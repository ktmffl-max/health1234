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b2bc197408547891/Desktop/운동/"/>
    </mc:Choice>
  </mc:AlternateContent>
  <xr:revisionPtr revIDLastSave="1064" documentId="11_56CBE09B577CB57806506320C7833877887CCA2D" xr6:coauthVersionLast="47" xr6:coauthVersionMax="47" xr10:uidLastSave="{03E7A1BE-E202-43FA-83C7-3F42001AD592}"/>
  <bookViews>
    <workbookView xWindow="-120" yWindow="-120" windowWidth="38640" windowHeight="21120" tabRatio="883" activeTab="17" xr2:uid="{00000000-000D-0000-FFFF-FFFF00000000}"/>
  </bookViews>
  <sheets>
    <sheet name="시작중량_설정" sheetId="1" r:id="rId1"/>
    <sheet name="주간계획" sheetId="2" r:id="rId2"/>
    <sheet name="D1_당기기A" sheetId="3" r:id="rId3"/>
    <sheet name="D2_밀기A" sheetId="4" r:id="rId4"/>
    <sheet name="D3_하체A" sheetId="5" r:id="rId5"/>
    <sheet name="D4_어깨팔A" sheetId="6" r:id="rId6"/>
    <sheet name="D6_당기기B" sheetId="7" r:id="rId7"/>
    <sheet name="D7_밀기B" sheetId="8" r:id="rId8"/>
    <sheet name="D8_하체B" sheetId="9" r:id="rId9"/>
    <sheet name="D9_어깨팔B" sheetId="10" r:id="rId10"/>
    <sheet name="간접계수맵" sheetId="11" r:id="rId11"/>
    <sheet name="세트검산" sheetId="12" r:id="rId12"/>
    <sheet name="증량기록" sheetId="13" r:id="rId13"/>
    <sheet name="9월이후조정" sheetId="14" r:id="rId14"/>
    <sheet name="복귀_주간계획" sheetId="15" r:id="rId15"/>
    <sheet name="복귀_토_하체" sheetId="16" r:id="rId16"/>
    <sheet name="복귀_일_등" sheetId="17" r:id="rId17"/>
    <sheet name="복귀_평일B_어깨" sheetId="18" r:id="rId18"/>
    <sheet name="복귀_평일A_가슴" sheetId="19" r:id="rId19"/>
    <sheet name="복귀_증량원칙" sheetId="20" r:id="rId20"/>
    <sheet name="복귀_간접계수맵" sheetId="21" r:id="rId21"/>
    <sheet name="복귀_세트검산" sheetId="22" r:id="rId22"/>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6" i="17" l="1"/>
  <c r="D16" i="17"/>
  <c r="C10" i="1"/>
  <c r="C9" i="1"/>
  <c r="C8" i="1"/>
  <c r="C7" i="1"/>
  <c r="C11" i="13"/>
  <c r="C12" i="13" s="1"/>
  <c r="C13" i="13" s="1"/>
  <c r="C14" i="13" s="1"/>
  <c r="C15" i="13" s="1"/>
  <c r="C16" i="13" s="1"/>
  <c r="C17" i="13" s="1"/>
  <c r="C18" i="13" s="1"/>
  <c r="C19" i="13" s="1"/>
  <c r="C20" i="13" s="1"/>
  <c r="C21" i="13" s="1"/>
  <c r="I26" i="17"/>
  <c r="I25" i="17"/>
  <c r="I24" i="17"/>
  <c r="I23" i="17"/>
  <c r="I22" i="17"/>
  <c r="I21" i="17"/>
  <c r="I20" i="17"/>
  <c r="I19" i="17"/>
  <c r="I18" i="17"/>
  <c r="I17" i="17"/>
  <c r="I15" i="17"/>
  <c r="I33" i="16"/>
  <c r="I32" i="16"/>
  <c r="I31" i="16"/>
  <c r="I30" i="16"/>
  <c r="I29" i="16"/>
  <c r="I28" i="16"/>
  <c r="I27" i="16"/>
  <c r="I26" i="16"/>
  <c r="I25" i="16"/>
  <c r="I24" i="16"/>
  <c r="I20" i="18"/>
  <c r="I19" i="18"/>
  <c r="I18" i="18"/>
  <c r="I17" i="18"/>
  <c r="I16" i="18"/>
  <c r="I15" i="18"/>
  <c r="I14" i="18"/>
  <c r="I13" i="18"/>
  <c r="I12" i="18"/>
  <c r="I11" i="18"/>
  <c r="I26" i="19"/>
  <c r="I25" i="19"/>
  <c r="I24" i="19"/>
  <c r="I23" i="19"/>
  <c r="I22" i="19"/>
  <c r="I21" i="19"/>
  <c r="I20" i="19"/>
  <c r="I15" i="10"/>
  <c r="I14" i="10"/>
  <c r="I13" i="10"/>
  <c r="I12" i="10"/>
  <c r="I11" i="10"/>
  <c r="I10" i="10"/>
  <c r="I9" i="10"/>
  <c r="I8" i="10"/>
  <c r="I7" i="10"/>
  <c r="I6" i="10"/>
  <c r="I22" i="9"/>
  <c r="I21" i="9"/>
  <c r="I20" i="9"/>
  <c r="I19" i="9"/>
  <c r="I18" i="9"/>
  <c r="I17" i="9"/>
  <c r="I16" i="9"/>
  <c r="I15" i="9"/>
  <c r="I29" i="8"/>
  <c r="I28" i="8"/>
  <c r="I27" i="8"/>
  <c r="I26" i="8"/>
  <c r="I25" i="8"/>
  <c r="I24" i="8"/>
  <c r="I23" i="8"/>
  <c r="I22" i="8"/>
  <c r="I21" i="8"/>
  <c r="I20" i="8"/>
  <c r="I15" i="7"/>
  <c r="I14" i="7"/>
  <c r="I13" i="7"/>
  <c r="I12" i="7"/>
  <c r="I11" i="7"/>
  <c r="I10" i="7"/>
  <c r="I9" i="7"/>
  <c r="I8" i="7"/>
  <c r="I7" i="7"/>
  <c r="I6" i="7"/>
  <c r="I16" i="6"/>
  <c r="I15" i="6"/>
  <c r="I14" i="6"/>
  <c r="I13" i="6"/>
  <c r="I12" i="6"/>
  <c r="I11" i="6"/>
  <c r="I10" i="6"/>
  <c r="I9" i="6"/>
  <c r="I8" i="6"/>
  <c r="I7" i="6"/>
  <c r="I6" i="6"/>
  <c r="I21" i="5"/>
  <c r="I20" i="5"/>
  <c r="I19" i="5"/>
  <c r="I18" i="5"/>
  <c r="I17" i="5"/>
  <c r="I16" i="5"/>
  <c r="I15" i="5"/>
  <c r="I25" i="4"/>
  <c r="I24" i="4"/>
  <c r="I23" i="4"/>
  <c r="I22" i="4"/>
  <c r="I21" i="4"/>
  <c r="I20" i="4"/>
  <c r="I16" i="3"/>
  <c r="I15" i="3"/>
  <c r="I14" i="3"/>
  <c r="I13" i="3"/>
  <c r="I12" i="3"/>
  <c r="I11" i="3"/>
  <c r="I10" i="3"/>
  <c r="I9" i="3"/>
  <c r="I8" i="3"/>
  <c r="I7" i="3"/>
  <c r="I6" i="3"/>
  <c r="E16" i="7"/>
  <c r="E17" i="6"/>
  <c r="E16" i="10"/>
  <c r="E13" i="2" s="1"/>
  <c r="E30" i="8"/>
  <c r="E26" i="4"/>
  <c r="B24" i="22"/>
  <c r="B23" i="22"/>
  <c r="B22" i="22"/>
  <c r="B21" i="22"/>
  <c r="B20" i="22"/>
  <c r="B19" i="22"/>
  <c r="C18" i="22"/>
  <c r="B18" i="22"/>
  <c r="B17" i="22"/>
  <c r="B16" i="22"/>
  <c r="C15" i="22"/>
  <c r="B15" i="22"/>
  <c r="C14" i="22"/>
  <c r="B14" i="22"/>
  <c r="B13" i="22"/>
  <c r="B12" i="22"/>
  <c r="B11" i="22"/>
  <c r="B10" i="22"/>
  <c r="B9" i="22"/>
  <c r="B8" i="22"/>
  <c r="B7" i="22"/>
  <c r="B6" i="22"/>
  <c r="B5" i="22"/>
  <c r="E27" i="19"/>
  <c r="E6" i="15" s="1"/>
  <c r="E21" i="18"/>
  <c r="E7" i="15" s="1"/>
  <c r="E27" i="17"/>
  <c r="E9" i="15" s="1"/>
  <c r="E34" i="16"/>
  <c r="E8" i="15" s="1"/>
  <c r="I10" i="13"/>
  <c r="I11" i="13" s="1"/>
  <c r="I12" i="13" s="1"/>
  <c r="I13" i="13" s="1"/>
  <c r="I14" i="13" s="1"/>
  <c r="I15" i="13" s="1"/>
  <c r="I16" i="13" s="1"/>
  <c r="I17" i="13" s="1"/>
  <c r="I18" i="13" s="1"/>
  <c r="I19" i="13" s="1"/>
  <c r="I20" i="13" s="1"/>
  <c r="I21" i="13" s="1"/>
  <c r="G10" i="13"/>
  <c r="G11" i="13" s="1"/>
  <c r="G12" i="13" s="1"/>
  <c r="G13" i="13" s="1"/>
  <c r="G14" i="13" s="1"/>
  <c r="G15" i="13" s="1"/>
  <c r="G16" i="13" s="1"/>
  <c r="G17" i="13" s="1"/>
  <c r="G18" i="13" s="1"/>
  <c r="G19" i="13" s="1"/>
  <c r="G20" i="13" s="1"/>
  <c r="G21" i="13" s="1"/>
  <c r="E10" i="13"/>
  <c r="E11" i="13" s="1"/>
  <c r="E12" i="13" s="1"/>
  <c r="E13" i="13" s="1"/>
  <c r="E14" i="13" s="1"/>
  <c r="E15" i="13" s="1"/>
  <c r="E16" i="13" s="1"/>
  <c r="E17" i="13" s="1"/>
  <c r="E18" i="13" s="1"/>
  <c r="E19" i="13" s="1"/>
  <c r="E20" i="13" s="1"/>
  <c r="E21" i="13" s="1"/>
  <c r="C10" i="13"/>
  <c r="B43" i="1" s="1"/>
  <c r="H7" i="13"/>
  <c r="B24" i="12"/>
  <c r="L24" i="12" s="1"/>
  <c r="C23" i="12"/>
  <c r="B23" i="12"/>
  <c r="B22" i="12"/>
  <c r="L22" i="12" s="1"/>
  <c r="B21" i="12"/>
  <c r="L21" i="12" s="1"/>
  <c r="B20" i="12"/>
  <c r="L20" i="12" s="1"/>
  <c r="C19" i="12"/>
  <c r="B19" i="12"/>
  <c r="B18" i="12"/>
  <c r="L18" i="12" s="1"/>
  <c r="B17" i="12"/>
  <c r="L17" i="12" s="1"/>
  <c r="B16" i="12"/>
  <c r="L16" i="12" s="1"/>
  <c r="B15" i="12"/>
  <c r="L15" i="12" s="1"/>
  <c r="B14" i="12"/>
  <c r="L14" i="12" s="1"/>
  <c r="B13" i="12"/>
  <c r="L13" i="12" s="1"/>
  <c r="B12" i="12"/>
  <c r="L12" i="12" s="1"/>
  <c r="B11" i="12"/>
  <c r="L11" i="12" s="1"/>
  <c r="B10" i="12"/>
  <c r="L10" i="12" s="1"/>
  <c r="B9" i="12"/>
  <c r="L9" i="12" s="1"/>
  <c r="B8" i="12"/>
  <c r="L8" i="12" s="1"/>
  <c r="B7" i="12"/>
  <c r="L7" i="12" s="1"/>
  <c r="B6" i="12"/>
  <c r="L6" i="12" s="1"/>
  <c r="B5" i="12"/>
  <c r="L5" i="12" s="1"/>
  <c r="J4" i="12"/>
  <c r="E23" i="9"/>
  <c r="E10" i="2"/>
  <c r="E8" i="2"/>
  <c r="E22" i="5"/>
  <c r="E17" i="3"/>
  <c r="E5" i="2" s="1"/>
  <c r="I16" i="10"/>
  <c r="E37" i="11"/>
  <c r="E16" i="11"/>
  <c r="E46" i="21"/>
  <c r="E21" i="21"/>
  <c r="E71" i="11"/>
  <c r="E38" i="21"/>
  <c r="E40" i="21"/>
  <c r="E65" i="11"/>
  <c r="E26" i="11"/>
  <c r="E50" i="11"/>
  <c r="E28" i="21"/>
  <c r="E24" i="11"/>
  <c r="E12" i="21"/>
  <c r="E30" i="21"/>
  <c r="E14" i="11"/>
  <c r="E36" i="11"/>
  <c r="E12" i="11"/>
  <c r="E19" i="11"/>
  <c r="E44" i="21"/>
  <c r="E49" i="21"/>
  <c r="E63" i="11"/>
  <c r="E32" i="21"/>
  <c r="E74" i="11"/>
  <c r="E35" i="11"/>
  <c r="E16" i="21"/>
  <c r="E75" i="11"/>
  <c r="E17" i="21"/>
  <c r="E43" i="21"/>
  <c r="E34" i="21"/>
  <c r="E13" i="11"/>
  <c r="E7" i="11"/>
  <c r="E29" i="11"/>
  <c r="E48" i="11"/>
  <c r="E42" i="21"/>
  <c r="E51" i="11"/>
  <c r="E31" i="21"/>
  <c r="E25" i="11"/>
  <c r="E54" i="11"/>
  <c r="E25" i="21"/>
  <c r="E15" i="11"/>
  <c r="E17" i="11"/>
  <c r="E18" i="11"/>
  <c r="E72" i="11"/>
  <c r="E39" i="11"/>
  <c r="E29" i="21"/>
  <c r="E10" i="11"/>
  <c r="E27" i="21"/>
  <c r="E7" i="21"/>
  <c r="E30" i="11"/>
  <c r="E50" i="21"/>
  <c r="E51" i="21"/>
  <c r="E23" i="11"/>
  <c r="E68" i="11"/>
  <c r="E24" i="21"/>
  <c r="E42" i="11"/>
  <c r="E69" i="11"/>
  <c r="E15" i="21"/>
  <c r="E73" i="11"/>
  <c r="E60" i="11"/>
  <c r="E47" i="11"/>
  <c r="E58" i="11"/>
  <c r="E61" i="11"/>
  <c r="E53" i="11"/>
  <c r="E48" i="21"/>
  <c r="E10" i="21"/>
  <c r="E19" i="21"/>
  <c r="E52" i="11"/>
  <c r="E13" i="21"/>
  <c r="E27" i="11"/>
  <c r="E20" i="11"/>
  <c r="E39" i="21"/>
  <c r="E28" i="11"/>
  <c r="E18" i="21"/>
  <c r="E22" i="21"/>
  <c r="E38" i="11"/>
  <c r="E20" i="21"/>
  <c r="E11" i="11"/>
  <c r="E66" i="11"/>
  <c r="E55" i="11"/>
  <c r="E37" i="21"/>
  <c r="E36" i="21"/>
  <c r="E62" i="11"/>
  <c r="E11" i="21"/>
  <c r="E41" i="11"/>
  <c r="E34" i="11"/>
  <c r="E41" i="21"/>
  <c r="E59" i="11"/>
  <c r="E8" i="21"/>
  <c r="E49" i="11"/>
  <c r="E46" i="11"/>
  <c r="E22" i="11"/>
  <c r="E23" i="21"/>
  <c r="E45" i="21"/>
  <c r="E44" i="11"/>
  <c r="E35" i="21"/>
  <c r="E9" i="11"/>
  <c r="E33" i="21"/>
  <c r="E31" i="11"/>
  <c r="E26" i="21"/>
  <c r="E45" i="11"/>
  <c r="E40" i="11"/>
  <c r="E67" i="11"/>
  <c r="E64" i="11"/>
  <c r="E21" i="11"/>
  <c r="E9" i="21"/>
  <c r="E47" i="21"/>
  <c r="E57" i="11"/>
  <c r="E33" i="11"/>
  <c r="E32" i="11"/>
  <c r="E56" i="11"/>
  <c r="E70" i="11"/>
  <c r="E8" i="11"/>
  <c r="E43" i="11"/>
  <c r="I17" i="6" l="1"/>
  <c r="F75" i="11"/>
  <c r="F74" i="11"/>
  <c r="F73" i="11"/>
  <c r="D23" i="12"/>
  <c r="J23" i="12" s="1"/>
  <c r="E23" i="12" s="1"/>
  <c r="D19" i="12"/>
  <c r="J19" i="12" s="1"/>
  <c r="E19" i="12" s="1"/>
  <c r="I16" i="7"/>
  <c r="F10" i="2" s="1"/>
  <c r="I30" i="8"/>
  <c r="I26" i="4"/>
  <c r="D18" i="22"/>
  <c r="E18" i="22" s="1"/>
  <c r="C43" i="1"/>
  <c r="D43" i="1"/>
  <c r="I22" i="5"/>
  <c r="B25" i="22"/>
  <c r="L2" i="22" s="1"/>
  <c r="I27" i="19"/>
  <c r="I34" i="16"/>
  <c r="I23" i="9"/>
  <c r="I17" i="3"/>
  <c r="F5" i="2" s="1"/>
  <c r="F8" i="2"/>
  <c r="D15" i="22"/>
  <c r="E15" i="22" s="1"/>
  <c r="I27" i="17"/>
  <c r="I21" i="18"/>
  <c r="L23" i="12"/>
  <c r="F13" i="2"/>
  <c r="E43" i="1"/>
  <c r="D14" i="22"/>
  <c r="E14" i="22" s="1"/>
  <c r="F10" i="21"/>
  <c r="F17" i="21"/>
  <c r="F23" i="21"/>
  <c r="F29" i="21"/>
  <c r="F35" i="21"/>
  <c r="F41" i="21"/>
  <c r="F47" i="21"/>
  <c r="F10" i="11"/>
  <c r="F16" i="11"/>
  <c r="F28" i="11"/>
  <c r="F34" i="11"/>
  <c r="F40" i="11"/>
  <c r="F46" i="11"/>
  <c r="F52" i="11"/>
  <c r="F58" i="11"/>
  <c r="F64" i="11"/>
  <c r="F70" i="11"/>
  <c r="F11" i="21"/>
  <c r="F18" i="21"/>
  <c r="F24" i="21"/>
  <c r="F30" i="21"/>
  <c r="F36" i="21"/>
  <c r="F42" i="21"/>
  <c r="F48" i="21"/>
  <c r="C23" i="22" s="1"/>
  <c r="D23" i="22" s="1"/>
  <c r="E23" i="22" s="1"/>
  <c r="F9" i="11"/>
  <c r="F15" i="11"/>
  <c r="F21" i="11"/>
  <c r="F27" i="11"/>
  <c r="F33" i="11"/>
  <c r="F39" i="11"/>
  <c r="F45" i="11"/>
  <c r="F51" i="11"/>
  <c r="F57" i="11"/>
  <c r="F63" i="11"/>
  <c r="F69" i="11"/>
  <c r="F22" i="11"/>
  <c r="F11" i="11"/>
  <c r="F17" i="11"/>
  <c r="F23" i="11"/>
  <c r="F29" i="11"/>
  <c r="F35" i="11"/>
  <c r="F41" i="11"/>
  <c r="F47" i="11"/>
  <c r="F53" i="11"/>
  <c r="F59" i="11"/>
  <c r="F65" i="11"/>
  <c r="F71" i="11"/>
  <c r="F12" i="11"/>
  <c r="F18" i="11"/>
  <c r="F24" i="11"/>
  <c r="F30" i="11"/>
  <c r="F36" i="11"/>
  <c r="F42" i="11"/>
  <c r="C15" i="12" s="1"/>
  <c r="D15" i="12" s="1"/>
  <c r="F48" i="11"/>
  <c r="C5" i="12" s="1"/>
  <c r="D5" i="12" s="1"/>
  <c r="F54" i="11"/>
  <c r="F60" i="11"/>
  <c r="F66" i="11"/>
  <c r="F72" i="11"/>
  <c r="F7" i="21"/>
  <c r="F3" i="21"/>
  <c r="F13" i="21"/>
  <c r="F20" i="21"/>
  <c r="F26" i="21"/>
  <c r="F32" i="21"/>
  <c r="F38" i="21"/>
  <c r="F44" i="21"/>
  <c r="F50" i="21"/>
  <c r="F12" i="21"/>
  <c r="F19" i="21"/>
  <c r="F25" i="21"/>
  <c r="F31" i="21"/>
  <c r="F43" i="21"/>
  <c r="F49" i="21"/>
  <c r="C19" i="22" s="1"/>
  <c r="D19" i="22" s="1"/>
  <c r="E19" i="22" s="1"/>
  <c r="F7" i="11"/>
  <c r="F3" i="11"/>
  <c r="F13" i="11"/>
  <c r="F19" i="11"/>
  <c r="F25" i="11"/>
  <c r="F31" i="11"/>
  <c r="F37" i="11"/>
  <c r="F43" i="11"/>
  <c r="C18" i="12" s="1"/>
  <c r="D18" i="12" s="1"/>
  <c r="J18" i="12" s="1"/>
  <c r="E18" i="12" s="1"/>
  <c r="F49" i="11"/>
  <c r="C6" i="12" s="1"/>
  <c r="D6" i="12" s="1"/>
  <c r="J6" i="12" s="1"/>
  <c r="E6" i="12" s="1"/>
  <c r="F55" i="11"/>
  <c r="F61" i="11"/>
  <c r="F67" i="11"/>
  <c r="F8" i="21"/>
  <c r="F15" i="21"/>
  <c r="F21" i="21"/>
  <c r="C13" i="22" s="1"/>
  <c r="D13" i="22" s="1"/>
  <c r="E13" i="22" s="1"/>
  <c r="F27" i="21"/>
  <c r="F33" i="21"/>
  <c r="F39" i="21"/>
  <c r="F45" i="21"/>
  <c r="C5" i="22" s="1"/>
  <c r="D5" i="22" s="1"/>
  <c r="F51" i="21"/>
  <c r="F37" i="21"/>
  <c r="F8" i="11"/>
  <c r="F14" i="11"/>
  <c r="F20" i="11"/>
  <c r="F26" i="11"/>
  <c r="F32" i="11"/>
  <c r="F38" i="11"/>
  <c r="F44" i="11"/>
  <c r="F50" i="11"/>
  <c r="F56" i="11"/>
  <c r="F62" i="11"/>
  <c r="F68" i="11"/>
  <c r="F9" i="21"/>
  <c r="F16" i="21"/>
  <c r="F22" i="21"/>
  <c r="F28" i="21"/>
  <c r="F34" i="21"/>
  <c r="F40" i="21"/>
  <c r="F46" i="21"/>
  <c r="E44" i="1"/>
  <c r="D45" i="1"/>
  <c r="C45" i="1"/>
  <c r="E11" i="15"/>
  <c r="L19" i="12"/>
  <c r="D44" i="1"/>
  <c r="C44" i="1"/>
  <c r="B25" i="12"/>
  <c r="J3" i="22" l="1"/>
  <c r="H3" i="22"/>
  <c r="C24" i="22"/>
  <c r="D24" i="22" s="1"/>
  <c r="E24" i="22" s="1"/>
  <c r="C11" i="22"/>
  <c r="D11" i="22" s="1"/>
  <c r="E11" i="22" s="1"/>
  <c r="C14" i="12"/>
  <c r="D14" i="12" s="1"/>
  <c r="J14" i="12" s="1"/>
  <c r="E14" i="12" s="1"/>
  <c r="C8" i="22"/>
  <c r="D8" i="22" s="1"/>
  <c r="E8" i="22" s="1"/>
  <c r="C7" i="22"/>
  <c r="D7" i="22" s="1"/>
  <c r="E7" i="22" s="1"/>
  <c r="C22" i="22"/>
  <c r="D22" i="22" s="1"/>
  <c r="E22" i="22" s="1"/>
  <c r="C16" i="22"/>
  <c r="D16" i="22" s="1"/>
  <c r="E16" i="22" s="1"/>
  <c r="C13" i="12"/>
  <c r="D13" i="12" s="1"/>
  <c r="J13" i="12" s="1"/>
  <c r="E13" i="12" s="1"/>
  <c r="C9" i="22"/>
  <c r="D9" i="22" s="1"/>
  <c r="E9" i="22" s="1"/>
  <c r="C9" i="12"/>
  <c r="D9" i="12" s="1"/>
  <c r="J9" i="12" s="1"/>
  <c r="E9" i="12" s="1"/>
  <c r="C8" i="12"/>
  <c r="D8" i="12" s="1"/>
  <c r="J8" i="12" s="1"/>
  <c r="E8" i="12" s="1"/>
  <c r="C6" i="22"/>
  <c r="D6" i="22" s="1"/>
  <c r="E6" i="22" s="1"/>
  <c r="J15" i="12"/>
  <c r="E15" i="12" s="1"/>
  <c r="L25" i="12"/>
  <c r="L2" i="12"/>
  <c r="C20" i="22"/>
  <c r="D20" i="22" s="1"/>
  <c r="E20" i="22" s="1"/>
  <c r="C17" i="12"/>
  <c r="D17" i="12" s="1"/>
  <c r="E9" i="1"/>
  <c r="D46" i="1"/>
  <c r="C17" i="22"/>
  <c r="D17" i="22" s="1"/>
  <c r="E17" i="22" s="1"/>
  <c r="C7" i="12"/>
  <c r="D7" i="12" s="1"/>
  <c r="B44" i="1"/>
  <c r="J5" i="12"/>
  <c r="E5" i="12" s="1"/>
  <c r="H5" i="12"/>
  <c r="I5" i="12" s="1"/>
  <c r="C22" i="12"/>
  <c r="D22" i="12" s="1"/>
  <c r="J22" i="12" s="1"/>
  <c r="E22" i="12" s="1"/>
  <c r="E5" i="22"/>
  <c r="C21" i="22"/>
  <c r="D21" i="22" s="1"/>
  <c r="E21" i="22" s="1"/>
  <c r="C10" i="22"/>
  <c r="D10" i="22" s="1"/>
  <c r="E10" i="22" s="1"/>
  <c r="E45" i="1"/>
  <c r="C16" i="12"/>
  <c r="D16" i="12" s="1"/>
  <c r="J16" i="12" s="1"/>
  <c r="E16" i="12" s="1"/>
  <c r="C24" i="12"/>
  <c r="D24" i="12" s="1"/>
  <c r="J24" i="12" s="1"/>
  <c r="E24" i="12" s="1"/>
  <c r="C12" i="22"/>
  <c r="D12" i="22" s="1"/>
  <c r="E12" i="22" s="1"/>
  <c r="C12" i="12"/>
  <c r="D12" i="12" s="1"/>
  <c r="J12" i="12" s="1"/>
  <c r="E12" i="12" s="1"/>
  <c r="C10" i="12"/>
  <c r="D10" i="12" s="1"/>
  <c r="J10" i="12" s="1"/>
  <c r="E10" i="12" s="1"/>
  <c r="C11" i="12"/>
  <c r="D11" i="12" s="1"/>
  <c r="J11" i="12" s="1"/>
  <c r="E11" i="12" s="1"/>
  <c r="C46" i="1"/>
  <c r="E8" i="1"/>
  <c r="C20" i="12"/>
  <c r="D20" i="12" s="1"/>
  <c r="J20" i="12" s="1"/>
  <c r="E20" i="12" s="1"/>
  <c r="C21" i="12"/>
  <c r="D21" i="12" s="1"/>
  <c r="J21" i="12" s="1"/>
  <c r="E21" i="12" s="1"/>
  <c r="A3" i="22" l="1"/>
  <c r="L3" i="22"/>
  <c r="A9" i="19"/>
  <c r="A6" i="19"/>
  <c r="A6" i="4"/>
  <c r="A8" i="19"/>
  <c r="A7" i="19"/>
  <c r="A9" i="4"/>
  <c r="A8" i="4"/>
  <c r="A7" i="4"/>
  <c r="A9" i="17"/>
  <c r="A9" i="9"/>
  <c r="A8" i="17"/>
  <c r="A8" i="9"/>
  <c r="A7" i="17"/>
  <c r="A7" i="9"/>
  <c r="A6" i="17"/>
  <c r="A6" i="9"/>
  <c r="A10" i="17"/>
  <c r="A10" i="19"/>
  <c r="I5" i="22"/>
  <c r="I15" i="22"/>
  <c r="D25" i="12"/>
  <c r="J25" i="12" s="1"/>
  <c r="D25" i="22"/>
  <c r="D47" i="1"/>
  <c r="D20" i="19"/>
  <c r="D20" i="4"/>
  <c r="A10" i="4"/>
  <c r="C47" i="1"/>
  <c r="J17" i="12"/>
  <c r="E17" i="12" s="1"/>
  <c r="H17" i="12"/>
  <c r="H3" i="12"/>
  <c r="J3" i="12"/>
  <c r="D16" i="9"/>
  <c r="D15" i="9"/>
  <c r="D15" i="17"/>
  <c r="A10" i="9"/>
  <c r="E10" i="1"/>
  <c r="E46" i="1"/>
  <c r="B45" i="1"/>
  <c r="H15" i="12"/>
  <c r="I7" i="22"/>
  <c r="J7" i="12"/>
  <c r="E7" i="12" s="1"/>
  <c r="H7" i="12"/>
  <c r="A8" i="8" l="1"/>
  <c r="A15" i="16"/>
  <c r="A9" i="8"/>
  <c r="A16" i="16"/>
  <c r="A18" i="16"/>
  <c r="A7" i="8"/>
  <c r="A6" i="8"/>
  <c r="A17" i="16"/>
  <c r="A19" i="16"/>
  <c r="C48" i="1"/>
  <c r="F12" i="2"/>
  <c r="E12" i="2"/>
  <c r="E6" i="2"/>
  <c r="F6" i="2"/>
  <c r="B46" i="1"/>
  <c r="E7" i="1"/>
  <c r="A3" i="12"/>
  <c r="L3" i="12"/>
  <c r="E47" i="1"/>
  <c r="D48" i="1"/>
  <c r="D25" i="16"/>
  <c r="D20" i="8"/>
  <c r="A10" i="8"/>
  <c r="A9" i="16" l="1"/>
  <c r="A9" i="5"/>
  <c r="A7" i="16"/>
  <c r="A6" i="16"/>
  <c r="A8" i="16"/>
  <c r="A8" i="5"/>
  <c r="A6" i="5"/>
  <c r="A7" i="5"/>
  <c r="A10" i="16"/>
  <c r="B47" i="1"/>
  <c r="D49" i="1"/>
  <c r="F11" i="2"/>
  <c r="E11" i="2"/>
  <c r="C49" i="1"/>
  <c r="D15" i="5"/>
  <c r="A10" i="5"/>
  <c r="D24" i="16"/>
  <c r="E48" i="1"/>
  <c r="C50" i="1" l="1"/>
  <c r="D50" i="1"/>
  <c r="E7" i="2"/>
  <c r="E15" i="2" s="1"/>
  <c r="F7" i="2"/>
  <c r="F15" i="2"/>
  <c r="E49" i="1"/>
  <c r="B48" i="1"/>
  <c r="B49" i="1" l="1"/>
  <c r="E50" i="1"/>
  <c r="D51" i="1"/>
  <c r="C51" i="1"/>
  <c r="C52" i="1" l="1"/>
  <c r="D52" i="1"/>
  <c r="E51" i="1"/>
  <c r="B50" i="1"/>
  <c r="B51" i="1" l="1"/>
  <c r="E52" i="1"/>
  <c r="D54" i="1"/>
  <c r="D53" i="1"/>
  <c r="C54" i="1"/>
  <c r="C53" i="1"/>
  <c r="E54" i="1" l="1"/>
  <c r="E53" i="1"/>
  <c r="B52" i="1"/>
  <c r="B54" i="1" l="1"/>
  <c r="B53" i="1"/>
</calcChain>
</file>

<file path=xl/sharedStrings.xml><?xml version="1.0" encoding="utf-8"?>
<sst xmlns="http://schemas.openxmlformats.org/spreadsheetml/2006/main" count="2363" uniqueCount="1228">
  <si>
    <t>9일차 — 어깨·팔 B</t>
  </si>
  <si>
    <t>웜업 — 케이블 외회전 2세트 × 12~15 (세트 카운트 제외): 매우 가볍게 2.5~5kg. 팔꿈치를 90도로 접어 옆구리에 붙이고 바깥으로만 회전. 대체: 밴드 외회전 / 아주 가벼운 페이스풀.</t>
  </si>
  <si>
    <t>운동 구성</t>
  </si>
  <si>
    <t>#</t>
  </si>
  <si>
    <t>종목</t>
  </si>
  <si>
    <t>근육군</t>
  </si>
  <si>
    <t>중량(Kg)</t>
  </si>
  <si>
    <t>세트</t>
  </si>
  <si>
    <t>횟수</t>
  </si>
  <si>
    <t>수행(초)</t>
  </si>
  <si>
    <t>휴식(초)</t>
  </si>
  <si>
    <t>종목 분</t>
  </si>
  <si>
    <t>간접 자극</t>
  </si>
  <si>
    <t>메모</t>
  </si>
  <si>
    <t>대체 종목</t>
  </si>
  <si>
    <t>세트별 휴식(초)</t>
  </si>
  <si>
    <t>슈퍼세트</t>
  </si>
  <si>
    <t>리닝 원암 케이블 레터럴 레이즈</t>
  </si>
  <si>
    <t>삼각근(측면)</t>
  </si>
  <si>
    <t>12~15</t>
  </si>
  <si>
    <t>기둥을 잡고 몸을 반대로 기울여 늘어난 위치부터 부하가 걸린다 — 머신·덤벨이 못 거는 구간이다. 좌우 각 2세트. 7일차에도 같은 종목이 있지만 5일 간격이라 겹치지 않는다.</t>
  </si>
  <si>
    <t>케이블 비하인드백 레터럴 / 로우 풀리 원암 레터럴 / 인클라인 벤치에 옆으로 누워 덤벨 레터럴</t>
  </si>
  <si>
    <t>인클라인 벤치 프론 리어 델트 레이즈</t>
  </si>
  <si>
    <t>삼각근(후면)</t>
  </si>
  <si>
    <t>가슴을 벤치에 대고 엎드려 상체를 고정한다 — 반동과 기립근 개입이 통째로 차단돼 후면만 남는다. 자유중량이라 궤도가 고정된 4번과 다른 안정화 요구가 붙는다. 아주 가볍게, 무게보다 정지 1초.</t>
  </si>
  <si>
    <t>프론 덤벨 리어 레이즈 (평벤치) / 시티드 벤트오버 덤벨 리어 레이즈 / 리버스 펙덱</t>
  </si>
  <si>
    <t>머신 숄더 프레스</t>
  </si>
  <si>
    <t>삼각근(전면)</t>
  </si>
  <si>
    <t>25</t>
  </si>
  <si>
    <t>12</t>
  </si>
  <si>
    <t>삼두 · 삼각근(측면)</t>
  </si>
  <si>
    <t>[2026-09-04 신설] 전면삼각 직접이 6세트(7일차 밀리터리 3 + 머신 숄더 3)뿐이라 측면 18 · 후면 17에 견주면 얇았다. 9일 주기 전환으로 주당 9.7까지 내려와 이 자리를 만들었다. 레터럴·리어 6종목 뒤에 두는 이유: 앞에 두면 프레스 피로로 레이즈 중량이 눌린다. 여기 목적은 근력이 아니라 볼륨이므로 중량이 7일차보다 낮아도 된다.</t>
  </si>
  <si>
    <t>덤벨 숄더 프레스 / 스미스 오버헤드 프레스</t>
  </si>
  <si>
    <t>프론 Y 레이즈</t>
  </si>
  <si>
    <t>승모(하부)</t>
  </si>
  <si>
    <t>2~5</t>
  </si>
  <si>
    <t>[2026-09-04 신설] 승모 하부 세 번째 자리. 7일차에서 0세트로 꺼져 있던 종목을 그쪽에서 켜고 여기에도 뒀다. 견갑 하강 + 상방회전. 엎드려 팔을 Y자로 — 중량보다 견갑이 먼저 움직이는지가 중요하다.</t>
  </si>
  <si>
    <t>인클라인 벤치 프론 Y / 케이블 로 투 하이 (한 팔)</t>
  </si>
  <si>
    <t>라잉 트라이셉스 익스텐션</t>
  </si>
  <si>
    <t>삼두</t>
  </si>
  <si>
    <t>8~12</t>
  </si>
  <si>
    <t>늘어난 구간 삼두 — 2일차에서 이동 (v18). 푸쉬다운 제외로 2일차 고정 사유가 소멸, 유일한 삼두 고립을 프레싱 전부 마친 뒤 마지막에. 팔꿈치 시큰하면 EZ바나 오버헤드 케이블로. (이 자리의 케이블 푸쉬다운은 v17 제외 — 삼두 간접 9로 충족)</t>
  </si>
  <si>
    <t>오버헤드 케이블 익스텐션 / 스컬크러셔 / EZ바 라잉 익스텐션</t>
  </si>
  <si>
    <t>인클라인 덤벨 컬</t>
  </si>
  <si>
    <t>이두</t>
  </si>
  <si>
    <t>전완</t>
  </si>
  <si>
    <t>1일차에서 옮겨 왔다 (2026-08-28). 그 날은 친업 4 + 랫풀다운 3으로 이두가 간접 3.5세트분 지친 뒤였는데, 이 날은 어깨만 치므로 이두가 완전히 신선하다. 같은 3세트라도 자극당 값이 다르다. 인클라인 벤치에 기대 팔을 뒤로 늘어뜨린다 — 이두 장두가 늘어난 위치에서 시작하는 것이 이 종목의 전부다. 6일차 프리쳐 컬(짧아진 구간)과 각도를 나눈다. 어깨를 앞으로 말면 늘어난 구간이 사라진다.</t>
  </si>
  <si>
    <t>케이블 컬 (뒤로 물러서서 스트레치 확보) / 스파이더 컬 (반대 각도) / 드래그 컬</t>
  </si>
  <si>
    <t>리버스 리스트익스텐션 컬(손등 아래)</t>
  </si>
  <si>
    <t>15</t>
  </si>
  <si>
    <t>덤벨 리스트 컬 (한 손씩) / 케이블 리스트 컬 / 비하인드백 리스트 컬</t>
  </si>
  <si>
    <t>리버스컬</t>
  </si>
  <si>
    <t>10~15</t>
  </si>
  <si>
    <t>이두(상완근)</t>
  </si>
  <si>
    <t>EZ바 리버스 컬 (손목 부담 ↓ — 1순위) / 케이블 리버스 컬 (수축 지점까지 장력 유지 · 핀 단위 미세 증량) / 리버스 프리쳐 컬 (반동 차단) / 해머 컬 (중립 그립 — 상완요골근 같은 계열이나 자극 각도가 다르다)</t>
  </si>
  <si>
    <t>시티드 카프 레이즈</t>
  </si>
  <si>
    <t>종아리</t>
  </si>
  <si>
    <t>8</t>
  </si>
  <si>
    <t>레그 프레스 카프 / 스탠딩 카프 (기계가 찼을 때)</t>
  </si>
  <si>
    <t>케이블 힙 외전</t>
  </si>
  <si>
    <t>중둔근</t>
  </si>
  <si>
    <t>12~15 (좌우)</t>
  </si>
  <si>
    <t>밴드 몬스터 워크 / 사이드 라잉 힙 외전 / 힙 어브덕션 머신</t>
  </si>
  <si>
    <t>세트 합계</t>
  </si>
  <si>
    <t>어깨·팔 B (2026-09-04 4-1-4-1 전환)</t>
  </si>
  <si>
    <t>· 옛 8일차 어깨 세션을 둘로 나눈 뒤쪽 절반이다. 측면 1 · 후면 1 · 전면 1 · 하부 승모 1에 삼두(옛 6일차에서) · 전완 2종(옛 5일차에서) · 이두 · 종아리. 측면 2 · 후면 2 · 이너/아우터는 4일차로 갔다.</t>
  </si>
  <si>
    <t>· 세트는 한 개도 안 늘었다. 40 → 30이 된 것은 10세트가 4일차로 간 것이지 뺀 게 아니다.</t>
  </si>
  <si>
    <t>· 시간 균등화로 8일차 케이블 힙 외전 3세트가 왔다. 4일차 아우터 타이와 짝 — 중둔근이 3·4·9일차. 케이블이라 척추 부하는 없다.</t>
  </si>
  <si>
    <t>· 아래 서술은 통합 시절(옛 8일차 · 40세트 · 6종목 분할) 기준이라 세트 수와 종목 번호가 지금과 다르다. 기록으로 남긴다.</t>
  </si>
  <si>
    <t>· 실패지점 1~2회 남기고 멈춘다. 9일차는 6일차부터 이어진 연속 구간 한가운데라 여기서 회복을 깎으면 다음 사이클 앞머리가 밀린다.</t>
  </si>
  <si>
    <t>· 세트 간 휴식 60~80초. 소근육 고립이라 길게 쉴 이유가 없다. 본세트 기준 약 39분 (웜업 별도).</t>
  </si>
  <si>
    <t>· 이 세션에 메인 리프트는 없다. 무게를 올리는 날이 아니라 볼륨을 채우는 날이다.</t>
  </si>
  <si>
    <t>· 척추 부하가 0이라 8일차 데드리프트 다음 날 자리로 안전하다 — 그게 이 날이 여기 있는 이유다. 이두 컬이 붙어도 그 성질은 그대로다.</t>
  </si>
  <si>
    <t>· 척추 부하가 0이라 8일차 데드리프트 다음 날 자리로 안전하다 — 그게 이 날이 여기 있는 이유다.</t>
  </si>
  <si>
    <t>왜 프레스가 없는가</t>
  </si>
  <si>
    <t>· 볼륨 랜드마크 표에 전면 삼각근 행이 아예 없다 — 모든 프레스가 자동으로 채워주는 부위라 별도 하한을 잡지 않는다.</t>
  </si>
  <si>
    <t>· 실제로 전면은 벤치 · 밀리터리 · 머신 숄더 · 인클라인 · 딥스로 실질 11세트대다. 숄더 프레스를 더 넣으면 늘어나는 건 어깨가 아니라 삼두와 전면의 중복 피로다.</t>
  </si>
  <si>
    <t>왜 6종목으로 나눴는가</t>
  </si>
  <si>
    <t>· 한 세션 부위당 8~9세트가 이 프로그램의 상한인데, 여기서 후면이 9세트다. 상한에 정확히 걸쳐 있다.</t>
  </si>
  <si>
    <t>· 같은 종목 9세트는 뒤쪽 세트의 자극당 값이 떨어진다. 축을 셋으로 나눠 그 손해를 줄인 것이다 — 팔 편 수평 외전(4번) · 몸통 고정 자유중량(5번) · 팔 굽힌 당기기(6번).</t>
  </si>
  <si>
    <t>· 측면도 같은 이유로 셋이다 — 궤도 고정(1번) · 늘어난 구간(2번) · 굽힌 팔 당기기(3번).</t>
  </si>
  <si>
    <t>· 이상적인 배치는 아니다. 볼륨을 여러 날로 흩는 쪽이 낫지만, 2일차 26 · 7일차 26이 세션 상한이라 실을 자리가 없었다. 고립 소근육은 상한 예외지만 그건 이미 26에 닿은 날에 더 얹어도 된다는 뜻이 아니라, 팔 고립이 많은 날이 27이 되는 것을 허용한다는 뜻이다.</t>
  </si>
  <si>
    <t>배치 근거 (2026-08-28)</t>
  </si>
  <si>
    <t>· 측면 16 = 2일차 6 + 7일차 3 + 9일차 7. 후면 16 = 2일차 4 + 7일차 3 + 9일차 9. 사이클당 기준.</t>
  </si>
  <si>
    <t>· 주당 환산은 각 14다 (×7/8). MAV 하단(16)에 맞추려면 사이클당 18이 필요하고, 그러면 이 세션이 20세트가 된다. 거기까지는 가지 않았다.</t>
  </si>
  <si>
    <t>· 후면 간격: 2일차 → 7일차 4일 · 7일차 → 9일차 2일 · 9일차 → 다음 2일차 2일. 사이클당 3회.</t>
  </si>
  <si>
    <t>· 어깨 볼륨은 기존 일차를 건드리지 않고 전부 이 날에 넣었다. 이후 팔 재배치로 1일차 인클라인 덤벨 컬 3세트가 여기로 옮겨 왔고, 그 자리엔 케이블 푸쉬다운 3세트가 들어갔다 — 1일차 세트 수는 26 그대로다.</t>
  </si>
  <si>
    <t>되돌리는 법</t>
  </si>
  <si>
    <t>· 회복이 안 따라오면 E열 세트를 0으로 내린다. 조건부서식이 회색으로 접고 세트 합계 · 세트검산에서 자동으로 빠진다 — 시트를 지울 필요가 없다.</t>
  </si>
  <si>
    <t>· 전부 끄면 5일차에 이어 완전 휴식일이 하나 더 생긴다. 프로그램에서 가장 먼저 버릴 세션이 여기다.</t>
  </si>
  <si>
    <t>시작 중량 설정 — 5년 공백 후 복귀</t>
  </si>
  <si>
    <t>노란 칸 두 곳만 채우면 각 일차 시트의 웜업 램프와 본세트 중량이 전부 자동 계산됩니다.</t>
  </si>
  <si>
    <t>현재 사이클</t>
  </si>
  <si>
    <t>← 사이클이 끝날 때마다 이 숫자를 1 올리면 일차 시트 중량이 그 사이클에 맞게 갱신됩니다 (1~12)</t>
  </si>
  <si>
    <t>5년 전 중량</t>
  </si>
  <si>
    <t>권장 시작 (40%)</t>
  </si>
  <si>
    <t>시작 중량 ★입력★</t>
  </si>
  <si>
    <t>현재 작업중량</t>
  </si>
  <si>
    <t>본세트</t>
  </si>
  <si>
    <t>스쿼트</t>
  </si>
  <si>
    <t>5회 × 5세트</t>
  </si>
  <si>
    <t>데드리프트</t>
  </si>
  <si>
    <t>5회 × 1세트</t>
  </si>
  <si>
    <t>벤치프레스</t>
  </si>
  <si>
    <t>밀리터리 프레스</t>
  </si>
  <si>
    <t>5회 × 3세트</t>
  </si>
  <si>
    <t>↑ 여기에 숫자를 직접 입력</t>
  </si>
  <si>
    <t>D열(시작 중량)을 바꾸는 법</t>
  </si>
  <si>
    <t>· D7~D10 노란 칸에 원하는 숫자를 그냥 입력하면 됩니다. 수식이 아니라 일반 숫자입니다.</t>
  </si>
  <si>
    <t>· 예: 스쿼트를 30kg으로 시작하고 싶으면 D7에 30을 입력. 나머지는 전부 자동으로 따라옵니다.</t>
  </si>
  <si>
    <t>· C열은 참고용 계산값이므로 건드리지 않아도 됩니다.</t>
  </si>
  <si>
    <t>· 그리고 C4의 '현재 사이클'은 사이클이 끝날 때마다 1씩 올려주는 칸입니다. 이 두 곳 외에는 손댈 필요가 없습니다.</t>
  </si>
  <si>
    <t>5년 공백 후 시작 중량 잡는 법</t>
  </si>
  <si>
    <t>· 5년 쉬었으면 근력보다 관절 · 건 · 인대와 폼 감각이 먼저 무너져 있다. 근육은 빨리 돌아오지만 이쪽은 느리다.</t>
  </si>
  <si>
    <t>· 벤치와 프레스는 빈 봉(20kg)에서 시작하는 것이 맞다. 이것이 과한 것이 아니라 정상이다.</t>
  </si>
  <si>
    <t>· 기준: 10회는 할 수 있을 것 같은 무게로 5회만 하는 것. 여유가 크게 느껴져야 맞다.</t>
  </si>
  <si>
    <t>· 첫 3~4주는 훈련이 아니라 재적응 기간으로 본다. 가볍다고 느껴도 그대로 간다.</t>
  </si>
  <si>
    <t>· 너무 가볍게 시작해서 잃는 것은 3~4주뿐이다. 너무 무겁게 시작하면 몇 달을 잃는다.</t>
  </si>
  <si>
    <t>· 5년 전 중량은 참고치일 뿐 목표가 아니다. 다만 한 번 만들어본 근력은 처음 만들 때보다 빠르게 돌아온다.</t>
  </si>
  <si>
    <t>· 사이클당 2.5kg씩만 올라가도 20사이클이면 스쿼트가 예전 중량에 닿는다. 조급해할 이유가 없다.</t>
  </si>
  <si>
    <t>사용법</t>
  </si>
  <si>
    <t>· 1단계: D7~D10에 시작 중량을 입력한다 (기본값은 5년 전 중량의 40%).</t>
  </si>
  <si>
    <t>· 2단계: 증량기록 시트에서 사이클마다 달성 여부에 O / X를 입력한다.</t>
  </si>
  <si>
    <t>· 3단계: C4의 현재 사이클을 바꾸면 일차 시트의 웜업과 본세트 중량이 자동으로 따라온다.</t>
  </si>
  <si>
    <t>· 중량이 낮아 앞 세트와 겹치는 웜업은 '생략'으로 자동 표시된다 — 웜업 세트 수가 스스로 조정된다.</t>
  </si>
  <si>
    <t>· 20으로 표시되면 빈 봉이라는 뜻이다.</t>
  </si>
  <si>
    <t>12사이클 예상 진행 (X 입력이 없을 때)</t>
  </si>
  <si>
    <t>사이클</t>
  </si>
  <si>
    <t>1사이클</t>
  </si>
  <si>
    <t>2사이클</t>
  </si>
  <si>
    <t>3사이클</t>
  </si>
  <si>
    <t>4사이클</t>
  </si>
  <si>
    <t>5사이클</t>
  </si>
  <si>
    <t>6사이클</t>
  </si>
  <si>
    <t>7사이클</t>
  </si>
  <si>
    <t>8사이클</t>
  </si>
  <si>
    <t>9사이클</t>
  </si>
  <si>
    <t>10사이클</t>
  </si>
  <si>
    <t>11사이클</t>
  </si>
  <si>
    <t>12사이클</t>
  </si>
  <si>
    <t>· 위 표는 X 입력이 없다고 가정한 계획선이다. 실제 진행은 증량기록 시트가 결정한다.</t>
  </si>
  <si>
    <t>운동 프로그램 — 10일 주기 (A블록 4일 · 휴식 · B블록 4일 · 휴식)</t>
  </si>
  <si>
    <t>적용 시기: 재택 근무 기간 (~9월)  |  10일 주기 / 1일 1세션  |  1사이클부터 설계 볼륨 100% (볼륨램프 해제)  |  요일이 아니라 주기 안의 순서로 돈다</t>
  </si>
  <si>
    <t>일차</t>
  </si>
  <si>
    <t>내용</t>
  </si>
  <si>
    <t>메인 리프트</t>
  </si>
  <si>
    <t>주요 근육군</t>
  </si>
  <si>
    <t>예상 시간</t>
  </si>
  <si>
    <t>당기기 A (수직)</t>
  </si>
  <si>
    <t>—</t>
  </si>
  <si>
    <t>광배 · 승모(중부) · 기립근 · 복부</t>
  </si>
  <si>
    <t>밀기 A (수평)</t>
  </si>
  <si>
    <t>벤치프레스 5×5</t>
  </si>
  <si>
    <t>하체 A (무릎)</t>
  </si>
  <si>
    <t>스쿼트 5×5</t>
  </si>
  <si>
    <t>대퇴사두 · 햄스트링 · 둔근</t>
  </si>
  <si>
    <t>어깨·팔 A</t>
  </si>
  <si>
    <t>휴식</t>
  </si>
  <si>
    <t>당기기 B (수평)</t>
  </si>
  <si>
    <t>밀기 B (수직)</t>
  </si>
  <si>
    <t>밀리터리 3×5</t>
  </si>
  <si>
    <t>하체 B (고관절)</t>
  </si>
  <si>
    <t>데드리프트 1×5 + 백오프 2×5</t>
  </si>
  <si>
    <t>둔근 · 햄스트링 · 대퇴사두</t>
  </si>
  <si>
    <t>어깨·팔 B</t>
  </si>
  <si>
    <t>합계</t>
  </si>
  <si>
    <t>배치 논리</t>
  </si>
  <si>
    <t>· 10일 주기다. 1~4일차 A블록 · 5일차 완전휴식 · 6~9일차 B블록 · 10일차 완전휴식 · 다시 1일차. 네 패턴(당기기 · 밀기 · 하체 · 어깨팔)이 각각 A/B로 5일 간격.</t>
  </si>
  <si>
    <t>· 무거운 하체일 뒤가 둘 다 저부하다: 3일차 스쿼트 → 4일차 어깨·팔 A → 5일차 완전휴식, 8일차 데드 → 9일차 어깨·팔 B → 10일차 완전휴식. 어깨·팔 날은 척추 부하가 0이다.</t>
  </si>
  <si>
    <t>· 부위 간격이 5일로 완전히 균등하다 — 짝수 주기라 가능하다. 9일에서는 4일과 5일이 번갈아 왔다. 벤치(2) ↔ 밀리터리(7) · 스쿼트(3) ↔ 데드(8) · 당기기(1) ↔ (6) · 어깨·팔(4) ↔ (9).</t>
  </si>
  <si>
    <t>· 4·9일차 어깨·팔은 척추 부하 0인 고립일이다 — 33~38세트라 가벼운 날은 아니다. 다음 세션에 영향이 있으면 무게가 과한 것 — 세트가 아니라 무게를 내린다.</t>
  </si>
  <si>
    <t>· 연속 훈련은 최대 4일(1~4 · 6~9)이고 각 블록 4일째가 고립 세션이라 체감은 3일 → 가벼움 → 휴식이다.</t>
  </si>
  <si>
    <t>· 당기기 A(수직) / B(수평), 밀기 A(수평) / B(수직), 하체 A(무릎) / B(고관절), 어깨·팔 A / B. 같은 부위를 5일 뒤 다른 각도로 친다.</t>
  </si>
  <si>
    <t>· 기립근: 데드(8일차) + 덤벨 RDL(1일차). RDL은 20kg으로 가볍게 — 척추 부하가 아니라 자세 유지가 목적.</t>
  </si>
  <si>
    <t>10일 주기로 바꾸며 (2026-09-04 전환)</t>
  </si>
  <si>
    <t>· 4훈련 · 휴식 · 4훈련 · 휴식. 어깨(옛 8일차 40세트)를 다른 세 패턴처럼 A/B로 나눠 4 · 9일차에 두고, 1 · 2 · 5 · 6일차의 삼두 · 이두 · 전완을 그쪽으로 옮겼다. 종목 12개 이동, 세트는 한 개도 안 늘고 안 줄었다 — 239 그대로.</t>
  </si>
  <si>
    <t>· 세션이 24~38세트 · 67~73분으로 고르게 됐다. 9일 주기에서는 1일차 38 · 6일차 34(84분) · 8일차 40이었고 80분 넘는 날이 셋이었다. 이제 없다.</t>
  </si>
  <si>
    <t>· 시간 균등화(같은 날 추가): 디클라인 플라이(2일차) · 펙덱(7일차) → 4일차, 케이블 힙 외전(8일차) → 9일차, 스탠딩 카프(3일차) → 6일차. 4종목 13세트, 총량 불변. 분할 직후 57~80분이던 편차를 67~73분으로 좁혔다 — 남은 6분은 종목 하나 크기라 세트를 쪼개지 않는 한 더 못 좁힌다. 흉근이 2·4·7일차 셋으로 흩어졌고 종아리는 (1,6) 거울이 됐다.</t>
  </si>
  <si>
    <t>· 주당 환산 185.9 → 167.3. 볼륨을 뺀 게 아니라 같은 양을 하루 더 긴 달력에 편 것이다. 세트검산이 여러 부위를 '유지 미만'으로 띄우겠지만 그건 분모가 커진 산술이지 결핍이 아니다 — 총량 예산(세트검산 J2)이 239로 잠겨 있어 채워 넣을 수 없다.</t>
  </si>
  <si>
    <t>· 짝수 주기라 거울 슬롯이 생긴다: (1,6) 당기기 · (2,7) 밀기 · (3,8) 하체 · (4,9) 어깨·팔. 전부 5일 간격. 9일에서는 4일과 5일이 번갈아 왔다.</t>
  </si>
  <si>
    <t>· 최대 연속 훈련 4일은 그대로다. 휴식 비율은 2/9(22%) → 2/10(20%)로 조금 낮아졌지만, 각 블록 4일째가 고립 세션이라 실질 부담은 가볍다.</t>
  </si>
  <si>
    <t>· 12사이클 = 120일. 9일 기준 108일보다 12일 더 걸린다. 메인 리프트 목표 중량은 그대로고 도달 시점만 늦어진다.</t>
  </si>
  <si>
    <t>· 옮긴 종목은 원래 시트에서 지웠다(세트 0으로 남기지 않았다 — 한 시트에 회색 행이 셋씩 생겨서). 어디서 왔는지는 4 · 9일차 시트 노트와 이 항목이 기록한다.</t>
  </si>
  <si>
    <t>8일 주기로 바꾸며 치른 값 (2026-08-28 전환)</t>
  </si>
  <si>
    <t>· 달력과 어긋난다. 밀기 A(벤치)가 8일에 한 번씩 월요일에 걸린다 — 월요일 벤치 혼잡을 피하려던 원래 제약은 포기한 것이다.</t>
  </si>
  <si>
    <t>· 주당 볼륨이 12.5% 희석된다. 사이클당 세트 × 7/8 = 주당 환산. 세트검산 J열에 환산값을 두고 판정도 그 기준으로 한다.</t>
  </si>
  <si>
    <t>· 12사이클 = 96일로 12주(84일)보다 12일 길다. 메인 리프트 목표 중량은 그대로고 도달 시점만 늦어진다.</t>
  </si>
  <si>
    <t>· '이번 주'라는 단위가 사라진다. 지금이 몇 사이클인지는 시작중량_설정 C4에서, 몇 일차인지는 앱 탭에서 본다.</t>
  </si>
  <si>
    <t>· 되돌리려면: 9일차를 빼고 5일차 휴식을 맨 뒤로 옮기면 원래의 주 6일 배치다.</t>
  </si>
  <si>
    <t>주 단위 버전과의 차이</t>
  </si>
  <si>
    <t>· 총 세트 184 (사이클당) · 주당 환산 161. E열 실측.</t>
  </si>
  <si>
    <t>· 세션 상한은 26세트. 다만 고립 소근육 세트는 이 상한에서 예외로 본다 (2026-08-28 결정) — 컬 · 리스트 컬 · 푸쉬다운 · 레이즈처럼 관절 하나만 쓰고 세트당 1분이면 끝나는 종목은 세션 시간에도 전신 피로에도 큰 값을 붙이지 않기 때문이다. 그래서 1일차 27 · 6일차 27은 초과가 아니라 허용이다 (둘 다 팔 고립이 6·12세트씩 들어간 날).</t>
  </si>
  <si>
    <t>· 26 상한이 실제로 걸리는 날은 메인 리프트와 다관절 종목이 몰린 2일차(벤치 5×5)와 7일차(밀리터리 5×3)다. 여기서는 상한을 지킨다 — 2026-08-28에 2일차 바벨 컬 3세트를 넣을 때 디클라인 케이블 플라이를 0으로 내린 것이 그 적용이다.</t>
  </si>
  <si>
    <t>· 주요 부위 빈도 사이클당 2회, 5일 간격 균등. 팔은 3회 (이두 2·5·9일차 · 삼두 1·7일차) — 고립 소근육은 회복이 빨라 빈도를 더 준다.</t>
  </si>
  <si>
    <t>· 세션 상한과 별개로 한 세션 부위당 8~9세트 상한이 있다 — 그 위로는 앞 세트의 피로 위에 얹힌다. 예외는 둘: 2일차 흉근 합산 12세트(프레스 8 + 상부 편향 플라이 4, 고립 플라이는 프레스와 피로 중첩이 작아 허용), 9일차 후면 삼각근 9세트(종목을 셋으로 나눠 자극 축을 갈랐다).</t>
  </si>
  <si>
    <t>· 완전 휴식일은 5일차 하나 (8일에 1일 = 12.5%). 주 6일 버전의 7일에 1일(14.3%)보다 비율은 낮지만, 9일차가 30분 고립 세션이라 실질 회복 부담은 더 가볍다.</t>
  </si>
  <si>
    <t>빈도를 올린 이유</t>
  </si>
  <si>
    <t>· 한 세션에서 부위당 대략 8~10세트를 넘어가면 뒤쪽 세트는 앞의 피로 위에 얹혀 자극당 값이 떨어진다.</t>
  </si>
  <si>
    <t>· 5일 버전의 흉근 20 / 삼각근 21 / 광배 14는 그 구간을 넘어서 있었다.</t>
  </si>
  <si>
    <t>· 다만 "20세트 1회보다 10세트씩 2회가 낫다"는 직접 검증된 결과가 아니라 추론이다. 견고한 것은 "빈도를 올려도 손해는 없다" 정도.</t>
  </si>
  <si>
    <t>· 5년 공백 구간에서는 동작 반복 횟수 자체가 중요하다. 벤치·스쿼트 폼을 다시 배우는 시기이므로 빈도가 그 자체로 이득.</t>
  </si>
  <si>
    <t>F열 예상 시간 — 산정 기준</t>
  </si>
  <si>
    <t>· 본세트만 센 값이다. 웜업(회전근개 · 스캡 풀업 · 밴드 풀 어파트)과 메인 리프트 웜업 램프는 빠져 있으니 그만큼 더 잡을 것.</t>
  </si>
  <si>
    <t>· 계산식: 종목 시간 = 세트수 × (수행 + 휴식). 마지막 세트의 휴식은 다음 종목으로 넘어가는 전환 시간으로 친다.</t>
  </si>
  <si>
    <t>· 휴식 기준: 메인 본세트 3분 · 다관절 보조 2~2분 30초 · 하체 고립 2분 · 흉근 고립 105초 · 종아리 75초 · 팔·어깨 고립 60~75초 · 복부 60초.</t>
  </si>
  <si>
    <t>· 기준을 가르는 것은 근육 크기가 아니라 그 세트가 동원하는 근육량이다. 레그 익스텐션은 고립이어도 대퇴사두 전체를 쓰므로 2분이 필요하고, 레터럴은 60초면 된다.</t>
  </si>
  <si>
    <t>· 같은 스테이션에서 이어 하는 조합은 이동이 0이라 계산보다 빠르다 — 1일차 랫풀다운→페이스풀, 6일차 시티드 케이블 로우→스캡 슈러그, 7일차 머신 숄더→오버헤드 슈러그.</t>
  </si>
  <si>
    <t>· 시계보다 반복 수가 우선이다. 직전 세트보다 2회 이상 떨어지면 휴식이 짧은 것 — 특히 스쿼트·데드는 8사이클 넘어가면 3분으로 모자란다.</t>
  </si>
  <si>
    <t>범례</t>
  </si>
  <si>
    <t>파란 글씨 = 직접 입력하는 값 · 검은 글씨 = 수식 (건드리지 말 것) · 노란 칸 = 매 사이클 채워 넣는 칸</t>
  </si>
  <si>
    <t>E열 = 설계 세트 (100% 고정). 볼륨 램프 미사용 — 1사이클부터 이 값 그대로 수행.</t>
  </si>
  <si>
    <t>주의</t>
  </si>
  <si>
    <t>· 판단 기준: 이전 세션의 근육통이 안 빠지거나 메인 리프트에 X가 연속으로 뜨면 9일차 어깨를 0세트로 내린다 — 완전 휴식일이 둘이 되고 배치는 그대로 남는다.</t>
  </si>
  <si>
    <t>· 그래도 안 되면 하체 B를 빼고 그 종목을 하체 A와 당기기 B에 나눠 붙인다 — 데드는 당기기 B로. 그러면 7일 주기가 된다.</t>
  </si>
  <si>
    <t>· 9일차 어깨 (2026-08-28 · 4사이클 추가): 측면·후면이 MEV 근처였고 2·7일차가 세션 상한이라 별도 일차로 뺐다. 회복 판정이 흔들리면 여기부터 0으로 내린다 — 프로그램에서 가장 먼저 버릴 세션이다.</t>
  </si>
  <si>
    <t>· 8일 주기 전환 직후 2사이클은 회복 확인 구간으로 썼다. 7일 연속 구간(당시 5일차~다음 3일차)이 버티는지가 관건이었고, 안 버티면 9일차 어깨를 0세트로 내려 완전휴식일을 하나 더 만들기로 했었다. → 2026-09-04 결론: 중량은 계속 올랐지만 '좀 피곤하다'는 답이 나왔고, 마침 부족 부위 보강으로 볼륨을 얹으려던 참이라 10일차 완전휴식을 신설했다. 9일차를 0으로 내리는 대신 날을 하나 더 붙인 쪽을 택했다 — 어깨 볼륨은 2026-08-28에 MAV 하단으로 올려둔 것이라 없앨 수 없었다. 이제 3연속 · 휴식 · 4연속 · 휴식이다.</t>
  </si>
  <si>
    <t>세트별 휴식 램프 (2026-09-04 추가)</t>
  </si>
  <si>
    <t>· M열 '세트별 휴식(초)'에 "150/170/190/215/240"처럼 적으면 타이머가 세트마다 그 값을 쓴다. 비어 있으면 H열 한 값을 전 세트에 쓴다 — 종전과 같다.</t>
  </si>
  <si>
    <t>· 피로는 세트가 쌓이며 누적된다. 5×5가 무너지는 자리는 늘 4~5세트째다. 앞 세트에서 덜어 뒤 세트에 주면 평균이 같으므로 세션 시간은 그대로인데 마지막 세트의 볼륨 로드가 산다.</t>
  </si>
  <si>
    <t>· 넣은 곳 — 스쿼트 · 벤치 · 밀리터리 · 딥스 · 친업. 데드는 본세트가 1세트라 세트 간 휴식 자체가 없다. 늘릴 것이 있다면 웜업 램프 간격이다.</t>
  </si>
  <si>
    <t>· 스쿼트만 평균을 180 → 193으로 올렸다 (5세트째 240초). 5세트째에 주의가 흩어져 자세가 무너지고 무릎이 시큰했던 건이 근거다 — 피로가 적을수록 그런 순간에 버틸 여유가 남는다.</t>
  </si>
  <si>
    <t>· H열은 반드시 램프의 평균으로 둔다. I열 '종목 분' 수식이 E×(G+H)/60이라 평균이 어긋나면 예상 시간이 통째로 틀어진다.</t>
  </si>
  <si>
    <t>· 확장은 달력이 아니라 실패에 반응시킨다 — 본세트 목표 반복을 처음 놓친 사이클에 그 종목 마지막 세트에만 +30초. 상한에 닿고도 미달이면 그때가 중량을 멈출 때다.</t>
  </si>
  <si>
    <t>· 상한 — 스쿼트 300초 · 벤치/밀리터리 240초 · 로우 계열 180초 · 친업/딥스 180초 · 푸쉬업 계열 90초. 그 위로는 근비대 이득이 사실상 없고 세션 시간만 먹는다.</t>
  </si>
  <si>
    <t>· 휴식은 일회성 자원이다. 3분 → 5분은 되지만 5분 → 10분은 안 된다. 상대강도가 낮은 지금 다 써버리면 중량이 붙었을 때 꺼낼 카드가 없다.</t>
  </si>
  <si>
    <t>· 중량과 휴식을 같이 올리면 기록 갱신이 힘이 는 건지 잘 쉰 탓인지 구분이 안 된다. 정체가 왔을 때 무엇을 건드릴지 못 정하게 되므로 한 번에 하나만 움직인다.</t>
  </si>
  <si>
    <t>슈퍼세트 열 (2026-09-04 추가)</t>
  </si>
  <si>
    <t>· 종목표 오른쪽 '슈퍼세트' 칸에 같은 글자(예: A)를 붙인 이웃 종목끼리 한 묶음이 되어, 타이머가 세트를 번갈아 돈다 — A1 → A2 → 휴식 → A1 → A2 → …</t>
  </si>
  <si>
    <t>· 휴식(초)의 뜻은 그대로다: '이 종목 세트 뒤에 오는 쉼'. 그래서 묶음 앞쪽에는 전환 시간을, 마지막 종목에는 라운드 간 휴식을 적는다. '종목 분' 수식도 손댈 필요가 없다.</t>
  </si>
  <si>
    <t>· 첫 적용 — 3일차 이너 타이(전환 10초) + 아우터 타이(휴식 105초). 겸용 머신이라 패드만 뒤집으면 되어 전환 비용이 사실상 0이다.</t>
  </si>
  <si>
    <t>· 길항근 쌍일 때만 묶어라. 같은 근육을 두 종목으로 묶으면 뒤쪽이 앞쪽 피로 위에 얹혀 자극당 값이 떨어진다 — 시간은 아끼지만 세트를 버리는 셈이 된다.</t>
  </si>
  <si>
    <t>· 묶음 안의 세트 수는 달라도 된다. 모자란 쪽은 그 라운드에서 빠진다.</t>
  </si>
  <si>
    <t>· 앱에서는 묶음의 어느 종목을 눌러도 그 묶음의 처음부터 시작한다 — 라운드 중간에서 시작하면 짝이 어긋나기 때문이다.</t>
  </si>
  <si>
    <t>1일차 — 당기기 A (수직)</t>
  </si>
  <si>
    <t>광배 위쪽 · 견갑골 하강 · 전완 · 삼두. 6일차 당기기 B(수평)와 각도를 나눈다.</t>
  </si>
  <si>
    <t>웜업 — 스캡 풀업 2세트 × 5~8 (세트 카운트 제외): 팔은 편 채 견갑골만 하강, 여유 있게(실패 4회+ 전 종료). 친업 직전 견갑 하강 프라이밍.</t>
  </si>
  <si>
    <t>친업 (어시스트 가능)</t>
  </si>
  <si>
    <t>광배</t>
  </si>
  <si>
    <t>6~8</t>
  </si>
  <si>
    <t>수직 당기기 메인. 광배 위쪽 섬유 비중이 큼</t>
  </si>
  <si>
    <t>어시스트 풀업 머신 (개수가 안 나올 때) / 뉴트럴 그립 친업 (팔꿈치가 편함) / 랫풀다운</t>
  </si>
  <si>
    <t>135/145/160/180</t>
  </si>
  <si>
    <t>랫풀다운</t>
  </si>
  <si>
    <t>뉴트럴 그립 랫풀다운 / 원암 랫풀다운 (좌우 독립) / 케이블 풀오버 (이두 개입 최소)</t>
  </si>
  <si>
    <t>바벨 로우(스미스)(그립 넓게)</t>
  </si>
  <si>
    <t>승모(중부)·능형근</t>
  </si>
  <si>
    <t>맨몸</t>
  </si>
  <si>
    <t>8~10</t>
  </si>
  <si>
    <t>전거근</t>
  </si>
  <si>
    <t>그립을 어깨너비보다 넓게 — 팔꿈치를 45~90°로 벌려 견갑골을 모으는 종목이다. 주동근은 능형근·중부승모이고 광배는 협력근으로 계상한다(간접 0.5). 팔꿈치를 몸통에 붙여 당기면 광배 종목이 되어 같은 날 친업·랫풀다운과 겹친다 — 그러라고 넣은 자리가 아니다. [2026-09-04 라벨 정정: 광배 → 승모(중부)·능형근. 세트 수는 그대로 4]</t>
  </si>
  <si>
    <t>스캡 랫풀다운 (앉아서) / 어시스트 풀업 머신에서 스캡 풀업 / 바에 매달려 정지 3초</t>
  </si>
  <si>
    <t>페이스풀(로프)</t>
  </si>
  <si>
    <t>삼각근(후면) · 외회전근</t>
  </si>
  <si>
    <t>수평 후인 + 외회전. 랫풀다운과 같은 케이블 스테이션에서 높이만 올려 이어서 한다. 팔꿈치를 어깨 높이로 유지하고 마지막에 손등이 뒤로 돌아갈 때까지 외회전을 끝낼 것 — 외회전을 빼면 그냥 후면삼각 종목이 되어 6일차와 겹친다. 무게 욕심 내면 승모 상부가 다 가져간다. 수직 당기기 날이지만 승모 중부 사이클당 2회(6일차와 5일 간격)를 만들기 위한 배치이며, 10~15kg으로 가벼워 친업·랫풀다운의 광배 자극과 경쟁하지 않는다. 덤벨 RDL과 같은 성격의 예외 배치.</t>
  </si>
  <si>
    <t>로프 페이스풀 (1순위) / 밴드 페이스풀 (케이블 자리가 없을 때) / 리버스 펙덱을 팔 편 채로 + 케이블 외회전 별도 (외회전 성분을 분리 수행)</t>
  </si>
  <si>
    <t>바벨 컬</t>
  </si>
  <si>
    <t>30~35</t>
  </si>
  <si>
    <t>[2026-08-28 — 이 종목은 2일차 밀기 A로 옮겨 3세트로 되살아났다. 당기기 날은 친업·랫풀다운으로 이두가 이미 간접 3.5세트분 지친 뒤라 컬을 두기에 나쁜 자리였다. 이 행은 기록으로만 남긴다]</t>
  </si>
  <si>
    <t>EZ바 컬 (손목이 편함) / 케이블 컬 (전 구간 장력) / 해머 컬 (상완요골근 동시)</t>
  </si>
  <si>
    <t>라잉 레그 레이즈</t>
  </si>
  <si>
    <t>복부</t>
  </si>
  <si>
    <t>복부 굴곡(하부). 바닥에 누워 다리를 모은 채 들어올린다 — 허리가 뜨면 장요근 종목이 되므로 손을 엉덩이 밑에 받쳐 골반을 후방경사로 고정하고, 내릴 때 발이 바닥에 닿기 전에 멈춰 장력을 유지한다. 6일차 중량 크런치(상부)와 굴곡 축을 나눈다. [2026-09-02 — 변형 4가지 서킷에서 일반 라잉 레그 레이즈로 환원. 세트당 100회·150초라 4세트가 14분으로 이 세션에서 가장 긴 종목이었고, 변형마다 자극 부위가 흩어져 하부 굴곡 한 축에 집중되지 않았다. 종목 분 14.0 → 6.7]</t>
  </si>
  <si>
    <t>캡틴 체어 레그 레이즈 (그립·허리 부담 없음 — 1순위) / 행잉 레그 레이즈 (가장 어렵다, 그립이 먼저 나감) / 리버스 크런치 (골반을 말아 올려 하부 집중) / 라잉 레그 레이즈 변형 4가지 https://www.youtube.com/watch?v=BGaOGtfTKPc</t>
  </si>
  <si>
    <t>케이블 트렁크 로테이션</t>
  </si>
  <si>
    <t>[2026-09-04 신설] 복부의 네 번째 축 — 회전. 그동안 굴곡(상·하)과 항신전만 있고 회전은 통째로 비어 있었다. **뒷발 뒤꿈치를 돌려 골반이 상체를 따라가게 한다** — 골반을 고정한 채 돌리면 회전이 요추 하나에 몰린다(앉아서 하는 트렁크 로테이션 머신을 안 쓰는 이유가 이것이다). **팔은 고정하고 몸통으로 돌린다** — 팔로 당기면 어깨 운동이 된다. 무게는 가볍게, 통제되는 범위에서. 6일차 중량 크런치를 6→3으로 내리며 이쪽으로 옮겨온 자리다. 왜 1일차인가 — 10일차 휴식 다음 날이라 척추가 가장 신선하다. 9일차는 데드(8일차) 다음 날이고 "척추 부하 0"이 그 날의 설계 근거라 회전을 얹지 않았다.</t>
  </si>
  <si>
    <t>케이블 우드촙 (하이 투 로우) / 팔로프 프레스 (항회전) / 밴드 트렁크 로테이션</t>
  </si>
  <si>
    <t>카프 레이즈 (스탠딩)</t>
  </si>
  <si>
    <t>10</t>
  </si>
  <si>
    <t>[2026-09-04 신설] 종아리를 성장 구간(주당 10)으로 올리려고 3일차·8일차에 이어 세 번째 자리를 만들었다. 무릎 편 상태라 비복근 쪽. 당기기 날에 둔 이유는 하체날 두 곳이 이미 가장 긴 세션이라 더 얹지 않기로 해서다 — 종아리는 고립이라 어느 날에 있든 상관없다.</t>
  </si>
  <si>
    <t>레그 프레스 카프 (기계가 비었을 때) / 스미스 카프 레이즈</t>
  </si>
  <si>
    <t>덤벨 루마니안 데드리프트</t>
  </si>
  <si>
    <t>기립근</t>
  </si>
  <si>
    <t>둔근·햄스트링</t>
  </si>
  <si>
    <t>기립근 보조. 20kg으로 가볍게 — 무게를 올리면 햄스트링 종목이 되고 척추 부하도 같이 올라간다. 데드(8일차)와 이틀 간격이라 이 자리가 맞다 [2026-09-04 3→6→3] 백 익스텐션이 없던 동안 기립근을 늘릴 수단이 이것뿐이라 6으로 올렸다가, 기구를 쓸 수 있다는 확인을 받고 3으로 되돌렸다. 힌지를 두 배로 하는 것보다 기립근 전용 종목을 따로 두는 편이 척추 부하도 낮고 자극도 곧다. [2026-09-04 순서 변경: 백 익스텐션과 자리를 맞바꿔 10번이 됐다]</t>
  </si>
  <si>
    <t>케이블 풀스루 (척추 압박 최소) / 굿모닝 (빈 봉~40kg, 가볍게) / 45도 하이퍼익스텐션 벤치 (있는 경우) / 스티프 레그드 데드리프트. 어느 쪽이든 가볍게 — 성장이 아니라 자세 유지가 목적</t>
  </si>
  <si>
    <t>백 익스텐션 (45도)</t>
  </si>
  <si>
    <t>[2026-09-04 순서 변경] 기구가 옆 체육관에 있어 세션 맨 마지막으로 내렸다 — 본 체육관 일을 전부 끝내고 이동한다. 앞으로 종목을 추가할 때 이 뒤에 붙이지 말 것. 45도 백 익스텐션, 이 프로그램의 원래 설계 종목이었는데 기구를 못 써서 덤벨 RDL로 대체해 뒀던 것을 되돌렸다. **척추 신전을 강조해서 한다** — 등을 편 채 고관절만 접는 힌지식으로 하면 둔근·햄스트링이 주동근이 되고 기립근은 버티기만 한다. 옆 체육관까지 갔는데 그러면 헛걸음이다.</t>
  </si>
  <si>
    <t>원판 5~10kg 안고 (맨몸이 쉬워지면) / 굿모닝(스미스) / 덤벨 루마니안 데드리프트</t>
  </si>
  <si>
    <t xml:space="preserve"> </t>
  </si>
  <si>
    <t>2일차 — 밀기 A (수평)</t>
  </si>
  <si>
    <t>메인: 벤치프레스</t>
  </si>
  <si>
    <t>반복</t>
  </si>
  <si>
    <t>↑ '시작중량_설정'과 자동 연동. 20 = 빈 봉. '생략'은 앞 세트와 중량이 겹쳐 불필요하다는 뜻.</t>
  </si>
  <si>
    <t>웜업 — 회전근개 (세트 카운트 제외)</t>
  </si>
  <si>
    <t>· 케이블 외회전 2세트 × 12~15회. 팔꿈치 90도로 접어 옆구리에 붙이고 바깥으로만 회전.</t>
  </si>
  <si>
    <t>· 매우 가볍게 — 2.5~5kg. 무거우면 광배와 후면 삼각근이 대신 일하며 목적을 잃는다.</t>
  </si>
  <si>
    <t>· 근비대 항목이 아니라 관절 준비 항목이므로 세트 합계에 넣지 않는다.</t>
  </si>
  <si>
    <t>벤치프레스 (본세트)</t>
  </si>
  <si>
    <t>흉근(중하부)</t>
  </si>
  <si>
    <t>5</t>
  </si>
  <si>
    <t>삼두·전면삼각</t>
  </si>
  <si>
    <t>현재 최우선 종목. 사이클당 2.25kg 마이크로로딩. 여기가 무너지면 그 사이클 나머지를 줄인다</t>
  </si>
  <si>
    <t>스미스 벤치프레스 (궤도 고정) / 체스트 프레스 머신 / 플로어 프레스 (어깨가 아플 때)</t>
  </si>
  <si>
    <t>150/165/180/195/210</t>
  </si>
  <si>
    <t>딥스</t>
  </si>
  <si>
    <t>70 10개 채움</t>
  </si>
  <si>
    <t>상체 앞으로 기울여 흉근 비중 확보. 쉬워지면 벨트로 중량 추가</t>
  </si>
  <si>
    <t>어시스트 딥스 머신 / 디클라인 덤벨 프레스 / 체스트 딥스 머신  https://www.youtube.com/shorts/1tQQKeAMwr0</t>
  </si>
  <si>
    <t>인클라인 벤치프레스(스미스)</t>
  </si>
  <si>
    <t>흉근(상부)</t>
  </si>
  <si>
    <t>30</t>
  </si>
  <si>
    <t>삼두 · 삼각근(전면)</t>
  </si>
  <si>
    <t>인클라인 바벨 벤치프레스 / 인클라인 덤벨 프레스 / 인클라인 벤치프레스 머신</t>
  </si>
  <si>
    <t>인클라인 덤벨 플라이(혹은 벡덱플라이 머신으로)</t>
  </si>
  <si>
    <t>10~12</t>
  </si>
  <si>
    <t>프레싱 뒤 고립. 늘어난 구간에서 멈추지 말고 부드럽게 [2026-09-04 4→7] 흉근 상부 보강(주당 7.0 → 10.1). 7일차 인클라인 머신과 함께 사이클당 2회. [2026-09-04 7→4] 같은 날 인클라인 벤치프레스(스미스) 3세트를 새로 두면서 나눴다. 흉근 상부 직접 합계는 그대로다.</t>
  </si>
  <si>
    <t>케이블 크로스오버 (아래→위) / 펙덱 플라이 (등받이를 눕혀 인클라인 각으로) / 인클라인 머신 플라이</t>
  </si>
  <si>
    <t>레터럴 레이즈</t>
  </si>
  <si>
    <t>케이블 레터럴 레이즈 (전 구간 장력) / 레터럴 레이즈 머신 / 라잉 레터럴</t>
  </si>
  <si>
    <t>리버스 펙덱플라이</t>
  </si>
  <si>
    <t>https://www.youtube.com/shorts/Et70PVUQpDE</t>
  </si>
  <si>
    <t>3일차 — 하체 A (무릎 지배)</t>
  </si>
  <si>
    <t>스쿼트 · 레그프레스 중심. 8일차 하체 B(고관절 지배)와 5일 간격.</t>
  </si>
  <si>
    <t>메인: 스쿼트</t>
  </si>
  <si>
    <t>스쿼트 (본세트)</t>
  </si>
  <si>
    <t>대퇴사두</t>
  </si>
  <si>
    <t>둔근·기립근</t>
  </si>
  <si>
    <t>무릎 지배 메인. 데드(8일차)와 5일 간격이라 기립근이 회복된 상태에서 친다</t>
  </si>
  <si>
    <t>스미스 스쿼트 / 핵 스쿼트 (대퇴사두 집중) / 프론트 스쿼트 / 벨트 스쿼트 (척추 부하 없음)</t>
  </si>
  <si>
    <t>150/170/190/215/240</t>
  </si>
  <si>
    <t>레그 프레스</t>
  </si>
  <si>
    <t>둔근</t>
  </si>
  <si>
    <t>수/토 3+3 분할. 궤도 고정이라 대퇴사두가 확실히 한계까지 간다. 발판 위치는 중간</t>
  </si>
  <si>
    <t>핵 스쿼트 / 레그 익스텐션 (완전 고립) / 프론트 스쿼트</t>
  </si>
  <si>
    <t>불가리안 스플릿 스쿼트</t>
  </si>
  <si>
    <t>10 (좌우)</t>
  </si>
  <si>
    <t>대퇴사두·중둔근</t>
  </si>
  <si>
    <t>한 다리 지지라 관상면 안정화가 함께 들어온다</t>
  </si>
  <si>
    <t>덤벨 런지 / 워킹 런지 / 스텝업 / 리버스 런지 (무릎 부담 ↓)</t>
  </si>
  <si>
    <t>레그 컬</t>
  </si>
  <si>
    <t>햄스트링</t>
  </si>
  <si>
    <t>라잉 레그 컬 · 시티드 레그 컬 (시티드가 늘어난 구간을 더 씀) / 노르딕 햄 컬</t>
  </si>
  <si>
    <t>이너 타이</t>
  </si>
  <si>
    <t>내전근</t>
  </si>
  <si>
    <t>내전근 직접 종목은 이것뿐. 스쿼트·레그프레스·불가리안이 간접 5.5를 채워 주므로 실질은 이미 하한 위다. [2026-09-04 — 아우터 타이와 슈퍼세트로 묶었다. 겸용 머신이라 패드만 뒤집으면 되어 전환이 10초다. 휴식 105 → 10초는 그 전환 시간이고, 라운드 간 휴식은 아우터 쪽 105초가 맡는다. 길항근 쌍이라 서로의 피로를 나눠 갖지 않으며, 각 근육 입장에서는 자기 세트 간격이 오히려 155초로 늘어난다]</t>
  </si>
  <si>
    <t>와이드 스탠스 레그 프레스 / 코사크 스쿼트 / 케이블 힙 내전</t>
  </si>
  <si>
    <t>A</t>
  </si>
  <si>
    <t>아우터 타이 (힙 외전)</t>
  </si>
  <si>
    <t>관상면 외전. [2026-09-04 부활 — v18에서 8일차로 보냈던 자리를 이너 타이와의 슈퍼세트로 되살렸다. 중둔근이 직접 3 · 간접 1.0으로 주당 환산 3.5, 프로그램 최하위였다. 여기 4세트로 주당 7.0 · 사이클당 2회(3일차·8일차, 간격 4일)가 된다. 8일차 케이블 힙 외전은 그대로 둔다 — 앉아서 고관절 굽힌 채(여기)와 서서 편 채(8일차)는 각도가 다르다. 반드시 양측 동시 머신으로 — 케이블 좌우 버전은 수행 80초라 40초짜리 이너와 라운드가 안 맞는다]</t>
  </si>
  <si>
    <t>힙 어브덕션 머신 (겸용 머신이 없을 때) / 케이블 힙 외전 (좌우 — 슈퍼세트로는 부적합) / 밴드 몬스터 워크 / 사이드 라잉 힙 외전</t>
  </si>
  <si>
    <t>앱휠 롤아웃</t>
  </si>
  <si>
    <t>항신전. 다음날이 당기기 B라 브레이싱 손실이 문제되지 않는다</t>
  </si>
  <si>
    <t>애브 롤아웃 / 사이드 플랭크 / 팔로프 프레스 (항회전)</t>
  </si>
  <si>
    <t>4일차 — 어깨·팔 A</t>
  </si>
  <si>
    <t>머신 레터럴 레이즈</t>
  </si>
  <si>
    <t>덤벨 레터럴 (머신 없을 때 — 몸 옆이 아니라 살짝 앞) / 케이블 레터럴 양팔 크로스</t>
  </si>
  <si>
    <t>와이드 그립 케이블 업라이트 로우</t>
  </si>
  <si>
    <t>승모(상부)</t>
  </si>
  <si>
    <t>레이즈 계열과 달리 팔꿈치를 굽힌 채 당기는 궤적이라 측면의 다른 섬유가 동원되고, 승모 상부가 같이 온다 (승모 상부는 사이클당 3세트로 하한 미달이라 이 겸용이 값을 한다). 그립은 어깨너비보다 넓게, 팔꿈치는 가슴 높이까지만 — 좁은 그립으로 턱까지 올리면 견봉하 공간이 좁아진다.</t>
  </si>
  <si>
    <t>EZ바 와이드 업라이트 로우 / 스미스 업라이트 로우 / 케이블 Y 레이즈 (충돌이 느껴질 때)</t>
  </si>
  <si>
    <t>케이블 리버스 플라이</t>
  </si>
  <si>
    <t>중부승모·능형근</t>
  </si>
  <si>
    <t>팔을 편 채 수평으로만 벌린다. 케이블이라 수축 지점에서도 장력이 유지된다. 팔꿈치가 어깨선을 크게 지나가면 후면 삼각근에서 능형근으로 넘어간다.</t>
  </si>
  <si>
    <t>리버스 펙덱 (2일차와 같은 머신이면 그립만 바꿔 각도를 나눈다) / 벤트오버 케이블 크로스</t>
  </si>
  <si>
    <t>리어 델트 로우 (로프)</t>
  </si>
  <si>
    <t>팔꿈치를 어깨 높이로 벌린 채 당긴다. 4·5번이 팔을 편 수평 외전이라면 이쪽은 굽힌 채 당기기라 모멘트암과 동원 섬유가 다르다 — 한 세션에 후면 9세트를 넣으면서 자극이 겹치지 않게 하는 축이 이것이다. 팔꿈치가 몸통 옆으로 붙으면 광배 로우가 된다.</t>
  </si>
  <si>
    <t>와이드 그립 시티드 케이블 로우 (팔꿈치 벌려) / 페이스풀 (외회전까지 포함) / 머신 로우 와이드 그립</t>
  </si>
  <si>
    <t>디클라인 케이블 플라이</t>
  </si>
  <si>
    <t>펙덱 플라이</t>
  </si>
  <si>
    <t>25~30</t>
  </si>
  <si>
    <t>케이블 크로스오버 / 플랫 벤치 덤벨 플라이 (가동범위 ↑) / 머신 체스트 플라이</t>
  </si>
  <si>
    <t>케이블 푸쉬다운 (로프)</t>
  </si>
  <si>
    <t>V바 푸쉬다운 (손목이 편함) / 오버헤드 케이블 익스텐션 (장두 — 7일차와 겹치므로 차선) / 덤벨 킥백 / 벤치 딥스 (케이블이 없을 때)</t>
  </si>
  <si>
    <t>20~25</t>
  </si>
  <si>
    <t>밀기 날에 이두를 넣는 이유는 1일차 푸쉬다운과 같다 — 이 세션에서 이두는 전혀 안 쓰이므로 완전히 신선하다. 이두 직접이 6 → 9세트, 사이클당 2회 → 3회가 된다 (2일차 · 6일차 · 9일차, 간격 3-3-2일). 6일차 프리쳐(반동 차단 · 짧아진 구간) · 9일차 인클라인(늘어난 구간)과 달리 여기는 선 자세 전 구간이라 무게를 가장 많이 건다. 반동 쓰지 말 것 — 상체를 뒤로 젖히면 이두가 아니라 기립근 종목이 된다. 팔꿈치는 몸통 옆에 고정. [2026-08-28 추가 — 1일차에 0세트로 접혀 있던 종목을 이 자리로 되살린 것]</t>
  </si>
  <si>
    <t>EZ바 컬 (손목이 편함) / 케이블 바 컬 (전 구간 장력 유지) / 머신 컬 / 덤벨 컬 양팔 동시</t>
  </si>
  <si>
    <t>시티드 리스트 컬(손등 위)</t>
  </si>
  <si>
    <t>케이블 리버스 리스트 컬 / 리버스 EZ바 컬 (상완요골근까지) / 덤벨로 한 손씩</t>
  </si>
  <si>
    <t>35</t>
  </si>
  <si>
    <t>와이드 스탠스 레그 프레스 / 케이블 힙 내전</t>
  </si>
  <si>
    <t>케이블 힙 외전 / 밴드 사이드 워크</t>
  </si>
  <si>
    <t>4일차 원칙</t>
  </si>
  <si>
    <t>· 2026-09-04 4-1-4-1 전환으로 신설. 옛 8일차 어깨 40세트를 A/B로 나누고 1·2일차에서 삼두 · 이두 · 전완을 가져왔다. 세트는 한 개도 안 늘었다 — 총량 예산 239 안에서 자리만 옮긴 것이다.</t>
  </si>
  <si>
    <t>· 시간 균등화(같은 날)로 흉근 플라이 2종(디클라인 케이블 · 펙덱)이 2·7일차에서 왔다. 벤치 이틀 뒤 고립 6세트 — 흉근이 2·4·7일차 셋으로 흩어진다. "볼륨을 여러 날로 흩는 쪽이 낫지만 자리가 없었다"던 그 자리가 생긴 것이다.</t>
  </si>
  <si>
    <t>· 3일차 스쿼트 다음 날이자 5일차 휴식 앞. 척추 부하 0 — 이 자리에 있는 이유다.</t>
  </si>
  <si>
    <t>· 실패지점 1~2회 남기고 멈춘다. 세트 간 휴식 60~80초. 메인 리프트 없음 — 볼륨을 채우는 날이지 무게를 올리는 날이 아니다.</t>
  </si>
  <si>
    <t>· 바벨 컬은 2일차 밀기에서 왔다. "당기기 뒤 지친 이두를 피한다"는 원래 이유는 팔 전용일이 생기며 해소됐고, 2일차는 82분 → 76분으로 시간 상한 안에 들어왔다.</t>
  </si>
  <si>
    <t>· 이너·아우터 타이는 겸용 머신 슈퍼세트(A). 3일차와 같은 방식이고, 옛 8일차에서 그대로 옮겨 왔다.</t>
  </si>
  <si>
    <t>· E열을 0으로 내리면 회색으로 접히고 합계 · 세트검산에서 빠진다. 다만 그 세트는 예산에서 사라지는 게 아니라 어딘가로 돌아가야 한다 — 잔여 예산이 양수로 뜨면 그 신호다.</t>
  </si>
  <si>
    <t>6일차 — 당기기 B (수평)</t>
  </si>
  <si>
    <t>웜업 — 밴드 풀 어파트 2세트 × 15 (세트 카운트 제외): 가볍게, 견갑골 후인 프라이밍. 대체: 케이블 스캡 로우 / 아주 가벼운 페이스풀.</t>
  </si>
  <si>
    <t>해머 스트랭스 로우(오버그립)</t>
  </si>
  <si>
    <t>중부승모·이두</t>
  </si>
  <si>
    <t>수평 당기기 메인. 가슴이 받쳐져 허리 부담이 없다. 그립은 넓게 · 팔꿈치는 벌려서 — 견갑 후인이 주동이라 능형근·중부승모로 계상하고 광배는 협력근이다(간접 0.5). [2026-09-04 라벨 정정: 광배 → 승모(중부)·능형근. 세트 수는 그대로 4]</t>
  </si>
  <si>
    <t>체스트 서포티드 로우 / 티바 로우 / 펜들레이 로우 (척추 부하 ↑) / 바벨 로우</t>
  </si>
  <si>
    <t>시티드 케이블 로우</t>
  </si>
  <si>
    <t>원암 케이블 로우 (좌우 독립) / 덤벨 로우 / 머신 로우</t>
  </si>
  <si>
    <t>시티드 케이블 로우 스캡 슈러그(두번째 크기 바)</t>
  </si>
  <si>
    <t>후면 삼각근</t>
  </si>
  <si>
    <t>해머 스트랭스 로우에서 팔 편 채 견갑골만 — 가슴 패드가 상체를 고정해줘 자세 잡기는 더 쉬우나 무게 미세 조정이 어렵다 / 리버스 펙덱을 팔 편 채로 / 켈소 슈러그 (받침 벤치가 있을 때)</t>
  </si>
  <si>
    <t>후면 삼각근은 프레스로 자라지 않는다 — 반드시 별도로 센다 [v17 제외 — 후면은 2일차 4 · 7일차 3 · 9일차 9로 사이클당 3회 16세트 — 이 행은 그 재편으로 비워둔 자리다]</t>
  </si>
  <si>
    <t>리버스 펙덱 (자세 유지가 쉬워 사실상 상위 호환) / 페이스풀 / 인클라인 벤치 리어델트 레이즈</t>
  </si>
  <si>
    <t>프리쳐 컬</t>
  </si>
  <si>
    <t>EZ바 프리처 컬 / 머신 프리처 컬 / 컨센트레이션 컬</t>
  </si>
  <si>
    <t>트랩바 슈러그</t>
  </si>
  <si>
    <t>전완 · 기립근</t>
  </si>
  <si>
    <t>몸 옆에서 잡는 중립 그립이라 견갑골이 전인되지 않는다 — 바벨(몸 앞)보다 승모 상부 섬유 방향에 맞고 가동범위도 더 나온다. 어깨를 위로만, 돌리지 말 것 (회전은 가동범위를 늘리는 게 아니라 견봉하 공간만 좁힌다). 맨 위에서 1초 정지 — 정지 없이 하면 반동으로 끝난다. 턱은 당기고 목은 중립 (목을 앞으로 빼면 경추 신전근이 일한다). 그립이 승모보다 먼저 나가므로 스트랩 권장 — 전완은 이미 주 7세트 직접으로 충족돼 여기서 그립을 훈련할 이유가 없다. #8 자리인 이유: 앞의 로우 7세트 + 스캡 슈러그로 그립이 지쳐 있어 프리쳐 컬·리스트 컬보다 뒤에 와야 연쇄 피해가 없다. 7일차 오버헤드 슈러그(승모 하부·상방회전)와는 다른 근육이므로 대체가 아니라 추가다.</t>
  </si>
  <si>
    <t>덤벨 슈러그 (트랩바 없을 때 — 몸 옆 그립 동일) / 스미스 슈러그 (궤도 고정) / 바벨 슈러그 (몸 앞이라 가동범위 약간 손해) / 케이블 슈러그</t>
  </si>
  <si>
    <t>오버헤드 슈러그(스미스)</t>
  </si>
  <si>
    <t>20</t>
  </si>
  <si>
    <t>오버헤드 케이블 슈러그 / 프론 Y 레이즈</t>
  </si>
  <si>
    <t>스탠딩 카프 레이즈 머신 / 레그 프레스 발판 끝에서 / 스미스 카프 레이즈</t>
  </si>
  <si>
    <t>중량 크런치</t>
  </si>
  <si>
    <t>케이블 크런치 (점진적 과부하에 최적 — 1순위) / 압도미널 크런치 머신 / 인클라인 싯업</t>
  </si>
  <si>
    <t>7일차 — 밀기 B (수직)</t>
  </si>
  <si>
    <t>메인: 밀리터리 프레스</t>
  </si>
  <si>
    <t>밀리터리 프레스 (본세트)</t>
  </si>
  <si>
    <t>벤치와 5일 간격 — 5일 버전의 "전날 벤치 여파" 문제가 사라진 자리. 팔꿈치 다 내리지 말 것</t>
  </si>
  <si>
    <t>스미스 오버헤드 프레스 / 숄더 프레스 머신 / 덤벨 숄더 프레스 (가동범위 ↑) / 아놀드 프레스</t>
  </si>
  <si>
    <t>165/180/195</t>
  </si>
  <si>
    <t>승모 · 삼각근(측면)</t>
  </si>
  <si>
    <t>주동은 전면이나 오버헤드라 측면도 상당히 쓴다. 그립 넓게 — 좁으면 승모가 대신 일한다</t>
  </si>
  <si>
    <t>덤벨 숄더 프레스 / 스미스 오버헤드 프레스 / 아놀드 프레스</t>
  </si>
  <si>
    <t>머신 숄더 프레스 직후 — 오버헤드 각도가 이미 나와 있어 세팅 이동이 없다. 팔꿈치 편 채 견갑골만 2~3cm 위로. 팔꿈치가 굽으면 그건 프레스지 슈러그가 아니다</t>
  </si>
  <si>
    <t>스미스 오버헤드 슈러그 (1순위 — 궤도 고정으로 안정화 부담 없음) / 숄더 프레스 머신에서 팔 편 채 밀어올리기 / 덤벨 오버헤드 슈러그 (좌우 독립이나 안정화가 먼저 한계에 닿는다) / 케틀벨 보텀업 홀드</t>
  </si>
  <si>
    <t>헤머스트랭스 체스트 프레스</t>
  </si>
  <si>
    <t>좌우 독립 + 궤도 고정. 벤치(2일차)가 수평 메인이므로 여기선 보조 볼륨 [v17 제외 — 흉근 합산 천장(19→16) 감량, 벤치·딥스·인클라인이 담당]</t>
  </si>
  <si>
    <t>케이블 체스트 프레스 (전 구간 장력) / 덤벨 프레스 (가동범위 ↑) / 스미스 벤치는 대체 불가</t>
  </si>
  <si>
    <t>인클라인 벤치프레스 머신</t>
  </si>
  <si>
    <t>쇄골지. 오버헤드 프레싱과 각도가 이어져 세팅 이동이 적다 [2026-09-04 4→6] 흉근 상부 보강. 2일차 인클라인 플라이와 짝.</t>
  </si>
  <si>
    <t>인클라인 스미스 프레스 / 인클라인 덤벨 프레스 (가동범위 ↑) / 인클라인 체스트 프레스 머신</t>
  </si>
  <si>
    <t>벤트오버 레터럴 레이즈 머신</t>
  </si>
  <si>
    <t>수평 외전. 2일차 리버스 펙덱 · 9일차 후면 3종목(9세트)과 함께 후면 사이클당 3회 16세트를 만든다</t>
  </si>
  <si>
    <t>리버스 펙덱 / 케이블 리버스 플라이 / 인클라인 벤치에 엎드려 덤벨 리어델트</t>
  </si>
  <si>
    <t>원암 사이드 케이블 레터럴 레이즈</t>
  </si>
  <si>
    <t>몸을 반대로 기울여 늘어난 위치부터 부하. 덤벨 레터럴(2일차)이 못 거는 구간</t>
  </si>
  <si>
    <t>케이블 원암 레터럴 레이즈 (최우선) / 원암 레터럴 레이즈 머신</t>
  </si>
  <si>
    <t>벤트오버 레터럴과 같은 인클라인 벤치 — 세팅 그대로 이어서. 매우 가볍게. 오버헤드 슈러그가 상방회전, 이쪽은 하강 — 역할이 다르다 [2026-09-04 0→3] 꺼져 있던 종목을 켰다. 승모 하부가 실질 4.5로 가장 모자란데 이 종목이 0세트로 잠들어 있었다 — 새 종목을 찾기 전에 이것부터.</t>
  </si>
  <si>
    <t>케이블 Y 레이즈 / 페이스풀 (마지막에 견갑골 하강) / 프론 스윔</t>
  </si>
  <si>
    <t>하부 승모 — 세 패턴 (v3)</t>
  </si>
  <si>
    <t>· 하부 승모의 일은 두 갈래다: 견갑골 하강, 그리고 팔이 올라갈 때의 상방회전.</t>
  </si>
  <si>
    <t>· 스캡 풀업(월 웜업) = 순수 하강 · 프론 Y(7일차) = 하강 + 후인 · 오버헤드 슈러그(7일차) = 상방회전.</t>
  </si>
  <si>
    <t>· 상방회전은 팔이 머리 위로 간 각도에서만 훈련된다 — 지금까지 프로그램에 통째로 비어 있던 패턴.</t>
  </si>
  <si>
    <t>· 전거근이 함께 온다. 전거근이 약하면 하부 승모를 키워도 견갑골이 제 위치로 안 간다.</t>
  </si>
  <si>
    <t>· 가동범위가 아주 작다. 견갑골만 2~3cm 올렸다 내리는 동작이고, 그 이상은 팔꿈치가 굽은 것이다.</t>
  </si>
  <si>
    <t>· 무게는 오버헤드로 안정적으로 지지할 수 있는 것보다 가볍게. 스미스나 머신 권장.</t>
  </si>
  <si>
    <t>· 하부 승모는 무게로 밀어붙일 수 없다. 과부하는 정지 2~3초 · 하강 3초 · 반복 수 확장으로.</t>
  </si>
  <si>
    <t>8일차 — 하체 B (고관절 지배)</t>
  </si>
  <si>
    <t>· 힙 힌지 · 둔근. 3일차 하체 A(무릎 지배)와 5일 간격. 다음 날은 9일차 어깨 — 척추 부하가 0인 고립 세션이라 사실상 회복일이다.</t>
  </si>
  <si>
    <t>메인: 데드리프트</t>
  </si>
  <si>
    <t>데드리프트 (본세트)</t>
  </si>
  <si>
    <t>광배·햄스트링·둔근</t>
  </si>
  <si>
    <t>사이클당 1회. 다음 날이 9일차 어깨(레터럴·리버스 플라이뿐이라 척추 부하 0)라 이 자리가 가장 안전하다. 기립근 보조는 1일차 덤벨 RDL이 맡는다. [2026-09-04 — 톱 1세트 + 백오프 2세트로 확장. 이 종목은 사이클당 5회 수행으로 +5kg를 올려 왔고, 노출 1회당 증량이 스쿼트(25회에 +5kg)의 5배였다. 5년 공백에서 폼을 다시 배우는 종목을 가장 적은 반복으로 밀고 있었다는 뜻이다. 톱세트 강도는 그대로 두고 반복 노출만 3배로 늘린다]</t>
  </si>
  <si>
    <t>트랩바 데드리프트 (요추 전단력 ↓) / 랙풀 (무릎 위에서 시작) / 스모 데드리프트</t>
  </si>
  <si>
    <t>데드리프트 (백오프)</t>
  </si>
  <si>
    <t>힙 쓰러스트</t>
  </si>
  <si>
    <t>둔근 메인. 무겁게. 데드 뒤라 둔근이 예열된 상태</t>
  </si>
  <si>
    <t>힙 쓰러스트 머신 / 스미스 힙 쓰러스트 / 글룻 브릿지</t>
  </si>
  <si>
    <t>루마니안 데드리프트</t>
  </si>
  <si>
    <t>고관절 신전. 3일차 레그 컬(무릎 굴곡)과 기능이 다르다</t>
  </si>
  <si>
    <t>덤벨 RDL (좌우 독립) / 스티프 레그드 데드리프트 / 케이블 풀스루 (허리 부담 최소)</t>
  </si>
  <si>
    <t>원 레그 컬</t>
  </si>
  <si>
    <t>레그 컬의 좌우 독립 버전. 약한 쪽이 강한 쪽에 묻히지 않는다</t>
  </si>
  <si>
    <t>싱글 레그 라잉 컬 / 싱글 레그 시티드 컬 / 케이블 레그 컬</t>
  </si>
  <si>
    <t>레그 익스텐션</t>
  </si>
  <si>
    <t>무릎 굽힘 — 가자미근 주도. 3일차 스탠딩(비복근)과 역할이 다르다</t>
  </si>
  <si>
    <t>시티드 카프 레이즈 머신 (1순위) / 레그 프레스에서 무릎 굽힌 채 / 덤벨을 무릎에 올리고</t>
  </si>
  <si>
    <t>간접 세트 계수 맵 — 세트검산 간접 열(C)의 계산 원천</t>
  </si>
  <si>
    <t>각 줄 = "이 종목이 → 이 근육에 → 계수만큼 기여". 원천세트는 일차 시트 E열(설계 볼륨)에서 이름 매칭으로 자동 산출, 간접세트 = 계수 × 원천세트. 세트검산 C열이 이 표를 근육별 SUMIFS로 합산한다. E열 설계 세트 변경 시 자동 갱신. (세트검산 표시값은 0.5 단위 반올림)</t>
  </si>
  <si>
    <t>이름 매칭 실패 줄 수 (0이어야 정상 — 0이 아니면 요일 시트에서 종목 이름이 바뀐 것이다)</t>
  </si>
  <si>
    <t>계수 규칙(상한 0.5):  0.5 = 명확한 협력근(능동 수축·신전, 큰 ROM) · 0.33 = 부분 협력(관여하나 비주도, 또는 저반복 본세트의 협력근) · 0.2 = 미미한 동적 관여 · 0 = 순수 그립·안정화·고장력 등척성(길이변화 작음 — 자극 없음).   파란 계수 = 수정 가능 · 출처 G = 프로그램 선언(초록) / C = Claude 추가(주황)</t>
  </si>
  <si>
    <t>원천 일차</t>
  </si>
  <si>
    <t>원천종목</t>
  </si>
  <si>
    <t>대상근육</t>
  </si>
  <si>
    <t>계수</t>
  </si>
  <si>
    <t>원천세트</t>
  </si>
  <si>
    <t>간접세트</t>
  </si>
  <si>
    <t>출처</t>
  </si>
  <si>
    <t>계수 근거</t>
  </si>
  <si>
    <t>D1_당기기A</t>
  </si>
  <si>
    <t>G</t>
  </si>
  <si>
    <t>뒤침 그립 — 이두가 가장 유리한 자리에서 능동 굴곡하고 실패 근처까지 간다. 당기기 → 이두 계수는 그립으로 정한다: 뒤침 0.5 · 뉴트럴 0.33 · 엎침 0.2 (2026-09-04 정리).</t>
  </si>
  <si>
    <t>엎침 그립(친업과 반대로 잡는 자리) — 굽히는 일은 주로 상완근·상완요골근이 한다. 당기기 → 이두 계수는 그립으로 정한다: 뒤침 0.5 · 뉴트럴 0.33 · 엎침 0.2 (2026-09-04 정리). 만약 뉴트럴 손잡이로 바꾸면 0.33.</t>
  </si>
  <si>
    <t>D6_당기기B</t>
  </si>
  <si>
    <t>엎침 그립 + 팔꿈치를 벌린 수평 로우 — 이두가 불리한 각도에 있고 실패는 등이 정한다. 당기기 → 이두 계수는 그립으로 정한다: 뒤침 0.5 · 뉴트럴 0.33 · 엎침 0.2 (2026-09-04 정리).</t>
  </si>
  <si>
    <t>좁은 뉴트럴 그립 — 이두와 상완근이 나눠 쓴다. 엎침(0.2)과 뒤침(0.5) 사이. 당기기 → 이두 계수는 그립으로 정한다: 뒤침 0.5 · 뉴트럴 0.33 · 엎침 0.2 (2026-09-04 정리).</t>
  </si>
  <si>
    <t>D2_밀기A</t>
  </si>
  <si>
    <t>프레스 중 삼두 신전 — 5×5 저반복 본세트라 가슴이 먼저 실패하고 삼두 유효반복이 적다. 보조 프레스는 0.5 유지 (2026-09-04 0.5→0.33)</t>
  </si>
  <si>
    <t>딥스는 삼두 스트레치+신전 강함</t>
  </si>
  <si>
    <t>D7_밀기B</t>
  </si>
  <si>
    <t>오버헤드 프레스 삼두 신전 — 5×5 저반복 본세트 하향. 머신 숄더(0.5)와 구분 (2026-09-04 0.5→0.33)</t>
  </si>
  <si>
    <t>프레스 중 삼두 신전</t>
  </si>
  <si>
    <t>C</t>
  </si>
  <si>
    <t>프레스 중 삼두 신전 — 인클라인 벤치프레스 머신(0.5)과 같은 등급 (2026-09-04 신설)</t>
  </si>
  <si>
    <t>D9_어깨팔B</t>
  </si>
  <si>
    <t>컬 중 상완요골근 동적 굴곡 — 부분 협력</t>
  </si>
  <si>
    <t>상완요골근 동적 굴곡</t>
  </si>
  <si>
    <t>순수 그립 유지(스트랩 권장) — 성장 자극 없음</t>
  </si>
  <si>
    <t>벤치 중 전면삼각 능동 관여 — 수평 프레스의 전면삼각 비대 근거는 인클라인(0.5)만큼 확실하지 않다 (2026-09-04 0.5→0.33)</t>
  </si>
  <si>
    <t>인클라인은 전면삼각 관여 큼 — 인클라인 벤치프레스 머신(0.5)과 같은 등급 (2026-09-04 신설)</t>
  </si>
  <si>
    <t>인클라인은 전면삼각 관여 큼</t>
  </si>
  <si>
    <t>오버헤드 프레스 측면삼각 관여 — 5×5 본세트라 측면삼각이 자기 실패 근처에 못 간다 (2026-09-04 0.5→0.33)</t>
  </si>
  <si>
    <t>오버헤드 프레스 측면삼각 관여 — 밀리터리 본세트(0.33)와 같은 등급. 이전에는 이 행이 없었는데 제외 사유였던 '직접 전면삼각 분류'는 밀리터리에도 똑같이 해당돼 성립하지 않았다. 보조 종목이라 오히려 실패에 더 가깝다 (2026-09-04 신설)</t>
  </si>
  <si>
    <t>오버헤드 프레스 측면삼각 관여 — 7일차 같은 종목(0.33)과 동일 등급 (2026-09-04 신설)</t>
  </si>
  <si>
    <t>페이스풀 중 후면삼각 능동 수축</t>
  </si>
  <si>
    <t>Y레이즈 후면삼각 능동 관여 — 7일차 같은 종목(0.5)과 동일 등급 (2026-09-04 신설)</t>
  </si>
  <si>
    <t>Y레이즈 후면삼각 능동 관여</t>
  </si>
  <si>
    <t>넓은 그립 로우의 광배 관여 — 팔꿈치를 벌려도 상완 신전은 일어나므로 명확한 협력근. 주동근(능형·중부승모)은 요일 시트에서 직접으로 센다 (2026-09-04 전환)</t>
  </si>
  <si>
    <t>견갑 후인 능동 수축</t>
  </si>
  <si>
    <t>D8_하체B</t>
  </si>
  <si>
    <t>무릎 90° 고정이라 햄스트링이 짧아진 채 작동(능동부전) — RDL의 신장 부하와 같은 등급일 수 없다 (2026-09-04 0.5→0.2)</t>
  </si>
  <si>
    <t>힌지 — 햄스트링 준주동. 단 컨벤셔널은 바닥에서 무릎 신전이 먼저라 ROM이 RDL보다 작다 (2026-09-04 0.5→0.33)</t>
  </si>
  <si>
    <t>힌지 — 햄스트링 준주동</t>
  </si>
  <si>
    <t>D3_하체A</t>
  </si>
  <si>
    <t>고관절 신전 능동 — 강한 협력</t>
  </si>
  <si>
    <t>둔근 관여하나 스쿼트보다 부분적</t>
  </si>
  <si>
    <t>고관절 신전 — 준주동</t>
  </si>
  <si>
    <t>힌지 고관절 신전 능동</t>
  </si>
  <si>
    <t>힌지 고관절 신전</t>
  </si>
  <si>
    <t>고장력 등척성 — 척추 중립 받치기(길이변화 작음). 데드→광배(0)와 같은 근거이므로 0으로 통일 (2026-09-04 0.2→0)</t>
  </si>
  <si>
    <t>고장력 등척성 — 중량 받치기. 버티기만 하는 자극은 세지 않는다 (2026-09-04 0.2→0)</t>
  </si>
  <si>
    <t>RDL은 기립근 동적 신전·수축 — 등척성 아님</t>
  </si>
  <si>
    <t>스플릿 스쿼트 대퇴사두 동적 작동</t>
  </si>
  <si>
    <t>관상면 안정화 부하 — 부분 관여</t>
  </si>
  <si>
    <t>고장력 등척성 — 바를 몸쪽에 고정(길이변화 작음)</t>
  </si>
  <si>
    <t>대내전근은 고관절 신전근 — 깊은 스쿼트서 동적 작동. 단 둔근(0.5)과 동급은 과하고 레그프레스·불가리안(0.33)과 같은 등급 (2026-09-04 0.5→0.33)</t>
  </si>
  <si>
    <t>부분 관여</t>
  </si>
  <si>
    <t>단측 부하 부분 관여</t>
  </si>
  <si>
    <t>흉근 상/하는 H열에서 합산 판정 — 서로에게 간접을 얹으면 합산이 이중 계상된다 (2026-09-04 0.2→0)</t>
  </si>
  <si>
    <t>흉근 상/하 합산 판정이라 교차 계상 제거 (2026-09-04 0.2→0)</t>
  </si>
  <si>
    <t>로우 중 상부승모 약한 등척성 — 등척성은 0 (2026-09-04 0.2→0)</t>
  </si>
  <si>
    <t>오버헤드 상방회전 약한 관여</t>
  </si>
  <si>
    <t>고장력 등척성 견갑대 유지 — 등척성은 0 (2026-09-04 0.2→0)</t>
  </si>
  <si>
    <t>당기기 중 견갑 하강 약한 관여</t>
  </si>
  <si>
    <t>로우 중 하부승모 약한 관여</t>
  </si>
  <si>
    <t>리버스 펙덱 견갑 후인 — 능형·중부승모 부분 협력</t>
  </si>
  <si>
    <t>둔근 관여하나 스쿼트보다 부분적 (8일차 분할분)</t>
  </si>
  <si>
    <t>부분 관여 (8일차 분할분)</t>
  </si>
  <si>
    <t>오버헤드 프레스 삼두 신전 — 기존 프레스 삼두 엣지(0.5)와 일관</t>
  </si>
  <si>
    <t>오버헤드 프레스 삼두 신전 — 7일차 같은 종목(0.5)과 동일 등급 (2026-09-04 신설)</t>
  </si>
  <si>
    <t>체스트 프레스 삼두 신전 — 기존 프레스 삼두 엣지(0.5)와 일관</t>
  </si>
  <si>
    <t>딥스는 전면삼각 부차 관여 — 벤치 상부흉근(0.2)과 같은 약관여 등급</t>
  </si>
  <si>
    <t>수평 프레스 전면삼각 관여 — 벤치(0.33)와 같은 등급 (2026-09-04 0.5→0.33)</t>
  </si>
  <si>
    <t>엎침 그립이라 이두가 짧아진 자리에서 불리 — 일하는 건 주로 상완근이라 이두는 약자극 등급 (2026-09-04 0.33→0.2)</t>
  </si>
  <si>
    <t>D4_어깨팔A</t>
  </si>
  <si>
    <t>견갑 후인 능동 수축 — 경부하 리어델트 종목이라 리버스 펙덱(0.33)과 같은 등급. 중량 로우(0.5)와 구분 (2026-09-04 0.5→0.33)</t>
  </si>
  <si>
    <t>팔꿈치를 어깨 높이로 올리는 궤적 — 상부승모 부분 협력. 레이즈 계열(계수 없음)과 다른 점이 이것이다</t>
  </si>
  <si>
    <t>견갑 후인 능동 수축 — 경부하 리어델트 종목이라 리버스 펙덱(0.33)과 같은 등급 (2026-09-04 0.5→0.33)</t>
  </si>
  <si>
    <t>컬 중 상완요골근 동적 굴곡 — 인클라인·프리쳐 컬(0.33)과 동일 등급</t>
  </si>
  <si>
    <t>힌지 — 본세트와 같은 동작이므로 같은 계수 (2026-09-04 0.5→0.33)</t>
  </si>
  <si>
    <t>고관절 신전 — 준주동. 본세트와 같은 계수</t>
  </si>
  <si>
    <t>고장력 등척성 견갑대 유지 — 본세트와 같은 계수 (2026-09-04 0.2→0)</t>
  </si>
  <si>
    <t>넓은 그립 로우의 광배 관여 — 해머 로우(0.5)와 같은 등급. 이전에는 이 종목이 광배 직접으로 잡혀 있어 간접 줄 자체가 없었다 (2026-09-04 신설)</t>
  </si>
  <si>
    <t>엎침 그립 + 팔꿈치를 벌린 수평 로우 — 해머 로우(0.2)와 같은 등급. 이전에는 이 종목의 이두 줄 자체가 없었다 (2026-09-04 신설). 당기기 → 이두 계수는 그립으로 정한다: 뒤침 0.5 · 뉴트럴 0.33 · 엎침 0.2 (2026-09-04 정리).</t>
  </si>
  <si>
    <t>근육군별 주간 세트 — 검산</t>
  </si>
  <si>
    <t>■ 사이클 총량 예산 — 늘리려면 먼저 어딘가에서 빼라</t>
  </si>
  <si>
    <t>세트는 근육군 단위로 센다. '하체 20세트'는 의미 없는 숫자 — 대퇴 18 / 햄스트링 2여도 하체 20이 된다. 집계는 일차 시트 E열(설계 세트) 기준이며 B~D열은 사이클당(주기 길이는 H2) 값이다. 판정(E열)은 J열의 주당 환산(사이클당 × 7/주기)으로 한다 — 볼륨 랜드마크가 주 단위이기 때문이다. 간접·실질은 0.5 단위 반올림으로 표시한다 — 메모의 계산 원값과 ±0.25 이내 차이가 날 수 있다.</t>
  </si>
  <si>
    <t>주기(일)</t>
  </si>
  <si>
    <t>총량 상한</t>
  </si>
  <si>
    <t>현재 총량</t>
  </si>
  <si>
    <t>잔여 예산</t>
  </si>
  <si>
    <t>실제 주당</t>
  </si>
  <si>
    <t>상태</t>
  </si>
  <si>
    <t>직접 세트</t>
  </si>
  <si>
    <t>간접 추정</t>
  </si>
  <si>
    <t>실질</t>
  </si>
  <si>
    <t>판정</t>
  </si>
  <si>
    <t>간접 출처 / 비고</t>
  </si>
  <si>
    <t>플랫 벤치의 쇄골지 관여(0.2)를 2026-09-04에 0으로 내렸다. 흉근 상/하는 H열에서 합산 판정하므로 서로에게 간접을 얹으면 합산이 이중 계상된다.</t>
  </si>
  <si>
    <t>흉근 합산(상+중하)</t>
  </si>
  <si>
    <t>인클라인 머신의 중하부 관여(0.2)를 2026-09-04에 0으로 내렸다(흉근 상/하 교차 계상 제거).</t>
  </si>
  <si>
    <t>직접 12세트: 1일차 친업 4 · 랫풀다운 4 · 6일차 시티드 케이블 로우 4(좁은 그립). 간접은 넓은 그립 로우 2종(바벨 로우 · 해머 로우) 각 0.5 — 2026-09-04에 주동근을 능형·중부승모로 옮기며 협력근으로 내려왔다. 데드리프트의 광배 등척성은 0.</t>
  </si>
  <si>
    <t>등</t>
  </si>
  <si>
    <t>밀리터리 0.2 · 9일차 와이드 그립 업라이트 로우 0.33. 2026-09-04에 등척성 행(해머 로우 · 데드 본세트 · 백오프, 각 0.2)을 0으로 내렸다 — 견갑대를 버티기만 하는 자극은 세지 않는다. 하한 미달 자체는 증액 근거가 아니다 — 늘리려면 총량 예산(J2) 안에서 다른 종목과 교환한다.</t>
  </si>
  <si>
    <t>친업 0.2×4=0.8 + 해머 로우 0.2×4=0.8 = 1.6 — 견갑 하강은 동작 개시 관여라 약계수</t>
  </si>
  <si>
    <t>직접 15세트: 1일차 넓은 그립 바벨 로우 4 · 페이스풀 3 · 6일차 넓은 그립 해머 로우 4 · 스캡 슈러그 4. 간접은 시티드 케이블 로우 0.5 · 리어델트 계열(리버스 펙덱 · 케이블 리버스 플라이 · 리어 델트 로우) 0.33. 2026-09-04에 넓은 그립 로우 2종이 간접 0.5에서 직접으로 올라왔다 — 팔꿈치를 벌린 수평 로우의 주동근은 견갑 후인근이다.</t>
  </si>
  <si>
    <t>8일차 RDL 0.5(동적 신전·수축)뿐. 2026-09-04에 스쿼트·트랩바 슈러그의 등척성 행(0.2)을 0으로 내렸다. 기립근은 스쿼트·데드에서 피로는 크게 받지만 버티기만 해서는 자라지 않는다 — 동적 힌지가 유일한 자극원이다.</t>
  </si>
  <si>
    <t>인클라인 머신 0.5(전면삼각 편향 큼) · 벤치 0.33 · 헤머 체스트 0.33 · 딥스 0.2. 2026-09-04에 수평 프레스를 0.5→0.33으로 내렸다. [2026-09-04 9일차 머신 숄더 프레스 3세트 신설 — 직접 6→9] 처음에는 2026-08-28 판단(RP 표에 전면 삼각근 행이 없다 · 프레스로 자동 충족)을 근거로 안 넣었는데, 같은 날 벤치·헤머 체스트의 전면삼각 계수를 0.5→0.33으로 내려놓고 그렇게 줄어든 간접을 근거로 직접을 생략한 것이라 앞뒤가 안 맞았다. 나머지 여섯 부위에는 안 쓴 잣대를 여기만 쓴 셈이기도 하다.</t>
  </si>
  <si>
    <t>오버헤드 프레스 두 종목 모두 0.33 — 밀리터리 본세트(2026-09-04 0.5에서 하향, 5×5라 측면삼각이 자기 실패 근처에 못 간다)와 머신 숄더 프레스(2026-09-04 신설). 머신 숄더만 행이 없었는데, 제외 사유였던 '직접 전면삼각 분류'는 밀리터리에도 똑같이 해당돼 성립하지 않았다 — 보조 종목이라 실패에 더 가까이 가는 쪽이 오히려 0이던 것을 바로잡았다. 직접 세트가 두터워 판정에는 영향 없음.</t>
  </si>
  <si>
    <t>페이스풀(1일차) 0.5×3=1.5 + 프론 Y(7일차) 0.5×2=1.0 = 2.5. 후면삼각은 프레스로 안 자라 직접 16세트로 별도 확보 — 2일차 리버스 펙덱 4 · 7일차 벤트오버 3 · 9일차 3종목 9 (케이블 리버스 플라이 3 · 인클라인 프론 리어 레이즈 3 · 리어 델트 로우 3). 사이클당 3회, 주당 환산 14.</t>
  </si>
  <si>
    <t>하체(대퇴·햄·종아리)</t>
  </si>
  <si>
    <t>덤벨 RDL 0.5 · 데드 본세트/백오프 0.33 · 힙 쓰러스트 0.2. 2026-09-04 하향: 힙 쓰러스트는 무릎 90° 고정이라 햄스트링이 짧아진 채 작동(능동부전)해 RDL의 신장 부하와 동급일 수 없고, 컨벤셔널 데드는 ROM이 RDL보다 작다.</t>
  </si>
  <si>
    <t>스쿼트 0.5×5=2.5 + 데드 본세트 0.5×1=0.5 + 데드 백오프 0.5×2=1 + RDL(8일차) 0.5×3=1.5 + 덤벨 RDL(1일차) 0.5×3=1.5 + 레그 프레스(수·토) 0.33×6=1.98 = 8.98</t>
  </si>
  <si>
    <t>불가리안 0.33×3=0.99 — 한 다리 지지 관상면 안정화. 스쿼트·레그프레스는 양측 지지라 계수 없음</t>
  </si>
  <si>
    <t>직접 세트 내역: 3일차 스탠딩 카프 3 (무릎 편 상태 — 비복근) · 8일차 시티드 카프 3 (무릎 굽힘 — 가자미근). 간접 출처는 없음 — 스쿼트·레그프레스의 발목 관여는 실패지점 근처까지 가지 않아 0으로 둔다.</t>
  </si>
  <si>
    <t>딥스 · 인클라인 머신 · 머신 숄더 · 헤머 체스트 각 0.5 · 벤치 본세트 · 밀리터리 본세트 0.33. 2026-09-04에 두 메인 본세트를 0.5→0.33으로 내렸다 — 5×5 저반복이라 주동근이 실패를 결정하고 삼두 유효반복이 적다. 보조 프레스는 0.5 유지.</t>
  </si>
  <si>
    <t>바벨 컬(2일차) · 프리쳐 컬(6일차) · 인클라인 덤벨 컬(9일차) 0.33×각3 = 2.97. 리버스컬(6일차)은 상완요골근 주동이라 간접이 아니라 직접 전완 3세트로 센다. 순수 그립(데드·로우·친업·트랩바)은 규칙상 0 — 성장 자극 없음</t>
  </si>
  <si>
    <t>직접 13세트: 1일차 라잉 레그 레이즈 4(굴곡 하부) · 케이블 트렁크 로테이션 3(회전) · 3일차 앱휠 롤아웃 3(항신전) · 6일차 중량 크런치 3(굴곡 상부). 네 축이 다 찼다. 스쿼트 · 데드의 코어 브레이싱은 등척성 안정화이며 실패지점 근처까지 가지 않아 간접 0.</t>
  </si>
  <si>
    <t>스쿼트 · 레그 프레스 · 불가리안 모두 0.33. 2026-09-04에 스쿼트를 0.5→0.33으로 내려 세 종목을 같은 등급으로 맞췄다 — 대내전근이 고관절 신전근인 건 맞지만 둔근(0.5)과 동급은 과하다. 성장이 아닌 유지 목적 항목.</t>
  </si>
  <si>
    <t>직접 세트 총계</t>
  </si>
  <si>
    <t>기준선</t>
  </si>
  <si>
    <t>· 주 10~20세트 = 성장 구간. 사이클당 세트를 그대로 쓰면 안 되고, J열의 주당 환산(×7/주기 · 주기 길이는 H2)으로 판정한다.</t>
  </si>
  <si>
    <t>· 주 8세트 = 유지 하한 (역시 주당 환산 기준).</t>
  </si>
  <si>
    <t>· 실패지점 2~3회 이내 세트만 카운트 (웜업 · 여유 세트 제외)</t>
  </si>
  <si>
    <t>따로 세야 하는 경우</t>
  </si>
  <si>
    <t>· 판단 기준은 하나 — 다른 종목이 그 부위를 대신 키워주는가.</t>
  </si>
  <si>
    <t>· 안 키워주면 따로 센다: 햄스트링(스쿼트로 안 자람), 후면 삼각근(프레스로 안 자람), 종아리</t>
  </si>
  <si>
    <t>· 키워주면 합쳐 판단한다: 흉근 상/하, 광배 상/하 — 하나의 근육이며 함께 수축한다. 표의 상/하 분리 행은 분포 점검용이며, 총량·상한 판단은 합산 기준으로 본다 (흉근 합산은 H5에 상시 표시 — 현재 직접 16 · 실질 18).</t>
  </si>
  <si>
    <t>부위별 이력 · 미결 항목</t>
  </si>
  <si>
    <t>· 종아리 (2026-08): 3일차 스탠딩 카프 3 + 8일차 시티드 카프 3 = 사이클당 6세트 · 주당 환산 5.3 — 유지 하한(8) 미달. 올리려면 총량 예산 안에서 교환한다.  |  후면 삼각근 (2026-08-28 해소): 직접 7 → 10세트. 9일차 어깨 세션 신설로 MEV(8) 통과.</t>
  </si>
  <si>
    <t>· 9일 주기 (A블록 3일 · 휴식 · B블록 3일 · 어깨+약점 · 휴식). 서술상 계보: 5일 147 → 재편 159 → v17 143 → v18 140 → 6일차 리버스컬 3 → 9일차 어깨 7. 다만 E열 실측은 162다 (2026-08-28 확인).</t>
  </si>
  <si>
    <t>· 하부 승모: 프론 Y(하강+후인) 2 + 오버헤드 슈러그(상방회전) 3 = 직접 5. 스캡 풀업(하강)은 v18에서 1일차 웜업으로 전환 — 패턴은 매주 유지되나 카운트 제외.</t>
  </si>
  <si>
    <t>· 중둔근·종아리는 하한(8) 미달이지만 성장이 아닌 유지 목적 — 계수 0으로 둔 양측 지지 안정화 자극(스쿼트·레그프레스)까지 감안한 판단이다. 내전근은 실질 10으로 충분에 진입 (v14).</t>
  </si>
  <si>
    <t>· 승모(중부)·능형근 보강 (2026-08): 직접 종목이 6일차 켈소 슈러그 3세트뿐이라 사이클당 1회였다. 켈소는 받침 벤치가 필요해 시티드 케이블 로우 스캡 슈러그로 교체하고, 1일차에 페이스풀 3세트를 추가해 직접 6세트 · 사이클당 2회 확보. 총 직접 세트 162 — E열 실측 (v18 + 6일차 리버스컬 3 + 9일차 어깨 7).</t>
  </si>
  <si>
    <t>· 승모(상부) 신설 (2026-08): 이전에는 항목 자체가 없었다. 6일차 트랩바 슈러그 2세트 — 사이클당 1회. 7일차 오버헤드 슈러그는 승모 하부·상방회전이라 대체가 아니라 별개 근육이므로 그대로 유지. 실질 3.6 — 하한 미만 — 자극이 부족하면 D2_밀기A 2세트가 후보다 — 다만 총량 예산 안에서 교환할 때만.</t>
  </si>
  <si>
    <t>· 서술 ↔ E열 불일치 (2026-08-28 발견): 남은 두 칸 — 1일차 바벨 로우 3(v18 웜업 전환) · 7일차 헤머스트랭스 체스트 프레스 3(v17 제외). 메모는 제외인데 E열에 세트가 남아 있다. 둘 다 0으로 내리면 사이클당 168. 2일차 디클라인 케이블 플라이는 바벨 컬을 넣으며 해소했다.</t>
  </si>
  <si>
    <t>· 간접계수 하향 (2026-09-04): 관대하게 잡힌 19행을 내렸다. ① 등척성 버티기(스쿼트·슈러그·데드→기립근/상부승모)를 0.2→0 — 직접 세트에 쓰는 '실패지점 2~3회' 잣대를 간접에도 적용. ② 경부하 리어델트→중부승모 0.5→0.33. ③ 힙 쓰러스트→햄스트링 0.5→0.2(능동부전). ④ 수평 프레스→전면삼각, 스쿼트→내전근, 5×5 본세트→삼두/측면삼각 0.5→0.33. 간접 총합이 실제 수행 세트 대비 38%→32%로 내려왔다(2026-09-04 기준). 판정 변화는 기립근·내전근 둘뿐 — 둘 다 하한→보완 필요.</t>
  </si>
  <si>
    <t>· 9일 주기 전환 · 약점 보강 (2026-09-04): 9일차 뒤에 휴식을 넣어 9일 주기가 됐다. 이유는 D8을 키우려서가 아니라 5→6→7→8→1→2→3으로 7일 연속 훈련이었기 때문이다(휴식이 당시 4일차 하나뿐이었다). 그날 3연속·휴식·4연속·휴식이 됐고, 같은 날 저녁 10일 4-1-4-1로 다시 바꿨다 — 주간계획 참조. 대신 판정 분모가 ×7/8에서 ×7/9로 바뀌어 모든 부위가 11% 내려가므로, 부족했던 7개를 성장 구간(주당 10)까지 올렸다 — 흉근(상부)·승모(하부)·중둔근·종아리·복부·내전근 여섯은 도달, 기립근은 하한권에 남았다(아래 참조). 배치 원칙: 하체날(3·8일차)은 이미 가장 긴 세션(77분·80분)이라 한 세트도 얹지 않았다. 추가분은 전부 고립 종목(실측 1.9분/세트)이라 시간이 싸고, 가장 가벼웠던 9일차(41분)가 절반을 흡수했다. 세션 상한도 세트 수(26)가 아니라 시간 80분으로 바꿔 읽는다 — 9일차는 35세트지만 66분으로 8일차 27세트 80분보다 가볍다.</t>
  </si>
  <si>
    <t>· 기립근 해결 (2026-09-04): 고립 종목이 없어 1일차 덤벨 RDL 3→6으로 버티다가 하한(주당 8.2)에 그쳤었다. 백 익스텐션(45도)을 쓸 수 있다는 확인을 받고 1일차·6일차에 3세트씩 넣고 덤벨 RDL은 3으로 되돌렸다. 직접 12 · 주당 10.5로 성장 구간. 힌지를 늘리는 대신 전용 종목을 둔 것이라 척추 부하는 오히려 줄었다. 수행은 척추 신전 강조 — 힌지식으로 하면 주동근이 둔근·햄스트링으로 바뀐다.</t>
  </si>
  <si>
    <t>· 견갑 프라이밍 웜업 — 1일차 스캡 풀업 2 (하강) · 2·7일차 케이블 외회전 2씩 · 6일차 밴드 풀 어파트 2 (후인). 네 상체일 전부 그날 패턴의 웜업 보유. (1일차 페이스풀은 실제 부하 카운트 세트이므로 여기서 제외)</t>
  </si>
  <si>
    <t>· 근육군 표에 넣지 않는 이유: 실패지점 근처까지 가지 않는 웜업 세트는 카운트 대상이 아니다.</t>
  </si>
  <si>
    <t>· 벤트오버 레터럴 4세트와 리버스 펙덱은 수평 외전이라 외회전을 대신하지 못한다 — 부하가 걸린 외회전 종목은 1일차 페이스풀 3세트가 유일 (이전에는 직접 0세트).</t>
  </si>
  <si>
    <t>· 벤치 5×5가 최우선 종목이고 12주간 계속 오른다. 근비대가 아니라 어깨 관절 유지 목적.</t>
  </si>
  <si>
    <t>· 넓은 그립 로우 라벨 정정 (2026-09-04): 바벨 로우(1일차) · 해머 로우(6일차)를 광배 → 승모(중부)·능형근으로 옮겼다. 주동근을 정하는 것은 그립 폭이 아니라 팔꿈치 경로이며, 팔꿈치를 벌린 수평 로우는 견갑 후인이 주동이고 광배는 협력근이다. 수행 세트는 한 개도 바뀌지 않았고 장부만 맞춘 것이다. 부수 효과 둘 — ① 1일차 광배가 12세트에서 8세트로 내려와 세션 부위당 상한(8~9)을 지키게 됐다. ② 넓은 그립 바벨 로우 4세트가 상부등 집계에 전혀 안 잡혀 있던 구멍이 메워졌다. 복귀판(평일A 해머 로우 · 일요일 스미스 바벨 로우)에도 같은 정정을 적용했다.</t>
  </si>
  <si>
    <t>· 당기기 → 이두 계수 그립별 정리 (2026-09-04): 당기기 4종목이 그립과 무관하게 일괄 0.5였다. 리버스컬을 0.2로 내리며 세운 근거(엎침 그립에서는 상완근·상완요골근이 주로 굽힌다)를 당기기에도 적용해 뒤침 0.5 · 뉴트럴 0.33 · 엎침 0.2로 나눴고, 줄이 없던 바벨 로우를 0.2로 신설했다. 이두 주당 15.6 → 13.6 — 판정은 충분 그대로다. 복귀판도 같이 정리했다(랫풀다운이 언더그립이라 거기선 0.5 유지). 남은 질문: 엎침 로우가 상완요골근을 동적으로 굽히는 만큼 전완에 간접을 붙일지는 아직 안 정했다. 지금 규칙의 "로우는 순수 그립이라 0"은 정적 파지를 뜻하므로 서로 모순은 아니다.</t>
  </si>
  <si>
    <t>· 펙덱 플라이 신설 (2026-09-04): 7일차 인클라인 벤치프레스 머신 뒤에 3세트. 흉근(중하부) 직접 15 → 18 · 주당 14.0, 흉근 합산 28 → 31 · 주당 24.1로 천장(20)을 넘겼다 — 2일차에 이어 7일차도 예외 처리다. 7일차는 34세트 84분으로 시간 상한(80분)도 4분 넘는다. 2일차(33세트 82분·흉근 19세트)보다 여유 있는 날을 고른 결과이며 사용자가 두 초과를 알고 선택했다. 되돌릴 때 먼저 빼는 것은 2일차 디클라인 케이블 플라이 3세트. 간접계수맵에는 줄을 넣지 않았다 — 재택 맵은 플라이 계열에 전면삼각 줄을 두지 않는다(인클라인 덤벨 플라이도 없다).</t>
  </si>
  <si>
    <t>· 백 익스텐션 순서 변경 (2026-09-04): 기구가 옆 체육관에 있다는 것이 확인돼 1일차·6일차 모두 세션 맨 마지막 종목으로 내렸다(각각 덤벨 RDL · 중량 크런치와 자리 교환). 순서만 바꾼 것이라 세트 수 · 부위 볼륨 · 세션 시간은 전부 그대로다 — 기립근 직접 12 · 주당 10.5 유지. 앞으로 이 두 날에 종목을 추가할 때 백 익스텐션 뒤에 붙이지 말 것.</t>
  </si>
  <si>
    <t>· 복부 회전 축 신설 · 크런치 분산 (2026-09-04): 6일차 중량 크런치 6세트를 3으로 내리고 1일차에 케이블 트렁크 로테이션 3세트를 넣었다. 총량 13 · 주당 10.1 불변이고 자리만 옮긴 것이다. 계기는 "한 번에 6세트는 빡세다"였고, 실제로 한 세션 한 종목 6세트는 9일차 후면삼각을 3종목으로 쪼갠 원칙과 어긋나 있었다. 겸사겸사 비어 있던 네 번째 축(회전)이 채워졌다 — 그전까지 굴곡 상·하와 항신전 셋뿐이었다. 9일차가 아니라 1일차인 이유: 9일차는 데드(8일차) 다음 날이고 "척추 부하 0"이 그 날의 설계 근거라 회전 부하를 얹지 않았다. 1일차는 10일차 휴식 다음 날이라 척추가 가장 신선하다. 시간은 1일차 75.8 → 82.3분 · 6일차 82.0 → 77.0분으로 맞바꿨다. 앉아서 하는 트렁크 로테이션 머신은 쓰지 않는다 — 골반이 고정돼 회전이 요추에 몰린다.</t>
  </si>
  <si>
    <t>상한 변경 이력 — 총량 상한(J2)을 고칠 때마다 한 줄 남긴다</t>
  </si>
  <si>
    <t>날짜</t>
  </si>
  <si>
    <t>이전</t>
  </si>
  <si>
    <t>이후</t>
  </si>
  <si>
    <t>근거</t>
  </si>
  <si>
    <t>무엇을 뺐나</t>
  </si>
  <si>
    <t>최초 설정 — v19 현재 총량을 그대로 예산으로 고정</t>
  </si>
  <si>
    <t>10일 주기(4-1-4-1) 전환 — 상한 불변. 주당 환산 185.9→167.3은 분모가 9→10이 된 산술이지 감축이 아니다</t>
  </si>
  <si>
    <t>없음 — 종목 12개 이동, 세트 0 변동</t>
  </si>
  <si>
    <t>등(광배 · 승모중부) 4종목 각 +1, 흉근상부 인클라인 스미스 +1 — 사용자 판단. 같은 날 15종목 +1을 넣었다가 잠금(잔여 −15)에 걸려 10은 되돌렸다</t>
  </si>
  <si>
    <t>없음</t>
  </si>
  <si>
    <t>총량 예산 — 운용 규칙</t>
  </si>
  <si>
    <t>· 세트를 늘리려면 같은 수를 다른 종목에서 뺀다. 잔여 예산(H3)이 음수면 프로그램 전체가 INVALID다.</t>
  </si>
  <si>
    <t>· 판정 열의 "유지 미만"은 정보이지 지시가 아니다. 하한 미달은 그 자체로 증액 근거가 되지 못한다.</t>
  </si>
  <si>
    <t>· 주기를 바꿀 때는 H2 한 칸만 고친다. 모든 판정이 내려앉지만 잔여 예산은 그대로라 세트는 안 붙는다.</t>
  </si>
  <si>
    <t>· 총량 상한(J2)을 올리는 것은 자유지만 상한 변경 이력에 한 줄 남긴다 — 근거와 무엇을 뺐는지까지.</t>
  </si>
  <si>
    <t>· 배분은 안 잠근다. 총량이 같다면 부위 간 이동은 자유다 — 문제가 된 것은 배분이 아니라 총량이었다.</t>
  </si>
  <si>
    <t>· 증액 근거는 기록이다. 증량기록 L·M열(다음날 피로 · 관절)이 3사이클 쌓이기 전에는 근거가 없다.</t>
  </si>
  <si>
    <t>메인 리프트 증량 기록</t>
  </si>
  <si>
    <t>기본은 계획대로 증량. 목표 반복을 못 채운 사이클에는 그 칸에 마지막 세트 실제 반복수(예: 3)를 적습니다 — 숫자든 X든 무엇이 적히면 그 중량이 유지됩니다. 공란과 O만 증량입니다.</t>
  </si>
  <si>
    <t>증량 설정 — 종목별</t>
  </si>
  <si>
    <t>데드리프트 사이클당 증량 (kg)</t>
  </si>
  <si>
    <t>가장 큰 근육군 · 회복 여력 최대</t>
  </si>
  <si>
    <t>스쿼트 사이클당 증량 (kg)</t>
  </si>
  <si>
    <t>하체 — 복귀 구간에서는 빠르게 오른다</t>
  </si>
  <si>
    <t>벤치프레스 사이클당 증량 (kg)</t>
  </si>
  <si>
    <t>밀리터리 프레스 사이클당 증량 (kg)</t>
  </si>
  <si>
    <t>날짜 (1일차)</t>
  </si>
  <si>
    <t>스쿼트 목표</t>
  </si>
  <si>
    <t>미달 시 반복수</t>
  </si>
  <si>
    <t>데드 목표</t>
  </si>
  <si>
    <t>벤치 목표</t>
  </si>
  <si>
    <t>프레스 목표</t>
  </si>
  <si>
    <t>다음날 피로 0~5</t>
  </si>
  <si>
    <t>관절 이상</t>
  </si>
  <si>
    <t>· 공란 또는 O = 계획대로 증량. 그 밖의 입력(반복수 · X) = 그 중량을 다음 사이클에도 유지.</t>
  </si>
  <si>
    <t>· 1사이클 중량은 '시작중량_설정' 시트 D열과 연동됨. 여기서 직접 수정하지 말 것.</t>
  </si>
  <si>
    <t>· 같은 종목에 X가 3주 연속이면 그 종목만 10% 디로드 후 재상승.</t>
  </si>
  <si>
    <t>· 증량폭을 종목별로 나눈 이유: 절대값이 같아도 부담이 전혀 다르다.</t>
  </si>
  <si>
    <t>· 20kg 프레스에 2.25kg은 11% 증가지만, 105kg 데드에 2.5kg은 2.4%다.</t>
  </si>
  <si>
    <t>· 균일 증량을 쓰면 작은 종목만 비현실적으로 빨리 오르고 큰 종목은 제자리에 머문다.</t>
  </si>
  <si>
    <t>· 하체 5kg이 커 보이지만 복귀 구간 첫 두세 달은 정상 범위다. 근력을 새로 만드는 것이 아니라 되찾는 구간이기 때문.</t>
  </si>
  <si>
    <t>· 이 속도가 버거워지면(X가 반복되면) 해당 칸 숫자를 절반으로 내린다.</t>
  </si>
  <si>
    <t>· 미달 시 반복수: X 대신 마지막 세트에서 실제로 나온 횟수를 적는다. 5회 목표에 4와 2는 전혀 다른 신호다.</t>
  </si>
  <si>
    <t>· 다음날 피로 0~5 (L열): 0 가뿐 · 3 뻐근하지만 훈련 가능 · 5 탈진. 다음 세션 아침에 적는다.</t>
  </si>
  <si>
    <t>· 관절 이상 (M열): 없으면 비워둔다. 있을 때만 부위와 0~10 (예: 무릎 3).</t>
  </si>
  <si>
    <t>· 기억으로 소급해 채우지 말 것 — 없는 데이터보다 지어낸 데이터가 나쁘다. 모르는 사이클은 비워둔다.</t>
  </si>
  <si>
    <t>· 이 두 칸이 3사이클 쌓이기 전에는 볼륨을 올릴 근거가 없다. 검산표의 하한 미달은 근거가 아니다.</t>
  </si>
  <si>
    <t>9월 이후 — 현장 복귀 시 조정</t>
  </si>
  <si>
    <t>이 프로그램은 재택 = 생활 부하 0 전제. 현장 복귀 시 그대로 쓰면 과부하 — 다만 목표는 유지가 아니라 완만한 성장이다.</t>
  </si>
  <si>
    <t>부위 / 항목</t>
  </si>
  <si>
    <t>조정</t>
  </si>
  <si>
    <t>이유</t>
  </si>
  <si>
    <t>감축</t>
  </si>
  <si>
    <t>일이 하루 종일 채움 — 들고 · 당기고 · 버티는 동작 전부</t>
  </si>
  <si>
    <t>하체</t>
  </si>
  <si>
    <t>서 있기 · 걷기로 이미 볼륨 누적</t>
  </si>
  <si>
    <t>대폭 감축</t>
  </si>
  <si>
    <t>데드 주 1회 유지가 상한. 현장 일이 허리를 이미 소모시킴</t>
  </si>
  <si>
    <t>프레싱 (벤치 · 프레스)</t>
  </si>
  <si>
    <t>유지</t>
  </si>
  <si>
    <t>현장 일이 채워주지 않는 유일한 영역</t>
  </si>
  <si>
    <t>후면 삼각근 · 코어</t>
  </si>
  <si>
    <t>당기고 버티는 동작만으로는 안 채워짐</t>
  </si>
  <si>
    <t>빈도</t>
  </si>
  <si>
    <t>주 6회 → 주 4회</t>
  </si>
  <si>
    <t>12시간 근무일과 그 다음날은 회피. 요일이 유동이라 토 · 일만 고정한다</t>
  </si>
  <si>
    <t>메인 리프트 배치</t>
  </si>
  <si>
    <t>12시간 근무일 회피</t>
  </si>
  <si>
    <t>허리가 안 돌아온 상태에서 치는 것이 가장 위험</t>
  </si>
  <si>
    <t>판단 기준</t>
  </si>
  <si>
    <t>다음 근무일 아침 허리 상태</t>
  </si>
  <si>
    <t>뻐근하면 그 주 무게가 과했던 것. 어떤 프로그램 표보다 정확</t>
  </si>
  <si>
    <t>· 같은 프로그램이라도 생활 부하에 따라 적정선이 움직인다.</t>
  </si>
  <si>
    <t>· 지금은 빠르게 쌓는 시기, 복귀 후는 느리게 쌓는 시기다. 멈추는 시기가 아니다.</t>
  </si>
  <si>
    <t>· 재택 기간에 근력 베이스를 만들어두면 복귀 후에는 좁은 자리(벤치 · 스쿼트)만 밀어도 3대가 올라간다.</t>
  </si>
  <si>
    <t>· 헬스보다 중요한 것: 일하는 중간의 움직임. 50분 앉으면 5분 일어나기, 하루 30분 걷기.</t>
  </si>
  <si>
    <t>· 헬스는 하루 1시간이고 앉아 있는 건 8시간 — 총량으로 보면 앉은 시간이 이긴다.</t>
  </si>
  <si>
    <t>→ 실제 요일 배치와 종목표는 '복귀_주간계획' 이하 4개 탭에 작성됨.</t>
  </si>
  <si>
    <t>9월 전 완충 구간 (v15 추가)</t>
  </si>
  <si>
    <t>· 재택 161세트 → 복귀 120세트 (75%). 유지 하한 밴드(54~80) 위에 두어 성장 여지를 남겼다.</t>
  </si>
  <si>
    <t>· 복귀 2~3주 전을 완충 구간으로 둘 것 — 주 4회 · 약 130세트로 한 단계 걸치고 내려간다.</t>
  </si>
  <si>
    <t>· 감축 순서: 팔 전용 → 전완 → 등 · 하체 보조 종목. 메인 리프트와 프레싱은 마지막까지 유지.</t>
  </si>
  <si>
    <t>· 완충 구간에서 중량은 내리지 않는다. 볼륨만 줄이고 강도를 유지해야 근력이 남는다.</t>
  </si>
  <si>
    <t>· 복귀_주간계획의 현재 수치: 161 → 120세트 · 주 296분. 주 4회 2분할 · 성장선 · 6~8주마다 디로드.</t>
  </si>
  <si>
    <t>현장 복귀 버전 — 주간 계획 (주 4회 · 2분할 · 성장선)</t>
  </si>
  <si>
    <t>12시간 근무 주 2일 · 요일 유동 · 토 · 일은 시간 확보</t>
  </si>
  <si>
    <t>훈련 주 4회 — 토 · 일 고정 + 평일 2회 유동</t>
  </si>
  <si>
    <t>슬롯</t>
  </si>
  <si>
    <t>근무</t>
  </si>
  <si>
    <t>고정</t>
  </si>
  <si>
    <t>훈련</t>
  </si>
  <si>
    <t>비고</t>
  </si>
  <si>
    <t>평일 A</t>
  </si>
  <si>
    <t>8시간인 날</t>
  </si>
  <si>
    <t>유동</t>
  </si>
  <si>
    <t>가슴 위주 (상체 A)</t>
  </si>
  <si>
    <t>약 72분</t>
  </si>
  <si>
    <t>미는 날. 벤치를 매주 올린다. 네 세션 중 가장 짧다</t>
  </si>
  <si>
    <t>평일 B</t>
  </si>
  <si>
    <t>어깨 위주 (하체 B)</t>
  </si>
  <si>
    <t>약 66분</t>
  </si>
  <si>
    <t>척추 부하 0. 일요일 다음날에 쓸 수 있는 유일한 세션</t>
  </si>
  <si>
    <t>토</t>
  </si>
  <si>
    <t>시간 확보</t>
  </si>
  <si>
    <t>하체 · 어깨 (하체 A)</t>
  </si>
  <si>
    <t>약 84분</t>
  </si>
  <si>
    <t>스쿼트 5×5와 오버헤드 프레스를 앞쪽에 · 어깨 보조 9세트</t>
  </si>
  <si>
    <t>일</t>
  </si>
  <si>
    <t>휴무</t>
  </si>
  <si>
    <t>등 위주 (상체 B)</t>
  </si>
  <si>
    <t>약 74분</t>
  </si>
  <si>
    <t>완전 휴무일 — 척추가 버티는 종목은 전부 여기</t>
  </si>
  <si>
    <t>나머지 3일</t>
  </si>
  <si>
    <t>12시간 2일 포함</t>
  </si>
  <si>
    <t>12시간 근무일과 그 다음날, 그리고 일요일 다음날은 비운다</t>
  </si>
  <si>
    <t>약 296분 (4시간 56분)</t>
  </si>
  <si>
    <t>[요일 선정 논리]</t>
  </si>
  <si>
    <t>· 확실한 것은 두 가지뿐이다 — 12시간 근무가 주 2일이라는 것, 그리고 토 · 일은 시간이 확보된다는 것.</t>
  </si>
  <si>
    <t>· 어느 요일이 12시간인지 모르므로 평일을 고정 배치할 수 없다. 그래서 무거운 두 리프트를 토 · 일에 고정하고, 평일 2회는 8시간인 날로 그 주에 맞춰 넣는다.</t>
  </si>
  <si>
    <t>· 평일 두 세션은 둘 다 척추 부하가 0이다. 어느 요일에 걸려도 다음날 근무를 망치지 않도록 그렇게 짰다.</t>
  </si>
  <si>
    <t>· 평일 두 세션은 붙이지 말고 사이에 하루를 둔다. 볼륨은 시간이 남는 토 · 일로 몰고 평일은 짧게 유지한다 — 근무 뒤에 들어가는 자리이기 때문이다.</t>
  </si>
  <si>
    <t>[일요일 다음날 규칙]</t>
  </si>
  <si>
    <t>· 일요일 다음날은 비우는 것이 기본이다. 당기기 12세트 + 데드 뒤라 회복이 우선이다.</t>
  </si>
  <si>
    <t>· 훈련해야 한다면 평일 B다. 어깨 · 하체 고립 · 코어뿐이라 일요일과 겹치는 부위가 하나도 없다.</t>
  </si>
  <si>
    <t>· 평일 A는 등 보조가 6세트라 일요일 바로 다음날에 넣으면 등이 이틀 연속이 된다. 이 자리에는 두지 않는다.</t>
  </si>
  <si>
    <t>[유지가 아니라 성장이 목표다]</t>
  </si>
  <si>
    <t>· 120세트는 유지선(75)이 아니라 성장선이다. 유지 모드로 두면 현장 일 기간 내내 3대 500이 멈추기 때문에 그렇게 잡지 않았다.</t>
  </si>
  <si>
    <t>· 재택 주당 환산 161세트의 75%다. 헬스 세트는 그만큼 줄지만 현장 일이 등 · 하체 · 기립근 · 그립에 하루치를 얹으므로 총 부하는 덜 줄어든다.</t>
  </si>
  <si>
    <t>· 유지선에서 되살린 곳 — 둔근 0 → 3 · 중둔근 0 → 3 · 내전근 0 → 3 · 승모 중부 0 → 3 · 전완 0 → 6.</t>
  </si>
  <si>
    <t>· 성장선으로 올린 곳 — 사두 7 → 12 · 흉근 상부 3 → 9 · 측면삼각 10 · 후면삼각 4 → 10 · 삼두 3 → 6 · 이두 3 → 6 · 광배 15.</t>
  </si>
  <si>
    <t>· 안 올린 곳 — 종아리 3 · 기립근 1 · 복부 3. 현장 일이 하루치를 얹어주거나 직접 경쟁하는 부위다.</t>
  </si>
  <si>
    <t>[미는 종목과 지키는 종목]</t>
  </si>
  <si>
    <t>· 매주 미는 것은 벤치 · 스쿼트 · 오버헤드 프레스 셋이다. 전부 세션 앞쪽에 신선한 상태로 배치했다.</t>
  </si>
  <si>
    <t>· 데드는 첫 4주 지키기만 한다. 허리가 현장 일과 직접 경쟁하는 유일한 부위이고, 여기를 밀려다 나머지가 다 무너진다.</t>
  </si>
  <si>
    <t>· 나머지 보조 종목은 전부 더블 프로그레션 — 목표 반복 상단을 전 세트에서 채우면 그때 중량을 올린다.</t>
  </si>
  <si>
    <t>[세션 크기]</t>
  </si>
  <si>
    <t>· 평일 A 72분 26세트 · 평일 B 66분 32세트 · 토 84분 31세트 · 일 74분 31세트. 상한은 26세트이나 고립 소근육은 예외로 본다.</t>
  </si>
  <si>
    <t>· 평일 B는 메인 리프트가 없고 거의 전부가 고립이라 상한 규칙의 적용 대상이 아니다. 휴식이 60~75초라 45분이면 끝난다.</t>
  </si>
  <si>
    <t>· 평일 A는 고립 10세트를 빼면 실질 16, 토요일은 15세트를 빼면 실질 15, 일요일은 12세트를 빼면 실질 19다.</t>
  </si>
  <si>
    <t>[예상 시간 — 산정 기준]</t>
  </si>
  <si>
    <t>· 휴식 기준: 메인 본세트 3분 · 다관절 보조 2~2분 30초 · 하체 고립 2분 · 흉근 고립 105초 · 종아리 · 등 고립 75초 · 팔 고립 60~75초 · 어깨 고립 · 복부 60초. 재택판과 같은 기준이다.</t>
  </si>
  <si>
    <t>· 편측(좌우) 종목은 수행을 60초로 잡는다 — 원 레그 컬 · 케이블 힙 외전 · 원암 케이블 레터럴.</t>
  </si>
  <si>
    <t>· 시계보다 반복 수가 우선이다. 직전 세트보다 2회 이상 떨어지면 휴식이 짧은 것 — 특히 스쿼트 · 데드가 그렇다.</t>
  </si>
  <si>
    <t>· 평일 두 세션이 가장 짧다. 8시간 근무 뒤에 들어가는 자리이므로 그렇게 짰다.</t>
  </si>
  <si>
    <t>· 웜업은 별도다. 메인 리프트가 있는 날은 10~15분을 더 잡는다.</t>
  </si>
  <si>
    <t>토요일 — 하체 위주 (하체 A)</t>
  </si>
  <si>
    <t>시간이 널널한 날. 스쿼트만 프리웨이트로 두고 나머지는 전부 머신 — 다음날 데드가 있으므로 힌지를 빼서 기립근 부하를 0에 가깝게 만든다.</t>
  </si>
  <si>
    <t>레그 프레스 (허리 부담 시 1순위) / 스미스 스쿼트 / 핵 스쿼트</t>
  </si>
  <si>
    <t>스미스 오버헤드 프레스</t>
  </si>
  <si>
    <t>머신 숄더 프레스 (완전 머신을 원할 때 — 단 증량 추적은 끊긴다)</t>
  </si>
  <si>
    <t>스쿼트 뒤 사두 볼륨을 척추 부하 없이 채운다. 발 위치를 높게 두면 둔근·햄스트링도 걸린다. 더블 프로그레션 — 전 세트가 목표 반복 상단에 닿으면 다음 주에 중량을 올린다</t>
  </si>
  <si>
    <t>핵 스쿼트 / 45도 레그 프레스 / 스미스 스쿼트</t>
  </si>
  <si>
    <t>시시 스쿼트 머신 / 레그 프레스 (고립은 아니나 궤도 고정)</t>
  </si>
  <si>
    <t>루마니안 데드 대체. 힌지를 빼서 다음날 데드가 온전히 나온다. 편측이라 좌우 차이도 잡힌다. 더블 프로그레션 — 전 세트가 목표 반복 상단에 닿으면 다음 주에 중량을 올린다</t>
  </si>
  <si>
    <t>라잉 / 시티드 레그 컬 (양측) / 케이블 풀스루</t>
  </si>
  <si>
    <t>40</t>
  </si>
  <si>
    <t>와이드 스탠스 레그 프레스 / 케이블 어덕션</t>
  </si>
  <si>
    <t>앉아서 하는 쪽. 온종일 서 있던 날 스탠딩보다 부담이 적다. 현장 일이 종아리를 종일 쓰므로 직접 3세트로 충분</t>
  </si>
  <si>
    <t>스탠딩 카프 레이즈 머신 / 레그 프레스 카프 레이즈</t>
  </si>
  <si>
    <t>리버스 펙덱</t>
  </si>
  <si>
    <t>15~20</t>
  </si>
  <si>
    <t>케이블 리버스 플라이 / 리어 델트 로우 (로프) / 페이스풀 (로프)</t>
  </si>
  <si>
    <t>케이블 레터럴 레이즈 / 머신 레터럴</t>
  </si>
  <si>
    <t>[배치 이유]</t>
  </si>
  <si>
    <t>· 토 · 일은 근무 패턴과 무관하게 확보되는 이틀이다. 무거운 두 리프트(스쿼트 · 데드)를 여기에 고정하는 이유가 그것이다.</t>
  </si>
  <si>
    <t>· 스쿼트(토) → 데드(일) 순서가 그 반대보다 낫다. 데드 다음날 스쿼트는 허리가 받쳐주지 않는다.</t>
  </si>
  <si>
    <t>· 스미스 오버헤드 프레스를 2번째에 둔 것은 이것이 증량을 추적하는 리프트이기 때문이다. 하체 볼륨 뒤로 밀면 진행이 안 나온다.</t>
  </si>
  <si>
    <t>· 힌지 계열(루마니안 데드)을 빼고 원 레그 컬로 햄스트링을 채운다. 다음날 데드가 온전히 나온다.</t>
  </si>
  <si>
    <t>· 어깨 보조는 오버헤드 프레스 3 + 리버스 펙덱 3 + 레터럴 3 = 9세트. 하체 21 + 어깨 9로 이 날은 하체와 어깨만 하는 날이다.</t>
  </si>
  <si>
    <t>[허리가 부담되면]</t>
  </si>
  <si>
    <t>· 스쿼트를 레그 프레스로 교체하면 기립근이 완전히 빠져 다음날 데드가 온전히 나온다.</t>
  </si>
  <si>
    <t>· 토 · 일 연속은 이상적이지 않으나 이 근무 스케줄에서는 다른 선택지가 없다.</t>
  </si>
  <si>
    <t>· 스쿼트 5×5는 성장선이다. 다음 근무일 아침 허리가 무거운 주가 이어지면 3×5로 되돌린다.</t>
  </si>
  <si>
    <t>· 30세트지만 고립(레그 익스텐션 · 이너 타이 · 카프 · 리버스 펙덱 · 레터럴)이 15세트다. 상한 규칙상 실질 15로 본다.</t>
  </si>
  <si>
    <t>· 약 84분으로 가장 길다. 시간이 확보되는 날이라 여기에 몰았다.</t>
  </si>
  <si>
    <t>[요청 원문] 이너타이, 벡덱플라이</t>
  </si>
  <si>
    <t>일요일 — 등 위주 (상체 B)</t>
  </si>
  <si>
    <t>완전 휴무일이라 회복된 상태에서 시작하고 하루가 통째로 남는다. 척추가 버티는 종목과 전완은 전부 이 날에 모았다.</t>
  </si>
  <si>
    <t>트랩바 데드 (요추 전단력 ↓ — 볼륨을 올리려면 이쪽이 먼저다) / 랙풀</t>
  </si>
  <si>
    <t>스미스 바벨 로우(오버그립)</t>
  </si>
  <si>
    <t>40~45</t>
  </si>
  <si>
    <t>궤도가 고정돼 데드 뒤에도 허리 비용이 낮다. 척추가 버티는 종목이라 완전 휴무일에만 둔다. 더블 프로그레션 — 전 세트가 목표 반복 상단에 닿으면 다음 주에 중량을 올린다</t>
  </si>
  <si>
    <t>티바 로우 / 해머 스트랭스 로우 (허리가 무거운 주)</t>
  </si>
  <si>
    <t>135/145/155/165</t>
  </si>
  <si>
    <t>시티드 케이블 로우(좁은 그립)</t>
  </si>
  <si>
    <t>머신 로우 / 원암 케이블 로우 (좌우 독립)</t>
  </si>
  <si>
    <t>수직 당기기. 그립이 지쳐 있으면 주저 말고 어시스트 머신으로 — 뒤에 전완 6세트가 남아 있다</t>
  </si>
  <si>
    <t>어시스트 풀업 머신 (1순위 — 그립 부담 ↓) / 랫풀다운</t>
  </si>
  <si>
    <t>135/150/165</t>
  </si>
  <si>
    <t>32</t>
  </si>
  <si>
    <t>페이스풀 (로프) / 리버스 펙덱 (팔 편 채로)</t>
  </si>
  <si>
    <t>프론 Y 레이즈 대신. 팔이 머리 위에 고정된 채 견갑을 내리므로 하부 승모가 더 확실히 걸린다. 더블 프로그레션 — 전 세트가 목표 반복 상단에 닿으면 다음 주에 중량을 올린다</t>
  </si>
  <si>
    <t>프론 Y 레이즈 / 케이블 Y 레이즈</t>
  </si>
  <si>
    <t>가슴 보조 첫째. 시간이 가장 많은 날이라 되살렸다 — 맨몸이라 세팅도 필요 없다</t>
  </si>
  <si>
    <t>어시스트 딥스 머신 / 헤머스트랭스 체스트 프레스</t>
  </si>
  <si>
    <t>105/120/135</t>
  </si>
  <si>
    <t>펙덱 플라이 / 덤벨 플라이</t>
  </si>
  <si>
    <t>케이블 컬 (전 구간 장력) / 머신 컬 / EZ바 프리쳐 컬 (손목이 편함)</t>
  </si>
  <si>
    <t>시티드 리스트 컬(손등 아래)</t>
  </si>
  <si>
    <t>굴근 쪽. 그립과 같은 구획이라 당기기 뒤에 가장 많이 깎인다 — 그래서 전완 둘 중 먼저 친다. 더블 프로그레션 — 전 세트가 목표 반복 상단에 닿으면 다음 주에 중량을 올린다</t>
  </si>
  <si>
    <t>바벨 리스트 컬 / 케이블 리스트 컬</t>
  </si>
  <si>
    <t>신근 쪽. 그립을 쓰지 않는 근육이라 당기기 뒤에도 온전히 나온다. 벤치에 앉은 채 손만 뒤집으면 된다. 더블 프로그레션 — 전 세트가 목표 반복 상단에 닿으면 다음 주에 중량을 올린다</t>
  </si>
  <si>
    <t>바벨 리버스 리스트 컬 / 케이블 리스트 익스텐션</t>
  </si>
  <si>
    <t>[데드리프트 운용 규칙]</t>
  </si>
  <si>
    <t>· 볼륨을 올리고 싶은데 허리가 애매하면 트랩바로 바꾸는 것이 먼저다 — 요추 전단력이 낮아 같은 세트에서 비용이 싸다.</t>
  </si>
  <si>
    <t>· 허리가 무거운 주에는 데드와 스미스 로우를 둘 다 건너뛴다. 건너뛰는 것이 규율이지 나태가 아니다.</t>
  </si>
  <si>
    <t>· 12시간 근무일 바로 다음날이 일요일이 되는 주에는 데드를 빼거나 트랩바로 대체할 것.</t>
  </si>
  <si>
    <t>[척추 종목이 이 날에 모인 이유]</t>
  </si>
  <si>
    <t>· 데드와 스미스 바벨 로우는 척추가 버텨야 하는 종목이다. 완전 휴무일이라 전날 밤 회복 후 시작하고 하루가 통째로 남는다.</t>
  </si>
  <si>
    <t>· 바벨을 스미스로 바꿔 궤도를 고정했다 — 같은 자극에 허리 비용이 내려간다.</t>
  </si>
  <si>
    <t>· 평일 A의 등 보조 자리는 해머 스트랭스 로우가 맡는다. 체스트 서포티드라 척추 부하가 0이다.</t>
  </si>
  <si>
    <t>· 이 날 다음날은 비우는 것이 기본이다. 훈련해야 한다면 등도 척추도 안 쓰는 평일 B로 간다.</t>
  </si>
  <si>
    <t>[전완을 이 날에 모은 이유]</t>
  </si>
  <si>
    <t>· 시간이 가장 많은 날이라 여기로 모았다. 대신 평일 A가 23세트로 짧아진다 — 8시간 근무 뒤에 들어가는 세션이라 그 편이 낫다.</t>
  </si>
  <si>
    <t>· 굴근(손등 아래)은 그립과 같은 구획이라 당기기 9세트 뒤에 깎인다. 그래서 둘 중 먼저 친다.</t>
  </si>
  <si>
    <t>· 신근(손등 위)은 그립을 쓰지 않아 당기기 뒤에도 온전하다. 이 날에 둬도 손해가 없는 쪽이다.</t>
  </si>
  <si>
    <t>· 굴근 중량이 평소보다 낮게 나오는 것이 정상이다. 같은 요일끼리만 비교해서 진행을 잰다.</t>
  </si>
  <si>
    <t>· 그립을 아끼려면 친업을 어시스트 머신으로 돌린다.</t>
  </si>
  <si>
    <t>[이 세션이 가장 크다]</t>
  </si>
  <si>
    <t>· 31세트로 가장 크다. 다만 고립(플라이 · 프리쳐 컬 · 리스트 컬 2종)이 12세트라 상한 규칙상 실질 19다.</t>
  </si>
  <si>
    <t>· 약 74분. 완전 휴무일이라 시간이 통째로 남고 다음날 완충도 있어서 여기에 몰았다.</t>
  </si>
  <si>
    <t>· 광배는 이 날 9세트 + 평일 A 6세트 = 주 15세트.</t>
  </si>
  <si>
    <t>[요청 원문] 시티드 케이블 로우 스캡 슈러그(두번째 크기 바), 와이 프론트 레이즈 대신 오버헤드 슈러그, 디클라인 케이블 플라이, 인클라인 덤벨컬, 시티드 리스트 컬(손등 아래), 리버스컬</t>
  </si>
  <si>
    <t>평일 B — 어깨 위주 (하체 B)</t>
  </si>
  <si>
    <t>척추 부하가 0인 세션. 근무 상황을 가장 안 타므로 주중 어디에 넣어도 되고, 일요일 다음날에 쓸 수 있는 유일한 세션이다.</t>
  </si>
  <si>
    <t>궤도 고정이라 안정화 부담이 없다. 토요일 오버헤드 프레스와 각도를 나눈다. 더블 프로그레션 — 전 세트가 목표 반복 상단에 닿으면 다음 주에 중량을 올린다</t>
  </si>
  <si>
    <t>케이블 레터럴 레이즈</t>
  </si>
  <si>
    <t>원암 케이블 레터럴 레이즈</t>
  </si>
  <si>
    <t>5~7</t>
  </si>
  <si>
    <t>케이블이라 전 구간 장력이 걸린다. 덤벨 레터럴이 약한 하단 구간을 메운다. 더블 프로그레션 — 전 세트가 목표 반복 상단에 닿으면 다음 주에 중량을 올린다</t>
  </si>
  <si>
    <t>리닝 케이블 레터럴 / 머신 레터럴</t>
  </si>
  <si>
    <t>현장 자세가 어깨를 앞으로 말므로 감축 대상이 아니다. 오히려 더 필요해진다. 더블 프로그레션 — 전 세트가 목표 반복 상단에 닿으면 다음 주에 중량을 올린다</t>
  </si>
  <si>
    <t>케이블 리버스 플라이 / 리어 델트 로우 (로프)</t>
  </si>
  <si>
    <t>케이블이라 전 구간 장력이 걸린다 — 머신이 약한 수축 끝단을 메운다. 벤트오버 머신과 저항곡선이 갈리는 것이 이 자리의 값이다. 더블 프로그레션 — 전 세트가 목표 반복 상단에 닿으면 다음 주에 중량을 올린다</t>
  </si>
  <si>
    <t>리버스 펙덱 / 리어 델트 로우 (로프) / 페이스풀 (로프)</t>
  </si>
  <si>
    <t>일요일에서 옮겨 왔다. 이 날은 이두를 쓰는 종목이 하나도 없어 완전히 신선하다 — 늘어난 구간 종목이라 그 차이가 크다. 더블 프로그레션 — 전 세트가 목표 반복 상단에 닿으면 다음 주에 중량을 올린다</t>
  </si>
  <si>
    <t>케이블 드래그 컬 / 스파이더 컬</t>
  </si>
  <si>
    <t>40~50</t>
  </si>
  <si>
    <t>복귀판에 둔근 직접 세트가 하나도 없었다. 척추 부하 없이 둔근만 때리는 유일한 자리. 더블 프로그레션 — 전 세트가 목표 반복 상단에 닿으면 다음 주에 중량을 올린다</t>
  </si>
  <si>
    <t>머신 힙 쓰러스트 / 글루트 브릿지 / 케이블 풀스루</t>
  </si>
  <si>
    <t>재택 7일차 종목. 복귀판에 중둔근이 통째로 비어 있던 것을 되살린다 — 앉는 시간이 길면 대둔근보다 중둔근이 먼저 잠든다. 더블 프로그레션 — 전 세트가 목표 반복 상단에 닿으면 다음 주에 중량을 올린다</t>
  </si>
  <si>
    <t>머신 힙 어브덕션 / 밴드 사이드 워크</t>
  </si>
  <si>
    <t>시티드 레그 컬 (1순위 — 각도가 갈린다) / 라잉 레그 컬</t>
  </si>
  <si>
    <t>현장 일은 코어를 버티게만 하지 굴곡시키지 않는다. 직접 굴곡은 여기서만 들어간다</t>
  </si>
  <si>
    <t>케이블 크런치 (머신) / 앱스 머신 / 캡틴 체어 니 레이즈</t>
  </si>
  <si>
    <t>· 전부 고립 · 머신이고 척추 부하가 0이다. 근무 상황을 가장 안 타므로 주중 어디에 넣어도 된다.</t>
  </si>
  <si>
    <t>· 일요일 바로 다음날에 훈련해야 한다면 이 세션이다 — 등도 척추도 안 쓰므로 유일하게 겹치지 않는다.</t>
  </si>
  <si>
    <t>· 32세트지만 메인 리프트가 없고 거의 전부가 고립이라 상한 규칙의 적용 대상이 아니다. 휴식이 60~75초라 약 66분이면 끝난다.</t>
  </si>
  <si>
    <t>· 평일 A와 붙이지 말고 사이에 하루를 둔다.</t>
  </si>
  <si>
    <t>[이두가 이 날에 있는 이유]</t>
  </si>
  <si>
    <t>· 재택 9일 주기에서 이두를 당기기 날에서 어깨 날로 옮긴 것과 같은 논리다. 당기기 뒤에는 이두가 간접으로 이미 지쳐 있다.</t>
  </si>
  <si>
    <t>· 인클라인 덤벨 컬은 장두가 늘어난 위치에서 시작하는 것이 전부인 종목이라, 지친 상태면 그 특성이 죽는다.</t>
  </si>
  <si>
    <t>· 짧아진 구간을 맡는 프리쳐 컬은 일요일에 남겼다 — 이두를 주 2회 3세트씩으로 나눈 것이다.</t>
  </si>
  <si>
    <t>[이 세션을 버리는 기준]</t>
  </si>
  <si>
    <t>· 8시간인 평일이 하루뿐인 주에는 이 세션을 뺀다. 네 개 중 가장 먼저 버리는 자리다.</t>
  </si>
  <si>
    <t>· 그것은 의지박약이 아니라 그 상황에서의 규율이다.</t>
  </si>
  <si>
    <t>[요청 원문] 레그 익스텐션, 힙쓰러스트, 원암 케이블 레터럴레이즈</t>
  </si>
  <si>
    <t>평일 A — 가슴 위주 (상체 A)</t>
  </si>
  <si>
    <t>미는 날. 현장 일이 채워주지 않는 유일한 영역이라 여기는 깎지 않고 매주 올린다.</t>
  </si>
  <si>
    <t>스미스 벤치 / 체스트 프레스 머신</t>
  </si>
  <si>
    <t>3 → 5세트. 쇄골지가 직접 3세트뿐이라 실질 4.0으로 하한 미달이었던 것을 메운 자리. 더블 프로그레션 — 전 세트가 목표 반복 상단에 닿으면 다음 주에 중량을 올린다</t>
  </si>
  <si>
    <t>인클라인 스미스 프레스 / 인클라인 덤벨 프레스</t>
  </si>
  <si>
    <t>인클라인 덤벨 플라이</t>
  </si>
  <si>
    <t>재택 2일차 종목이라 새로 익힐 것이 없다. 상부지를 프레스와 플라이 두 각도로 채운다. 더블 프로그레션 — 전 세트가 목표 반복 상단에 닿으면 다음 주에 중량을 올린다</t>
  </si>
  <si>
    <t>펙덱 플라이 머신 (인클라인 각도) / 인클라인 케이블 플라이</t>
  </si>
  <si>
    <t>체스트 서포티드라 척추 부하가 0이다. 평일에 놓을 수 있는 유일한 로우. 더블 프로그레션 — 전 세트가 목표 반복 상단에 닿으면 다음 주에 중량을 올린다</t>
  </si>
  <si>
    <t>시티드 케이블 로우 / 머신 로우</t>
  </si>
  <si>
    <t>랫풀다운(언더그립 좁게 안쪽으로)</t>
  </si>
  <si>
    <t>뉴트럴 그립 랫풀다운 / 어시스트 풀업 머신</t>
  </si>
  <si>
    <t>늘어난 구간. 팔꿈치가 시큰하면 EZ바로 바꾼다. 더블 프로그레션 — 전 세트가 목표 반복 상단에 닿으면 다음 주에 중량을 올린다</t>
  </si>
  <si>
    <t>EZ바 라잉 익스텐션 (손목·팔꿈치 부담 ↓) / 케이블 오버헤드 익스텐션</t>
  </si>
  <si>
    <t>V바 푸쉬다운 / 케이블 킥백</t>
  </si>
  <si>
    <t>[가슴 배분]</t>
  </si>
  <si>
    <t>· 26세트. 전완 2종목은 시간이 남는 일요일에 있고, 대신 쇄골지 보강분이 들어왔다.</t>
  </si>
  <si>
    <t>· 고립(라잉 · 푸쉬다운 · 인클라인 플라이)이 10세트라 실질 16이다.</t>
  </si>
  <si>
    <t>· 실패지점은 3~4회 남기고 종료. 미는 종목이라도 다음날 근무가 있다는 사실은 안 바뀐다.</t>
  </si>
  <si>
    <t>[요청 원문] 바벨로우, 푸쉬다운(로프), 시티드 리스트 컬(손등 위)</t>
  </si>
  <si>
    <t>현장 복귀 버전 — 증량 및 판단 기준</t>
  </si>
  <si>
    <t>목표는 유지가 아니라 완만한 성장이다. 재택의 주 5kg 선형을 그대로 쓸 수는 없으므로 폭을 줄이고 방식을 더블 프로그레션으로 바꾼다.</t>
  </si>
  <si>
    <t>항목</t>
  </si>
  <si>
    <t>재택 버전</t>
  </si>
  <si>
    <t>복귀 버전</t>
  </si>
  <si>
    <t>목표</t>
  </si>
  <si>
    <t>성장</t>
  </si>
  <si>
    <t>완만한 성장</t>
  </si>
  <si>
    <t>유지 모드로 두면 현장 일 기간 내내 3대 500이 멈춘다. 느려도 방향은 위로 둔다</t>
  </si>
  <si>
    <t>주 6회</t>
  </si>
  <si>
    <t>주 4회 (토 · 일 + 평일 2)</t>
  </si>
  <si>
    <t>12시간 요일이 유동이라 고정할 수 있는 것은 토 · 일뿐. 평일 2회는 그 주 근무표를 보고 넣는다</t>
  </si>
  <si>
    <t>총 세트</t>
  </si>
  <si>
    <t>주당 환산 161세트</t>
  </si>
  <si>
    <t>약 120세트</t>
  </si>
  <si>
    <t>유지선은 75. 비어 있던 부위를 되살리고 사두 · 삼각 · 팔을 MEV 위로 올렸다</t>
  </si>
  <si>
    <t>증량 방식</t>
  </si>
  <si>
    <t>매주 선형</t>
  </si>
  <si>
    <t>메인 3종목만 선형 · 나머지는 더블 프로그레션</t>
  </si>
  <si>
    <t>현장 일로 컨디션 변동이 크다. 반복을 먼저 채우고 중량을 올리는 편이 X가 덜 쌓인다</t>
  </si>
  <si>
    <t>증량 폭</t>
  </si>
  <si>
    <t>하체 5 / 벤치 2.25 / 프레스 1.25</t>
  </si>
  <si>
    <t>미는 종목</t>
  </si>
  <si>
    <t>전부</t>
  </si>
  <si>
    <t>벤치 · 스쿼트 · 오버헤드 프레스</t>
  </si>
  <si>
    <t>셋 다 세션 앞쪽에 신선한 상태로 둔다. 현장 일이 안 채우는 영역이라 여기가 가장 확실하게 오른다</t>
  </si>
  <si>
    <t>지키는 종목</t>
  </si>
  <si>
    <t>데드리프트 (첫 4주)</t>
  </si>
  <si>
    <t>허리는 현장 일과 직접 경쟁한다. 4주간 지표가 깨끗하면 2×5로 올려 성장으로 돌린다</t>
  </si>
  <si>
    <t>실패지점</t>
  </si>
  <si>
    <t>2~3회 남기고</t>
  </si>
  <si>
    <t>3~4회 남기고</t>
  </si>
  <si>
    <t>다음날 현장에서 청구서로 돌아온다. 미는 종목이라도 이 기준은 안 바뀐다</t>
  </si>
  <si>
    <t>팔 전용 종목</t>
  </si>
  <si>
    <t>25세트</t>
  </si>
  <si>
    <t>18세트 (이두 6 · 삼두 6 · 전완 6)</t>
  </si>
  <si>
    <t>전완은 그립이 현장에서 온종일 쓰이지만 손목 굴곡 · 신전은 따로 안 나온다. 신근 · 굴근 1종목씩 남겼다</t>
  </si>
  <si>
    <t>장비</t>
  </si>
  <si>
    <t>프리웨이트 중심</t>
  </si>
  <si>
    <t>머신 · 케이블 중심 (스쿼트 · 벤치 · 데드 · 바벨로우 제외)</t>
  </si>
  <si>
    <t>현장 일이 안정화 근육을 이미 하루치 쓴다. 남은 힘을 표적 근육에만 쓰는 편이 남는다</t>
  </si>
  <si>
    <t>[더블 프로그레션 — 보조 종목의 기본 증량법]</t>
  </si>
  <si>
    <t>· 목표 반복이 8~12라면, 전 세트에서 12회를 채운 다음 주에 중량을 올린다. 올린 주에는 반복이 8회로 떨어지는 것이 정상이다.</t>
  </si>
  <si>
    <t>· 선형은 날짜가 증량을 정하고 더블 프로그레션은 몸이 정한다. 현장 일로 컨디션이 흔들릴 때 뒤쪽이 안 무너진다.</t>
  </si>
  <si>
    <t>· 메인 3종목(스쿼트 · 벤치 · 데드)만 선형으로 남긴다. 5회 고정이라 반복으로 진행을 잴 수가 없기 때문이다.</t>
  </si>
  <si>
    <t>[판단 기준]</t>
  </si>
  <si>
    <t>· 유일한 지표는 다음 근무일 아침의 허리 상태다.</t>
  </si>
  <si>
    <t>· 뻐근하면 그 주 무게가 과했던 것 — 다음 주에 내린다. 어떤 프로그램 표보다 정확하다.</t>
  </si>
  <si>
    <t>· 몸 상태가 안 좋은 날은 건너뛴다. 주 4회 중 3회만 가는 주가 있어도 된다.</t>
  </si>
  <si>
    <t>[성장 속도에 대한 현실적인 기대]</t>
  </si>
  <si>
    <t>· 재택 때 속도의 1/3~1/2이 정상이다. 못 채운 주가 이어져도 실패가 아니다 — 증량기록에 X를 넣으면 그 주 중량이 유지된다.</t>
  </si>
  <si>
    <t>· 현장 일을 하면서 성장하는 조건은 볼륨이 아니라 미는 자리를 좁게 잡는 것이다. 벤치와 스쿼트 둘만 확실히 밀어도 3대는 올라간다.</t>
  </si>
  <si>
    <t>[105세트가 버거우면 이 순서로 뺀다]</t>
  </si>
  <si>
    <t>· 2순위 — 전완 2종목(6). 그립은 현장에서 온종일 쓰므로 실질 손실이 가장 적다.</t>
  </si>
  <si>
    <t>· 3순위 — 레그 익스텐션 · 펙덱 · 디클라인 플라이(9). 고립이라 메인 리프트 진행에 영향이 없다.</t>
  </si>
  <si>
    <t>· 마지막까지 지키는 것은 벤치 · 스쿼트 · 데드와 프레싱 볼륨이다. 현장 일이 안 채우는 영역이기 때문이다.</t>
  </si>
  <si>
    <t>[디로드 — 6~8주마다 한 주]</t>
  </si>
  <si>
    <t>· 세트를 절반으로 내리고 중량은 그대로 둔다. 볼륨만 빼고 강도를 유지해야 근력이 남는다.</t>
  </si>
  <si>
    <t>· 메인 리프트는 세트만 줄인다 — 스쿼트 5×5 → 2×5 · 벤치 5×5 → 2×5 · 데드는 건너뛴다. 중량은 손대지 않는다.</t>
  </si>
  <si>
    <t>· 보조 종목은 전부 절반으로. 3세트짜리는 1~2세트, 4세트짜리는 2세트.</t>
  </si>
  <si>
    <t>· 기본 주기는 6주다. 다음 근무일 아침 허리가 2주 연속 무거우면 그 시점에 앞당긴다.</t>
  </si>
  <si>
    <t>· 디로드 다음 주에 기록이 깨지는 경우가 많다. 쉬어서 느려지는 것이 아니라 쌓인 피로가 빠지면서 그동안의 적응이 드러나는 것이다.</t>
  </si>
  <si>
    <t>· 이것이 없으면 어느 시점에 반드시 막히고, 막힌 것을 '볼륨이 부족한가'로 오해해 더 넣게 된다. 부상은 대개 그 경로로 온다.</t>
  </si>
  <si>
    <t>[세트별 휴식 램프 — 2026-09-04]</t>
  </si>
  <si>
    <t>· L열 '세트별 휴식(초)'에 "150/165/180/195/210"처럼 적으면 타이머가 세트마다 그 값을 쓴다. 비어 있으면 '휴식(초)' 한 값을 전 세트에 쓴다.</t>
  </si>
  <si>
    <t>· 앞 세트에서 덜어 뒤 세트에 준다. 평균을 그대로 두었으므로 세션 시간은 1초도 안 늘었다 — 현장 기간에는 시간이 가장 빡빡한 제약이라 여기서는 평균을 올리지 않는다.</t>
  </si>
  <si>
    <t>· 넣은 곳 — 벤치 · 스쿼트 · 스미스 OHP · 스미스 바벨 로우 · 친업 · 딥스. 데드는 1×5라 세트 간 휴식이 없다.</t>
  </si>
  <si>
    <t>· 현장 기간에는 휴식을 늘리지 말고 재배분만 한다. 늘려야 할 만큼 무거워졌다면 그건 증량을 멈출 신호에 가깝다.</t>
  </si>
  <si>
    <t>· '휴식(초)' 열은 반드시 램프의 평균으로 맞춘다 — '종목 분'이 세트×(수행+휴식)이라 어긋나면 세션 시간 추정이 틀어진다.</t>
  </si>
  <si>
    <t>복귀판 간접 세트 계수 맵 — 복귀_세트검산 간접 열(C)의 계산 원천</t>
  </si>
  <si>
    <t>각 줄 = "이 종목이 → 이 근육에 → 계수만큼 기여". 원천세트는 복귀 시트 E열에서 이름 매칭으로 자동 산출, 간접세트 = 계수 × 원천세트. 복귀_세트검산 C열이 이 표를 근육별 SUMIFS로 합산한다. 복귀판은 주 단위라 이 값이 곧 주간 세트다 — 재택처럼 ×7/8 환산하지 않는다.</t>
  </si>
  <si>
    <t>계수 규칙(상한 0.5):  0.5 = 명확한 협력근(능동 수축·신전) · 0.33 = 부분 협력(관여하나 비주도) · 0.2 = 약한 자극(고장력 등척성 또는 미미한 동적 관여) · 0 = 순수 그립·안정화(자극 없음). 재택 간접계수맵과 같은 규칙을 쓴다.</t>
  </si>
  <si>
    <t>원천 슬롯</t>
  </si>
  <si>
    <t>복귀_평일A_가슴</t>
  </si>
  <si>
    <t>엎침 그립 + 팔꿈치 벌린 수평 로우 — 굽히는 일은 주로 상완근·상완요골근. 당기기 → 이두 계수는 그립으로 정한다: 뒤침 0.5 · 뉴트럴 0.33 · 엎침 0.2 (2026-09-04 정리).</t>
  </si>
  <si>
    <t>뒤침 그립(언더그립 좁게) — 이두가 유리한 자리에서 능동 굴곡. 당기기 → 이두 계수는 그립으로 정한다: 뒤침 0.5 · 뉴트럴 0.33 · 엎침 0.2 (2026-09-04 정리).</t>
  </si>
  <si>
    <t>복귀_일_등</t>
  </si>
  <si>
    <t>엎침 그립 수평 로우 — 해머 로우(0.2)와 같은 등급. 당기기 → 이두 계수는 그립으로 정한다: 뒤침 0.5 · 뉴트럴 0.33 · 엎침 0.2 (2026-09-04 정리).</t>
  </si>
  <si>
    <t>좁은 뉴트럴 그립 — 엎침(0.2)과 뒤침(0.5) 사이. 당기기 → 이두 계수는 그립으로 정한다: 뒤침 0.5 · 뉴트럴 0.33 · 엎침 0.2 (2026-09-04 정리).</t>
  </si>
  <si>
    <t>뒤침 그립 — 이두가 유리한 자리에서 능동 굴곡. 당기기 → 이두 계수는 그립으로 정한다: 뒤침 0.5 · 뉴트럴 0.33 · 엎침 0.2 (2026-09-04 정리).</t>
  </si>
  <si>
    <t>프레스 중 팔꿈치 신전 — 강한 협력</t>
  </si>
  <si>
    <t>프레스 중 팔꿈치 신전</t>
  </si>
  <si>
    <t>복귀_평일B_어깨</t>
  </si>
  <si>
    <t>복귀_토_하체</t>
  </si>
  <si>
    <t>수평 내전 시 전면삼각 능동 관여</t>
  </si>
  <si>
    <t>경사각이 클수록 전면삼각 기여 증가</t>
  </si>
  <si>
    <t>몸을 앞으로 기울인 자세에서 약한 관여</t>
  </si>
  <si>
    <t>머리 위 프레스 중 측면삼각 능동 외전</t>
  </si>
  <si>
    <t>넓은 그립 로우의 광배 관여 — 주동근(능형·중부승모)은 직접으로 센다 (2026-09-04 전환)</t>
  </si>
  <si>
    <t>로우 중 견갑 후인</t>
  </si>
  <si>
    <t>수평 외전 + 견갑 후인 — 강한 협력</t>
  </si>
  <si>
    <t>견갑 후인 부분 협력</t>
  </si>
  <si>
    <t>머리 위 구간 견갑 상방 회전 — 약한 관여</t>
  </si>
  <si>
    <t>로우 상단 견갑 거상 — 약한 관여</t>
  </si>
  <si>
    <t>고장력 등척성 지지</t>
  </si>
  <si>
    <t>견갑 하강은 동작 개시 관여라 약계수</t>
  </si>
  <si>
    <t>견갑 하강 개시 관여</t>
  </si>
  <si>
    <t>고장력 등척성 — 실패지점까지 가지 않음</t>
  </si>
  <si>
    <t>상체 각도 유지 등척성</t>
  </si>
  <si>
    <t>선 자세 유지 등척성</t>
  </si>
  <si>
    <t>고관절 신전 능동</t>
  </si>
  <si>
    <t>고관절 신전 시 햄스트링 능동 협력</t>
  </si>
  <si>
    <t>힌지 중 햄스트링 신장성 부하</t>
  </si>
  <si>
    <t>벌어진 스탠스 구간 약관여</t>
  </si>
  <si>
    <t>플랫 벤치가 쇄골지에도 일부 기여</t>
  </si>
  <si>
    <t>흉늑지 약관여</t>
  </si>
  <si>
    <t>광배 등척성 유지 — 주 1세트뿐이라 0. 직접 15세트로 이미 충분</t>
  </si>
  <si>
    <t>코어 브레이싱은 등척성이며 실패지점 근처까지 가지 않아 0</t>
  </si>
  <si>
    <t>직접 종목이라 간접 아님 — 자리 표시용 0</t>
  </si>
  <si>
    <t>플라이 시작 구간 전면삼각 약관여</t>
  </si>
  <si>
    <t>근육군별 주간 세트 — 복귀판 검산</t>
  </si>
  <si>
    <t>세트는 근육군 단위로 센다. 복귀판은 주 4회 · 주 단위이므로 이 표의 숫자가 곧 주간 세트다 — 재택판처럼 ×7/8 환산하지 않는다. 판정 기준은 재택과 같다. 다만 현장 일이 하루치를 얹는 부위가 있어 G열에 보정 등급을 뒀다 — 보정이 '높음'인 부위는 판정이 하한 미달이어도 실제로는 채워진다고 본다.</t>
  </si>
  <si>
    <t>현장 일 보정</t>
  </si>
  <si>
    <t>직접 9세트: 인클라인 벤치프레스 머신 5 · 인클라인 덤벨 플라이 4. + 벤치 0.2×5=1.0. 2026-08-29에 직접 3 → 9로 보강했다 — 헤머 체스트를 빼고 그 자리를 쇄골지로 돌린 것이라 흉근 총량은 안 늘었다.</t>
  </si>
  <si>
    <t>인클라인 머신 0.2×5 + 인클라인 플라이 0.2×4 = 1.8. 직접 11세트: 벤치 5 · 딥스 3 · 디클라인 플라이 3. (헤머 체스트는 2026-08-29 제외 — 벤치와 같은 수평 프레스라 가장 겹쳤다.)</t>
  </si>
  <si>
    <t>직접 11세트: 평일A 랫풀다운 4(언더그립 좁게) · 일요일 시티드 케이블 로우 4(좁은 그립) · 친업 3. 간접은 넓은 그립 로우 2종(해머 로우 · 스미스 바벨 로우) 각 0.5 — 2026-09-04 라벨 정정으로 협력근이 됐다. 데드 등척성은 0.</t>
  </si>
  <si>
    <t>높음</t>
  </si>
  <si>
    <t>등 합산</t>
  </si>
  <si>
    <t>직접 0. 간접만 1.4(오버헤드 프레스·스미스 로우·데드 각 0.2). 재택의 트랩바 슈러그가 복귀판에서 빠졌다 — 다만 상부 승모는 현장에서 들고 나르는 동작으로 종일 쓰이므로 직접 종목을 두지 않았다.</t>
  </si>
  <si>
    <t>친업 0.2×3 + 랫풀다운 0.2×3 = 1.2. 직접 3세트(오버헤드 슈러그). 현장 자세가 견갑을 올리고 앞으로 말므로 유지 목적으로 남긴 자리다.</t>
  </si>
  <si>
    <t>중간</t>
  </si>
  <si>
    <t>직접 11세트: 평일A 넓은 그립 해머 로우 4 · 일요일 넓은 그립 스미스 바벨 로우 4 · 스캡 슈러그 3. 간접은 시티드 케이블 로우 0.5 · 리어델트 계열(케이블 리버스 플라이 0.5 · 벤트오버 머신 0.33 · 리버스 펙덱 0.33).</t>
  </si>
  <si>
    <t>벤치 0.5×5 + 인클라인 머신 0.5×3 + 딥스 0.2×3 = 4.6. 직접 6세트: 머신 숄더 3 · 스미스 오버헤드 3.</t>
  </si>
  <si>
    <t>오버헤드 프레스 0.5×3 = 1.5. 직접 10세트: 평일 B 7(레터럴 4 · 원암 케이블 3) + 토요일 3. 간접 자극이 거의 0인 부위라 직접 세트로만 채워진다.</t>
  </si>
  <si>
    <t>간접 출처 없음 — 로우 계열은 전부 승모 중부·능형근으로 계상했다. 직접 10세트: 평일 B 7(벤트오버 머신 4 · 케이블 리버스 3) + 토요일 리버스 펙덱 3. 현장 자세가 어깨를 앞으로 말므로 감축 대상이 아니다.</t>
  </si>
  <si>
    <t>간접 출처 없음. 직접 12세트: 스쿼트 5 · 레그 프레스 4 · 레그 익스텐션 3. 서 있기 · 걷기로 현장 일이 하루치를 얹는다.</t>
  </si>
  <si>
    <t>하체 합산(대퇴·햄·종아리)</t>
  </si>
  <si>
    <t>힙 쓰러스트 0.5×3 + 데드 0.5×1 = 2.0. 직접 6세트: 레그 컬 3 · 원 레그 컬 3. 힌지(루마니안 데드)를 뺀 만큼 직접이 얇다.</t>
  </si>
  <si>
    <t>스쿼트 0.5×5 + 데드 0.5×1 + 레그 프레스 0.33×4 = 4.32. 직접 3세트(힙 쓰러스트). 복귀판 초안에 둔근 직접이 0이었던 것을 되살린 자리다.</t>
  </si>
  <si>
    <t>간접 출처 없음 — 스쿼트 · 레그 프레스의 발목 관여는 실패지점 근처까지 가지 않아 0으로 둔다. 직접 3세트(시티드 카프). 온종일 서 있는 현장 일이 가장 확실하게 채워주는 부위라 3으로 뒀다.</t>
  </si>
  <si>
    <t>당기기 5종목을 그립별로 나눠 센다 — 친업 · 랫풀다운(둘 다 뒤침) 각 0.5 · 시티드 케이블 로우(좁은 뉴트럴) 0.33 · 해머 로우 · 스미스 바벨 로우(둘 다 엎침) 각 0.2. 직접 6세트: 평일 B 인클라인 덤벨 컬 3(신선한 자리) · 일요일 프리쳐 컬 3. 늘어난 구간은 이두가 지치지 않은 평일 B에, 짧아진 구간만 당기기 뒤에 둔다.</t>
  </si>
  <si>
    <t>프레스 6종목 0.5씩 = 10. 직접 6세트: 라잉 익스텐션 3(늘어난 구간) · 케이블 푸쉬다운 3(짧아진 구간).</t>
  </si>
  <si>
    <t>컬 2종 0.33씩 = 1.98. 순수 그립(데드 · 로우 · 친업)은 규칙상 0 — 성장 자극이 아니다. 직접 6세트: 일요일 리스트 컬 손등 아래 3(굴근) · 손등 위 3(신근). 그립은 현장에서 온종일 쓰이지만 손목 굴곡 · 신전은 따로 안 나오므로 직접 종목을 남겼다.</t>
  </si>
  <si>
    <t>스쿼트 · 데드의 브레이싱은 등척성이라 0. 직접 3세트(중량 크런치). 현장 일은 코어를 버티게만 하지 굴곡시키지 않으므로 직접 굴곡은 이 3세트가 전부다.</t>
  </si>
  <si>
    <t>스쿼트 0.2×5 + 레그 프레스 0.2×4 = 1.8. 직접 3세트(이너 타이). 복귀판 초안에 내전근이 통째로 비어 있던 것을 되살렸다.</t>
  </si>
  <si>
    <t>· 주 10~20세트 = 성장 구간. 복귀판은 주 단위라 이 표의 숫자를 그대로 판정에 쓴다.</t>
  </si>
  <si>
    <t>· 주 8세트 = 유지 하한.</t>
  </si>
  <si>
    <t>· 실패지점 3~4회 이내 세트만 카운트 (웜업 · 여유 세트 제외). 재택(2~3회)보다 한 단계 보수적인 기준이다.</t>
  </si>
  <si>
    <t>현장 일 보정을 읽는 법</t>
  </si>
  <si>
    <t>· '높음' — 현장 일이 하루치를 얹는 부위(광배 · 승모 상부 · 기립근 · 대퇴사두 · 종아리 · 전완). 판정이 하한 미달이어도 실제로는 채워진다. 여기에 직접 세트를 더하는 것은 회복만 깎는 선택이다.</t>
  </si>
  <si>
    <t>· '중간' — 부분적으로만 채워진다(승모 하부·중부 · 햄스트링 · 둔근 · 중둔근 · 복부). 판정을 절반쯤 믿는다.</t>
  </si>
  <si>
    <t>· '없음' — 현장 일이 안 건드리는 부위(가슴 · 삼각근 전 부위 · 이두 · 삼두 · 내전근). 판정을 액면 그대로 믿어야 하는 자리이고, 성장을 위해 볼륨을 쓸 곳도 여기다.</t>
  </si>
  <si>
    <t>지금 표에서 눈여겨볼 곳</t>
  </si>
  <si>
    <t>· 흉근 상 · 하는 한 근육이라 합산으로 판정한다. 합산 실질 23 — 천장(20)을 조금 넘는다. 현장 일이 안 채우는 부위라 의도한 초과이나, 세트 질이 떨어지면 딥스부터 뺀다.</t>
  </si>
  <si>
    <t>· 기립근 3.0 · 승모(상부) 1.5 · 종아리 3.0 — 전부 보정 '높음'이라 의도된 낮음이다. 손대지 않는다.</t>
  </si>
  <si>
    <t>· 햄스트링 8.0 · 전완 8.0 · 내전근 5.0 — 하한 근처다. 유지는 되나 성장 여지는 없는 자리다.</t>
  </si>
  <si>
    <t>[2026-09-05 2일차 → 4일차 이동] 이 날 유일한 프레스라 벤치·딥스 뒤 세 번째로 치던 때보다 신선하다 — 중량을 2일차 시절보다 올려 잡아도 된다. 레이즈 6세트 뒤에 두는 이유는 9일차 머신 숄더 프레스와 같다: 앞에 두면 프레스 피로로 레이즈 중량이 눌린다. 복합관절이라 뒤의 플라이 두 종목 앞이다. [2026-09-04 신설 당시] 흉근 상부 7세트를 플라이 하나로 채우던 것을 프레스 3 + 플라이 4로 나눴다. 플라이는 늘어난 구간에서 벌리는 자극, 프레스는 중량을 실을 수 있는 축 — 상부 흉근을 한 종류로만 때리지 않는다. 2일차 인클라인 플라이 · 7일차 인클라인 머신과 함께 흉근 상부 사이클당 3회.</t>
    <phoneticPr fontId="32" type="noConversion"/>
  </si>
  <si>
    <t>벤치 5×5가 이 프로그램의 최우선 종목. 7일차 밀기 B(수직)와 각도를 나눈다. 삼두 푸쉬다운을 마지막에 둔다 — 프레스로 지친 삼두를 고립으로 마무리한다 (2026-09-05, 4일차에서 이동). [이력] 바벨 컬은 2026-09-04에 4일차로 갔다.</t>
    <phoneticPr fontId="32" type="noConversion"/>
  </si>
  <si>
    <t>· 측면 · 후면 · 이두 · 전완이 9일차와 5일 간격으로 두 번 온다. [2026-09-05] 삼두 푸쉬다운은 2일차(벤치 날 마지막)로 갔다 — 삼두 직접은 2일차 4 · 9일차 4, 간격 7일/3일로 비대칭이 됐다. 대신 이 날 인클라인 스미스 4세트가 벤치 이틀 뒤 두 번째 프레스로 온다.</t>
    <phoneticPr fontId="32" type="noConversion"/>
  </si>
  <si>
    <t>흉근 · 측면삼각 · 후면삼각 · 삼두</t>
    <phoneticPr fontId="32" type="noConversion"/>
  </si>
  <si>
    <t>· [2026-09-05] 2일차 인클라인 스미스(4) ↔ 4일차 케이블 푸쉬다운(4) 맞교환 — 사용자 요청. 세트 불변(244), 2일차 73→68분 · 4일차 70→75분. 2일차 흉근이 17→13세트로 세션 부위 상한(8~9)에 가까워졌고, 삼두는 밀기 날 마지막에서 프레스 피로 위에 얹힌다 — '신선한 날의 삼두'는 포기한 것. 간접계수맵의 인클라인 스미스 두 줄은 원천 일차를 D4로 바꿨다.</t>
  </si>
  <si>
    <t>D4_어깨팔A</t>
    <phoneticPr fontId="32" type="noConversion"/>
  </si>
  <si>
    <t>[2026-09-05 신설 — 사용자 요청] 2일차 인클라인 플라이의 두 번째 자리. 같은 날 4일차 인클라인 스미스 4→3 · 7일차 인클라인 머신 6→3으로 프레스를 줄이고 플라이를 더한 것이라, 흉근 상부는 프레스 6 + 플라이 7 = 직접 13(2·4·7·9일차, 주당 9.1)이 된다. 프론 Y와 같은 인클라인 벤치에서 등을 대고 이어서 한다 — 세팅 이동 없음. 늘어난 구간에서 멈추지 말고 부드럽게 (2일차 메모와 같다). 데드 다음 날이지만 척추 부하 0이라 이 날의 성격은 그대로다. 흉근 합산은 천장(20)을 여전히 넘으므로(주당 21.7) 세트 질이 떨어지면 먼저 빼는 후보는 4일차 디클라인 케이블 플라이 3세트다.</t>
  </si>
  <si>
    <t>추가 (2026-09-05)</t>
    <phoneticPr fontId="32" type="noConversion"/>
  </si>
  <si>
    <t>· 인클라인 덤벨 플라이 3세트를 5번(프론 Y 뒤, 같은 인클라인 벤치)에 — 사용자 요청. 같은 날 4일차 인클라인 스미스 4→3 · 7일차 인클라인 머신 6→3을 사용자가 먼저 줄여 총량 238이었고, 여기 3을 더해 241 · 상한 244 · 잔여 3. 세션 33→36세트 · 67→74분.</t>
  </si>
  <si>
    <t>· [2026-09-05] 9일차 인클라인 덤벨 플라이 3세트 추가 — 사용자 요청. 같은 날 사용자가 4일차 인클라인 스미스 4→3 · 7일차 인클라인 머신 6→3으로 먼저 줄였으니 흉근 상부를 프레스에서 플라이로 옮긴 셈이다. 총량 241 · 상한 244 · 잔여 3. 흉근 상부 직접 13(2·4·7·9일차 · 주당 9.1) · 흉근 합산 31(주당 21.7, 천장 초과 예외에 9일차 추가).</t>
  </si>
  <si>
    <t>[2026-09-05 4일차 → 9일차 이동] 3일차 바로 다음 날 같은 기구를 또 타는 게 부담스럽다는 요청. 내전근 3·9일차로 6일/4일 간격. 아우터 타이와 슈퍼세트(A)는 그대로. [2026-09-04 신설] 내전근을 성장 구간으로. 3일차에 4세트가 있지만 사이클당 1회라 모자랐다. 3일차와 같이 아우터 타이와 슈퍼세트로 묶는다 — 겸용 머신이라 패드만 뒤집으면 되어 전환이 10초고, 라운드 간 휴식은 아우터 쪽 105초가 맡는다. 길항근 쌍이라 서로의 피로를 나눠 갖지 않는다.</t>
    <phoneticPr fontId="32" type="noConversion"/>
  </si>
  <si>
    <t>[2026-09-05 4일차 → 9일차 이동] 케이블 힙 외전과 같은 날이라 중둔근 8세트(세션 상한선) — 앉아서(여기)·서서(힙 외전)로 각도가 다르다. 3일차와 6일/4일 간격. [2026-09-04 신설] 중둔근을 성장 구간으로. 3일차 4세트 · 8일차 케이블 힙 외전 3세트에 이어 세 번째 자리. 이너 타이와 슈퍼세트(A) — 이 105초가 두 종목의 라운드 간 휴식이다.</t>
    <phoneticPr fontId="32" type="noConversion"/>
  </si>
  <si>
    <t>[2026-09-05 4일차 → 9일차 이동] 전완을 한 날에 몰지 않으려고 굴근·엎침(4일차 리버스 리스트 컬·리버스컬)과 날을 갈랐다 — 사용자 요청. 손목 신근. 타이핑으로 약해지는 쪽이라 비중을 더 준다</t>
    <phoneticPr fontId="32" type="noConversion"/>
  </si>
  <si>
    <t>[2026-09-05 9일차 → 4일차 이동] 신근(리스트 컬 손등 위)은 9일차로 가서 대항쌍이 날을 나눠 갖는다. 전완 4일차 8 · 9일차 3. 손목 굴근. 1일차 리버스와 대항쌍 [v17 감량 4→3 — 전완 실질 8로 자체 하한 유지]</t>
    <phoneticPr fontId="32" type="noConversion"/>
  </si>
  <si>
    <t>[2026-09-05 9일차 → 4일차 이동] 바벨 컬(뒤침) 바로 뒤에 엎침 그립으로 — 같은 굴곡 패턴을 다른 축으로. 오버핸드(엎침) 그립 컬 — 상완요골근·상완근이 주동이다. 언더핸드 프리쳐 컬(#5)과 그립을 나눠 같은 굴곡 패턴을 다른 축으로 친다. 손목은 중립으로 고정하고 반동 금지 — 손목을 위로 꺾으면 리스트 컬(#6)이 되고 상완요골근에서 빠진다. 회외가 없어 이두가 짧아진 자리에서 힘을 못 쓰므로 언더핸드 컬보다 30~40% 가벼운 것이 정상이다. #7 자리인 이유: 그립을 쓰는 종목이라 컬 계열 바로 뒤에 붙이고, 스트랩을 쓰는 트랩바 슈러그를 뒤로 보낸다. [2026-08-28 추가 — 전완 직접 6→9세트]</t>
    <phoneticPr fontId="32" type="noConversion"/>
  </si>
  <si>
    <t>케이블 크로스오버 (위→아래) / 디클라인 덤벨 플라이 / 펙덱 플라이 (시트를 높여 하부 각)</t>
    <phoneticPr fontId="32" type="noConversion"/>
  </si>
  <si>
    <t>되돌리는 법 [2026-09-05 9일차로 이동]</t>
    <phoneticPr fontId="32" type="noConversion"/>
  </si>
  <si>
    <t>이동 (2026-09-05)</t>
  </si>
  <si>
    <t>· 이너·아우터 타이 슈퍼세트와 리스트 컬(손등 위)이 9일차로, 디클라인 케이블 플라이가 7일차로 갔다. 9일차에서 리버스 리스트 컬·리버스컬·시티드 카프가 왔다. 31세트 · 약 62분 — 스쿼트 다음 날인 이 날에서 하체 고립을 뺀 것이라 가장 가벼운 날이 됐다. 척추 부하 0은 그대로.</t>
  </si>
  <si>
    <t>· 이너·아우터 타이 슈퍼세트(9·10번)와 리스트 컬(손등 위, 8번)이 4일차에서 왔고, 리버스 리스트 컬·리버스컬·시티드 카프는 4일차로 갔다 — 3일차 다음 날 같은 기구 부담. 데드 다음 날이지만 기구를 전날 안 썼고 다음 날이 휴식이다. 39세트 · 약 77분 — 프로그램에서 가장 많은 세트지만 전부 고립이다.</t>
  </si>
  <si>
    <t>· 4일차 디클라인 케이블 플라이 3세트가 인클라인 머신 뒤 6번으로 왔다 — 사용자 요청. 흉근 9세트(헤머 3 · 인클라인 머신 3 · 디클라인 3). 27세트 · 약 67분.</t>
  </si>
  <si>
    <t>삼각근(측면·후면·전면) · 승모(하부) · 흉근(상부 플라이) · 삼두 · 이두 · 전완 · 내전근 · 중둔근</t>
    <phoneticPr fontId="32" type="noConversion"/>
  </si>
  <si>
    <t>· [2026-09-05] 4일차 이너·아우터 타이·리스트 컬(13) ↔ 9일차 리버스 리스트 컬·리버스컬·시티드 카프(10) 맞교환 — 3일차 바로 다음 날 같은 기구를 또 타는 게 부담스럽다는 사용자 요청. 내전근 3·9일차(6/4일), 중둔근 9일차 8세트(앉아서·서서 각도 분리). 전완은 4일차 8(굴근·엎침) · 9일차 3(신근)으로 갈라 한 날에 몰지 않았다(사용자 요청). 같은 날 4일차 디클라인 케이블 플라이 3 → 7일차(헤머·인클라인 머신 뒤). 세트 241 불변 · 4일차 31 약 62분 · 7일차 27 약 67분 · 9일차 39 약 77분.</t>
  </si>
  <si>
    <t>D4_어깨팔A</t>
    <phoneticPr fontId="32" type="noConversion"/>
  </si>
  <si>
    <t>[2026-09-05 9일차 → 6일차 이동] 중둔근을 3·6·9일차 3일/3일/4일 간격으로 펴려고 — 스쿼트·데드 다음 날 어느 쪽에도 엉덩이 고립을 두지 않는 자리는 여기뿐이다. 서서 하는 케이블이라 척추 부하 0, 데드 이틀 전. 백 익스텐션(옆 체육관) 앞 마지막 본관 종목. 관상면 외전 — 고관절 날로 복귀 (v18). 5일 버전 8일차 과부하 때문에 3일차로 갔던 종목이나 그 사유 소멸. 앉는 시간이 길면 대둔근보다 중둔근이 먼저 잠든다. (이 자리의 트렁크 로테이션은 v17 제외 — 복부 직접 8 유지)</t>
    <phoneticPr fontId="32" type="noConversion"/>
  </si>
  <si>
    <t>[2026-09-05 6일차 → 4일차 이동] 6일차 자리를 힙 외전에 내주고 왔다. 종아리 1·4·8일차(3일/4일/3일). 같은 날 시티드 카프 2세트와 비복근·가자미근으로 나뉜다. 무릎 편 상태 — 비복근 주도. 8일차 시티드(가자미근)와 역할이 다르다</t>
    <phoneticPr fontId="32" type="noConversion"/>
  </si>
  <si>
    <t>[2026-09-05 6일차 → 7일차 이동] 6일차 길이를 내리고 복부를 1·3·7일차로 펴려고. 데드 전날이라 부하 건 굴곡이 이상적이진 않다 — 마지막 종목으로 가볍게, 데드 셋업에서 배에 힘이 덜 들어가면 6일차로 되돌린다. 복부 굴곡(상부). 1일차 레그레이즈(하부)와 굴곡 축을 나눈다. [2026-09-04 6→3] 한 종목을 한 세션에서 6세트 연달아 하면 뒤쪽 세트의 자극당 값이 떨어진다 — 9일차 후면삼각 9세트를 3종목으로 쪼갠 것과 같은 이유다. 뺀 3세트는 1일차 케이블 트렁크 로테이션으로 갔고 복부 총량(13 · 주당 10.1)은 그대로다.</t>
    <phoneticPr fontId="32" type="noConversion"/>
  </si>
  <si>
    <t>측면 · 후면 · 전면 삼각근 + 하부 승모 + 흉근 상부 플라이 + 삼두 · 이두 · 전완 + 내전근·중둔근. 약 70분. 옛 8일차 어깨 세션의 절반 — 나머지 절반은 4일차 어깨·팔 A. 8일차 데드 다음 날이라 척추 부하 0은 그대로다. [2026-09-05] 인클라인 덤벨 플라이 3세트 추가(5번). 이너·아우터 타이·리스트 컬(손등 위)이 4일차에서 왔고 리버스 리스트 컬·리버스컬·시티드 카프는 4일차로, 케이블 힙 외전은 6일차로 갔다.</t>
    <phoneticPr fontId="32" type="noConversion"/>
  </si>
  <si>
    <t>· 6일차 스탠딩 카프 4세트가 시티드 카프 앞으로 왔다 — 6일차 자리를 힙 외전에 내준 것. 35세트 · 약 70분.</t>
  </si>
  <si>
    <t>· 스탠딩 카프 → 4일차, 중량 크런치 → 7일차, 9일차 케이블 힙 외전이 8번(백 익스텐션 앞)으로 왔다. 중둔근 3·6·9일차 — 스쿼트·데드 다음 날에는 엉덩이 고립이 없다. 31세트 · 약 72분, 가장 길던 날(77분)이 내려왔다.</t>
  </si>
  <si>
    <t>· 6일차 중량 크런치 3세트가 마지막(10번)으로 왔다. 복부 1·3·7일차. 데드 전날이라 가볍게 — 셋업에서 배 힘이 덜 들어가면 6일차로 되돌린다. 30세트 · 약 72분.</t>
  </si>
  <si>
    <t>· 케이블 힙 외전은 6일차로 갔다 — 중둔근을 3·6·9일차로 펴고 이 날을 70분으로. 36세트.</t>
  </si>
  <si>
    <t>삼각근 · 흉근(상부 · 디클라인 플라이) · 승모(하부) · 복부</t>
    <phoneticPr fontId="32" type="noConversion"/>
  </si>
  <si>
    <t>· [2026-09-05] 세 자리 회전 — 사용자 합의: 9일차 케이블 힙 외전 → 6일차(카프 자리, 백 익스텐션 앞), 6일차 스탠딩 카프 → 4일차, 6일차 중량 크런치 → 7일차 마지막. 중둔근 3·6·9(3/3/4일) · 종아리 1·4·8(3/4/3일) · 복부 1·3·7(2/4/4일). 세션이 전부 68~73분 — 4일차 35 약 70 · 6일차 31 약 72 · 7일차 30 약 72 · 9일차 36 약 70. 데드 전날 크런치는 마지막 종목으로 가볍게, 셋업에서 배 힘이 덜 들어가면 6일차로 되돌린다.</t>
  </si>
  <si>
    <t>[2026-09-05 6일차 → 4일차 이동] 6·7일차 이틀 연속이던 승모 하부를 4·7·9일차(3/2/5일)로 폈다. 스미스에서 하므로 바로 뒤 인클라인 스미스와 같은 기구 — 벤치만 넣으면 된다. [2026-09-04 신설] 승모 하부는 실질 4.5로 가장 크게 모자랐다. 7일차에 같은 종목이 3세트 있었지만 사이클당 1회뿐이었고, 여기와 9일차를 더해 3회로 만들었다. 견갑 상방회전 — 팔을 머리 위에 둔 채 으쓱한다.</t>
    <phoneticPr fontId="32" type="noConversion"/>
  </si>
  <si>
    <t>[2026-09-05 4일차 → 6일차 이동] 오버헤드 슈러그에 자리를 내주고 왔다. 종아리 1·4·6·8일차(3/2/2/3일) — 4일차 스탠딩(비복근)과 6·8일차 시티드(가자미근)는 다른 근육이라 이틀 간격이 겹치지 않는다. [2026-09-05 9일차 → 4일차 이동] 종아리 1·4·6·8일차. [2026-09-04 신설] 무릎 굽힌 상태 — 가자미근. 1일차 스탠딩(비복근)과 각도를 나눈다. 8일차에 같은 종목이 4세트 있고 여기 2세트를 더해 종아리를 주당 10으로 올린다.</t>
    <phoneticPr fontId="32" type="noConversion"/>
  </si>
  <si>
    <t>· 6일차 오버헤드 슈러그 3세트가 5번(인클라인 스미스 앞, 같은 스미스 머신)으로 왔고 시티드 카프 2세트는 6일차로 갔다. 승모 하부 4·7·9일차. 36세트 · 약 71분.</t>
  </si>
  <si>
    <t>· 오버헤드 슈러그 → 4일차, 4일차 시티드 카프 2세트가 8번(힙 외전 앞)으로 왔다. 6·7일차 이틀 연속이던 승모 하부가 풀렸다. 30세트 · 약 71분.</t>
  </si>
  <si>
    <t>삼각근(측면·후면) · 승모(하부) · 흉근(인클라인 스미스 · 펙덱) · 이두 · 전완 · 종아리</t>
    <phoneticPr fontId="32" type="noConversion"/>
  </si>
  <si>
    <t>광배 · 능형근 · 승모(중부·상부) · 이두 · 기립근 · 중둔근 · 종아리</t>
    <phoneticPr fontId="32" type="noConversion"/>
  </si>
  <si>
    <t>· [2026-09-05] 6일차 오버헤드 슈러그 ↔ 4일차 시티드 카프 맞교환 — 마지막 남은 이틀 연속(승모 하부 6·7일차)을 풀었다. 승모 하부 4·7·9(3/2/5일), 종아리 1·4·6·8(3/2/2/3일 — 4일차 비복근·6·8일차 가자미근). 4일차 36세트 약 71분 · 6일차 30세트 약 71분. 이제 이틀 연속으로 맞는 부위가 없다.</t>
  </si>
  <si>
    <t>친업 뒤에 무게 조절 수단으로. 그립을 친업과 다르게 (친업이 언더면 여기선 오버) [2026-09-05 4→2] 뒤 2세트를 원암 랫풀다운으로 나눴다 (사용자 요청).</t>
    <phoneticPr fontId="32" type="noConversion"/>
  </si>
  <si>
    <t>원암 랫풀다운</t>
  </si>
  <si>
    <t>8~12 (좌우)</t>
  </si>
  <si>
    <t>원암 케이블 풀다운 (다른 하이 풀리) / 원암 덤벨 로우 (풀다운 기구가 찼을 때) / 뉴트럴 그립 랫풀다운 4세트로 합치기</t>
  </si>
  <si>
    <t>변경 (2026-09-05)</t>
  </si>
  <si>
    <t>해머 로우와 역할을 나눈다 — 해머는 넓은 그립·팔꿈치 벌려 상부등, 이쪽은 좁은 그립·팔꿈치 붙여 광배. 이 날 광배 직접 종목은 이것과 3번 원암 로우뿐이다. [2026-09-05 5→3] 뒤 2세트를 원암 케이블 로우로 나눴다 (사용자 요청).</t>
    <phoneticPr fontId="32" type="noConversion"/>
  </si>
  <si>
    <t>원암 케이블 로우</t>
  </si>
  <si>
    <t>원암 덤벨 로우 (벤치 지지) / 원암 머신 로우 (해머 스트랭스 한 팔씩) / 시티드 케이블 로우 5세트로 합치기</t>
  </si>
  <si>
    <t>· 시티드 케이블 로우 5 → 양팔 3 + 원암 2 (사용자 요청). 3번 원암 케이블 로우를 새로 두고 스캡 슈러그부터 번호가 하나씩 밀렸다. 광배 직접 세트는 5 그대로 · 30세트 · 약 72분.</t>
  </si>
  <si>
    <t>D핸들 뉴트럴 그립 — 당기기 → 이두 계수는 그립으로 정한다: 뒤침 0.5 · 뉴트럴 0.33 · 엎침 0.2. 랫풀다운 4세트를 양팔 2(엎침 0.2) + 원암 2(뉴트럴 0.33)로 나누며 신설 (2026-09-05).</t>
  </si>
  <si>
    <t>D핸들 뉴트럴 그립 — 시티드 케이블 로우(좁은 뉴트럴 0.33)와 같은 등급. 시티드 케이블 로우 5세트를 양팔 3 + 원암 2로 나누며 신설 (2026-09-05).</t>
  </si>
  <si>
    <t>견갑 후인 능동 수축 — 시티드 케이블 로우(0.5)와 같은 등급. 한 팔씩이라 몸통 회전이 섞이지만 후인은 그대로 일어난다 (2026-09-05 신설).</t>
  </si>
  <si>
    <t>당기기 5종목을 그립별로 나눠 센다 — 친업(뒤침) 0.5 · 시티드 케이블 로우(좁은 뉴트럴) 0.33 · 랫풀다운 · 해머 로우 · 바벨 로우(모두 엎침) 각 0.2 · 리버스컬 0.2. 2026-09-04 정리: 엎침 그립에서 팔꿈치를 굽히는 건 주로 상완근·상완요골근이라 리버스컬에 쓴 잣대(0.2)를 당기기 전체에 맞췄다. 바벨 로우는 이전에 줄 자체가 없어 이때 신설. 컬은 셋 다 당기기 간접이 안 걸린 자리에 둔다(어깨·팔 A · 당기기 B는 프리쳐만 · 어깨·팔 B — 2026-09-04 4-1-4-1 전환 후). [2026-09-05] 원암 랫풀다운 · 원암 케이블 로우(D핸들 뉴트럴) 0.33 신설 — 랫풀다운 4 → 양팔 2 + 원암 2, 시티드 로우 5 → 양팔 3 + 원암 2로 나누며.</t>
    <phoneticPr fontId="32" type="noConversion"/>
  </si>
  <si>
    <t>· 랫풀다운 4 → 양팔 2 + 원암 2 (사용자 요청). 3번 원암 랫풀다운을 새로 두고 뒤 종목 번호가 하나씩 밀렸다. 광배 직접 세트는 8 그대로 · 31세트 · 약 72분.</t>
    <phoneticPr fontId="32" type="noConversion"/>
  </si>
  <si>
    <t>· [2026-09-05] 1일차 랫풀다운 4 → 양팔 2 + 원암 랫풀다운 2, 6일차 시티드 케이블 로우 5 → 양팔 3 + 원암 케이블 로우 2 — 사용자 요청. 원암은 좌우 한 번씩을 1세트로 세고 수행 시간만 두 배(80초)라 세트 241 불변, 광배 직접 13 그대로, 1일차 70→72분 · 6일차 71→72분. 계수맵에 원암 2종을 신설(D핸들 뉴트럴 → 이두 0.33, 원암 로우 → 승모 중부 0.5) — 이두 간접 +0.3. 시작 무게는 양팔의 절반(20)이고 약한 쪽 기준으로 올린다.</t>
    <phoneticPr fontId="32" type="noConversion"/>
  </si>
  <si>
    <t>[2026-09-05] 6일차를 하루 미룸 — 늦게 일어나 갔더니 헬스장이 닫혀 있었다. 실제 1일차는 08-31이었으나 앱 달력 기준을 09-01로 당겨 적어 09-06이 6일차가 되게 했다(이 사이클만 11일, 다음 사이클 1일차 09-11).</t>
  </si>
  <si>
    <t>레그 프레스</t>
    <phoneticPr fontId="32" type="noConversion"/>
  </si>
  <si>
    <t>레그 익스텐션</t>
    <phoneticPr fontId="32" type="noConversion"/>
  </si>
  <si>
    <t>대퇴사두</t>
    <phoneticPr fontId="32" type="noConversion"/>
  </si>
  <si>
    <t>8~12</t>
    <phoneticPr fontId="32" type="noConversion"/>
  </si>
  <si>
    <t>10~12</t>
    <phoneticPr fontId="32" type="noConversion"/>
  </si>
  <si>
    <t>핵 스쿼트 / 레그 익스텐션 / 프론트 스쿼트 / 45도 레그 프레스</t>
    <phoneticPr fontId="32" type="noConversion"/>
  </si>
  <si>
    <t>싱글 레그 익스텐션 / 시시 스쿼트 / 레그 프레스 발판 높게</t>
    <phoneticPr fontId="32" type="noConversion"/>
  </si>
  <si>
    <t>드롭(초)</t>
  </si>
  <si>
    <t>[2026-09-05 신설] 랫풀다운 4세트를 양팔 2 + 원암 2로 나눴다 (사용자 요청). 하이 풀리에 D핸들을 걸고 뉴트럴 그립으로 한 팔씩 — 좌우를 따로 세니 약한 쪽이 강한 쪽에 묻히지 않고, 당기는 쪽으로 몸통을 살짝 기울여 광배를 더 늘린 자리에서 시작할 수 있다. 팔꿈치를 옆구리 쪽으로 끌어내리고 맨 아래에서 1초 정지. 세트 수는 좌우 한 번씩을 1세트로 센다(수행 80초 = 40초 × 2). 무게는 양팔의 절반에서 시작해 약한 쪽 기준으로 올린다. 광배 직접 세트는 이 날 8 그대로. [2026-09-07 마지막 세트 드롭 2단 — 실패 뒤 쉬지 않고 20~30% 내려 두 번. 한쪽을 끝까지 내려간 뒤 반대쪽. 팔로 당기기 시작하면 그 자리에서 끝. 세트 수 그대로, 증량 판정은 첫 세트로만. +120초는 O열]</t>
    <phoneticPr fontId="32" type="noConversion"/>
  </si>
  <si>
    <r>
      <t>드롭</t>
    </r>
    <r>
      <rPr>
        <b/>
        <sz val="11"/>
        <color theme="1"/>
        <rFont val="Calibri"/>
        <family val="2"/>
      </rPr>
      <t xml:space="preserve"> </t>
    </r>
    <r>
      <rPr>
        <b/>
        <sz val="11"/>
        <color theme="1"/>
        <rFont val="Calibri"/>
        <family val="2"/>
        <charset val="1"/>
      </rPr>
      <t>세트</t>
    </r>
    <r>
      <rPr>
        <b/>
        <sz val="11"/>
        <color theme="1"/>
        <rFont val="Calibri"/>
        <family val="2"/>
      </rPr>
      <t xml:space="preserve"> (2026-09-07)</t>
    </r>
  </si>
  <si>
    <t>· 원암 랫풀다운 마지막 세트에 드롭 2단, +120초 (사용자 요청). 편측이라 한쪽을 끝까지 내려간 뒤 반대쪽으로 넘어간다 — 번갈아 하면 쉬는 시간이 생겨 드롭 효과가 약해진다. 광배는 주당 12.4로 낮고 예산은 잠겨 있어, 세트 수를 안 늘리고 자극만 얹는 자리다.</t>
  </si>
  <si>
    <t>· O열 '드롭(초)'는 마지막 세트에 더해지는 시간이다. I열 종목 분에 합산되고, 앱 타이머는 마지막 세트를 그만큼 늘린 뒤 '드롭세트'라고 읊는다. E열 세트 수와 세트검산은 건드리지 않는다.</t>
  </si>
  <si>
    <t>덤벨은 아래 구간에 저항이 안 걸린다 — 원암 케이블(7일차)이 그 구간을 메운다 [2026-09-07 마지막 세트 드롭 2단 — 실패 뒤 쉬지 않고 20~30% 내려 두 번. 무거운 구간에서 승모가 끼면 내린 무게로 어깨만 마저 채운다. 세트 수 그대로, 증량 판정은 앞 세트로만. +60초는 O열]</t>
    <phoneticPr fontId="32" type="noConversion"/>
  </si>
  <si>
    <t>[2026-09-07 마지막 세트 드롭 2단 — 실패 뒤 쉬지 않고 핀 20~30% 내려 두 번. 세트 수 그대로, 증량 판정은 앞 세트로만. +60초는 O열]</t>
  </si>
  <si>
    <t>[2026-09-05 4일차 → 2일차 이동] 벤치·딥스·플라이·레이즈를 다 마친 뒤 마지막에 — 프레스에서 이미 지친 삼두를 고립으로 마무리하는 자리다. 4일차에 있을 때의 근거였던 '삼두가 안 쓰인 날의 신선함'은 포기했고, 대신 밀기 날에 삼두가 같이 끝난다. 로프로 마지막에 손등을 바깥으로 벌리면 외측두가 끝까지 수축한다. 팔꿈치는 옆구리에 고정 — 어깨로 누르면 광배 종목이 된다. 9일차 라잉 익스텐션이 늘어난 구간(장두)이라 여기는 짧아진 구간(외측두·내측두)으로 축을 나눈다. 삼두 직접은 2일차 4 · 9일차 4로 사이클당 2회 그대로. [2026-08-28 — 원래 1일차 인클라인 덤벨 컬 자리에 들어왔던 종목] [2026-09-07 마지막 세트 드롭 2단 — 실패 뒤 쉬지 않고 핀 20~30% 내려 두 번. 팔꿈치는 끝까지 옆구리에. 세트 수 그대로, 증량 판정은 앞 세트로만. +60초는 O열]</t>
    <phoneticPr fontId="32" type="noConversion"/>
  </si>
  <si>
    <t>· 레터럴 레이즈 · 리버스 펙덱 · 푸쉬다운 마지막 세트에 드롭 2단, 각 +60초 (사용자 요청). 벤치 뒤라 셋이 몰려도 메인에 영향이 없다. 20~30%씩 내려 쉬지 않고 두 번, 세 번째부터는 피로만 쌓인다.</t>
  </si>
  <si>
    <t>[2026-09-04 신설] 프레싱 두 종목을 끝내고 고립으로 마무리하는 자리. 팔꿈치 각도를 고정한 채 어깨 수평 내전만 — 굽혔다 펴면 프레스가 된다. 첫날은 25kg으로 10~12회가 실패 2~3회 안에 들어오는지 보고 맞춘다. 이 종목을 넣어 흉근 합산이 주당 환산 24.1이 됐다(천장 20 초과) — 사용자가 알고 선택한 것이며, 세트 질이 떨어지면 2일차 디클라인 케이블 플라이 3세트를 먼저 뺀다. [2026-09-07 마지막 세트 드롭 2단 — 실패 뒤 쉬지 않고 핀 20~30% 내려 두 번. 세트 수 그대로, 증량 판정은 앞 세트로만. +60초는 O열]</t>
    <phoneticPr fontId="32" type="noConversion"/>
  </si>
  <si>
    <t>· 펙덱 플라이 마지막 세트에 드롭 2단, +60초 (사용자 요청). 인클라인 스미스 뒤 흉근 마지막 자리라 여기. 인클라인 프레스 계열은 복합이라 드롭을 붙이지 않는다.</t>
  </si>
  <si>
    <t>[2026-09-05 신설] 시티드 케이블 로우 5세트를 양팔 3 + 원암 2로 나눴다 (사용자 요청). 같은 로우 스테이션에서 바를 D핸들로 바꿔 한 팔씩 — 팔꿈치를 몸통에 붙이고, 당기는 쪽으로 몸통을 살짝 돌려 광배 수축을 끝까지 가져간다(반대 손은 기구를 잡아 몸통을 고정). 좌우를 따로 세니 약한 쪽이 강한 쪽에 묻히지 않는다. 세트 수는 좌우 한 번씩을 1세트로 센다(수행 80초 = 40초 × 2). 무게는 양팔의 절반에서 시작해 약한 쪽 기준으로 올린다. 광배 직접 세트는 이 날 5 그대로. 4번 스캡 슈러그는 이 뒤에 바를 다시 걸고 이어서 한다. [2026-09-07 마지막 세트 드롭 2단 — 실패 뒤 쉬지 않고 20~30% 내려 두 번. 한쪽을 끝까지 내려간 뒤 반대쪽. 몸통이 돌아가거나 팔로 당기기 시작하면 그 자리에서 끝. 세트 수 그대로, 증량 판정은 첫 세트로만. +120초는 O열]</t>
    <phoneticPr fontId="32" type="noConversion"/>
  </si>
  <si>
    <t>반동이 차단되는 종목. 인클라인(9일차)과 각도를 나눈다 [2026-09-07 마지막 세트 드롭 2단 — 실패 뒤 쉬지 않고 20~30% 내려 두 번. 팔꿈치가 패드에 고정돼 지쳐도 자세가 남는 종목이라 이두 드롭은 여기 한 곳. 세트 수 그대로, 증량 판정은 앞 세트로만. +60초는 O열]</t>
    <phoneticPr fontId="32" type="noConversion"/>
  </si>
  <si>
    <t>· 원암 로우(+120초 · 편측) · 프리쳐 컬(+60초) 마지막 세트에 드롭 2단 (사용자 요청). 원암 로우는 몸통이 돌아가거나 팔로 당기기 시작하면 그 자리에서 끝 — 지친 상태에서 광배가 빠지기 가장 쉬운 종목이다. 이두 드롭은 여기 한 곳이다. 9일차 인클라인 컬은 이틀 뒤 1일차 친업 때문에 직선으로 둔다.</t>
  </si>
  <si>
    <t>[2026-09-05 4일차 → 7일차 이동 — 사용자 요청] 흉근 중하부 고립. 헤머 체스트·인클라인 머신 두 프레스 뒤 마무리 자리다. 위에서 아래로 내리는 궤적이라 하부 섬유 비중이 크고, 케이블이라 수축 지점에서도 장력이 유지된다. 흉근 합산이 천장(20)을 넘어 있어 세트 질이 떨어지면 먼저 빼는 후보가 이 3세트다. [이력] 이 행은 v18 전 삼두 종목 자리였고, 2026-09-04 2일차 → 4일차, 오늘 7일차로 왔다. [2026-09-07 마지막 세트 드롭 2단 — 실패 뒤 쉬지 않고 핀 20~30% 내려 두 번. 팔을 굽혀 프레스처럼 밀기 시작하면 끝. 4일차 펙덱과 3일 간격. 세트 수 그대로, 증량 판정은 앞 세트로만. +60초는 O열]</t>
    <phoneticPr fontId="32" type="noConversion"/>
  </si>
  <si>
    <t>· 디클라인 케이블 플라이 마지막 세트에 드롭 2단, +60초 (사용자 요청). 4일차 펙덱과 3일 간격. 머신 숄더 프레스에는 붙이지 않는다 — 복합 프레스이고, 전면 삼각근은 프레스 4종으로 이미 충분하며, 밀리터리 직후·벤치 3일 전이라 피로만 얹힌다.</t>
  </si>
  <si>
    <t>대퇴사두 사이클당 2회를 만들기 위한 배치. 3일차 스쿼트 볼륨과 5일 간격 [2026-09-07 레그 프레스 뒤로 이동 + 마지막 세트 드롭 2단 — 실패 뒤 쉬지 않고 핀 20~30% 내려 두 번. 드롭으로 대퇴를 다 쓴 뒤 프레스를 하면 프레스 3세트가 죽어서 순서를 바꿨다. 세트 수 그대로, 증량 판정은 앞 세트로만. +75초는 O열]</t>
    <phoneticPr fontId="32" type="noConversion"/>
  </si>
  <si>
    <t>수/토 3+3 분할. 데드·힙 이후라 대퇴가 예열된 상태에서 궤도 고정으로 확실히 간다 [2026-09-07 레그 익스텐션과 자리 바꿈 — 복합을 먼저, 고립 드롭을 마지막에]</t>
    <phoneticPr fontId="32" type="noConversion"/>
  </si>
  <si>
    <t>· 레그 프레스 ↔ 레그 익스텐션 자리 바꿈 — 복합을 먼저, 고립을 마지막에. 익스텐션 마지막 세트에 드롭 2단, +75초 (사용자 요청). 드롭으로 대퇴를 다 쓴 뒤 프레스를 하면 프레스 3세트가 죽어서 순서를 바꿨다. 다음 하체는 3일차, 5일 뒤라 회복이 겹치지 않는다.</t>
  </si>
  <si>
    <t>오버헤드 프레싱 · 흉근 상부 · 어깨 측면/후면. 벤치(2일차)와 5일 간격이라 무게가 온전히 나온다. [2026-09-05] 4일차 디클라인 케이블 플라이 3세트가 왔다 — 흉근 9세트(헤머 · 인클라인 머신 · 디클라인). 6일차 중량 크런치 3세트도 마지막에 왔다 — 약 72분. 디클라인 플라이 마지막 세트 드롭 +1분 — 약 73분 (2026-09-07).</t>
    <phoneticPr fontId="32" type="noConversion"/>
  </si>
  <si>
    <t>무릎 굴곡. 8일차 RDL(고관절 신전)과 기능이 다르다 — 둘 다 필요 [2026-09-07 마지막 세트 드롭 2단 — 실패 뒤 쉬지 않고 핀 20~30% 내려 두 번. 지친 햄스트링은 수축 위치에서 쥐가 잘 나니 위에서 멈추지 말고 바로 내린다. 다음 햄스트링은 8일차, 5일 뒤. 세트 수 그대로, 증량 판정은 앞 세트로만. +75초는 O열]</t>
    <phoneticPr fontId="32" type="noConversion"/>
  </si>
  <si>
    <t>· 레그 컬 마지막 세트에 드롭 2단, +75초 (사용자 요청). 핀 스택 단관절이고 그날 햄스트링 마지막 종목이다. 다음 햄스트링은 8일차 RDL, 5일 뒤. 3일차 뒤는 4일차 고립·5일차 휴식이라 회복이 겹치지 않는다. 지친 햄스트링은 수축 위치에서 쥐가 나기 쉬우니 드롭 반복은 위에서 멈추지 않는다.</t>
  </si>
  <si>
    <t>궤도가 고정돼 반동이 안 들어간다. 중간 구간을 끝까지 쓴다. 어깨가 으쓱 따라 올라가면 승모가 대신 일하는 것 — 무게를 내린다. [2026-09-07 마지막 세트 드롭 2단 — 실패 뒤 쉬지 않고 핀 20~30% 내려 두 번. 측면 두 번째 드롭 자리(2일차 레터럴과 이틀 간격, 사용자 선택). 세트 수 그대로, 증량 판정은 앞 세트로만. +60초는 O열]</t>
    <phoneticPr fontId="32" type="noConversion"/>
  </si>
  <si>
    <t>· 머신 레터럴 레이즈 마지막 세트에도 드롭 2단, +60초 (사용자 선택, 2026-09-07 추가). 측면 두 번째 자리 — 2일차 레터럴과 이틀 간격이지만 측면은 회복이 빠르다. 4일차 드롭은 둘, 약 73분.</t>
  </si>
  <si>
    <t>측면·후면 삼각근 + 승모 하부 + 흉근(인클라인 스미스 · 펙덱) + 이두 · 전완 + 종아리. 약 71분. 4-1-4-1 전환으로 신설 — 옛 8일차 어깨 세션의 절반과 1·2일차의 팔이 여기로 왔다. 거울 슬롯은 9일차 어깨·팔 B. [2026-09-05] 이너·아우터 타이·리스트 컬은 9일차로, 디클라인 플라이는 7일차로, 시티드 카프는 6일차로 갔고, 9일차의 리버스 리스트 컬·리버스컬과 6일차 스탠딩 카프·오버헤드 슈러그가 왔다. 펙덱·머신 레터럴 마지막 세트 드롭 +2분 — 약 73분 (2026-09-07).</t>
    <phoneticPr fontId="32" type="noConversion"/>
  </si>
  <si>
    <t>2번 시티드 케이블 로우와 같은 스테이션 — 3번 원암 로우 뒤에 바를 다시 걸고 무게만 내려 이어서 한다 (자리 이동 없음). 팔꿈치 각도를 세트 내내 고정하고 견갑골만 뒤로 — 가동범위 2~3cm, 모은 자리에서 1초 정지. 상체를 뒤로 눕히면 하부 승모 각도가 되고, 팔을 당기면 광배로 넘어간다. 케이블이라 수축 지점에서도 장력이 유지되고 핀 단위 미세 증량이 된다 (플레이트 로드 머신은 이 무게대에서 계단이 너무 큼). [2026-09-07 마지막 세트 드롭 2단 — 실패 뒤 쉬지 않고 핀 20~30% 내려 두 번. 지치면 팔로 당겨 로우가 되는데 그래도 등 상부라 손해가 작다. 세트 수 그대로, 증량 판정은 앞 세트로만. +60초는 O열]</t>
    <phoneticPr fontId="32" type="noConversion"/>
  </si>
  <si>
    <t>· 스캡 슈러그 마지막 세트에도 드롭 2단, +60초 (사용자 요청, 2026-09-07 추가). 핀 스택 단관절이고 그날 승모 중부 마지막 종목이다. 지치면 팔로 당겨 로우가 되는데 그래도 등 상부라 손해가 작다. 6일차 드롭은 셋, 약 76분.</t>
  </si>
  <si>
    <t>로우 · 견갑골 후인 · 이두 · 전완. 1일차 당기기 A(수직)와 각도를 나눈다. [2026-09-05] 스탠딩 카프는 4일차로, 중량 크런치는 7일차로 갔고 9일차 케이블 힙 외전이 왔다. 약 72분. 오버헤드 슈러그는 4일차로 가고 4일차 시티드 카프 2세트가 왔다 — 약 71분. 원암 로우·프리쳐 컬·스캡 슈러그 마지막 세트 드롭 +4분 — 약 76분 (2026-09-07).</t>
    <phoneticPr fontId="32" type="noConversion"/>
  </si>
  <si>
    <t>· 고립·케이블 12곳의 마지막 세트에만 드롭 2단 — 1일차 원암 랫풀다운, 2일차 레터럴·리버스 펙덱·푸쉬다운, 3일차 레그 컬, 4일차 머신 레터럴·펙덱, 6일차 원암 로우·스캡 슈러그·프리쳐 컬, 7일차 디클라인 케이블 플라이, 8일차 레그 익스텐션. 메인 4종, 척추 부하 종목, 복합 프레스·로우, 기술 종목(오버헤드 슈러그·프론 Y·업라이트 로우)에는 붙이지 않는다.</t>
    <phoneticPr fontId="32" type="noConversion"/>
  </si>
  <si>
    <t>· 세트 수·예산(244)은 그대로다. 드롭은 같은 세트의 연장이지 새 세트가 아니다. 시간만 O열 '드롭(초)'로 얹혀 세션이 +1~4분. 증량 판정은 드롭이 없는 앞 세트로만 한다.</t>
    <phoneticPr fontId="32" type="noConversion"/>
  </si>
  <si>
    <t>· 9일차는 드롭 0 — 36세트로 이미 꽉 찬 날이다. 측면은 2일차 레터럴에 더해 4일차 머신 레터럴에도 붙였다(사용자 선택, 둘 다 +60초). 이두는 프리쳐 컬 한 곳(9일차 인클라인 컬은 이틀 뒤 친업), 머신 숄더 프레스는 제외(전면 삼각근은 프레스 4종으로 충분), 시티드 카프·트랩바 슈러그·흉근 상부(케이블 플라이 교체 필요)는 보류.</t>
    <phoneticPr fontId="32" type="noConversion"/>
  </si>
  <si>
    <t>랫풀다운 3세트/ 그립 변경 3세트 추가</t>
    <phoneticPr fontId="32" type="noConversion"/>
  </si>
  <si>
    <t>시티드 로우 3세트/ 그립 변경 3세트 추가</t>
    <phoneticPr fontId="32" type="noConversion"/>
  </si>
  <si>
    <t>메인: 스쿼트</t>
    <phoneticPr fontId="32" type="noConversion"/>
  </si>
  <si>
    <t>중량(Kg)</t>
    <phoneticPr fontId="32" type="noConversion"/>
  </si>
  <si>
    <t>반복</t>
    <phoneticPr fontId="32" type="noConversion"/>
  </si>
  <si>
    <t>세트</t>
    <phoneticPr fontId="32" type="noConversion"/>
  </si>
  <si>
    <t>↑ '시작중량_설정'과 자동 연동. 20 = 빈 봉. '생략'은 앞 세트와 중량이 겹쳐 불필요하다는 뜻.</t>
    <phoneticPr fontId="32" type="noConversion"/>
  </si>
  <si>
    <t>메인: 스미스 오버헤드 프레스</t>
    <phoneticPr fontId="32" type="noConversion"/>
  </si>
  <si>
    <t>↑ '시작중량_설정'과 자동 연동. 20 = 빈 봉. '생략'은 앞 세트와 중량이 겹쳐 불필요하다는 뜻. 스쿼트 뒤라 하체는 데워져 있지만 어깨 궤도는 처음이므로 램프를 줄이지 않는다.</t>
    <phoneticPr fontId="32" type="noConversion"/>
  </si>
  <si>
    <t>복귀판에 내전근이 통째로 비어 있었다. 재택에서 실질 10세트로 올려둔 부위라 되살린다. 더블 프로그레션 — 전 세트가 목표 반복 상단에 닿으면 다음 주에 중량을 올린다 [2026-09-13 — 아우터 타이와 슈퍼세트(A)로 묶었다. 재택 3일차와 같은 방식이다. 겸용 머신이라 패드만 뒤집으면 되어 전환이 10초다. 휴식 120 → 10초는 그 전환 시간이고, 라운드 간 휴식은 아우터 쪽 120초가 맡는다. 길항근 쌍이라 서로의 피로를 나눠 갖지 않으며, 각 근육 입장에서는 자기 세트 간격이 오히려 170초로 늘어난다]</t>
    <phoneticPr fontId="32" type="noConversion"/>
  </si>
  <si>
    <t>메인: 데드리프트</t>
    <phoneticPr fontId="32" type="noConversion"/>
  </si>
  <si>
    <t>↑ '시작중량_설정'과 자동 연동. 20 = 빈 봉. '생략'은 앞 세트와 중량이 겹쳐 불필요하다는 뜻. 본세트가 1세트라 램프가 그날 데드의 대부분이다 — 90% 세트를 건너뛰지 않는다.</t>
    <phoneticPr fontId="32" type="noConversion"/>
  </si>
  <si>
    <t>메인: 벤치프레스</t>
    <phoneticPr fontId="32" type="noConversion"/>
  </si>
  <si>
    <t>웜업 (세트 카운트 제외)</t>
    <phoneticPr fontId="32" type="noConversion"/>
  </si>
  <si>
    <t>· 이 날은 증량을 추적하는 메인 리프트가 없다. 첫 종목(머신 숄더 프레스) 작업중량의 50%로 10회 · 75%로 5회, 두 세트면 램프가 끝난다.</t>
    <phoneticPr fontId="32" type="noConversion"/>
  </si>
  <si>
    <t>· 케이블 외회전 2세트 × 12~15회를 아주 가볍게(2.5~5kg) 먼저 넣는다 — 뒤에 어깨 고립이 11세트 이어진다.</t>
    <phoneticPr fontId="32" type="noConversion"/>
  </si>
  <si>
    <t>· 둘 다 근비대가 아니라 관절 준비 항목이므로 세트 합계에 넣지 않는다.</t>
    <phoneticPr fontId="32" type="noConversion"/>
  </si>
  <si>
    <t>드롭(초)</t>
    <phoneticPr fontId="32" type="noConversion"/>
  </si>
  <si>
    <t>짧아진 구간 — 라잉과 각도를 나눈다. 더블 프로그레션 — 전 세트가 목표 반복 상단에 닿으면 다음 주에 중량을 올린다 [2026-09-13 마지막 세트 드롭 2단 — 실패 뒤 쉬지 않고 20~30% 내려 두 번. 그날 마지막 종목이라 뒤에 남는 것이 없다. 세트 수 그대로, 증량 판정은 앞 세트로만. +60초는 N열]</t>
    <phoneticPr fontId="32" type="noConversion"/>
  </si>
  <si>
    <t>드롭 세트 (2026-09-13)</t>
  </si>
  <si>
    <t>· N열 '드롭(초)'는 마지막 세트에 더해지는 시간이다. I열 종목 분에 합산되고, 앱 타이머는 마지막 세트를 그만큼 늘린 뒤 '드롭세트'라고 읊는다. E열 세트 수와 복귀_세트검산은 건드리지 않는다.</t>
  </si>
  <si>
    <t>간접 자극이 0인 부위 — 직접 세트로만 채워진다. 더블 프로그레션 — 전 세트가 목표 반복 상단에 닿으면 다음 주에 중량을 올린다 [2026-09-13 마지막 세트 드롭 2단 — 실패 뒤 쉬지 않고 20~30% 내려 두 번. 무거운 구간에서 승모가 끼면 내린 무게로 어깨만 마저 채운다. 뒤에 원암 케이블 레터럴이 4세트 남으므로 드롭은 여기 한 곳만. 세트 수 그대로, 증량 판정은 앞 세트로만. +60초는 N열]</t>
    <phoneticPr fontId="32" type="noConversion"/>
  </si>
  <si>
    <t>시티드로 하면 고관절이 굽어 햄스트링이 늘어난 구간에서 훈련된다. 더블 프로그레션 — 전 세트가 목표 반복 상단에 닿으면 다음 주에 중량을 올린다 [2026-09-13 마지막 세트 드롭 2단 — 핀 20~30% 내려 두 번. 지친 햄스트링은 수축 위치에서 쥐가 잘 나니 위에서 멈추지 말고 바로 내린다. 뒤에 크런치만 남는다. 세트 수 그대로, 증량 판정은 앞 세트로만. +75초는 N열]</t>
    <phoneticPr fontId="32" type="noConversion"/>
  </si>
  <si>
    <t>· 레터럴 레이즈 +60초 · 레그 컬 +75초, 마지막 세트에 드롭 2단. 재택 2일차 · 3일차와 같은 자리다.</t>
  </si>
  <si>
    <t>· 척추 부하가 0인 세션이라 드롭을 얹어도 다음날 근무에 남는 것이 없다. 다만 8시간 평일이 하루뿐인 주에는 이 세션 자체를 빼는 자리이므로 드롭도 같이 빠진다.</t>
  </si>
  <si>
    <t>사두 고립. 척추 부하 없이 볼륨만 더한다. 더블 프로그레션 — 전 세트가 목표 반복 상단에 닿으면 다음 주에 중량을 올린다 [2026-09-13 마지막 세트 드롭 2단 — 재택 8일차와 같은 자리다. 레그 프레스(복합)가 앞, 익스텐션(고립)이 뒤라 순서는 이미 맞다. 드롭 뒤 남는 하체는 햄스트링 · 내전근 · 중둔근 · 종아리라 사두와 겹치지 않는다. 세트 수 그대로, 증량 판정은 앞 세트로만. +75초는 N열]</t>
    <phoneticPr fontId="32" type="noConversion"/>
  </si>
  <si>
    <t>어깨 보조. 평일 B의 케이블 리버스 플라이와 저항곡선이 갈린다 — 머신은 수축 끝단, 케이블은 전 구간에 장력이 걸린다. 더블 프로그레션 — 전 세트가 목표 반복 상단에 닿으면 다음 주에 중량을 올린다 [2026-09-13 마지막 세트 드롭 2단 — 핀 20~30% 내려 두 번. 팔을 편 채로 견갑이 아니라 후면 삼각만 쓴다. 세트 수 그대로, 증량 판정은 앞 세트로만. +60초는 N열]</t>
    <phoneticPr fontId="32" type="noConversion"/>
  </si>
  <si>
    <t>어깨 보조. 평일 B와 합쳐 측면 삼각근을 주 10세트로 맞춘다 — 간접 자극이 0인 부위라 직접 세트로만 채워진다. 더블 프로그레션 — 전 세트가 목표 반복 상단에 닿으면 다음 주에 중량을 올린다 [2026-09-13 마지막 세트 드롭 2단 — 그날 마지막 종목이다. 덤벨이면 한 단계 가벼운 것으로 바로 옮겨 두 번. 세트 수 그대로, 증량 판정은 앞 세트로만. +60초는 N열]</t>
    <phoneticPr fontId="32" type="noConversion"/>
  </si>
  <si>
    <t>· 레그 익스텐션 +75초 · 리버스 펙덱 +60초 · 레터럴 +60초, 마지막 세트에 드롭 2단. 재택 8일차 · 2일차와 같은 자리다.</t>
  </si>
  <si>
    <t>· 셋이 몰려 이 날이 3분쯤 더 길어진다. 줄여야 하면 레터럴 드롭부터 뺀다 — 측면 삼각은 평일 B에 7세트가 더 있다.</t>
  </si>
  <si>
    <t>· 이너 · 아우터 타이에는 드롭을 걸지 않는다. 슈퍼세트라 한쪽만 길어지면 라운드가 어긋난다.</t>
  </si>
  <si>
    <t>복귀판에 승모 중부·능형근 직접이 0이었다. 로우 간접만으로는 안 채워지는 부위. 더블 프로그레션 — 전 세트가 목표 반복 상단에 닿으면 다음 주에 중량을 올린다 [2026-09-13 마지막 세트 드롭 2단 — 재택 6일차와 같은 자리다. 핀 20~30% 내려 두 번, 반동으로 당기지 말고 견갑만 모은다. 세트 수 그대로, 증량 판정은 앞 세트로만. +60초는 N열]</t>
    <phoneticPr fontId="32" type="noConversion"/>
  </si>
  <si>
    <t>가슴 보조 둘째. 당기기 뒤라 프레싱은 못 하지만 플라이는 어깨·삼두를 안 쓰므로 들어간다. 더블 프로그레션 — 전 세트가 목표 반복 상단에 닿으면 다음 주에 중량을 올린다 [2026-09-13 마지막 세트 드롭 2단 — 재택 7일차와 같은 자리다. 핀 20~30% 내려 두 번. 세트 수 그대로, 증량 판정은 앞 세트로만. +60초는 N열]</t>
    <phoneticPr fontId="32" type="noConversion"/>
  </si>
  <si>
    <t>짧아진 구간이라 당기기 뒤에도 값이 덜 깎인다. 늘어난 구간(인클라인 덤벨 컬)은 평일 B로 보냈다. 더블 프로그레션 — 전 세트가 목표 반복 상단에 닿으면 다음 주에 중량을 올린다 [2026-09-13 마지막 세트 드롭 2단 — 재택 6일차와 같은 자리다. 뒤에 리스트 컬 2종이 남지만 손목 굴곡 · 신전은 이두와 다른 근육이라 값이 덜 깎인다. 세트 수 그대로, 증량 판정은 앞 세트로만. +60초는 N열]</t>
    <phoneticPr fontId="32" type="noConversion"/>
  </si>
  <si>
    <t>· 완전 휴무일이고 다음날이 비어 있어 드롭 셋을 얹기에 가장 안전한 날이다. 데드 · 스미스 로우에는 걸지 않는다 — 척추가 버티는 종목에서 실패 뒤 반복은 폼이 먼저 무너진다.</t>
  </si>
  <si>
    <t>수직 당기기. 머신이라 척추 부하가 없다. 더블 프로그레션 — 전 세트가 목표 반복 상단에 닿으면 다음 주에 중량을 올린다 [2026-09-13 마지막 세트 드롭 2단 — 재택은 원암 랫풀다운에 걸지만 복귀판엔 양팔뿐이라 이쪽에 건다. 핀 20~30% 내려 쉬지 않고 두 번. 실패 뒤 상체를 뒤로 눕혀 반동으로 당기지 말 것 — 내린 무게로 광배만 마저 쓴다. 세트 수 그대로, 증량 판정은 앞 세트로만. +60초는 N열]</t>
    <phoneticPr fontId="32" type="noConversion"/>
  </si>
  <si>
    <t>· 랫풀다운 +60초 · 케이블 푸쉬다운 +60초, 마지막 세트에 드롭 2단. 20~30%씩 내려 쉬지 않고 두 번, 세 번째부터는 피로만 쌓인다.</t>
    <phoneticPr fontId="32" type="noConversion"/>
  </si>
  <si>
    <t>· 재택은 원암 랫풀다운 · 원암 케이블 로우에 거는데 복귀판엔 양팔 버전뿐이라 이쪽에 건다 — 좌우를 따로 돌 필요가 없어 +60초면 끝난다(원암은 120초).</t>
    <phoneticPr fontId="32" type="noConversion"/>
  </si>
  <si>
    <t>수평 당기기 보강. 스미스 로우와 그립·각도를 다르게 잡는다. 더블 프로그레션 — 전 세트가 목표 반복 상단에 닿으면 다음 주에 중량을 올린다 [2026-09-13 마지막 세트 드롭 2단 — 재택은 원암 케이블 로우에 걸지만 복귀판엔 양팔뿐이라 이쪽에 건다. 핀 20~30% 내려 두 번. 앞에 데드 · 스미스 로우가 있으니 실패 뒤 허리로 당기지 말고 상체 각을 고정한 채 팔꿈치만 뒤로 보낸다. 뒤에 친업 3세트가 남으므로 그립이 타면 주저 말고 어시스트 머신으로. 세트 수 그대로. +60초는 N열]</t>
    <phoneticPr fontId="32" type="noConversion"/>
  </si>
  <si>
    <t>· 시티드 케이블 로우 · 스캡 슈러그 · 디클라인 케이블 플라이 · 프리쳐 컬 마지막 세트에 드롭 2단, 각 +60초. 재택 6일차 · 7일차와 같은 자리이고, 로우만 원암 대신 양팔에 건다.</t>
    <phoneticPr fontId="32" type="noConversion"/>
  </si>
  <si>
    <t>· 웜업은 작업중량의 40 / 60 / 75 / 90%로 자동 계산되며 1kg 단위로 반올림된다.</t>
    <phoneticPr fontId="32" type="noConversion"/>
  </si>
  <si>
    <t>· 벤치 주 1kg가 다 채워지면 1년에 52kg이다. 절반만 채워도 복귀 전보다 위에 있다.</t>
    <phoneticPr fontId="32" type="noConversion"/>
  </si>
  <si>
    <t>[사이클 칸은 2주에 한 번 올린다 — 2026-09-13]</t>
  </si>
  <si>
    <t>· 중량은 '시작중량_설정' C4의 사이클 번호가 정한다. 재택은 10일 주기라 사이클마다 한 칸이지만, 복귀는 주 4회 · 주 단위라 같은 속도로 올리면 설계의 두 배가 된다.</t>
  </si>
  <si>
    <t>· 올리기 전에 그 2주의 결과를 증량기록에 먼저 적는다. 목표 반복을 못 채운 리프트는 X를 넣어 그 칸만 유지시킨다 — 네 리프트가 한 칸을 공유하므로 이것이 유일하게 따로 세우는 방법이다.</t>
  </si>
  <si>
    <t>미는 종목 1순위. 현장 일이 가슴을 안 건드리므로 매주 선형으로 올린다 (주 +1kg · 사이클 칸은 2주에 한 번)</t>
    <phoneticPr fontId="32" type="noConversion"/>
  </si>
  <si>
    <t>미는 종목 2순위. 성장 목표로 바꾸면서 3×5 → 5×5로 되돌렸다 (주 +2.5kg · 사이클 칸은 2주에 한 번)</t>
    <phoneticPr fontId="32" type="noConversion"/>
  </si>
  <si>
    <t>증량을 추적하는 리프트라 하체 볼륨 앞에 둔다. 궤도가 고정돼 스쿼트 뒤에도 안정화 부담이 없다 (주 +0.5kg · 사이클 칸은 2주에 한 번)</t>
    <phoneticPr fontId="32" type="noConversion"/>
  </si>
  <si>
    <t>■ 주간 총량 예산 — 늘리려면 먼저 어딘가에서 빼라</t>
    <phoneticPr fontId="32" type="noConversion"/>
  </si>
  <si>
    <t>최초 설정 — 오늘 실측 132에 여유 4. 설계 문서(복귀_증량원칙)는 120인데 실제가 132로 흘러 있었다. 되돌리지 않고 지금 값에서 잠근다</t>
  </si>
  <si>
    <t>· 복귀판은 주 단위라 이 표의 숫자가 곧 주간 세트다. H2는 7로 고정이고 J3(실제 주당)은 현재 총량과 같은 값이 나온다.</t>
  </si>
  <si>
    <t>· 판정 열의 '보완 필요'는 정보이지 지시가 아니다. 하한 미달이 그 자체로 증액 근거가 되지 못한다.</t>
  </si>
  <si>
    <t>· 현장 일 보정이 '높음'인 부위(광배 · 승모 상부 · 기립근 · 대퇴사두 · 종아리 · 전완)는 판정이 낮아도 현장 일이 채우는 자리다. 예산을 여기에 쓰지 않는다.</t>
  </si>
  <si>
    <t>· 상한을 올리는 것은 자유지만 위 이력에 한 줄 남긴다 — 근거와 무엇을 뺐는지까지.</t>
  </si>
  <si>
    <t>1kg 원판 × 2 = 봉 전체 2kg. 작은 원판이 2.5 · 1 · 0.5kg 각 2개뿐이라 1.125kg 마이크로플레이트를 전제한 2.25는 만들 수 없었다</t>
    <phoneticPr fontId="32" type="noConversion"/>
  </si>
  <si>
    <t>가장 작은 근육군. 0.5kg 원판 × 2 = 봉 전체 1kg이 최소 증량 단위다. 5로 나눈 나머지가 4인 값(24 · 29 …)은 건너뛰고 1kg 올라간다</t>
    <phoneticPr fontId="32" type="noConversion"/>
  </si>
  <si>
    <t>· 1kg 단위인 이유 — 헬스장 작은 원판이 2.5kg · 1kg · 0.5kg 각 2개뿐이다. 한쪽에 하나씩만 쓸 수 있으므로 한쪽에 만들 수 있는 끝수는 0 / 0.5 / 1 / 1.5 / 2.5 / 3 / 3.5 / 4 뿐이다.</t>
    <phoneticPr fontId="32" type="noConversion"/>
  </si>
  <si>
    <t>· 그래서 총 중량이 5로 나눈 나머지 4(24 · 29 · 34 · 39 · 44 …)면 끼울 수 없다. 표와 웜업은 그런 값이 나오면 자동으로 1kg 올린다 — 내리면 증량 폭이 1kg인 프레스가 같은 자리에 갇힌다.</t>
    <phoneticPr fontId="32" type="noConversion"/>
  </si>
  <si>
    <t>· 2026-09-13 이전 표는 2.5kg 격자(한쪽 1.25kg)였다. 37.5 · 57.5 · 31.5처럼 한쪽에 .75 또는 .25kg이 필요한 값이라 48칸 중 45칸이 실제로는 못 끼우는 숫자였고 매번 반올림해 왔다.</t>
  </si>
  <si>
    <t>하체 2.5 / 벤치 약 1.2 / 프레스 약 0.6 (주당)</t>
    <phoneticPr fontId="32" type="noConversion"/>
  </si>
  <si>
    <t>작은 원판이 2.5 · 1 · 0.5kg 각 2개뿐이라 봉 전체 1kg이 최소 단위다. 사이클 칸을 2주에 한 번 올리면 이 폭이 나온다</t>
    <phoneticPr fontId="32" type="noConversion"/>
  </si>
  <si>
    <t>· 복귀 중에는 2주에 한 칸. 그러면 스쿼트 · 데드 주 +2.5kg · 벤치 주 약 +1.2kg · 프레스 주 약 +0.6kg — 이 시트가 설계한 폭(2.5 / 1.125 / 1.25)에 가장 가까운, 실제로 끼울 수 있는 값이다.</t>
    <phoneticPr fontId="32" type="noConversion"/>
  </si>
  <si>
    <t>· 5사이클은 2026-09-01에 시작했다. 다음 칸(6사이클 — 스쿼트 62 · 데드 67 · 벤치 35 · 프레스 26)은 9월 중순이다.</t>
    <phoneticPr fontId="32" type="noConversion"/>
  </si>
  <si>
    <t>· 폭이 이 값인 이유 — 벤치 주 1.125kg · 프레스 1.25kg은 한쪽 0.5625 · 0.625kg이라 만들 수 없다. 0.5kg 원판이 한쪽 하나씩뿐이므로 봉 전체 1kg이 바닥이고, 그 아래로는 중량이 아니라 반복으로 진행을 잰다.</t>
    <phoneticPr fontId="32" type="noConversion"/>
  </si>
  <si>
    <t>· 사다리는 못 끼우는 값(5로 나눈 나머지 4)을 자동으로 1kg 올린다. 그래서 칸마다 폭이 +2가 되기도 +3이 되기도 한다 — 평균이 설계 폭이고, 표에 적힌 숫자는 전부 그대로 끼울 수 있는 값이다.</t>
  </si>
  <si>
    <t>관상면 외전. [2026-09-13 신설 — 이너 타이와의 슈퍼세트(A)로 들어왔다. 복귀판 중둔근은 직접이 평일 B 케이블 힙 외전 3세트뿐으로 프로그램 최하위(실질 3.0)였다. 여기 5세트로 직접 8 = 유지 하한에 닿는다. 평일 B 케이블 힙 외전은 그대로 둔다 — 앉아서 고관절 굽힌 채(여기)와 서서 편 채(평일 B)는 각도가 다르다. 반드시 양측 동시 머신으로 — 케이블 좌우 버전은 수행 80초라 40초짜리 이너와 라운드가 안 맞는다. 슈퍼세트라 5세트를 더해도 세션은 6분만 길어진다. 이너가 4세트라 마지막 라운드는 아우터 혼자 돈다]</t>
    <phoneticPr fontId="32" type="noConversion"/>
  </si>
  <si>
    <t>간접 출처 없음 — 스쿼트 · 레그 프레스는 양측 지지라 계수가 없다. 직접 8세트: 토요일 아우터 타이 5(2026-09-13 신설, 이너 타이와 슈퍼세트) · 평일 B 케이블 힙 외전 3. 앉아서 굽힌 채와 서서 편 채로 각도를 나눴다. 현장 일의 한 다리 지지 이동이 나머지를 채운다.</t>
    <phoneticPr fontId="32" type="noConversion"/>
  </si>
  <si>
    <t>· 중둔근 3.0 → 8.0 — 2026-09-13에 토요일 아우터 타이를 이너 타이와 슈퍼세트로 넣고 5세트로 올렸다. 유지 하한에 닿았다. 프로그램 최하위였던 자리이고, 슈퍼세트라 5세트 값이 6분이다.</t>
    <phoneticPr fontId="32" type="noConversion"/>
  </si>
  <si>
    <t>[평일 B를 빼는 주 — 어깨 축약분]</t>
  </si>
  <si>
    <t>· 8시간 평일이 하루뿐인 주에는 평일 B가 빠진다. 그 주에는 이 세션 맨 뒤에 두 종목을 얹는다 — 레터럴 레이즈 3세트(8~10kg · 12~15회 · 수행 40초 · 휴식 60초) · 케이블 리버스 플라이 3세트(5~7kg · 12~15회 · 수행 40초 · 휴식 60초).</t>
  </si>
  <si>
    <t>· 이 6세트만 얹는 이유 — 평일 B가 빠지면 측면 삼각이 12 → 4, 후면 삼각이 10 → 3으로 내려앉는다. 둘 다 현장 일 보정이 '없음'인 부위라 빠진 만큼이 그대로 손실이다. 반대로 광배 · 승모 중부 · 대퇴사두는 평일 B에 한 세트도 없어 아무 영향이 없다.</t>
  </si>
  <si>
    <t>· 이두 3 · 둔근 3 · 복부 3도 같이 빠지지만 얹지 않는다. 이두는 일요일 프리쳐 컬 3세트가 남고, 둔근은 스쿼트 · 데드의 간접이 4.5를 채운다. 복부 3세트는 한 주 비워도 되는 자리다.</t>
  </si>
  <si>
    <t>· 그 주의 평일 A는 34세트 · 약 86분이 된다. 평상시(28 · 80분)보다 길지만 그 주는 주 3회라 총량이 이미 35세트 줄어 있다. 근무 뒤 세션이므로 축약분은 맨 뒤에 두고, 시간이 없으면 레터럴부터 한다 — 측면 삼각이 잃는 양이 더 크다.</t>
  </si>
  <si>
    <t>· 축약분은 세트검산과 총량 예산에 넣지 않는다. 평상시 배치가 아니라 그 주에만 쓰는 대체분이다.</t>
  </si>
  <si>
    <t>· 다만 뺀 주에는 측면 삼각이 12 → 4, 후면 삼각이 10 → 3으로 내려앉는다. 둘 다 현장 일이 안 채워주는 부위다. 그래서 빼는 주에는 평일 A 뒤에 레터럴 3 + 케이블 리버스 플라이 3을 얹는다 — 복귀_평일A_가슴 시트 아래 [평일 B를 빼는 주 — 어깨 축약분] 참조.</t>
    <phoneticPr fontId="32" type="noConversion"/>
  </si>
  <si>
    <t>· 2주 연속으로 빼지는 않는다. 빼는 주는 증량기록 메모에 적어 둔다 — 연속인지가 기억이 아니라 기록으로 보여야 지켜진다.</t>
  </si>
  <si>
    <t>· 1순위 — 평일 B 전체. 메인 리프트가 없는 유일한 세션이라 주 3회로 떨어뜨리는 가장 싼 방법이다. 단 빼는 주에는 평일 A 뒤에 레터럴 3 + 케이블 리버스 플라이 3을 얹는다 — 어깨 세 갈래와 이두가 전부 이 세션에 있고 넷 다 현장 일이 안 채워주는 부위다. 싼 것은 메인 리프트를 안 잃는다는 뜻이고, 어깨까지 공짜라는 뜻은 아니다.</t>
    <phoneticPr fontId="32" type="noConversion"/>
  </si>
  <si>
    <t>· 12시간이 월·수 / 월·목 / 화·목으로 걸리는 주에는 다음날 회피까지 감안하면 8시간인 평일이 하루뿐이다. 그 주는 3회로 간다 — 평일 B를 뺀다. 그 주에는 평일 A 뒤에 레터럴 3 + 케이블 리버스 플라이 3을 얹어 어깨 손실만 메운다 (복귀_평일A_가슴 시트 아래 [평일 B를 빼는 주 — 어깨 축약분]).</t>
    <phoneticPr fontId="32" type="noConversion"/>
  </si>
  <si>
    <t>사이클 전진(주)</t>
  </si>
  <si>
    <t>· 재택으로 돌아가면 이 칸들은 무시된다. 재택은 일차 회전을 증량기록 '날짜 (1일차)'로 따라간다.</t>
  </si>
  <si>
    <t>백오프 = 직전 사이클의 톱세트 중량. 이미 들어본 무게라 톱엔드 부하를 안 올리고 노출만 늘린다 — 중량 하나당 5회에서 15회로. [2026-09-13 신설] 데드는 주 1회 1×5로 주 5렙인데 증량은 스쿼트(주 25렙)와 같은 +2.5kg였다. 렙당 증량이 0.5kg 대 0.10kg, 5배다. 5년 공백에서 폼을 다시 배우는 종목을 가장 적은 반복으로 밀고 있었다는 뜻이다. 여기는 기록이 아니라 폼 연습 자리다 — 여유 있게 5회, 매 렙 셋업을 새로 잡는다. 무겁게 느껴지면 톱세트가 과했던 것이다. 다음 근무일 아침 허리가 무거우면 이 행을 1세트로 내리거나 그 주는 건너뛴다 — 톱세트보다 먼저 깎는 자리다.</t>
  </si>
  <si>
    <t>트랩바 데드 (요추 전단력 ↓ — 허리가 애매한 주의 1순위) / 랙풀 (무릎 위에서 시작) / 루마니안 데드 (힌지 연습만)</t>
  </si>
  <si>
    <t>지키는 종목. 허리는 현장 일과 직접 경쟁하므로 첫 4주는 1×5로 두고 지표만 본다 (주 +2.5kg · 사이클 칸은 2주에 한 번) [2026-09-13 — 아래 백오프 2세트 신설. 톱세트 강도는 그대로 두고 반복 노출만 3배로 늘린 것이다. 2×5 스트레이트로 가지 않은 이유는 그쪽이 제일 무거운 중량에서 허리 비용을 두 배로 만들기 때문이다.]</t>
    <phoneticPr fontId="32" type="noConversion"/>
  </si>
  <si>
    <t>· 첫 4주 규칙은 이제 '톱세트'에만 걸린다 — 톱은 4주간 1×5를 넘기지 않는다. 백오프 2세트는 직전 사이클 중량(이미 들어본 무게)이라 2026-09-13부터 바로 넣는다. 2×5 스트레이트와 달리 제일 무거운 중량의 노출이 안 늘기 때문이다.</t>
    <phoneticPr fontId="32" type="noConversion"/>
  </si>
  <si>
    <t>· 4주간 다음 근무일 아침 허리가 깨끗하면 톱을 2×5로 올린다. 그때가 데드가 성장으로 돌아서는 지점이다. 반대로 무거운 주가 오면 톱이 아니라 백오프를 먼저 깎는다 — 2 → 1세트 → 건너뛰기 순서다.</t>
    <phoneticPr fontId="32" type="noConversion"/>
  </si>
  <si>
    <t>스쿼트 0.2×5 + 스미스 로우 0.2×3 + 오버헤드 슈러그 0.2×3 = 2.2. 직접 3세트(데드 톱 1×5 + 백오프 2×5, 2026-09-13 신설). 낮은 것이 의도다 — 허리는 현장 일과 직접 경쟁하므로 톱세트는 주 1회 1세트가 상한이고, 백오프는 직전 사이클 중량이라 폼 연습으로 센다. 4주간 지표가 깨끗하면 톱을 2×5로 올린다.</t>
    <phoneticPr fontId="32" type="noConversion"/>
  </si>
  <si>
    <t>백오프 = 톱세트 − 5kg = 직전 사이클의 톱세트 중량. 즉 모든 중량을 두 번 만난다 — 한 사이클은 톱으로 5회, 다음 사이클은 백오프로 10회. 중량 하나당 노출이 5 → 15회다. 여기는 기록이 아니라 폼 연습 자리다. 여유 있게 5회, 매 렙 셋업을 새로 잡을 것 — 무겁게 느껴지면 톱세트가 과했던 것이다. [2026-09-13 정정] 현장 복귀판에도 같은 구조를 넣었다 — 복귀_일_등에 톱 1 + 백오프 2. 복귀에서 상한인 것은 톱세트뿐이고, 백오프는 직전 사이클 중량이라 톱엔드 노출을 안 늘린다.</t>
    <phoneticPr fontId="32" type="noConversion"/>
  </si>
  <si>
    <t>복귀 운용 — 날짜로 자동 계산 (2026-09-13 신설 · 09-13 기준 정정)</t>
    <phoneticPr fontId="32" type="noConversion"/>
  </si>
  <si>
    <t>프로그램 시작일</t>
    <phoneticPr fontId="32" type="noConversion"/>
  </si>
  <si>
    <t>← 1주차가 시작된 월요일. 주차는 월요일에 넘어간다. 주차는 세는 숫자일 뿐 중량과 무관하다</t>
    <phoneticPr fontId="32" type="noConversion"/>
  </si>
  <si>
    <t>사이클 기준일</t>
    <phoneticPr fontId="32" type="noConversion"/>
  </si>
  <si>
    <t>← 아래 '기준 사이클'이 시작된 월요일. 여기서부터 2주마다 한 칸씩 올라간다</t>
    <phoneticPr fontId="32" type="noConversion"/>
  </si>
  <si>
    <t>기준 사이클</t>
  </si>
  <si>
    <t>← 사이클 기준일에 시작된 사이클 번호. '현재 사이클'(C4)과 같은 번호로 둔다</t>
  </si>
  <si>
    <t>← 몇 주마다 사이클을 한 칸 올릴지. 복귀는 2주</t>
    <phoneticPr fontId="32" type="noConversion"/>
  </si>
  <si>
    <t>· 앱 '복귀 → 달력'이 이 칸들로 오늘의 주차 · 사이클 · 네 리프트 중량을 계산한다. 손으로 셀 필요가 없고, 어디쯤인지 까먹어도 달력이 알려준다.</t>
    <phoneticPr fontId="32" type="noConversion"/>
  </si>
  <si>
    <t>· 주차와 사이클은 기준이 다르다. 주차는 '프로그램 시작일'에서 세고, 사이클은 '사이클 기준일'에서 2주마다 오른다. 하나로 묶어 두면 주차를 맞추려다 중량까지 따라 움직인다.</t>
    <phoneticPr fontId="32" type="noConversion"/>
  </si>
  <si>
    <t>· 디로드 주나 통째로 쉰 주가 있으면 앱 달력에서 '한 주 미루기'를 누른다 — 사이클만 한 주 늦게 올라가고 주차 표시는 그대로다. 영구히 맞추려면 '사이클 기준일'을 한 주 뒤로 옮긴다.</t>
    <phoneticPr fontId="32" type="noConversion"/>
  </si>
  <si>
    <t>· 중량 자체는 증량기록 표(사이클 단위)가 그대로 정한다. 이 칸들이 정하는 것은 '오늘이 몇 번째 칸인가'뿐이다 — 표가 두 벌로 갈리지 않게 하려고 그렇게 뒀다.</t>
    <phoneticPr fontId="32" type="noConversion"/>
  </si>
  <si>
    <t>· 디로드 주에는 사이클을 올리지 않는다. 그 주에 앱 복귀 달력에서 '한 주 미루기'를 누르면 사이클이 한 주 늦게 올라간다. 안 누르면 세트가 절반인 주에 새 중량을 맞이하게 되고, 데드는 디로드에 건너뛰므로 그 중량을 한 번도 안 들고 다음 칸으로 넘어간다.</t>
  </si>
  <si>
    <t>· 즉 디로드는 '한 주 쉬는 것'이 아니라 '한 주 멈추는 것'이다 — 볼륨도 진행도 같이 멈춘다. 중량만 그대로 두는 이유는 강도를 놓으면 근력이 먼저 빠지기 때문이다.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</si>
</sst>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
    <numFmt numFmtId="177" formatCode="yyyy\-mm\-dd"/>
  </numFmts>
  <fonts count="54">
    <font>
      <sz val="11"/>
      <color theme="1"/>
      <name val="Calibri"/>
      <family val="2"/>
      <charset val="1"/>
    </font>
    <font>
      <b/>
      <sz val="14"/>
      <name val="Noto Sans CJK SC"/>
      <family val="2"/>
      <charset val="1"/>
    </font>
    <font>
      <i/>
      <sz val="9"/>
      <color rgb="FF595959"/>
      <name val="Noto Sans CJK SC"/>
      <family val="2"/>
      <charset val="1"/>
    </font>
    <font>
      <b/>
      <sz val="11"/>
      <name val="Noto Sans CJK SC"/>
      <family val="2"/>
      <charset val="1"/>
    </font>
    <font>
      <sz val="10"/>
      <color rgb="FF0000FF"/>
      <name val="Arial"/>
      <family val="2"/>
      <charset val="1"/>
    </font>
    <font>
      <b/>
      <sz val="10"/>
      <color rgb="FFFFFFFF"/>
      <name val="Noto Sans CJK SC"/>
      <family val="2"/>
      <charset val="1"/>
    </font>
    <font>
      <b/>
      <sz val="10"/>
      <color rgb="FFFFFFFF"/>
      <name val="Arial"/>
      <family val="2"/>
      <charset val="1"/>
    </font>
    <font>
      <sz val="10"/>
      <name val="Noto Sans CJK SC"/>
      <family val="2"/>
      <charset val="1"/>
    </font>
    <font>
      <sz val="10"/>
      <name val="Arial"/>
      <family val="2"/>
      <charset val="1"/>
    </font>
    <font>
      <b/>
      <sz val="10"/>
      <name val="Arial"/>
      <family val="2"/>
      <charset val="1"/>
    </font>
    <font>
      <i/>
      <sz val="9"/>
      <color rgb="FF595959"/>
      <name val="Arial"/>
      <family val="2"/>
      <charset val="1"/>
    </font>
    <font>
      <b/>
      <sz val="11"/>
      <name val="Arial"/>
      <family val="2"/>
      <charset val="1"/>
    </font>
    <font>
      <b/>
      <sz val="13"/>
      <name val="Noto Sans CJK SC"/>
      <family val="2"/>
      <charset val="1"/>
    </font>
    <font>
      <sz val="11"/>
      <name val="Noto Sans CJK SC"/>
      <family val="2"/>
      <charset val="1"/>
    </font>
    <font>
      <b/>
      <sz val="11"/>
      <color rgb="FFFFFFFF"/>
      <name val="Noto Sans CJK SC"/>
      <family val="2"/>
      <charset val="1"/>
    </font>
    <font>
      <sz val="11"/>
      <name val="Arial"/>
      <family val="2"/>
      <charset val="1"/>
    </font>
    <font>
      <b/>
      <sz val="10"/>
      <name val="Noto Sans CJK SC"/>
      <family val="2"/>
      <charset val="1"/>
    </font>
    <font>
      <sz val="11"/>
      <color theme="1"/>
      <name val="Noto Sans CJK SC"/>
      <family val="2"/>
    </font>
    <font>
      <b/>
      <sz val="11"/>
      <color rgb="FFFFFFFF"/>
      <name val="Arial"/>
      <family val="2"/>
      <charset val="1"/>
    </font>
    <font>
      <sz val="11"/>
      <name val="Noto Sans CJK SC"/>
      <family val="3"/>
      <charset val="129"/>
    </font>
    <font>
      <sz val="11"/>
      <name val="맑은 고딕"/>
      <family val="3"/>
      <charset val="129"/>
    </font>
    <font>
      <sz val="9"/>
      <color rgb="FF7F8C8D"/>
      <name val="Noto Sans CJK SC"/>
      <family val="2"/>
      <charset val="1"/>
    </font>
    <font>
      <i/>
      <sz val="9"/>
      <color rgb="FF7F8C8D"/>
      <name val="Noto Sans CJK SC"/>
      <family val="2"/>
      <charset val="1"/>
    </font>
    <font>
      <sz val="9"/>
      <color rgb="FF1F4E3D"/>
      <name val="Arial"/>
      <family val="2"/>
      <charset val="1"/>
    </font>
    <font>
      <sz val="9"/>
      <color rgb="FF566573"/>
      <name val="Noto Sans CJK SC"/>
      <family val="2"/>
      <charset val="1"/>
    </font>
    <font>
      <sz val="9"/>
      <color rgb="FF566573"/>
      <name val="Arial"/>
      <family val="2"/>
      <charset val="1"/>
    </font>
    <font>
      <sz val="9"/>
      <color rgb="FFB9770E"/>
      <name val="Arial"/>
      <family val="2"/>
      <charset val="1"/>
    </font>
    <font>
      <sz val="11"/>
      <color theme="1"/>
      <name val="Noto Sans CJK SC"/>
      <family val="2"/>
      <charset val="1"/>
    </font>
    <font>
      <b/>
      <sz val="14"/>
      <name val="Arial"/>
      <family val="2"/>
      <charset val="1"/>
    </font>
    <font>
      <sz val="9"/>
      <color rgb="FF595959"/>
      <name val="Arial"/>
      <family val="2"/>
      <charset val="1"/>
    </font>
    <font>
      <sz val="10"/>
      <color rgb="FF000000"/>
      <name val="Noto Sans CJK SC"/>
      <charset val="1"/>
    </font>
    <font>
      <sz val="10"/>
      <color rgb="FF000000"/>
      <name val="Noto Sans CJK SC"/>
      <family val="2"/>
      <charset val="1"/>
    </font>
    <font>
      <sz val="8"/>
      <name val="돋움"/>
      <family val="3"/>
      <charset val="129"/>
    </font>
    <font>
      <sz val="11"/>
      <name val="맑은 고딕"/>
      <family val="2"/>
      <charset val="129"/>
    </font>
    <font>
      <u/>
      <sz val="11"/>
      <color theme="10"/>
      <name val="Calibri"/>
      <family val="2"/>
      <charset val="1"/>
    </font>
    <font>
      <sz val="11"/>
      <color theme="1"/>
      <name val="돋움"/>
      <family val="2"/>
      <charset val="129"/>
    </font>
    <font>
      <sz val="11"/>
      <color theme="1"/>
      <name val="맑은 고딕"/>
      <family val="3"/>
      <charset val="129"/>
    </font>
    <font>
      <sz val="11"/>
      <color theme="1"/>
      <name val="맑은 고딕"/>
      <family val="2"/>
      <charset val="129"/>
    </font>
    <font>
      <sz val="11"/>
      <color theme="1"/>
      <name val="Calibri"/>
      <family val="2"/>
      <charset val="129"/>
    </font>
    <font>
      <sz val="10"/>
      <name val="Noto Sans CJK SC"/>
      <family val="3"/>
      <charset val="129"/>
    </font>
    <font>
      <b/>
      <sz val="11"/>
      <name val="Calibri"/>
      <family val="2"/>
    </font>
    <font>
      <b/>
      <sz val="10"/>
      <color rgb="FFFFFFFF"/>
      <name val="Calibri"/>
      <family val="2"/>
    </font>
    <font>
      <b/>
      <sz val="10"/>
      <color rgb="FF0000FF"/>
      <name val="Calibri"/>
      <family val="2"/>
    </font>
    <font>
      <b/>
      <sz val="10"/>
      <name val="Calibri"/>
      <family val="2"/>
    </font>
    <font>
      <b/>
      <sz val="10"/>
      <color rgb="FF9C0006"/>
      <name val="Calibri"/>
      <family val="2"/>
    </font>
    <font>
      <sz val="10"/>
      <color rgb="FF0000FF"/>
      <name val="Calibri"/>
      <family val="2"/>
    </font>
    <font>
      <b/>
      <sz val="11"/>
      <name val="Calibri"/>
      <family val="2"/>
    </font>
    <font>
      <b/>
      <sz val="11"/>
      <name val="Calibri"/>
      <family val="2"/>
    </font>
    <font>
      <sz val="10"/>
      <color rgb="FF0000FF"/>
      <name val="Calibri"/>
      <family val="2"/>
    </font>
    <font>
      <b/>
      <sz val="11"/>
      <name val="Calibri"/>
      <family val="2"/>
    </font>
    <font>
      <sz val="10"/>
      <name val="Calibri"/>
      <family val="2"/>
    </font>
    <font>
      <sz val="10"/>
      <color rgb="FF0000FF"/>
      <name val="Calibri"/>
      <family val="2"/>
    </font>
    <font>
      <b/>
      <sz val="11"/>
      <color theme="1"/>
      <name val="Calibri"/>
      <family val="2"/>
    </font>
    <font>
      <b/>
      <sz val="11"/>
      <color theme="1"/>
      <name val="Calibri"/>
      <family val="2"/>
      <charset val="1"/>
    </font>
  </fonts>
  <fills count="11">
    <fill>
      <patternFill patternType="none"/>
    </fill>
    <fill>
      <patternFill patternType="gray125"/>
    </fill>
    <fill>
      <patternFill patternType="solid">
        <fgColor rgb="FFFFFF00"/>
        <bgColor rgb="FFFFFF00"/>
      </patternFill>
    </fill>
    <fill>
      <patternFill patternType="solid">
        <fgColor rgb="FF404040"/>
        <bgColor rgb="FF34495E"/>
      </patternFill>
    </fill>
    <fill>
      <patternFill patternType="solid">
        <fgColor rgb="FFE2EFDA"/>
        <bgColor rgb="FFF2F2F2"/>
      </patternFill>
    </fill>
    <fill>
      <patternFill patternType="solid">
        <fgColor rgb="FFD9D9D9"/>
        <bgColor rgb="FFD5D8DC"/>
      </patternFill>
    </fill>
    <fill>
      <patternFill patternType="solid">
        <fgColor rgb="FFFEF9E7"/>
        <bgColor rgb="FFFFFFFF"/>
      </patternFill>
    </fill>
    <fill>
      <patternFill patternType="solid">
        <fgColor rgb="FF34495E"/>
        <bgColor rgb="FF404040"/>
      </patternFill>
    </fill>
    <fill>
      <patternFill patternType="solid">
        <fgColor rgb="FF404040"/>
      </patternFill>
    </fill>
    <fill>
      <patternFill patternType="solid">
        <fgColor rgb="FFFFFF00"/>
      </patternFill>
    </fill>
    <fill>
      <patternFill patternType="solid">
        <fgColor rgb="FFE2EFDA"/>
      </patternFill>
    </fill>
  </fills>
  <borders count="4">
    <border>
      <left/>
      <right/>
      <top/>
      <bottom/>
      <diagonal/>
    </border>
    <border>
      <left style="thin">
        <color rgb="FFBFBFBF"/>
      </left>
      <right style="thin">
        <color rgb="FFBFBFBF"/>
      </right>
      <top style="thin">
        <color rgb="FFBFBFBF"/>
      </top>
      <bottom style="thin">
        <color rgb="FFBFBFBF"/>
      </bottom>
      <diagonal/>
    </border>
    <border>
      <left style="thin">
        <color rgb="FFD5D8DC"/>
      </left>
      <right style="thin">
        <color rgb="FFD5D8DC"/>
      </right>
      <top style="thin">
        <color rgb="FFD5D8DC"/>
      </top>
      <bottom style="thin">
        <color rgb="FFD5D8DC"/>
      </bottom>
      <diagonal/>
    </border>
    <border>
      <left style="thin">
        <color rgb="FFBFBFBF"/>
      </left>
      <right/>
      <top/>
      <bottom/>
      <diagonal/>
    </border>
  </borders>
  <cellStyleXfs count="2">
    <xf numFmtId="0" fontId="0" fillId="0" borderId="0"/>
    <xf numFmtId="0" fontId="34" fillId="0" borderId="0"/>
  </cellStyleXfs>
  <cellXfs count="119">
    <xf numFmtId="0" fontId="0" fillId="0" borderId="0" xfId="0"/>
    <xf numFmtId="0" fontId="1" fillId="0" borderId="0" xfId="0" applyFont="1"/>
    <xf numFmtId="0" fontId="2" fillId="0" borderId="0" xfId="0" applyFont="1"/>
    <xf numFmtId="0" fontId="3" fillId="0" borderId="0" xfId="0" applyFont="1"/>
    <xf numFmtId="0" fontId="4" fillId="2" borderId="1" xfId="0" applyFont="1" applyFill="1" applyBorder="1" applyAlignment="1">
      <alignment horizontal="center" vertical="center"/>
    </xf>
    <xf numFmtId="0" fontId="5" fillId="3" borderId="1" xfId="0" applyFont="1" applyFill="1" applyBorder="1" applyAlignment="1">
      <alignment horizontal="center" vertical="center"/>
    </xf>
    <xf numFmtId="0" fontId="6" fillId="3" borderId="1" xfId="0" applyFont="1" applyFill="1" applyBorder="1" applyAlignment="1">
      <alignment horizontal="center" vertical="center"/>
    </xf>
    <xf numFmtId="0" fontId="7" fillId="0" borderId="1" xfId="0" applyFont="1" applyBorder="1" applyAlignment="1">
      <alignment horizontal="center" vertical="center"/>
    </xf>
    <xf numFmtId="0" fontId="8" fillId="0" borderId="1" xfId="0" applyFont="1" applyBorder="1" applyAlignment="1">
      <alignment horizontal="center" vertical="center"/>
    </xf>
    <xf numFmtId="2" fontId="9" fillId="4" borderId="1" xfId="0" applyNumberFormat="1" applyFont="1" applyFill="1" applyBorder="1" applyAlignment="1">
      <alignment horizontal="center" vertical="center"/>
    </xf>
    <xf numFmtId="0" fontId="2" fillId="0" borderId="0" xfId="0" applyFont="1" applyAlignment="1">
      <alignment horizontal="center" vertical="center"/>
    </xf>
    <xf numFmtId="0" fontId="10" fillId="0" borderId="0" xfId="0" applyFont="1" applyAlignment="1">
      <alignment horizontal="left" vertical="center" wrapText="1"/>
    </xf>
    <xf numFmtId="0" fontId="11" fillId="0" borderId="0" xfId="0" applyFont="1" applyAlignment="1">
      <alignment horizontal="left" vertical="center" wrapText="1"/>
    </xf>
    <xf numFmtId="0" fontId="3" fillId="0" borderId="0" xfId="0" applyFont="1" applyAlignment="1">
      <alignment horizontal="left" vertical="center" wrapText="1"/>
    </xf>
    <xf numFmtId="0" fontId="11" fillId="0" borderId="0" xfId="0" applyFont="1"/>
    <xf numFmtId="0" fontId="9" fillId="4" borderId="1" xfId="0" applyFont="1" applyFill="1" applyBorder="1" applyAlignment="1">
      <alignment horizontal="center" vertical="center"/>
    </xf>
    <xf numFmtId="2" fontId="8" fillId="0" borderId="1" xfId="0" applyNumberFormat="1" applyFont="1" applyBorder="1" applyAlignment="1">
      <alignment horizontal="center" vertical="center"/>
    </xf>
    <xf numFmtId="0" fontId="12" fillId="0" borderId="0" xfId="0" applyFont="1"/>
    <xf numFmtId="0" fontId="13" fillId="0" borderId="0" xfId="0" applyFont="1"/>
    <xf numFmtId="0" fontId="14" fillId="3" borderId="1" xfId="0" applyFont="1" applyFill="1" applyBorder="1" applyAlignment="1">
      <alignment horizontal="center" vertical="center"/>
    </xf>
    <xf numFmtId="0" fontId="13" fillId="0" borderId="1" xfId="0" applyFont="1" applyBorder="1" applyAlignment="1">
      <alignment horizontal="center" vertical="center"/>
    </xf>
    <xf numFmtId="0" fontId="13" fillId="0" borderId="1" xfId="0" applyFont="1" applyBorder="1" applyAlignment="1">
      <alignment horizontal="left" vertical="center"/>
    </xf>
    <xf numFmtId="0" fontId="15" fillId="0" borderId="1" xfId="0" applyFont="1" applyBorder="1" applyAlignment="1">
      <alignment horizontal="left" vertical="center"/>
    </xf>
    <xf numFmtId="0" fontId="13" fillId="5" borderId="1" xfId="0" applyFont="1" applyFill="1" applyBorder="1" applyAlignment="1">
      <alignment horizontal="center" vertical="center"/>
    </xf>
    <xf numFmtId="0" fontId="13" fillId="5" borderId="1" xfId="0" applyFont="1" applyFill="1" applyBorder="1" applyAlignment="1">
      <alignment horizontal="left" vertical="center"/>
    </xf>
    <xf numFmtId="0" fontId="15" fillId="5" borderId="1" xfId="0" applyFont="1" applyFill="1" applyBorder="1" applyAlignment="1">
      <alignment horizontal="left" vertical="center"/>
    </xf>
    <xf numFmtId="0" fontId="15" fillId="0" borderId="1" xfId="0" applyFont="1" applyBorder="1" applyAlignment="1">
      <alignment horizontal="center" vertical="center"/>
    </xf>
    <xf numFmtId="0" fontId="3" fillId="4" borderId="1" xfId="0" applyFont="1" applyFill="1" applyBorder="1" applyAlignment="1">
      <alignment horizontal="center" vertical="center"/>
    </xf>
    <xf numFmtId="0" fontId="16" fillId="4" borderId="1" xfId="0" applyFont="1" applyFill="1" applyBorder="1" applyAlignment="1">
      <alignment horizontal="center" vertical="center"/>
    </xf>
    <xf numFmtId="0" fontId="9" fillId="4" borderId="1" xfId="0" applyFont="1" applyFill="1" applyBorder="1" applyAlignment="1">
      <alignment horizontal="left" vertical="center" wrapText="1"/>
    </xf>
    <xf numFmtId="0" fontId="15" fillId="0" borderId="0" xfId="0" applyFont="1" applyAlignment="1">
      <alignment horizontal="left" vertical="center" wrapText="1"/>
    </xf>
    <xf numFmtId="0" fontId="15" fillId="0" borderId="0" xfId="0" applyFont="1"/>
    <xf numFmtId="0" fontId="13" fillId="0" borderId="0" xfId="0" applyFont="1" applyAlignment="1">
      <alignment horizontal="left" vertical="center" wrapText="1"/>
    </xf>
    <xf numFmtId="0" fontId="17" fillId="0" borderId="0" xfId="0" applyFont="1"/>
    <xf numFmtId="0" fontId="18" fillId="3" borderId="1" xfId="0" applyFont="1" applyFill="1" applyBorder="1" applyAlignment="1">
      <alignment horizontal="center" vertical="center" wrapText="1"/>
    </xf>
    <xf numFmtId="0" fontId="14" fillId="3" borderId="1" xfId="0" applyFont="1" applyFill="1" applyBorder="1" applyAlignment="1">
      <alignment horizontal="center" vertical="center" wrapText="1"/>
    </xf>
    <xf numFmtId="0" fontId="19" fillId="0" borderId="1" xfId="0" applyFont="1" applyBorder="1" applyAlignment="1">
      <alignment horizontal="left" vertical="center"/>
    </xf>
    <xf numFmtId="2" fontId="11" fillId="4" borderId="1" xfId="0" applyNumberFormat="1" applyFont="1" applyFill="1" applyBorder="1" applyAlignment="1">
      <alignment horizontal="center" vertical="center"/>
    </xf>
    <xf numFmtId="0" fontId="15" fillId="4" borderId="1" xfId="0" applyFont="1" applyFill="1" applyBorder="1" applyAlignment="1">
      <alignment horizontal="center" vertical="center"/>
    </xf>
    <xf numFmtId="0" fontId="13" fillId="4" borderId="1" xfId="0" applyFont="1" applyFill="1" applyBorder="1" applyAlignment="1">
      <alignment horizontal="left" vertical="center"/>
    </xf>
    <xf numFmtId="0" fontId="13" fillId="4" borderId="1" xfId="0" applyFont="1" applyFill="1" applyBorder="1" applyAlignment="1">
      <alignment horizontal="center" vertical="center"/>
    </xf>
    <xf numFmtId="2" fontId="15" fillId="4" borderId="1" xfId="0" applyNumberFormat="1" applyFont="1" applyFill="1" applyBorder="1" applyAlignment="1">
      <alignment horizontal="center" vertical="center"/>
    </xf>
    <xf numFmtId="0" fontId="20" fillId="0" borderId="1" xfId="0" applyFont="1" applyBorder="1" applyAlignment="1">
      <alignment horizontal="center" vertical="center"/>
    </xf>
    <xf numFmtId="0" fontId="19" fillId="0" borderId="1" xfId="0" applyFont="1" applyBorder="1" applyAlignment="1">
      <alignment horizontal="center" vertical="center"/>
    </xf>
    <xf numFmtId="0" fontId="5" fillId="7" borderId="2" xfId="0" applyFont="1" applyFill="1" applyBorder="1" applyAlignment="1">
      <alignment horizontal="center"/>
    </xf>
    <xf numFmtId="0" fontId="7" fillId="0" borderId="2" xfId="0" applyFont="1" applyBorder="1"/>
    <xf numFmtId="2" fontId="4" fillId="0" borderId="2" xfId="0" applyNumberFormat="1" applyFont="1" applyBorder="1" applyAlignment="1">
      <alignment horizontal="center"/>
    </xf>
    <xf numFmtId="0" fontId="8" fillId="0" borderId="2" xfId="0" applyFont="1" applyBorder="1" applyAlignment="1">
      <alignment horizontal="center"/>
    </xf>
    <xf numFmtId="2" fontId="8" fillId="0" borderId="2" xfId="0" applyNumberFormat="1" applyFont="1" applyBorder="1" applyAlignment="1">
      <alignment horizontal="center"/>
    </xf>
    <xf numFmtId="0" fontId="23" fillId="0" borderId="2" xfId="0" applyFont="1" applyBorder="1" applyAlignment="1">
      <alignment horizontal="center"/>
    </xf>
    <xf numFmtId="0" fontId="24" fillId="0" borderId="2" xfId="0" applyFont="1" applyBorder="1"/>
    <xf numFmtId="0" fontId="25" fillId="0" borderId="2" xfId="0" applyFont="1" applyBorder="1"/>
    <xf numFmtId="0" fontId="26" fillId="0" borderId="2" xfId="0" applyFont="1" applyBorder="1" applyAlignment="1">
      <alignment horizontal="center"/>
    </xf>
    <xf numFmtId="0" fontId="7" fillId="0" borderId="1" xfId="0" applyFont="1" applyBorder="1" applyAlignment="1">
      <alignment horizontal="left" vertical="center" wrapText="1"/>
    </xf>
    <xf numFmtId="176" fontId="4" fillId="2" borderId="1" xfId="0" applyNumberFormat="1" applyFont="1" applyFill="1" applyBorder="1" applyAlignment="1">
      <alignment horizontal="center" vertical="center"/>
    </xf>
    <xf numFmtId="176" fontId="9" fillId="0" borderId="1" xfId="0" applyNumberFormat="1" applyFont="1" applyBorder="1" applyAlignment="1">
      <alignment horizontal="center" vertical="center"/>
    </xf>
    <xf numFmtId="176" fontId="0" fillId="0" borderId="0" xfId="0" applyNumberFormat="1"/>
    <xf numFmtId="0" fontId="0" fillId="0" borderId="0" xfId="0" applyAlignment="1">
      <alignment vertical="center"/>
    </xf>
    <xf numFmtId="0" fontId="27" fillId="0" borderId="0" xfId="0" applyFont="1" applyAlignment="1">
      <alignment vertical="center"/>
    </xf>
    <xf numFmtId="0" fontId="8" fillId="4" borderId="1" xfId="0" applyFont="1" applyFill="1" applyBorder="1" applyAlignment="1">
      <alignment horizontal="center" vertical="center"/>
    </xf>
    <xf numFmtId="0" fontId="16" fillId="0" borderId="1" xfId="0" applyFont="1" applyBorder="1" applyAlignment="1">
      <alignment horizontal="left" vertical="center" wrapText="1"/>
    </xf>
    <xf numFmtId="0" fontId="0" fillId="0" borderId="1" xfId="0" applyBorder="1" applyAlignment="1">
      <alignment horizontal="center" vertical="center"/>
    </xf>
    <xf numFmtId="176" fontId="0" fillId="0" borderId="1" xfId="0" applyNumberFormat="1" applyBorder="1" applyAlignment="1">
      <alignment horizontal="center" vertical="center"/>
    </xf>
    <xf numFmtId="0" fontId="2" fillId="0" borderId="0" xfId="0" applyFont="1" applyAlignment="1">
      <alignment horizontal="left" vertical="center" wrapText="1"/>
    </xf>
    <xf numFmtId="0" fontId="7" fillId="0" borderId="0" xfId="0" applyFont="1"/>
    <xf numFmtId="0" fontId="4" fillId="0" borderId="1" xfId="0" applyFont="1" applyBorder="1" applyAlignment="1">
      <alignment horizontal="left" vertical="center" wrapText="1"/>
    </xf>
    <xf numFmtId="0" fontId="28" fillId="0" borderId="0" xfId="0" applyFont="1"/>
    <xf numFmtId="0" fontId="7" fillId="4" borderId="1" xfId="0" applyFont="1" applyFill="1" applyBorder="1" applyAlignment="1">
      <alignment horizontal="center" vertical="center"/>
    </xf>
    <xf numFmtId="0" fontId="7" fillId="4" borderId="1" xfId="0" applyFont="1" applyFill="1" applyBorder="1" applyAlignment="1">
      <alignment horizontal="left" vertical="center" wrapText="1"/>
    </xf>
    <xf numFmtId="0" fontId="8" fillId="0" borderId="1" xfId="0" applyFont="1" applyBorder="1" applyAlignment="1">
      <alignment horizontal="left" vertical="center" wrapText="1"/>
    </xf>
    <xf numFmtId="0" fontId="10" fillId="0" borderId="0" xfId="0" applyFont="1"/>
    <xf numFmtId="0" fontId="7" fillId="5" borderId="1" xfId="0" applyFont="1" applyFill="1" applyBorder="1" applyAlignment="1">
      <alignment horizontal="center" vertical="center"/>
    </xf>
    <xf numFmtId="0" fontId="8" fillId="5" borderId="1" xfId="0" applyFont="1" applyFill="1" applyBorder="1" applyAlignment="1">
      <alignment horizontal="center" vertical="center"/>
    </xf>
    <xf numFmtId="0" fontId="7" fillId="5" borderId="1" xfId="0" applyFont="1" applyFill="1" applyBorder="1" applyAlignment="1">
      <alignment horizontal="left" vertical="center" wrapText="1"/>
    </xf>
    <xf numFmtId="0" fontId="29" fillId="0" borderId="0" xfId="0" applyFont="1"/>
    <xf numFmtId="2" fontId="7" fillId="4" borderId="1" xfId="0" applyNumberFormat="1" applyFont="1" applyFill="1" applyBorder="1" applyAlignment="1">
      <alignment horizontal="center" vertical="center"/>
    </xf>
    <xf numFmtId="0" fontId="16" fillId="0" borderId="0" xfId="0" applyFont="1"/>
    <xf numFmtId="2" fontId="7" fillId="0" borderId="1" xfId="0" applyNumberFormat="1" applyFont="1" applyBorder="1" applyAlignment="1">
      <alignment horizontal="center" vertical="center"/>
    </xf>
    <xf numFmtId="2" fontId="8" fillId="4" borderId="1" xfId="0" applyNumberFormat="1" applyFont="1" applyFill="1" applyBorder="1" applyAlignment="1">
      <alignment horizontal="center" vertical="center"/>
    </xf>
    <xf numFmtId="0" fontId="30" fillId="0" borderId="0" xfId="0" applyFont="1"/>
    <xf numFmtId="0" fontId="31" fillId="0" borderId="0" xfId="0" applyFont="1"/>
    <xf numFmtId="0" fontId="20" fillId="0" borderId="1" xfId="0" applyFont="1" applyBorder="1" applyAlignment="1">
      <alignment horizontal="left" vertical="center"/>
    </xf>
    <xf numFmtId="0" fontId="33" fillId="0" borderId="1" xfId="0" applyFont="1" applyBorder="1" applyAlignment="1">
      <alignment horizontal="center" vertical="center"/>
    </xf>
    <xf numFmtId="0" fontId="35" fillId="0" borderId="0" xfId="0" applyFont="1"/>
    <xf numFmtId="14" fontId="4" fillId="2" borderId="1" xfId="0" applyNumberFormat="1" applyFont="1" applyFill="1" applyBorder="1" applyAlignment="1">
      <alignment horizontal="center" vertical="center"/>
    </xf>
    <xf numFmtId="0" fontId="36" fillId="0" borderId="0" xfId="0" applyFont="1"/>
    <xf numFmtId="0" fontId="34" fillId="0" borderId="0" xfId="1"/>
    <xf numFmtId="0" fontId="37" fillId="0" borderId="0" xfId="0" applyFont="1"/>
    <xf numFmtId="0" fontId="38" fillId="0" borderId="0" xfId="0" applyFont="1"/>
    <xf numFmtId="0" fontId="39" fillId="0" borderId="1" xfId="0" applyFont="1" applyBorder="1" applyAlignment="1">
      <alignment horizontal="left" vertical="center" wrapText="1"/>
    </xf>
    <xf numFmtId="0" fontId="0" fillId="0" borderId="0" xfId="0" applyAlignment="1">
      <alignment horizontal="left" vertical="center" wrapText="1"/>
    </xf>
    <xf numFmtId="0" fontId="13" fillId="0" borderId="0" xfId="0" applyFont="1" applyAlignment="1">
      <alignment horizontal="left" vertical="center"/>
    </xf>
    <xf numFmtId="0" fontId="15" fillId="0" borderId="0" xfId="0" applyFont="1" applyAlignment="1">
      <alignment horizontal="center" vertical="center"/>
    </xf>
    <xf numFmtId="0" fontId="40" fillId="0" borderId="0" xfId="0" applyFont="1"/>
    <xf numFmtId="0" fontId="41" fillId="8" borderId="0" xfId="0" applyFont="1" applyFill="1" applyAlignment="1">
      <alignment horizontal="center"/>
    </xf>
    <xf numFmtId="0" fontId="42" fillId="9" borderId="0" xfId="0" applyFont="1" applyFill="1"/>
    <xf numFmtId="0" fontId="43" fillId="10" borderId="0" xfId="0" applyFont="1" applyFill="1"/>
    <xf numFmtId="0" fontId="44" fillId="0" borderId="0" xfId="0" applyFont="1"/>
    <xf numFmtId="0" fontId="43" fillId="0" borderId="0" xfId="0" applyFont="1"/>
    <xf numFmtId="0" fontId="41" fillId="8" borderId="1" xfId="0" applyFont="1" applyFill="1" applyBorder="1" applyAlignment="1">
      <alignment horizontal="center" vertical="center"/>
    </xf>
    <xf numFmtId="0" fontId="41" fillId="8" borderId="0" xfId="0" applyFont="1" applyFill="1"/>
    <xf numFmtId="177" fontId="45" fillId="0" borderId="0" xfId="0" applyNumberFormat="1" applyFont="1"/>
    <xf numFmtId="0" fontId="45" fillId="0" borderId="0" xfId="0" applyFont="1"/>
    <xf numFmtId="0" fontId="45" fillId="9" borderId="0" xfId="0" applyFont="1" applyFill="1"/>
    <xf numFmtId="0" fontId="46" fillId="0" borderId="0" xfId="0" applyFont="1"/>
    <xf numFmtId="0" fontId="47" fillId="0" borderId="0" xfId="0" applyFont="1"/>
    <xf numFmtId="177" fontId="48" fillId="0" borderId="0" xfId="0" applyNumberFormat="1" applyFont="1"/>
    <xf numFmtId="0" fontId="48" fillId="0" borderId="0" xfId="0" applyFont="1"/>
    <xf numFmtId="0" fontId="49" fillId="0" borderId="0" xfId="0" applyFont="1"/>
    <xf numFmtId="0" fontId="50" fillId="0" borderId="0" xfId="0" applyFont="1"/>
    <xf numFmtId="177" fontId="51" fillId="0" borderId="0" xfId="0" applyNumberFormat="1" applyFont="1"/>
    <xf numFmtId="0" fontId="51" fillId="0" borderId="0" xfId="0" applyFont="1"/>
    <xf numFmtId="0" fontId="53" fillId="0" borderId="0" xfId="0" applyFont="1"/>
    <xf numFmtId="14" fontId="0" fillId="0" borderId="0" xfId="0" applyNumberFormat="1"/>
    <xf numFmtId="0" fontId="22" fillId="6" borderId="0" xfId="0" applyFont="1" applyFill="1" applyAlignment="1">
      <alignment vertical="top" wrapText="1"/>
    </xf>
    <xf numFmtId="0" fontId="0" fillId="0" borderId="0" xfId="0"/>
    <xf numFmtId="0" fontId="21" fillId="0" borderId="0" xfId="0" applyFont="1" applyAlignment="1">
      <alignment vertical="top" wrapText="1"/>
    </xf>
    <xf numFmtId="0" fontId="27" fillId="0" borderId="3" xfId="0" applyFont="1" applyBorder="1" applyAlignment="1">
      <alignment horizontal="center" vertical="center"/>
    </xf>
    <xf numFmtId="0" fontId="0" fillId="0" borderId="3" xfId="0" applyBorder="1"/>
  </cellXfs>
  <cellStyles count="2">
    <cellStyle name="표준" xfId="0" builtinId="0"/>
    <cellStyle name="하이퍼링크" xfId="1" builtinId="8"/>
  </cellStyles>
  <dxfs count="14">
    <dxf>
      <fill>
        <patternFill patternType="solid">
          <fgColor rgb="FFE2EFDA"/>
        </patternFill>
      </fill>
    </dxf>
    <dxf>
      <font>
        <b/>
        <color rgb="FF9C0006"/>
      </font>
      <fill>
        <patternFill patternType="solid">
          <fgColor rgb="FFFFC7CE"/>
        </patternFill>
      </fill>
    </dxf>
    <dxf>
      <fill>
        <patternFill patternType="solid">
          <fgColor rgb="FFFFC7CE"/>
        </patternFill>
      </fill>
    </dxf>
    <dxf>
      <fill>
        <patternFill patternType="solid">
          <fgColor rgb="FFE2EFDA"/>
        </patternFill>
      </fill>
    </dxf>
    <dxf>
      <font>
        <b/>
        <color rgb="FF9C0006"/>
      </font>
      <fill>
        <patternFill patternType="solid">
          <fgColor rgb="FFFFC7CE"/>
        </patternFill>
      </fill>
    </dxf>
    <dxf>
      <fill>
        <patternFill patternType="solid">
          <fgColor rgb="FFFFC7CE"/>
        </patternFill>
      </fill>
    </dxf>
    <dxf>
      <font>
        <color rgb="FF95A5A6"/>
      </font>
      <fill>
        <patternFill>
          <bgColor rgb="FFF2F2F2"/>
        </patternFill>
      </fill>
    </dxf>
    <dxf>
      <font>
        <color rgb="FF95A5A6"/>
      </font>
      <fill>
        <patternFill>
          <bgColor rgb="FFF2F2F2"/>
        </patternFill>
      </fill>
    </dxf>
    <dxf>
      <font>
        <color rgb="FF95A5A6"/>
      </font>
      <fill>
        <patternFill>
          <bgColor rgb="FFF2F2F2"/>
        </patternFill>
      </fill>
    </dxf>
    <dxf>
      <font>
        <color rgb="FF95A5A6"/>
      </font>
      <fill>
        <patternFill>
          <bgColor rgb="FFF2F2F2"/>
        </patternFill>
      </fill>
    </dxf>
    <dxf>
      <font>
        <color rgb="FF95A5A6"/>
      </font>
      <fill>
        <patternFill>
          <bgColor rgb="FFF2F2F2"/>
        </patternFill>
      </fill>
    </dxf>
    <dxf>
      <fill>
        <patternFill>
          <bgColor rgb="FFD9D9D9"/>
        </patternFill>
      </fill>
    </dxf>
    <dxf>
      <font>
        <color rgb="FF95A5A6"/>
      </font>
      <fill>
        <patternFill>
          <bgColor rgb="FFF2F2F2"/>
        </patternFill>
      </fill>
    </dxf>
    <dxf>
      <font>
        <color rgb="FF95A5A6"/>
      </font>
      <fill>
        <patternFill>
          <bgColor rgb="FFF2F2F2"/>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B9770E"/>
      <rgbColor rgb="FF800080"/>
      <rgbColor rgb="FF008080"/>
      <rgbColor rgb="FFBFBFBF"/>
      <rgbColor rgb="FF7F8C8D"/>
      <rgbColor rgb="FF9999FF"/>
      <rgbColor rgb="FF595959"/>
      <rgbColor rgb="FFFEF9E7"/>
      <rgbColor rgb="FFF2F2F2"/>
      <rgbColor rgb="FF660066"/>
      <rgbColor rgb="FFFF8080"/>
      <rgbColor rgb="FF0066CC"/>
      <rgbColor rgb="FFD5D8DC"/>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D9D9D9"/>
      <rgbColor rgb="FF3366FF"/>
      <rgbColor rgb="FF33CCCC"/>
      <rgbColor rgb="FF99CC00"/>
      <rgbColor rgb="FFFFCC00"/>
      <rgbColor rgb="FFFF9900"/>
      <rgbColor rgb="FFFF6600"/>
      <rgbColor rgb="FF566573"/>
      <rgbColor rgb="FF95A5A6"/>
      <rgbColor rgb="FF1F4E3D"/>
      <rgbColor rgb="FF339966"/>
      <rgbColor rgb="FF003300"/>
      <rgbColor rgb="FF333300"/>
      <rgbColor rgb="FF993300"/>
      <rgbColor rgb="FF993366"/>
      <rgbColor rgb="FF34495E"/>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hyperlink" Target="https://www.youtube.com/watch?v=BGaOGtfTKPc&amp;list=LL&amp;index=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7"/>
  <sheetViews>
    <sheetView topLeftCell="A36" zoomScaleNormal="100" workbookViewId="0">
      <selection activeCell="C61" sqref="C61"/>
    </sheetView>
  </sheetViews>
  <sheetFormatPr defaultColWidth="8.7109375" defaultRowHeight="15"/>
  <cols>
    <col min="1" max="1" width="18" customWidth="1"/>
    <col min="2" max="2" width="14" customWidth="1"/>
    <col min="3" max="6" width="16" customWidth="1"/>
  </cols>
  <sheetData>
    <row r="1" spans="1:6" ht="21" customHeight="1">
      <c r="A1" s="1" t="s">
        <v>90</v>
      </c>
    </row>
    <row r="2" spans="1:6" ht="15" customHeight="1">
      <c r="A2" s="2" t="s">
        <v>91</v>
      </c>
    </row>
    <row r="4" spans="1:6" ht="15" customHeight="1">
      <c r="A4" s="3" t="s">
        <v>92</v>
      </c>
      <c r="C4" s="4">
        <v>6</v>
      </c>
      <c r="D4" s="2" t="s">
        <v>93</v>
      </c>
    </row>
    <row r="6" spans="1:6" ht="15" customHeight="1">
      <c r="A6" s="5" t="s">
        <v>4</v>
      </c>
      <c r="B6" s="6" t="s">
        <v>94</v>
      </c>
      <c r="C6" s="5" t="s">
        <v>95</v>
      </c>
      <c r="D6" s="5" t="s">
        <v>96</v>
      </c>
      <c r="E6" s="5" t="s">
        <v>97</v>
      </c>
      <c r="F6" s="5" t="s">
        <v>98</v>
      </c>
    </row>
    <row r="7" spans="1:6" ht="15" customHeight="1">
      <c r="A7" s="7" t="s">
        <v>99</v>
      </c>
      <c r="B7" s="7">
        <v>92.5</v>
      </c>
      <c r="C7" s="8">
        <f>MAX(20,(MROUND(B7*0.4,1)+(MOD(MROUND(B7*0.4,1),5)=4)))</f>
        <v>37</v>
      </c>
      <c r="D7" s="4">
        <v>37</v>
      </c>
      <c r="E7" s="9">
        <f>INDEX(증량기록!$C$10:$C$21,$C$4)</f>
        <v>62</v>
      </c>
      <c r="F7" s="8" t="s">
        <v>100</v>
      </c>
    </row>
    <row r="8" spans="1:6" ht="15" customHeight="1">
      <c r="A8" s="7" t="s">
        <v>101</v>
      </c>
      <c r="B8" s="7">
        <v>105</v>
      </c>
      <c r="C8" s="8">
        <f>MAX(20,(MROUND(B8*0.4,1)+(MOD(MROUND(B8*0.4,1),5)=4)))</f>
        <v>42</v>
      </c>
      <c r="D8" s="4">
        <v>42</v>
      </c>
      <c r="E8" s="9">
        <f>INDEX(증량기록!$E$10:$E$21,$C$4)</f>
        <v>67</v>
      </c>
      <c r="F8" s="8" t="s">
        <v>102</v>
      </c>
    </row>
    <row r="9" spans="1:6" ht="15" customHeight="1">
      <c r="A9" s="7" t="s">
        <v>103</v>
      </c>
      <c r="B9" s="7">
        <v>47.25</v>
      </c>
      <c r="C9" s="8">
        <f>MAX(20,(MROUND(B9*0.4,1)+(MOD(MROUND(B9*0.4,1),5)=4)))</f>
        <v>20</v>
      </c>
      <c r="D9" s="4">
        <v>23</v>
      </c>
      <c r="E9" s="9">
        <f>INDEX(증량기록!$G$10:$G$21,$C$4)</f>
        <v>35</v>
      </c>
      <c r="F9" s="8" t="s">
        <v>100</v>
      </c>
    </row>
    <row r="10" spans="1:6" ht="15" customHeight="1">
      <c r="A10" s="7" t="s">
        <v>104</v>
      </c>
      <c r="B10" s="7">
        <v>40</v>
      </c>
      <c r="C10" s="8">
        <f>MAX(20,(MROUND(B10*0.4,1)+(MOD(MROUND(B10*0.4,1),5)=4)))</f>
        <v>20</v>
      </c>
      <c r="D10" s="4">
        <v>20</v>
      </c>
      <c r="E10" s="9">
        <f>INDEX(증량기록!$I$10:$I$21,$C$4)</f>
        <v>26</v>
      </c>
      <c r="F10" s="8" t="s">
        <v>105</v>
      </c>
    </row>
    <row r="11" spans="1:6" ht="15" customHeight="1">
      <c r="D11" s="10" t="s">
        <v>106</v>
      </c>
    </row>
    <row r="12" spans="1:6" ht="15" customHeight="1">
      <c r="A12" s="11"/>
    </row>
    <row r="13" spans="1:6" ht="32.25" customHeight="1">
      <c r="A13" s="12" t="s">
        <v>107</v>
      </c>
    </row>
    <row r="14" spans="1:6" ht="51.75" customHeight="1">
      <c r="A14" s="11" t="s">
        <v>108</v>
      </c>
    </row>
    <row r="15" spans="1:6" ht="51.75" customHeight="1">
      <c r="A15" s="11" t="s">
        <v>109</v>
      </c>
    </row>
    <row r="16" spans="1:6" ht="64.5" customHeight="1">
      <c r="A16" s="11" t="s">
        <v>110</v>
      </c>
    </row>
    <row r="17" spans="1:1" ht="51.75" customHeight="1">
      <c r="A17" s="11" t="s">
        <v>111</v>
      </c>
    </row>
    <row r="18" spans="1:1" ht="51.75" customHeight="1">
      <c r="A18" s="11"/>
    </row>
    <row r="19" spans="1:1" ht="15" customHeight="1">
      <c r="A19" s="12" t="s">
        <v>112</v>
      </c>
    </row>
    <row r="20" spans="1:1" ht="77.25" customHeight="1">
      <c r="A20" s="11" t="s">
        <v>113</v>
      </c>
    </row>
    <row r="21" spans="1:1" ht="51.75" customHeight="1">
      <c r="A21" s="11" t="s">
        <v>114</v>
      </c>
    </row>
    <row r="22" spans="1:1" ht="15" customHeight="1">
      <c r="A22" s="11" t="s">
        <v>115</v>
      </c>
    </row>
    <row r="23" spans="1:1" ht="16.5" customHeight="1">
      <c r="A23" s="11" t="s">
        <v>116</v>
      </c>
    </row>
    <row r="24" spans="1:1" ht="51.75" customHeight="1">
      <c r="A24" s="11" t="s">
        <v>117</v>
      </c>
    </row>
    <row r="25" spans="1:1" ht="39" customHeight="1">
      <c r="A25" s="11"/>
    </row>
    <row r="26" spans="1:1" ht="64.5" customHeight="1">
      <c r="A26" s="11" t="s">
        <v>118</v>
      </c>
    </row>
    <row r="27" spans="1:1" ht="15" customHeight="1">
      <c r="A27" s="11" t="s">
        <v>119</v>
      </c>
    </row>
    <row r="28" spans="1:1" ht="60" customHeight="1">
      <c r="A28" s="11"/>
    </row>
    <row r="29" spans="1:1" ht="51.75" customHeight="1">
      <c r="A29" s="13" t="s">
        <v>120</v>
      </c>
    </row>
    <row r="30" spans="1:1" ht="51.75" customHeight="1">
      <c r="A30" s="11" t="s">
        <v>121</v>
      </c>
    </row>
    <row r="31" spans="1:1" ht="64.5" customHeight="1">
      <c r="A31" s="11" t="s">
        <v>122</v>
      </c>
    </row>
    <row r="32" spans="1:1" ht="64.5" customHeight="1">
      <c r="A32" s="11" t="s">
        <v>123</v>
      </c>
    </row>
    <row r="33" spans="1:5" ht="15" customHeight="1">
      <c r="A33" s="11"/>
    </row>
    <row r="34" spans="1:5" ht="51.75" customHeight="1">
      <c r="A34" s="11" t="s">
        <v>1167</v>
      </c>
    </row>
    <row r="35" spans="1:5" ht="64.5" customHeight="1">
      <c r="A35" s="11" t="s">
        <v>124</v>
      </c>
    </row>
    <row r="36" spans="1:5" ht="26.25" customHeight="1">
      <c r="A36" s="11" t="s">
        <v>125</v>
      </c>
    </row>
    <row r="37" spans="1:5" ht="26.25" customHeight="1">
      <c r="A37" s="11" t="s">
        <v>1183</v>
      </c>
    </row>
    <row r="38" spans="1:5" ht="26.25" customHeight="1">
      <c r="A38" s="11" t="s">
        <v>1184</v>
      </c>
    </row>
    <row r="39" spans="1:5" ht="26.25" customHeight="1">
      <c r="A39" s="11" t="s">
        <v>1185</v>
      </c>
    </row>
    <row r="41" spans="1:5" ht="16.5" customHeight="1">
      <c r="A41" s="14" t="s">
        <v>126</v>
      </c>
    </row>
    <row r="42" spans="1:5" ht="15" customHeight="1">
      <c r="A42" s="5" t="s">
        <v>127</v>
      </c>
      <c r="B42" s="5" t="s">
        <v>99</v>
      </c>
      <c r="C42" s="5" t="s">
        <v>101</v>
      </c>
      <c r="D42" s="5" t="s">
        <v>103</v>
      </c>
      <c r="E42" s="5" t="s">
        <v>104</v>
      </c>
    </row>
    <row r="43" spans="1:5" ht="15" customHeight="1">
      <c r="A43" s="15" t="s">
        <v>128</v>
      </c>
      <c r="B43" s="9">
        <f>증량기록!C10</f>
        <v>37</v>
      </c>
      <c r="C43" s="9">
        <f>증량기록!E10</f>
        <v>42</v>
      </c>
      <c r="D43" s="9">
        <f>증량기록!G10</f>
        <v>23</v>
      </c>
      <c r="E43" s="9">
        <f>증량기록!I10</f>
        <v>20</v>
      </c>
    </row>
    <row r="44" spans="1:5" ht="15" customHeight="1">
      <c r="A44" s="8" t="s">
        <v>129</v>
      </c>
      <c r="B44" s="16">
        <f>증량기록!C11</f>
        <v>42</v>
      </c>
      <c r="C44" s="16">
        <f>증량기록!E11</f>
        <v>47</v>
      </c>
      <c r="D44" s="16">
        <f>증량기록!G11</f>
        <v>25</v>
      </c>
      <c r="E44" s="16">
        <f>증량기록!I11</f>
        <v>21</v>
      </c>
    </row>
    <row r="45" spans="1:5" ht="15" customHeight="1">
      <c r="A45" s="8" t="s">
        <v>130</v>
      </c>
      <c r="B45" s="16">
        <f>증량기록!C12</f>
        <v>47</v>
      </c>
      <c r="C45" s="16">
        <f>증량기록!E12</f>
        <v>52</v>
      </c>
      <c r="D45" s="16">
        <f>증량기록!G12</f>
        <v>27</v>
      </c>
      <c r="E45" s="16">
        <f>증량기록!I12</f>
        <v>22</v>
      </c>
    </row>
    <row r="46" spans="1:5" ht="15" customHeight="1">
      <c r="A46" s="8" t="s">
        <v>131</v>
      </c>
      <c r="B46" s="16">
        <f>증량기록!C13</f>
        <v>52</v>
      </c>
      <c r="C46" s="16">
        <f>증량기록!E13</f>
        <v>57</v>
      </c>
      <c r="D46" s="16">
        <f>증량기록!G13</f>
        <v>30</v>
      </c>
      <c r="E46" s="16">
        <f>증량기록!I13</f>
        <v>23</v>
      </c>
    </row>
    <row r="47" spans="1:5" ht="15" customHeight="1">
      <c r="A47" s="8" t="s">
        <v>132</v>
      </c>
      <c r="B47" s="16">
        <f>증량기록!C14</f>
        <v>57</v>
      </c>
      <c r="C47" s="16">
        <f>증량기록!E14</f>
        <v>62</v>
      </c>
      <c r="D47" s="16">
        <f>증량기록!G14</f>
        <v>32</v>
      </c>
      <c r="E47" s="16">
        <f>증량기록!I14</f>
        <v>25</v>
      </c>
    </row>
    <row r="48" spans="1:5" ht="15" customHeight="1">
      <c r="A48" s="8" t="s">
        <v>133</v>
      </c>
      <c r="B48" s="16">
        <f>증량기록!C15</f>
        <v>62</v>
      </c>
      <c r="C48" s="16">
        <f>증량기록!E15</f>
        <v>67</v>
      </c>
      <c r="D48" s="16">
        <f>증량기록!G15</f>
        <v>35</v>
      </c>
      <c r="E48" s="16">
        <f>증량기록!I15</f>
        <v>26</v>
      </c>
    </row>
    <row r="49" spans="1:5" ht="15" customHeight="1">
      <c r="A49" s="8" t="s">
        <v>134</v>
      </c>
      <c r="B49" s="16">
        <f>증량기록!C16</f>
        <v>67</v>
      </c>
      <c r="C49" s="16">
        <f>증량기록!E16</f>
        <v>72</v>
      </c>
      <c r="D49" s="16">
        <f>증량기록!G16</f>
        <v>37</v>
      </c>
      <c r="E49" s="16">
        <f>증량기록!I16</f>
        <v>27</v>
      </c>
    </row>
    <row r="50" spans="1:5" ht="15" customHeight="1">
      <c r="A50" s="8" t="s">
        <v>135</v>
      </c>
      <c r="B50" s="16">
        <f>증량기록!C17</f>
        <v>72</v>
      </c>
      <c r="C50" s="16">
        <f>증량기록!E17</f>
        <v>77</v>
      </c>
      <c r="D50" s="16">
        <f>증량기록!G17</f>
        <v>40</v>
      </c>
      <c r="E50" s="16">
        <f>증량기록!I17</f>
        <v>28</v>
      </c>
    </row>
    <row r="51" spans="1:5" ht="15" customHeight="1">
      <c r="A51" s="8" t="s">
        <v>136</v>
      </c>
      <c r="B51" s="16">
        <f>증량기록!C18</f>
        <v>77</v>
      </c>
      <c r="C51" s="16">
        <f>증량기록!E18</f>
        <v>82</v>
      </c>
      <c r="D51" s="16">
        <f>증량기록!G18</f>
        <v>42</v>
      </c>
      <c r="E51" s="16">
        <f>증량기록!I18</f>
        <v>30</v>
      </c>
    </row>
    <row r="52" spans="1:5" ht="15" customHeight="1">
      <c r="A52" s="8" t="s">
        <v>137</v>
      </c>
      <c r="B52" s="16">
        <f>증량기록!C19</f>
        <v>82</v>
      </c>
      <c r="C52" s="16">
        <f>증량기록!E19</f>
        <v>87</v>
      </c>
      <c r="D52" s="16">
        <f>증량기록!G19</f>
        <v>45</v>
      </c>
      <c r="E52" s="16">
        <f>증량기록!I19</f>
        <v>31</v>
      </c>
    </row>
    <row r="53" spans="1:5" ht="15" customHeight="1">
      <c r="A53" s="8" t="s">
        <v>138</v>
      </c>
      <c r="B53" s="16">
        <f>증량기록!C20</f>
        <v>87</v>
      </c>
      <c r="C53" s="16">
        <f>증량기록!E20</f>
        <v>92</v>
      </c>
      <c r="D53" s="16">
        <f>증량기록!G20</f>
        <v>47</v>
      </c>
      <c r="E53" s="16">
        <f>증량기록!I20</f>
        <v>32</v>
      </c>
    </row>
    <row r="54" spans="1:5" ht="15" customHeight="1">
      <c r="A54" s="8" t="s">
        <v>139</v>
      </c>
      <c r="B54" s="16">
        <f>증량기록!C21</f>
        <v>92</v>
      </c>
      <c r="C54" s="16">
        <f>증량기록!E21</f>
        <v>97</v>
      </c>
      <c r="D54" s="16">
        <f>증량기록!G21</f>
        <v>50</v>
      </c>
      <c r="E54" s="16">
        <f>증량기록!I21</f>
        <v>33</v>
      </c>
    </row>
    <row r="56" spans="1:5" ht="51.75" customHeight="1">
      <c r="A56" s="11" t="s">
        <v>140</v>
      </c>
    </row>
    <row r="58" spans="1:5">
      <c r="A58" t="s">
        <v>1214</v>
      </c>
    </row>
    <row r="59" spans="1:5">
      <c r="A59" t="s">
        <v>1215</v>
      </c>
      <c r="C59" s="113">
        <v>46237</v>
      </c>
      <c r="D59" t="s">
        <v>1216</v>
      </c>
    </row>
    <row r="60" spans="1:5">
      <c r="A60" t="s">
        <v>1217</v>
      </c>
      <c r="C60" s="113">
        <v>46279</v>
      </c>
      <c r="D60" t="s">
        <v>1218</v>
      </c>
    </row>
    <row r="61" spans="1:5">
      <c r="A61" t="s">
        <v>1219</v>
      </c>
      <c r="C61">
        <v>6</v>
      </c>
      <c r="D61" t="s">
        <v>1220</v>
      </c>
    </row>
    <row r="62" spans="1:5">
      <c r="A62" t="s">
        <v>1205</v>
      </c>
      <c r="C62">
        <v>2</v>
      </c>
      <c r="D62" t="s">
        <v>1221</v>
      </c>
    </row>
    <row r="63" spans="1:5">
      <c r="A63" t="s">
        <v>1222</v>
      </c>
    </row>
    <row r="64" spans="1:5">
      <c r="A64" t="s">
        <v>1223</v>
      </c>
    </row>
    <row r="65" spans="1:1">
      <c r="A65" t="s">
        <v>1224</v>
      </c>
    </row>
    <row r="66" spans="1:1">
      <c r="A66" t="s">
        <v>1225</v>
      </c>
    </row>
    <row r="67" spans="1:1">
      <c r="A67" t="s">
        <v>1206</v>
      </c>
    </row>
  </sheetData>
  <phoneticPr fontId="32" type="noConversion"/>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01"/>
  <sheetViews>
    <sheetView zoomScaleNormal="100" workbookViewId="0"/>
  </sheetViews>
  <sheetFormatPr defaultColWidth="8.7109375" defaultRowHeight="15"/>
  <cols>
    <col min="1" max="1" width="8" customWidth="1"/>
    <col min="2" max="3" width="20" customWidth="1"/>
    <col min="4" max="5" width="28" customWidth="1"/>
    <col min="6" max="6" width="12" customWidth="1"/>
  </cols>
  <sheetData>
    <row r="1" spans="1:6" ht="18" customHeight="1">
      <c r="A1" s="17" t="s">
        <v>141</v>
      </c>
    </row>
    <row r="2" spans="1:6" ht="15" customHeight="1">
      <c r="A2" s="18" t="s">
        <v>142</v>
      </c>
    </row>
    <row r="4" spans="1:6" ht="15" customHeight="1">
      <c r="A4" s="19" t="s">
        <v>143</v>
      </c>
      <c r="B4" s="19" t="s">
        <v>144</v>
      </c>
      <c r="C4" s="19" t="s">
        <v>145</v>
      </c>
      <c r="D4" s="19" t="s">
        <v>146</v>
      </c>
      <c r="E4" s="19" t="s">
        <v>7</v>
      </c>
      <c r="F4" s="19" t="s">
        <v>147</v>
      </c>
    </row>
    <row r="5" spans="1:6" ht="15" customHeight="1">
      <c r="A5" s="20">
        <v>1</v>
      </c>
      <c r="B5" s="21" t="s">
        <v>148</v>
      </c>
      <c r="C5" s="22" t="s">
        <v>149</v>
      </c>
      <c r="D5" s="21" t="s">
        <v>150</v>
      </c>
      <c r="E5" s="20">
        <f>INDEX(D1_당기기A!$E:$E,MATCH("세트 합계",D1_당기기A!$D:$D,0))</f>
        <v>32</v>
      </c>
      <c r="F5" s="20" t="str">
        <f>"약 "&amp;INDEX(D1_당기기A!$I:$I,MATCH("세트 합계",D1_당기기A!$D:$D,0))&amp;"분"</f>
        <v>약 76분</v>
      </c>
    </row>
    <row r="6" spans="1:6" ht="15" customHeight="1">
      <c r="A6" s="20">
        <v>2</v>
      </c>
      <c r="B6" s="21" t="s">
        <v>151</v>
      </c>
      <c r="C6" s="22" t="s">
        <v>152</v>
      </c>
      <c r="D6" s="21" t="s">
        <v>1035</v>
      </c>
      <c r="E6" s="20">
        <f>INDEX(D2_밀기A!$E:$E,MATCH("세트 합계",D2_밀기A!$D:$D,0))</f>
        <v>28</v>
      </c>
      <c r="F6" s="20" t="str">
        <f>"약 "&amp;INDEX(D2_밀기A!$I:$I,MATCH("세트 합계",D2_밀기A!$D:$D,0))&amp;"분"</f>
        <v>약 71분</v>
      </c>
    </row>
    <row r="7" spans="1:6" ht="15" customHeight="1">
      <c r="A7" s="20">
        <v>3</v>
      </c>
      <c r="B7" s="21" t="s">
        <v>153</v>
      </c>
      <c r="C7" s="22" t="s">
        <v>154</v>
      </c>
      <c r="D7" s="21" t="s">
        <v>155</v>
      </c>
      <c r="E7" s="20">
        <f>INDEX(D3_하체A!$E:$E,MATCH("세트 합계",D3_하체A!$D:$D,0))</f>
        <v>26</v>
      </c>
      <c r="F7" s="20" t="str">
        <f>"약 "&amp;INDEX(D3_하체A!$I:$I,MATCH("세트 합계",D3_하체A!$D:$D,0))&amp;"분"</f>
        <v>약 71분</v>
      </c>
    </row>
    <row r="8" spans="1:6" ht="15" customHeight="1">
      <c r="A8" s="20">
        <v>4</v>
      </c>
      <c r="B8" s="21" t="s">
        <v>156</v>
      </c>
      <c r="C8" s="22" t="s">
        <v>149</v>
      </c>
      <c r="D8" s="21" t="s">
        <v>1070</v>
      </c>
      <c r="E8" s="20">
        <f>INDEX(D4_어깨팔A!$E:$E,MATCH("세트 합계",D4_어깨팔A!$D:$D,0))</f>
        <v>36</v>
      </c>
      <c r="F8" s="20" t="str">
        <f>"약 "&amp;INDEX(D4_어깨팔A!$I:$I,MATCH("세트 합계",D4_어깨팔A!$D:$D,0))&amp;"분"</f>
        <v>약 73분</v>
      </c>
    </row>
    <row r="9" spans="1:6" ht="15" customHeight="1">
      <c r="A9" s="23">
        <v>5</v>
      </c>
      <c r="B9" s="24" t="s">
        <v>157</v>
      </c>
      <c r="C9" s="25" t="s">
        <v>149</v>
      </c>
      <c r="D9" s="24" t="s">
        <v>149</v>
      </c>
      <c r="E9" s="23">
        <v>0</v>
      </c>
      <c r="F9" s="20" t="s">
        <v>149</v>
      </c>
    </row>
    <row r="10" spans="1:6" ht="15" customHeight="1">
      <c r="A10" s="20">
        <v>6</v>
      </c>
      <c r="B10" s="21" t="s">
        <v>158</v>
      </c>
      <c r="C10" s="22" t="s">
        <v>149</v>
      </c>
      <c r="D10" s="21" t="s">
        <v>1071</v>
      </c>
      <c r="E10" s="20">
        <f>INDEX(D6_당기기B!$E:$E,MATCH("세트 합계",D6_당기기B!$D:$D,0))</f>
        <v>28</v>
      </c>
      <c r="F10" s="20" t="str">
        <f>"약 "&amp;INDEX(D6_당기기B!$I:$I,MATCH("세트 합계",D6_당기기B!$D:$D,0))&amp;"분"</f>
        <v>약 70분</v>
      </c>
    </row>
    <row r="11" spans="1:6" ht="15" customHeight="1">
      <c r="A11" s="20">
        <v>7</v>
      </c>
      <c r="B11" s="21" t="s">
        <v>159</v>
      </c>
      <c r="C11" s="22" t="s">
        <v>160</v>
      </c>
      <c r="D11" s="21" t="s">
        <v>1064</v>
      </c>
      <c r="E11" s="20">
        <f>INDEX(D7_밀기B!$E:$E,MATCH("세트 합계",D7_밀기B!$D:$D,0))</f>
        <v>30</v>
      </c>
      <c r="F11" s="20" t="str">
        <f>"약 "&amp;INDEX(D7_밀기B!$I:$I,MATCH("세트 합계",D7_밀기B!$D:$D,0))&amp;"분"</f>
        <v>약 73분</v>
      </c>
    </row>
    <row r="12" spans="1:6" ht="15" customHeight="1">
      <c r="A12" s="20">
        <v>8</v>
      </c>
      <c r="B12" s="21" t="s">
        <v>161</v>
      </c>
      <c r="C12" s="22" t="s">
        <v>162</v>
      </c>
      <c r="D12" s="21" t="s">
        <v>163</v>
      </c>
      <c r="E12" s="20">
        <f>INDEX(D8_하체B!$E:$E,MATCH("세트 합계",D8_하체B!$D:$D,0))</f>
        <v>24</v>
      </c>
      <c r="F12" s="20" t="str">
        <f>"약 "&amp;INDEX(D8_하체B!$I:$I,MATCH("세트 합계",D8_하체B!$D:$D,0))&amp;"분"</f>
        <v>약 74분</v>
      </c>
    </row>
    <row r="13" spans="1:6" ht="15" customHeight="1">
      <c r="A13" s="20">
        <v>9</v>
      </c>
      <c r="B13" s="21" t="s">
        <v>164</v>
      </c>
      <c r="C13" s="22" t="s">
        <v>149</v>
      </c>
      <c r="D13" s="21" t="s">
        <v>1053</v>
      </c>
      <c r="E13" s="20">
        <f>INDEX(D9_어깨팔B!$E:$E,MATCH("세트 합계",D9_어깨팔B!$D:$D,0))</f>
        <v>36</v>
      </c>
      <c r="F13" s="20" t="str">
        <f>"약 "&amp;INDEX(D9_어깨팔B!$I:$I,MATCH("세트 합계",D9_어깨팔B!$D:$D,0))&amp;"분"</f>
        <v>약 70분</v>
      </c>
    </row>
    <row r="14" spans="1:6">
      <c r="A14" s="23">
        <v>10</v>
      </c>
      <c r="B14" s="24" t="s">
        <v>157</v>
      </c>
      <c r="C14" s="25" t="s">
        <v>149</v>
      </c>
      <c r="D14" s="24" t="s">
        <v>149</v>
      </c>
      <c r="E14" s="23">
        <v>0</v>
      </c>
      <c r="F14" s="20" t="s">
        <v>149</v>
      </c>
    </row>
    <row r="15" spans="1:6" ht="16.5" customHeight="1">
      <c r="A15" s="27" t="s">
        <v>165</v>
      </c>
      <c r="B15" s="28"/>
      <c r="C15" s="29"/>
      <c r="D15" s="28"/>
      <c r="E15" s="27">
        <f>SUM(E5:E14)</f>
        <v>240</v>
      </c>
      <c r="F15" t="str">
        <f>"약 "&amp;(INDEX(D1_당기기A!$I:$I,MATCH("세트 합계",D1_당기기A!$D:$D,0))+INDEX(D2_밀기A!$I:$I,MATCH("세트 합계",D2_밀기A!$D:$D,0))+INDEX(D3_하체A!$I:$I,MATCH("세트 합계",D3_하체A!$D:$D,0))+INDEX(D4_어깨팔A!$I:$I,MATCH("세트 합계",D4_어깨팔A!$D:$D,0))+INDEX(D6_당기기B!$I:$I,MATCH("세트 합계",D6_당기기B!$D:$D,0))+INDEX(D7_밀기B!$I:$I,MATCH("세트 합계",D7_밀기B!$D:$D,0))+INDEX(D8_하체B!$I:$I,MATCH("세트 합계",D8_하체B!$D:$D,0))+INDEX(D9_어깨팔B!$I:$I,MATCH("세트 합계",D9_어깨팔B!$D:$D,0)))&amp;"분 ("&amp;INT((INDEX(D1_당기기A!$I:$I,MATCH("세트 합계",D1_당기기A!$D:$D,0))+INDEX(D2_밀기A!$I:$I,MATCH("세트 합계",D2_밀기A!$D:$D,0))+INDEX(D3_하체A!$I:$I,MATCH("세트 합계",D3_하체A!$D:$D,0))+INDEX(D4_어깨팔A!$I:$I,MATCH("세트 합계",D4_어깨팔A!$D:$D,0))+INDEX(D6_당기기B!$I:$I,MATCH("세트 합계",D6_당기기B!$D:$D,0))+INDEX(D7_밀기B!$I:$I,MATCH("세트 합계",D7_밀기B!$D:$D,0))+INDEX(D8_하체B!$I:$I,MATCH("세트 합계",D8_하체B!$D:$D,0))+INDEX(D9_어깨팔B!$I:$I,MATCH("세트 합계",D9_어깨팔B!$D:$D,0)))/60)&amp;"시간 "&amp;MOD((INDEX(D1_당기기A!$I:$I,MATCH("세트 합계",D1_당기기A!$D:$D,0))+INDEX(D2_밀기A!$I:$I,MATCH("세트 합계",D2_밀기A!$D:$D,0))+INDEX(D3_하체A!$I:$I,MATCH("세트 합계",D3_하체A!$D:$D,0))+INDEX(D4_어깨팔A!$I:$I,MATCH("세트 합계",D4_어깨팔A!$D:$D,0))+INDEX(D6_당기기B!$I:$I,MATCH("세트 합계",D6_당기기B!$D:$D,0))+INDEX(D7_밀기B!$I:$I,MATCH("세트 합계",D7_밀기B!$D:$D,0))+INDEX(D8_하체B!$I:$I,MATCH("세트 합계",D8_하체B!$D:$D,0))+INDEX(D9_어깨팔B!$I:$I,MATCH("세트 합계",D9_어깨팔B!$D:$D,0))),60)&amp;"분)"</f>
        <v>약 578분 (9시간 38분)</v>
      </c>
    </row>
    <row r="16" spans="1:6" ht="89.25" customHeight="1"/>
    <row r="17" spans="1:1" ht="76.5" customHeight="1">
      <c r="A17" s="13" t="s">
        <v>166</v>
      </c>
    </row>
    <row r="18" spans="1:1" ht="38.25" customHeight="1">
      <c r="A18" s="30" t="s">
        <v>167</v>
      </c>
    </row>
    <row r="19" spans="1:1" ht="114.75" customHeight="1">
      <c r="A19" s="30" t="s">
        <v>168</v>
      </c>
    </row>
    <row r="20" spans="1:1" ht="16.5" customHeight="1">
      <c r="A20" s="30" t="s">
        <v>169</v>
      </c>
    </row>
    <row r="21" spans="1:1" ht="16.5" customHeight="1">
      <c r="A21" s="30" t="s">
        <v>170</v>
      </c>
    </row>
    <row r="22" spans="1:1" ht="15" customHeight="1">
      <c r="A22" s="30" t="s">
        <v>171</v>
      </c>
    </row>
    <row r="23" spans="1:1" ht="15" customHeight="1">
      <c r="A23" s="30" t="s">
        <v>172</v>
      </c>
    </row>
    <row r="24" spans="1:1" ht="15" customHeight="1">
      <c r="A24" s="30" t="s">
        <v>173</v>
      </c>
    </row>
    <row r="25" spans="1:1" ht="15" customHeight="1">
      <c r="A25" s="31"/>
    </row>
    <row r="26" spans="1:1" ht="16.5" customHeight="1">
      <c r="A26" s="105" t="s">
        <v>174</v>
      </c>
    </row>
    <row r="27" spans="1:1" ht="15" customHeight="1">
      <c r="A27" t="s">
        <v>175</v>
      </c>
    </row>
    <row r="28" spans="1:1" ht="15" customHeight="1">
      <c r="A28" t="s">
        <v>176</v>
      </c>
    </row>
    <row r="29" spans="1:1" ht="79.5" customHeight="1">
      <c r="A29" t="s">
        <v>177</v>
      </c>
    </row>
    <row r="30" spans="1:1" ht="64.5" customHeight="1">
      <c r="A30" t="s">
        <v>178</v>
      </c>
    </row>
    <row r="31" spans="1:1" ht="90" customHeight="1">
      <c r="A31" t="s">
        <v>179</v>
      </c>
    </row>
    <row r="32" spans="1:1" ht="102.75" customHeight="1">
      <c r="A32" t="s">
        <v>180</v>
      </c>
    </row>
    <row r="33" spans="1:1" ht="100.5" customHeight="1">
      <c r="A33" t="s">
        <v>181</v>
      </c>
    </row>
    <row r="34" spans="1:1" ht="15" customHeight="1">
      <c r="A34" t="s">
        <v>182</v>
      </c>
    </row>
    <row r="35" spans="1:1" ht="90" customHeight="1">
      <c r="A35" t="s">
        <v>1036</v>
      </c>
    </row>
    <row r="36" spans="1:1" ht="90" customHeight="1">
      <c r="A36" t="s">
        <v>1041</v>
      </c>
    </row>
    <row r="37" spans="1:1" ht="90" customHeight="1">
      <c r="A37" t="s">
        <v>1054</v>
      </c>
    </row>
    <row r="38" spans="1:1" ht="90" customHeight="1">
      <c r="A38" t="s">
        <v>1065</v>
      </c>
    </row>
    <row r="39" spans="1:1" ht="90" customHeight="1">
      <c r="A39" t="s">
        <v>1072</v>
      </c>
    </row>
    <row r="40" spans="1:1" ht="90" customHeight="1">
      <c r="A40" t="s">
        <v>1087</v>
      </c>
    </row>
    <row r="41" spans="1:1" ht="51.75" customHeight="1">
      <c r="A41" s="13" t="s">
        <v>183</v>
      </c>
    </row>
    <row r="42" spans="1:1" ht="77.25" customHeight="1">
      <c r="A42" s="30" t="s">
        <v>184</v>
      </c>
    </row>
    <row r="43" spans="1:1" ht="64.5" customHeight="1">
      <c r="A43" s="30" t="s">
        <v>185</v>
      </c>
    </row>
    <row r="44" spans="1:1" ht="16.5" customHeight="1">
      <c r="A44" s="30" t="s">
        <v>186</v>
      </c>
    </row>
    <row r="45" spans="1:1" ht="16.5" customHeight="1">
      <c r="A45" s="30" t="s">
        <v>187</v>
      </c>
    </row>
    <row r="46" spans="1:1" ht="16.5" customHeight="1">
      <c r="A46" s="30" t="s">
        <v>188</v>
      </c>
    </row>
    <row r="47" spans="1:1" ht="242.25" customHeight="1">
      <c r="A47" s="30"/>
    </row>
    <row r="48" spans="1:1" ht="270.75" customHeight="1">
      <c r="A48" s="13" t="s">
        <v>189</v>
      </c>
    </row>
    <row r="49" spans="1:1" ht="242.25" customHeight="1">
      <c r="A49" s="30" t="s">
        <v>190</v>
      </c>
    </row>
    <row r="50" spans="1:1" ht="199.5" customHeight="1">
      <c r="A50" s="30" t="s">
        <v>191</v>
      </c>
    </row>
    <row r="51" spans="1:1" ht="185.25" customHeight="1">
      <c r="A51" s="30" t="s">
        <v>192</v>
      </c>
    </row>
    <row r="52" spans="1:1" ht="199.5" customHeight="1">
      <c r="A52" s="30" t="s">
        <v>193</v>
      </c>
    </row>
    <row r="53" spans="1:1" ht="185.25" customHeight="1">
      <c r="A53" s="30" t="s">
        <v>194</v>
      </c>
    </row>
    <row r="54" spans="1:1" ht="327.75" customHeight="1">
      <c r="A54" s="30" t="s">
        <v>195</v>
      </c>
    </row>
    <row r="55" spans="1:1" ht="256.5" customHeight="1">
      <c r="A55" s="32"/>
    </row>
    <row r="56" spans="1:1" ht="409.5" customHeight="1">
      <c r="A56" s="13" t="s">
        <v>196</v>
      </c>
    </row>
    <row r="57" spans="1:1" ht="370.5" customHeight="1">
      <c r="A57" s="30" t="s">
        <v>197</v>
      </c>
    </row>
    <row r="58" spans="1:1" ht="409.5" customHeight="1">
      <c r="A58" s="30" t="s">
        <v>198</v>
      </c>
    </row>
    <row r="59" spans="1:1" ht="370.5" customHeight="1">
      <c r="A59" s="30" t="s">
        <v>199</v>
      </c>
    </row>
    <row r="60" spans="1:1" ht="185.25" customHeight="1">
      <c r="A60" s="30" t="s">
        <v>200</v>
      </c>
    </row>
    <row r="61" spans="1:1" ht="60" customHeight="1">
      <c r="A61" s="31"/>
    </row>
    <row r="62" spans="1:1" ht="256.5" customHeight="1">
      <c r="A62" s="13" t="s">
        <v>201</v>
      </c>
    </row>
    <row r="63" spans="1:1" ht="327.75" customHeight="1">
      <c r="A63" s="30" t="s">
        <v>202</v>
      </c>
    </row>
    <row r="64" spans="1:1" ht="256.5" customHeight="1">
      <c r="A64" s="30" t="s">
        <v>203</v>
      </c>
    </row>
    <row r="65" spans="1:1" ht="409.5" customHeight="1">
      <c r="A65" s="30" t="s">
        <v>204</v>
      </c>
    </row>
    <row r="66" spans="1:1" ht="370.5" customHeight="1">
      <c r="A66" s="30" t="s">
        <v>205</v>
      </c>
    </row>
    <row r="67" spans="1:1" ht="285" customHeight="1">
      <c r="A67" s="30" t="s">
        <v>206</v>
      </c>
    </row>
    <row r="68" spans="1:1" ht="90" customHeight="1">
      <c r="A68" s="30" t="s">
        <v>207</v>
      </c>
    </row>
    <row r="69" spans="1:1" ht="313.5" customHeight="1">
      <c r="A69" s="13" t="s">
        <v>208</v>
      </c>
    </row>
    <row r="70" spans="1:1" ht="370.5" customHeight="1">
      <c r="A70" s="30" t="s">
        <v>209</v>
      </c>
    </row>
    <row r="71" spans="1:1" ht="285" customHeight="1">
      <c r="A71" s="30" t="s">
        <v>210</v>
      </c>
    </row>
    <row r="72" spans="1:1" ht="370.5" customHeight="1"/>
    <row r="73" spans="1:1" ht="256.5" customHeight="1">
      <c r="A73" s="13" t="s">
        <v>211</v>
      </c>
    </row>
    <row r="74" spans="1:1" ht="327.75" customHeight="1">
      <c r="A74" s="30" t="s">
        <v>212</v>
      </c>
    </row>
    <row r="75" spans="1:1" ht="327.75" customHeight="1">
      <c r="A75" s="30" t="s">
        <v>213</v>
      </c>
    </row>
    <row r="76" spans="1:1" ht="299.25" customHeight="1">
      <c r="A76" s="30" t="s">
        <v>214</v>
      </c>
    </row>
    <row r="77" spans="1:1" ht="327.75" customHeight="1">
      <c r="A77" s="30" t="s">
        <v>215</v>
      </c>
    </row>
    <row r="78" spans="1:1" ht="90" customHeight="1"/>
    <row r="79" spans="1:1" ht="75" customHeight="1">
      <c r="A79" s="13" t="s">
        <v>216</v>
      </c>
    </row>
    <row r="80" spans="1:1" ht="327.75" customHeight="1">
      <c r="A80" s="30" t="s">
        <v>217</v>
      </c>
    </row>
    <row r="81" spans="1:1" ht="356.25" customHeight="1">
      <c r="A81" s="30" t="s">
        <v>218</v>
      </c>
    </row>
    <row r="82" spans="1:1" ht="270.75" customHeight="1">
      <c r="A82" s="30" t="s">
        <v>219</v>
      </c>
    </row>
    <row r="83" spans="1:1" ht="313.5" customHeight="1">
      <c r="A83" s="30" t="s">
        <v>220</v>
      </c>
    </row>
    <row r="84" spans="1:1" ht="142.5" customHeight="1">
      <c r="A84" s="30" t="s">
        <v>221</v>
      </c>
    </row>
    <row r="85" spans="1:1" ht="242.25" customHeight="1">
      <c r="A85" s="30" t="s">
        <v>222</v>
      </c>
    </row>
    <row r="86" spans="1:1" ht="299.25" customHeight="1">
      <c r="A86" s="30" t="s">
        <v>223</v>
      </c>
    </row>
    <row r="87" spans="1:1" ht="327.75" customHeight="1">
      <c r="A87" s="30" t="s">
        <v>224</v>
      </c>
    </row>
    <row r="88" spans="1:1" ht="327.75" customHeight="1">
      <c r="A88" s="30" t="s">
        <v>225</v>
      </c>
    </row>
    <row r="89" spans="1:1" ht="75" customHeight="1"/>
    <row r="90" spans="1:1" ht="327.75" customHeight="1">
      <c r="A90" s="13" t="s">
        <v>226</v>
      </c>
    </row>
    <row r="91" spans="1:1" ht="356.25" customHeight="1">
      <c r="A91" s="30" t="s">
        <v>227</v>
      </c>
    </row>
    <row r="92" spans="1:1" ht="270.75" customHeight="1">
      <c r="A92" s="30" t="s">
        <v>228</v>
      </c>
    </row>
    <row r="93" spans="1:1" ht="313.5" customHeight="1">
      <c r="A93" s="30" t="s">
        <v>229</v>
      </c>
    </row>
    <row r="94" spans="1:1" ht="142.5" customHeight="1">
      <c r="A94" s="30" t="s">
        <v>230</v>
      </c>
    </row>
    <row r="95" spans="1:1" ht="242.25" customHeight="1">
      <c r="A95" s="30" t="s">
        <v>231</v>
      </c>
    </row>
    <row r="96" spans="1:1" ht="242.25" customHeight="1">
      <c r="A96" s="30" t="s">
        <v>232</v>
      </c>
    </row>
    <row r="98" spans="1:1">
      <c r="A98" s="112" t="s">
        <v>1098</v>
      </c>
    </row>
    <row r="99" spans="1:1">
      <c r="A99" t="s">
        <v>1124</v>
      </c>
    </row>
    <row r="100" spans="1:1">
      <c r="A100" t="s">
        <v>1125</v>
      </c>
    </row>
    <row r="101" spans="1:1">
      <c r="A101" t="s">
        <v>1126</v>
      </c>
    </row>
  </sheetData>
  <phoneticPr fontId="32" type="noConversion"/>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34"/>
  <sheetViews>
    <sheetView zoomScaleNormal="100" workbookViewId="0">
      <pane ySplit="5" topLeftCell="A6" activePane="bottomLeft" state="frozen"/>
      <selection pane="bottomLeft" activeCell="I27" sqref="I27"/>
    </sheetView>
  </sheetViews>
  <sheetFormatPr defaultColWidth="8.7109375" defaultRowHeight="15"/>
  <cols>
    <col min="1" max="1" width="5.5703125" customWidth="1"/>
    <col min="2" max="2" width="30" customWidth="1"/>
    <col min="3" max="3" width="20" customWidth="1"/>
    <col min="4" max="4" width="12" customWidth="1"/>
    <col min="5" max="5" width="8" customWidth="1"/>
    <col min="6" max="6" width="12" customWidth="1"/>
    <col min="7" max="9" width="9.42578125" customWidth="1"/>
    <col min="10" max="11" width="11" customWidth="1"/>
    <col min="13" max="13" width="24" customWidth="1"/>
    <col min="14" max="14" width="11" customWidth="1"/>
    <col min="15" max="15" width="9.42578125" customWidth="1"/>
  </cols>
  <sheetData>
    <row r="1" spans="1:15" ht="19.5" customHeight="1">
      <c r="A1" s="17" t="s">
        <v>233</v>
      </c>
    </row>
    <row r="2" spans="1:15" ht="16.5" customHeight="1">
      <c r="A2" s="18" t="s">
        <v>234</v>
      </c>
    </row>
    <row r="3" spans="1:15">
      <c r="A3" s="33" t="s">
        <v>235</v>
      </c>
    </row>
    <row r="4" spans="1:15" ht="15" customHeight="1">
      <c r="A4" s="3" t="s">
        <v>2</v>
      </c>
    </row>
    <row r="5" spans="1:15" ht="16.5" customHeight="1">
      <c r="A5" s="34" t="s">
        <v>3</v>
      </c>
      <c r="B5" s="35" t="s">
        <v>4</v>
      </c>
      <c r="C5" s="35" t="s">
        <v>5</v>
      </c>
      <c r="D5" s="35" t="s">
        <v>6</v>
      </c>
      <c r="E5" s="35" t="s">
        <v>7</v>
      </c>
      <c r="F5" s="35" t="s">
        <v>8</v>
      </c>
      <c r="G5" s="35" t="s">
        <v>9</v>
      </c>
      <c r="H5" s="35" t="s">
        <v>10</v>
      </c>
      <c r="I5" s="35" t="s">
        <v>11</v>
      </c>
      <c r="J5" s="35" t="s">
        <v>12</v>
      </c>
      <c r="K5" s="35" t="s">
        <v>13</v>
      </c>
      <c r="L5" s="35" t="s">
        <v>14</v>
      </c>
      <c r="M5" s="35" t="s">
        <v>15</v>
      </c>
      <c r="N5" s="35" t="s">
        <v>16</v>
      </c>
      <c r="O5" s="35" t="s">
        <v>1096</v>
      </c>
    </row>
    <row r="6" spans="1:15" ht="16.5" customHeight="1">
      <c r="A6" s="20">
        <v>1</v>
      </c>
      <c r="B6" s="21" t="s">
        <v>236</v>
      </c>
      <c r="C6" s="20" t="s">
        <v>237</v>
      </c>
      <c r="D6" s="20">
        <v>60</v>
      </c>
      <c r="E6" s="20">
        <v>4</v>
      </c>
      <c r="F6" s="26" t="s">
        <v>238</v>
      </c>
      <c r="G6" s="26">
        <v>35</v>
      </c>
      <c r="H6" s="26">
        <v>155</v>
      </c>
      <c r="I6" s="26">
        <f t="shared" ref="I6:I16" si="0">IF(E6=0,0,ROUND((E6*(G6+H6)+O6)/60,1))</f>
        <v>12.7</v>
      </c>
      <c r="J6" s="21" t="s">
        <v>44</v>
      </c>
      <c r="K6" s="21" t="s">
        <v>239</v>
      </c>
      <c r="L6" s="21" t="s">
        <v>240</v>
      </c>
      <c r="M6" s="26" t="s">
        <v>241</v>
      </c>
      <c r="O6" s="26"/>
    </row>
    <row r="7" spans="1:15" ht="16.5" customHeight="1">
      <c r="A7" s="20">
        <v>2</v>
      </c>
      <c r="B7" s="21" t="s">
        <v>242</v>
      </c>
      <c r="C7" s="20" t="s">
        <v>237</v>
      </c>
      <c r="D7" s="26">
        <v>40</v>
      </c>
      <c r="E7" s="20">
        <v>3</v>
      </c>
      <c r="F7" s="26" t="s">
        <v>40</v>
      </c>
      <c r="G7" s="26">
        <v>40</v>
      </c>
      <c r="H7" s="26">
        <v>120</v>
      </c>
      <c r="I7" s="26">
        <f t="shared" si="0"/>
        <v>8</v>
      </c>
      <c r="J7" s="21" t="s">
        <v>44</v>
      </c>
      <c r="K7" s="36" t="s">
        <v>1073</v>
      </c>
      <c r="L7" s="21" t="s">
        <v>243</v>
      </c>
      <c r="O7" s="26"/>
    </row>
    <row r="8" spans="1:15" ht="16.5" customHeight="1">
      <c r="A8" s="20">
        <v>3</v>
      </c>
      <c r="B8" s="21" t="s">
        <v>1074</v>
      </c>
      <c r="C8" s="20" t="s">
        <v>237</v>
      </c>
      <c r="D8" s="26">
        <v>20</v>
      </c>
      <c r="E8" s="20">
        <v>2</v>
      </c>
      <c r="F8" s="26" t="s">
        <v>1075</v>
      </c>
      <c r="G8" s="26">
        <v>80</v>
      </c>
      <c r="H8" s="26">
        <v>120</v>
      </c>
      <c r="I8" s="26">
        <f t="shared" si="0"/>
        <v>8.6999999999999993</v>
      </c>
      <c r="J8" s="21" t="s">
        <v>44</v>
      </c>
      <c r="K8" s="36" t="s">
        <v>1097</v>
      </c>
      <c r="L8" s="21" t="s">
        <v>1076</v>
      </c>
      <c r="O8" s="26">
        <v>120</v>
      </c>
    </row>
    <row r="9" spans="1:15" ht="16.5" customHeight="1">
      <c r="A9" s="20">
        <v>4</v>
      </c>
      <c r="B9" s="36" t="s">
        <v>244</v>
      </c>
      <c r="C9" s="42" t="s">
        <v>245</v>
      </c>
      <c r="D9" s="20" t="s">
        <v>246</v>
      </c>
      <c r="E9" s="20">
        <v>4</v>
      </c>
      <c r="F9" s="26" t="s">
        <v>247</v>
      </c>
      <c r="G9" s="26">
        <v>40</v>
      </c>
      <c r="H9" s="26">
        <v>120</v>
      </c>
      <c r="I9" s="26">
        <f t="shared" si="0"/>
        <v>10.7</v>
      </c>
      <c r="J9" s="21" t="s">
        <v>248</v>
      </c>
      <c r="K9" s="21" t="s">
        <v>249</v>
      </c>
      <c r="L9" s="21" t="s">
        <v>250</v>
      </c>
      <c r="O9" s="26"/>
    </row>
    <row r="10" spans="1:15" ht="16.5" customHeight="1">
      <c r="A10" s="20">
        <v>5</v>
      </c>
      <c r="B10" s="36" t="s">
        <v>251</v>
      </c>
      <c r="C10" s="20" t="s">
        <v>245</v>
      </c>
      <c r="D10" s="20">
        <v>12.5</v>
      </c>
      <c r="E10" s="20">
        <v>3</v>
      </c>
      <c r="F10" s="26" t="s">
        <v>19</v>
      </c>
      <c r="G10" s="26">
        <v>45</v>
      </c>
      <c r="H10" s="26">
        <v>60</v>
      </c>
      <c r="I10" s="26">
        <f t="shared" si="0"/>
        <v>5.3</v>
      </c>
      <c r="J10" s="21" t="s">
        <v>252</v>
      </c>
      <c r="K10" s="21" t="s">
        <v>253</v>
      </c>
      <c r="L10" s="21" t="s">
        <v>254</v>
      </c>
      <c r="O10" s="26"/>
    </row>
    <row r="11" spans="1:15" ht="16.5" customHeight="1">
      <c r="A11" s="20">
        <v>6</v>
      </c>
      <c r="B11" s="21" t="s">
        <v>255</v>
      </c>
      <c r="C11" s="20" t="s">
        <v>44</v>
      </c>
      <c r="D11" s="26" t="s">
        <v>256</v>
      </c>
      <c r="E11" s="20">
        <v>0</v>
      </c>
      <c r="F11" s="26" t="s">
        <v>40</v>
      </c>
      <c r="G11" s="26">
        <v>40</v>
      </c>
      <c r="H11" s="26">
        <v>70</v>
      </c>
      <c r="I11" s="26">
        <f t="shared" si="0"/>
        <v>0</v>
      </c>
      <c r="J11" s="21" t="s">
        <v>45</v>
      </c>
      <c r="K11" s="21" t="s">
        <v>257</v>
      </c>
      <c r="L11" s="22" t="s">
        <v>258</v>
      </c>
      <c r="O11" s="26"/>
    </row>
    <row r="12" spans="1:15" ht="16.5" customHeight="1">
      <c r="A12" s="20">
        <v>7</v>
      </c>
      <c r="B12" s="81" t="s">
        <v>259</v>
      </c>
      <c r="C12" s="20" t="s">
        <v>260</v>
      </c>
      <c r="D12" s="20" t="s">
        <v>246</v>
      </c>
      <c r="E12" s="20">
        <v>4</v>
      </c>
      <c r="F12" s="26" t="s">
        <v>19</v>
      </c>
      <c r="G12" s="26">
        <v>40</v>
      </c>
      <c r="H12" s="26">
        <v>60</v>
      </c>
      <c r="I12" s="26">
        <f t="shared" si="0"/>
        <v>6.7</v>
      </c>
      <c r="J12" s="21"/>
      <c r="K12" s="21" t="s">
        <v>261</v>
      </c>
      <c r="L12" s="86" t="s">
        <v>262</v>
      </c>
      <c r="O12" s="26"/>
    </row>
    <row r="13" spans="1:15" ht="16.5" customHeight="1">
      <c r="A13" s="20">
        <v>8</v>
      </c>
      <c r="B13" s="81" t="s">
        <v>263</v>
      </c>
      <c r="C13" s="20" t="s">
        <v>260</v>
      </c>
      <c r="D13" s="20" t="s">
        <v>52</v>
      </c>
      <c r="E13" s="20">
        <v>3</v>
      </c>
      <c r="F13" s="26" t="s">
        <v>61</v>
      </c>
      <c r="G13" s="26">
        <v>70</v>
      </c>
      <c r="H13" s="26">
        <v>60</v>
      </c>
      <c r="I13" s="26">
        <f t="shared" si="0"/>
        <v>6.5</v>
      </c>
      <c r="J13" s="21"/>
      <c r="K13" s="21" t="s">
        <v>264</v>
      </c>
      <c r="L13" s="86" t="s">
        <v>265</v>
      </c>
      <c r="O13" s="26"/>
    </row>
    <row r="14" spans="1:15" ht="15" customHeight="1">
      <c r="A14" s="20">
        <v>9</v>
      </c>
      <c r="B14" s="81" t="s">
        <v>266</v>
      </c>
      <c r="C14" s="20" t="s">
        <v>56</v>
      </c>
      <c r="D14" s="20" t="s">
        <v>267</v>
      </c>
      <c r="E14" s="20">
        <v>3</v>
      </c>
      <c r="F14" s="26" t="s">
        <v>19</v>
      </c>
      <c r="G14" s="26">
        <v>40</v>
      </c>
      <c r="H14" s="26">
        <v>75</v>
      </c>
      <c r="I14" s="26">
        <f t="shared" si="0"/>
        <v>5.8</v>
      </c>
      <c r="J14" s="21"/>
      <c r="K14" s="21" t="s">
        <v>268</v>
      </c>
      <c r="L14" s="86" t="s">
        <v>269</v>
      </c>
      <c r="O14" s="26"/>
    </row>
    <row r="15" spans="1:15" ht="15" customHeight="1">
      <c r="A15" s="20">
        <v>10</v>
      </c>
      <c r="B15" s="21" t="s">
        <v>270</v>
      </c>
      <c r="C15" s="20" t="s">
        <v>271</v>
      </c>
      <c r="D15" s="20">
        <v>20</v>
      </c>
      <c r="E15" s="20">
        <v>3</v>
      </c>
      <c r="F15" s="26" t="s">
        <v>29</v>
      </c>
      <c r="G15" s="26">
        <v>45</v>
      </c>
      <c r="H15" s="26">
        <v>90</v>
      </c>
      <c r="I15" s="26">
        <f t="shared" si="0"/>
        <v>6.8</v>
      </c>
      <c r="J15" s="21" t="s">
        <v>272</v>
      </c>
      <c r="K15" s="36" t="s">
        <v>273</v>
      </c>
      <c r="L15" s="36" t="s">
        <v>274</v>
      </c>
      <c r="O15" s="26"/>
    </row>
    <row r="16" spans="1:15" ht="15" customHeight="1">
      <c r="A16" s="20">
        <v>11</v>
      </c>
      <c r="B16" s="21" t="s">
        <v>275</v>
      </c>
      <c r="C16" s="20" t="s">
        <v>271</v>
      </c>
      <c r="D16" s="20" t="s">
        <v>246</v>
      </c>
      <c r="E16" s="20">
        <v>3</v>
      </c>
      <c r="F16" s="26" t="s">
        <v>19</v>
      </c>
      <c r="G16" s="26">
        <v>40</v>
      </c>
      <c r="H16" s="26">
        <v>60</v>
      </c>
      <c r="I16" s="26">
        <f t="shared" si="0"/>
        <v>5</v>
      </c>
      <c r="J16" s="21"/>
      <c r="K16" s="36" t="s">
        <v>276</v>
      </c>
      <c r="L16" s="36" t="s">
        <v>277</v>
      </c>
      <c r="O16" s="26"/>
    </row>
    <row r="17" spans="1:12" ht="15" customHeight="1">
      <c r="A17" s="20"/>
      <c r="B17" s="21"/>
      <c r="C17" s="20"/>
      <c r="D17" s="20" t="s">
        <v>63</v>
      </c>
      <c r="E17" s="20">
        <f>SUM(E6:E16)</f>
        <v>32</v>
      </c>
      <c r="F17" s="26"/>
      <c r="G17" s="26"/>
      <c r="H17" s="26"/>
      <c r="I17" s="26">
        <f>ROUND(SUM(I6:I16),0)</f>
        <v>76</v>
      </c>
      <c r="J17" s="21"/>
      <c r="K17" s="36"/>
      <c r="L17" s="36"/>
    </row>
    <row r="18" spans="1:12" ht="15" customHeight="1"/>
    <row r="19" spans="1:12">
      <c r="A19" t="s">
        <v>1077</v>
      </c>
    </row>
    <row r="20" spans="1:12">
      <c r="A20" t="s">
        <v>1086</v>
      </c>
    </row>
    <row r="22" spans="1:12">
      <c r="A22" s="112" t="s">
        <v>1098</v>
      </c>
    </row>
    <row r="23" spans="1:12">
      <c r="A23" t="s">
        <v>1099</v>
      </c>
    </row>
    <row r="24" spans="1:12">
      <c r="A24" t="s">
        <v>1100</v>
      </c>
    </row>
    <row r="26" spans="1:12">
      <c r="B26" s="36"/>
    </row>
    <row r="34" spans="10:10">
      <c r="J34" t="s">
        <v>278</v>
      </c>
    </row>
  </sheetData>
  <phoneticPr fontId="32" type="noConversion"/>
  <conditionalFormatting sqref="A6:O16">
    <cfRule type="expression" dxfId="13" priority="1">
      <formula>$E6=0</formula>
    </cfRule>
  </conditionalFormatting>
  <hyperlinks>
    <hyperlink ref="L14" r:id="rId1" xr:uid="{00000000-0004-0000-0200-000000000000}"/>
  </hyperlink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29"/>
  <sheetViews>
    <sheetView zoomScaleNormal="100" workbookViewId="0">
      <pane ySplit="19" topLeftCell="A20" activePane="bottomLeft" state="frozen"/>
      <selection pane="bottomLeft" activeCell="O20" sqref="O20:O25"/>
    </sheetView>
  </sheetViews>
  <sheetFormatPr defaultColWidth="8.7109375" defaultRowHeight="15"/>
  <cols>
    <col min="1" max="1" width="5.5703125" customWidth="1"/>
    <col min="2" max="2" width="30" customWidth="1"/>
    <col min="3" max="3" width="20" customWidth="1"/>
    <col min="4" max="4" width="12" customWidth="1"/>
    <col min="5" max="5" width="8" customWidth="1"/>
    <col min="6" max="6" width="12" customWidth="1"/>
    <col min="7" max="9" width="9.42578125" customWidth="1"/>
    <col min="10" max="11" width="11" customWidth="1"/>
    <col min="13" max="13" width="24" customWidth="1"/>
    <col min="14" max="14" width="11" customWidth="1"/>
    <col min="15" max="15" width="9.42578125" customWidth="1"/>
  </cols>
  <sheetData>
    <row r="1" spans="1:3" ht="19.5" customHeight="1">
      <c r="A1" s="17" t="s">
        <v>279</v>
      </c>
    </row>
    <row r="2" spans="1:3" ht="16.5" customHeight="1">
      <c r="A2" s="18" t="s">
        <v>1033</v>
      </c>
    </row>
    <row r="4" spans="1:3" ht="16.5" customHeight="1">
      <c r="A4" s="3" t="s">
        <v>280</v>
      </c>
    </row>
    <row r="5" spans="1:3" ht="16.5" customHeight="1">
      <c r="A5" s="19" t="s">
        <v>6</v>
      </c>
      <c r="B5" s="19" t="s">
        <v>281</v>
      </c>
      <c r="C5" s="19" t="s">
        <v>7</v>
      </c>
    </row>
    <row r="6" spans="1:3" ht="15" customHeight="1">
      <c r="A6" s="20">
        <f>MAX(20,(MROUND(시작중량_설정!$E$9*0.4,1)+(MOD(MROUND(시작중량_설정!$E$9*0.4,1),5)=4)))</f>
        <v>20</v>
      </c>
      <c r="B6" s="20">
        <v>5</v>
      </c>
      <c r="C6" s="20">
        <v>2</v>
      </c>
    </row>
    <row r="7" spans="1:3" ht="15" customHeight="1">
      <c r="A7" s="20">
        <f>IF(MAX(20,(MROUND(시작중량_설정!$E$9*0.6,1)+(MOD(MROUND(시작중량_설정!$E$9*0.6,1),5)=4)))&lt;=MAX(20,(MROUND(시작중량_설정!$E$9*0.4,1)+(MOD(MROUND(시작중량_설정!$E$9*0.4,1),5)=4))),"생략",MAX(20,(MROUND(시작중량_설정!$E$9*0.6,1)+(MOD(MROUND(시작중량_설정!$E$9*0.6,1),5)=4))))</f>
        <v>21</v>
      </c>
      <c r="B7" s="20">
        <v>5</v>
      </c>
      <c r="C7" s="20">
        <v>1</v>
      </c>
    </row>
    <row r="8" spans="1:3" ht="15" customHeight="1">
      <c r="A8" s="20">
        <f>IF(MAX(20,(MROUND(시작중량_설정!$E$9*0.75,1)+(MOD(MROUND(시작중량_설정!$E$9*0.75,1),5)=4)))&lt;=MAX(20,(MROUND(시작중량_설정!$E$9*0.6,1)+(MOD(MROUND(시작중량_설정!$E$9*0.6,1),5)=4))),"생략",MAX(20,(MROUND(시작중량_설정!$E$9*0.75,1)+(MOD(MROUND(시작중량_설정!$E$9*0.75,1),5)=4))))</f>
        <v>26</v>
      </c>
      <c r="B8" s="20">
        <v>3</v>
      </c>
      <c r="C8" s="20">
        <v>1</v>
      </c>
    </row>
    <row r="9" spans="1:3" ht="15" customHeight="1">
      <c r="A9" s="20">
        <f>IF(MAX(20,(MROUND(시작중량_설정!$E$9*0.9,1)+(MOD(MROUND(시작중량_설정!$E$9*0.9,1),5)=4)))&lt;=MAX(20,(MROUND(시작중량_설정!$E$9*0.75,1)+(MOD(MROUND(시작중량_설정!$E$9*0.75,1),5)=4))),"생략",MAX(20,(MROUND(시작중량_설정!$E$9*0.9,1)+(MOD(MROUND(시작중량_설정!$E$9*0.9,1),5)=4))))</f>
        <v>32</v>
      </c>
      <c r="B9" s="20">
        <v>2</v>
      </c>
      <c r="C9" s="20">
        <v>1</v>
      </c>
    </row>
    <row r="10" spans="1:3" ht="15" customHeight="1">
      <c r="A10" s="37">
        <f>시작중량_설정!$E$9</f>
        <v>35</v>
      </c>
      <c r="B10" s="27">
        <v>5</v>
      </c>
      <c r="C10" s="27">
        <v>5</v>
      </c>
    </row>
    <row r="11" spans="1:3" ht="16.5" customHeight="1">
      <c r="A11" s="31" t="s">
        <v>282</v>
      </c>
    </row>
    <row r="13" spans="1:3" ht="16.5" customHeight="1">
      <c r="A13" s="3" t="s">
        <v>283</v>
      </c>
    </row>
    <row r="14" spans="1:3" ht="16.5" customHeight="1">
      <c r="A14" s="31" t="s">
        <v>284</v>
      </c>
    </row>
    <row r="15" spans="1:3" ht="16.5" customHeight="1">
      <c r="A15" s="31" t="s">
        <v>285</v>
      </c>
    </row>
    <row r="16" spans="1:3" ht="16.5" customHeight="1">
      <c r="A16" s="31" t="s">
        <v>286</v>
      </c>
    </row>
    <row r="18" spans="1:15" ht="15" customHeight="1">
      <c r="A18" s="3" t="s">
        <v>2</v>
      </c>
    </row>
    <row r="19" spans="1:15" ht="16.5" customHeight="1">
      <c r="A19" s="34" t="s">
        <v>3</v>
      </c>
      <c r="B19" s="35" t="s">
        <v>4</v>
      </c>
      <c r="C19" s="35" t="s">
        <v>5</v>
      </c>
      <c r="D19" s="35" t="s">
        <v>6</v>
      </c>
      <c r="E19" s="35" t="s">
        <v>7</v>
      </c>
      <c r="F19" s="35" t="s">
        <v>8</v>
      </c>
      <c r="G19" s="35" t="s">
        <v>9</v>
      </c>
      <c r="H19" s="35" t="s">
        <v>10</v>
      </c>
      <c r="I19" s="35" t="s">
        <v>11</v>
      </c>
      <c r="J19" s="35" t="s">
        <v>12</v>
      </c>
      <c r="K19" s="35" t="s">
        <v>13</v>
      </c>
      <c r="L19" s="35" t="s">
        <v>14</v>
      </c>
      <c r="M19" s="35" t="s">
        <v>15</v>
      </c>
      <c r="N19" s="35" t="s">
        <v>16</v>
      </c>
      <c r="O19" s="35" t="s">
        <v>1096</v>
      </c>
    </row>
    <row r="20" spans="1:15" ht="16.5" customHeight="1">
      <c r="A20" s="38">
        <v>1</v>
      </c>
      <c r="B20" s="39" t="s">
        <v>287</v>
      </c>
      <c r="C20" s="40" t="s">
        <v>288</v>
      </c>
      <c r="D20" s="41">
        <f>시작중량_설정!$E$9</f>
        <v>35</v>
      </c>
      <c r="E20" s="40">
        <v>5</v>
      </c>
      <c r="F20" s="38" t="s">
        <v>289</v>
      </c>
      <c r="G20" s="38">
        <v>30</v>
      </c>
      <c r="H20" s="38">
        <v>180</v>
      </c>
      <c r="I20" s="38">
        <f t="shared" ref="I20:I25" si="0">IF(E20=0,0,ROUND((E20*(G20+H20)+O20)/60,1))</f>
        <v>17.5</v>
      </c>
      <c r="J20" s="39" t="s">
        <v>290</v>
      </c>
      <c r="K20" s="39" t="s">
        <v>291</v>
      </c>
      <c r="L20" s="39" t="s">
        <v>292</v>
      </c>
      <c r="M20" s="38" t="s">
        <v>293</v>
      </c>
      <c r="O20" s="38"/>
    </row>
    <row r="21" spans="1:15" ht="16.5" customHeight="1">
      <c r="A21" s="20">
        <v>2</v>
      </c>
      <c r="B21" s="21" t="s">
        <v>294</v>
      </c>
      <c r="C21" s="20" t="s">
        <v>288</v>
      </c>
      <c r="D21" s="42" t="s">
        <v>295</v>
      </c>
      <c r="E21" s="20">
        <v>4</v>
      </c>
      <c r="F21" s="26" t="s">
        <v>247</v>
      </c>
      <c r="G21" s="26">
        <v>40</v>
      </c>
      <c r="H21" s="26">
        <v>155</v>
      </c>
      <c r="I21" s="26">
        <f t="shared" si="0"/>
        <v>13</v>
      </c>
      <c r="J21" s="21" t="s">
        <v>39</v>
      </c>
      <c r="K21" s="21" t="s">
        <v>296</v>
      </c>
      <c r="L21" s="36" t="s">
        <v>297</v>
      </c>
      <c r="M21" s="26" t="s">
        <v>241</v>
      </c>
      <c r="O21" s="26"/>
    </row>
    <row r="22" spans="1:15" ht="16.5" customHeight="1">
      <c r="A22" s="20">
        <v>3</v>
      </c>
      <c r="B22" s="36" t="s">
        <v>303</v>
      </c>
      <c r="C22" s="20" t="s">
        <v>299</v>
      </c>
      <c r="D22" s="26">
        <v>8</v>
      </c>
      <c r="E22" s="20">
        <v>4</v>
      </c>
      <c r="F22" s="26" t="s">
        <v>304</v>
      </c>
      <c r="G22" s="26">
        <v>40</v>
      </c>
      <c r="H22" s="26">
        <v>105</v>
      </c>
      <c r="I22" s="26">
        <f t="shared" si="0"/>
        <v>9.6999999999999993</v>
      </c>
      <c r="J22" s="21"/>
      <c r="K22" s="21" t="s">
        <v>305</v>
      </c>
      <c r="L22" s="21" t="s">
        <v>306</v>
      </c>
      <c r="O22" s="26"/>
    </row>
    <row r="23" spans="1:15" ht="16.5" customHeight="1">
      <c r="A23" s="20">
        <v>4</v>
      </c>
      <c r="B23" s="21" t="s">
        <v>307</v>
      </c>
      <c r="C23" s="20" t="s">
        <v>18</v>
      </c>
      <c r="D23" s="26">
        <v>6</v>
      </c>
      <c r="E23" s="20">
        <v>6</v>
      </c>
      <c r="F23" s="26" t="s">
        <v>19</v>
      </c>
      <c r="G23" s="26">
        <v>40</v>
      </c>
      <c r="H23" s="26">
        <v>70</v>
      </c>
      <c r="I23" s="26">
        <f t="shared" si="0"/>
        <v>12</v>
      </c>
      <c r="J23" s="21"/>
      <c r="K23" s="21" t="s">
        <v>1101</v>
      </c>
      <c r="L23" s="21" t="s">
        <v>308</v>
      </c>
      <c r="O23" s="26">
        <v>60</v>
      </c>
    </row>
    <row r="24" spans="1:15" ht="16.5" customHeight="1">
      <c r="A24" s="20">
        <v>5</v>
      </c>
      <c r="B24" s="21" t="s">
        <v>309</v>
      </c>
      <c r="C24" s="43" t="s">
        <v>23</v>
      </c>
      <c r="D24" s="26">
        <v>20</v>
      </c>
      <c r="E24" s="20">
        <v>5</v>
      </c>
      <c r="F24" s="26" t="s">
        <v>19</v>
      </c>
      <c r="G24" s="26">
        <v>40</v>
      </c>
      <c r="H24" s="26">
        <v>70</v>
      </c>
      <c r="I24" s="26">
        <f t="shared" si="0"/>
        <v>10.199999999999999</v>
      </c>
      <c r="J24" s="21"/>
      <c r="K24" s="21" t="s">
        <v>1102</v>
      </c>
      <c r="L24" s="86" t="s">
        <v>310</v>
      </c>
      <c r="O24" s="26">
        <v>60</v>
      </c>
    </row>
    <row r="25" spans="1:15" ht="16.5" customHeight="1">
      <c r="A25" s="20">
        <v>6</v>
      </c>
      <c r="B25" s="21" t="s">
        <v>361</v>
      </c>
      <c r="C25" s="20" t="s">
        <v>39</v>
      </c>
      <c r="D25" s="26">
        <v>20</v>
      </c>
      <c r="E25" s="20">
        <v>4</v>
      </c>
      <c r="F25" s="26" t="s">
        <v>52</v>
      </c>
      <c r="G25" s="26">
        <v>40</v>
      </c>
      <c r="H25" s="26">
        <v>70</v>
      </c>
      <c r="I25" s="26">
        <f t="shared" si="0"/>
        <v>8.3000000000000007</v>
      </c>
      <c r="J25" s="21"/>
      <c r="K25" s="21" t="s">
        <v>1103</v>
      </c>
      <c r="L25" s="21" t="s">
        <v>362</v>
      </c>
      <c r="O25" s="26">
        <v>60</v>
      </c>
    </row>
    <row r="26" spans="1:15" ht="16.5" customHeight="1">
      <c r="D26" s="3" t="s">
        <v>63</v>
      </c>
      <c r="E26" s="27">
        <f>SUM(E20:E25)</f>
        <v>28</v>
      </c>
      <c r="I26">
        <f>ROUND(SUM(I20:I25),0)</f>
        <v>71</v>
      </c>
    </row>
    <row r="27" spans="1:15" ht="16.5" customHeight="1">
      <c r="A27" s="112" t="s">
        <v>1098</v>
      </c>
    </row>
    <row r="28" spans="1:15">
      <c r="A28" t="s">
        <v>1104</v>
      </c>
    </row>
    <row r="29" spans="1:15">
      <c r="A29" t="s">
        <v>1100</v>
      </c>
    </row>
  </sheetData>
  <phoneticPr fontId="32" type="noConversion"/>
  <conditionalFormatting sqref="A20:O25">
    <cfRule type="expression" dxfId="12" priority="1">
      <formula>$E20=0</formula>
    </cfRule>
  </conditionalFormatting>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25"/>
  <sheetViews>
    <sheetView zoomScaleNormal="100" workbookViewId="0">
      <pane ySplit="14" topLeftCell="A15" activePane="bottomLeft" state="frozen"/>
      <selection pane="bottomLeft" activeCell="O15" sqref="O15:O21"/>
    </sheetView>
  </sheetViews>
  <sheetFormatPr defaultColWidth="8.7109375" defaultRowHeight="15"/>
  <cols>
    <col min="1" max="1" width="5.5703125" customWidth="1"/>
    <col min="2" max="2" width="30" customWidth="1"/>
    <col min="3" max="3" width="20" customWidth="1"/>
    <col min="4" max="4" width="12" customWidth="1"/>
    <col min="5" max="5" width="8" customWidth="1"/>
    <col min="6" max="6" width="12" customWidth="1"/>
    <col min="7" max="9" width="9.42578125" customWidth="1"/>
    <col min="10" max="11" width="11" customWidth="1"/>
    <col min="13" max="13" width="24" customWidth="1"/>
    <col min="14" max="14" width="11" customWidth="1"/>
    <col min="15" max="15" width="9.42578125" customWidth="1"/>
  </cols>
  <sheetData>
    <row r="1" spans="1:15" ht="19.5" customHeight="1">
      <c r="A1" s="17" t="s">
        <v>311</v>
      </c>
    </row>
    <row r="2" spans="1:15" ht="16.5" customHeight="1">
      <c r="A2" s="18" t="s">
        <v>312</v>
      </c>
    </row>
    <row r="4" spans="1:15" ht="16.5" customHeight="1">
      <c r="A4" s="3" t="s">
        <v>313</v>
      </c>
    </row>
    <row r="5" spans="1:15" ht="16.5" customHeight="1">
      <c r="A5" s="19" t="s">
        <v>6</v>
      </c>
      <c r="B5" s="19" t="s">
        <v>281</v>
      </c>
      <c r="C5" s="19" t="s">
        <v>7</v>
      </c>
    </row>
    <row r="6" spans="1:15" ht="15" customHeight="1">
      <c r="A6" s="20">
        <f>MAX(20,(MROUND(시작중량_설정!$E$7*0.4,1)+(MOD(MROUND(시작중량_설정!$E$7*0.4,1),5)=4)))</f>
        <v>25</v>
      </c>
      <c r="B6" s="20">
        <v>5</v>
      </c>
      <c r="C6" s="20">
        <v>2</v>
      </c>
    </row>
    <row r="7" spans="1:15" ht="15" customHeight="1">
      <c r="A7" s="20">
        <f>IF(MAX(20,(MROUND(시작중량_설정!$E$7*0.6,1)+(MOD(MROUND(시작중량_설정!$E$7*0.6,1),5)=4)))&lt;=MAX(20,(MROUND(시작중량_설정!$E$7*0.4,1)+(MOD(MROUND(시작중량_설정!$E$7*0.4,1),5)=4))),"생략",MAX(20,(MROUND(시작중량_설정!$E$7*0.6,1)+(MOD(MROUND(시작중량_설정!$E$7*0.6,1),5)=4))))</f>
        <v>37</v>
      </c>
      <c r="B7" s="20">
        <v>5</v>
      </c>
      <c r="C7" s="20">
        <v>1</v>
      </c>
    </row>
    <row r="8" spans="1:15" ht="15" customHeight="1">
      <c r="A8" s="20">
        <f>IF(MAX(20,(MROUND(시작중량_설정!$E$7*0.75,1)+(MOD(MROUND(시작중량_설정!$E$7*0.75,1),5)=4)))&lt;=MAX(20,(MROUND(시작중량_설정!$E$7*0.6,1)+(MOD(MROUND(시작중량_설정!$E$7*0.6,1),5)=4))),"생략",MAX(20,(MROUND(시작중량_설정!$E$7*0.75,1)+(MOD(MROUND(시작중량_설정!$E$7*0.75,1),5)=4))))</f>
        <v>47</v>
      </c>
      <c r="B8" s="20">
        <v>3</v>
      </c>
      <c r="C8" s="20">
        <v>1</v>
      </c>
    </row>
    <row r="9" spans="1:15" ht="15" customHeight="1">
      <c r="A9" s="20">
        <f>IF(MAX(20,(MROUND(시작중량_설정!$E$7*0.9,1)+(MOD(MROUND(시작중량_설정!$E$7*0.9,1),5)=4)))&lt;=MAX(20,(MROUND(시작중량_설정!$E$7*0.75,1)+(MOD(MROUND(시작중량_설정!$E$7*0.75,1),5)=4))),"생략",MAX(20,(MROUND(시작중량_설정!$E$7*0.9,1)+(MOD(MROUND(시작중량_설정!$E$7*0.9,1),5)=4))))</f>
        <v>56</v>
      </c>
      <c r="B9" s="20">
        <v>2</v>
      </c>
      <c r="C9" s="20">
        <v>1</v>
      </c>
    </row>
    <row r="10" spans="1:15" ht="15" customHeight="1">
      <c r="A10" s="37">
        <f>시작중량_설정!$E$7</f>
        <v>62</v>
      </c>
      <c r="B10" s="27">
        <v>5</v>
      </c>
      <c r="C10" s="27">
        <v>5</v>
      </c>
    </row>
    <row r="11" spans="1:15" ht="16.5" customHeight="1">
      <c r="A11" s="31" t="s">
        <v>282</v>
      </c>
    </row>
    <row r="13" spans="1:15" ht="15" customHeight="1">
      <c r="A13" s="3" t="s">
        <v>2</v>
      </c>
    </row>
    <row r="14" spans="1:15" ht="16.5" customHeight="1">
      <c r="A14" s="34" t="s">
        <v>3</v>
      </c>
      <c r="B14" s="35" t="s">
        <v>4</v>
      </c>
      <c r="C14" s="35" t="s">
        <v>5</v>
      </c>
      <c r="D14" s="35" t="s">
        <v>6</v>
      </c>
      <c r="E14" s="35" t="s">
        <v>7</v>
      </c>
      <c r="F14" s="35" t="s">
        <v>8</v>
      </c>
      <c r="G14" s="35" t="s">
        <v>9</v>
      </c>
      <c r="H14" s="35" t="s">
        <v>10</v>
      </c>
      <c r="I14" s="35" t="s">
        <v>11</v>
      </c>
      <c r="J14" s="35" t="s">
        <v>12</v>
      </c>
      <c r="K14" s="35" t="s">
        <v>13</v>
      </c>
      <c r="L14" s="35" t="s">
        <v>14</v>
      </c>
      <c r="M14" s="35" t="s">
        <v>15</v>
      </c>
      <c r="N14" s="35" t="s">
        <v>16</v>
      </c>
      <c r="O14" s="35" t="s">
        <v>1096</v>
      </c>
    </row>
    <row r="15" spans="1:15" ht="16.5" customHeight="1">
      <c r="A15" s="40">
        <v>1</v>
      </c>
      <c r="B15" s="39" t="s">
        <v>314</v>
      </c>
      <c r="C15" s="40" t="s">
        <v>315</v>
      </c>
      <c r="D15" s="41">
        <f>시작중량_설정!$E$7</f>
        <v>62</v>
      </c>
      <c r="E15" s="40">
        <v>5</v>
      </c>
      <c r="F15" s="38" t="s">
        <v>289</v>
      </c>
      <c r="G15" s="38">
        <v>35</v>
      </c>
      <c r="H15" s="38">
        <v>193</v>
      </c>
      <c r="I15" s="38">
        <f t="shared" ref="I15:I21" si="0">IF(E15=0,0,ROUND((E15*(G15+H15)+O15)/60,1))</f>
        <v>19</v>
      </c>
      <c r="J15" s="39" t="s">
        <v>316</v>
      </c>
      <c r="K15" s="39" t="s">
        <v>317</v>
      </c>
      <c r="L15" s="39" t="s">
        <v>318</v>
      </c>
      <c r="M15" s="38" t="s">
        <v>319</v>
      </c>
      <c r="O15" s="38"/>
    </row>
    <row r="16" spans="1:15" ht="16.5" customHeight="1">
      <c r="A16" s="20">
        <v>2</v>
      </c>
      <c r="B16" s="21" t="s">
        <v>320</v>
      </c>
      <c r="C16" s="20" t="s">
        <v>315</v>
      </c>
      <c r="D16" s="26">
        <v>120</v>
      </c>
      <c r="E16" s="20">
        <v>3</v>
      </c>
      <c r="F16" s="26" t="s">
        <v>40</v>
      </c>
      <c r="G16" s="26">
        <v>45</v>
      </c>
      <c r="H16" s="26">
        <v>150</v>
      </c>
      <c r="I16" s="26">
        <f t="shared" si="0"/>
        <v>9.8000000000000007</v>
      </c>
      <c r="J16" s="21" t="s">
        <v>321</v>
      </c>
      <c r="K16" s="21" t="s">
        <v>322</v>
      </c>
      <c r="L16" s="21" t="s">
        <v>323</v>
      </c>
      <c r="O16" s="26"/>
    </row>
    <row r="17" spans="1:15" ht="16.5" customHeight="1">
      <c r="A17" s="20">
        <v>3</v>
      </c>
      <c r="B17" s="21" t="s">
        <v>324</v>
      </c>
      <c r="C17" s="20" t="s">
        <v>321</v>
      </c>
      <c r="D17" s="20" t="s">
        <v>246</v>
      </c>
      <c r="E17" s="20">
        <v>3</v>
      </c>
      <c r="F17" s="26" t="s">
        <v>325</v>
      </c>
      <c r="G17" s="26">
        <v>90</v>
      </c>
      <c r="H17" s="26">
        <v>150</v>
      </c>
      <c r="I17" s="26">
        <f t="shared" si="0"/>
        <v>12</v>
      </c>
      <c r="J17" s="21" t="s">
        <v>326</v>
      </c>
      <c r="K17" s="21" t="s">
        <v>327</v>
      </c>
      <c r="L17" s="21" t="s">
        <v>328</v>
      </c>
      <c r="O17" s="26"/>
    </row>
    <row r="18" spans="1:15" ht="16.5" customHeight="1">
      <c r="A18" s="20">
        <v>4</v>
      </c>
      <c r="B18" s="21" t="s">
        <v>329</v>
      </c>
      <c r="C18" s="20" t="s">
        <v>330</v>
      </c>
      <c r="D18" s="26">
        <v>40</v>
      </c>
      <c r="E18" s="20">
        <v>4</v>
      </c>
      <c r="F18" s="26" t="s">
        <v>304</v>
      </c>
      <c r="G18" s="26">
        <v>40</v>
      </c>
      <c r="H18" s="26">
        <v>120</v>
      </c>
      <c r="I18" s="26">
        <f t="shared" si="0"/>
        <v>11.9</v>
      </c>
      <c r="J18" s="21"/>
      <c r="K18" s="21" t="s">
        <v>1116</v>
      </c>
      <c r="L18" s="21" t="s">
        <v>331</v>
      </c>
      <c r="O18" s="26">
        <v>75</v>
      </c>
    </row>
    <row r="19" spans="1:15" ht="16.5" customHeight="1">
      <c r="A19" s="20">
        <v>5</v>
      </c>
      <c r="B19" s="21" t="s">
        <v>332</v>
      </c>
      <c r="C19" s="20" t="s">
        <v>333</v>
      </c>
      <c r="D19" s="26">
        <v>35</v>
      </c>
      <c r="E19" s="20">
        <v>4</v>
      </c>
      <c r="F19" s="26" t="s">
        <v>19</v>
      </c>
      <c r="G19" s="26">
        <v>40</v>
      </c>
      <c r="H19" s="26">
        <v>10</v>
      </c>
      <c r="I19" s="26">
        <f t="shared" si="0"/>
        <v>3.3</v>
      </c>
      <c r="J19" s="21"/>
      <c r="K19" s="21" t="s">
        <v>334</v>
      </c>
      <c r="L19" s="21" t="s">
        <v>335</v>
      </c>
      <c r="N19" t="s">
        <v>336</v>
      </c>
      <c r="O19" s="26"/>
    </row>
    <row r="20" spans="1:15" ht="16.5" customHeight="1">
      <c r="A20" s="20">
        <v>6</v>
      </c>
      <c r="B20" s="21" t="s">
        <v>337</v>
      </c>
      <c r="C20" s="20" t="s">
        <v>60</v>
      </c>
      <c r="D20" s="26" t="s">
        <v>256</v>
      </c>
      <c r="E20" s="20">
        <v>4</v>
      </c>
      <c r="F20" s="26" t="s">
        <v>19</v>
      </c>
      <c r="G20" s="26">
        <v>40</v>
      </c>
      <c r="H20" s="26">
        <v>105</v>
      </c>
      <c r="I20" s="26">
        <f t="shared" si="0"/>
        <v>9.6999999999999993</v>
      </c>
      <c r="J20" s="21"/>
      <c r="K20" s="21" t="s">
        <v>338</v>
      </c>
      <c r="L20" s="21" t="s">
        <v>339</v>
      </c>
      <c r="N20" t="s">
        <v>336</v>
      </c>
      <c r="O20" s="26"/>
    </row>
    <row r="21" spans="1:15" ht="16.5" customHeight="1">
      <c r="A21" s="20">
        <v>7</v>
      </c>
      <c r="B21" s="81" t="s">
        <v>340</v>
      </c>
      <c r="C21" s="20" t="s">
        <v>260</v>
      </c>
      <c r="D21" s="82" t="s">
        <v>246</v>
      </c>
      <c r="E21" s="20">
        <v>3</v>
      </c>
      <c r="F21" s="26">
        <v>10</v>
      </c>
      <c r="G21" s="26">
        <v>40</v>
      </c>
      <c r="H21" s="26">
        <v>60</v>
      </c>
      <c r="I21" s="26">
        <f t="shared" si="0"/>
        <v>5</v>
      </c>
      <c r="J21" s="21"/>
      <c r="K21" s="21" t="s">
        <v>341</v>
      </c>
      <c r="L21" s="21" t="s">
        <v>342</v>
      </c>
      <c r="O21" s="26"/>
    </row>
    <row r="22" spans="1:15" ht="15" customHeight="1">
      <c r="D22" s="3" t="s">
        <v>63</v>
      </c>
      <c r="E22" s="27">
        <f>SUM(E15:E21)</f>
        <v>26</v>
      </c>
      <c r="I22">
        <f>ROUND(SUM(I15:I21),0)</f>
        <v>71</v>
      </c>
    </row>
    <row r="23" spans="1:15" ht="15" customHeight="1">
      <c r="A23" s="112" t="s">
        <v>1098</v>
      </c>
    </row>
    <row r="24" spans="1:15">
      <c r="A24" t="s">
        <v>1117</v>
      </c>
    </row>
    <row r="25" spans="1:15">
      <c r="A25" t="s">
        <v>1100</v>
      </c>
    </row>
  </sheetData>
  <phoneticPr fontId="32" type="noConversion"/>
  <conditionalFormatting sqref="A15:O21">
    <cfRule type="expression" dxfId="11" priority="1">
      <formula>$E15=0</formula>
    </cfRule>
  </conditionalFormatting>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40"/>
  <sheetViews>
    <sheetView workbookViewId="0">
      <selection activeCell="D48" sqref="D48"/>
    </sheetView>
  </sheetViews>
  <sheetFormatPr defaultRowHeight="15"/>
  <cols>
    <col min="1" max="1" width="5.5703125" customWidth="1"/>
    <col min="2" max="2" width="30" customWidth="1"/>
    <col min="3" max="3" width="20" customWidth="1"/>
    <col min="4" max="4" width="12" customWidth="1"/>
    <col min="5" max="5" width="8" customWidth="1"/>
    <col min="6" max="6" width="12" customWidth="1"/>
    <col min="7" max="9" width="9.42578125" customWidth="1"/>
    <col min="10" max="10" width="11" customWidth="1"/>
    <col min="13" max="13" width="24" customWidth="1"/>
    <col min="14" max="14" width="11" customWidth="1"/>
    <col min="15" max="15" width="9.42578125" customWidth="1"/>
  </cols>
  <sheetData>
    <row r="1" spans="1:15" ht="19.5" customHeight="1">
      <c r="A1" s="17" t="s">
        <v>343</v>
      </c>
    </row>
    <row r="2" spans="1:15" ht="16.5" customHeight="1">
      <c r="A2" s="18" t="s">
        <v>1120</v>
      </c>
    </row>
    <row r="3" spans="1:15" ht="30" customHeight="1">
      <c r="A3" s="33" t="s">
        <v>1</v>
      </c>
    </row>
    <row r="4" spans="1:15" ht="15" customHeight="1">
      <c r="A4" s="3" t="s">
        <v>2</v>
      </c>
    </row>
    <row r="5" spans="1:15" ht="16.5" customHeight="1">
      <c r="A5" s="34" t="s">
        <v>3</v>
      </c>
      <c r="B5" s="35" t="s">
        <v>4</v>
      </c>
      <c r="C5" s="35" t="s">
        <v>5</v>
      </c>
      <c r="D5" s="35" t="s">
        <v>6</v>
      </c>
      <c r="E5" s="35" t="s">
        <v>7</v>
      </c>
      <c r="F5" s="35" t="s">
        <v>8</v>
      </c>
      <c r="G5" s="35" t="s">
        <v>9</v>
      </c>
      <c r="H5" s="35" t="s">
        <v>10</v>
      </c>
      <c r="I5" s="35" t="s">
        <v>11</v>
      </c>
      <c r="J5" s="35" t="s">
        <v>12</v>
      </c>
      <c r="K5" s="35" t="s">
        <v>13</v>
      </c>
      <c r="L5" s="35" t="s">
        <v>14</v>
      </c>
      <c r="M5" s="35" t="s">
        <v>15</v>
      </c>
      <c r="N5" s="35" t="s">
        <v>16</v>
      </c>
      <c r="O5" s="35" t="s">
        <v>1096</v>
      </c>
    </row>
    <row r="6" spans="1:15" ht="16.5" customHeight="1">
      <c r="A6" s="20">
        <v>1</v>
      </c>
      <c r="B6" s="81" t="s">
        <v>344</v>
      </c>
      <c r="C6" s="20" t="s">
        <v>18</v>
      </c>
      <c r="D6" s="20">
        <v>10</v>
      </c>
      <c r="E6" s="20">
        <v>3</v>
      </c>
      <c r="F6" s="26" t="s">
        <v>19</v>
      </c>
      <c r="G6" s="26">
        <v>40</v>
      </c>
      <c r="H6" s="26">
        <v>70</v>
      </c>
      <c r="I6" s="26">
        <f t="shared" ref="I6:I16" si="0">IF(E6=0,0,ROUND((E6*(G6+H6)+O6)/60,1))</f>
        <v>6.5</v>
      </c>
      <c r="J6" s="21"/>
      <c r="K6" s="21" t="s">
        <v>1118</v>
      </c>
      <c r="L6" s="21" t="s">
        <v>345</v>
      </c>
      <c r="O6" s="26">
        <v>60</v>
      </c>
    </row>
    <row r="7" spans="1:15" ht="16.5" customHeight="1">
      <c r="A7" s="20">
        <v>2</v>
      </c>
      <c r="B7" s="81" t="s">
        <v>346</v>
      </c>
      <c r="C7" s="20" t="s">
        <v>18</v>
      </c>
      <c r="D7" s="20">
        <v>15</v>
      </c>
      <c r="E7" s="20">
        <v>3</v>
      </c>
      <c r="F7" s="26" t="s">
        <v>19</v>
      </c>
      <c r="G7" s="26">
        <v>40</v>
      </c>
      <c r="H7" s="26">
        <v>75</v>
      </c>
      <c r="I7" s="26">
        <f t="shared" si="0"/>
        <v>5.8</v>
      </c>
      <c r="J7" s="21" t="s">
        <v>347</v>
      </c>
      <c r="K7" s="21" t="s">
        <v>348</v>
      </c>
      <c r="L7" s="21" t="s">
        <v>349</v>
      </c>
      <c r="O7" s="26"/>
    </row>
    <row r="8" spans="1:15" ht="16.5" customHeight="1">
      <c r="A8" s="20">
        <v>3</v>
      </c>
      <c r="B8" s="81" t="s">
        <v>350</v>
      </c>
      <c r="C8" s="20" t="s">
        <v>23</v>
      </c>
      <c r="D8" s="20" t="s">
        <v>19</v>
      </c>
      <c r="E8" s="20">
        <v>3</v>
      </c>
      <c r="F8" s="26" t="s">
        <v>19</v>
      </c>
      <c r="G8" s="26">
        <v>40</v>
      </c>
      <c r="H8" s="26">
        <v>70</v>
      </c>
      <c r="I8" s="26">
        <f t="shared" si="0"/>
        <v>5.5</v>
      </c>
      <c r="J8" s="21" t="s">
        <v>351</v>
      </c>
      <c r="K8" s="21" t="s">
        <v>352</v>
      </c>
      <c r="L8" s="21" t="s">
        <v>353</v>
      </c>
      <c r="O8" s="26"/>
    </row>
    <row r="9" spans="1:15" ht="16.5" customHeight="1">
      <c r="A9" s="20">
        <v>4</v>
      </c>
      <c r="B9" s="81" t="s">
        <v>354</v>
      </c>
      <c r="C9" s="20" t="s">
        <v>23</v>
      </c>
      <c r="D9" s="20">
        <v>20</v>
      </c>
      <c r="E9" s="20">
        <v>3</v>
      </c>
      <c r="F9" s="26" t="s">
        <v>19</v>
      </c>
      <c r="G9" s="26">
        <v>40</v>
      </c>
      <c r="H9" s="26">
        <v>80</v>
      </c>
      <c r="I9" s="26">
        <f t="shared" si="0"/>
        <v>6</v>
      </c>
      <c r="J9" s="21" t="s">
        <v>351</v>
      </c>
      <c r="K9" s="21" t="s">
        <v>355</v>
      </c>
      <c r="L9" s="21" t="s">
        <v>356</v>
      </c>
      <c r="O9" s="26"/>
    </row>
    <row r="10" spans="1:15" ht="16.5" customHeight="1">
      <c r="A10" s="20">
        <v>5</v>
      </c>
      <c r="B10" s="91" t="s">
        <v>398</v>
      </c>
      <c r="C10" s="20" t="s">
        <v>34</v>
      </c>
      <c r="D10" s="20" t="s">
        <v>399</v>
      </c>
      <c r="E10" s="20">
        <v>3</v>
      </c>
      <c r="F10" s="26" t="s">
        <v>19</v>
      </c>
      <c r="G10" s="26">
        <v>40</v>
      </c>
      <c r="H10" s="26">
        <v>60</v>
      </c>
      <c r="I10" s="26">
        <f t="shared" si="0"/>
        <v>5</v>
      </c>
      <c r="J10" s="21"/>
      <c r="K10" s="21" t="s">
        <v>1066</v>
      </c>
      <c r="L10" s="21" t="s">
        <v>400</v>
      </c>
      <c r="O10" s="26"/>
    </row>
    <row r="11" spans="1:15" ht="16.5" customHeight="1">
      <c r="A11" s="20">
        <v>6</v>
      </c>
      <c r="B11" s="21" t="s">
        <v>298</v>
      </c>
      <c r="C11" s="20" t="s">
        <v>299</v>
      </c>
      <c r="D11" s="42" t="s">
        <v>300</v>
      </c>
      <c r="E11" s="20">
        <v>3</v>
      </c>
      <c r="F11" s="26" t="s">
        <v>40</v>
      </c>
      <c r="G11" s="26">
        <v>40</v>
      </c>
      <c r="H11" s="26">
        <v>150</v>
      </c>
      <c r="I11" s="26">
        <f t="shared" si="0"/>
        <v>9.5</v>
      </c>
      <c r="J11" s="21" t="s">
        <v>301</v>
      </c>
      <c r="K11" s="21" t="s">
        <v>1032</v>
      </c>
      <c r="L11" s="36" t="s">
        <v>302</v>
      </c>
      <c r="M11" s="92"/>
      <c r="O11" s="26"/>
    </row>
    <row r="12" spans="1:15" ht="16.5" customHeight="1">
      <c r="A12" s="20">
        <v>7</v>
      </c>
      <c r="B12" s="21" t="s">
        <v>358</v>
      </c>
      <c r="C12" s="20" t="s">
        <v>288</v>
      </c>
      <c r="D12" s="26" t="s">
        <v>359</v>
      </c>
      <c r="E12" s="20">
        <v>3</v>
      </c>
      <c r="F12" s="26" t="s">
        <v>304</v>
      </c>
      <c r="G12" s="26">
        <v>40</v>
      </c>
      <c r="H12" s="26">
        <v>90</v>
      </c>
      <c r="I12" s="26">
        <f t="shared" si="0"/>
        <v>7.5</v>
      </c>
      <c r="J12" s="21" t="s">
        <v>27</v>
      </c>
      <c r="K12" s="21" t="s">
        <v>1105</v>
      </c>
      <c r="L12" s="21" t="s">
        <v>360</v>
      </c>
      <c r="O12" s="26">
        <v>60</v>
      </c>
    </row>
    <row r="13" spans="1:15" ht="16.5" customHeight="1">
      <c r="A13" s="20">
        <v>8</v>
      </c>
      <c r="B13" s="21" t="s">
        <v>255</v>
      </c>
      <c r="C13" s="43" t="s">
        <v>44</v>
      </c>
      <c r="D13" s="26" t="s">
        <v>363</v>
      </c>
      <c r="E13" s="20">
        <v>3</v>
      </c>
      <c r="F13" s="26" t="s">
        <v>40</v>
      </c>
      <c r="G13" s="26">
        <v>40</v>
      </c>
      <c r="H13" s="26">
        <v>70</v>
      </c>
      <c r="I13" s="26">
        <f t="shared" si="0"/>
        <v>5.5</v>
      </c>
      <c r="J13" s="21" t="s">
        <v>45</v>
      </c>
      <c r="K13" s="21" t="s">
        <v>364</v>
      </c>
      <c r="L13" s="21" t="s">
        <v>365</v>
      </c>
      <c r="O13" s="26"/>
    </row>
    <row r="14" spans="1:15" ht="16.5" customHeight="1">
      <c r="A14" s="20">
        <v>9</v>
      </c>
      <c r="B14" s="81" t="s">
        <v>48</v>
      </c>
      <c r="C14" s="20" t="s">
        <v>45</v>
      </c>
      <c r="D14" s="20">
        <v>15</v>
      </c>
      <c r="E14" s="20">
        <v>4</v>
      </c>
      <c r="F14" s="26" t="s">
        <v>49</v>
      </c>
      <c r="G14" s="26">
        <v>40</v>
      </c>
      <c r="H14" s="26">
        <v>60</v>
      </c>
      <c r="I14" s="26">
        <f t="shared" si="0"/>
        <v>6.7</v>
      </c>
      <c r="J14" s="21"/>
      <c r="K14" s="21" t="s">
        <v>1045</v>
      </c>
      <c r="L14" s="21" t="s">
        <v>50</v>
      </c>
      <c r="O14" s="26"/>
    </row>
    <row r="15" spans="1:15" ht="16.5" customHeight="1">
      <c r="A15" s="20">
        <v>10</v>
      </c>
      <c r="B15" s="81" t="s">
        <v>51</v>
      </c>
      <c r="C15" s="20" t="s">
        <v>45</v>
      </c>
      <c r="D15" s="20">
        <v>15</v>
      </c>
      <c r="E15" s="20">
        <v>4</v>
      </c>
      <c r="F15" s="26" t="s">
        <v>52</v>
      </c>
      <c r="G15" s="26">
        <v>40</v>
      </c>
      <c r="H15" s="26">
        <v>70</v>
      </c>
      <c r="I15" s="26">
        <f t="shared" si="0"/>
        <v>7.3</v>
      </c>
      <c r="J15" s="21" t="s">
        <v>53</v>
      </c>
      <c r="K15" s="21" t="s">
        <v>1046</v>
      </c>
      <c r="L15" s="21" t="s">
        <v>54</v>
      </c>
      <c r="O15" s="26"/>
    </row>
    <row r="16" spans="1:15" ht="16.5" customHeight="1">
      <c r="A16" s="20">
        <v>11</v>
      </c>
      <c r="B16" s="21" t="s">
        <v>266</v>
      </c>
      <c r="C16" s="20" t="s">
        <v>56</v>
      </c>
      <c r="D16" s="26">
        <v>10</v>
      </c>
      <c r="E16" s="20">
        <v>4</v>
      </c>
      <c r="F16" s="26" t="s">
        <v>19</v>
      </c>
      <c r="G16" s="26">
        <v>40</v>
      </c>
      <c r="H16" s="26">
        <v>75</v>
      </c>
      <c r="I16" s="26">
        <f t="shared" si="0"/>
        <v>7.7</v>
      </c>
      <c r="J16" s="21"/>
      <c r="K16" s="21" t="s">
        <v>1057</v>
      </c>
      <c r="L16" s="21" t="s">
        <v>401</v>
      </c>
      <c r="O16" s="26"/>
    </row>
    <row r="17" spans="1:9" ht="16.5" customHeight="1">
      <c r="D17" s="3" t="s">
        <v>63</v>
      </c>
      <c r="E17" s="27">
        <f>SUM(E6:E16)</f>
        <v>36</v>
      </c>
      <c r="I17">
        <f>ROUND(SUM(I6:I16),0)</f>
        <v>73</v>
      </c>
    </row>
    <row r="18" spans="1:9" ht="16.5" customHeight="1">
      <c r="F18" s="87" t="s">
        <v>1127</v>
      </c>
    </row>
    <row r="19" spans="1:9" ht="16.5" customHeight="1">
      <c r="A19" s="108" t="s">
        <v>371</v>
      </c>
    </row>
    <row r="20" spans="1:9" ht="16.5" customHeight="1">
      <c r="A20" s="109" t="s">
        <v>372</v>
      </c>
    </row>
    <row r="21" spans="1:9" ht="16.5" customHeight="1">
      <c r="A21" t="s">
        <v>373</v>
      </c>
    </row>
    <row r="22" spans="1:9" ht="16.5" customHeight="1">
      <c r="A22" s="109" t="s">
        <v>374</v>
      </c>
    </row>
    <row r="23" spans="1:9" ht="16.5" customHeight="1">
      <c r="A23" s="109" t="s">
        <v>375</v>
      </c>
    </row>
    <row r="24" spans="1:9" ht="16.5" customHeight="1">
      <c r="A24" s="109" t="s">
        <v>1034</v>
      </c>
    </row>
    <row r="25" spans="1:9" ht="16.5" customHeight="1">
      <c r="A25" s="109" t="s">
        <v>376</v>
      </c>
    </row>
    <row r="26" spans="1:9" ht="16.5" customHeight="1">
      <c r="A26" s="109" t="s">
        <v>377</v>
      </c>
    </row>
    <row r="27" spans="1:9" ht="16.5" customHeight="1">
      <c r="A27" s="108" t="s">
        <v>1048</v>
      </c>
    </row>
    <row r="28" spans="1:9" ht="16.5" customHeight="1">
      <c r="A28" s="109" t="s">
        <v>378</v>
      </c>
    </row>
    <row r="29" spans="1:9" ht="16.5" customHeight="1"/>
    <row r="30" spans="1:9" ht="16.5" customHeight="1">
      <c r="A30" t="s">
        <v>1049</v>
      </c>
    </row>
    <row r="31" spans="1:9" ht="16.5" customHeight="1">
      <c r="A31" t="s">
        <v>1050</v>
      </c>
    </row>
    <row r="32" spans="1:9" ht="16.5" customHeight="1">
      <c r="A32" t="s">
        <v>1060</v>
      </c>
    </row>
    <row r="33" spans="1:1" ht="16.5" customHeight="1">
      <c r="A33" t="s">
        <v>1068</v>
      </c>
    </row>
    <row r="34" spans="1:1" ht="16.5" customHeight="1"/>
    <row r="35" spans="1:1" ht="16.5" customHeight="1">
      <c r="A35" s="112" t="s">
        <v>1098</v>
      </c>
    </row>
    <row r="36" spans="1:1" ht="16.5" customHeight="1">
      <c r="A36" t="s">
        <v>1106</v>
      </c>
    </row>
    <row r="37" spans="1:1" ht="16.5" customHeight="1">
      <c r="A37" t="s">
        <v>1100</v>
      </c>
    </row>
    <row r="38" spans="1:1" ht="16.5" customHeight="1">
      <c r="A38" t="s">
        <v>1119</v>
      </c>
    </row>
    <row r="39" spans="1:1" ht="16.5" customHeight="1"/>
    <row r="40" spans="1:1" ht="16.5" customHeight="1"/>
  </sheetData>
  <phoneticPr fontId="32" type="noConversion"/>
  <conditionalFormatting sqref="A6:O16">
    <cfRule type="expression" dxfId="10" priority="1">
      <formula>$E6=0</formula>
    </cfRule>
  </conditionalFormatting>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25"/>
  <sheetViews>
    <sheetView zoomScaleNormal="100" workbookViewId="0">
      <pane ySplit="5" topLeftCell="A6" activePane="bottomLeft" state="frozen"/>
      <selection pane="bottomLeft" activeCell="E33" sqref="E33"/>
    </sheetView>
  </sheetViews>
  <sheetFormatPr defaultColWidth="8.7109375" defaultRowHeight="15"/>
  <cols>
    <col min="1" max="1" width="5.5703125" customWidth="1"/>
    <col min="2" max="2" width="30" customWidth="1"/>
    <col min="3" max="3" width="20" customWidth="1"/>
    <col min="4" max="4" width="12" customWidth="1"/>
    <col min="5" max="5" width="8" customWidth="1"/>
    <col min="6" max="6" width="12" customWidth="1"/>
    <col min="7" max="9" width="9.42578125" customWidth="1"/>
    <col min="10" max="11" width="11" customWidth="1"/>
    <col min="13" max="13" width="24" customWidth="1"/>
    <col min="14" max="14" width="11" customWidth="1"/>
    <col min="15" max="15" width="9.42578125" customWidth="1"/>
  </cols>
  <sheetData>
    <row r="1" spans="1:15" ht="19.5" customHeight="1">
      <c r="A1" s="17" t="s">
        <v>379</v>
      </c>
    </row>
    <row r="2" spans="1:15" ht="16.5" customHeight="1">
      <c r="A2" s="18" t="s">
        <v>1123</v>
      </c>
    </row>
    <row r="3" spans="1:15">
      <c r="A3" s="33" t="s">
        <v>380</v>
      </c>
    </row>
    <row r="4" spans="1:15" ht="15" customHeight="1">
      <c r="A4" s="3" t="s">
        <v>2</v>
      </c>
    </row>
    <row r="5" spans="1:15" ht="16.5" customHeight="1">
      <c r="A5" s="34" t="s">
        <v>3</v>
      </c>
      <c r="B5" s="35" t="s">
        <v>4</v>
      </c>
      <c r="C5" s="35" t="s">
        <v>5</v>
      </c>
      <c r="D5" s="35" t="s">
        <v>6</v>
      </c>
      <c r="E5" s="35" t="s">
        <v>7</v>
      </c>
      <c r="F5" s="35" t="s">
        <v>8</v>
      </c>
      <c r="G5" s="35" t="s">
        <v>9</v>
      </c>
      <c r="H5" s="35" t="s">
        <v>10</v>
      </c>
      <c r="I5" s="35" t="s">
        <v>11</v>
      </c>
      <c r="J5" s="35" t="s">
        <v>12</v>
      </c>
      <c r="K5" s="35" t="s">
        <v>13</v>
      </c>
      <c r="L5" s="35" t="s">
        <v>14</v>
      </c>
      <c r="M5" s="35" t="s">
        <v>15</v>
      </c>
      <c r="N5" s="35" t="s">
        <v>16</v>
      </c>
      <c r="O5" s="35" t="s">
        <v>1096</v>
      </c>
    </row>
    <row r="6" spans="1:15" ht="16.5" customHeight="1">
      <c r="A6" s="20">
        <v>1</v>
      </c>
      <c r="B6" s="36" t="s">
        <v>381</v>
      </c>
      <c r="C6" s="20" t="s">
        <v>245</v>
      </c>
      <c r="D6" s="26">
        <v>45</v>
      </c>
      <c r="E6" s="20">
        <v>4</v>
      </c>
      <c r="F6" s="26" t="s">
        <v>247</v>
      </c>
      <c r="G6" s="26">
        <v>40</v>
      </c>
      <c r="H6" s="26">
        <v>150</v>
      </c>
      <c r="I6" s="26">
        <f t="shared" ref="I6:I15" si="0">IF(E6=0,0,ROUND((E6*(G6+H6)+O6)/60,1))</f>
        <v>12.7</v>
      </c>
      <c r="J6" s="21" t="s">
        <v>382</v>
      </c>
      <c r="K6" s="21" t="s">
        <v>383</v>
      </c>
      <c r="L6" s="21" t="s">
        <v>384</v>
      </c>
      <c r="O6" s="26"/>
    </row>
    <row r="7" spans="1:15" ht="16.5" customHeight="1">
      <c r="A7" s="20">
        <v>2</v>
      </c>
      <c r="B7" s="36" t="s">
        <v>385</v>
      </c>
      <c r="C7" s="20" t="s">
        <v>237</v>
      </c>
      <c r="D7" s="26">
        <v>47</v>
      </c>
      <c r="E7" s="20">
        <v>2</v>
      </c>
      <c r="F7" s="26" t="s">
        <v>40</v>
      </c>
      <c r="G7" s="26">
        <v>40</v>
      </c>
      <c r="H7" s="26">
        <v>150</v>
      </c>
      <c r="I7" s="26">
        <f t="shared" si="0"/>
        <v>6.3</v>
      </c>
      <c r="J7" s="21" t="s">
        <v>382</v>
      </c>
      <c r="K7" s="21" t="s">
        <v>1078</v>
      </c>
      <c r="L7" s="21" t="s">
        <v>386</v>
      </c>
      <c r="O7" s="26"/>
    </row>
    <row r="8" spans="1:15" ht="16.5" customHeight="1">
      <c r="A8" s="20">
        <v>3</v>
      </c>
      <c r="B8" s="36" t="s">
        <v>1079</v>
      </c>
      <c r="C8" s="20" t="s">
        <v>237</v>
      </c>
      <c r="D8" s="26">
        <v>20</v>
      </c>
      <c r="E8" s="20">
        <v>2</v>
      </c>
      <c r="F8" s="26" t="s">
        <v>1075</v>
      </c>
      <c r="G8" s="26">
        <v>80</v>
      </c>
      <c r="H8" s="26">
        <v>150</v>
      </c>
      <c r="I8" s="26">
        <f t="shared" si="0"/>
        <v>9.6999999999999993</v>
      </c>
      <c r="J8" s="21" t="s">
        <v>382</v>
      </c>
      <c r="K8" s="21" t="s">
        <v>1107</v>
      </c>
      <c r="L8" s="21" t="s">
        <v>1080</v>
      </c>
      <c r="O8" s="26">
        <v>120</v>
      </c>
    </row>
    <row r="9" spans="1:15" ht="16.5" customHeight="1">
      <c r="A9" s="20">
        <v>4</v>
      </c>
      <c r="B9" s="36" t="s">
        <v>387</v>
      </c>
      <c r="C9" s="20" t="s">
        <v>245</v>
      </c>
      <c r="D9" s="20">
        <v>32</v>
      </c>
      <c r="E9" s="20">
        <v>4</v>
      </c>
      <c r="F9" s="26" t="s">
        <v>19</v>
      </c>
      <c r="G9" s="26">
        <v>40</v>
      </c>
      <c r="H9" s="26">
        <v>60</v>
      </c>
      <c r="I9" s="26">
        <f t="shared" si="0"/>
        <v>7.7</v>
      </c>
      <c r="J9" s="21" t="s">
        <v>388</v>
      </c>
      <c r="K9" s="21" t="s">
        <v>1121</v>
      </c>
      <c r="L9" s="21" t="s">
        <v>389</v>
      </c>
      <c r="O9" s="26">
        <v>60</v>
      </c>
    </row>
    <row r="10" spans="1:15" ht="16.5" customHeight="1">
      <c r="A10" s="20">
        <v>5</v>
      </c>
      <c r="B10" s="21" t="s">
        <v>350</v>
      </c>
      <c r="C10" s="20" t="s">
        <v>23</v>
      </c>
      <c r="D10" s="26" t="s">
        <v>19</v>
      </c>
      <c r="E10" s="20">
        <v>0</v>
      </c>
      <c r="F10" s="26" t="s">
        <v>29</v>
      </c>
      <c r="G10" s="26">
        <v>40</v>
      </c>
      <c r="H10" s="26">
        <v>70</v>
      </c>
      <c r="I10" s="26">
        <f t="shared" si="0"/>
        <v>0</v>
      </c>
      <c r="J10" s="21" t="s">
        <v>351</v>
      </c>
      <c r="K10" s="21" t="s">
        <v>390</v>
      </c>
      <c r="L10" s="21" t="s">
        <v>391</v>
      </c>
      <c r="O10" s="26"/>
    </row>
    <row r="11" spans="1:15" ht="16.5" customHeight="1">
      <c r="A11" s="20">
        <v>6</v>
      </c>
      <c r="B11" s="21" t="s">
        <v>392</v>
      </c>
      <c r="C11" s="20" t="s">
        <v>44</v>
      </c>
      <c r="D11" s="26">
        <v>30</v>
      </c>
      <c r="E11" s="20">
        <v>4</v>
      </c>
      <c r="F11" s="26" t="s">
        <v>40</v>
      </c>
      <c r="G11" s="26">
        <v>40</v>
      </c>
      <c r="H11" s="26">
        <v>70</v>
      </c>
      <c r="I11" s="26">
        <f t="shared" si="0"/>
        <v>8.3000000000000007</v>
      </c>
      <c r="J11" s="21" t="s">
        <v>45</v>
      </c>
      <c r="K11" s="21" t="s">
        <v>1108</v>
      </c>
      <c r="L11" s="22" t="s">
        <v>393</v>
      </c>
      <c r="O11" s="26">
        <v>60</v>
      </c>
    </row>
    <row r="12" spans="1:15" ht="16.5" customHeight="1">
      <c r="A12" s="20">
        <v>7</v>
      </c>
      <c r="B12" s="21" t="s">
        <v>394</v>
      </c>
      <c r="C12" s="20" t="s">
        <v>347</v>
      </c>
      <c r="D12" s="20">
        <v>15</v>
      </c>
      <c r="E12" s="20">
        <v>4</v>
      </c>
      <c r="F12" s="26" t="s">
        <v>304</v>
      </c>
      <c r="G12" s="26">
        <v>40</v>
      </c>
      <c r="H12" s="26">
        <v>90</v>
      </c>
      <c r="I12" s="26">
        <f t="shared" si="0"/>
        <v>8.6999999999999993</v>
      </c>
      <c r="J12" s="21" t="s">
        <v>395</v>
      </c>
      <c r="K12" s="21" t="s">
        <v>396</v>
      </c>
      <c r="L12" s="21" t="s">
        <v>397</v>
      </c>
      <c r="O12" s="26"/>
    </row>
    <row r="13" spans="1:15" ht="16.5" customHeight="1">
      <c r="A13" s="20">
        <v>8</v>
      </c>
      <c r="B13" s="81" t="s">
        <v>55</v>
      </c>
      <c r="C13" s="20" t="s">
        <v>56</v>
      </c>
      <c r="D13" s="20" t="s">
        <v>57</v>
      </c>
      <c r="E13" s="20">
        <v>2</v>
      </c>
      <c r="F13" s="26" t="s">
        <v>19</v>
      </c>
      <c r="G13" s="26">
        <v>40</v>
      </c>
      <c r="H13" s="26">
        <v>75</v>
      </c>
      <c r="I13" s="26">
        <f t="shared" si="0"/>
        <v>3.8</v>
      </c>
      <c r="J13" s="21"/>
      <c r="K13" s="21" t="s">
        <v>1067</v>
      </c>
      <c r="L13" s="21" t="s">
        <v>58</v>
      </c>
      <c r="O13" s="26"/>
    </row>
    <row r="14" spans="1:15" ht="16.5" customHeight="1">
      <c r="A14" s="20">
        <v>9</v>
      </c>
      <c r="B14" s="21" t="s">
        <v>59</v>
      </c>
      <c r="C14" s="20" t="s">
        <v>60</v>
      </c>
      <c r="D14" s="26">
        <v>10</v>
      </c>
      <c r="E14" s="20">
        <v>3</v>
      </c>
      <c r="F14" s="26" t="s">
        <v>61</v>
      </c>
      <c r="G14" s="26">
        <v>80</v>
      </c>
      <c r="H14" s="26">
        <v>75</v>
      </c>
      <c r="I14" s="26">
        <f t="shared" si="0"/>
        <v>7.8</v>
      </c>
      <c r="J14" s="21"/>
      <c r="K14" s="21" t="s">
        <v>1056</v>
      </c>
      <c r="L14" s="21" t="s">
        <v>62</v>
      </c>
      <c r="O14" s="26"/>
    </row>
    <row r="15" spans="1:15" ht="16.5" customHeight="1">
      <c r="A15" s="20">
        <v>10</v>
      </c>
      <c r="B15" s="85" t="s">
        <v>275</v>
      </c>
      <c r="C15" s="20" t="s">
        <v>271</v>
      </c>
      <c r="D15" s="20" t="s">
        <v>246</v>
      </c>
      <c r="E15" s="20">
        <v>3</v>
      </c>
      <c r="F15" s="26" t="s">
        <v>19</v>
      </c>
      <c r="G15" s="26">
        <v>40</v>
      </c>
      <c r="H15" s="26">
        <v>60</v>
      </c>
      <c r="I15" s="26">
        <f t="shared" si="0"/>
        <v>5</v>
      </c>
      <c r="J15" s="21"/>
      <c r="K15" s="21" t="s">
        <v>276</v>
      </c>
      <c r="L15" s="21" t="s">
        <v>277</v>
      </c>
      <c r="O15" s="26"/>
    </row>
    <row r="16" spans="1:15" ht="15" customHeight="1">
      <c r="D16" s="3" t="s">
        <v>63</v>
      </c>
      <c r="E16" s="27">
        <f>SUM(E6:E15)</f>
        <v>28</v>
      </c>
      <c r="I16">
        <f>ROUND(SUM(I6:I15),0)</f>
        <v>70</v>
      </c>
    </row>
    <row r="17" spans="1:2" ht="15" customHeight="1">
      <c r="A17" t="s">
        <v>1049</v>
      </c>
    </row>
    <row r="18" spans="1:2">
      <c r="A18" t="s">
        <v>1061</v>
      </c>
    </row>
    <row r="19" spans="1:2">
      <c r="A19" t="s">
        <v>1069</v>
      </c>
    </row>
    <row r="20" spans="1:2">
      <c r="A20" t="s">
        <v>1081</v>
      </c>
    </row>
    <row r="22" spans="1:2">
      <c r="A22" s="112" t="s">
        <v>1098</v>
      </c>
      <c r="B22" s="83"/>
    </row>
    <row r="23" spans="1:2">
      <c r="A23" t="s">
        <v>1109</v>
      </c>
    </row>
    <row r="24" spans="1:2">
      <c r="A24" t="s">
        <v>1100</v>
      </c>
    </row>
    <row r="25" spans="1:2">
      <c r="A25" t="s">
        <v>1122</v>
      </c>
    </row>
  </sheetData>
  <phoneticPr fontId="32" type="noConversion"/>
  <conditionalFormatting sqref="A6:O15">
    <cfRule type="expression" dxfId="9" priority="1">
      <formula>$E6=0</formula>
    </cfRule>
  </conditionalFormatting>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O46"/>
  <sheetViews>
    <sheetView zoomScaleNormal="100" workbookViewId="0">
      <pane ySplit="19" topLeftCell="A20" activePane="bottomLeft" state="frozen"/>
      <selection pane="bottomLeft" activeCell="N13" sqref="N13"/>
    </sheetView>
  </sheetViews>
  <sheetFormatPr defaultColWidth="8.7109375" defaultRowHeight="15"/>
  <cols>
    <col min="1" max="1" width="5.5703125" customWidth="1"/>
    <col min="2" max="2" width="30" customWidth="1"/>
    <col min="3" max="3" width="20" customWidth="1"/>
    <col min="4" max="4" width="12" customWidth="1"/>
    <col min="5" max="5" width="8" customWidth="1"/>
    <col min="6" max="6" width="12" customWidth="1"/>
    <col min="7" max="9" width="9.42578125" customWidth="1"/>
    <col min="10" max="11" width="11" customWidth="1"/>
    <col min="13" max="13" width="24" customWidth="1"/>
    <col min="14" max="14" width="11" customWidth="1"/>
    <col min="15" max="15" width="9.42578125" customWidth="1"/>
  </cols>
  <sheetData>
    <row r="1" spans="1:3" ht="19.5" customHeight="1">
      <c r="A1" s="17" t="s">
        <v>404</v>
      </c>
    </row>
    <row r="2" spans="1:3" ht="16.5" customHeight="1">
      <c r="A2" s="18" t="s">
        <v>1115</v>
      </c>
    </row>
    <row r="4" spans="1:3" ht="16.5" customHeight="1">
      <c r="A4" s="3" t="s">
        <v>405</v>
      </c>
    </row>
    <row r="5" spans="1:3" ht="16.5" customHeight="1">
      <c r="A5" s="19" t="s">
        <v>6</v>
      </c>
      <c r="B5" s="19" t="s">
        <v>281</v>
      </c>
      <c r="C5" s="19" t="s">
        <v>7</v>
      </c>
    </row>
    <row r="6" spans="1:3" ht="15" customHeight="1">
      <c r="A6" s="20">
        <f>MAX(20,(MROUND(시작중량_설정!$E$10*0.4,1)+(MOD(MROUND(시작중량_설정!$E$10*0.4,1),5)=4)))</f>
        <v>20</v>
      </c>
      <c r="B6" s="20">
        <v>5</v>
      </c>
      <c r="C6" s="20">
        <v>2</v>
      </c>
    </row>
    <row r="7" spans="1:3" ht="15" customHeight="1">
      <c r="A7" s="20" t="str">
        <f>IF(MAX(20,(MROUND(시작중량_설정!$E$10*0.6,1)+(MOD(MROUND(시작중량_설정!$E$10*0.6,1),5)=4)))&lt;=MAX(20,(MROUND(시작중량_설정!$E$10*0.4,1)+(MOD(MROUND(시작중량_설정!$E$10*0.4,1),5)=4))),"생략",MAX(20,(MROUND(시작중량_설정!$E$10*0.6,1)+(MOD(MROUND(시작중량_설정!$E$10*0.6,1),5)=4))))</f>
        <v>생략</v>
      </c>
      <c r="B7" s="20">
        <v>5</v>
      </c>
      <c r="C7" s="20">
        <v>1</v>
      </c>
    </row>
    <row r="8" spans="1:3" ht="15" customHeight="1">
      <c r="A8" s="20" t="str">
        <f>IF(MAX(20,(MROUND(시작중량_설정!$E$10*0.75,1)+(MOD(MROUND(시작중량_설정!$E$10*0.75,1),5)=4)))&lt;=MAX(20,(MROUND(시작중량_설정!$E$10*0.6,1)+(MOD(MROUND(시작중량_설정!$E$10*0.6,1),5)=4))),"생략",MAX(20,(MROUND(시작중량_설정!$E$10*0.75,1)+(MOD(MROUND(시작중량_설정!$E$10*0.75,1),5)=4))))</f>
        <v>생략</v>
      </c>
      <c r="B8" s="20">
        <v>3</v>
      </c>
      <c r="C8" s="20">
        <v>1</v>
      </c>
    </row>
    <row r="9" spans="1:3" ht="15" customHeight="1">
      <c r="A9" s="20">
        <f>IF(MAX(20,(MROUND(시작중량_설정!$E$10*0.9,1)+(MOD(MROUND(시작중량_설정!$E$10*0.9,1),5)=4)))&lt;=MAX(20,(MROUND(시작중량_설정!$E$10*0.75,1)+(MOD(MROUND(시작중량_설정!$E$10*0.75,1),5)=4))),"생략",MAX(20,(MROUND(시작중량_설정!$E$10*0.9,1)+(MOD(MROUND(시작중량_설정!$E$10*0.9,1),5)=4))))</f>
        <v>23</v>
      </c>
      <c r="B9" s="20">
        <v>2</v>
      </c>
      <c r="C9" s="20">
        <v>1</v>
      </c>
    </row>
    <row r="10" spans="1:3" ht="15" customHeight="1">
      <c r="A10" s="37">
        <f>시작중량_설정!$E$10</f>
        <v>26</v>
      </c>
      <c r="B10" s="27">
        <v>5</v>
      </c>
      <c r="C10" s="27">
        <v>3</v>
      </c>
    </row>
    <row r="11" spans="1:3" ht="16.5" customHeight="1">
      <c r="A11" s="31" t="s">
        <v>282</v>
      </c>
    </row>
    <row r="13" spans="1:3" ht="16.5" customHeight="1">
      <c r="A13" s="3" t="s">
        <v>283</v>
      </c>
    </row>
    <row r="14" spans="1:3" ht="16.5" customHeight="1">
      <c r="A14" s="31" t="s">
        <v>284</v>
      </c>
    </row>
    <row r="15" spans="1:3" ht="16.5" customHeight="1">
      <c r="A15" s="31" t="s">
        <v>285</v>
      </c>
    </row>
    <row r="16" spans="1:3" ht="16.5" customHeight="1">
      <c r="A16" s="31" t="s">
        <v>286</v>
      </c>
    </row>
    <row r="18" spans="1:15" ht="15" customHeight="1">
      <c r="A18" s="3" t="s">
        <v>2</v>
      </c>
    </row>
    <row r="19" spans="1:15" ht="16.5" customHeight="1">
      <c r="A19" s="34" t="s">
        <v>3</v>
      </c>
      <c r="B19" s="35" t="s">
        <v>4</v>
      </c>
      <c r="C19" s="35" t="s">
        <v>5</v>
      </c>
      <c r="D19" s="35" t="s">
        <v>6</v>
      </c>
      <c r="E19" s="35" t="s">
        <v>7</v>
      </c>
      <c r="F19" s="35" t="s">
        <v>8</v>
      </c>
      <c r="G19" s="35" t="s">
        <v>9</v>
      </c>
      <c r="H19" s="35" t="s">
        <v>10</v>
      </c>
      <c r="I19" s="35" t="s">
        <v>11</v>
      </c>
      <c r="J19" s="35" t="s">
        <v>12</v>
      </c>
      <c r="K19" s="35" t="s">
        <v>13</v>
      </c>
      <c r="L19" s="35" t="s">
        <v>14</v>
      </c>
      <c r="M19" s="35" t="s">
        <v>15</v>
      </c>
      <c r="N19" s="35" t="s">
        <v>16</v>
      </c>
      <c r="O19" s="35" t="s">
        <v>1096</v>
      </c>
    </row>
    <row r="20" spans="1:15" ht="16.5" customHeight="1">
      <c r="A20" s="40">
        <v>1</v>
      </c>
      <c r="B20" s="39" t="s">
        <v>406</v>
      </c>
      <c r="C20" s="40" t="s">
        <v>27</v>
      </c>
      <c r="D20" s="41">
        <f>시작중량_설정!$E$10</f>
        <v>26</v>
      </c>
      <c r="E20" s="40">
        <v>3</v>
      </c>
      <c r="F20" s="38" t="s">
        <v>289</v>
      </c>
      <c r="G20" s="38">
        <v>30</v>
      </c>
      <c r="H20" s="38">
        <v>180</v>
      </c>
      <c r="I20" s="38">
        <f t="shared" ref="I20:I29" si="0">IF(E20=0,0,ROUND((E20*(G20+H20)+O20)/60,1))</f>
        <v>10.5</v>
      </c>
      <c r="J20" s="39" t="s">
        <v>30</v>
      </c>
      <c r="K20" s="39" t="s">
        <v>407</v>
      </c>
      <c r="L20" s="39" t="s">
        <v>408</v>
      </c>
      <c r="M20" s="38" t="s">
        <v>409</v>
      </c>
      <c r="O20" s="38"/>
    </row>
    <row r="21" spans="1:15" ht="16.5" customHeight="1">
      <c r="A21" s="20">
        <v>2</v>
      </c>
      <c r="B21" s="21" t="s">
        <v>26</v>
      </c>
      <c r="C21" s="20" t="s">
        <v>27</v>
      </c>
      <c r="D21" s="20">
        <v>25</v>
      </c>
      <c r="E21" s="20">
        <v>3</v>
      </c>
      <c r="F21" s="26" t="s">
        <v>29</v>
      </c>
      <c r="G21" s="26">
        <v>40</v>
      </c>
      <c r="H21" s="26">
        <v>120</v>
      </c>
      <c r="I21" s="26">
        <f t="shared" si="0"/>
        <v>8</v>
      </c>
      <c r="J21" s="21" t="s">
        <v>410</v>
      </c>
      <c r="K21" s="21" t="s">
        <v>411</v>
      </c>
      <c r="L21" s="21" t="s">
        <v>412</v>
      </c>
      <c r="O21" s="26"/>
    </row>
    <row r="22" spans="1:15" ht="16.5" customHeight="1">
      <c r="A22" s="20">
        <v>3</v>
      </c>
      <c r="B22" s="36" t="s">
        <v>398</v>
      </c>
      <c r="C22" s="20" t="s">
        <v>34</v>
      </c>
      <c r="D22" s="20">
        <v>20</v>
      </c>
      <c r="E22" s="20">
        <v>3</v>
      </c>
      <c r="F22" s="26" t="s">
        <v>19</v>
      </c>
      <c r="G22" s="26">
        <v>40</v>
      </c>
      <c r="H22" s="26">
        <v>60</v>
      </c>
      <c r="I22" s="26">
        <f t="shared" si="0"/>
        <v>5</v>
      </c>
      <c r="J22" s="21" t="s">
        <v>248</v>
      </c>
      <c r="K22" s="21" t="s">
        <v>413</v>
      </c>
      <c r="L22" s="21" t="s">
        <v>414</v>
      </c>
      <c r="O22" s="26"/>
    </row>
    <row r="23" spans="1:15" ht="16.5" customHeight="1">
      <c r="A23" s="20">
        <v>4</v>
      </c>
      <c r="B23" s="21" t="s">
        <v>415</v>
      </c>
      <c r="C23" s="20" t="s">
        <v>288</v>
      </c>
      <c r="D23" s="26">
        <v>25</v>
      </c>
      <c r="E23" s="20">
        <v>3</v>
      </c>
      <c r="F23" s="26" t="s">
        <v>40</v>
      </c>
      <c r="G23" s="26">
        <v>40</v>
      </c>
      <c r="H23" s="26">
        <v>150</v>
      </c>
      <c r="I23" s="26">
        <f t="shared" si="0"/>
        <v>9.5</v>
      </c>
      <c r="J23" s="21" t="s">
        <v>39</v>
      </c>
      <c r="K23" s="21" t="s">
        <v>416</v>
      </c>
      <c r="L23" s="21" t="s">
        <v>417</v>
      </c>
      <c r="O23" s="26"/>
    </row>
    <row r="24" spans="1:15" ht="16.5" customHeight="1">
      <c r="A24" s="20">
        <v>5</v>
      </c>
      <c r="B24" s="21" t="s">
        <v>418</v>
      </c>
      <c r="C24" s="20" t="s">
        <v>299</v>
      </c>
      <c r="D24" s="26">
        <v>35</v>
      </c>
      <c r="E24" s="20">
        <v>3</v>
      </c>
      <c r="F24" s="26" t="s">
        <v>247</v>
      </c>
      <c r="G24" s="26">
        <v>40</v>
      </c>
      <c r="H24" s="26">
        <v>150</v>
      </c>
      <c r="I24" s="26">
        <f t="shared" si="0"/>
        <v>9.5</v>
      </c>
      <c r="J24" s="21" t="s">
        <v>290</v>
      </c>
      <c r="K24" s="21" t="s">
        <v>419</v>
      </c>
      <c r="L24" s="21" t="s">
        <v>420</v>
      </c>
      <c r="O24" s="26"/>
    </row>
    <row r="25" spans="1:15" ht="16.5" customHeight="1">
      <c r="A25" s="20">
        <v>6</v>
      </c>
      <c r="B25" s="21" t="s">
        <v>357</v>
      </c>
      <c r="C25" s="43" t="s">
        <v>288</v>
      </c>
      <c r="D25" s="26">
        <v>10</v>
      </c>
      <c r="E25" s="20">
        <v>3</v>
      </c>
      <c r="F25" s="26" t="s">
        <v>40</v>
      </c>
      <c r="G25" s="26">
        <v>40</v>
      </c>
      <c r="H25" s="26">
        <v>90</v>
      </c>
      <c r="I25" s="26">
        <f t="shared" si="0"/>
        <v>7.5</v>
      </c>
      <c r="J25" s="21"/>
      <c r="K25" s="21" t="s">
        <v>1110</v>
      </c>
      <c r="L25" s="21" t="s">
        <v>1047</v>
      </c>
      <c r="O25" s="26">
        <v>60</v>
      </c>
    </row>
    <row r="26" spans="1:15" ht="16.5" customHeight="1">
      <c r="A26" s="20">
        <v>7</v>
      </c>
      <c r="B26" s="21" t="s">
        <v>421</v>
      </c>
      <c r="C26" s="20" t="s">
        <v>23</v>
      </c>
      <c r="D26" s="26">
        <v>15</v>
      </c>
      <c r="E26" s="20">
        <v>3</v>
      </c>
      <c r="F26" s="26" t="s">
        <v>19</v>
      </c>
      <c r="G26" s="26">
        <v>40</v>
      </c>
      <c r="H26" s="26">
        <v>70</v>
      </c>
      <c r="I26" s="26">
        <f t="shared" si="0"/>
        <v>5.5</v>
      </c>
      <c r="J26" s="21"/>
      <c r="K26" s="21" t="s">
        <v>422</v>
      </c>
      <c r="L26" s="21" t="s">
        <v>423</v>
      </c>
      <c r="O26" s="26"/>
    </row>
    <row r="27" spans="1:15" ht="16.5" customHeight="1">
      <c r="A27" s="20">
        <v>8</v>
      </c>
      <c r="B27" s="21" t="s">
        <v>424</v>
      </c>
      <c r="C27" s="20" t="s">
        <v>18</v>
      </c>
      <c r="D27" s="26">
        <v>5</v>
      </c>
      <c r="E27" s="20">
        <v>3</v>
      </c>
      <c r="F27" s="26" t="s">
        <v>304</v>
      </c>
      <c r="G27" s="26">
        <v>70</v>
      </c>
      <c r="H27" s="26">
        <v>70</v>
      </c>
      <c r="I27" s="26">
        <f t="shared" si="0"/>
        <v>7</v>
      </c>
      <c r="J27" s="21"/>
      <c r="K27" s="21" t="s">
        <v>425</v>
      </c>
      <c r="L27" s="21" t="s">
        <v>426</v>
      </c>
      <c r="O27" s="26"/>
    </row>
    <row r="28" spans="1:15" ht="16.5" customHeight="1">
      <c r="A28" s="20">
        <v>9</v>
      </c>
      <c r="B28" s="21" t="s">
        <v>33</v>
      </c>
      <c r="C28" s="20" t="s">
        <v>34</v>
      </c>
      <c r="D28" s="26" t="s">
        <v>35</v>
      </c>
      <c r="E28" s="20">
        <v>3</v>
      </c>
      <c r="F28" s="26" t="s">
        <v>19</v>
      </c>
      <c r="G28" s="26">
        <v>40</v>
      </c>
      <c r="H28" s="26">
        <v>60</v>
      </c>
      <c r="I28" s="26">
        <f t="shared" si="0"/>
        <v>5</v>
      </c>
      <c r="J28" s="21" t="s">
        <v>388</v>
      </c>
      <c r="K28" s="21" t="s">
        <v>427</v>
      </c>
      <c r="L28" s="21" t="s">
        <v>428</v>
      </c>
      <c r="O28" s="26"/>
    </row>
    <row r="29" spans="1:15" ht="16.5" customHeight="1">
      <c r="A29" s="20">
        <v>10</v>
      </c>
      <c r="B29" s="85" t="s">
        <v>402</v>
      </c>
      <c r="C29" s="20" t="s">
        <v>260</v>
      </c>
      <c r="D29" s="20">
        <v>15</v>
      </c>
      <c r="E29" s="20">
        <v>3</v>
      </c>
      <c r="F29" s="26" t="s">
        <v>29</v>
      </c>
      <c r="G29" s="26">
        <v>40</v>
      </c>
      <c r="H29" s="26">
        <v>60</v>
      </c>
      <c r="I29" s="26">
        <f t="shared" si="0"/>
        <v>5</v>
      </c>
      <c r="J29" s="21"/>
      <c r="K29" s="21" t="s">
        <v>1058</v>
      </c>
      <c r="L29" s="21" t="s">
        <v>403</v>
      </c>
      <c r="O29" s="26"/>
    </row>
    <row r="30" spans="1:15" ht="15" customHeight="1">
      <c r="A30" s="20"/>
      <c r="B30" s="21"/>
      <c r="C30" s="20"/>
      <c r="D30" s="26" t="s">
        <v>63</v>
      </c>
      <c r="E30" s="20">
        <f>SUM(E20:E29)</f>
        <v>30</v>
      </c>
      <c r="F30" s="26"/>
      <c r="G30" s="26"/>
      <c r="H30" s="26"/>
      <c r="I30" s="26">
        <f>ROUND(SUM(I20:I29),0)</f>
        <v>73</v>
      </c>
      <c r="J30" s="21"/>
      <c r="K30" s="21"/>
      <c r="L30" s="21"/>
    </row>
    <row r="31" spans="1:15" ht="15" customHeight="1">
      <c r="A31" s="3" t="s">
        <v>429</v>
      </c>
    </row>
    <row r="32" spans="1:15">
      <c r="A32" s="31" t="s">
        <v>430</v>
      </c>
    </row>
    <row r="33" spans="1:1" ht="16.5" customHeight="1">
      <c r="A33" s="31" t="s">
        <v>431</v>
      </c>
    </row>
    <row r="34" spans="1:1" ht="16.5" customHeight="1">
      <c r="A34" s="31" t="s">
        <v>432</v>
      </c>
    </row>
    <row r="35" spans="1:1" ht="16.5" customHeight="1">
      <c r="A35" s="31" t="s">
        <v>433</v>
      </c>
    </row>
    <row r="36" spans="1:1" ht="16.5" customHeight="1">
      <c r="A36" s="31" t="s">
        <v>434</v>
      </c>
    </row>
    <row r="37" spans="1:1" ht="16.5" customHeight="1">
      <c r="A37" s="31" t="s">
        <v>435</v>
      </c>
    </row>
    <row r="38" spans="1:1" ht="16.5" customHeight="1">
      <c r="A38" s="31" t="s">
        <v>436</v>
      </c>
    </row>
    <row r="39" spans="1:1" ht="16.5" customHeight="1"/>
    <row r="40" spans="1:1" ht="16.5" customHeight="1">
      <c r="A40" t="s">
        <v>1049</v>
      </c>
    </row>
    <row r="41" spans="1:1">
      <c r="A41" t="s">
        <v>1052</v>
      </c>
    </row>
    <row r="42" spans="1:1">
      <c r="A42" t="s">
        <v>1062</v>
      </c>
    </row>
    <row r="44" spans="1:1">
      <c r="A44" s="112" t="s">
        <v>1098</v>
      </c>
    </row>
    <row r="45" spans="1:1">
      <c r="A45" t="s">
        <v>1111</v>
      </c>
    </row>
    <row r="46" spans="1:1">
      <c r="A46" t="s">
        <v>1100</v>
      </c>
    </row>
  </sheetData>
  <phoneticPr fontId="32" type="noConversion"/>
  <conditionalFormatting sqref="A20:O29">
    <cfRule type="expression" dxfId="8" priority="1">
      <formula>$E20=0</formula>
    </cfRule>
  </conditionalFormatting>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O33"/>
  <sheetViews>
    <sheetView zoomScaleNormal="100" workbookViewId="0">
      <pane ySplit="14" topLeftCell="A15" activePane="bottomLeft" state="frozen"/>
      <selection pane="bottomLeft" activeCell="O15" sqref="O15:O22"/>
    </sheetView>
  </sheetViews>
  <sheetFormatPr defaultColWidth="8.7109375" defaultRowHeight="15"/>
  <cols>
    <col min="1" max="1" width="7.140625" customWidth="1"/>
    <col min="2" max="2" width="30" customWidth="1"/>
    <col min="3" max="3" width="20" customWidth="1"/>
    <col min="4" max="4" width="12" customWidth="1"/>
    <col min="5" max="5" width="8" customWidth="1"/>
    <col min="6" max="6" width="12" customWidth="1"/>
    <col min="7" max="9" width="9.42578125" customWidth="1"/>
    <col min="10" max="11" width="11" customWidth="1"/>
    <col min="13" max="13" width="24" customWidth="1"/>
    <col min="14" max="14" width="11" customWidth="1"/>
    <col min="15" max="15" width="9.42578125" customWidth="1"/>
  </cols>
  <sheetData>
    <row r="1" spans="1:15" ht="19.5" customHeight="1">
      <c r="A1" s="17" t="s">
        <v>437</v>
      </c>
    </row>
    <row r="2" spans="1:15" ht="16.5" customHeight="1">
      <c r="A2" s="18" t="s">
        <v>438</v>
      </c>
    </row>
    <row r="4" spans="1:15" ht="16.5" customHeight="1">
      <c r="A4" s="3" t="s">
        <v>439</v>
      </c>
    </row>
    <row r="5" spans="1:15" ht="16.5" customHeight="1">
      <c r="A5" s="19" t="s">
        <v>6</v>
      </c>
      <c r="B5" s="19" t="s">
        <v>281</v>
      </c>
      <c r="C5" s="19" t="s">
        <v>7</v>
      </c>
    </row>
    <row r="6" spans="1:15" ht="15" customHeight="1">
      <c r="A6" s="20">
        <f>MAX(20,(MROUND(시작중량_설정!$E$8*0.4,1)+(MOD(MROUND(시작중량_설정!$E$8*0.4,1),5)=4)))</f>
        <v>27</v>
      </c>
      <c r="B6" s="20">
        <v>5</v>
      </c>
      <c r="C6" s="20">
        <v>2</v>
      </c>
    </row>
    <row r="7" spans="1:15" ht="15" customHeight="1">
      <c r="A7" s="20">
        <f>IF(MAX(20,(MROUND(시작중량_설정!$E$8*0.6,1)+(MOD(MROUND(시작중량_설정!$E$8*0.6,1),5)=4)))&lt;=MAX(20,(MROUND(시작중량_설정!$E$8*0.4,1)+(MOD(MROUND(시작중량_설정!$E$8*0.4,1),5)=4))),"생략",MAX(20,(MROUND(시작중량_설정!$E$8*0.6,1)+(MOD(MROUND(시작중량_설정!$E$8*0.6,1),5)=4))))</f>
        <v>40</v>
      </c>
      <c r="B7" s="20">
        <v>5</v>
      </c>
      <c r="C7" s="20">
        <v>1</v>
      </c>
    </row>
    <row r="8" spans="1:15" ht="15" customHeight="1">
      <c r="A8" s="20">
        <f>IF(MAX(20,(MROUND(시작중량_설정!$E$8*0.75,1)+(MOD(MROUND(시작중량_설정!$E$8*0.75,1),5)=4)))&lt;=MAX(20,(MROUND(시작중량_설정!$E$8*0.6,1)+(MOD(MROUND(시작중량_설정!$E$8*0.6,1),5)=4))),"생략",MAX(20,(MROUND(시작중량_설정!$E$8*0.75,1)+(MOD(MROUND(시작중량_설정!$E$8*0.75,1),5)=4))))</f>
        <v>50</v>
      </c>
      <c r="B8" s="20">
        <v>3</v>
      </c>
      <c r="C8" s="20">
        <v>1</v>
      </c>
    </row>
    <row r="9" spans="1:15" ht="15" customHeight="1">
      <c r="A9" s="20">
        <f>IF(MAX(20,(MROUND(시작중량_설정!$E$8*0.9,1)+(MOD(MROUND(시작중량_설정!$E$8*0.9,1),5)=4)))&lt;=MAX(20,(MROUND(시작중량_설정!$E$8*0.75,1)+(MOD(MROUND(시작중량_설정!$E$8*0.75,1),5)=4))),"생략",MAX(20,(MROUND(시작중량_설정!$E$8*0.9,1)+(MOD(MROUND(시작중량_설정!$E$8*0.9,1),5)=4))))</f>
        <v>60</v>
      </c>
      <c r="B9" s="20">
        <v>2</v>
      </c>
      <c r="C9" s="20">
        <v>1</v>
      </c>
    </row>
    <row r="10" spans="1:15" ht="15" customHeight="1">
      <c r="A10" s="37">
        <f>시작중량_설정!$E$8</f>
        <v>67</v>
      </c>
      <c r="B10" s="27">
        <v>5</v>
      </c>
      <c r="C10" s="27">
        <v>1</v>
      </c>
    </row>
    <row r="11" spans="1:15" ht="16.5" customHeight="1">
      <c r="A11" s="31" t="s">
        <v>282</v>
      </c>
    </row>
    <row r="13" spans="1:15" ht="15" customHeight="1">
      <c r="A13" s="3" t="s">
        <v>2</v>
      </c>
    </row>
    <row r="14" spans="1:15" ht="16.5" customHeight="1">
      <c r="A14" s="34" t="s">
        <v>3</v>
      </c>
      <c r="B14" s="35" t="s">
        <v>4</v>
      </c>
      <c r="C14" s="35" t="s">
        <v>5</v>
      </c>
      <c r="D14" s="35" t="s">
        <v>6</v>
      </c>
      <c r="E14" s="35" t="s">
        <v>7</v>
      </c>
      <c r="F14" s="35" t="s">
        <v>8</v>
      </c>
      <c r="G14" s="35" t="s">
        <v>9</v>
      </c>
      <c r="H14" s="35" t="s">
        <v>10</v>
      </c>
      <c r="I14" s="35" t="s">
        <v>11</v>
      </c>
      <c r="J14" s="35" t="s">
        <v>12</v>
      </c>
      <c r="K14" s="35" t="s">
        <v>13</v>
      </c>
      <c r="L14" s="35" t="s">
        <v>14</v>
      </c>
      <c r="M14" s="35" t="s">
        <v>15</v>
      </c>
      <c r="N14" s="35" t="s">
        <v>16</v>
      </c>
      <c r="O14" s="35" t="s">
        <v>1096</v>
      </c>
    </row>
    <row r="15" spans="1:15" ht="16.5" customHeight="1">
      <c r="A15" s="40">
        <v>1</v>
      </c>
      <c r="B15" s="39" t="s">
        <v>440</v>
      </c>
      <c r="C15" s="40" t="s">
        <v>271</v>
      </c>
      <c r="D15" s="41">
        <f>시작중량_설정!$E$8</f>
        <v>67</v>
      </c>
      <c r="E15" s="40">
        <v>1</v>
      </c>
      <c r="F15" s="38" t="s">
        <v>289</v>
      </c>
      <c r="G15" s="38">
        <v>35</v>
      </c>
      <c r="H15" s="38">
        <v>240</v>
      </c>
      <c r="I15" s="38">
        <f t="shared" ref="I15:I22" si="0">IF(E15=0,0,ROUND((E15*(G15+H15)+O15)/60,1))</f>
        <v>4.5999999999999996</v>
      </c>
      <c r="J15" s="39" t="s">
        <v>441</v>
      </c>
      <c r="K15" s="39" t="s">
        <v>442</v>
      </c>
      <c r="L15" s="39" t="s">
        <v>443</v>
      </c>
      <c r="O15" s="38"/>
    </row>
    <row r="16" spans="1:15" ht="16.5" customHeight="1">
      <c r="A16" s="40">
        <v>2</v>
      </c>
      <c r="B16" s="39" t="s">
        <v>444</v>
      </c>
      <c r="C16" s="40" t="s">
        <v>271</v>
      </c>
      <c r="D16" s="41">
        <f>시작중량_설정!$E$8-증량기록!$C$5</f>
        <v>62</v>
      </c>
      <c r="E16" s="40">
        <v>2</v>
      </c>
      <c r="F16" s="38" t="s">
        <v>289</v>
      </c>
      <c r="G16" s="38">
        <v>35</v>
      </c>
      <c r="H16" s="38">
        <v>180</v>
      </c>
      <c r="I16" s="38">
        <f t="shared" si="0"/>
        <v>7.2</v>
      </c>
      <c r="J16" s="39" t="s">
        <v>441</v>
      </c>
      <c r="K16" s="39" t="s">
        <v>1213</v>
      </c>
      <c r="L16" s="39" t="s">
        <v>443</v>
      </c>
      <c r="O16" s="38"/>
    </row>
    <row r="17" spans="1:15" ht="16.5" customHeight="1">
      <c r="A17" s="20">
        <v>3</v>
      </c>
      <c r="B17" s="21" t="s">
        <v>445</v>
      </c>
      <c r="C17" s="20" t="s">
        <v>321</v>
      </c>
      <c r="D17" s="26">
        <v>25</v>
      </c>
      <c r="E17" s="20">
        <v>4</v>
      </c>
      <c r="F17" s="26" t="s">
        <v>40</v>
      </c>
      <c r="G17" s="26">
        <v>45</v>
      </c>
      <c r="H17" s="26">
        <v>150</v>
      </c>
      <c r="I17" s="26">
        <f t="shared" si="0"/>
        <v>13</v>
      </c>
      <c r="J17" s="21" t="s">
        <v>330</v>
      </c>
      <c r="K17" s="21" t="s">
        <v>446</v>
      </c>
      <c r="L17" s="21" t="s">
        <v>447</v>
      </c>
      <c r="O17" s="26"/>
    </row>
    <row r="18" spans="1:15" ht="16.5" customHeight="1">
      <c r="A18" s="20">
        <v>4</v>
      </c>
      <c r="B18" s="21" t="s">
        <v>448</v>
      </c>
      <c r="C18" s="20" t="s">
        <v>330</v>
      </c>
      <c r="D18" s="20">
        <v>35</v>
      </c>
      <c r="E18" s="20">
        <v>3</v>
      </c>
      <c r="F18" s="26" t="s">
        <v>57</v>
      </c>
      <c r="G18" s="26">
        <v>40</v>
      </c>
      <c r="H18" s="26">
        <v>150</v>
      </c>
      <c r="I18" s="26">
        <f t="shared" si="0"/>
        <v>9.5</v>
      </c>
      <c r="J18" s="21" t="s">
        <v>316</v>
      </c>
      <c r="K18" s="21" t="s">
        <v>449</v>
      </c>
      <c r="L18" s="21" t="s">
        <v>450</v>
      </c>
      <c r="O18" s="26"/>
    </row>
    <row r="19" spans="1:15" ht="16.5" customHeight="1">
      <c r="A19" s="20">
        <v>5</v>
      </c>
      <c r="B19" s="21" t="s">
        <v>451</v>
      </c>
      <c r="C19" s="20" t="s">
        <v>330</v>
      </c>
      <c r="D19" s="26">
        <v>15</v>
      </c>
      <c r="E19" s="20">
        <v>3</v>
      </c>
      <c r="F19" s="26" t="s">
        <v>267</v>
      </c>
      <c r="G19" s="26">
        <v>80</v>
      </c>
      <c r="H19" s="26">
        <v>120</v>
      </c>
      <c r="I19" s="26">
        <f t="shared" si="0"/>
        <v>10</v>
      </c>
      <c r="J19" s="21"/>
      <c r="K19" s="21" t="s">
        <v>452</v>
      </c>
      <c r="L19" s="21" t="s">
        <v>453</v>
      </c>
      <c r="O19" s="26"/>
    </row>
    <row r="20" spans="1:15" ht="16.5" customHeight="1">
      <c r="A20" s="20">
        <v>6</v>
      </c>
      <c r="B20" s="21" t="s">
        <v>1089</v>
      </c>
      <c r="C20" s="20" t="s">
        <v>1091</v>
      </c>
      <c r="D20" s="26">
        <v>120</v>
      </c>
      <c r="E20" s="20">
        <v>3</v>
      </c>
      <c r="F20" s="26" t="s">
        <v>1092</v>
      </c>
      <c r="G20" s="26">
        <v>45</v>
      </c>
      <c r="H20" s="26">
        <v>150</v>
      </c>
      <c r="I20" s="26">
        <f t="shared" si="0"/>
        <v>9.8000000000000007</v>
      </c>
      <c r="J20" s="21" t="s">
        <v>321</v>
      </c>
      <c r="K20" s="21" t="s">
        <v>1113</v>
      </c>
      <c r="L20" s="21" t="s">
        <v>1094</v>
      </c>
      <c r="O20" s="26"/>
    </row>
    <row r="21" spans="1:15" ht="16.5" customHeight="1">
      <c r="A21" s="20">
        <v>7</v>
      </c>
      <c r="B21" s="21" t="s">
        <v>1090</v>
      </c>
      <c r="C21" s="20" t="s">
        <v>1091</v>
      </c>
      <c r="D21" s="26">
        <v>42</v>
      </c>
      <c r="E21" s="20">
        <v>4</v>
      </c>
      <c r="F21" s="26" t="s">
        <v>1093</v>
      </c>
      <c r="G21" s="26">
        <v>40</v>
      </c>
      <c r="H21" s="26">
        <v>120</v>
      </c>
      <c r="I21" s="26">
        <f t="shared" si="0"/>
        <v>11.9</v>
      </c>
      <c r="J21" s="21"/>
      <c r="K21" s="21" t="s">
        <v>1112</v>
      </c>
      <c r="L21" s="21" t="s">
        <v>1095</v>
      </c>
      <c r="O21" s="26">
        <v>75</v>
      </c>
    </row>
    <row r="22" spans="1:15" ht="16.5" customHeight="1">
      <c r="A22" s="20">
        <v>8</v>
      </c>
      <c r="B22" s="21" t="s">
        <v>55</v>
      </c>
      <c r="C22" s="20" t="s">
        <v>56</v>
      </c>
      <c r="D22" s="26">
        <v>8</v>
      </c>
      <c r="E22" s="20">
        <v>4</v>
      </c>
      <c r="F22" s="26" t="s">
        <v>19</v>
      </c>
      <c r="G22" s="26">
        <v>40</v>
      </c>
      <c r="H22" s="26">
        <v>75</v>
      </c>
      <c r="I22" s="26">
        <f t="shared" si="0"/>
        <v>7.7</v>
      </c>
      <c r="J22" s="21"/>
      <c r="K22" s="21" t="s">
        <v>455</v>
      </c>
      <c r="L22" s="21" t="s">
        <v>456</v>
      </c>
      <c r="O22" s="26"/>
    </row>
    <row r="23" spans="1:15" ht="16.5" customHeight="1">
      <c r="D23" s="3" t="s">
        <v>63</v>
      </c>
      <c r="E23" s="27">
        <f>SUM(E15:E22)</f>
        <v>24</v>
      </c>
      <c r="I23">
        <f>ROUND(SUM(I15:I22),0)</f>
        <v>74</v>
      </c>
    </row>
    <row r="24" spans="1:15" ht="15" customHeight="1">
      <c r="A24" s="112" t="s">
        <v>1098</v>
      </c>
    </row>
    <row r="25" spans="1:15">
      <c r="A25" t="s">
        <v>1114</v>
      </c>
    </row>
    <row r="26" spans="1:15">
      <c r="A26" t="s">
        <v>1100</v>
      </c>
    </row>
    <row r="33" spans="2:2">
      <c r="B33" s="83"/>
    </row>
  </sheetData>
  <phoneticPr fontId="32" type="noConversion"/>
  <conditionalFormatting sqref="A15:O22">
    <cfRule type="expression" dxfId="7" priority="1">
      <formula>$E15=0</formula>
    </cfRule>
  </conditionalFormatting>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O48"/>
  <sheetViews>
    <sheetView workbookViewId="0">
      <pane ySplit="5" topLeftCell="A6" activePane="bottomLeft" state="frozen"/>
      <selection pane="bottomLeft" activeCell="G17" sqref="G17"/>
    </sheetView>
  </sheetViews>
  <sheetFormatPr defaultRowHeight="15"/>
  <cols>
    <col min="1" max="1" width="5.5703125" customWidth="1"/>
    <col min="2" max="2" width="30" customWidth="1"/>
    <col min="3" max="3" width="20" customWidth="1"/>
    <col min="4" max="4" width="12" customWidth="1"/>
    <col min="5" max="5" width="8" customWidth="1"/>
    <col min="6" max="6" width="12" customWidth="1"/>
    <col min="7" max="9" width="9.42578125" customWidth="1"/>
    <col min="10" max="10" width="11" customWidth="1"/>
    <col min="13" max="13" width="24" customWidth="1"/>
    <col min="14" max="14" width="11" customWidth="1"/>
    <col min="15" max="15" width="9.42578125" customWidth="1"/>
  </cols>
  <sheetData>
    <row r="1" spans="1:15" ht="19.5" customHeight="1">
      <c r="A1" s="17" t="s">
        <v>0</v>
      </c>
    </row>
    <row r="2" spans="1:15" ht="16.5" customHeight="1">
      <c r="A2" s="18" t="s">
        <v>1059</v>
      </c>
    </row>
    <row r="3" spans="1:15" ht="30" customHeight="1">
      <c r="A3" s="33" t="s">
        <v>1</v>
      </c>
    </row>
    <row r="4" spans="1:15" ht="15" customHeight="1">
      <c r="A4" s="3" t="s">
        <v>2</v>
      </c>
    </row>
    <row r="5" spans="1:15" ht="16.5" customHeight="1">
      <c r="A5" s="34" t="s">
        <v>3</v>
      </c>
      <c r="B5" s="35" t="s">
        <v>4</v>
      </c>
      <c r="C5" s="35" t="s">
        <v>5</v>
      </c>
      <c r="D5" s="35" t="s">
        <v>6</v>
      </c>
      <c r="E5" s="35" t="s">
        <v>7</v>
      </c>
      <c r="F5" s="35" t="s">
        <v>8</v>
      </c>
      <c r="G5" s="35" t="s">
        <v>9</v>
      </c>
      <c r="H5" s="35" t="s">
        <v>10</v>
      </c>
      <c r="I5" s="35" t="s">
        <v>11</v>
      </c>
      <c r="J5" s="35" t="s">
        <v>12</v>
      </c>
      <c r="K5" s="35" t="s">
        <v>13</v>
      </c>
      <c r="L5" s="35" t="s">
        <v>14</v>
      </c>
      <c r="M5" s="35" t="s">
        <v>15</v>
      </c>
      <c r="N5" s="35" t="s">
        <v>16</v>
      </c>
      <c r="O5" s="35" t="s">
        <v>1096</v>
      </c>
    </row>
    <row r="6" spans="1:15" ht="16.5" customHeight="1">
      <c r="A6" s="20">
        <v>1</v>
      </c>
      <c r="B6" s="81" t="s">
        <v>17</v>
      </c>
      <c r="C6" s="20" t="s">
        <v>18</v>
      </c>
      <c r="D6" s="20">
        <v>5</v>
      </c>
      <c r="E6" s="20">
        <v>3</v>
      </c>
      <c r="F6" s="26" t="s">
        <v>19</v>
      </c>
      <c r="G6" s="26">
        <v>80</v>
      </c>
      <c r="H6" s="26">
        <v>70</v>
      </c>
      <c r="I6" s="26">
        <f t="shared" ref="I6:I15" si="0">IF(E6=0,0,ROUND((E6*(G6+H6)+O6)/60,1))</f>
        <v>7.5</v>
      </c>
      <c r="J6" s="21"/>
      <c r="K6" s="21" t="s">
        <v>20</v>
      </c>
      <c r="L6" s="21" t="s">
        <v>21</v>
      </c>
      <c r="O6" s="26"/>
    </row>
    <row r="7" spans="1:15" ht="16.5" customHeight="1">
      <c r="A7" s="20">
        <v>2</v>
      </c>
      <c r="B7" s="81" t="s">
        <v>22</v>
      </c>
      <c r="C7" s="20" t="s">
        <v>23</v>
      </c>
      <c r="D7" s="20">
        <v>5</v>
      </c>
      <c r="E7" s="20">
        <v>3</v>
      </c>
      <c r="F7" s="26" t="s">
        <v>19</v>
      </c>
      <c r="G7" s="26">
        <v>40</v>
      </c>
      <c r="H7" s="26">
        <v>70</v>
      </c>
      <c r="I7" s="26">
        <f t="shared" si="0"/>
        <v>5.5</v>
      </c>
      <c r="J7" s="21"/>
      <c r="K7" s="21" t="s">
        <v>24</v>
      </c>
      <c r="L7" s="21" t="s">
        <v>25</v>
      </c>
      <c r="O7" s="26"/>
    </row>
    <row r="8" spans="1:15" ht="16.5" customHeight="1">
      <c r="A8" s="20">
        <v>3</v>
      </c>
      <c r="B8" s="81" t="s">
        <v>26</v>
      </c>
      <c r="C8" s="20" t="s">
        <v>27</v>
      </c>
      <c r="D8" s="20" t="s">
        <v>28</v>
      </c>
      <c r="E8" s="20">
        <v>3</v>
      </c>
      <c r="F8" s="26" t="s">
        <v>29</v>
      </c>
      <c r="G8" s="26">
        <v>40</v>
      </c>
      <c r="H8" s="26">
        <v>120</v>
      </c>
      <c r="I8" s="26">
        <f t="shared" si="0"/>
        <v>8</v>
      </c>
      <c r="J8" s="21" t="s">
        <v>30</v>
      </c>
      <c r="K8" s="21" t="s">
        <v>31</v>
      </c>
      <c r="L8" s="21" t="s">
        <v>32</v>
      </c>
      <c r="O8" s="26"/>
    </row>
    <row r="9" spans="1:15" ht="16.5" customHeight="1">
      <c r="A9" s="20">
        <v>4</v>
      </c>
      <c r="B9" s="81" t="s">
        <v>33</v>
      </c>
      <c r="C9" s="20" t="s">
        <v>34</v>
      </c>
      <c r="D9" s="20" t="s">
        <v>35</v>
      </c>
      <c r="E9" s="20">
        <v>3</v>
      </c>
      <c r="F9" s="26" t="s">
        <v>19</v>
      </c>
      <c r="G9" s="26">
        <v>40</v>
      </c>
      <c r="H9" s="26">
        <v>60</v>
      </c>
      <c r="I9" s="26">
        <f t="shared" si="0"/>
        <v>5</v>
      </c>
      <c r="J9" s="21" t="s">
        <v>23</v>
      </c>
      <c r="K9" s="21" t="s">
        <v>36</v>
      </c>
      <c r="L9" s="21" t="s">
        <v>37</v>
      </c>
      <c r="O9" s="26"/>
    </row>
    <row r="10" spans="1:15" ht="16.5" customHeight="1">
      <c r="A10" s="20">
        <v>5</v>
      </c>
      <c r="B10" s="81" t="s">
        <v>871</v>
      </c>
      <c r="C10" s="20" t="s">
        <v>299</v>
      </c>
      <c r="D10" s="20">
        <v>8</v>
      </c>
      <c r="E10" s="20">
        <v>3</v>
      </c>
      <c r="F10" s="26" t="s">
        <v>304</v>
      </c>
      <c r="G10" s="26">
        <v>40</v>
      </c>
      <c r="H10" s="26">
        <v>105</v>
      </c>
      <c r="I10" s="26">
        <f t="shared" si="0"/>
        <v>7.3</v>
      </c>
      <c r="J10" s="21"/>
      <c r="K10" s="21" t="s">
        <v>1038</v>
      </c>
      <c r="L10" s="21" t="s">
        <v>306</v>
      </c>
      <c r="O10" s="26"/>
    </row>
    <row r="11" spans="1:15" ht="16.5" customHeight="1">
      <c r="A11" s="20">
        <v>6</v>
      </c>
      <c r="B11" s="21" t="s">
        <v>38</v>
      </c>
      <c r="C11" s="20" t="s">
        <v>39</v>
      </c>
      <c r="D11" s="26">
        <v>15</v>
      </c>
      <c r="E11" s="20">
        <v>4</v>
      </c>
      <c r="F11" s="26" t="s">
        <v>40</v>
      </c>
      <c r="G11" s="26">
        <v>40</v>
      </c>
      <c r="H11" s="26">
        <v>75</v>
      </c>
      <c r="I11" s="26">
        <f t="shared" si="0"/>
        <v>7.7</v>
      </c>
      <c r="J11" s="21"/>
      <c r="K11" s="21" t="s">
        <v>41</v>
      </c>
      <c r="L11" s="21" t="s">
        <v>42</v>
      </c>
      <c r="O11" s="26"/>
    </row>
    <row r="12" spans="1:15" ht="16.5" customHeight="1">
      <c r="A12" s="20">
        <v>7</v>
      </c>
      <c r="B12" s="81" t="s">
        <v>43</v>
      </c>
      <c r="C12" s="20" t="s">
        <v>44</v>
      </c>
      <c r="D12" s="20">
        <v>6</v>
      </c>
      <c r="E12" s="20">
        <v>4</v>
      </c>
      <c r="F12" s="26" t="s">
        <v>40</v>
      </c>
      <c r="G12" s="26">
        <v>40</v>
      </c>
      <c r="H12" s="26">
        <v>70</v>
      </c>
      <c r="I12" s="26">
        <f t="shared" si="0"/>
        <v>7.3</v>
      </c>
      <c r="J12" s="21" t="s">
        <v>45</v>
      </c>
      <c r="K12" s="21" t="s">
        <v>46</v>
      </c>
      <c r="L12" s="21" t="s">
        <v>47</v>
      </c>
      <c r="O12" s="26"/>
    </row>
    <row r="13" spans="1:15" ht="16.5" customHeight="1">
      <c r="A13" s="20">
        <v>8</v>
      </c>
      <c r="B13" s="81" t="s">
        <v>366</v>
      </c>
      <c r="C13" s="20" t="s">
        <v>45</v>
      </c>
      <c r="D13" s="20">
        <v>10</v>
      </c>
      <c r="E13" s="20">
        <v>3</v>
      </c>
      <c r="F13" s="26" t="s">
        <v>49</v>
      </c>
      <c r="G13" s="26">
        <v>40</v>
      </c>
      <c r="H13" s="26">
        <v>60</v>
      </c>
      <c r="I13" s="26">
        <f t="shared" si="0"/>
        <v>5</v>
      </c>
      <c r="J13" s="21"/>
      <c r="K13" s="21" t="s">
        <v>1044</v>
      </c>
      <c r="L13" s="21" t="s">
        <v>367</v>
      </c>
      <c r="O13" s="26"/>
    </row>
    <row r="14" spans="1:15" ht="16.5" customHeight="1">
      <c r="A14" s="20">
        <v>9</v>
      </c>
      <c r="B14" s="81" t="s">
        <v>332</v>
      </c>
      <c r="C14" s="20" t="s">
        <v>333</v>
      </c>
      <c r="D14" s="20" t="s">
        <v>368</v>
      </c>
      <c r="E14" s="20">
        <v>5</v>
      </c>
      <c r="F14" s="26" t="s">
        <v>19</v>
      </c>
      <c r="G14" s="26">
        <v>40</v>
      </c>
      <c r="H14" s="26">
        <v>10</v>
      </c>
      <c r="I14" s="26">
        <f t="shared" si="0"/>
        <v>4.2</v>
      </c>
      <c r="J14" s="21"/>
      <c r="K14" s="21" t="s">
        <v>1042</v>
      </c>
      <c r="L14" s="21" t="s">
        <v>369</v>
      </c>
      <c r="N14" t="s">
        <v>336</v>
      </c>
      <c r="O14" s="26"/>
    </row>
    <row r="15" spans="1:15" ht="16.5" customHeight="1">
      <c r="A15" s="20">
        <v>10</v>
      </c>
      <c r="B15" s="81" t="s">
        <v>337</v>
      </c>
      <c r="C15" s="20" t="s">
        <v>60</v>
      </c>
      <c r="D15" s="20" t="s">
        <v>256</v>
      </c>
      <c r="E15" s="20">
        <v>5</v>
      </c>
      <c r="F15" s="26" t="s">
        <v>19</v>
      </c>
      <c r="G15" s="26">
        <v>40</v>
      </c>
      <c r="H15" s="26">
        <v>105</v>
      </c>
      <c r="I15" s="26">
        <f t="shared" si="0"/>
        <v>12.1</v>
      </c>
      <c r="J15" s="21"/>
      <c r="K15" s="21" t="s">
        <v>1043</v>
      </c>
      <c r="L15" s="21" t="s">
        <v>370</v>
      </c>
      <c r="N15" t="s">
        <v>336</v>
      </c>
      <c r="O15" s="26"/>
    </row>
    <row r="16" spans="1:15" ht="16.5" customHeight="1">
      <c r="D16" s="3" t="s">
        <v>63</v>
      </c>
      <c r="E16" s="27">
        <f>SUM(E6:E15)</f>
        <v>36</v>
      </c>
      <c r="I16">
        <f>ROUND(SUM(I6:I15),0)</f>
        <v>70</v>
      </c>
    </row>
    <row r="17" spans="1:6" ht="16.5" customHeight="1">
      <c r="F17" s="87" t="s">
        <v>1128</v>
      </c>
    </row>
    <row r="18" spans="1:6" ht="16.5" customHeight="1">
      <c r="A18" s="108" t="s">
        <v>64</v>
      </c>
    </row>
    <row r="19" spans="1:6" ht="16.5" customHeight="1">
      <c r="A19" t="s">
        <v>65</v>
      </c>
    </row>
    <row r="20" spans="1:6" ht="16.5" customHeight="1">
      <c r="A20" t="s">
        <v>66</v>
      </c>
    </row>
    <row r="21" spans="1:6" ht="16.5" customHeight="1">
      <c r="A21" t="s">
        <v>67</v>
      </c>
    </row>
    <row r="22" spans="1:6" ht="16.5" customHeight="1">
      <c r="A22" t="s">
        <v>68</v>
      </c>
    </row>
    <row r="23" spans="1:6" ht="16.5" customHeight="1"/>
    <row r="24" spans="1:6" ht="16.5" customHeight="1">
      <c r="A24" s="3" t="s">
        <v>69</v>
      </c>
    </row>
    <row r="25" spans="1:6" ht="16.5" customHeight="1">
      <c r="A25" s="31" t="s">
        <v>70</v>
      </c>
    </row>
    <row r="26" spans="1:6" ht="16.5" customHeight="1">
      <c r="A26" s="31" t="s">
        <v>71</v>
      </c>
    </row>
    <row r="27" spans="1:6" ht="16.5" customHeight="1">
      <c r="A27" s="31" t="s">
        <v>72</v>
      </c>
    </row>
    <row r="28" spans="1:6" ht="16.5" customHeight="1">
      <c r="A28" s="31" t="s">
        <v>73</v>
      </c>
    </row>
    <row r="29" spans="1:6" ht="16.5" customHeight="1">
      <c r="A29" s="3" t="s">
        <v>74</v>
      </c>
    </row>
    <row r="30" spans="1:6" ht="16.5" customHeight="1">
      <c r="A30" s="31" t="s">
        <v>75</v>
      </c>
    </row>
    <row r="31" spans="1:6" ht="16.5" customHeight="1">
      <c r="A31" s="31" t="s">
        <v>76</v>
      </c>
    </row>
    <row r="32" spans="1:6" ht="16.5" customHeight="1">
      <c r="A32" s="3" t="s">
        <v>77</v>
      </c>
    </row>
    <row r="33" spans="1:1" ht="16.5" customHeight="1">
      <c r="A33" s="31" t="s">
        <v>78</v>
      </c>
    </row>
    <row r="34" spans="1:1" ht="16.5" customHeight="1">
      <c r="A34" s="31" t="s">
        <v>79</v>
      </c>
    </row>
    <row r="35" spans="1:1" ht="16.5" customHeight="1">
      <c r="A35" s="31" t="s">
        <v>80</v>
      </c>
    </row>
    <row r="36" spans="1:1" ht="16.5" customHeight="1">
      <c r="A36" s="31" t="s">
        <v>81</v>
      </c>
    </row>
    <row r="37" spans="1:1" ht="16.5" customHeight="1">
      <c r="A37" s="3" t="s">
        <v>82</v>
      </c>
    </row>
    <row r="38" spans="1:1" ht="16.5" customHeight="1">
      <c r="A38" s="31" t="s">
        <v>83</v>
      </c>
    </row>
    <row r="39" spans="1:1" ht="16.5" customHeight="1">
      <c r="A39" s="31" t="s">
        <v>84</v>
      </c>
    </row>
    <row r="40" spans="1:1" ht="16.5" customHeight="1">
      <c r="A40" s="31" t="s">
        <v>85</v>
      </c>
    </row>
    <row r="41" spans="1:1">
      <c r="A41" s="31" t="s">
        <v>86</v>
      </c>
    </row>
    <row r="42" spans="1:1">
      <c r="A42" s="3" t="s">
        <v>87</v>
      </c>
    </row>
    <row r="43" spans="1:1">
      <c r="A43" s="31" t="s">
        <v>88</v>
      </c>
    </row>
    <row r="44" spans="1:1">
      <c r="A44" s="31" t="s">
        <v>89</v>
      </c>
    </row>
    <row r="45" spans="1:1">
      <c r="A45" s="31" t="s">
        <v>1039</v>
      </c>
    </row>
    <row r="46" spans="1:1">
      <c r="A46" t="s">
        <v>1040</v>
      </c>
    </row>
    <row r="47" spans="1:1">
      <c r="A47" t="s">
        <v>1051</v>
      </c>
    </row>
    <row r="48" spans="1:1">
      <c r="A48" t="s">
        <v>1063</v>
      </c>
    </row>
  </sheetData>
  <phoneticPr fontId="32" type="noConversion"/>
  <conditionalFormatting sqref="A6:O15">
    <cfRule type="expression" dxfId="6" priority="1">
      <formula>$E6=0</formula>
    </cfRule>
  </conditionalFormatting>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75"/>
  <sheetViews>
    <sheetView topLeftCell="A43" zoomScaleNormal="100" workbookViewId="0">
      <selection activeCell="A73" sqref="A73:H75"/>
    </sheetView>
  </sheetViews>
  <sheetFormatPr defaultColWidth="8.7109375" defaultRowHeight="15"/>
  <cols>
    <col min="1" max="1" width="14" customWidth="1"/>
    <col min="2" max="2" width="26" customWidth="1"/>
    <col min="3" max="3" width="18" customWidth="1"/>
    <col min="4" max="4" width="7" customWidth="1"/>
    <col min="5" max="6" width="9" customWidth="1"/>
    <col min="7" max="7" width="7" customWidth="1"/>
    <col min="8" max="8" width="42" customWidth="1"/>
  </cols>
  <sheetData>
    <row r="1" spans="1:8" ht="19.5" customHeight="1">
      <c r="A1" s="17" t="s">
        <v>457</v>
      </c>
    </row>
    <row r="2" spans="1:8" ht="30" customHeight="1">
      <c r="A2" s="116" t="s">
        <v>458</v>
      </c>
      <c r="B2" s="115"/>
      <c r="C2" s="115"/>
      <c r="D2" s="115"/>
      <c r="E2" s="115"/>
      <c r="F2" s="115"/>
      <c r="G2" s="115"/>
      <c r="H2" s="115"/>
    </row>
    <row r="3" spans="1:8">
      <c r="A3" t="s">
        <v>459</v>
      </c>
      <c r="F3">
        <f ca="1">COUNTIF($E$7:$E$80,"?")</f>
        <v>0</v>
      </c>
    </row>
    <row r="4" spans="1:8" ht="39.75" customHeight="1">
      <c r="A4" s="114" t="s">
        <v>460</v>
      </c>
      <c r="B4" s="115"/>
      <c r="C4" s="115"/>
      <c r="D4" s="115"/>
      <c r="E4" s="115"/>
      <c r="F4" s="115"/>
      <c r="G4" s="115"/>
      <c r="H4" s="115"/>
    </row>
    <row r="6" spans="1:8" ht="15" customHeight="1">
      <c r="A6" s="44" t="s">
        <v>461</v>
      </c>
      <c r="B6" s="44" t="s">
        <v>462</v>
      </c>
      <c r="C6" s="44" t="s">
        <v>463</v>
      </c>
      <c r="D6" s="44" t="s">
        <v>464</v>
      </c>
      <c r="E6" s="44" t="s">
        <v>465</v>
      </c>
      <c r="F6" s="44" t="s">
        <v>466</v>
      </c>
      <c r="G6" s="44" t="s">
        <v>467</v>
      </c>
      <c r="H6" s="44" t="s">
        <v>468</v>
      </c>
    </row>
    <row r="7" spans="1:8" ht="15" customHeight="1">
      <c r="A7" s="45" t="s">
        <v>469</v>
      </c>
      <c r="B7" s="45" t="s">
        <v>236</v>
      </c>
      <c r="C7" s="45" t="s">
        <v>44</v>
      </c>
      <c r="D7" s="46">
        <v>0.5</v>
      </c>
      <c r="E7" s="47">
        <f t="shared" ref="E7:E38" ca="1" si="0">IFERROR(INDEX(INDIRECT("'"&amp;$A7&amp;"'!$E$1:$E$45"),MATCH($B7,INDIRECT("'"&amp;$A7&amp;"'!$B$1:$B$45"),0)),"?")</f>
        <v>4</v>
      </c>
      <c r="F7" s="48">
        <f t="shared" ref="F7:F38" ca="1" si="1">IF(ISNUMBER(E7),$D7*E7,0)</f>
        <v>2</v>
      </c>
      <c r="G7" s="49" t="s">
        <v>470</v>
      </c>
      <c r="H7" s="50" t="s">
        <v>471</v>
      </c>
    </row>
    <row r="8" spans="1:8" ht="15" customHeight="1">
      <c r="A8" s="45" t="s">
        <v>469</v>
      </c>
      <c r="B8" s="45" t="s">
        <v>242</v>
      </c>
      <c r="C8" s="45" t="s">
        <v>44</v>
      </c>
      <c r="D8" s="46">
        <v>0.2</v>
      </c>
      <c r="E8" s="47">
        <f t="shared" ca="1" si="0"/>
        <v>3</v>
      </c>
      <c r="F8" s="48">
        <f t="shared" ca="1" si="1"/>
        <v>0.60000000000000009</v>
      </c>
      <c r="G8" s="49" t="s">
        <v>470</v>
      </c>
      <c r="H8" s="50" t="s">
        <v>472</v>
      </c>
    </row>
    <row r="9" spans="1:8" ht="15" customHeight="1">
      <c r="A9" s="45" t="s">
        <v>473</v>
      </c>
      <c r="B9" s="45" t="s">
        <v>381</v>
      </c>
      <c r="C9" s="45" t="s">
        <v>44</v>
      </c>
      <c r="D9" s="46">
        <v>0.2</v>
      </c>
      <c r="E9" s="47">
        <f t="shared" ca="1" si="0"/>
        <v>4</v>
      </c>
      <c r="F9" s="48">
        <f t="shared" ca="1" si="1"/>
        <v>0.8</v>
      </c>
      <c r="G9" s="49" t="s">
        <v>470</v>
      </c>
      <c r="H9" s="50" t="s">
        <v>474</v>
      </c>
    </row>
    <row r="10" spans="1:8" ht="15" customHeight="1">
      <c r="A10" s="45" t="s">
        <v>473</v>
      </c>
      <c r="B10" s="45" t="s">
        <v>385</v>
      </c>
      <c r="C10" s="45" t="s">
        <v>44</v>
      </c>
      <c r="D10" s="46">
        <v>0.33</v>
      </c>
      <c r="E10" s="47">
        <f t="shared" ca="1" si="0"/>
        <v>2</v>
      </c>
      <c r="F10" s="48">
        <f t="shared" ca="1" si="1"/>
        <v>0.66</v>
      </c>
      <c r="G10" s="49" t="s">
        <v>470</v>
      </c>
      <c r="H10" s="50" t="s">
        <v>475</v>
      </c>
    </row>
    <row r="11" spans="1:8" ht="15" customHeight="1">
      <c r="A11" s="45" t="s">
        <v>476</v>
      </c>
      <c r="B11" s="45" t="s">
        <v>287</v>
      </c>
      <c r="C11" s="45" t="s">
        <v>39</v>
      </c>
      <c r="D11" s="46">
        <v>0.33</v>
      </c>
      <c r="E11" s="47">
        <f t="shared" ca="1" si="0"/>
        <v>5</v>
      </c>
      <c r="F11" s="48">
        <f t="shared" ca="1" si="1"/>
        <v>1.6500000000000001</v>
      </c>
      <c r="G11" s="49" t="s">
        <v>470</v>
      </c>
      <c r="H11" s="50" t="s">
        <v>477</v>
      </c>
    </row>
    <row r="12" spans="1:8" ht="15" customHeight="1">
      <c r="A12" s="45" t="s">
        <v>476</v>
      </c>
      <c r="B12" s="45" t="s">
        <v>294</v>
      </c>
      <c r="C12" s="45" t="s">
        <v>39</v>
      </c>
      <c r="D12" s="46">
        <v>0.5</v>
      </c>
      <c r="E12" s="47">
        <f t="shared" ca="1" si="0"/>
        <v>4</v>
      </c>
      <c r="F12" s="48">
        <f t="shared" ca="1" si="1"/>
        <v>2</v>
      </c>
      <c r="G12" s="49" t="s">
        <v>470</v>
      </c>
      <c r="H12" s="50" t="s">
        <v>478</v>
      </c>
    </row>
    <row r="13" spans="1:8" ht="15" customHeight="1">
      <c r="A13" s="45" t="s">
        <v>479</v>
      </c>
      <c r="B13" s="45" t="s">
        <v>406</v>
      </c>
      <c r="C13" s="45" t="s">
        <v>39</v>
      </c>
      <c r="D13" s="46">
        <v>0.33</v>
      </c>
      <c r="E13" s="47">
        <f t="shared" ca="1" si="0"/>
        <v>3</v>
      </c>
      <c r="F13" s="48">
        <f t="shared" ca="1" si="1"/>
        <v>0.99</v>
      </c>
      <c r="G13" s="49" t="s">
        <v>470</v>
      </c>
      <c r="H13" s="50" t="s">
        <v>480</v>
      </c>
    </row>
    <row r="14" spans="1:8" ht="15" customHeight="1">
      <c r="A14" s="45" t="s">
        <v>479</v>
      </c>
      <c r="B14" s="45" t="s">
        <v>418</v>
      </c>
      <c r="C14" s="45" t="s">
        <v>39</v>
      </c>
      <c r="D14" s="46">
        <v>0.5</v>
      </c>
      <c r="E14" s="47">
        <f t="shared" ca="1" si="0"/>
        <v>3</v>
      </c>
      <c r="F14" s="48">
        <f t="shared" ca="1" si="1"/>
        <v>1.5</v>
      </c>
      <c r="G14" s="49" t="s">
        <v>470</v>
      </c>
      <c r="H14" s="50" t="s">
        <v>481</v>
      </c>
    </row>
    <row r="15" spans="1:8" ht="15" customHeight="1">
      <c r="A15" s="45" t="s">
        <v>1037</v>
      </c>
      <c r="B15" s="45" t="s">
        <v>298</v>
      </c>
      <c r="C15" s="45" t="s">
        <v>39</v>
      </c>
      <c r="D15" s="46">
        <v>0.5</v>
      </c>
      <c r="E15" s="47">
        <f t="shared" ca="1" si="0"/>
        <v>3</v>
      </c>
      <c r="F15" s="48">
        <f t="shared" ca="1" si="1"/>
        <v>1.5</v>
      </c>
      <c r="G15" s="49" t="s">
        <v>482</v>
      </c>
      <c r="H15" s="50" t="s">
        <v>483</v>
      </c>
    </row>
    <row r="16" spans="1:8" ht="15" customHeight="1">
      <c r="A16" s="45" t="s">
        <v>484</v>
      </c>
      <c r="B16" s="45" t="s">
        <v>43</v>
      </c>
      <c r="C16" s="45" t="s">
        <v>45</v>
      </c>
      <c r="D16" s="46">
        <v>0.33</v>
      </c>
      <c r="E16" s="47">
        <f t="shared" ca="1" si="0"/>
        <v>4</v>
      </c>
      <c r="F16" s="48">
        <f t="shared" ca="1" si="1"/>
        <v>1.32</v>
      </c>
      <c r="G16" s="49" t="s">
        <v>470</v>
      </c>
      <c r="H16" s="50" t="s">
        <v>485</v>
      </c>
    </row>
    <row r="17" spans="1:8" ht="15" customHeight="1">
      <c r="A17" s="45" t="s">
        <v>473</v>
      </c>
      <c r="B17" s="45" t="s">
        <v>392</v>
      </c>
      <c r="C17" s="45" t="s">
        <v>45</v>
      </c>
      <c r="D17" s="46">
        <v>0.33</v>
      </c>
      <c r="E17" s="47">
        <f t="shared" ca="1" si="0"/>
        <v>4</v>
      </c>
      <c r="F17" s="48">
        <f t="shared" ca="1" si="1"/>
        <v>1.32</v>
      </c>
      <c r="G17" s="49" t="s">
        <v>470</v>
      </c>
      <c r="H17" s="50" t="s">
        <v>486</v>
      </c>
    </row>
    <row r="18" spans="1:8" ht="15" customHeight="1">
      <c r="A18" s="45" t="s">
        <v>473</v>
      </c>
      <c r="B18" s="45" t="s">
        <v>394</v>
      </c>
      <c r="C18" s="45" t="s">
        <v>45</v>
      </c>
      <c r="D18" s="46">
        <v>0</v>
      </c>
      <c r="E18" s="47">
        <f t="shared" ca="1" si="0"/>
        <v>4</v>
      </c>
      <c r="F18" s="48">
        <f t="shared" ca="1" si="1"/>
        <v>0</v>
      </c>
      <c r="G18" s="49" t="s">
        <v>470</v>
      </c>
      <c r="H18" s="50" t="s">
        <v>487</v>
      </c>
    </row>
    <row r="19" spans="1:8" ht="15" customHeight="1">
      <c r="A19" s="45" t="s">
        <v>476</v>
      </c>
      <c r="B19" s="45" t="s">
        <v>287</v>
      </c>
      <c r="C19" s="45" t="s">
        <v>27</v>
      </c>
      <c r="D19" s="46">
        <v>0.33</v>
      </c>
      <c r="E19" s="47">
        <f t="shared" ca="1" si="0"/>
        <v>5</v>
      </c>
      <c r="F19" s="48">
        <f t="shared" ca="1" si="1"/>
        <v>1.6500000000000001</v>
      </c>
      <c r="G19" s="49" t="s">
        <v>470</v>
      </c>
      <c r="H19" s="50" t="s">
        <v>488</v>
      </c>
    </row>
    <row r="20" spans="1:8" ht="15" customHeight="1">
      <c r="A20" s="45" t="s">
        <v>1037</v>
      </c>
      <c r="B20" s="45" t="s">
        <v>298</v>
      </c>
      <c r="C20" s="45" t="s">
        <v>27</v>
      </c>
      <c r="D20" s="46">
        <v>0.5</v>
      </c>
      <c r="E20" s="47">
        <f t="shared" ca="1" si="0"/>
        <v>3</v>
      </c>
      <c r="F20" s="48">
        <f t="shared" ca="1" si="1"/>
        <v>1.5</v>
      </c>
      <c r="G20" s="49" t="s">
        <v>482</v>
      </c>
      <c r="H20" s="50" t="s">
        <v>489</v>
      </c>
    </row>
    <row r="21" spans="1:8" ht="15" customHeight="1">
      <c r="A21" s="45" t="s">
        <v>479</v>
      </c>
      <c r="B21" s="45" t="s">
        <v>418</v>
      </c>
      <c r="C21" s="45" t="s">
        <v>27</v>
      </c>
      <c r="D21" s="46">
        <v>0.5</v>
      </c>
      <c r="E21" s="47">
        <f t="shared" ca="1" si="0"/>
        <v>3</v>
      </c>
      <c r="F21" s="48">
        <f t="shared" ca="1" si="1"/>
        <v>1.5</v>
      </c>
      <c r="G21" s="49" t="s">
        <v>470</v>
      </c>
      <c r="H21" s="50" t="s">
        <v>490</v>
      </c>
    </row>
    <row r="22" spans="1:8" ht="15" customHeight="1">
      <c r="A22" s="45" t="s">
        <v>479</v>
      </c>
      <c r="B22" s="45" t="s">
        <v>406</v>
      </c>
      <c r="C22" s="45" t="s">
        <v>18</v>
      </c>
      <c r="D22" s="46">
        <v>0.33</v>
      </c>
      <c r="E22" s="47">
        <f t="shared" ca="1" si="0"/>
        <v>3</v>
      </c>
      <c r="F22" s="48">
        <f t="shared" ca="1" si="1"/>
        <v>0.99</v>
      </c>
      <c r="G22" s="49" t="s">
        <v>470</v>
      </c>
      <c r="H22" s="50" t="s">
        <v>491</v>
      </c>
    </row>
    <row r="23" spans="1:8" ht="15" customHeight="1">
      <c r="A23" s="45" t="s">
        <v>479</v>
      </c>
      <c r="B23" s="45" t="s">
        <v>26</v>
      </c>
      <c r="C23" s="45" t="s">
        <v>18</v>
      </c>
      <c r="D23" s="46">
        <v>0.33</v>
      </c>
      <c r="E23" s="47">
        <f t="shared" ca="1" si="0"/>
        <v>3</v>
      </c>
      <c r="F23" s="48">
        <f t="shared" ca="1" si="1"/>
        <v>0.99</v>
      </c>
      <c r="G23" s="52" t="s">
        <v>482</v>
      </c>
      <c r="H23" s="50" t="s">
        <v>492</v>
      </c>
    </row>
    <row r="24" spans="1:8" ht="15" customHeight="1">
      <c r="A24" s="45" t="s">
        <v>484</v>
      </c>
      <c r="B24" s="45" t="s">
        <v>26</v>
      </c>
      <c r="C24" s="45" t="s">
        <v>18</v>
      </c>
      <c r="D24" s="46">
        <v>0.33</v>
      </c>
      <c r="E24" s="47">
        <f t="shared" ca="1" si="0"/>
        <v>3</v>
      </c>
      <c r="F24" s="48">
        <f t="shared" ca="1" si="1"/>
        <v>0.99</v>
      </c>
      <c r="G24" s="52" t="s">
        <v>482</v>
      </c>
      <c r="H24" s="50" t="s">
        <v>493</v>
      </c>
    </row>
    <row r="25" spans="1:8" ht="15" customHeight="1">
      <c r="A25" s="45" t="s">
        <v>469</v>
      </c>
      <c r="B25" s="45" t="s">
        <v>251</v>
      </c>
      <c r="C25" s="45" t="s">
        <v>23</v>
      </c>
      <c r="D25" s="46">
        <v>0.5</v>
      </c>
      <c r="E25" s="47">
        <f t="shared" ca="1" si="0"/>
        <v>3</v>
      </c>
      <c r="F25" s="48">
        <f t="shared" ca="1" si="1"/>
        <v>1.5</v>
      </c>
      <c r="G25" s="49" t="s">
        <v>470</v>
      </c>
      <c r="H25" s="50" t="s">
        <v>494</v>
      </c>
    </row>
    <row r="26" spans="1:8" ht="15" customHeight="1">
      <c r="A26" s="45" t="s">
        <v>484</v>
      </c>
      <c r="B26" s="45" t="s">
        <v>33</v>
      </c>
      <c r="C26" s="45" t="s">
        <v>23</v>
      </c>
      <c r="D26" s="46">
        <v>0.5</v>
      </c>
      <c r="E26" s="47">
        <f t="shared" ca="1" si="0"/>
        <v>3</v>
      </c>
      <c r="F26" s="48">
        <f t="shared" ca="1" si="1"/>
        <v>1.5</v>
      </c>
      <c r="G26" s="52" t="s">
        <v>482</v>
      </c>
      <c r="H26" s="50" t="s">
        <v>495</v>
      </c>
    </row>
    <row r="27" spans="1:8" ht="15" customHeight="1">
      <c r="A27" s="45" t="s">
        <v>479</v>
      </c>
      <c r="B27" s="45" t="s">
        <v>33</v>
      </c>
      <c r="C27" s="45" t="s">
        <v>23</v>
      </c>
      <c r="D27" s="46">
        <v>0.5</v>
      </c>
      <c r="E27" s="47">
        <f t="shared" ca="1" si="0"/>
        <v>3</v>
      </c>
      <c r="F27" s="48">
        <f t="shared" ca="1" si="1"/>
        <v>1.5</v>
      </c>
      <c r="G27" s="49" t="s">
        <v>470</v>
      </c>
      <c r="H27" s="51" t="s">
        <v>496</v>
      </c>
    </row>
    <row r="28" spans="1:8" ht="15" customHeight="1">
      <c r="A28" s="45" t="s">
        <v>473</v>
      </c>
      <c r="B28" s="45" t="s">
        <v>381</v>
      </c>
      <c r="C28" s="45" t="s">
        <v>237</v>
      </c>
      <c r="D28" s="46">
        <v>0.5</v>
      </c>
      <c r="E28" s="47">
        <f t="shared" ca="1" si="0"/>
        <v>4</v>
      </c>
      <c r="F28" s="48">
        <f t="shared" ca="1" si="1"/>
        <v>2</v>
      </c>
      <c r="G28" s="49" t="s">
        <v>470</v>
      </c>
      <c r="H28" s="50" t="s">
        <v>497</v>
      </c>
    </row>
    <row r="29" spans="1:8" ht="15" customHeight="1">
      <c r="A29" s="45" t="s">
        <v>473</v>
      </c>
      <c r="B29" s="45" t="s">
        <v>385</v>
      </c>
      <c r="C29" s="45" t="s">
        <v>245</v>
      </c>
      <c r="D29" s="46">
        <v>0.5</v>
      </c>
      <c r="E29" s="47">
        <f t="shared" ca="1" si="0"/>
        <v>2</v>
      </c>
      <c r="F29" s="48">
        <f t="shared" ca="1" si="1"/>
        <v>1</v>
      </c>
      <c r="G29" s="49" t="s">
        <v>470</v>
      </c>
      <c r="H29" s="50" t="s">
        <v>498</v>
      </c>
    </row>
    <row r="30" spans="1:8" ht="15" customHeight="1">
      <c r="A30" s="45" t="s">
        <v>473</v>
      </c>
      <c r="B30" s="45" t="s">
        <v>350</v>
      </c>
      <c r="C30" s="45" t="s">
        <v>245</v>
      </c>
      <c r="D30" s="46">
        <v>0.5</v>
      </c>
      <c r="E30" s="47">
        <f t="shared" ca="1" si="0"/>
        <v>0</v>
      </c>
      <c r="F30" s="48">
        <f t="shared" ca="1" si="1"/>
        <v>0</v>
      </c>
      <c r="G30" s="49" t="s">
        <v>470</v>
      </c>
      <c r="H30" s="50" t="s">
        <v>498</v>
      </c>
    </row>
    <row r="31" spans="1:8" ht="15" customHeight="1">
      <c r="A31" s="45" t="s">
        <v>499</v>
      </c>
      <c r="B31" s="45" t="s">
        <v>445</v>
      </c>
      <c r="C31" s="45" t="s">
        <v>330</v>
      </c>
      <c r="D31" s="46">
        <v>0.2</v>
      </c>
      <c r="E31" s="47">
        <f t="shared" ca="1" si="0"/>
        <v>4</v>
      </c>
      <c r="F31" s="48">
        <f t="shared" ca="1" si="1"/>
        <v>0.8</v>
      </c>
      <c r="G31" s="49" t="s">
        <v>470</v>
      </c>
      <c r="H31" s="50" t="s">
        <v>500</v>
      </c>
    </row>
    <row r="32" spans="1:8" ht="15" customHeight="1">
      <c r="A32" s="45" t="s">
        <v>499</v>
      </c>
      <c r="B32" s="45" t="s">
        <v>440</v>
      </c>
      <c r="C32" s="45" t="s">
        <v>330</v>
      </c>
      <c r="D32" s="46">
        <v>0.33</v>
      </c>
      <c r="E32" s="47">
        <f t="shared" ca="1" si="0"/>
        <v>1</v>
      </c>
      <c r="F32" s="48">
        <f t="shared" ca="1" si="1"/>
        <v>0.33</v>
      </c>
      <c r="G32" s="49" t="s">
        <v>470</v>
      </c>
      <c r="H32" s="50" t="s">
        <v>501</v>
      </c>
    </row>
    <row r="33" spans="1:8" ht="15" customHeight="1">
      <c r="A33" s="45" t="s">
        <v>469</v>
      </c>
      <c r="B33" s="45" t="s">
        <v>270</v>
      </c>
      <c r="C33" s="45" t="s">
        <v>330</v>
      </c>
      <c r="D33" s="46">
        <v>0.5</v>
      </c>
      <c r="E33" s="47">
        <f t="shared" ca="1" si="0"/>
        <v>3</v>
      </c>
      <c r="F33" s="48">
        <f t="shared" ca="1" si="1"/>
        <v>1.5</v>
      </c>
      <c r="G33" s="49" t="s">
        <v>470</v>
      </c>
      <c r="H33" s="50" t="s">
        <v>502</v>
      </c>
    </row>
    <row r="34" spans="1:8" ht="15" customHeight="1">
      <c r="A34" s="45" t="s">
        <v>503</v>
      </c>
      <c r="B34" s="45" t="s">
        <v>314</v>
      </c>
      <c r="C34" s="45" t="s">
        <v>321</v>
      </c>
      <c r="D34" s="46">
        <v>0.5</v>
      </c>
      <c r="E34" s="47">
        <f t="shared" ca="1" si="0"/>
        <v>5</v>
      </c>
      <c r="F34" s="48">
        <f t="shared" ca="1" si="1"/>
        <v>2.5</v>
      </c>
      <c r="G34" s="49" t="s">
        <v>470</v>
      </c>
      <c r="H34" s="50" t="s">
        <v>504</v>
      </c>
    </row>
    <row r="35" spans="1:8" ht="15" customHeight="1">
      <c r="A35" s="45" t="s">
        <v>503</v>
      </c>
      <c r="B35" s="45" t="s">
        <v>320</v>
      </c>
      <c r="C35" s="45" t="s">
        <v>321</v>
      </c>
      <c r="D35" s="46">
        <v>0.33</v>
      </c>
      <c r="E35" s="47">
        <f t="shared" ca="1" si="0"/>
        <v>3</v>
      </c>
      <c r="F35" s="48">
        <f t="shared" ca="1" si="1"/>
        <v>0.99</v>
      </c>
      <c r="G35" s="49" t="s">
        <v>470</v>
      </c>
      <c r="H35" s="50" t="s">
        <v>505</v>
      </c>
    </row>
    <row r="36" spans="1:8" ht="15" customHeight="1">
      <c r="A36" s="45" t="s">
        <v>499</v>
      </c>
      <c r="B36" s="45" t="s">
        <v>440</v>
      </c>
      <c r="C36" s="45" t="s">
        <v>321</v>
      </c>
      <c r="D36" s="46">
        <v>0.5</v>
      </c>
      <c r="E36" s="47">
        <f t="shared" ca="1" si="0"/>
        <v>1</v>
      </c>
      <c r="F36" s="48">
        <f t="shared" ca="1" si="1"/>
        <v>0.5</v>
      </c>
      <c r="G36" s="49" t="s">
        <v>470</v>
      </c>
      <c r="H36" s="50" t="s">
        <v>506</v>
      </c>
    </row>
    <row r="37" spans="1:8" ht="15" customHeight="1">
      <c r="A37" s="45" t="s">
        <v>499</v>
      </c>
      <c r="B37" s="45" t="s">
        <v>448</v>
      </c>
      <c r="C37" s="45" t="s">
        <v>321</v>
      </c>
      <c r="D37" s="46">
        <v>0.5</v>
      </c>
      <c r="E37" s="47">
        <f t="shared" ca="1" si="0"/>
        <v>3</v>
      </c>
      <c r="F37" s="48">
        <f t="shared" ca="1" si="1"/>
        <v>1.5</v>
      </c>
      <c r="G37" s="49" t="s">
        <v>470</v>
      </c>
      <c r="H37" s="50" t="s">
        <v>507</v>
      </c>
    </row>
    <row r="38" spans="1:8" ht="15" customHeight="1">
      <c r="A38" s="45" t="s">
        <v>469</v>
      </c>
      <c r="B38" s="45" t="s">
        <v>270</v>
      </c>
      <c r="C38" s="45" t="s">
        <v>321</v>
      </c>
      <c r="D38" s="46">
        <v>0.5</v>
      </c>
      <c r="E38" s="47">
        <f t="shared" ca="1" si="0"/>
        <v>3</v>
      </c>
      <c r="F38" s="48">
        <f t="shared" ca="1" si="1"/>
        <v>1.5</v>
      </c>
      <c r="G38" s="49" t="s">
        <v>470</v>
      </c>
      <c r="H38" s="50" t="s">
        <v>508</v>
      </c>
    </row>
    <row r="39" spans="1:8" ht="15" customHeight="1">
      <c r="A39" s="45" t="s">
        <v>503</v>
      </c>
      <c r="B39" s="45" t="s">
        <v>314</v>
      </c>
      <c r="C39" s="45" t="s">
        <v>271</v>
      </c>
      <c r="D39" s="46">
        <v>0</v>
      </c>
      <c r="E39" s="47">
        <f t="shared" ref="E39:E72" ca="1" si="2">IFERROR(INDEX(INDIRECT("'"&amp;$A39&amp;"'!$E$1:$E$45"),MATCH($B39,INDIRECT("'"&amp;$A39&amp;"'!$B$1:$B$45"),0)),"?")</f>
        <v>5</v>
      </c>
      <c r="F39" s="48">
        <f t="shared" ref="F39:F70" ca="1" si="3">IF(ISNUMBER(E39),$D39*E39,0)</f>
        <v>0</v>
      </c>
      <c r="G39" s="49" t="s">
        <v>470</v>
      </c>
      <c r="H39" s="50" t="s">
        <v>509</v>
      </c>
    </row>
    <row r="40" spans="1:8" ht="15" customHeight="1">
      <c r="A40" s="45" t="s">
        <v>473</v>
      </c>
      <c r="B40" s="45" t="s">
        <v>394</v>
      </c>
      <c r="C40" s="45" t="s">
        <v>271</v>
      </c>
      <c r="D40" s="46">
        <v>0</v>
      </c>
      <c r="E40" s="47">
        <f t="shared" ca="1" si="2"/>
        <v>4</v>
      </c>
      <c r="F40" s="48">
        <f t="shared" ca="1" si="3"/>
        <v>0</v>
      </c>
      <c r="G40" s="49" t="s">
        <v>470</v>
      </c>
      <c r="H40" s="50" t="s">
        <v>510</v>
      </c>
    </row>
    <row r="41" spans="1:8" ht="15" customHeight="1">
      <c r="A41" s="45" t="s">
        <v>499</v>
      </c>
      <c r="B41" s="45" t="s">
        <v>448</v>
      </c>
      <c r="C41" s="45" t="s">
        <v>271</v>
      </c>
      <c r="D41" s="46">
        <v>0.5</v>
      </c>
      <c r="E41" s="47">
        <f t="shared" ca="1" si="2"/>
        <v>3</v>
      </c>
      <c r="F41" s="48">
        <f t="shared" ca="1" si="3"/>
        <v>1.5</v>
      </c>
      <c r="G41" s="49" t="s">
        <v>470</v>
      </c>
      <c r="H41" s="51" t="s">
        <v>511</v>
      </c>
    </row>
    <row r="42" spans="1:8" ht="15" customHeight="1">
      <c r="A42" s="45" t="s">
        <v>503</v>
      </c>
      <c r="B42" s="45" t="s">
        <v>324</v>
      </c>
      <c r="C42" s="45" t="s">
        <v>315</v>
      </c>
      <c r="D42" s="46">
        <v>0.5</v>
      </c>
      <c r="E42" s="47">
        <f t="shared" ca="1" si="2"/>
        <v>3</v>
      </c>
      <c r="F42" s="48">
        <f t="shared" ca="1" si="3"/>
        <v>1.5</v>
      </c>
      <c r="G42" s="49" t="s">
        <v>470</v>
      </c>
      <c r="H42" s="50" t="s">
        <v>512</v>
      </c>
    </row>
    <row r="43" spans="1:8" ht="15" customHeight="1">
      <c r="A43" s="45" t="s">
        <v>503</v>
      </c>
      <c r="B43" s="45" t="s">
        <v>324</v>
      </c>
      <c r="C43" s="45" t="s">
        <v>60</v>
      </c>
      <c r="D43" s="46">
        <v>0.33</v>
      </c>
      <c r="E43" s="47">
        <f t="shared" ca="1" si="2"/>
        <v>3</v>
      </c>
      <c r="F43" s="48">
        <f t="shared" ca="1" si="3"/>
        <v>0.99</v>
      </c>
      <c r="G43" s="49" t="s">
        <v>470</v>
      </c>
      <c r="H43" s="50" t="s">
        <v>513</v>
      </c>
    </row>
    <row r="44" spans="1:8" ht="15" customHeight="1">
      <c r="A44" s="45" t="s">
        <v>499</v>
      </c>
      <c r="B44" s="45" t="s">
        <v>440</v>
      </c>
      <c r="C44" s="45" t="s">
        <v>237</v>
      </c>
      <c r="D44" s="46">
        <v>0</v>
      </c>
      <c r="E44" s="47">
        <f t="shared" ca="1" si="2"/>
        <v>1</v>
      </c>
      <c r="F44" s="48">
        <f t="shared" ca="1" si="3"/>
        <v>0</v>
      </c>
      <c r="G44" s="52" t="s">
        <v>482</v>
      </c>
      <c r="H44" s="50" t="s">
        <v>514</v>
      </c>
    </row>
    <row r="45" spans="1:8" ht="15" customHeight="1">
      <c r="A45" s="45" t="s">
        <v>503</v>
      </c>
      <c r="B45" s="45" t="s">
        <v>314</v>
      </c>
      <c r="C45" s="45" t="s">
        <v>333</v>
      </c>
      <c r="D45" s="46">
        <v>0.33</v>
      </c>
      <c r="E45" s="47">
        <f t="shared" ca="1" si="2"/>
        <v>5</v>
      </c>
      <c r="F45" s="48">
        <f t="shared" ca="1" si="3"/>
        <v>1.6500000000000001</v>
      </c>
      <c r="G45" s="52" t="s">
        <v>482</v>
      </c>
      <c r="H45" s="50" t="s">
        <v>515</v>
      </c>
    </row>
    <row r="46" spans="1:8" ht="15" customHeight="1">
      <c r="A46" s="45" t="s">
        <v>503</v>
      </c>
      <c r="B46" s="45" t="s">
        <v>320</v>
      </c>
      <c r="C46" s="45" t="s">
        <v>333</v>
      </c>
      <c r="D46" s="46">
        <v>0.33</v>
      </c>
      <c r="E46" s="47">
        <f t="shared" ca="1" si="2"/>
        <v>3</v>
      </c>
      <c r="F46" s="48">
        <f t="shared" ca="1" si="3"/>
        <v>0.99</v>
      </c>
      <c r="G46" s="52" t="s">
        <v>482</v>
      </c>
      <c r="H46" s="50" t="s">
        <v>516</v>
      </c>
    </row>
    <row r="47" spans="1:8" ht="15" customHeight="1">
      <c r="A47" s="45" t="s">
        <v>503</v>
      </c>
      <c r="B47" s="45" t="s">
        <v>324</v>
      </c>
      <c r="C47" s="45" t="s">
        <v>333</v>
      </c>
      <c r="D47" s="46">
        <v>0.33</v>
      </c>
      <c r="E47" s="47">
        <f t="shared" ca="1" si="2"/>
        <v>3</v>
      </c>
      <c r="F47" s="48">
        <f t="shared" ca="1" si="3"/>
        <v>0.99</v>
      </c>
      <c r="G47" s="52" t="s">
        <v>482</v>
      </c>
      <c r="H47" s="50" t="s">
        <v>517</v>
      </c>
    </row>
    <row r="48" spans="1:8" ht="15" customHeight="1">
      <c r="A48" s="45" t="s">
        <v>476</v>
      </c>
      <c r="B48" s="45" t="s">
        <v>287</v>
      </c>
      <c r="C48" s="45" t="s">
        <v>299</v>
      </c>
      <c r="D48" s="46">
        <v>0</v>
      </c>
      <c r="E48" s="47">
        <f t="shared" ca="1" si="2"/>
        <v>5</v>
      </c>
      <c r="F48" s="48">
        <f t="shared" ca="1" si="3"/>
        <v>0</v>
      </c>
      <c r="G48" s="52" t="s">
        <v>482</v>
      </c>
      <c r="H48" s="50" t="s">
        <v>518</v>
      </c>
    </row>
    <row r="49" spans="1:8" ht="15" customHeight="1">
      <c r="A49" s="45" t="s">
        <v>479</v>
      </c>
      <c r="B49" s="45" t="s">
        <v>418</v>
      </c>
      <c r="C49" s="45" t="s">
        <v>288</v>
      </c>
      <c r="D49" s="46">
        <v>0</v>
      </c>
      <c r="E49" s="47">
        <f t="shared" ca="1" si="2"/>
        <v>3</v>
      </c>
      <c r="F49" s="48">
        <f t="shared" ca="1" si="3"/>
        <v>0</v>
      </c>
      <c r="G49" s="52" t="s">
        <v>482</v>
      </c>
      <c r="H49" s="50" t="s">
        <v>519</v>
      </c>
    </row>
    <row r="50" spans="1:8" ht="15" customHeight="1">
      <c r="A50" s="45" t="s">
        <v>473</v>
      </c>
      <c r="B50" s="45" t="s">
        <v>381</v>
      </c>
      <c r="C50" s="45" t="s">
        <v>347</v>
      </c>
      <c r="D50" s="46">
        <v>0</v>
      </c>
      <c r="E50" s="47">
        <f t="shared" ca="1" si="2"/>
        <v>4</v>
      </c>
      <c r="F50" s="48">
        <f t="shared" ca="1" si="3"/>
        <v>0</v>
      </c>
      <c r="G50" s="52" t="s">
        <v>482</v>
      </c>
      <c r="H50" s="50" t="s">
        <v>520</v>
      </c>
    </row>
    <row r="51" spans="1:8" ht="15" customHeight="1">
      <c r="A51" s="45" t="s">
        <v>479</v>
      </c>
      <c r="B51" s="45" t="s">
        <v>406</v>
      </c>
      <c r="C51" s="45" t="s">
        <v>347</v>
      </c>
      <c r="D51" s="46">
        <v>0.2</v>
      </c>
      <c r="E51" s="47">
        <f t="shared" ca="1" si="2"/>
        <v>3</v>
      </c>
      <c r="F51" s="48">
        <f t="shared" ca="1" si="3"/>
        <v>0.60000000000000009</v>
      </c>
      <c r="G51" s="52" t="s">
        <v>482</v>
      </c>
      <c r="H51" s="50" t="s">
        <v>521</v>
      </c>
    </row>
    <row r="52" spans="1:8" ht="15" customHeight="1">
      <c r="A52" s="45" t="s">
        <v>499</v>
      </c>
      <c r="B52" s="45" t="s">
        <v>440</v>
      </c>
      <c r="C52" s="45" t="s">
        <v>347</v>
      </c>
      <c r="D52" s="46">
        <v>0</v>
      </c>
      <c r="E52" s="47">
        <f t="shared" ca="1" si="2"/>
        <v>1</v>
      </c>
      <c r="F52" s="48">
        <f t="shared" ca="1" si="3"/>
        <v>0</v>
      </c>
      <c r="G52" s="52" t="s">
        <v>482</v>
      </c>
      <c r="H52" s="50" t="s">
        <v>522</v>
      </c>
    </row>
    <row r="53" spans="1:8" ht="15" customHeight="1">
      <c r="A53" s="45" t="s">
        <v>469</v>
      </c>
      <c r="B53" s="45" t="s">
        <v>236</v>
      </c>
      <c r="C53" s="45" t="s">
        <v>34</v>
      </c>
      <c r="D53" s="46">
        <v>0.2</v>
      </c>
      <c r="E53" s="47">
        <f t="shared" ca="1" si="2"/>
        <v>4</v>
      </c>
      <c r="F53" s="48">
        <f t="shared" ca="1" si="3"/>
        <v>0.8</v>
      </c>
      <c r="G53" s="52" t="s">
        <v>482</v>
      </c>
      <c r="H53" s="50" t="s">
        <v>523</v>
      </c>
    </row>
    <row r="54" spans="1:8" ht="15" customHeight="1">
      <c r="A54" s="45" t="s">
        <v>473</v>
      </c>
      <c r="B54" s="45" t="s">
        <v>381</v>
      </c>
      <c r="C54" s="45" t="s">
        <v>34</v>
      </c>
      <c r="D54" s="46">
        <v>0.2</v>
      </c>
      <c r="E54" s="47">
        <f t="shared" ca="1" si="2"/>
        <v>4</v>
      </c>
      <c r="F54" s="48">
        <f t="shared" ca="1" si="3"/>
        <v>0.8</v>
      </c>
      <c r="G54" s="52" t="s">
        <v>482</v>
      </c>
      <c r="H54" s="50" t="s">
        <v>524</v>
      </c>
    </row>
    <row r="55" spans="1:8" ht="15" customHeight="1">
      <c r="A55" s="45" t="s">
        <v>476</v>
      </c>
      <c r="B55" s="45" t="s">
        <v>309</v>
      </c>
      <c r="C55" s="45" t="s">
        <v>245</v>
      </c>
      <c r="D55" s="46">
        <v>0.33</v>
      </c>
      <c r="E55" s="47">
        <f t="shared" ca="1" si="2"/>
        <v>5</v>
      </c>
      <c r="F55" s="48">
        <f t="shared" ca="1" si="3"/>
        <v>1.6500000000000001</v>
      </c>
      <c r="G55" s="52" t="s">
        <v>482</v>
      </c>
      <c r="H55" s="50" t="s">
        <v>525</v>
      </c>
    </row>
    <row r="56" spans="1:8" ht="15" customHeight="1">
      <c r="A56" s="45" t="s">
        <v>499</v>
      </c>
      <c r="B56" s="45" t="s">
        <v>320</v>
      </c>
      <c r="C56" s="45" t="s">
        <v>321</v>
      </c>
      <c r="D56" s="46">
        <v>0.33</v>
      </c>
      <c r="E56" s="47">
        <f t="shared" ca="1" si="2"/>
        <v>3</v>
      </c>
      <c r="F56" s="48">
        <f t="shared" ca="1" si="3"/>
        <v>0.99</v>
      </c>
      <c r="G56" s="52" t="s">
        <v>470</v>
      </c>
      <c r="H56" s="50" t="s">
        <v>526</v>
      </c>
    </row>
    <row r="57" spans="1:8" ht="15" customHeight="1">
      <c r="A57" s="45" t="s">
        <v>499</v>
      </c>
      <c r="B57" s="45" t="s">
        <v>320</v>
      </c>
      <c r="C57" s="45" t="s">
        <v>333</v>
      </c>
      <c r="D57" s="46">
        <v>0.33</v>
      </c>
      <c r="E57" s="47">
        <f t="shared" ca="1" si="2"/>
        <v>3</v>
      </c>
      <c r="F57" s="48">
        <f t="shared" ca="1" si="3"/>
        <v>0.99</v>
      </c>
      <c r="G57" s="52" t="s">
        <v>482</v>
      </c>
      <c r="H57" s="50" t="s">
        <v>527</v>
      </c>
    </row>
    <row r="58" spans="1:8" ht="15" customHeight="1">
      <c r="A58" s="45" t="s">
        <v>479</v>
      </c>
      <c r="B58" s="45" t="s">
        <v>26</v>
      </c>
      <c r="C58" s="45" t="s">
        <v>39</v>
      </c>
      <c r="D58" s="46">
        <v>0.5</v>
      </c>
      <c r="E58" s="47">
        <f t="shared" ca="1" si="2"/>
        <v>3</v>
      </c>
      <c r="F58" s="48">
        <f t="shared" ca="1" si="3"/>
        <v>1.5</v>
      </c>
      <c r="G58" s="52" t="s">
        <v>482</v>
      </c>
      <c r="H58" s="50" t="s">
        <v>528</v>
      </c>
    </row>
    <row r="59" spans="1:8" ht="15" customHeight="1">
      <c r="A59" s="45" t="s">
        <v>484</v>
      </c>
      <c r="B59" s="45" t="s">
        <v>26</v>
      </c>
      <c r="C59" s="45" t="s">
        <v>39</v>
      </c>
      <c r="D59" s="46">
        <v>0.5</v>
      </c>
      <c r="E59" s="47">
        <f t="shared" ca="1" si="2"/>
        <v>3</v>
      </c>
      <c r="F59" s="48">
        <f t="shared" ca="1" si="3"/>
        <v>1.5</v>
      </c>
      <c r="G59" s="52" t="s">
        <v>482</v>
      </c>
      <c r="H59" s="50" t="s">
        <v>529</v>
      </c>
    </row>
    <row r="60" spans="1:8" ht="15" customHeight="1">
      <c r="A60" s="45" t="s">
        <v>479</v>
      </c>
      <c r="B60" s="45" t="s">
        <v>415</v>
      </c>
      <c r="C60" s="45" t="s">
        <v>39</v>
      </c>
      <c r="D60" s="46">
        <v>0.5</v>
      </c>
      <c r="E60" s="47">
        <f t="shared" ca="1" si="2"/>
        <v>3</v>
      </c>
      <c r="F60" s="48">
        <f t="shared" ca="1" si="3"/>
        <v>1.5</v>
      </c>
      <c r="G60" s="52" t="s">
        <v>482</v>
      </c>
      <c r="H60" s="50" t="s">
        <v>530</v>
      </c>
    </row>
    <row r="61" spans="1:8" ht="15" customHeight="1">
      <c r="A61" s="45" t="s">
        <v>476</v>
      </c>
      <c r="B61" s="45" t="s">
        <v>294</v>
      </c>
      <c r="C61" s="45" t="s">
        <v>27</v>
      </c>
      <c r="D61" s="46">
        <v>0.2</v>
      </c>
      <c r="E61" s="47">
        <f t="shared" ca="1" si="2"/>
        <v>4</v>
      </c>
      <c r="F61" s="48">
        <f t="shared" ca="1" si="3"/>
        <v>0.8</v>
      </c>
      <c r="G61" s="52" t="s">
        <v>482</v>
      </c>
      <c r="H61" s="50" t="s">
        <v>531</v>
      </c>
    </row>
    <row r="62" spans="1:8" ht="15" customHeight="1">
      <c r="A62" s="45" t="s">
        <v>479</v>
      </c>
      <c r="B62" s="45" t="s">
        <v>415</v>
      </c>
      <c r="C62" s="45" t="s">
        <v>27</v>
      </c>
      <c r="D62" s="46">
        <v>0.33</v>
      </c>
      <c r="E62" s="47">
        <f t="shared" ca="1" si="2"/>
        <v>3</v>
      </c>
      <c r="F62" s="48">
        <f t="shared" ca="1" si="3"/>
        <v>0.99</v>
      </c>
      <c r="G62" s="52" t="s">
        <v>482</v>
      </c>
      <c r="H62" s="50" t="s">
        <v>532</v>
      </c>
    </row>
    <row r="63" spans="1:8" ht="15" customHeight="1">
      <c r="A63" s="45" t="s">
        <v>1055</v>
      </c>
      <c r="B63" s="45" t="s">
        <v>51</v>
      </c>
      <c r="C63" s="45" t="s">
        <v>44</v>
      </c>
      <c r="D63" s="46">
        <v>0.2</v>
      </c>
      <c r="E63" s="47">
        <f t="shared" ca="1" si="2"/>
        <v>4</v>
      </c>
      <c r="F63" s="48">
        <f t="shared" ca="1" si="3"/>
        <v>0.8</v>
      </c>
      <c r="G63" s="52" t="s">
        <v>482</v>
      </c>
      <c r="H63" s="50" t="s">
        <v>533</v>
      </c>
    </row>
    <row r="64" spans="1:8" ht="15" customHeight="1">
      <c r="A64" s="45" t="s">
        <v>534</v>
      </c>
      <c r="B64" s="45" t="s">
        <v>350</v>
      </c>
      <c r="C64" s="45" t="s">
        <v>245</v>
      </c>
      <c r="D64" s="46">
        <v>0.33</v>
      </c>
      <c r="E64" s="47">
        <f t="shared" ca="1" si="2"/>
        <v>3</v>
      </c>
      <c r="F64" s="48">
        <f t="shared" ca="1" si="3"/>
        <v>0.99</v>
      </c>
      <c r="G64" s="52" t="s">
        <v>482</v>
      </c>
      <c r="H64" s="50" t="s">
        <v>535</v>
      </c>
    </row>
    <row r="65" spans="1:8" ht="15" customHeight="1">
      <c r="A65" s="45" t="s">
        <v>534</v>
      </c>
      <c r="B65" s="45" t="s">
        <v>346</v>
      </c>
      <c r="C65" s="45" t="s">
        <v>347</v>
      </c>
      <c r="D65" s="46">
        <v>0.33</v>
      </c>
      <c r="E65" s="47">
        <f t="shared" ca="1" si="2"/>
        <v>3</v>
      </c>
      <c r="F65" s="48">
        <f t="shared" ca="1" si="3"/>
        <v>0.99</v>
      </c>
      <c r="G65" s="52" t="s">
        <v>482</v>
      </c>
      <c r="H65" s="50" t="s">
        <v>536</v>
      </c>
    </row>
    <row r="66" spans="1:8" ht="15" customHeight="1">
      <c r="A66" s="45" t="s">
        <v>534</v>
      </c>
      <c r="B66" s="45" t="s">
        <v>354</v>
      </c>
      <c r="C66" s="45" t="s">
        <v>245</v>
      </c>
      <c r="D66" s="46">
        <v>0.33</v>
      </c>
      <c r="E66" s="47">
        <f t="shared" ca="1" si="2"/>
        <v>3</v>
      </c>
      <c r="F66" s="48">
        <f t="shared" ca="1" si="3"/>
        <v>0.99</v>
      </c>
      <c r="G66" s="52" t="s">
        <v>482</v>
      </c>
      <c r="H66" s="50" t="s">
        <v>537</v>
      </c>
    </row>
    <row r="67" spans="1:8" ht="15" customHeight="1">
      <c r="A67" s="45" t="s">
        <v>534</v>
      </c>
      <c r="B67" s="45" t="s">
        <v>255</v>
      </c>
      <c r="C67" s="45" t="s">
        <v>45</v>
      </c>
      <c r="D67" s="46">
        <v>0.33</v>
      </c>
      <c r="E67" s="47">
        <f t="shared" ca="1" si="2"/>
        <v>3</v>
      </c>
      <c r="F67" s="48">
        <f t="shared" ca="1" si="3"/>
        <v>0.99</v>
      </c>
      <c r="G67" s="52" t="s">
        <v>482</v>
      </c>
      <c r="H67" s="50" t="s">
        <v>538</v>
      </c>
    </row>
    <row r="68" spans="1:8" ht="15" customHeight="1">
      <c r="A68" s="45" t="s">
        <v>499</v>
      </c>
      <c r="B68" s="45" t="s">
        <v>444</v>
      </c>
      <c r="C68" s="45" t="s">
        <v>330</v>
      </c>
      <c r="D68" s="46">
        <v>0.33</v>
      </c>
      <c r="E68" s="47">
        <f t="shared" ca="1" si="2"/>
        <v>2</v>
      </c>
      <c r="F68" s="48">
        <f t="shared" ca="1" si="3"/>
        <v>0.66</v>
      </c>
      <c r="G68" s="49" t="s">
        <v>470</v>
      </c>
      <c r="H68" s="50" t="s">
        <v>539</v>
      </c>
    </row>
    <row r="69" spans="1:8">
      <c r="A69" s="45" t="s">
        <v>499</v>
      </c>
      <c r="B69" s="45" t="s">
        <v>444</v>
      </c>
      <c r="C69" s="45" t="s">
        <v>321</v>
      </c>
      <c r="D69" s="46">
        <v>0.5</v>
      </c>
      <c r="E69" s="47">
        <f t="shared" ca="1" si="2"/>
        <v>2</v>
      </c>
      <c r="F69" s="48">
        <f t="shared" ca="1" si="3"/>
        <v>1</v>
      </c>
      <c r="G69" s="49" t="s">
        <v>470</v>
      </c>
      <c r="H69" s="50" t="s">
        <v>540</v>
      </c>
    </row>
    <row r="70" spans="1:8">
      <c r="A70" s="45" t="s">
        <v>499</v>
      </c>
      <c r="B70" s="45" t="s">
        <v>444</v>
      </c>
      <c r="C70" s="45" t="s">
        <v>347</v>
      </c>
      <c r="D70" s="46">
        <v>0</v>
      </c>
      <c r="E70" s="47">
        <f t="shared" ca="1" si="2"/>
        <v>2</v>
      </c>
      <c r="F70" s="48">
        <f t="shared" ca="1" si="3"/>
        <v>0</v>
      </c>
      <c r="G70" s="49" t="s">
        <v>482</v>
      </c>
      <c r="H70" s="50" t="s">
        <v>541</v>
      </c>
    </row>
    <row r="71" spans="1:8">
      <c r="A71" t="s">
        <v>469</v>
      </c>
      <c r="B71" t="s">
        <v>244</v>
      </c>
      <c r="C71" t="s">
        <v>237</v>
      </c>
      <c r="D71">
        <v>0.5</v>
      </c>
      <c r="E71">
        <f t="shared" ca="1" si="2"/>
        <v>4</v>
      </c>
      <c r="F71">
        <f t="shared" ref="F71:F72" ca="1" si="4">IF(ISNUMBER(E71),$D71*E71,0)</f>
        <v>2</v>
      </c>
      <c r="G71" t="s">
        <v>482</v>
      </c>
      <c r="H71" t="s">
        <v>542</v>
      </c>
    </row>
    <row r="72" spans="1:8">
      <c r="A72" t="s">
        <v>469</v>
      </c>
      <c r="B72" t="s">
        <v>244</v>
      </c>
      <c r="C72" t="s">
        <v>44</v>
      </c>
      <c r="D72">
        <v>0.2</v>
      </c>
      <c r="E72">
        <f t="shared" ca="1" si="2"/>
        <v>4</v>
      </c>
      <c r="F72">
        <f t="shared" ca="1" si="4"/>
        <v>0.8</v>
      </c>
      <c r="G72" t="s">
        <v>482</v>
      </c>
      <c r="H72" t="s">
        <v>543</v>
      </c>
    </row>
    <row r="73" spans="1:8">
      <c r="A73" t="s">
        <v>469</v>
      </c>
      <c r="B73" t="s">
        <v>1074</v>
      </c>
      <c r="C73" t="s">
        <v>44</v>
      </c>
      <c r="D73">
        <v>0.33</v>
      </c>
      <c r="E73">
        <f ca="1">IFERROR(INDEX(INDIRECT("'"&amp;$A73&amp;"'!$E$1:$E$45"),MATCH($B73,INDIRECT("'"&amp;$A73&amp;"'!$B$1:$B$45"),0)),"?")</f>
        <v>2</v>
      </c>
      <c r="F73">
        <f ca="1">IF(ISNUMBER(E73),$D73*E73,0)</f>
        <v>0.66</v>
      </c>
      <c r="G73" t="s">
        <v>470</v>
      </c>
      <c r="H73" t="s">
        <v>1082</v>
      </c>
    </row>
    <row r="74" spans="1:8">
      <c r="A74" t="s">
        <v>473</v>
      </c>
      <c r="B74" t="s">
        <v>1079</v>
      </c>
      <c r="C74" t="s">
        <v>44</v>
      </c>
      <c r="D74">
        <v>0.33</v>
      </c>
      <c r="E74">
        <f ca="1">IFERROR(INDEX(INDIRECT("'"&amp;$A74&amp;"'!$E$1:$E$45"),MATCH($B74,INDIRECT("'"&amp;$A74&amp;"'!$B$1:$B$45"),0)),"?")</f>
        <v>2</v>
      </c>
      <c r="F74">
        <f ca="1">IF(ISNUMBER(E74),$D74*E74,0)</f>
        <v>0.66</v>
      </c>
      <c r="G74" t="s">
        <v>470</v>
      </c>
      <c r="H74" t="s">
        <v>1083</v>
      </c>
    </row>
    <row r="75" spans="1:8">
      <c r="A75" t="s">
        <v>473</v>
      </c>
      <c r="B75" t="s">
        <v>1079</v>
      </c>
      <c r="C75" t="s">
        <v>245</v>
      </c>
      <c r="D75">
        <v>0.5</v>
      </c>
      <c r="E75">
        <f ca="1">IFERROR(INDEX(INDIRECT("'"&amp;$A75&amp;"'!$E$1:$E$45"),MATCH($B75,INDIRECT("'"&amp;$A75&amp;"'!$B$1:$B$45"),0)),"?")</f>
        <v>2</v>
      </c>
      <c r="F75">
        <f ca="1">IF(ISNUMBER(E75),$D75*E75,0)</f>
        <v>1</v>
      </c>
      <c r="G75" t="s">
        <v>470</v>
      </c>
      <c r="H75" t="s">
        <v>1084</v>
      </c>
    </row>
  </sheetData>
  <mergeCells count="2">
    <mergeCell ref="A4:H4"/>
    <mergeCell ref="A2:H2"/>
  </mergeCells>
  <phoneticPr fontId="32" type="noConversion"/>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68"/>
  <sheetViews>
    <sheetView zoomScaleNormal="100" workbookViewId="0">
      <selection activeCell="F30" sqref="F30"/>
    </sheetView>
  </sheetViews>
  <sheetFormatPr defaultColWidth="8.7109375" defaultRowHeight="15"/>
  <cols>
    <col min="1" max="1" width="20" customWidth="1"/>
    <col min="2" max="3" width="12" customWidth="1"/>
    <col min="4" max="4" width="10" customWidth="1"/>
    <col min="5" max="5" width="14" customWidth="1"/>
    <col min="6" max="6" width="46" customWidth="1"/>
    <col min="7" max="12" width="13" customWidth="1"/>
  </cols>
  <sheetData>
    <row r="1" spans="1:12" ht="18" customHeight="1">
      <c r="A1" s="1" t="s">
        <v>544</v>
      </c>
      <c r="G1" s="93" t="s">
        <v>545</v>
      </c>
    </row>
    <row r="2" spans="1:12" ht="15" customHeight="1">
      <c r="A2" s="2" t="s">
        <v>546</v>
      </c>
      <c r="G2" s="94" t="s">
        <v>547</v>
      </c>
      <c r="H2" s="95">
        <v>10</v>
      </c>
      <c r="I2" s="94" t="s">
        <v>548</v>
      </c>
      <c r="J2" s="95">
        <v>244</v>
      </c>
      <c r="K2" s="94" t="s">
        <v>549</v>
      </c>
      <c r="L2" s="96">
        <f>B25</f>
        <v>240</v>
      </c>
    </row>
    <row r="3" spans="1:12">
      <c r="A3" s="97" t="str">
        <f>IF($H$3&lt;0,"⚠ 총량 상한 "&amp;ABS($H$3)&amp;"세트 초과 — 다른 종목에서 그만큼 빼기 전에는 추가 금지. 상한을 올리려면 아래 '상한 변경 이력'에 한 줄 남길 것.","")</f>
        <v/>
      </c>
      <c r="G3" s="94" t="s">
        <v>550</v>
      </c>
      <c r="H3" s="98">
        <f>$J$2-$L$2</f>
        <v>4</v>
      </c>
      <c r="I3" s="94" t="s">
        <v>551</v>
      </c>
      <c r="J3" s="98">
        <f>ROUND($L$2*7/$H$2,1)</f>
        <v>168</v>
      </c>
      <c r="K3" s="94" t="s">
        <v>552</v>
      </c>
      <c r="L3" s="98" t="str">
        <f>IF($H$3&lt;0,"INVALID","VALID")</f>
        <v>VALID</v>
      </c>
    </row>
    <row r="4" spans="1:12" ht="15" customHeight="1">
      <c r="A4" s="5" t="s">
        <v>5</v>
      </c>
      <c r="B4" s="5" t="s">
        <v>553</v>
      </c>
      <c r="C4" s="5" t="s">
        <v>554</v>
      </c>
      <c r="D4" s="5" t="s">
        <v>555</v>
      </c>
      <c r="E4" s="5" t="s">
        <v>556</v>
      </c>
      <c r="F4" s="5" t="s">
        <v>557</v>
      </c>
      <c r="J4" s="99" t="str">
        <f>"주당 환산 (×7/"&amp;$H$2&amp;")"</f>
        <v>주당 환산 (×7/10)</v>
      </c>
    </row>
    <row r="5" spans="1:12" ht="15" customHeight="1">
      <c r="A5" s="53" t="s">
        <v>299</v>
      </c>
      <c r="B5" s="7">
        <f>SUMIFS(D1_당기기A!$E:$E,D1_당기기A!$C:$C,$A5)+SUMIFS(D2_밀기A!$E:$E,D2_밀기A!$C:$C,$A5)+SUMIFS(D3_하체A!$E:$E,D3_하체A!$C:$C,$A5)+SUMIFS(D4_어깨팔A!$E:$E,D4_어깨팔A!$C:$C,$A5)+SUMIFS(D6_당기기B!$E:$E,D6_당기기B!$C:$C,$A5)+SUMIFS(D7_밀기B!$E:$E,D7_밀기B!$C:$C,$A5)+SUMIFS(D8_하체B!$E:$E,D8_하체B!$C:$C,$A5)+SUMIFS(D9_어깨팔B!$E:$E,D9_어깨팔B!$C:$C,$A5)</f>
        <v>13</v>
      </c>
      <c r="C5" s="54">
        <f ca="1">MROUND(SUMIFS(간접계수맵!$F$7:$F$80,간접계수맵!$C$7:$C$80,$A5),0.5)</f>
        <v>0</v>
      </c>
      <c r="D5" s="55">
        <f t="shared" ref="D5:D24" ca="1" si="0">B5+C5</f>
        <v>13</v>
      </c>
      <c r="E5" s="7" t="str">
        <f t="shared" ref="E5:E24" ca="1" si="1">IF(J5&gt;20,"상한",IF(J5&gt;=10,"성장",IF(J5&gt;=8,"유지",IF(J5&gt;=1,"유지 미만","미배치"))))</f>
        <v>유지</v>
      </c>
      <c r="F5" s="53" t="s">
        <v>558</v>
      </c>
      <c r="G5" s="117" t="s">
        <v>559</v>
      </c>
      <c r="H5" s="56">
        <f ca="1">SUM(D5:D6)</f>
        <v>31</v>
      </c>
      <c r="I5" t="str">
        <f ca="1">IF(H5*7/$H$2&gt;20,"주당 환산 천장(20) 초과 — 2·4·7·9일차 예외 허용 · 세트 질 관찰","")</f>
        <v>주당 환산 천장(20) 초과 — 2·4·7·9일차 예외 허용 · 세트 질 관찰</v>
      </c>
      <c r="J5" s="55">
        <f t="shared" ref="J5:J25" ca="1" si="2">ROUND(D5*7/$H$2,1)</f>
        <v>9.1</v>
      </c>
      <c r="L5" s="55">
        <f t="shared" ref="L5:L25" si="3">ROUND(B5*7/$H$2,1)</f>
        <v>9.1</v>
      </c>
    </row>
    <row r="6" spans="1:12" ht="15" customHeight="1">
      <c r="A6" s="53" t="s">
        <v>288</v>
      </c>
      <c r="B6" s="7">
        <f>SUMIFS(D1_당기기A!$E:$E,D1_당기기A!$C:$C,$A6)+SUMIFS(D2_밀기A!$E:$E,D2_밀기A!$C:$C,$A6)+SUMIFS(D3_하체A!$E:$E,D3_하체A!$C:$C,$A6)+SUMIFS(D4_어깨팔A!$E:$E,D4_어깨팔A!$C:$C,$A6)+SUMIFS(D6_당기기B!$E:$E,D6_당기기B!$C:$C,$A6)+SUMIFS(D7_밀기B!$E:$E,D7_밀기B!$C:$C,$A6)+SUMIFS(D8_하체B!$E:$E,D8_하체B!$C:$C,$A6)+SUMIFS(D9_어깨팔B!$E:$E,D9_어깨팔B!$C:$C,$A6)</f>
        <v>18</v>
      </c>
      <c r="C6" s="54">
        <f ca="1">MROUND(SUMIFS(간접계수맵!$F$7:$F$80,간접계수맵!$C$7:$C$80,$A6),0.5)</f>
        <v>0</v>
      </c>
      <c r="D6" s="55">
        <f t="shared" ca="1" si="0"/>
        <v>18</v>
      </c>
      <c r="E6" s="7" t="str">
        <f t="shared" ca="1" si="1"/>
        <v>성장</v>
      </c>
      <c r="F6" s="53" t="s">
        <v>560</v>
      </c>
      <c r="G6" s="118"/>
      <c r="J6" s="55">
        <f t="shared" ca="1" si="2"/>
        <v>12.6</v>
      </c>
      <c r="L6" s="55">
        <f t="shared" si="3"/>
        <v>12.6</v>
      </c>
    </row>
    <row r="7" spans="1:12" ht="15" customHeight="1">
      <c r="A7" s="53" t="s">
        <v>237</v>
      </c>
      <c r="B7" s="7">
        <f>SUMIFS(D1_당기기A!$E:$E,D1_당기기A!$C:$C,$A7)+SUMIFS(D2_밀기A!$E:$E,D2_밀기A!$C:$C,$A7)+SUMIFS(D3_하체A!$E:$E,D3_하체A!$C:$C,$A7)+SUMIFS(D4_어깨팔A!$E:$E,D4_어깨팔A!$C:$C,$A7)+SUMIFS(D6_당기기B!$E:$E,D6_당기기B!$C:$C,$A7)+SUMIFS(D7_밀기B!$E:$E,D7_밀기B!$C:$C,$A7)+SUMIFS(D8_하체B!$E:$E,D8_하체B!$C:$C,$A7)+SUMIFS(D9_어깨팔B!$E:$E,D9_어깨팔B!$C:$C,$A7)</f>
        <v>13</v>
      </c>
      <c r="C7" s="54">
        <f ca="1">MROUND(SUMIFS(간접계수맵!$F$7:$F$80,간접계수맵!$C$7:$C$80,$A7),0.5)</f>
        <v>4</v>
      </c>
      <c r="D7" s="55">
        <f t="shared" ca="1" si="0"/>
        <v>17</v>
      </c>
      <c r="E7" s="7" t="str">
        <f t="shared" ca="1" si="1"/>
        <v>성장</v>
      </c>
      <c r="F7" s="53" t="s">
        <v>561</v>
      </c>
      <c r="G7" s="117" t="s">
        <v>562</v>
      </c>
      <c r="H7" s="56">
        <f ca="1">SUM(D7:D10)</f>
        <v>56.5</v>
      </c>
      <c r="J7" s="55">
        <f t="shared" ca="1" si="2"/>
        <v>11.9</v>
      </c>
      <c r="L7" s="55">
        <f t="shared" si="3"/>
        <v>9.1</v>
      </c>
    </row>
    <row r="8" spans="1:12" ht="15" customHeight="1">
      <c r="A8" s="53" t="s">
        <v>347</v>
      </c>
      <c r="B8" s="7">
        <f>SUMIFS(D1_당기기A!$E:$E,D1_당기기A!$C:$C,$A8)+SUMIFS(D2_밀기A!$E:$E,D2_밀기A!$C:$C,$A8)+SUMIFS(D3_하체A!$E:$E,D3_하체A!$C:$C,$A8)+SUMIFS(D4_어깨팔A!$E:$E,D4_어깨팔A!$C:$C,$A8)+SUMIFS(D6_당기기B!$E:$E,D6_당기기B!$C:$C,$A8)+SUMIFS(D7_밀기B!$E:$E,D7_밀기B!$C:$C,$A8)+SUMIFS(D8_하체B!$E:$E,D8_하체B!$C:$C,$A8)+SUMIFS(D9_어깨팔B!$E:$E,D9_어깨팔B!$C:$C,$A8)</f>
        <v>4</v>
      </c>
      <c r="C8" s="54">
        <f ca="1">MROUND(SUMIFS(간접계수맵!$F$7:$F$80,간접계수맵!$C$7:$C$80,$A8),0.5)</f>
        <v>1.5</v>
      </c>
      <c r="D8" s="55">
        <f t="shared" ca="1" si="0"/>
        <v>5.5</v>
      </c>
      <c r="E8" s="7" t="str">
        <f t="shared" ca="1" si="1"/>
        <v>유지 미만</v>
      </c>
      <c r="F8" s="53" t="s">
        <v>563</v>
      </c>
      <c r="G8" s="118"/>
      <c r="J8" s="55">
        <f t="shared" ca="1" si="2"/>
        <v>3.9</v>
      </c>
      <c r="L8" s="55">
        <f t="shared" si="3"/>
        <v>2.8</v>
      </c>
    </row>
    <row r="9" spans="1:12" ht="15" customHeight="1">
      <c r="A9" s="53" t="s">
        <v>34</v>
      </c>
      <c r="B9" s="7">
        <f>SUMIFS(D1_당기기A!$E:$E,D1_당기기A!$C:$C,$A9)+SUMIFS(D2_밀기A!$E:$E,D2_밀기A!$C:$C,$A9)+SUMIFS(D3_하체A!$E:$E,D3_하체A!$C:$C,$A9)+SUMIFS(D4_어깨팔A!$E:$E,D4_어깨팔A!$C:$C,$A9)+SUMIFS(D6_당기기B!$E:$E,D6_당기기B!$C:$C,$A9)+SUMIFS(D7_밀기B!$E:$E,D7_밀기B!$C:$C,$A9)+SUMIFS(D8_하체B!$E:$E,D8_하체B!$C:$C,$A9)+SUMIFS(D9_어깨팔B!$E:$E,D9_어깨팔B!$C:$C,$A9)</f>
        <v>12</v>
      </c>
      <c r="C9" s="54">
        <f ca="1">MROUND(SUMIFS(간접계수맵!$F$7:$F$80,간접계수맵!$C$7:$C$80,$A9),0.5)</f>
        <v>1.5</v>
      </c>
      <c r="D9" s="55">
        <f t="shared" ca="1" si="0"/>
        <v>13.5</v>
      </c>
      <c r="E9" s="7" t="str">
        <f t="shared" ca="1" si="1"/>
        <v>유지</v>
      </c>
      <c r="F9" s="53" t="s">
        <v>564</v>
      </c>
      <c r="G9" s="118"/>
      <c r="J9" s="55">
        <f t="shared" ca="1" si="2"/>
        <v>9.5</v>
      </c>
      <c r="L9" s="55">
        <f t="shared" si="3"/>
        <v>8.4</v>
      </c>
    </row>
    <row r="10" spans="1:12" ht="15" customHeight="1">
      <c r="A10" s="53" t="s">
        <v>245</v>
      </c>
      <c r="B10" s="7">
        <f>SUMIFS(D1_당기기A!$E:$E,D1_당기기A!$C:$C,$A10)+SUMIFS(D2_밀기A!$E:$E,D2_밀기A!$C:$C,$A10)+SUMIFS(D3_하체A!$E:$E,D3_하체A!$C:$C,$A10)+SUMIFS(D4_어깨팔A!$E:$E,D4_어깨팔A!$C:$C,$A10)+SUMIFS(D6_당기기B!$E:$E,D6_당기기B!$C:$C,$A10)+SUMIFS(D7_밀기B!$E:$E,D7_밀기B!$C:$C,$A10)+SUMIFS(D8_하체B!$E:$E,D8_하체B!$C:$C,$A10)+SUMIFS(D9_어깨팔B!$E:$E,D9_어깨팔B!$C:$C,$A10)</f>
        <v>15</v>
      </c>
      <c r="C10" s="54">
        <f ca="1">MROUND(SUMIFS(간접계수맵!$F$7:$F$80,간접계수맵!$C$7:$C$80,$A10),0.5)</f>
        <v>5.5</v>
      </c>
      <c r="D10" s="55">
        <f t="shared" ca="1" si="0"/>
        <v>20.5</v>
      </c>
      <c r="E10" s="7" t="str">
        <f t="shared" ca="1" si="1"/>
        <v>성장</v>
      </c>
      <c r="F10" s="53" t="s">
        <v>565</v>
      </c>
      <c r="G10" s="118"/>
      <c r="J10" s="55">
        <f t="shared" ca="1" si="2"/>
        <v>14.4</v>
      </c>
      <c r="L10" s="55">
        <f t="shared" si="3"/>
        <v>10.5</v>
      </c>
    </row>
    <row r="11" spans="1:12" ht="15" customHeight="1">
      <c r="A11" s="53" t="s">
        <v>271</v>
      </c>
      <c r="B11" s="7">
        <f>SUMIFS(D1_당기기A!$E:$E,D1_당기기A!$C:$C,$A11)+SUMIFS(D2_밀기A!$E:$E,D2_밀기A!$C:$C,$A11)+SUMIFS(D3_하체A!$E:$E,D3_하체A!$C:$C,$A11)+SUMIFS(D4_어깨팔A!$E:$E,D4_어깨팔A!$C:$C,$A11)+SUMIFS(D6_당기기B!$E:$E,D6_당기기B!$C:$C,$A11)+SUMIFS(D7_밀기B!$E:$E,D7_밀기B!$C:$C,$A11)+SUMIFS(D8_하체B!$E:$E,D8_하체B!$C:$C,$A11)+SUMIFS(D9_어깨팔B!$E:$E,D9_어깨팔B!$C:$C,$A11)</f>
        <v>12</v>
      </c>
      <c r="C11" s="54">
        <f ca="1">MROUND(SUMIFS(간접계수맵!$F$7:$F$80,간접계수맵!$C$7:$C$80,$A11),0.5)</f>
        <v>1.5</v>
      </c>
      <c r="D11" s="55">
        <f t="shared" ca="1" si="0"/>
        <v>13.5</v>
      </c>
      <c r="E11" s="7" t="str">
        <f t="shared" ca="1" si="1"/>
        <v>유지</v>
      </c>
      <c r="F11" s="53" t="s">
        <v>566</v>
      </c>
      <c r="G11" s="57"/>
      <c r="J11" s="55">
        <f t="shared" ca="1" si="2"/>
        <v>9.5</v>
      </c>
      <c r="L11" s="55">
        <f t="shared" si="3"/>
        <v>8.4</v>
      </c>
    </row>
    <row r="12" spans="1:12" ht="15" customHeight="1">
      <c r="A12" s="53" t="s">
        <v>27</v>
      </c>
      <c r="B12" s="7">
        <f>SUMIFS(D1_당기기A!$E:$E,D1_당기기A!$C:$C,$A12)+SUMIFS(D2_밀기A!$E:$E,D2_밀기A!$C:$C,$A12)+SUMIFS(D3_하체A!$E:$E,D3_하체A!$C:$C,$A12)+SUMIFS(D4_어깨팔A!$E:$E,D4_어깨팔A!$C:$C,$A12)+SUMIFS(D6_당기기B!$E:$E,D6_당기기B!$C:$C,$A12)+SUMIFS(D7_밀기B!$E:$E,D7_밀기B!$C:$C,$A12)+SUMIFS(D8_하체B!$E:$E,D8_하체B!$C:$C,$A12)+SUMIFS(D9_어깨팔B!$E:$E,D9_어깨팔B!$C:$C,$A12)</f>
        <v>9</v>
      </c>
      <c r="C12" s="54">
        <f ca="1">MROUND(SUMIFS(간접계수맵!$F$7:$F$80,간접계수맵!$C$7:$C$80,$A12),0.5)</f>
        <v>6.5</v>
      </c>
      <c r="D12" s="55">
        <f t="shared" ca="1" si="0"/>
        <v>15.5</v>
      </c>
      <c r="E12" s="7" t="str">
        <f t="shared" ca="1" si="1"/>
        <v>성장</v>
      </c>
      <c r="F12" s="53" t="s">
        <v>567</v>
      </c>
      <c r="G12" s="57"/>
      <c r="J12" s="55">
        <f t="shared" ca="1" si="2"/>
        <v>10.9</v>
      </c>
      <c r="L12" s="55">
        <f t="shared" si="3"/>
        <v>6.3</v>
      </c>
    </row>
    <row r="13" spans="1:12" ht="15" customHeight="1">
      <c r="A13" s="53" t="s">
        <v>18</v>
      </c>
      <c r="B13" s="7">
        <f>SUMIFS(D1_당기기A!$E:$E,D1_당기기A!$C:$C,$A13)+SUMIFS(D2_밀기A!$E:$E,D2_밀기A!$C:$C,$A13)+SUMIFS(D3_하체A!$E:$E,D3_하체A!$C:$C,$A13)+SUMIFS(D4_어깨팔A!$E:$E,D4_어깨팔A!$C:$C,$A13)+SUMIFS(D6_당기기B!$E:$E,D6_당기기B!$C:$C,$A13)+SUMIFS(D7_밀기B!$E:$E,D7_밀기B!$C:$C,$A13)+SUMIFS(D8_하체B!$E:$E,D8_하체B!$C:$C,$A13)+SUMIFS(D9_어깨팔B!$E:$E,D9_어깨팔B!$C:$C,$A13)</f>
        <v>18</v>
      </c>
      <c r="C13" s="54">
        <f ca="1">MROUND(SUMIFS(간접계수맵!$F$7:$F$80,간접계수맵!$C$7:$C$80,$A13),0.5)</f>
        <v>3</v>
      </c>
      <c r="D13" s="55">
        <f t="shared" ca="1" si="0"/>
        <v>21</v>
      </c>
      <c r="E13" s="7" t="str">
        <f t="shared" ca="1" si="1"/>
        <v>성장</v>
      </c>
      <c r="F13" s="53" t="s">
        <v>568</v>
      </c>
      <c r="G13" s="57"/>
      <c r="J13" s="55">
        <f t="shared" ca="1" si="2"/>
        <v>14.7</v>
      </c>
      <c r="L13" s="55">
        <f t="shared" si="3"/>
        <v>12.6</v>
      </c>
    </row>
    <row r="14" spans="1:12" ht="15" customHeight="1">
      <c r="A14" s="53" t="s">
        <v>23</v>
      </c>
      <c r="B14" s="7">
        <f>SUMIFS(D1_당기기A!$E:$E,D1_당기기A!$C:$C,$A14)+SUMIFS(D2_밀기A!$E:$E,D2_밀기A!$C:$C,$A14)+SUMIFS(D3_하체A!$E:$E,D3_하체A!$C:$C,$A14)+SUMIFS(D4_어깨팔A!$E:$E,D4_어깨팔A!$C:$C,$A14)+SUMIFS(D6_당기기B!$E:$E,D6_당기기B!$C:$C,$A14)+SUMIFS(D7_밀기B!$E:$E,D7_밀기B!$C:$C,$A14)+SUMIFS(D8_하체B!$E:$E,D8_하체B!$C:$C,$A14)+SUMIFS(D9_어깨팔B!$E:$E,D9_어깨팔B!$C:$C,$A14)</f>
        <v>17</v>
      </c>
      <c r="C14" s="54">
        <f ca="1">MROUND(SUMIFS(간접계수맵!$F$7:$F$80,간접계수맵!$C$7:$C$80,$A14),0.5)</f>
        <v>4.5</v>
      </c>
      <c r="D14" s="55">
        <f t="shared" ca="1" si="0"/>
        <v>21.5</v>
      </c>
      <c r="E14" s="7" t="str">
        <f t="shared" ca="1" si="1"/>
        <v>성장</v>
      </c>
      <c r="F14" s="53" t="s">
        <v>569</v>
      </c>
      <c r="G14" s="57"/>
      <c r="H14" s="56"/>
      <c r="J14" s="55">
        <f t="shared" ca="1" si="2"/>
        <v>15.1</v>
      </c>
      <c r="L14" s="55">
        <f t="shared" si="3"/>
        <v>11.9</v>
      </c>
    </row>
    <row r="15" spans="1:12" ht="15" customHeight="1">
      <c r="A15" s="53" t="s">
        <v>315</v>
      </c>
      <c r="B15" s="7">
        <f>SUMIFS(D1_당기기A!$E:$E,D1_당기기A!$C:$C,$A15)+SUMIFS(D2_밀기A!$E:$E,D2_밀기A!$C:$C,$A15)+SUMIFS(D3_하체A!$E:$E,D3_하체A!$C:$C,$A15)+SUMIFS(D4_어깨팔A!$E:$E,D4_어깨팔A!$C:$C,$A15)+SUMIFS(D6_당기기B!$E:$E,D6_당기기B!$C:$C,$A15)+SUMIFS(D7_밀기B!$E:$E,D7_밀기B!$C:$C,$A15)+SUMIFS(D8_하체B!$E:$E,D8_하체B!$C:$C,$A15)+SUMIFS(D9_어깨팔B!$E:$E,D9_어깨팔B!$C:$C,$A15)</f>
        <v>15</v>
      </c>
      <c r="C15" s="54">
        <f ca="1">MROUND(SUMIFS(간접계수맵!$F$7:$F$80,간접계수맵!$C$7:$C$80,$A15),0.5)</f>
        <v>1.5</v>
      </c>
      <c r="D15" s="55">
        <f t="shared" ca="1" si="0"/>
        <v>16.5</v>
      </c>
      <c r="E15" s="7" t="str">
        <f t="shared" ca="1" si="1"/>
        <v>성장</v>
      </c>
      <c r="F15" s="53" t="s">
        <v>324</v>
      </c>
      <c r="G15" s="58" t="s">
        <v>570</v>
      </c>
      <c r="H15" s="56">
        <f ca="1">SUM(D15:D16,D19)</f>
        <v>43</v>
      </c>
      <c r="J15" s="55">
        <f t="shared" ca="1" si="2"/>
        <v>11.6</v>
      </c>
      <c r="L15" s="55">
        <f t="shared" si="3"/>
        <v>10.5</v>
      </c>
    </row>
    <row r="16" spans="1:12" ht="15" customHeight="1">
      <c r="A16" s="53" t="s">
        <v>330</v>
      </c>
      <c r="B16" s="7">
        <f>SUMIFS(D1_당기기A!$E:$E,D1_당기기A!$C:$C,$A16)+SUMIFS(D2_밀기A!$E:$E,D2_밀기A!$C:$C,$A16)+SUMIFS(D3_하체A!$E:$E,D3_하체A!$C:$C,$A16)+SUMIFS(D4_어깨팔A!$E:$E,D4_어깨팔A!$C:$C,$A16)+SUMIFS(D6_당기기B!$E:$E,D6_당기기B!$C:$C,$A16)+SUMIFS(D7_밀기B!$E:$E,D7_밀기B!$C:$C,$A16)+SUMIFS(D8_하체B!$E:$E,D8_하체B!$C:$C,$A16)+SUMIFS(D9_어깨팔B!$E:$E,D9_어깨팔B!$C:$C,$A16)</f>
        <v>10</v>
      </c>
      <c r="C16" s="54">
        <f ca="1">MROUND(SUMIFS(간접계수맵!$F$7:$F$80,간접계수맵!$C$7:$C$80,$A16),0.5)</f>
        <v>3.5</v>
      </c>
      <c r="D16" s="55">
        <f t="shared" ca="1" si="0"/>
        <v>13.5</v>
      </c>
      <c r="E16" s="7" t="str">
        <f t="shared" ca="1" si="1"/>
        <v>유지</v>
      </c>
      <c r="F16" s="53" t="s">
        <v>571</v>
      </c>
      <c r="G16" s="57"/>
      <c r="J16" s="55">
        <f t="shared" ca="1" si="2"/>
        <v>9.5</v>
      </c>
      <c r="L16" s="55">
        <f t="shared" si="3"/>
        <v>7</v>
      </c>
    </row>
    <row r="17" spans="1:12" ht="15" customHeight="1">
      <c r="A17" s="53" t="s">
        <v>321</v>
      </c>
      <c r="B17" s="7">
        <f>SUMIFS(D1_당기기A!$E:$E,D1_당기기A!$C:$C,$A17)+SUMIFS(D2_밀기A!$E:$E,D2_밀기A!$C:$C,$A17)+SUMIFS(D3_하체A!$E:$E,D3_하체A!$C:$C,$A17)+SUMIFS(D4_어깨팔A!$E:$E,D4_어깨팔A!$C:$C,$A17)+SUMIFS(D6_당기기B!$E:$E,D6_당기기B!$C:$C,$A17)+SUMIFS(D7_밀기B!$E:$E,D7_밀기B!$C:$C,$A17)+SUMIFS(D8_하체B!$E:$E,D8_하체B!$C:$C,$A17)+SUMIFS(D9_어깨팔B!$E:$E,D9_어깨팔B!$C:$C,$A17)</f>
        <v>7</v>
      </c>
      <c r="C17" s="54">
        <f ca="1">MROUND(SUMIFS(간접계수맵!$F$7:$F$80,간접계수맵!$C$7:$C$80,$A17),0.5)</f>
        <v>9</v>
      </c>
      <c r="D17" s="55">
        <f t="shared" ca="1" si="0"/>
        <v>16</v>
      </c>
      <c r="E17" s="7" t="str">
        <f t="shared" ca="1" si="1"/>
        <v>성장</v>
      </c>
      <c r="F17" s="53" t="s">
        <v>572</v>
      </c>
      <c r="G17" s="117" t="s">
        <v>321</v>
      </c>
      <c r="H17" s="56">
        <f ca="1">SUM(D17:D18)</f>
        <v>29</v>
      </c>
      <c r="J17" s="55">
        <f t="shared" ca="1" si="2"/>
        <v>11.2</v>
      </c>
      <c r="L17" s="55">
        <f t="shared" si="3"/>
        <v>4.9000000000000004</v>
      </c>
    </row>
    <row r="18" spans="1:12" ht="15" customHeight="1">
      <c r="A18" s="53" t="s">
        <v>60</v>
      </c>
      <c r="B18" s="7">
        <f>SUMIFS(D1_당기기A!$E:$E,D1_당기기A!$C:$C,$A18)+SUMIFS(D2_밀기A!$E:$E,D2_밀기A!$C:$C,$A18)+SUMIFS(D3_하체A!$E:$E,D3_하체A!$C:$C,$A18)+SUMIFS(D4_어깨팔A!$E:$E,D4_어깨팔A!$C:$C,$A18)+SUMIFS(D6_당기기B!$E:$E,D6_당기기B!$C:$C,$A18)+SUMIFS(D7_밀기B!$E:$E,D7_밀기B!$C:$C,$A18)+SUMIFS(D8_하체B!$E:$E,D8_하체B!$C:$C,$A18)+SUMIFS(D9_어깨팔B!$E:$E,D9_어깨팔B!$C:$C,$A18)</f>
        <v>12</v>
      </c>
      <c r="C18" s="54">
        <f ca="1">MROUND(SUMIFS(간접계수맵!$F$7:$F$80,간접계수맵!$C$7:$C$80,$A18),0.5)</f>
        <v>1</v>
      </c>
      <c r="D18" s="55">
        <f t="shared" ca="1" si="0"/>
        <v>13</v>
      </c>
      <c r="E18" s="7" t="str">
        <f t="shared" ca="1" si="1"/>
        <v>유지</v>
      </c>
      <c r="F18" s="53" t="s">
        <v>573</v>
      </c>
      <c r="G18" s="118"/>
      <c r="J18" s="55">
        <f t="shared" ca="1" si="2"/>
        <v>9.1</v>
      </c>
      <c r="L18" s="55">
        <f t="shared" si="3"/>
        <v>8.4</v>
      </c>
    </row>
    <row r="19" spans="1:12" ht="15" customHeight="1">
      <c r="A19" s="53" t="s">
        <v>56</v>
      </c>
      <c r="B19" s="7">
        <f>SUMIFS(D1_당기기A!$E:$E,D1_당기기A!$C:$C,$A19)+SUMIFS(D2_밀기A!$E:$E,D2_밀기A!$C:$C,$A19)+SUMIFS(D3_하체A!$E:$E,D3_하체A!$C:$C,$A19)+SUMIFS(D4_어깨팔A!$E:$E,D4_어깨팔A!$C:$C,$A19)+SUMIFS(D6_당기기B!$E:$E,D6_당기기B!$C:$C,$A19)+SUMIFS(D7_밀기B!$E:$E,D7_밀기B!$C:$C,$A19)+SUMIFS(D8_하체B!$E:$E,D8_하체B!$C:$C,$A19)+SUMIFS(D9_어깨팔B!$E:$E,D9_어깨팔B!$C:$C,$A19)</f>
        <v>13</v>
      </c>
      <c r="C19" s="54">
        <f>MROUND(SUMIFS(간접계수맵!$F$7:$F$80,간접계수맵!$C$7:$C$80,$A19),0.5)</f>
        <v>0</v>
      </c>
      <c r="D19" s="55">
        <f t="shared" si="0"/>
        <v>13</v>
      </c>
      <c r="E19" s="7" t="str">
        <f t="shared" si="1"/>
        <v>유지</v>
      </c>
      <c r="F19" s="53" t="s">
        <v>574</v>
      </c>
      <c r="G19" s="57"/>
      <c r="J19" s="55">
        <f t="shared" si="2"/>
        <v>9.1</v>
      </c>
      <c r="L19" s="55">
        <f t="shared" si="3"/>
        <v>9.1</v>
      </c>
    </row>
    <row r="20" spans="1:12" ht="15" customHeight="1">
      <c r="A20" s="53" t="s">
        <v>44</v>
      </c>
      <c r="B20" s="7">
        <f>SUMIFS(D1_당기기A!$E:$E,D1_당기기A!$C:$C,$A20)+SUMIFS(D2_밀기A!$E:$E,D2_밀기A!$C:$C,$A20)+SUMIFS(D3_하체A!$E:$E,D3_하체A!$C:$C,$A20)+SUMIFS(D4_어깨팔A!$E:$E,D4_어깨팔A!$C:$C,$A20)+SUMIFS(D6_당기기B!$E:$E,D6_당기기B!$C:$C,$A20)+SUMIFS(D7_밀기B!$E:$E,D7_밀기B!$C:$C,$A20)+SUMIFS(D8_하체B!$E:$E,D8_하체B!$C:$C,$A20)+SUMIFS(D9_어깨팔B!$E:$E,D9_어깨팔B!$C:$C,$A20)</f>
        <v>11</v>
      </c>
      <c r="C20" s="54">
        <f ca="1">MROUND(SUMIFS(간접계수맵!$F$7:$F$80,간접계수맵!$C$7:$C$80,$A20),0.5)</f>
        <v>7</v>
      </c>
      <c r="D20" s="55">
        <f t="shared" ca="1" si="0"/>
        <v>18</v>
      </c>
      <c r="E20" s="7" t="str">
        <f t="shared" ca="1" si="1"/>
        <v>성장</v>
      </c>
      <c r="F20" s="53" t="s">
        <v>1085</v>
      </c>
      <c r="G20" s="57"/>
      <c r="J20" s="55">
        <f t="shared" ca="1" si="2"/>
        <v>12.6</v>
      </c>
      <c r="L20" s="55">
        <f t="shared" si="3"/>
        <v>7.7</v>
      </c>
    </row>
    <row r="21" spans="1:12" ht="15" customHeight="1">
      <c r="A21" s="53" t="s">
        <v>39</v>
      </c>
      <c r="B21" s="7">
        <f>SUMIFS(D1_당기기A!$E:$E,D1_당기기A!$C:$C,$A21)+SUMIFS(D2_밀기A!$E:$E,D2_밀기A!$C:$C,$A21)+SUMIFS(D3_하체A!$E:$E,D3_하체A!$C:$C,$A21)+SUMIFS(D4_어깨팔A!$E:$E,D4_어깨팔A!$C:$C,$A21)+SUMIFS(D6_당기기B!$E:$E,D6_당기기B!$C:$C,$A21)+SUMIFS(D7_밀기B!$E:$E,D7_밀기B!$C:$C,$A21)+SUMIFS(D8_하체B!$E:$E,D8_하체B!$C:$C,$A21)+SUMIFS(D9_어깨팔B!$E:$E,D9_어깨팔B!$C:$C,$A21)</f>
        <v>8</v>
      </c>
      <c r="C21" s="54">
        <f ca="1">MROUND(SUMIFS(간접계수맵!$F$7:$F$80,간접계수맵!$C$7:$C$80,$A21),0.5)</f>
        <v>12</v>
      </c>
      <c r="D21" s="55">
        <f t="shared" ca="1" si="0"/>
        <v>20</v>
      </c>
      <c r="E21" s="7" t="str">
        <f t="shared" ca="1" si="1"/>
        <v>성장</v>
      </c>
      <c r="F21" s="53" t="s">
        <v>575</v>
      </c>
      <c r="G21" s="57"/>
      <c r="J21" s="55">
        <f t="shared" ca="1" si="2"/>
        <v>14</v>
      </c>
      <c r="L21" s="55">
        <f t="shared" si="3"/>
        <v>5.6</v>
      </c>
    </row>
    <row r="22" spans="1:12" ht="16.5" customHeight="1">
      <c r="A22" s="53" t="s">
        <v>45</v>
      </c>
      <c r="B22" s="7">
        <f>SUMIFS(D1_당기기A!$E:$E,D1_당기기A!$C:$C,$A22)+SUMIFS(D2_밀기A!$E:$E,D2_밀기A!$C:$C,$A22)+SUMIFS(D3_하체A!$E:$E,D3_하체A!$C:$C,$A22)+SUMIFS(D4_어깨팔A!$E:$E,D4_어깨팔A!$C:$C,$A22)+SUMIFS(D6_당기기B!$E:$E,D6_당기기B!$C:$C,$A22)+SUMIFS(D7_밀기B!$E:$E,D7_밀기B!$C:$C,$A22)+SUMIFS(D8_하체B!$E:$E,D8_하체B!$C:$C,$A22)+SUMIFS(D9_어깨팔B!$E:$E,D9_어깨팔B!$C:$C,$A22)</f>
        <v>11</v>
      </c>
      <c r="C22" s="54">
        <f ca="1">MROUND(SUMIFS(간접계수맵!$F$7:$F$80,간접계수맵!$C$7:$C$80,$A22),0.5)</f>
        <v>3.5</v>
      </c>
      <c r="D22" s="55">
        <f t="shared" ca="1" si="0"/>
        <v>14.5</v>
      </c>
      <c r="E22" s="7" t="str">
        <f t="shared" ca="1" si="1"/>
        <v>성장</v>
      </c>
      <c r="F22" s="53" t="s">
        <v>576</v>
      </c>
      <c r="G22" s="57"/>
      <c r="J22" s="55">
        <f t="shared" ca="1" si="2"/>
        <v>10.199999999999999</v>
      </c>
      <c r="L22" s="55">
        <f t="shared" si="3"/>
        <v>7.7</v>
      </c>
    </row>
    <row r="23" spans="1:12" ht="24" customHeight="1">
      <c r="A23" s="53" t="s">
        <v>260</v>
      </c>
      <c r="B23" s="59">
        <f>SUMIFS(D1_당기기A!$E:$E,D1_당기기A!$C:$C,$A23)+SUMIFS(D2_밀기A!$E:$E,D2_밀기A!$C:$C,$A23)+SUMIFS(D3_하체A!$E:$E,D3_하체A!$C:$C,$A23)+SUMIFS(D4_어깨팔A!$E:$E,D4_어깨팔A!$C:$C,$A23)+SUMIFS(D6_당기기B!$E:$E,D6_당기기B!$C:$C,$A23)+SUMIFS(D7_밀기B!$E:$E,D7_밀기B!$C:$C,$A23)+SUMIFS(D8_하체B!$E:$E,D8_하체B!$C:$C,$A23)+SUMIFS(D9_어깨팔B!$E:$E,D9_어깨팔B!$C:$C,$A23)</f>
        <v>13</v>
      </c>
      <c r="C23" s="54">
        <f>MROUND(SUMIFS(간접계수맵!$F$7:$F$80,간접계수맵!$C$7:$C$80,$A23),0.5)</f>
        <v>0</v>
      </c>
      <c r="D23" s="55">
        <f t="shared" si="0"/>
        <v>13</v>
      </c>
      <c r="E23" s="7" t="str">
        <f t="shared" si="1"/>
        <v>유지</v>
      </c>
      <c r="F23" s="53" t="s">
        <v>577</v>
      </c>
      <c r="G23" s="57"/>
      <c r="J23" s="55">
        <f t="shared" si="2"/>
        <v>9.1</v>
      </c>
      <c r="L23" s="55">
        <f t="shared" si="3"/>
        <v>9.1</v>
      </c>
    </row>
    <row r="24" spans="1:12" ht="15" customHeight="1">
      <c r="A24" s="53" t="s">
        <v>333</v>
      </c>
      <c r="B24" s="59">
        <f>SUMIFS(D1_당기기A!$E:$E,D1_당기기A!$C:$C,$A24)+SUMIFS(D2_밀기A!$E:$E,D2_밀기A!$C:$C,$A24)+SUMIFS(D3_하체A!$E:$E,D3_하체A!$C:$C,$A24)+SUMIFS(D4_어깨팔A!$E:$E,D4_어깨팔A!$C:$C,$A24)+SUMIFS(D6_당기기B!$E:$E,D6_당기기B!$C:$C,$A24)+SUMIFS(D7_밀기B!$E:$E,D7_밀기B!$C:$C,$A24)+SUMIFS(D8_하체B!$E:$E,D8_하체B!$C:$C,$A24)+SUMIFS(D9_어깨팔B!$E:$E,D9_어깨팔B!$C:$C,$A24)</f>
        <v>9</v>
      </c>
      <c r="C24" s="54">
        <f ca="1">MROUND(SUMIFS(간접계수맵!$F$7:$F$80,간접계수맵!$C$7:$C$80,$A24),0.5)</f>
        <v>4.5</v>
      </c>
      <c r="D24" s="55">
        <f t="shared" ca="1" si="0"/>
        <v>13.5</v>
      </c>
      <c r="E24" s="7" t="str">
        <f t="shared" ca="1" si="1"/>
        <v>유지</v>
      </c>
      <c r="F24" s="53" t="s">
        <v>578</v>
      </c>
      <c r="G24" s="57"/>
      <c r="J24" s="55">
        <f t="shared" ca="1" si="2"/>
        <v>9.5</v>
      </c>
      <c r="L24" s="55">
        <f t="shared" si="3"/>
        <v>6.3</v>
      </c>
    </row>
    <row r="25" spans="1:12" ht="36" customHeight="1">
      <c r="A25" s="60" t="s">
        <v>579</v>
      </c>
      <c r="B25" s="15">
        <f>SUM(B5:B24)</f>
        <v>240</v>
      </c>
      <c r="C25" s="61"/>
      <c r="D25" s="62">
        <f ca="1">SUM(D5:D24)</f>
        <v>310</v>
      </c>
      <c r="E25" s="61"/>
      <c r="F25" s="61"/>
      <c r="J25" s="62">
        <f t="shared" ca="1" si="2"/>
        <v>217</v>
      </c>
      <c r="L25" s="62">
        <f t="shared" si="3"/>
        <v>168</v>
      </c>
    </row>
    <row r="26" spans="1:12" ht="15" customHeight="1">
      <c r="A26" s="13" t="s">
        <v>580</v>
      </c>
    </row>
    <row r="27" spans="1:12" ht="16.5" customHeight="1">
      <c r="A27" s="11" t="s">
        <v>581</v>
      </c>
    </row>
    <row r="28" spans="1:12" ht="36" customHeight="1">
      <c r="A28" s="11" t="s">
        <v>582</v>
      </c>
    </row>
    <row r="29" spans="1:12" ht="48" customHeight="1">
      <c r="A29" s="11" t="s">
        <v>583</v>
      </c>
    </row>
    <row r="30" spans="1:12" ht="48" customHeight="1">
      <c r="A30" s="63"/>
    </row>
    <row r="31" spans="1:12" ht="15" customHeight="1">
      <c r="A31" s="13" t="s">
        <v>584</v>
      </c>
    </row>
    <row r="32" spans="1:12" ht="16.5" customHeight="1">
      <c r="A32" s="11" t="s">
        <v>585</v>
      </c>
    </row>
    <row r="33" spans="1:1" ht="48" customHeight="1">
      <c r="A33" s="11" t="s">
        <v>586</v>
      </c>
    </row>
    <row r="34" spans="1:1" ht="48" customHeight="1">
      <c r="A34" s="11" t="s">
        <v>587</v>
      </c>
    </row>
    <row r="35" spans="1:1" ht="15" customHeight="1">
      <c r="A35" s="63"/>
    </row>
    <row r="36" spans="1:1" ht="48" customHeight="1">
      <c r="A36" s="13" t="s">
        <v>588</v>
      </c>
    </row>
    <row r="37" spans="1:1" ht="77.25" customHeight="1">
      <c r="A37" s="11" t="s">
        <v>589</v>
      </c>
    </row>
    <row r="38" spans="1:1" ht="48" customHeight="1">
      <c r="A38" s="11" t="s">
        <v>590</v>
      </c>
    </row>
    <row r="39" spans="1:1" ht="39" customHeight="1">
      <c r="A39" s="63" t="s">
        <v>591</v>
      </c>
    </row>
    <row r="40" spans="1:1" ht="45" customHeight="1">
      <c r="A40" s="11" t="s">
        <v>592</v>
      </c>
    </row>
    <row r="41" spans="1:1" ht="48" customHeight="1">
      <c r="A41" s="11" t="s">
        <v>593</v>
      </c>
    </row>
    <row r="42" spans="1:1" ht="48" customHeight="1">
      <c r="A42" s="11" t="s">
        <v>594</v>
      </c>
    </row>
    <row r="43" spans="1:1" ht="48" customHeight="1">
      <c r="A43" s="11" t="s">
        <v>595</v>
      </c>
    </row>
    <row r="44" spans="1:1" ht="48" customHeight="1">
      <c r="A44" s="90" t="s">
        <v>596</v>
      </c>
    </row>
    <row r="45" spans="1:1" ht="51.75" customHeight="1">
      <c r="A45" t="s">
        <v>597</v>
      </c>
    </row>
    <row r="46" spans="1:1" ht="90" customHeight="1">
      <c r="A46" s="11" t="s">
        <v>598</v>
      </c>
    </row>
    <row r="47" spans="1:1" ht="51.75" customHeight="1">
      <c r="A47" s="11" t="s">
        <v>599</v>
      </c>
    </row>
    <row r="48" spans="1:1" ht="48" customHeight="1">
      <c r="A48" s="11" t="s">
        <v>600</v>
      </c>
    </row>
    <row r="49" spans="1:5" ht="48" customHeight="1">
      <c r="A49" s="11" t="s">
        <v>601</v>
      </c>
    </row>
    <row r="50" spans="1:5" ht="48" customHeight="1">
      <c r="A50" s="11" t="s">
        <v>602</v>
      </c>
    </row>
    <row r="51" spans="1:5">
      <c r="A51" t="s">
        <v>603</v>
      </c>
    </row>
    <row r="52" spans="1:5">
      <c r="A52" t="s">
        <v>604</v>
      </c>
    </row>
    <row r="53" spans="1:5">
      <c r="A53" t="s">
        <v>605</v>
      </c>
    </row>
    <row r="54" spans="1:5">
      <c r="A54" t="s">
        <v>606</v>
      </c>
    </row>
    <row r="55" spans="1:5">
      <c r="A55" t="s">
        <v>607</v>
      </c>
    </row>
    <row r="57" spans="1:5">
      <c r="A57" s="93" t="s">
        <v>608</v>
      </c>
    </row>
    <row r="58" spans="1:5">
      <c r="A58" s="100" t="s">
        <v>609</v>
      </c>
      <c r="B58" s="100" t="s">
        <v>610</v>
      </c>
      <c r="C58" s="100" t="s">
        <v>611</v>
      </c>
      <c r="D58" s="100" t="s">
        <v>612</v>
      </c>
      <c r="E58" s="100" t="s">
        <v>613</v>
      </c>
    </row>
    <row r="59" spans="1:5">
      <c r="A59" s="101">
        <v>46269</v>
      </c>
      <c r="B59" s="102" t="s">
        <v>149</v>
      </c>
      <c r="C59" s="102">
        <v>239</v>
      </c>
      <c r="D59" s="102" t="s">
        <v>614</v>
      </c>
      <c r="E59" s="102" t="s">
        <v>149</v>
      </c>
    </row>
    <row r="60" spans="1:5">
      <c r="A60" s="106">
        <v>46269</v>
      </c>
      <c r="B60" s="107">
        <v>239</v>
      </c>
      <c r="C60" s="107">
        <v>239</v>
      </c>
      <c r="D60" s="107" t="s">
        <v>615</v>
      </c>
      <c r="E60" s="107" t="s">
        <v>616</v>
      </c>
    </row>
    <row r="61" spans="1:5">
      <c r="A61" s="110">
        <v>46270</v>
      </c>
      <c r="B61" s="111">
        <v>239</v>
      </c>
      <c r="C61" s="111">
        <v>244</v>
      </c>
      <c r="D61" s="111" t="s">
        <v>617</v>
      </c>
      <c r="E61" s="111" t="s">
        <v>618</v>
      </c>
    </row>
    <row r="62" spans="1:5">
      <c r="A62" s="104" t="s">
        <v>619</v>
      </c>
    </row>
    <row r="63" spans="1:5">
      <c r="A63" t="s">
        <v>620</v>
      </c>
    </row>
    <row r="64" spans="1:5">
      <c r="A64" t="s">
        <v>621</v>
      </c>
    </row>
    <row r="65" spans="1:1">
      <c r="A65" t="s">
        <v>622</v>
      </c>
    </row>
    <row r="66" spans="1:1">
      <c r="A66" t="s">
        <v>623</v>
      </c>
    </row>
    <row r="67" spans="1:1">
      <c r="A67" t="s">
        <v>624</v>
      </c>
    </row>
    <row r="68" spans="1:1">
      <c r="A68" t="s">
        <v>625</v>
      </c>
    </row>
  </sheetData>
  <mergeCells count="3">
    <mergeCell ref="G5:G6"/>
    <mergeCell ref="G17:G18"/>
    <mergeCell ref="G7:G10"/>
  </mergeCells>
  <phoneticPr fontId="32" type="noConversion"/>
  <conditionalFormatting sqref="H3">
    <cfRule type="cellIs" dxfId="5" priority="3" operator="lessThan">
      <formula>0</formula>
    </cfRule>
  </conditionalFormatting>
  <conditionalFormatting sqref="L3">
    <cfRule type="cellIs" dxfId="4" priority="1" operator="equal">
      <formula>"INVALID"</formula>
    </cfRule>
    <cfRule type="cellIs" dxfId="3" priority="2" operator="equal">
      <formula>"VALID"</formula>
    </cfRule>
  </conditionalFormatting>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36"/>
  <sheetViews>
    <sheetView zoomScaleNormal="100" workbookViewId="0">
      <selection activeCell="F28" sqref="F28"/>
    </sheetView>
  </sheetViews>
  <sheetFormatPr defaultColWidth="8.7109375" defaultRowHeight="15"/>
  <cols>
    <col min="1" max="1" width="9" customWidth="1"/>
    <col min="2" max="2" width="12" customWidth="1"/>
    <col min="3" max="3" width="13" customWidth="1"/>
    <col min="4" max="4" width="8" customWidth="1"/>
    <col min="5" max="5" width="13" customWidth="1"/>
    <col min="6" max="6" width="8" customWidth="1"/>
    <col min="7" max="7" width="13" customWidth="1"/>
    <col min="8" max="8" width="8" customWidth="1"/>
    <col min="9" max="9" width="13" customWidth="1"/>
    <col min="10" max="10" width="8" customWidth="1"/>
    <col min="11" max="11" width="34" customWidth="1"/>
    <col min="12" max="12" width="15" customWidth="1"/>
    <col min="13" max="13" width="14" customWidth="1"/>
  </cols>
  <sheetData>
    <row r="1" spans="1:13" ht="18" customHeight="1">
      <c r="A1" s="1" t="s">
        <v>626</v>
      </c>
    </row>
    <row r="2" spans="1:13" ht="15" customHeight="1">
      <c r="A2" s="2" t="s">
        <v>627</v>
      </c>
    </row>
    <row r="4" spans="1:13" ht="15" customHeight="1">
      <c r="A4" s="3" t="s">
        <v>628</v>
      </c>
    </row>
    <row r="5" spans="1:13" ht="15" customHeight="1">
      <c r="A5" s="64" t="s">
        <v>629</v>
      </c>
      <c r="C5" s="4">
        <v>5</v>
      </c>
      <c r="D5" s="63" t="s">
        <v>630</v>
      </c>
    </row>
    <row r="6" spans="1:13" ht="15" customHeight="1">
      <c r="A6" s="64" t="s">
        <v>631</v>
      </c>
      <c r="C6" s="4">
        <v>5</v>
      </c>
      <c r="D6" s="63" t="s">
        <v>632</v>
      </c>
    </row>
    <row r="7" spans="1:13" ht="15" customHeight="1">
      <c r="A7" s="64" t="s">
        <v>633</v>
      </c>
      <c r="C7" s="4">
        <v>2</v>
      </c>
      <c r="D7" s="63" t="s">
        <v>1181</v>
      </c>
      <c r="H7">
        <f>SUM(D7:D10)</f>
        <v>0</v>
      </c>
    </row>
    <row r="8" spans="1:13" ht="84" customHeight="1">
      <c r="A8" s="64" t="s">
        <v>634</v>
      </c>
      <c r="C8" s="4">
        <v>1</v>
      </c>
      <c r="D8" s="63" t="s">
        <v>1182</v>
      </c>
    </row>
    <row r="9" spans="1:13" ht="15" customHeight="1">
      <c r="A9" s="5" t="s">
        <v>127</v>
      </c>
      <c r="B9" s="5" t="s">
        <v>635</v>
      </c>
      <c r="C9" s="5" t="s">
        <v>636</v>
      </c>
      <c r="D9" s="5" t="s">
        <v>637</v>
      </c>
      <c r="E9" s="5" t="s">
        <v>638</v>
      </c>
      <c r="F9" s="5" t="s">
        <v>637</v>
      </c>
      <c r="G9" s="5" t="s">
        <v>639</v>
      </c>
      <c r="H9" s="5" t="s">
        <v>637</v>
      </c>
      <c r="I9" s="5" t="s">
        <v>640</v>
      </c>
      <c r="J9" s="5" t="s">
        <v>637</v>
      </c>
      <c r="K9" s="5" t="s">
        <v>13</v>
      </c>
      <c r="L9" s="100" t="s">
        <v>641</v>
      </c>
      <c r="M9" s="100" t="s">
        <v>642</v>
      </c>
    </row>
    <row r="10" spans="1:13" ht="15" customHeight="1">
      <c r="A10" s="8" t="s">
        <v>128</v>
      </c>
      <c r="B10" s="4"/>
      <c r="C10" s="16">
        <f>시작중량_설정!$D$7</f>
        <v>37</v>
      </c>
      <c r="D10" s="4"/>
      <c r="E10" s="16">
        <f>시작중량_설정!$D$8</f>
        <v>42</v>
      </c>
      <c r="F10" s="4"/>
      <c r="G10" s="16">
        <f>시작중량_설정!$D$9</f>
        <v>23</v>
      </c>
      <c r="H10" s="4"/>
      <c r="I10" s="16">
        <f>시작중량_설정!$D$10</f>
        <v>20</v>
      </c>
      <c r="J10" s="4"/>
      <c r="K10" s="65"/>
      <c r="L10" s="103"/>
      <c r="M10" s="103"/>
    </row>
    <row r="11" spans="1:13" ht="15" customHeight="1">
      <c r="A11" s="8" t="s">
        <v>129</v>
      </c>
      <c r="B11" s="4"/>
      <c r="C11" s="16">
        <f t="shared" ref="C11:C21" si="0">IF(OR(D10="",D10="O"),(C10+$C$6+(MOD(C10+$C$6,5)=4)),C10)</f>
        <v>42</v>
      </c>
      <c r="D11" s="4"/>
      <c r="E11" s="16">
        <f t="shared" ref="E11:E21" si="1">IF(OR(F10="",F10="O"),(E10+$C$5+(MOD(E10+$C$5,5)=4)),E10)</f>
        <v>47</v>
      </c>
      <c r="F11" s="4"/>
      <c r="G11" s="16">
        <f t="shared" ref="G11:G21" si="2">IF(OR(H10="",H10="O"),(G10+$C$7+(MOD(G10+$C$7,5)=4)),G10)</f>
        <v>25</v>
      </c>
      <c r="H11" s="4"/>
      <c r="I11" s="16">
        <f t="shared" ref="I11:I21" si="3">IF(OR(J10="",J10="O"),(I10+$C$8+(MOD(I10+$C$8,5)=4)),I10)</f>
        <v>21</v>
      </c>
      <c r="J11" s="4"/>
      <c r="K11" s="65"/>
      <c r="L11" s="103"/>
      <c r="M11" s="103"/>
    </row>
    <row r="12" spans="1:13" ht="15" customHeight="1">
      <c r="A12" s="8" t="s">
        <v>130</v>
      </c>
      <c r="B12" s="4"/>
      <c r="C12" s="16">
        <f t="shared" si="0"/>
        <v>47</v>
      </c>
      <c r="D12" s="4"/>
      <c r="E12" s="16">
        <f t="shared" si="1"/>
        <v>52</v>
      </c>
      <c r="F12" s="4"/>
      <c r="G12" s="16">
        <f t="shared" si="2"/>
        <v>27</v>
      </c>
      <c r="H12" s="4"/>
      <c r="I12" s="16">
        <f t="shared" si="3"/>
        <v>22</v>
      </c>
      <c r="J12" s="4"/>
      <c r="K12" s="65"/>
      <c r="L12" s="103"/>
      <c r="M12" s="103"/>
    </row>
    <row r="13" spans="1:13" ht="15" customHeight="1">
      <c r="A13" s="8" t="s">
        <v>131</v>
      </c>
      <c r="B13" s="84">
        <v>46258</v>
      </c>
      <c r="C13" s="16">
        <f t="shared" si="0"/>
        <v>52</v>
      </c>
      <c r="D13" s="4"/>
      <c r="E13" s="16">
        <f t="shared" si="1"/>
        <v>57</v>
      </c>
      <c r="F13" s="4"/>
      <c r="G13" s="16">
        <f t="shared" si="2"/>
        <v>30</v>
      </c>
      <c r="H13" s="4"/>
      <c r="I13" s="16">
        <f t="shared" si="3"/>
        <v>23</v>
      </c>
      <c r="J13" s="4"/>
      <c r="K13" s="65"/>
      <c r="L13" s="103"/>
      <c r="M13" s="103"/>
    </row>
    <row r="14" spans="1:13" ht="15" customHeight="1">
      <c r="A14" s="8" t="s">
        <v>132</v>
      </c>
      <c r="B14" s="84">
        <v>46266</v>
      </c>
      <c r="C14" s="16">
        <f t="shared" si="0"/>
        <v>57</v>
      </c>
      <c r="D14" s="4"/>
      <c r="E14" s="16">
        <f t="shared" si="1"/>
        <v>62</v>
      </c>
      <c r="F14" s="4"/>
      <c r="G14" s="16">
        <f t="shared" si="2"/>
        <v>32</v>
      </c>
      <c r="H14" s="4"/>
      <c r="I14" s="16">
        <f t="shared" si="3"/>
        <v>25</v>
      </c>
      <c r="J14" s="4"/>
      <c r="K14" s="65" t="s">
        <v>1088</v>
      </c>
      <c r="L14" s="103"/>
      <c r="M14" s="103"/>
    </row>
    <row r="15" spans="1:13" ht="15" customHeight="1">
      <c r="A15" s="8" t="s">
        <v>133</v>
      </c>
      <c r="B15" s="4"/>
      <c r="C15" s="16">
        <f t="shared" si="0"/>
        <v>62</v>
      </c>
      <c r="D15" s="4"/>
      <c r="E15" s="16">
        <f t="shared" si="1"/>
        <v>67</v>
      </c>
      <c r="F15" s="4"/>
      <c r="G15" s="16">
        <f t="shared" si="2"/>
        <v>35</v>
      </c>
      <c r="H15" s="4"/>
      <c r="I15" s="16">
        <f t="shared" si="3"/>
        <v>26</v>
      </c>
      <c r="J15" s="4"/>
      <c r="K15" s="65"/>
      <c r="L15" s="103"/>
      <c r="M15" s="103"/>
    </row>
    <row r="16" spans="1:13" ht="15" customHeight="1">
      <c r="A16" s="8" t="s">
        <v>134</v>
      </c>
      <c r="B16" s="4"/>
      <c r="C16" s="16">
        <f t="shared" si="0"/>
        <v>67</v>
      </c>
      <c r="D16" s="4"/>
      <c r="E16" s="16">
        <f t="shared" si="1"/>
        <v>72</v>
      </c>
      <c r="F16" s="4"/>
      <c r="G16" s="16">
        <f t="shared" si="2"/>
        <v>37</v>
      </c>
      <c r="H16" s="4"/>
      <c r="I16" s="16">
        <f t="shared" si="3"/>
        <v>27</v>
      </c>
      <c r="J16" s="4"/>
      <c r="K16" s="65"/>
      <c r="L16" s="103"/>
      <c r="M16" s="103"/>
    </row>
    <row r="17" spans="1:13" ht="15" customHeight="1">
      <c r="A17" s="8" t="s">
        <v>135</v>
      </c>
      <c r="B17" s="4"/>
      <c r="C17" s="16">
        <f t="shared" si="0"/>
        <v>72</v>
      </c>
      <c r="D17" s="4"/>
      <c r="E17" s="16">
        <f t="shared" si="1"/>
        <v>77</v>
      </c>
      <c r="F17" s="4"/>
      <c r="G17" s="16">
        <f t="shared" si="2"/>
        <v>40</v>
      </c>
      <c r="H17" s="4"/>
      <c r="I17" s="16">
        <f t="shared" si="3"/>
        <v>28</v>
      </c>
      <c r="J17" s="4"/>
      <c r="K17" s="65"/>
      <c r="L17" s="103"/>
      <c r="M17" s="103"/>
    </row>
    <row r="18" spans="1:13" ht="15" customHeight="1">
      <c r="A18" s="8" t="s">
        <v>136</v>
      </c>
      <c r="B18" s="4"/>
      <c r="C18" s="16">
        <f t="shared" si="0"/>
        <v>77</v>
      </c>
      <c r="D18" s="4"/>
      <c r="E18" s="16">
        <f t="shared" si="1"/>
        <v>82</v>
      </c>
      <c r="F18" s="4"/>
      <c r="G18" s="16">
        <f t="shared" si="2"/>
        <v>42</v>
      </c>
      <c r="H18" s="4"/>
      <c r="I18" s="16">
        <f t="shared" si="3"/>
        <v>30</v>
      </c>
      <c r="J18" s="4"/>
      <c r="K18" s="65"/>
      <c r="L18" s="103"/>
      <c r="M18" s="103"/>
    </row>
    <row r="19" spans="1:13" ht="15" customHeight="1">
      <c r="A19" s="8" t="s">
        <v>137</v>
      </c>
      <c r="B19" s="4"/>
      <c r="C19" s="16">
        <f t="shared" si="0"/>
        <v>82</v>
      </c>
      <c r="D19" s="4"/>
      <c r="E19" s="16">
        <f t="shared" si="1"/>
        <v>87</v>
      </c>
      <c r="F19" s="4"/>
      <c r="G19" s="16">
        <f t="shared" si="2"/>
        <v>45</v>
      </c>
      <c r="H19" s="4"/>
      <c r="I19" s="16">
        <f t="shared" si="3"/>
        <v>31</v>
      </c>
      <c r="J19" s="4"/>
      <c r="K19" s="65"/>
      <c r="L19" s="103"/>
      <c r="M19" s="103"/>
    </row>
    <row r="20" spans="1:13" ht="15" customHeight="1">
      <c r="A20" s="8" t="s">
        <v>138</v>
      </c>
      <c r="B20" s="4"/>
      <c r="C20" s="16">
        <f t="shared" si="0"/>
        <v>87</v>
      </c>
      <c r="D20" s="4"/>
      <c r="E20" s="16">
        <f t="shared" si="1"/>
        <v>92</v>
      </c>
      <c r="F20" s="4"/>
      <c r="G20" s="16">
        <f t="shared" si="2"/>
        <v>47</v>
      </c>
      <c r="H20" s="4"/>
      <c r="I20" s="16">
        <f t="shared" si="3"/>
        <v>32</v>
      </c>
      <c r="J20" s="4"/>
      <c r="K20" s="65"/>
      <c r="L20" s="103"/>
      <c r="M20" s="103"/>
    </row>
    <row r="21" spans="1:13" ht="15" customHeight="1">
      <c r="A21" s="8" t="s">
        <v>139</v>
      </c>
      <c r="B21" s="4"/>
      <c r="C21" s="16">
        <f t="shared" si="0"/>
        <v>92</v>
      </c>
      <c r="D21" s="4"/>
      <c r="E21" s="16">
        <f t="shared" si="1"/>
        <v>97</v>
      </c>
      <c r="F21" s="4"/>
      <c r="G21" s="16">
        <f t="shared" si="2"/>
        <v>50</v>
      </c>
      <c r="H21" s="4"/>
      <c r="I21" s="16">
        <f t="shared" si="3"/>
        <v>33</v>
      </c>
      <c r="J21" s="4"/>
      <c r="K21" s="65"/>
      <c r="L21" s="103"/>
      <c r="M21" s="103"/>
    </row>
    <row r="23" spans="1:13" ht="108" customHeight="1">
      <c r="A23" s="11" t="s">
        <v>643</v>
      </c>
    </row>
    <row r="24" spans="1:13" ht="84" customHeight="1">
      <c r="A24" s="11" t="s">
        <v>644</v>
      </c>
    </row>
    <row r="25" spans="1:13" ht="84" customHeight="1">
      <c r="A25" s="11" t="s">
        <v>645</v>
      </c>
    </row>
    <row r="26" spans="1:13" ht="120" customHeight="1">
      <c r="A26" s="11"/>
    </row>
    <row r="27" spans="1:13" ht="96" customHeight="1">
      <c r="A27" s="11" t="s">
        <v>646</v>
      </c>
    </row>
    <row r="28" spans="1:13" ht="108" customHeight="1">
      <c r="A28" s="11" t="s">
        <v>647</v>
      </c>
    </row>
    <row r="29" spans="1:13" ht="108" customHeight="1">
      <c r="A29" s="11" t="s">
        <v>648</v>
      </c>
    </row>
    <row r="30" spans="1:13" ht="156" customHeight="1">
      <c r="A30" s="11" t="s">
        <v>649</v>
      </c>
    </row>
    <row r="31" spans="1:13" ht="96" customHeight="1">
      <c r="A31" s="11" t="s">
        <v>650</v>
      </c>
    </row>
    <row r="32" spans="1:13">
      <c r="A32" t="s">
        <v>651</v>
      </c>
    </row>
    <row r="33" spans="1:1">
      <c r="A33" t="s">
        <v>652</v>
      </c>
    </row>
    <row r="34" spans="1:1">
      <c r="A34" t="s">
        <v>653</v>
      </c>
    </row>
    <row r="35" spans="1:1">
      <c r="A35" t="s">
        <v>654</v>
      </c>
    </row>
    <row r="36" spans="1:1">
      <c r="A36" t="s">
        <v>655</v>
      </c>
    </row>
  </sheetData>
  <phoneticPr fontId="32" type="noConversion"/>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30"/>
  <sheetViews>
    <sheetView zoomScaleNormal="100" workbookViewId="0"/>
  </sheetViews>
  <sheetFormatPr defaultColWidth="8.7109375" defaultRowHeight="15"/>
  <cols>
    <col min="1" max="2" width="26" customWidth="1"/>
    <col min="3" max="3" width="60" customWidth="1"/>
  </cols>
  <sheetData>
    <row r="1" spans="1:3" ht="18" customHeight="1">
      <c r="A1" s="66" t="s">
        <v>656</v>
      </c>
    </row>
    <row r="2" spans="1:3" ht="15" customHeight="1">
      <c r="A2" s="2" t="s">
        <v>657</v>
      </c>
    </row>
    <row r="4" spans="1:3" ht="15" customHeight="1">
      <c r="A4" s="5" t="s">
        <v>658</v>
      </c>
      <c r="B4" s="5" t="s">
        <v>659</v>
      </c>
      <c r="C4" s="5" t="s">
        <v>660</v>
      </c>
    </row>
    <row r="5" spans="1:3" ht="15" customHeight="1">
      <c r="A5" s="7" t="s">
        <v>562</v>
      </c>
      <c r="B5" s="7" t="s">
        <v>661</v>
      </c>
      <c r="C5" s="53" t="s">
        <v>662</v>
      </c>
    </row>
    <row r="6" spans="1:3" ht="15" customHeight="1">
      <c r="A6" s="7" t="s">
        <v>663</v>
      </c>
      <c r="B6" s="7" t="s">
        <v>661</v>
      </c>
      <c r="C6" s="53" t="s">
        <v>664</v>
      </c>
    </row>
    <row r="7" spans="1:3" ht="15" customHeight="1">
      <c r="A7" s="7" t="s">
        <v>271</v>
      </c>
      <c r="B7" s="7" t="s">
        <v>665</v>
      </c>
      <c r="C7" s="53" t="s">
        <v>666</v>
      </c>
    </row>
    <row r="8" spans="1:3" ht="15" customHeight="1">
      <c r="A8" s="67" t="s">
        <v>667</v>
      </c>
      <c r="B8" s="67" t="s">
        <v>668</v>
      </c>
      <c r="C8" s="68" t="s">
        <v>669</v>
      </c>
    </row>
    <row r="9" spans="1:3" ht="15" customHeight="1">
      <c r="A9" s="67" t="s">
        <v>670</v>
      </c>
      <c r="B9" s="67" t="s">
        <v>668</v>
      </c>
      <c r="C9" s="68" t="s">
        <v>671</v>
      </c>
    </row>
    <row r="10" spans="1:3" ht="15" customHeight="1">
      <c r="A10" s="7" t="s">
        <v>672</v>
      </c>
      <c r="B10" s="7" t="s">
        <v>673</v>
      </c>
      <c r="C10" s="69" t="s">
        <v>674</v>
      </c>
    </row>
    <row r="11" spans="1:3" ht="15" customHeight="1">
      <c r="A11" s="7" t="s">
        <v>675</v>
      </c>
      <c r="B11" s="8" t="s">
        <v>676</v>
      </c>
      <c r="C11" s="53" t="s">
        <v>677</v>
      </c>
    </row>
    <row r="12" spans="1:3" ht="15" customHeight="1">
      <c r="A12" s="7" t="s">
        <v>678</v>
      </c>
      <c r="B12" s="7" t="s">
        <v>679</v>
      </c>
      <c r="C12" s="53" t="s">
        <v>680</v>
      </c>
    </row>
    <row r="15" spans="1:3" ht="24" customHeight="1">
      <c r="A15" s="11" t="s">
        <v>681</v>
      </c>
    </row>
    <row r="16" spans="1:3" ht="24" customHeight="1">
      <c r="A16" s="11" t="s">
        <v>682</v>
      </c>
    </row>
    <row r="17" spans="1:1" ht="36" customHeight="1">
      <c r="A17" s="11" t="s">
        <v>683</v>
      </c>
    </row>
    <row r="18" spans="1:1" ht="15" customHeight="1">
      <c r="A18" s="63"/>
    </row>
    <row r="19" spans="1:1" ht="36" customHeight="1">
      <c r="A19" s="11" t="s">
        <v>684</v>
      </c>
    </row>
    <row r="20" spans="1:1" ht="36" customHeight="1">
      <c r="A20" s="11" t="s">
        <v>685</v>
      </c>
    </row>
    <row r="22" spans="1:1" ht="48" customHeight="1">
      <c r="A22" s="13" t="s">
        <v>686</v>
      </c>
    </row>
    <row r="24" spans="1:1" ht="16.5" customHeight="1">
      <c r="A24" s="14" t="s">
        <v>687</v>
      </c>
    </row>
    <row r="25" spans="1:1" ht="16.5" customHeight="1">
      <c r="A25" t="s">
        <v>688</v>
      </c>
    </row>
    <row r="26" spans="1:1" ht="16.5" customHeight="1">
      <c r="A26" t="s">
        <v>689</v>
      </c>
    </row>
    <row r="27" spans="1:1" ht="16.5" customHeight="1">
      <c r="A27" t="s">
        <v>690</v>
      </c>
    </row>
    <row r="28" spans="1:1" ht="16.5" customHeight="1">
      <c r="A28" t="s">
        <v>691</v>
      </c>
    </row>
    <row r="30" spans="1:1" ht="16.5" customHeight="1">
      <c r="A30" t="s">
        <v>692</v>
      </c>
    </row>
  </sheetData>
  <phoneticPr fontId="32" type="noConversion"/>
  <pageMargins left="0.75" right="0.75" top="1" bottom="1"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G50"/>
  <sheetViews>
    <sheetView zoomScaleNormal="100" workbookViewId="0"/>
  </sheetViews>
  <sheetFormatPr defaultColWidth="8.7109375" defaultRowHeight="15"/>
  <cols>
    <col min="1" max="1" width="14" customWidth="1"/>
    <col min="2" max="2" width="16" customWidth="1"/>
    <col min="3" max="3" width="8" customWidth="1"/>
    <col min="4" max="4" width="24" customWidth="1"/>
    <col min="5" max="5" width="8" customWidth="1"/>
    <col min="6" max="6" width="22" customWidth="1"/>
    <col min="7" max="7" width="60" customWidth="1"/>
  </cols>
  <sheetData>
    <row r="1" spans="1:7" ht="17.25" customHeight="1">
      <c r="A1" s="1" t="s">
        <v>693</v>
      </c>
    </row>
    <row r="2" spans="1:7" ht="15" customHeight="1">
      <c r="A2" s="70" t="s">
        <v>694</v>
      </c>
    </row>
    <row r="3" spans="1:7" ht="16.5" customHeight="1">
      <c r="A3" s="3" t="s">
        <v>695</v>
      </c>
    </row>
    <row r="5" spans="1:7" ht="15" customHeight="1">
      <c r="A5" s="5" t="s">
        <v>696</v>
      </c>
      <c r="B5" s="5" t="s">
        <v>697</v>
      </c>
      <c r="C5" s="5" t="s">
        <v>698</v>
      </c>
      <c r="D5" s="5" t="s">
        <v>699</v>
      </c>
      <c r="E5" s="5" t="s">
        <v>7</v>
      </c>
      <c r="F5" s="5" t="s">
        <v>147</v>
      </c>
      <c r="G5" t="s">
        <v>700</v>
      </c>
    </row>
    <row r="6" spans="1:7" ht="15" customHeight="1">
      <c r="A6" s="71" t="s">
        <v>701</v>
      </c>
      <c r="B6" s="72" t="s">
        <v>702</v>
      </c>
      <c r="C6" s="72" t="s">
        <v>703</v>
      </c>
      <c r="D6" s="71" t="s">
        <v>704</v>
      </c>
      <c r="E6" s="71">
        <f>복귀_평일A_가슴!$E$27</f>
        <v>28</v>
      </c>
      <c r="F6" s="73" t="s">
        <v>705</v>
      </c>
      <c r="G6" t="s">
        <v>706</v>
      </c>
    </row>
    <row r="7" spans="1:7" ht="15" customHeight="1">
      <c r="A7" s="7" t="s">
        <v>707</v>
      </c>
      <c r="B7" s="8" t="s">
        <v>702</v>
      </c>
      <c r="C7" s="8" t="s">
        <v>703</v>
      </c>
      <c r="D7" s="67" t="s">
        <v>708</v>
      </c>
      <c r="E7" s="7">
        <f>복귀_평일B_어깨!$E$21</f>
        <v>35</v>
      </c>
      <c r="F7" s="69" t="s">
        <v>709</v>
      </c>
      <c r="G7" t="s">
        <v>710</v>
      </c>
    </row>
    <row r="8" spans="1:7" ht="15" customHeight="1">
      <c r="A8" s="71" t="s">
        <v>711</v>
      </c>
      <c r="B8" s="72" t="s">
        <v>712</v>
      </c>
      <c r="C8" s="72" t="s">
        <v>698</v>
      </c>
      <c r="D8" s="71" t="s">
        <v>713</v>
      </c>
      <c r="E8" s="71">
        <f>복귀_토_하체!$E$34</f>
        <v>37</v>
      </c>
      <c r="F8" s="73" t="s">
        <v>714</v>
      </c>
      <c r="G8" t="s">
        <v>715</v>
      </c>
    </row>
    <row r="9" spans="1:7" ht="15" customHeight="1">
      <c r="A9" s="71" t="s">
        <v>716</v>
      </c>
      <c r="B9" s="72" t="s">
        <v>717</v>
      </c>
      <c r="C9" s="72" t="s">
        <v>698</v>
      </c>
      <c r="D9" s="71" t="s">
        <v>718</v>
      </c>
      <c r="E9" s="71">
        <f>복귀_일_등!$E$27</f>
        <v>35</v>
      </c>
      <c r="F9" s="73" t="s">
        <v>719</v>
      </c>
      <c r="G9" t="s">
        <v>720</v>
      </c>
    </row>
    <row r="10" spans="1:7" ht="15" customHeight="1">
      <c r="A10" s="71" t="s">
        <v>721</v>
      </c>
      <c r="B10" s="72" t="s">
        <v>722</v>
      </c>
      <c r="C10" s="72" t="s">
        <v>149</v>
      </c>
      <c r="D10" s="71" t="s">
        <v>157</v>
      </c>
      <c r="E10" s="71">
        <v>0</v>
      </c>
      <c r="F10" s="73" t="s">
        <v>149</v>
      </c>
      <c r="G10" t="s">
        <v>723</v>
      </c>
    </row>
    <row r="11" spans="1:7" ht="15" customHeight="1">
      <c r="A11" s="7" t="s">
        <v>165</v>
      </c>
      <c r="B11" s="7"/>
      <c r="C11" s="7"/>
      <c r="D11" s="67"/>
      <c r="E11" s="7">
        <f>SUM(E6:E10)</f>
        <v>135</v>
      </c>
      <c r="F11" s="53" t="s">
        <v>724</v>
      </c>
    </row>
    <row r="12" spans="1:7" ht="15" customHeight="1">
      <c r="A12" s="7"/>
      <c r="B12" s="7"/>
      <c r="C12" s="7"/>
      <c r="D12" s="67"/>
      <c r="E12" s="7"/>
      <c r="F12" s="53"/>
    </row>
    <row r="13" spans="1:7" ht="15" customHeight="1">
      <c r="A13" s="28"/>
      <c r="B13" s="28"/>
      <c r="C13" s="28"/>
      <c r="D13" s="28"/>
      <c r="E13" s="28"/>
      <c r="F13" s="29"/>
    </row>
    <row r="15" spans="1:7" ht="48" customHeight="1">
      <c r="A15" s="13" t="s">
        <v>725</v>
      </c>
    </row>
    <row r="16" spans="1:7" ht="141" customHeight="1">
      <c r="A16" s="11" t="s">
        <v>726</v>
      </c>
    </row>
    <row r="17" spans="1:1" ht="126" customHeight="1">
      <c r="A17" s="11" t="s">
        <v>727</v>
      </c>
    </row>
    <row r="18" spans="1:1" ht="77.25" customHeight="1">
      <c r="A18" s="11" t="s">
        <v>728</v>
      </c>
    </row>
    <row r="19" spans="1:1" ht="115.5" customHeight="1">
      <c r="A19" s="11" t="s">
        <v>1204</v>
      </c>
    </row>
    <row r="20" spans="1:1" ht="15" customHeight="1">
      <c r="A20" s="63" t="s">
        <v>729</v>
      </c>
    </row>
    <row r="21" spans="1:1" ht="48" customHeight="1">
      <c r="A21" s="13"/>
    </row>
    <row r="22" spans="1:1" ht="141" customHeight="1">
      <c r="A22" s="11" t="s">
        <v>730</v>
      </c>
    </row>
    <row r="23" spans="1:1" ht="77.25" customHeight="1">
      <c r="A23" s="11" t="s">
        <v>731</v>
      </c>
    </row>
    <row r="24" spans="1:1" ht="90" customHeight="1">
      <c r="A24" s="11" t="s">
        <v>732</v>
      </c>
    </row>
    <row r="25" spans="1:1" ht="128.25" customHeight="1">
      <c r="A25" s="11" t="s">
        <v>733</v>
      </c>
    </row>
    <row r="26" spans="1:1" ht="128.25" customHeight="1">
      <c r="A26" s="11"/>
    </row>
    <row r="27" spans="1:1" ht="15" customHeight="1">
      <c r="A27" s="63" t="s">
        <v>734</v>
      </c>
    </row>
    <row r="28" spans="1:1" ht="48" customHeight="1">
      <c r="A28" s="13" t="s">
        <v>735</v>
      </c>
    </row>
    <row r="29" spans="1:1" ht="75" customHeight="1">
      <c r="A29" s="11" t="s">
        <v>736</v>
      </c>
    </row>
    <row r="30" spans="1:1" ht="102.75" customHeight="1">
      <c r="A30" s="11" t="s">
        <v>737</v>
      </c>
    </row>
    <row r="31" spans="1:1" ht="90" customHeight="1">
      <c r="A31" s="11" t="s">
        <v>738</v>
      </c>
    </row>
    <row r="32" spans="1:1" ht="128.25" customHeight="1">
      <c r="A32" s="11" t="s">
        <v>739</v>
      </c>
    </row>
    <row r="33" spans="1:1" ht="144" customHeight="1">
      <c r="A33" s="11"/>
    </row>
    <row r="34" spans="1:1" ht="15" customHeight="1">
      <c r="A34" s="74" t="s">
        <v>740</v>
      </c>
    </row>
    <row r="35" spans="1:1">
      <c r="A35" t="s">
        <v>741</v>
      </c>
    </row>
    <row r="36" spans="1:1">
      <c r="A36" t="s">
        <v>742</v>
      </c>
    </row>
    <row r="37" spans="1:1">
      <c r="A37" t="s">
        <v>743</v>
      </c>
    </row>
    <row r="39" spans="1:1">
      <c r="A39" t="s">
        <v>744</v>
      </c>
    </row>
    <row r="40" spans="1:1">
      <c r="A40" t="s">
        <v>745</v>
      </c>
    </row>
    <row r="41" spans="1:1">
      <c r="A41" t="s">
        <v>746</v>
      </c>
    </row>
    <row r="42" spans="1:1">
      <c r="A42" t="s">
        <v>747</v>
      </c>
    </row>
    <row r="44" spans="1:1">
      <c r="A44" t="s">
        <v>748</v>
      </c>
    </row>
    <row r="45" spans="1:1">
      <c r="A45" t="s">
        <v>203</v>
      </c>
    </row>
    <row r="46" spans="1:1">
      <c r="A46" t="s">
        <v>749</v>
      </c>
    </row>
    <row r="47" spans="1:1">
      <c r="A47" t="s">
        <v>750</v>
      </c>
    </row>
    <row r="48" spans="1:1">
      <c r="A48" t="s">
        <v>751</v>
      </c>
    </row>
    <row r="49" spans="1:1">
      <c r="A49" t="s">
        <v>752</v>
      </c>
    </row>
    <row r="50" spans="1:1">
      <c r="A50" t="s">
        <v>753</v>
      </c>
    </row>
  </sheetData>
  <phoneticPr fontId="32" type="noConversion"/>
  <pageMargins left="0.75" right="0.75" top="1" bottom="1"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N58"/>
  <sheetViews>
    <sheetView zoomScaleNormal="100" workbookViewId="0">
      <selection activeCell="G35" sqref="G35"/>
    </sheetView>
  </sheetViews>
  <sheetFormatPr defaultColWidth="8.7109375" defaultRowHeight="15"/>
  <cols>
    <col min="1" max="1" width="5" customWidth="1"/>
    <col min="2" max="2" width="34" customWidth="1"/>
    <col min="3" max="3" width="20" customWidth="1"/>
    <col min="4" max="4" width="14" customWidth="1"/>
    <col min="5" max="5" width="7" customWidth="1"/>
    <col min="6" max="6" width="12" customWidth="1"/>
    <col min="7" max="8" width="10" customWidth="1"/>
    <col min="9" max="9" width="9" customWidth="1"/>
    <col min="10" max="10" width="70" customWidth="1"/>
    <col min="11" max="11" width="55" customWidth="1"/>
    <col min="12" max="12" width="24" customWidth="1"/>
    <col min="13" max="14" width="11" customWidth="1"/>
  </cols>
  <sheetData>
    <row r="1" spans="1:3" ht="21" customHeight="1">
      <c r="A1" s="1" t="s">
        <v>754</v>
      </c>
    </row>
    <row r="2" spans="1:3" ht="15" customHeight="1">
      <c r="A2" s="2" t="s">
        <v>755</v>
      </c>
    </row>
    <row r="4" spans="1:3">
      <c r="A4" s="3" t="s">
        <v>1129</v>
      </c>
    </row>
    <row r="5" spans="1:3">
      <c r="A5" s="19" t="s">
        <v>1130</v>
      </c>
      <c r="B5" s="19" t="s">
        <v>1131</v>
      </c>
      <c r="C5" s="19" t="s">
        <v>1132</v>
      </c>
    </row>
    <row r="6" spans="1:3">
      <c r="A6" s="20">
        <f>MAX(20,(MROUND(시작중량_설정!$E$7*0.4,1)+(MOD(MROUND(시작중량_설정!$E$7*0.4,1),5)=4)))</f>
        <v>25</v>
      </c>
      <c r="B6" s="20">
        <v>5</v>
      </c>
      <c r="C6" s="20">
        <v>2</v>
      </c>
    </row>
    <row r="7" spans="1:3">
      <c r="A7" s="20">
        <f>IF(MAX(20,(MROUND(시작중량_설정!$E$7*0.6,1)+(MOD(MROUND(시작중량_설정!$E$7*0.6,1),5)=4)))&lt;=MAX(20,(MROUND(시작중량_설정!$E$7*0.4,1)+(MOD(MROUND(시작중량_설정!$E$7*0.4,1),5)=4))),"생략",MAX(20,(MROUND(시작중량_설정!$E$7*0.6,1)+(MOD(MROUND(시작중량_설정!$E$7*0.6,1),5)=4))))</f>
        <v>37</v>
      </c>
      <c r="B7" s="20">
        <v>5</v>
      </c>
      <c r="C7" s="20">
        <v>1</v>
      </c>
    </row>
    <row r="8" spans="1:3">
      <c r="A8" s="20">
        <f>IF(MAX(20,(MROUND(시작중량_설정!$E$7*0.75,1)+(MOD(MROUND(시작중량_설정!$E$7*0.75,1),5)=4)))&lt;=MAX(20,(MROUND(시작중량_설정!$E$7*0.6,1)+(MOD(MROUND(시작중량_설정!$E$7*0.6,1),5)=4))),"생략",MAX(20,(MROUND(시작중량_설정!$E$7*0.75,1)+(MOD(MROUND(시작중량_설정!$E$7*0.75,1),5)=4))))</f>
        <v>47</v>
      </c>
      <c r="B8" s="20">
        <v>3</v>
      </c>
      <c r="C8" s="20">
        <v>1</v>
      </c>
    </row>
    <row r="9" spans="1:3">
      <c r="A9" s="20">
        <f>IF(MAX(20,(MROUND(시작중량_설정!$E$7*0.9,1)+(MOD(MROUND(시작중량_설정!$E$7*0.9,1),5)=4)))&lt;=MAX(20,(MROUND(시작중량_설정!$E$7*0.75,1)+(MOD(MROUND(시작중량_설정!$E$7*0.75,1),5)=4))),"생략",MAX(20,(MROUND(시작중량_설정!$E$7*0.9,1)+(MOD(MROUND(시작중량_설정!$E$7*0.9,1),5)=4))))</f>
        <v>56</v>
      </c>
      <c r="B9" s="20">
        <v>2</v>
      </c>
      <c r="C9" s="20">
        <v>1</v>
      </c>
    </row>
    <row r="10" spans="1:3">
      <c r="A10" s="37">
        <f>시작중량_설정!$E$7</f>
        <v>62</v>
      </c>
      <c r="B10" s="27">
        <v>5</v>
      </c>
      <c r="C10" s="27">
        <v>5</v>
      </c>
    </row>
    <row r="11" spans="1:3">
      <c r="A11" s="31" t="s">
        <v>1133</v>
      </c>
    </row>
    <row r="13" spans="1:3">
      <c r="A13" s="3" t="s">
        <v>1134</v>
      </c>
    </row>
    <row r="14" spans="1:3">
      <c r="A14" s="19" t="s">
        <v>1130</v>
      </c>
      <c r="B14" s="19" t="s">
        <v>1131</v>
      </c>
      <c r="C14" s="19" t="s">
        <v>1132</v>
      </c>
    </row>
    <row r="15" spans="1:3">
      <c r="A15" s="20">
        <f>MAX(20,(MROUND(시작중량_설정!$E$10*0.4,1)+(MOD(MROUND(시작중량_설정!$E$10*0.4,1),5)=4)))</f>
        <v>20</v>
      </c>
      <c r="B15" s="20">
        <v>5</v>
      </c>
      <c r="C15" s="20">
        <v>2</v>
      </c>
    </row>
    <row r="16" spans="1:3">
      <c r="A16" s="20" t="str">
        <f>IF(MAX(20,(MROUND(시작중량_설정!$E$10*0.6,1)+(MOD(MROUND(시작중량_설정!$E$10*0.6,1),5)=4)))&lt;=MAX(20,(MROUND(시작중량_설정!$E$10*0.4,1)+(MOD(MROUND(시작중량_설정!$E$10*0.4,1),5)=4))),"생략",MAX(20,(MROUND(시작중량_설정!$E$10*0.6,1)+(MOD(MROUND(시작중량_설정!$E$10*0.6,1),5)=4))))</f>
        <v>생략</v>
      </c>
      <c r="B16" s="20">
        <v>5</v>
      </c>
      <c r="C16" s="20">
        <v>1</v>
      </c>
    </row>
    <row r="17" spans="1:14">
      <c r="A17" s="20" t="str">
        <f>IF(MAX(20,(MROUND(시작중량_설정!$E$10*0.75,1)+(MOD(MROUND(시작중량_설정!$E$10*0.75,1),5)=4)))&lt;=MAX(20,(MROUND(시작중량_설정!$E$10*0.6,1)+(MOD(MROUND(시작중량_설정!$E$10*0.6,1),5)=4))),"생략",MAX(20,(MROUND(시작중량_설정!$E$10*0.75,1)+(MOD(MROUND(시작중량_설정!$E$10*0.75,1),5)=4))))</f>
        <v>생략</v>
      </c>
      <c r="B17" s="20">
        <v>3</v>
      </c>
      <c r="C17" s="20">
        <v>1</v>
      </c>
    </row>
    <row r="18" spans="1:14">
      <c r="A18" s="20">
        <f>IF(MAX(20,(MROUND(시작중량_설정!$E$10*0.9,1)+(MOD(MROUND(시작중량_설정!$E$10*0.9,1),5)=4)))&lt;=MAX(20,(MROUND(시작중량_설정!$E$10*0.75,1)+(MOD(MROUND(시작중량_설정!$E$10*0.75,1),5)=4))),"생략",MAX(20,(MROUND(시작중량_설정!$E$10*0.9,1)+(MOD(MROUND(시작중량_설정!$E$10*0.9,1),5)=4))))</f>
        <v>23</v>
      </c>
      <c r="B18" s="20">
        <v>2</v>
      </c>
      <c r="C18" s="20">
        <v>1</v>
      </c>
    </row>
    <row r="19" spans="1:14">
      <c r="A19" s="37">
        <f>시작중량_설정!$E$10</f>
        <v>26</v>
      </c>
      <c r="B19" s="27">
        <v>5</v>
      </c>
      <c r="C19" s="27">
        <v>3</v>
      </c>
    </row>
    <row r="20" spans="1:14">
      <c r="A20" s="31" t="s">
        <v>1135</v>
      </c>
    </row>
    <row r="22" spans="1:14">
      <c r="A22" s="3" t="s">
        <v>2</v>
      </c>
    </row>
    <row r="23" spans="1:14" ht="15" customHeight="1">
      <c r="A23" s="6" t="s">
        <v>3</v>
      </c>
      <c r="B23" s="5" t="s">
        <v>4</v>
      </c>
      <c r="C23" s="5" t="s">
        <v>5</v>
      </c>
      <c r="D23" s="5" t="s">
        <v>6</v>
      </c>
      <c r="E23" s="5" t="s">
        <v>7</v>
      </c>
      <c r="F23" s="5" t="s">
        <v>8</v>
      </c>
      <c r="G23" s="5" t="s">
        <v>9</v>
      </c>
      <c r="H23" s="5" t="s">
        <v>10</v>
      </c>
      <c r="I23" t="s">
        <v>11</v>
      </c>
      <c r="J23" t="s">
        <v>13</v>
      </c>
      <c r="K23" t="s">
        <v>14</v>
      </c>
      <c r="L23" s="5" t="s">
        <v>15</v>
      </c>
      <c r="M23" s="5" t="s">
        <v>16</v>
      </c>
      <c r="N23" s="5" t="s">
        <v>1144</v>
      </c>
    </row>
    <row r="24" spans="1:14" ht="29.25" customHeight="1">
      <c r="A24" s="67">
        <v>1</v>
      </c>
      <c r="B24" s="68" t="s">
        <v>99</v>
      </c>
      <c r="C24" s="67" t="s">
        <v>315</v>
      </c>
      <c r="D24" s="75">
        <f>시작중량_설정!$E$7</f>
        <v>62</v>
      </c>
      <c r="E24" s="67">
        <v>5</v>
      </c>
      <c r="F24" s="59">
        <v>5</v>
      </c>
      <c r="G24" s="68">
        <v>30</v>
      </c>
      <c r="H24" s="68">
        <v>180</v>
      </c>
      <c r="I24">
        <f t="shared" ref="I24:I33" si="0">IF(E24=0,0,ROUND((E24*(G24+H24)+N24)/60,1))</f>
        <v>17.5</v>
      </c>
      <c r="J24" t="s">
        <v>1173</v>
      </c>
      <c r="K24" t="s">
        <v>756</v>
      </c>
      <c r="L24" s="68" t="s">
        <v>293</v>
      </c>
    </row>
    <row r="25" spans="1:14" ht="29.25" customHeight="1">
      <c r="A25" s="67">
        <v>2</v>
      </c>
      <c r="B25" s="68" t="s">
        <v>757</v>
      </c>
      <c r="C25" s="67" t="s">
        <v>27</v>
      </c>
      <c r="D25" s="75">
        <f>시작중량_설정!$E$10</f>
        <v>26</v>
      </c>
      <c r="E25" s="67">
        <v>3</v>
      </c>
      <c r="F25" s="59">
        <v>5</v>
      </c>
      <c r="G25" s="68">
        <v>30</v>
      </c>
      <c r="H25" s="68">
        <v>180</v>
      </c>
      <c r="I25">
        <f t="shared" si="0"/>
        <v>10.5</v>
      </c>
      <c r="J25" t="s">
        <v>1174</v>
      </c>
      <c r="K25" t="s">
        <v>758</v>
      </c>
      <c r="L25" s="68" t="s">
        <v>409</v>
      </c>
    </row>
    <row r="26" spans="1:14" ht="15" customHeight="1">
      <c r="A26" s="7">
        <v>3</v>
      </c>
      <c r="B26" s="53" t="s">
        <v>320</v>
      </c>
      <c r="C26" s="7" t="s">
        <v>315</v>
      </c>
      <c r="D26" s="8" t="s">
        <v>149</v>
      </c>
      <c r="E26" s="7">
        <v>4</v>
      </c>
      <c r="F26" s="8" t="s">
        <v>40</v>
      </c>
      <c r="G26" s="53">
        <v>45</v>
      </c>
      <c r="H26" s="53">
        <v>150</v>
      </c>
      <c r="I26">
        <f t="shared" si="0"/>
        <v>13</v>
      </c>
      <c r="J26" t="s">
        <v>759</v>
      </c>
      <c r="K26" t="s">
        <v>760</v>
      </c>
    </row>
    <row r="27" spans="1:14" ht="15" customHeight="1">
      <c r="A27" s="7">
        <v>4</v>
      </c>
      <c r="B27" s="53" t="s">
        <v>454</v>
      </c>
      <c r="C27" s="7" t="s">
        <v>315</v>
      </c>
      <c r="D27" s="8" t="s">
        <v>149</v>
      </c>
      <c r="E27" s="7">
        <v>3</v>
      </c>
      <c r="F27" s="8" t="s">
        <v>304</v>
      </c>
      <c r="G27" s="53">
        <v>40</v>
      </c>
      <c r="H27" s="53">
        <v>120</v>
      </c>
      <c r="I27">
        <f t="shared" si="0"/>
        <v>9.3000000000000007</v>
      </c>
      <c r="J27" t="s">
        <v>1152</v>
      </c>
      <c r="K27" t="s">
        <v>761</v>
      </c>
      <c r="N27">
        <v>75</v>
      </c>
    </row>
    <row r="28" spans="1:14" ht="15" customHeight="1">
      <c r="A28" s="7">
        <v>5</v>
      </c>
      <c r="B28" s="53" t="s">
        <v>451</v>
      </c>
      <c r="C28" s="7" t="s">
        <v>330</v>
      </c>
      <c r="D28" s="8" t="s">
        <v>149</v>
      </c>
      <c r="E28" s="7">
        <v>3</v>
      </c>
      <c r="F28" s="8">
        <v>10</v>
      </c>
      <c r="G28" s="53">
        <v>60</v>
      </c>
      <c r="H28" s="53">
        <v>120</v>
      </c>
      <c r="I28">
        <f t="shared" si="0"/>
        <v>9</v>
      </c>
      <c r="J28" t="s">
        <v>762</v>
      </c>
      <c r="K28" t="s">
        <v>763</v>
      </c>
    </row>
    <row r="29" spans="1:14" ht="15" customHeight="1">
      <c r="A29" s="7">
        <v>6</v>
      </c>
      <c r="B29" s="53" t="s">
        <v>332</v>
      </c>
      <c r="C29" s="7" t="s">
        <v>333</v>
      </c>
      <c r="D29" s="8" t="s">
        <v>764</v>
      </c>
      <c r="E29" s="7">
        <v>4</v>
      </c>
      <c r="F29" s="8" t="s">
        <v>19</v>
      </c>
      <c r="G29" s="53">
        <v>40</v>
      </c>
      <c r="H29" s="53">
        <v>10</v>
      </c>
      <c r="I29">
        <f t="shared" si="0"/>
        <v>3.3</v>
      </c>
      <c r="J29" t="s">
        <v>1136</v>
      </c>
      <c r="K29" t="s">
        <v>765</v>
      </c>
      <c r="M29" t="s">
        <v>336</v>
      </c>
    </row>
    <row r="30" spans="1:14" ht="15" customHeight="1">
      <c r="A30" s="7">
        <v>7</v>
      </c>
      <c r="B30" s="53" t="s">
        <v>337</v>
      </c>
      <c r="C30" s="7" t="s">
        <v>60</v>
      </c>
      <c r="D30" s="8" t="s">
        <v>256</v>
      </c>
      <c r="E30" s="7">
        <v>5</v>
      </c>
      <c r="F30" s="8" t="s">
        <v>19</v>
      </c>
      <c r="G30" s="53">
        <v>40</v>
      </c>
      <c r="H30" s="53">
        <v>120</v>
      </c>
      <c r="I30">
        <f t="shared" si="0"/>
        <v>13.3</v>
      </c>
      <c r="J30" t="s">
        <v>1192</v>
      </c>
      <c r="K30" t="s">
        <v>339</v>
      </c>
      <c r="M30" t="s">
        <v>336</v>
      </c>
    </row>
    <row r="31" spans="1:14" ht="15" customHeight="1">
      <c r="A31" s="7">
        <v>8</v>
      </c>
      <c r="B31" s="53" t="s">
        <v>55</v>
      </c>
      <c r="C31" s="7" t="s">
        <v>56</v>
      </c>
      <c r="D31" s="77" t="s">
        <v>149</v>
      </c>
      <c r="E31" s="7">
        <v>3</v>
      </c>
      <c r="F31" s="8" t="s">
        <v>19</v>
      </c>
      <c r="G31" s="53">
        <v>40</v>
      </c>
      <c r="H31" s="53">
        <v>75</v>
      </c>
      <c r="I31">
        <f t="shared" si="0"/>
        <v>5.8</v>
      </c>
      <c r="J31" t="s">
        <v>766</v>
      </c>
      <c r="K31" t="s">
        <v>767</v>
      </c>
    </row>
    <row r="32" spans="1:14" ht="15" customHeight="1">
      <c r="A32">
        <v>9</v>
      </c>
      <c r="B32" s="87" t="s">
        <v>768</v>
      </c>
      <c r="C32" t="s">
        <v>23</v>
      </c>
      <c r="D32" s="76" t="s">
        <v>769</v>
      </c>
      <c r="E32" s="28">
        <v>3</v>
      </c>
      <c r="F32" t="s">
        <v>19</v>
      </c>
      <c r="G32">
        <v>40</v>
      </c>
      <c r="H32">
        <v>60</v>
      </c>
      <c r="I32">
        <f t="shared" si="0"/>
        <v>6</v>
      </c>
      <c r="J32" t="s">
        <v>1153</v>
      </c>
      <c r="K32" t="s">
        <v>770</v>
      </c>
      <c r="N32">
        <v>60</v>
      </c>
    </row>
    <row r="33" spans="1:14">
      <c r="A33">
        <v>10</v>
      </c>
      <c r="B33" t="s">
        <v>307</v>
      </c>
      <c r="C33" t="s">
        <v>18</v>
      </c>
      <c r="D33" t="s">
        <v>247</v>
      </c>
      <c r="E33">
        <v>4</v>
      </c>
      <c r="F33" t="s">
        <v>19</v>
      </c>
      <c r="G33">
        <v>40</v>
      </c>
      <c r="H33">
        <v>60</v>
      </c>
      <c r="I33">
        <f t="shared" si="0"/>
        <v>7.7</v>
      </c>
      <c r="J33" t="s">
        <v>1154</v>
      </c>
      <c r="K33" t="s">
        <v>771</v>
      </c>
      <c r="N33">
        <v>60</v>
      </c>
    </row>
    <row r="34" spans="1:14" ht="76.5" customHeight="1">
      <c r="A34" s="12"/>
      <c r="D34" t="s">
        <v>63</v>
      </c>
      <c r="E34">
        <f>SUM(E24:E33)</f>
        <v>37</v>
      </c>
      <c r="I34">
        <f>ROUND(SUM(I24:I33),0)</f>
        <v>95</v>
      </c>
    </row>
    <row r="35" spans="1:14" ht="265.5" customHeight="1">
      <c r="A35" s="11"/>
      <c r="C35" s="87"/>
    </row>
    <row r="36" spans="1:14" ht="293.25" customHeight="1">
      <c r="A36" s="11" t="s">
        <v>772</v>
      </c>
    </row>
    <row r="37" spans="1:14" ht="276" customHeight="1">
      <c r="A37" s="11" t="s">
        <v>773</v>
      </c>
    </row>
    <row r="38" spans="1:14">
      <c r="A38" t="s">
        <v>774</v>
      </c>
    </row>
    <row r="39" spans="1:14">
      <c r="A39" t="s">
        <v>775</v>
      </c>
    </row>
    <row r="40" spans="1:14">
      <c r="A40" t="s">
        <v>776</v>
      </c>
    </row>
    <row r="41" spans="1:14">
      <c r="A41" t="s">
        <v>777</v>
      </c>
    </row>
    <row r="43" spans="1:14">
      <c r="A43" t="s">
        <v>778</v>
      </c>
    </row>
    <row r="44" spans="1:14">
      <c r="A44" t="s">
        <v>779</v>
      </c>
    </row>
    <row r="45" spans="1:14">
      <c r="A45" t="s">
        <v>780</v>
      </c>
    </row>
    <row r="46" spans="1:14">
      <c r="A46" t="s">
        <v>781</v>
      </c>
    </row>
    <row r="48" spans="1:14">
      <c r="A48" t="s">
        <v>744</v>
      </c>
    </row>
    <row r="49" spans="1:3">
      <c r="A49" t="s">
        <v>782</v>
      </c>
    </row>
    <row r="50" spans="1:3">
      <c r="A50" t="s">
        <v>783</v>
      </c>
    </row>
    <row r="52" spans="1:3">
      <c r="A52" t="s">
        <v>1146</v>
      </c>
    </row>
    <row r="53" spans="1:3">
      <c r="A53" t="s">
        <v>1155</v>
      </c>
    </row>
    <row r="54" spans="1:3">
      <c r="A54" t="s">
        <v>1156</v>
      </c>
    </row>
    <row r="55" spans="1:3">
      <c r="A55" t="s">
        <v>1157</v>
      </c>
    </row>
    <row r="56" spans="1:3">
      <c r="A56" t="s">
        <v>1147</v>
      </c>
    </row>
    <row r="58" spans="1:3">
      <c r="C58" t="s">
        <v>784</v>
      </c>
    </row>
  </sheetData>
  <phoneticPr fontId="32" type="noConversion"/>
  <pageMargins left="0.75" right="0.75" top="1" bottom="1"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N59"/>
  <sheetViews>
    <sheetView zoomScaleNormal="100" workbookViewId="0">
      <selection activeCell="B7" sqref="B7"/>
    </sheetView>
  </sheetViews>
  <sheetFormatPr defaultColWidth="8.7109375" defaultRowHeight="15"/>
  <cols>
    <col min="1" max="1" width="5" customWidth="1"/>
    <col min="2" max="2" width="34" customWidth="1"/>
    <col min="3" max="3" width="20" customWidth="1"/>
    <col min="4" max="4" width="14" customWidth="1"/>
    <col min="5" max="5" width="7" customWidth="1"/>
    <col min="6" max="6" width="12" customWidth="1"/>
    <col min="7" max="8" width="10" customWidth="1"/>
    <col min="9" max="9" width="9" customWidth="1"/>
    <col min="10" max="10" width="70" customWidth="1"/>
    <col min="11" max="11" width="55" customWidth="1"/>
    <col min="12" max="12" width="24" customWidth="1"/>
    <col min="13" max="14" width="11" customWidth="1"/>
  </cols>
  <sheetData>
    <row r="1" spans="1:14" ht="21" customHeight="1">
      <c r="A1" s="1" t="s">
        <v>785</v>
      </c>
    </row>
    <row r="2" spans="1:14" ht="15" customHeight="1">
      <c r="A2" s="2" t="s">
        <v>786</v>
      </c>
    </row>
    <row r="4" spans="1:14">
      <c r="A4" s="3" t="s">
        <v>1137</v>
      </c>
    </row>
    <row r="5" spans="1:14">
      <c r="A5" s="19" t="s">
        <v>1130</v>
      </c>
      <c r="B5" s="19" t="s">
        <v>1131</v>
      </c>
      <c r="C5" s="19" t="s">
        <v>1132</v>
      </c>
    </row>
    <row r="6" spans="1:14">
      <c r="A6" s="20">
        <f>MAX(20,(MROUND(시작중량_설정!$E$8*0.4,1)+(MOD(MROUND(시작중량_설정!$E$8*0.4,1),5)=4)))</f>
        <v>27</v>
      </c>
      <c r="B6" s="20">
        <v>5</v>
      </c>
      <c r="C6" s="20">
        <v>2</v>
      </c>
    </row>
    <row r="7" spans="1:14">
      <c r="A7" s="20">
        <f>IF(MAX(20,(MROUND(시작중량_설정!$E$8*0.6,1)+(MOD(MROUND(시작중량_설정!$E$8*0.6,1),5)=4)))&lt;=MAX(20,(MROUND(시작중량_설정!$E$8*0.4,1)+(MOD(MROUND(시작중량_설정!$E$8*0.4,1),5)=4))),"생략",MAX(20,(MROUND(시작중량_설정!$E$8*0.6,1)+(MOD(MROUND(시작중량_설정!$E$8*0.6,1),5)=4))))</f>
        <v>40</v>
      </c>
      <c r="B7" s="20">
        <v>5</v>
      </c>
      <c r="C7" s="20">
        <v>1</v>
      </c>
    </row>
    <row r="8" spans="1:14">
      <c r="A8" s="20">
        <f>IF(MAX(20,(MROUND(시작중량_설정!$E$8*0.75,1)+(MOD(MROUND(시작중량_설정!$E$8*0.75,1),5)=4)))&lt;=MAX(20,(MROUND(시작중량_설정!$E$8*0.6,1)+(MOD(MROUND(시작중량_설정!$E$8*0.6,1),5)=4))),"생략",MAX(20,(MROUND(시작중량_설정!$E$8*0.75,1)+(MOD(MROUND(시작중량_설정!$E$8*0.75,1),5)=4))))</f>
        <v>50</v>
      </c>
      <c r="B8" s="20">
        <v>3</v>
      </c>
      <c r="C8" s="20">
        <v>1</v>
      </c>
    </row>
    <row r="9" spans="1:14">
      <c r="A9" s="20">
        <f>IF(MAX(20,(MROUND(시작중량_설정!$E$8*0.9,1)+(MOD(MROUND(시작중량_설정!$E$8*0.9,1),5)=4)))&lt;=MAX(20,(MROUND(시작중량_설정!$E$8*0.75,1)+(MOD(MROUND(시작중량_설정!$E$8*0.75,1),5)=4))),"생략",MAX(20,(MROUND(시작중량_설정!$E$8*0.9,1)+(MOD(MROUND(시작중량_설정!$E$8*0.9,1),5)=4))))</f>
        <v>60</v>
      </c>
      <c r="B9" s="20">
        <v>2</v>
      </c>
      <c r="C9" s="20">
        <v>1</v>
      </c>
    </row>
    <row r="10" spans="1:14">
      <c r="A10" s="37">
        <f>시작중량_설정!$E$8</f>
        <v>67</v>
      </c>
      <c r="B10" s="27">
        <v>5</v>
      </c>
      <c r="C10" s="27">
        <v>1</v>
      </c>
    </row>
    <row r="11" spans="1:14">
      <c r="A11" s="31" t="s">
        <v>1138</v>
      </c>
    </row>
    <row r="13" spans="1:14">
      <c r="A13" s="3" t="s">
        <v>2</v>
      </c>
    </row>
    <row r="14" spans="1:14" ht="15" customHeight="1">
      <c r="A14" s="6" t="s">
        <v>3</v>
      </c>
      <c r="B14" s="5" t="s">
        <v>4</v>
      </c>
      <c r="C14" s="5" t="s">
        <v>5</v>
      </c>
      <c r="D14" s="5" t="s">
        <v>6</v>
      </c>
      <c r="E14" s="5" t="s">
        <v>7</v>
      </c>
      <c r="F14" s="5" t="s">
        <v>8</v>
      </c>
      <c r="G14" s="5" t="s">
        <v>9</v>
      </c>
      <c r="H14" s="5" t="s">
        <v>10</v>
      </c>
      <c r="I14" t="s">
        <v>11</v>
      </c>
      <c r="J14" t="s">
        <v>13</v>
      </c>
      <c r="K14" t="s">
        <v>14</v>
      </c>
      <c r="L14" s="5" t="s">
        <v>15</v>
      </c>
      <c r="M14" s="5" t="s">
        <v>16</v>
      </c>
      <c r="N14" s="5" t="s">
        <v>1144</v>
      </c>
    </row>
    <row r="15" spans="1:14" ht="29.25" customHeight="1">
      <c r="A15" s="67">
        <v>1</v>
      </c>
      <c r="B15" s="68" t="s">
        <v>101</v>
      </c>
      <c r="C15" s="67" t="s">
        <v>271</v>
      </c>
      <c r="D15" s="78">
        <f>시작중량_설정!$E$8</f>
        <v>67</v>
      </c>
      <c r="E15" s="67">
        <v>1</v>
      </c>
      <c r="F15" s="59">
        <v>5</v>
      </c>
      <c r="G15" s="68">
        <v>30</v>
      </c>
      <c r="H15" s="68">
        <v>180</v>
      </c>
      <c r="I15">
        <f t="shared" ref="I15:I26" si="0">IF(E15=0,0,ROUND((E15*(G15+H15)+N15)/60,1))</f>
        <v>3.5</v>
      </c>
      <c r="J15" t="s">
        <v>1209</v>
      </c>
      <c r="K15" t="s">
        <v>787</v>
      </c>
    </row>
    <row r="16" spans="1:14" ht="29.25" customHeight="1">
      <c r="A16" s="67">
        <v>2</v>
      </c>
      <c r="B16" s="68" t="s">
        <v>444</v>
      </c>
      <c r="C16" s="67" t="s">
        <v>271</v>
      </c>
      <c r="D16" s="78">
        <f>INDEX(증량기록!$E$10:$E$21,MAX(1,시작중량_설정!$C$4-1))</f>
        <v>62</v>
      </c>
      <c r="E16" s="67">
        <v>2</v>
      </c>
      <c r="F16" s="59">
        <v>5</v>
      </c>
      <c r="G16" s="68">
        <v>30</v>
      </c>
      <c r="H16" s="68">
        <v>150</v>
      </c>
      <c r="I16">
        <f>IF(E16=0,0,ROUND((E16*(G16+H16)+N16)/60,1))</f>
        <v>6</v>
      </c>
      <c r="J16" t="s">
        <v>1207</v>
      </c>
      <c r="K16" t="s">
        <v>1208</v>
      </c>
    </row>
    <row r="17" spans="1:14" ht="15" customHeight="1">
      <c r="A17" s="7">
        <v>3</v>
      </c>
      <c r="B17" s="89" t="s">
        <v>788</v>
      </c>
      <c r="C17" s="7" t="s">
        <v>245</v>
      </c>
      <c r="D17" s="8" t="s">
        <v>789</v>
      </c>
      <c r="E17" s="7">
        <v>4</v>
      </c>
      <c r="F17" s="8" t="s">
        <v>247</v>
      </c>
      <c r="G17" s="53">
        <v>40</v>
      </c>
      <c r="H17" s="53">
        <v>150</v>
      </c>
      <c r="I17">
        <f t="shared" si="0"/>
        <v>12.7</v>
      </c>
      <c r="J17" t="s">
        <v>790</v>
      </c>
      <c r="K17" t="s">
        <v>791</v>
      </c>
      <c r="L17" s="53" t="s">
        <v>792</v>
      </c>
    </row>
    <row r="18" spans="1:14" ht="15" customHeight="1">
      <c r="A18" s="7">
        <v>4</v>
      </c>
      <c r="B18" s="89" t="s">
        <v>793</v>
      </c>
      <c r="C18" s="7" t="s">
        <v>237</v>
      </c>
      <c r="D18" s="7" t="s">
        <v>149</v>
      </c>
      <c r="E18" s="7">
        <v>4</v>
      </c>
      <c r="F18" s="8" t="s">
        <v>40</v>
      </c>
      <c r="G18" s="53">
        <v>40</v>
      </c>
      <c r="H18" s="53">
        <v>150</v>
      </c>
      <c r="I18">
        <f t="shared" si="0"/>
        <v>13.7</v>
      </c>
      <c r="J18" t="s">
        <v>1165</v>
      </c>
      <c r="K18" t="s">
        <v>794</v>
      </c>
      <c r="N18">
        <v>60</v>
      </c>
    </row>
    <row r="19" spans="1:14" ht="15" customHeight="1">
      <c r="A19" s="7">
        <v>5</v>
      </c>
      <c r="B19" s="53" t="s">
        <v>236</v>
      </c>
      <c r="C19" s="7" t="s">
        <v>237</v>
      </c>
      <c r="D19" s="7" t="s">
        <v>246</v>
      </c>
      <c r="E19" s="7">
        <v>3</v>
      </c>
      <c r="F19" s="8" t="s">
        <v>238</v>
      </c>
      <c r="G19" s="53">
        <v>35</v>
      </c>
      <c r="H19" s="53">
        <v>150</v>
      </c>
      <c r="I19">
        <f t="shared" si="0"/>
        <v>9.3000000000000007</v>
      </c>
      <c r="J19" t="s">
        <v>795</v>
      </c>
      <c r="K19" t="s">
        <v>796</v>
      </c>
      <c r="L19" s="53" t="s">
        <v>797</v>
      </c>
    </row>
    <row r="20" spans="1:14" ht="29.25" customHeight="1">
      <c r="A20" s="7">
        <v>6</v>
      </c>
      <c r="B20" s="53" t="s">
        <v>387</v>
      </c>
      <c r="C20" s="7" t="s">
        <v>245</v>
      </c>
      <c r="D20" s="8" t="s">
        <v>798</v>
      </c>
      <c r="E20" s="7">
        <v>3</v>
      </c>
      <c r="F20" s="8" t="s">
        <v>19</v>
      </c>
      <c r="G20" s="53">
        <v>40</v>
      </c>
      <c r="H20" s="53">
        <v>75</v>
      </c>
      <c r="I20">
        <f t="shared" si="0"/>
        <v>6.8</v>
      </c>
      <c r="J20" t="s">
        <v>1158</v>
      </c>
      <c r="K20" t="s">
        <v>799</v>
      </c>
      <c r="N20">
        <v>60</v>
      </c>
    </row>
    <row r="21" spans="1:14" ht="15" customHeight="1">
      <c r="A21" s="7">
        <v>7</v>
      </c>
      <c r="B21" s="53" t="s">
        <v>398</v>
      </c>
      <c r="C21" s="7" t="s">
        <v>34</v>
      </c>
      <c r="D21" s="8" t="s">
        <v>769</v>
      </c>
      <c r="E21" s="7">
        <v>3</v>
      </c>
      <c r="F21" s="8" t="s">
        <v>19</v>
      </c>
      <c r="G21" s="53">
        <v>40</v>
      </c>
      <c r="H21" s="53">
        <v>75</v>
      </c>
      <c r="I21">
        <f t="shared" si="0"/>
        <v>5.8</v>
      </c>
      <c r="J21" t="s">
        <v>800</v>
      </c>
      <c r="K21" t="s">
        <v>801</v>
      </c>
    </row>
    <row r="22" spans="1:14" ht="15" customHeight="1">
      <c r="A22" s="7">
        <v>8</v>
      </c>
      <c r="B22" s="53" t="s">
        <v>294</v>
      </c>
      <c r="C22" s="7" t="s">
        <v>288</v>
      </c>
      <c r="D22" s="8" t="s">
        <v>246</v>
      </c>
      <c r="E22" s="7">
        <v>3</v>
      </c>
      <c r="F22" s="8" t="s">
        <v>40</v>
      </c>
      <c r="G22" s="53">
        <v>40</v>
      </c>
      <c r="H22" s="53">
        <v>120</v>
      </c>
      <c r="I22">
        <f t="shared" si="0"/>
        <v>8</v>
      </c>
      <c r="J22" t="s">
        <v>802</v>
      </c>
      <c r="K22" t="s">
        <v>803</v>
      </c>
      <c r="L22" s="53" t="s">
        <v>804</v>
      </c>
    </row>
    <row r="23" spans="1:14" ht="15" customHeight="1">
      <c r="A23" s="7">
        <v>9</v>
      </c>
      <c r="B23" s="53" t="s">
        <v>357</v>
      </c>
      <c r="C23" s="7" t="s">
        <v>288</v>
      </c>
      <c r="D23" s="7" t="s">
        <v>52</v>
      </c>
      <c r="E23" s="7">
        <v>3</v>
      </c>
      <c r="F23" s="7" t="s">
        <v>19</v>
      </c>
      <c r="G23" s="53">
        <v>40</v>
      </c>
      <c r="H23" s="53">
        <v>105</v>
      </c>
      <c r="I23">
        <f t="shared" si="0"/>
        <v>8.3000000000000007</v>
      </c>
      <c r="J23" t="s">
        <v>1159</v>
      </c>
      <c r="K23" t="s">
        <v>805</v>
      </c>
      <c r="N23">
        <v>60</v>
      </c>
    </row>
    <row r="24" spans="1:14" ht="15" customHeight="1">
      <c r="A24">
        <v>10</v>
      </c>
      <c r="B24" t="s">
        <v>392</v>
      </c>
      <c r="C24" t="s">
        <v>44</v>
      </c>
      <c r="D24" s="76" t="s">
        <v>363</v>
      </c>
      <c r="E24" s="28">
        <v>3</v>
      </c>
      <c r="F24" t="s">
        <v>40</v>
      </c>
      <c r="G24">
        <v>40</v>
      </c>
      <c r="H24">
        <v>75</v>
      </c>
      <c r="I24">
        <f t="shared" si="0"/>
        <v>6.8</v>
      </c>
      <c r="J24" t="s">
        <v>1160</v>
      </c>
      <c r="K24" t="s">
        <v>806</v>
      </c>
      <c r="N24">
        <v>60</v>
      </c>
    </row>
    <row r="25" spans="1:14">
      <c r="A25">
        <v>11</v>
      </c>
      <c r="B25" t="s">
        <v>807</v>
      </c>
      <c r="C25" t="s">
        <v>45</v>
      </c>
      <c r="D25">
        <v>12</v>
      </c>
      <c r="E25">
        <v>3</v>
      </c>
      <c r="F25" t="s">
        <v>49</v>
      </c>
      <c r="G25">
        <v>40</v>
      </c>
      <c r="H25">
        <v>60</v>
      </c>
      <c r="I25">
        <f t="shared" si="0"/>
        <v>5</v>
      </c>
      <c r="J25" t="s">
        <v>808</v>
      </c>
      <c r="K25" t="s">
        <v>809</v>
      </c>
    </row>
    <row r="26" spans="1:14" ht="17.25" customHeight="1">
      <c r="A26" s="12">
        <v>12</v>
      </c>
      <c r="B26" t="s">
        <v>366</v>
      </c>
      <c r="C26" t="s">
        <v>45</v>
      </c>
      <c r="D26">
        <v>10</v>
      </c>
      <c r="E26">
        <v>3</v>
      </c>
      <c r="F26" t="s">
        <v>49</v>
      </c>
      <c r="G26">
        <v>40</v>
      </c>
      <c r="H26">
        <v>60</v>
      </c>
      <c r="I26">
        <f t="shared" si="0"/>
        <v>5</v>
      </c>
      <c r="J26" t="s">
        <v>810</v>
      </c>
      <c r="K26" t="s">
        <v>811</v>
      </c>
    </row>
    <row r="27" spans="1:14" ht="23.25" customHeight="1">
      <c r="A27" s="11"/>
      <c r="C27" s="88"/>
      <c r="D27" t="s">
        <v>63</v>
      </c>
      <c r="E27">
        <f>SUM(E15:E26)</f>
        <v>35</v>
      </c>
      <c r="I27">
        <f>ROUND(SUM(I15:I26),0)</f>
        <v>91</v>
      </c>
    </row>
    <row r="28" spans="1:14" ht="240" customHeight="1">
      <c r="A28" s="11"/>
    </row>
    <row r="29" spans="1:14" ht="278.25" customHeight="1">
      <c r="A29" s="11" t="s">
        <v>812</v>
      </c>
    </row>
    <row r="30" spans="1:14" ht="15" customHeight="1">
      <c r="A30" s="63" t="s">
        <v>1210</v>
      </c>
    </row>
    <row r="31" spans="1:14" ht="95.25" customHeight="1">
      <c r="A31" s="12" t="s">
        <v>1211</v>
      </c>
    </row>
    <row r="32" spans="1:14" ht="252.75" customHeight="1">
      <c r="A32" s="11" t="s">
        <v>813</v>
      </c>
    </row>
    <row r="33" spans="1:1" ht="237.75" customHeight="1">
      <c r="A33" s="11" t="s">
        <v>814</v>
      </c>
    </row>
    <row r="34" spans="1:1" ht="265.5" customHeight="1">
      <c r="A34" s="11" t="s">
        <v>815</v>
      </c>
    </row>
    <row r="36" spans="1:1">
      <c r="A36" t="s">
        <v>816</v>
      </c>
    </row>
    <row r="37" spans="1:1">
      <c r="A37" t="s">
        <v>817</v>
      </c>
    </row>
    <row r="38" spans="1:1">
      <c r="A38" t="s">
        <v>818</v>
      </c>
    </row>
    <row r="39" spans="1:1">
      <c r="A39" t="s">
        <v>819</v>
      </c>
    </row>
    <row r="40" spans="1:1">
      <c r="A40" t="s">
        <v>820</v>
      </c>
    </row>
    <row r="42" spans="1:1">
      <c r="A42" t="s">
        <v>821</v>
      </c>
    </row>
    <row r="43" spans="1:1">
      <c r="A43" t="s">
        <v>822</v>
      </c>
    </row>
    <row r="44" spans="1:1">
      <c r="A44" t="s">
        <v>823</v>
      </c>
    </row>
    <row r="45" spans="1:1">
      <c r="A45" t="s">
        <v>824</v>
      </c>
    </row>
    <row r="46" spans="1:1">
      <c r="A46" t="s">
        <v>825</v>
      </c>
    </row>
    <row r="47" spans="1:1">
      <c r="A47" t="s">
        <v>826</v>
      </c>
    </row>
    <row r="49" spans="1:3">
      <c r="A49" t="s">
        <v>827</v>
      </c>
    </row>
    <row r="50" spans="1:3">
      <c r="A50" t="s">
        <v>828</v>
      </c>
    </row>
    <row r="51" spans="1:3">
      <c r="A51" t="s">
        <v>829</v>
      </c>
    </row>
    <row r="52" spans="1:3">
      <c r="A52" t="s">
        <v>830</v>
      </c>
    </row>
    <row r="54" spans="1:3">
      <c r="A54" t="s">
        <v>1146</v>
      </c>
    </row>
    <row r="55" spans="1:3">
      <c r="A55" t="s">
        <v>1166</v>
      </c>
    </row>
    <row r="56" spans="1:3">
      <c r="A56" t="s">
        <v>1161</v>
      </c>
    </row>
    <row r="57" spans="1:3">
      <c r="A57" t="s">
        <v>1147</v>
      </c>
    </row>
    <row r="59" spans="1:3">
      <c r="C59" t="s">
        <v>831</v>
      </c>
    </row>
  </sheetData>
  <phoneticPr fontId="32" type="noConversion"/>
  <pageMargins left="0.75" right="0.75" top="1" bottom="1" header="0.511811023622047" footer="0.511811023622047"/>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N44"/>
  <sheetViews>
    <sheetView tabSelected="1" workbookViewId="0">
      <selection activeCell="L29" sqref="L29"/>
    </sheetView>
  </sheetViews>
  <sheetFormatPr defaultColWidth="8.7109375" defaultRowHeight="15"/>
  <cols>
    <col min="1" max="1" width="5" customWidth="1"/>
    <col min="2" max="2" width="34" customWidth="1"/>
    <col min="3" max="3" width="20" customWidth="1"/>
    <col min="4" max="4" width="14" customWidth="1"/>
    <col min="5" max="5" width="7" customWidth="1"/>
    <col min="6" max="6" width="12" customWidth="1"/>
    <col min="7" max="8" width="10" customWidth="1"/>
    <col min="9" max="9" width="9" customWidth="1"/>
    <col min="10" max="10" width="70" customWidth="1"/>
    <col min="11" max="11" width="55" customWidth="1"/>
    <col min="12" max="12" width="24" customWidth="1"/>
    <col min="13" max="14" width="11" customWidth="1"/>
  </cols>
  <sheetData>
    <row r="1" spans="1:14" ht="21" customHeight="1">
      <c r="A1" s="1" t="s">
        <v>832</v>
      </c>
    </row>
    <row r="2" spans="1:14" ht="15" customHeight="1">
      <c r="A2" s="2" t="s">
        <v>833</v>
      </c>
    </row>
    <row r="4" spans="1:14">
      <c r="A4" s="3" t="s">
        <v>1140</v>
      </c>
    </row>
    <row r="5" spans="1:14">
      <c r="A5" s="31" t="s">
        <v>1141</v>
      </c>
    </row>
    <row r="6" spans="1:14">
      <c r="A6" s="31" t="s">
        <v>1142</v>
      </c>
    </row>
    <row r="7" spans="1:14">
      <c r="A7" s="31" t="s">
        <v>1143</v>
      </c>
    </row>
    <row r="9" spans="1:14">
      <c r="A9" s="3" t="s">
        <v>2</v>
      </c>
    </row>
    <row r="10" spans="1:14" ht="15" customHeight="1">
      <c r="A10" s="6" t="s">
        <v>3</v>
      </c>
      <c r="B10" s="5" t="s">
        <v>4</v>
      </c>
      <c r="C10" s="5" t="s">
        <v>5</v>
      </c>
      <c r="D10" s="5" t="s">
        <v>6</v>
      </c>
      <c r="E10" s="5" t="s">
        <v>7</v>
      </c>
      <c r="F10" s="5" t="s">
        <v>8</v>
      </c>
      <c r="G10" s="5" t="s">
        <v>9</v>
      </c>
      <c r="H10" s="5" t="s">
        <v>10</v>
      </c>
      <c r="I10" t="s">
        <v>11</v>
      </c>
      <c r="J10" t="s">
        <v>13</v>
      </c>
      <c r="K10" t="s">
        <v>14</v>
      </c>
      <c r="L10" s="5" t="s">
        <v>15</v>
      </c>
      <c r="M10" s="5" t="s">
        <v>16</v>
      </c>
      <c r="N10" s="5" t="s">
        <v>1144</v>
      </c>
    </row>
    <row r="11" spans="1:14" ht="15" customHeight="1">
      <c r="A11" s="67">
        <v>1</v>
      </c>
      <c r="B11" s="68" t="s">
        <v>26</v>
      </c>
      <c r="C11" s="67" t="s">
        <v>27</v>
      </c>
      <c r="D11" s="75" t="s">
        <v>363</v>
      </c>
      <c r="E11" s="67">
        <v>4</v>
      </c>
      <c r="F11" s="59" t="s">
        <v>40</v>
      </c>
      <c r="G11" s="68">
        <v>40</v>
      </c>
      <c r="H11" s="68">
        <v>120</v>
      </c>
      <c r="I11">
        <f t="shared" ref="I11:I20" si="0">IF(E11=0,0,ROUND((E11*(G11+H11)+N11)/60,1))</f>
        <v>10.7</v>
      </c>
      <c r="J11" t="s">
        <v>834</v>
      </c>
      <c r="K11" t="s">
        <v>32</v>
      </c>
    </row>
    <row r="12" spans="1:14" ht="15" customHeight="1">
      <c r="A12" s="7">
        <v>2</v>
      </c>
      <c r="B12" s="53" t="s">
        <v>307</v>
      </c>
      <c r="C12" s="7" t="s">
        <v>18</v>
      </c>
      <c r="D12" s="8" t="s">
        <v>247</v>
      </c>
      <c r="E12" s="7">
        <v>4</v>
      </c>
      <c r="F12" s="8" t="s">
        <v>19</v>
      </c>
      <c r="G12" s="53">
        <v>40</v>
      </c>
      <c r="H12" s="53">
        <v>60</v>
      </c>
      <c r="I12">
        <f t="shared" si="0"/>
        <v>7.7</v>
      </c>
      <c r="J12" t="s">
        <v>1148</v>
      </c>
      <c r="K12" t="s">
        <v>835</v>
      </c>
      <c r="N12">
        <v>60</v>
      </c>
    </row>
    <row r="13" spans="1:14" ht="15" customHeight="1">
      <c r="A13" s="7">
        <v>3</v>
      </c>
      <c r="B13" s="53" t="s">
        <v>836</v>
      </c>
      <c r="C13" s="7" t="s">
        <v>18</v>
      </c>
      <c r="D13" s="8" t="s">
        <v>837</v>
      </c>
      <c r="E13" s="7">
        <v>4</v>
      </c>
      <c r="F13" s="8" t="s">
        <v>19</v>
      </c>
      <c r="G13" s="53">
        <v>60</v>
      </c>
      <c r="H13" s="53">
        <v>60</v>
      </c>
      <c r="I13">
        <f t="shared" si="0"/>
        <v>8</v>
      </c>
      <c r="J13" t="s">
        <v>838</v>
      </c>
      <c r="K13" t="s">
        <v>839</v>
      </c>
    </row>
    <row r="14" spans="1:14" ht="15" customHeight="1">
      <c r="A14" s="7">
        <v>4</v>
      </c>
      <c r="B14" s="53" t="s">
        <v>421</v>
      </c>
      <c r="C14" s="7" t="s">
        <v>23</v>
      </c>
      <c r="D14" s="8" t="s">
        <v>247</v>
      </c>
      <c r="E14" s="7">
        <v>4</v>
      </c>
      <c r="F14" s="8" t="s">
        <v>19</v>
      </c>
      <c r="G14" s="53">
        <v>40</v>
      </c>
      <c r="H14" s="53">
        <v>60</v>
      </c>
      <c r="I14">
        <f t="shared" si="0"/>
        <v>6.7</v>
      </c>
      <c r="J14" t="s">
        <v>840</v>
      </c>
      <c r="K14" t="s">
        <v>841</v>
      </c>
    </row>
    <row r="15" spans="1:14" ht="15" customHeight="1">
      <c r="A15" s="7">
        <v>5</v>
      </c>
      <c r="B15" s="53" t="s">
        <v>350</v>
      </c>
      <c r="C15" s="7" t="s">
        <v>23</v>
      </c>
      <c r="D15" s="8" t="s">
        <v>837</v>
      </c>
      <c r="E15" s="7">
        <v>3</v>
      </c>
      <c r="F15" s="8" t="s">
        <v>19</v>
      </c>
      <c r="G15" s="53">
        <v>40</v>
      </c>
      <c r="H15" s="53">
        <v>60</v>
      </c>
      <c r="I15">
        <f t="shared" si="0"/>
        <v>5</v>
      </c>
      <c r="J15" t="s">
        <v>842</v>
      </c>
      <c r="K15" t="s">
        <v>843</v>
      </c>
    </row>
    <row r="16" spans="1:14" ht="15" customHeight="1">
      <c r="A16" s="7">
        <v>6</v>
      </c>
      <c r="B16" s="53" t="s">
        <v>43</v>
      </c>
      <c r="C16" s="7" t="s">
        <v>44</v>
      </c>
      <c r="D16" s="8" t="s">
        <v>304</v>
      </c>
      <c r="E16" s="7">
        <v>3</v>
      </c>
      <c r="F16" s="8" t="s">
        <v>40</v>
      </c>
      <c r="G16" s="53">
        <v>40</v>
      </c>
      <c r="H16" s="53">
        <v>75</v>
      </c>
      <c r="I16">
        <f t="shared" si="0"/>
        <v>5.8</v>
      </c>
      <c r="J16" t="s">
        <v>844</v>
      </c>
      <c r="K16" t="s">
        <v>845</v>
      </c>
    </row>
    <row r="17" spans="1:14" ht="15" customHeight="1">
      <c r="A17">
        <v>7</v>
      </c>
      <c r="B17" t="s">
        <v>445</v>
      </c>
      <c r="C17" t="s">
        <v>321</v>
      </c>
      <c r="D17" s="76" t="s">
        <v>846</v>
      </c>
      <c r="E17" s="28">
        <v>3</v>
      </c>
      <c r="F17" t="s">
        <v>304</v>
      </c>
      <c r="G17">
        <v>40</v>
      </c>
      <c r="H17">
        <v>120</v>
      </c>
      <c r="I17">
        <f t="shared" si="0"/>
        <v>8</v>
      </c>
      <c r="J17" t="s">
        <v>847</v>
      </c>
      <c r="K17" t="s">
        <v>848</v>
      </c>
    </row>
    <row r="18" spans="1:14">
      <c r="A18">
        <v>8</v>
      </c>
      <c r="B18" t="s">
        <v>59</v>
      </c>
      <c r="C18" t="s">
        <v>60</v>
      </c>
      <c r="D18" t="s">
        <v>49</v>
      </c>
      <c r="E18">
        <v>3</v>
      </c>
      <c r="F18" t="s">
        <v>61</v>
      </c>
      <c r="G18">
        <v>60</v>
      </c>
      <c r="H18">
        <v>75</v>
      </c>
      <c r="I18">
        <f t="shared" si="0"/>
        <v>6.8</v>
      </c>
      <c r="J18" t="s">
        <v>849</v>
      </c>
      <c r="K18" t="s">
        <v>850</v>
      </c>
    </row>
    <row r="19" spans="1:14" ht="18.75" customHeight="1">
      <c r="A19" s="12">
        <v>9</v>
      </c>
      <c r="B19" t="s">
        <v>329</v>
      </c>
      <c r="C19" t="s">
        <v>330</v>
      </c>
      <c r="D19" t="s">
        <v>149</v>
      </c>
      <c r="E19">
        <v>4</v>
      </c>
      <c r="F19" t="s">
        <v>304</v>
      </c>
      <c r="G19">
        <v>40</v>
      </c>
      <c r="H19">
        <v>120</v>
      </c>
      <c r="I19">
        <f t="shared" si="0"/>
        <v>11.9</v>
      </c>
      <c r="J19" t="s">
        <v>1149</v>
      </c>
      <c r="K19" t="s">
        <v>851</v>
      </c>
      <c r="N19">
        <v>75</v>
      </c>
    </row>
    <row r="20" spans="1:14" ht="18" customHeight="1">
      <c r="A20" s="11">
        <v>10</v>
      </c>
      <c r="B20" t="s">
        <v>402</v>
      </c>
      <c r="C20" s="87" t="s">
        <v>260</v>
      </c>
      <c r="D20">
        <v>2.5</v>
      </c>
      <c r="E20">
        <v>3</v>
      </c>
      <c r="F20" t="s">
        <v>29</v>
      </c>
      <c r="G20">
        <v>40</v>
      </c>
      <c r="H20">
        <v>60</v>
      </c>
      <c r="I20">
        <f t="shared" si="0"/>
        <v>5</v>
      </c>
      <c r="J20" t="s">
        <v>852</v>
      </c>
      <c r="K20" t="s">
        <v>853</v>
      </c>
    </row>
    <row r="21" spans="1:14" ht="25.5" customHeight="1">
      <c r="A21" s="11"/>
      <c r="D21" t="s">
        <v>63</v>
      </c>
      <c r="E21">
        <f>SUM(E11:E20)</f>
        <v>35</v>
      </c>
      <c r="I21">
        <f>ROUND(SUM(I11:I20),0)</f>
        <v>76</v>
      </c>
    </row>
    <row r="22" spans="1:14" ht="237.75" customHeight="1">
      <c r="A22" s="11" t="s">
        <v>772</v>
      </c>
    </row>
    <row r="23" spans="1:14">
      <c r="A23" t="s">
        <v>854</v>
      </c>
    </row>
    <row r="24" spans="1:14">
      <c r="A24" t="s">
        <v>855</v>
      </c>
    </row>
    <row r="25" spans="1:14">
      <c r="A25" t="s">
        <v>856</v>
      </c>
    </row>
    <row r="26" spans="1:14">
      <c r="A26" t="s">
        <v>857</v>
      </c>
    </row>
    <row r="28" spans="1:14">
      <c r="A28" t="s">
        <v>858</v>
      </c>
    </row>
    <row r="29" spans="1:14">
      <c r="A29" t="s">
        <v>859</v>
      </c>
    </row>
    <row r="30" spans="1:14">
      <c r="A30" t="s">
        <v>860</v>
      </c>
    </row>
    <row r="31" spans="1:14">
      <c r="A31" t="s">
        <v>861</v>
      </c>
    </row>
    <row r="33" spans="1:3">
      <c r="A33" t="s">
        <v>862</v>
      </c>
    </row>
    <row r="34" spans="1:3">
      <c r="A34" t="s">
        <v>863</v>
      </c>
    </row>
    <row r="35" spans="1:3">
      <c r="A35" t="s">
        <v>1201</v>
      </c>
    </row>
    <row r="36" spans="1:3">
      <c r="A36" t="s">
        <v>1202</v>
      </c>
    </row>
    <row r="37" spans="1:3">
      <c r="A37" t="s">
        <v>864</v>
      </c>
    </row>
    <row r="39" spans="1:3">
      <c r="A39" t="s">
        <v>1146</v>
      </c>
    </row>
    <row r="40" spans="1:3">
      <c r="A40" t="s">
        <v>1150</v>
      </c>
    </row>
    <row r="41" spans="1:3">
      <c r="A41" t="s">
        <v>1151</v>
      </c>
    </row>
    <row r="42" spans="1:3">
      <c r="A42" t="s">
        <v>1147</v>
      </c>
    </row>
    <row r="44" spans="1:3">
      <c r="C44" t="s">
        <v>865</v>
      </c>
    </row>
  </sheetData>
  <phoneticPr fontId="32" type="noConversion"/>
  <pageMargins left="0.75" right="0.75" top="1" bottom="1" header="0.511811023622047" footer="0.511811023622047"/>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N53"/>
  <sheetViews>
    <sheetView zoomScaleNormal="100" workbookViewId="0">
      <selection activeCell="J14" sqref="J14"/>
    </sheetView>
  </sheetViews>
  <sheetFormatPr defaultColWidth="8.7109375" defaultRowHeight="15"/>
  <cols>
    <col min="1" max="1" width="5" customWidth="1"/>
    <col min="2" max="2" width="34" customWidth="1"/>
    <col min="3" max="3" width="20" customWidth="1"/>
    <col min="4" max="4" width="14" customWidth="1"/>
    <col min="5" max="5" width="7" customWidth="1"/>
    <col min="6" max="6" width="12" customWidth="1"/>
    <col min="7" max="8" width="10" customWidth="1"/>
    <col min="9" max="9" width="9" customWidth="1"/>
    <col min="10" max="10" width="70" customWidth="1"/>
    <col min="11" max="11" width="55" customWidth="1"/>
    <col min="12" max="12" width="24" customWidth="1"/>
    <col min="13" max="14" width="11" customWidth="1"/>
  </cols>
  <sheetData>
    <row r="1" spans="1:3" ht="21" customHeight="1">
      <c r="A1" s="1" t="s">
        <v>866</v>
      </c>
    </row>
    <row r="2" spans="1:3" ht="15" customHeight="1">
      <c r="A2" s="2" t="s">
        <v>867</v>
      </c>
    </row>
    <row r="4" spans="1:3">
      <c r="A4" s="3" t="s">
        <v>1139</v>
      </c>
    </row>
    <row r="5" spans="1:3">
      <c r="A5" s="19" t="s">
        <v>1130</v>
      </c>
      <c r="B5" s="19" t="s">
        <v>1131</v>
      </c>
      <c r="C5" s="19" t="s">
        <v>1132</v>
      </c>
    </row>
    <row r="6" spans="1:3">
      <c r="A6" s="20">
        <f>MAX(20,(MROUND(시작중량_설정!$E$9*0.4,1)+(MOD(MROUND(시작중량_설정!$E$9*0.4,1),5)=4)))</f>
        <v>20</v>
      </c>
      <c r="B6" s="20">
        <v>5</v>
      </c>
      <c r="C6" s="20">
        <v>2</v>
      </c>
    </row>
    <row r="7" spans="1:3">
      <c r="A7" s="20">
        <f>IF(MAX(20,(MROUND(시작중량_설정!$E$9*0.6,1)+(MOD(MROUND(시작중량_설정!$E$9*0.6,1),5)=4)))&lt;=MAX(20,(MROUND(시작중량_설정!$E$9*0.4,1)+(MOD(MROUND(시작중량_설정!$E$9*0.4,1),5)=4))),"생략",MAX(20,(MROUND(시작중량_설정!$E$9*0.6,1)+(MOD(MROUND(시작중량_설정!$E$9*0.6,1),5)=4))))</f>
        <v>21</v>
      </c>
      <c r="B7" s="20">
        <v>5</v>
      </c>
      <c r="C7" s="20">
        <v>1</v>
      </c>
    </row>
    <row r="8" spans="1:3">
      <c r="A8" s="20">
        <f>IF(MAX(20,(MROUND(시작중량_설정!$E$9*0.75,1)+(MOD(MROUND(시작중량_설정!$E$9*0.75,1),5)=4)))&lt;=MAX(20,(MROUND(시작중량_설정!$E$9*0.6,1)+(MOD(MROUND(시작중량_설정!$E$9*0.6,1),5)=4))),"생략",MAX(20,(MROUND(시작중량_설정!$E$9*0.75,1)+(MOD(MROUND(시작중량_설정!$E$9*0.75,1),5)=4))))</f>
        <v>26</v>
      </c>
      <c r="B8" s="20">
        <v>3</v>
      </c>
      <c r="C8" s="20">
        <v>1</v>
      </c>
    </row>
    <row r="9" spans="1:3">
      <c r="A9" s="20">
        <f>IF(MAX(20,(MROUND(시작중량_설정!$E$9*0.9,1)+(MOD(MROUND(시작중량_설정!$E$9*0.9,1),5)=4)))&lt;=MAX(20,(MROUND(시작중량_설정!$E$9*0.75,1)+(MOD(MROUND(시작중량_설정!$E$9*0.75,1),5)=4))),"생략",MAX(20,(MROUND(시작중량_설정!$E$9*0.9,1)+(MOD(MROUND(시작중량_설정!$E$9*0.9,1),5)=4))))</f>
        <v>32</v>
      </c>
      <c r="B9" s="20">
        <v>2</v>
      </c>
      <c r="C9" s="20">
        <v>1</v>
      </c>
    </row>
    <row r="10" spans="1:3">
      <c r="A10" s="37">
        <f>시작중량_설정!$E$9</f>
        <v>35</v>
      </c>
      <c r="B10" s="27">
        <v>5</v>
      </c>
      <c r="C10" s="27">
        <v>5</v>
      </c>
    </row>
    <row r="11" spans="1:3">
      <c r="A11" s="31" t="s">
        <v>1133</v>
      </c>
    </row>
    <row r="13" spans="1:3">
      <c r="A13" s="3" t="s">
        <v>283</v>
      </c>
    </row>
    <row r="14" spans="1:3">
      <c r="A14" s="31" t="s">
        <v>284</v>
      </c>
    </row>
    <row r="15" spans="1:3">
      <c r="A15" s="31" t="s">
        <v>285</v>
      </c>
    </row>
    <row r="16" spans="1:3">
      <c r="A16" s="31" t="s">
        <v>286</v>
      </c>
    </row>
    <row r="18" spans="1:14">
      <c r="A18" s="3" t="s">
        <v>2</v>
      </c>
    </row>
    <row r="19" spans="1:14" ht="15" customHeight="1">
      <c r="A19" s="6" t="s">
        <v>3</v>
      </c>
      <c r="B19" s="5" t="s">
        <v>4</v>
      </c>
      <c r="C19" s="5" t="s">
        <v>5</v>
      </c>
      <c r="D19" s="5" t="s">
        <v>6</v>
      </c>
      <c r="E19" s="5" t="s">
        <v>7</v>
      </c>
      <c r="F19" s="5" t="s">
        <v>8</v>
      </c>
      <c r="G19" s="5" t="s">
        <v>9</v>
      </c>
      <c r="H19" s="5" t="s">
        <v>10</v>
      </c>
      <c r="I19" t="s">
        <v>11</v>
      </c>
      <c r="J19" t="s">
        <v>13</v>
      </c>
      <c r="K19" t="s">
        <v>14</v>
      </c>
      <c r="L19" s="5" t="s">
        <v>15</v>
      </c>
      <c r="M19" s="5" t="s">
        <v>16</v>
      </c>
      <c r="N19" s="5" t="s">
        <v>1144</v>
      </c>
    </row>
    <row r="20" spans="1:14" ht="15" customHeight="1">
      <c r="A20" s="67">
        <v>1</v>
      </c>
      <c r="B20" s="68" t="s">
        <v>103</v>
      </c>
      <c r="C20" s="67" t="s">
        <v>288</v>
      </c>
      <c r="D20" s="75">
        <f>시작중량_설정!$E$9</f>
        <v>35</v>
      </c>
      <c r="E20" s="67">
        <v>5</v>
      </c>
      <c r="F20" s="59" t="s">
        <v>289</v>
      </c>
      <c r="G20" s="68">
        <v>30</v>
      </c>
      <c r="H20" s="68">
        <v>180</v>
      </c>
      <c r="I20">
        <f t="shared" ref="I20:I26" si="0">IF(E20=0,0,ROUND((E20*(G20+H20)+N20)/60,1))</f>
        <v>17.5</v>
      </c>
      <c r="J20" t="s">
        <v>1172</v>
      </c>
      <c r="K20" t="s">
        <v>868</v>
      </c>
      <c r="L20" s="68" t="s">
        <v>293</v>
      </c>
    </row>
    <row r="21" spans="1:14" ht="15" customHeight="1">
      <c r="A21" s="7">
        <v>2</v>
      </c>
      <c r="B21" s="53" t="s">
        <v>418</v>
      </c>
      <c r="C21" s="7" t="s">
        <v>299</v>
      </c>
      <c r="D21" s="8" t="s">
        <v>789</v>
      </c>
      <c r="E21" s="7">
        <v>5</v>
      </c>
      <c r="F21" s="8" t="s">
        <v>247</v>
      </c>
      <c r="G21" s="53">
        <v>40</v>
      </c>
      <c r="H21" s="53">
        <v>150</v>
      </c>
      <c r="I21">
        <f t="shared" si="0"/>
        <v>15.8</v>
      </c>
      <c r="J21" t="s">
        <v>869</v>
      </c>
      <c r="K21" t="s">
        <v>870</v>
      </c>
    </row>
    <row r="22" spans="1:14" ht="15" customHeight="1">
      <c r="A22" s="7">
        <v>3</v>
      </c>
      <c r="B22" s="53" t="s">
        <v>871</v>
      </c>
      <c r="C22" s="7" t="s">
        <v>299</v>
      </c>
      <c r="D22" s="8" t="s">
        <v>247</v>
      </c>
      <c r="E22" s="7">
        <v>4</v>
      </c>
      <c r="F22" s="8" t="s">
        <v>304</v>
      </c>
      <c r="G22" s="53">
        <v>40</v>
      </c>
      <c r="H22" s="53">
        <v>105</v>
      </c>
      <c r="I22">
        <f t="shared" si="0"/>
        <v>9.6999999999999993</v>
      </c>
      <c r="J22" t="s">
        <v>872</v>
      </c>
      <c r="K22" t="s">
        <v>873</v>
      </c>
    </row>
    <row r="23" spans="1:14" ht="15" customHeight="1">
      <c r="A23" s="7">
        <v>4</v>
      </c>
      <c r="B23" s="89" t="s">
        <v>381</v>
      </c>
      <c r="C23" s="7" t="s">
        <v>245</v>
      </c>
      <c r="D23" s="8" t="s">
        <v>149</v>
      </c>
      <c r="E23" s="7">
        <v>4</v>
      </c>
      <c r="F23" s="8" t="s">
        <v>247</v>
      </c>
      <c r="G23" s="53">
        <v>40</v>
      </c>
      <c r="H23" s="53">
        <v>150</v>
      </c>
      <c r="I23">
        <f t="shared" si="0"/>
        <v>12.7</v>
      </c>
      <c r="J23" t="s">
        <v>874</v>
      </c>
      <c r="K23" t="s">
        <v>875</v>
      </c>
    </row>
    <row r="24" spans="1:14" ht="15" customHeight="1">
      <c r="A24" s="7">
        <v>5</v>
      </c>
      <c r="B24" s="89" t="s">
        <v>876</v>
      </c>
      <c r="C24" s="7" t="s">
        <v>237</v>
      </c>
      <c r="D24" s="8" t="s">
        <v>149</v>
      </c>
      <c r="E24" s="7">
        <v>4</v>
      </c>
      <c r="F24" s="8" t="s">
        <v>40</v>
      </c>
      <c r="G24" s="53">
        <v>40</v>
      </c>
      <c r="H24" s="53">
        <v>120</v>
      </c>
      <c r="I24">
        <f t="shared" si="0"/>
        <v>11.7</v>
      </c>
      <c r="J24" t="s">
        <v>1162</v>
      </c>
      <c r="K24" t="s">
        <v>877</v>
      </c>
      <c r="N24">
        <v>60</v>
      </c>
    </row>
    <row r="25" spans="1:14" ht="15" customHeight="1">
      <c r="A25" s="7">
        <v>6</v>
      </c>
      <c r="B25" s="53" t="s">
        <v>38</v>
      </c>
      <c r="C25" s="7" t="s">
        <v>39</v>
      </c>
      <c r="D25" s="8" t="s">
        <v>256</v>
      </c>
      <c r="E25" s="7">
        <v>3</v>
      </c>
      <c r="F25" s="8" t="s">
        <v>40</v>
      </c>
      <c r="G25" s="53">
        <v>40</v>
      </c>
      <c r="H25" s="53">
        <v>75</v>
      </c>
      <c r="I25">
        <f t="shared" si="0"/>
        <v>5.8</v>
      </c>
      <c r="J25" t="s">
        <v>878</v>
      </c>
      <c r="K25" t="s">
        <v>879</v>
      </c>
    </row>
    <row r="26" spans="1:14" ht="15" customHeight="1">
      <c r="A26">
        <v>7</v>
      </c>
      <c r="B26" t="s">
        <v>361</v>
      </c>
      <c r="C26" t="s">
        <v>39</v>
      </c>
      <c r="D26" s="76" t="s">
        <v>399</v>
      </c>
      <c r="E26" s="28">
        <v>3</v>
      </c>
      <c r="F26" t="s">
        <v>52</v>
      </c>
      <c r="G26">
        <v>40</v>
      </c>
      <c r="H26">
        <v>70</v>
      </c>
      <c r="I26">
        <f t="shared" si="0"/>
        <v>6.5</v>
      </c>
      <c r="J26" t="s">
        <v>1145</v>
      </c>
      <c r="K26" t="s">
        <v>880</v>
      </c>
      <c r="N26">
        <v>60</v>
      </c>
    </row>
    <row r="27" spans="1:14">
      <c r="D27" t="s">
        <v>63</v>
      </c>
      <c r="E27">
        <f>SUM(E20:E26)</f>
        <v>28</v>
      </c>
      <c r="I27">
        <f>ROUND(SUM(I20:I26),0)</f>
        <v>80</v>
      </c>
    </row>
    <row r="28" spans="1:14" ht="32.25" customHeight="1">
      <c r="A28" s="12"/>
    </row>
    <row r="29" spans="1:14" ht="278.25" customHeight="1">
      <c r="A29" s="11"/>
      <c r="C29" s="87"/>
      <c r="F29" s="87"/>
    </row>
    <row r="30" spans="1:14" ht="237.75" customHeight="1">
      <c r="A30" s="11"/>
    </row>
    <row r="31" spans="1:14" ht="237.75" customHeight="1">
      <c r="A31" s="11"/>
    </row>
    <row r="36" spans="1:1">
      <c r="A36" t="s">
        <v>881</v>
      </c>
    </row>
    <row r="37" spans="1:1">
      <c r="A37" t="s">
        <v>882</v>
      </c>
    </row>
    <row r="38" spans="1:1">
      <c r="A38" t="s">
        <v>883</v>
      </c>
    </row>
    <row r="39" spans="1:1">
      <c r="A39" t="s">
        <v>884</v>
      </c>
    </row>
    <row r="41" spans="1:1">
      <c r="A41" t="s">
        <v>1195</v>
      </c>
    </row>
    <row r="42" spans="1:1">
      <c r="A42" t="s">
        <v>1196</v>
      </c>
    </row>
    <row r="43" spans="1:1">
      <c r="A43" t="s">
        <v>1197</v>
      </c>
    </row>
    <row r="44" spans="1:1">
      <c r="A44" t="s">
        <v>1198</v>
      </c>
    </row>
    <row r="45" spans="1:1">
      <c r="A45" t="s">
        <v>1199</v>
      </c>
    </row>
    <row r="46" spans="1:1">
      <c r="A46" t="s">
        <v>1200</v>
      </c>
    </row>
    <row r="48" spans="1:1">
      <c r="A48" t="s">
        <v>1146</v>
      </c>
    </row>
    <row r="49" spans="1:3">
      <c r="A49" t="s">
        <v>1163</v>
      </c>
    </row>
    <row r="50" spans="1:3">
      <c r="A50" t="s">
        <v>1164</v>
      </c>
    </row>
    <row r="51" spans="1:3">
      <c r="A51" t="s">
        <v>1147</v>
      </c>
    </row>
    <row r="53" spans="1:3">
      <c r="C53" t="s">
        <v>885</v>
      </c>
    </row>
  </sheetData>
  <phoneticPr fontId="32" type="noConversion"/>
  <pageMargins left="0.75" right="0.75" top="1" bottom="1" header="0.511811023622047" footer="0.511811023622047"/>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D61"/>
  <sheetViews>
    <sheetView zoomScaleNormal="100" workbookViewId="0"/>
  </sheetViews>
  <sheetFormatPr defaultColWidth="8.7109375" defaultRowHeight="15"/>
  <cols>
    <col min="1" max="1" width="18" customWidth="1"/>
    <col min="2" max="3" width="22" customWidth="1"/>
    <col min="4" max="4" width="62" customWidth="1"/>
  </cols>
  <sheetData>
    <row r="1" spans="1:4" ht="17.25" customHeight="1">
      <c r="A1" s="1" t="s">
        <v>886</v>
      </c>
    </row>
    <row r="2" spans="1:4" ht="15" customHeight="1">
      <c r="A2" s="2" t="s">
        <v>887</v>
      </c>
    </row>
    <row r="4" spans="1:4" ht="15" customHeight="1">
      <c r="A4" s="5" t="s">
        <v>888</v>
      </c>
      <c r="B4" s="5" t="s">
        <v>889</v>
      </c>
      <c r="C4" s="5" t="s">
        <v>890</v>
      </c>
      <c r="D4" s="5" t="s">
        <v>660</v>
      </c>
    </row>
    <row r="5" spans="1:4" ht="15" customHeight="1">
      <c r="A5" s="7" t="s">
        <v>891</v>
      </c>
      <c r="B5" s="7" t="s">
        <v>892</v>
      </c>
      <c r="C5" s="7" t="s">
        <v>893</v>
      </c>
      <c r="D5" s="69" t="s">
        <v>894</v>
      </c>
    </row>
    <row r="6" spans="1:4" ht="15" customHeight="1">
      <c r="A6" s="7" t="s">
        <v>672</v>
      </c>
      <c r="B6" s="8" t="s">
        <v>895</v>
      </c>
      <c r="C6" s="7" t="s">
        <v>896</v>
      </c>
      <c r="D6" s="53" t="s">
        <v>897</v>
      </c>
    </row>
    <row r="7" spans="1:4" ht="15" customHeight="1">
      <c r="A7" s="7" t="s">
        <v>898</v>
      </c>
      <c r="B7" s="7" t="s">
        <v>899</v>
      </c>
      <c r="C7" s="7" t="s">
        <v>900</v>
      </c>
      <c r="D7" s="53" t="s">
        <v>901</v>
      </c>
    </row>
    <row r="8" spans="1:4" ht="15" customHeight="1">
      <c r="A8" s="7" t="s">
        <v>902</v>
      </c>
      <c r="B8" s="7" t="s">
        <v>903</v>
      </c>
      <c r="C8" s="7" t="s">
        <v>904</v>
      </c>
      <c r="D8" s="53" t="s">
        <v>905</v>
      </c>
    </row>
    <row r="9" spans="1:4" ht="15" customHeight="1">
      <c r="A9" s="7" t="s">
        <v>906</v>
      </c>
      <c r="B9" s="8" t="s">
        <v>907</v>
      </c>
      <c r="C9" s="8" t="s">
        <v>1186</v>
      </c>
      <c r="D9" s="53" t="s">
        <v>1187</v>
      </c>
    </row>
    <row r="10" spans="1:4" ht="15" customHeight="1">
      <c r="A10" s="7" t="s">
        <v>908</v>
      </c>
      <c r="B10" s="8" t="s">
        <v>909</v>
      </c>
      <c r="C10" s="8" t="s">
        <v>910</v>
      </c>
      <c r="D10" s="53" t="s">
        <v>911</v>
      </c>
    </row>
    <row r="11" spans="1:4" ht="15" customHeight="1">
      <c r="A11" s="7" t="s">
        <v>912</v>
      </c>
      <c r="B11" s="8" t="s">
        <v>149</v>
      </c>
      <c r="C11" s="8" t="s">
        <v>913</v>
      </c>
      <c r="D11" s="53" t="s">
        <v>914</v>
      </c>
    </row>
    <row r="12" spans="1:4" ht="15" customHeight="1">
      <c r="A12" s="7" t="s">
        <v>915</v>
      </c>
      <c r="B12" s="8" t="s">
        <v>916</v>
      </c>
      <c r="C12" s="8" t="s">
        <v>917</v>
      </c>
      <c r="D12" s="53" t="s">
        <v>918</v>
      </c>
    </row>
    <row r="13" spans="1:4" ht="15" customHeight="1">
      <c r="A13" s="79" t="s">
        <v>919</v>
      </c>
      <c r="B13" s="80" t="s">
        <v>920</v>
      </c>
      <c r="C13" s="80" t="s">
        <v>921</v>
      </c>
      <c r="D13" s="79" t="s">
        <v>922</v>
      </c>
    </row>
    <row r="14" spans="1:4">
      <c r="A14" t="s">
        <v>923</v>
      </c>
      <c r="B14" t="s">
        <v>924</v>
      </c>
      <c r="C14" t="s">
        <v>925</v>
      </c>
      <c r="D14" t="s">
        <v>926</v>
      </c>
    </row>
    <row r="15" spans="1:4" ht="15" customHeight="1">
      <c r="A15" s="3"/>
    </row>
    <row r="16" spans="1:4" ht="15" customHeight="1">
      <c r="A16" s="3" t="s">
        <v>1169</v>
      </c>
    </row>
    <row r="17" spans="1:1" ht="15" customHeight="1">
      <c r="A17" s="3" t="s">
        <v>1170</v>
      </c>
    </row>
    <row r="18" spans="1:1" ht="15" customHeight="1">
      <c r="A18" s="3" t="s">
        <v>1188</v>
      </c>
    </row>
    <row r="19" spans="1:1" ht="15" customHeight="1">
      <c r="A19" s="3" t="s">
        <v>1171</v>
      </c>
    </row>
    <row r="20" spans="1:1" ht="15" customHeight="1">
      <c r="A20" s="3" t="s">
        <v>1189</v>
      </c>
    </row>
    <row r="21" spans="1:1" ht="15" customHeight="1">
      <c r="A21" s="3" t="s">
        <v>1190</v>
      </c>
    </row>
    <row r="22" spans="1:1" ht="15" customHeight="1">
      <c r="A22" s="3" t="s">
        <v>1191</v>
      </c>
    </row>
    <row r="23" spans="1:1" ht="39" customHeight="1">
      <c r="A23" s="11"/>
    </row>
    <row r="24" spans="1:1" ht="51.75" customHeight="1">
      <c r="A24" s="11" t="s">
        <v>927</v>
      </c>
    </row>
    <row r="25" spans="1:1" ht="39" customHeight="1">
      <c r="A25" s="11" t="s">
        <v>928</v>
      </c>
    </row>
    <row r="26" spans="1:1" ht="39" customHeight="1">
      <c r="A26" s="11" t="s">
        <v>929</v>
      </c>
    </row>
    <row r="27" spans="1:1" ht="15" customHeight="1">
      <c r="A27" s="63" t="s">
        <v>930</v>
      </c>
    </row>
    <row r="28" spans="1:1" ht="51.75" customHeight="1">
      <c r="A28" s="11"/>
    </row>
    <row r="29" spans="1:1" ht="39" customHeight="1">
      <c r="A29" s="11" t="s">
        <v>931</v>
      </c>
    </row>
    <row r="30" spans="1:1" ht="15" customHeight="1">
      <c r="A30" s="63" t="s">
        <v>932</v>
      </c>
    </row>
    <row r="31" spans="1:1" ht="51.75" customHeight="1">
      <c r="A31" s="11" t="s">
        <v>933</v>
      </c>
    </row>
    <row r="32" spans="1:1" ht="39" customHeight="1">
      <c r="A32" s="11" t="s">
        <v>934</v>
      </c>
    </row>
    <row r="33" spans="1:1">
      <c r="A33" t="s">
        <v>864</v>
      </c>
    </row>
    <row r="35" spans="1:1">
      <c r="A35" t="s">
        <v>935</v>
      </c>
    </row>
    <row r="36" spans="1:1">
      <c r="A36" t="s">
        <v>936</v>
      </c>
    </row>
    <row r="37" spans="1:1">
      <c r="A37" t="s">
        <v>1168</v>
      </c>
    </row>
    <row r="38" spans="1:1">
      <c r="A38" t="s">
        <v>937</v>
      </c>
    </row>
    <row r="40" spans="1:1">
      <c r="A40" t="s">
        <v>938</v>
      </c>
    </row>
    <row r="41" spans="1:1">
      <c r="A41" t="s">
        <v>1203</v>
      </c>
    </row>
    <row r="42" spans="1:1">
      <c r="A42" t="s">
        <v>939</v>
      </c>
    </row>
    <row r="43" spans="1:1">
      <c r="A43" t="s">
        <v>940</v>
      </c>
    </row>
    <row r="44" spans="1:1">
      <c r="A44" t="s">
        <v>941</v>
      </c>
    </row>
    <row r="46" spans="1:1">
      <c r="A46" t="s">
        <v>942</v>
      </c>
    </row>
    <row r="47" spans="1:1">
      <c r="A47" t="s">
        <v>943</v>
      </c>
    </row>
    <row r="48" spans="1:1">
      <c r="A48" t="s">
        <v>944</v>
      </c>
    </row>
    <row r="49" spans="1:1">
      <c r="A49" t="s">
        <v>945</v>
      </c>
    </row>
    <row r="50" spans="1:1">
      <c r="A50" t="s">
        <v>946</v>
      </c>
    </row>
    <row r="51" spans="1:1">
      <c r="A51" t="s">
        <v>1226</v>
      </c>
    </row>
    <row r="52" spans="1:1">
      <c r="A52" t="s">
        <v>1227</v>
      </c>
    </row>
    <row r="53" spans="1:1">
      <c r="A53" t="s">
        <v>947</v>
      </c>
    </row>
    <row r="54" spans="1:1">
      <c r="A54" t="s">
        <v>948</v>
      </c>
    </row>
    <row r="56" spans="1:1">
      <c r="A56" t="s">
        <v>949</v>
      </c>
    </row>
    <row r="57" spans="1:1">
      <c r="A57" t="s">
        <v>950</v>
      </c>
    </row>
    <row r="58" spans="1:1">
      <c r="A58" t="s">
        <v>951</v>
      </c>
    </row>
    <row r="59" spans="1:1">
      <c r="A59" t="s">
        <v>952</v>
      </c>
    </row>
    <row r="60" spans="1:1">
      <c r="A60" t="s">
        <v>953</v>
      </c>
    </row>
    <row r="61" spans="1:1">
      <c r="A61" t="s">
        <v>954</v>
      </c>
    </row>
  </sheetData>
  <phoneticPr fontId="32" type="noConversion"/>
  <pageMargins left="0.75" right="0.75" top="1" bottom="1" header="0.511811023622047" footer="0.511811023622047"/>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H51"/>
  <sheetViews>
    <sheetView workbookViewId="0"/>
  </sheetViews>
  <sheetFormatPr defaultRowHeight="15"/>
  <cols>
    <col min="1" max="1" width="14" customWidth="1"/>
    <col min="2" max="2" width="32" customWidth="1"/>
    <col min="3" max="3" width="20" customWidth="1"/>
    <col min="4" max="4" width="7" customWidth="1"/>
    <col min="5" max="6" width="10" customWidth="1"/>
    <col min="7" max="7" width="7" customWidth="1"/>
    <col min="8" max="8" width="60" customWidth="1"/>
  </cols>
  <sheetData>
    <row r="1" spans="1:8">
      <c r="A1" t="s">
        <v>955</v>
      </c>
    </row>
    <row r="2" spans="1:8">
      <c r="A2" t="s">
        <v>956</v>
      </c>
    </row>
    <row r="3" spans="1:8">
      <c r="A3" t="s">
        <v>459</v>
      </c>
      <c r="F3">
        <f ca="1">COUNTIF($E$7:$E$51,"?")</f>
        <v>0</v>
      </c>
    </row>
    <row r="4" spans="1:8">
      <c r="A4" t="s">
        <v>957</v>
      </c>
    </row>
    <row r="6" spans="1:8">
      <c r="A6" t="s">
        <v>958</v>
      </c>
      <c r="B6" t="s">
        <v>462</v>
      </c>
      <c r="C6" t="s">
        <v>463</v>
      </c>
      <c r="D6" t="s">
        <v>464</v>
      </c>
      <c r="E6" t="s">
        <v>465</v>
      </c>
      <c r="F6" t="s">
        <v>466</v>
      </c>
      <c r="G6" t="s">
        <v>467</v>
      </c>
      <c r="H6" t="s">
        <v>468</v>
      </c>
    </row>
    <row r="7" spans="1:8">
      <c r="A7" t="s">
        <v>959</v>
      </c>
      <c r="B7" t="s">
        <v>381</v>
      </c>
      <c r="C7" t="s">
        <v>44</v>
      </c>
      <c r="D7">
        <v>0.2</v>
      </c>
      <c r="E7">
        <f t="shared" ref="E7:E13" ca="1" si="0">IFERROR(INDEX(INDIRECT("'"&amp;$A7&amp;"'!$E$1:$E$45"),MATCH($B7,INDIRECT("'"&amp;$A7&amp;"'!$B$1:$B$45"),0)),"?")</f>
        <v>4</v>
      </c>
      <c r="F7">
        <f t="shared" ref="F7:F13" ca="1" si="1">IF(ISNUMBER(E7),$D7*E7,0)</f>
        <v>0.8</v>
      </c>
      <c r="G7" t="s">
        <v>482</v>
      </c>
      <c r="H7" t="s">
        <v>960</v>
      </c>
    </row>
    <row r="8" spans="1:8">
      <c r="A8" t="s">
        <v>959</v>
      </c>
      <c r="B8" t="s">
        <v>876</v>
      </c>
      <c r="C8" t="s">
        <v>44</v>
      </c>
      <c r="D8">
        <v>0.5</v>
      </c>
      <c r="E8">
        <f t="shared" ca="1" si="0"/>
        <v>4</v>
      </c>
      <c r="F8">
        <f t="shared" ca="1" si="1"/>
        <v>2</v>
      </c>
      <c r="G8" t="s">
        <v>482</v>
      </c>
      <c r="H8" t="s">
        <v>961</v>
      </c>
    </row>
    <row r="9" spans="1:8">
      <c r="A9" t="s">
        <v>962</v>
      </c>
      <c r="B9" t="s">
        <v>788</v>
      </c>
      <c r="C9" t="s">
        <v>44</v>
      </c>
      <c r="D9">
        <v>0.2</v>
      </c>
      <c r="E9">
        <f t="shared" ca="1" si="0"/>
        <v>4</v>
      </c>
      <c r="F9">
        <f t="shared" ca="1" si="1"/>
        <v>0.8</v>
      </c>
      <c r="G9" t="s">
        <v>482</v>
      </c>
      <c r="H9" t="s">
        <v>963</v>
      </c>
    </row>
    <row r="10" spans="1:8">
      <c r="A10" t="s">
        <v>962</v>
      </c>
      <c r="B10" t="s">
        <v>793</v>
      </c>
      <c r="C10" t="s">
        <v>44</v>
      </c>
      <c r="D10">
        <v>0.33</v>
      </c>
      <c r="E10">
        <f t="shared" ca="1" si="0"/>
        <v>4</v>
      </c>
      <c r="F10">
        <f t="shared" ca="1" si="1"/>
        <v>1.32</v>
      </c>
      <c r="G10" t="s">
        <v>482</v>
      </c>
      <c r="H10" t="s">
        <v>964</v>
      </c>
    </row>
    <row r="11" spans="1:8">
      <c r="A11" t="s">
        <v>962</v>
      </c>
      <c r="B11" t="s">
        <v>236</v>
      </c>
      <c r="C11" t="s">
        <v>44</v>
      </c>
      <c r="D11">
        <v>0.5</v>
      </c>
      <c r="E11">
        <f t="shared" ca="1" si="0"/>
        <v>3</v>
      </c>
      <c r="F11">
        <f t="shared" ca="1" si="1"/>
        <v>1.5</v>
      </c>
      <c r="G11" t="s">
        <v>482</v>
      </c>
      <c r="H11" t="s">
        <v>965</v>
      </c>
    </row>
    <row r="12" spans="1:8">
      <c r="A12" t="s">
        <v>959</v>
      </c>
      <c r="B12" t="s">
        <v>103</v>
      </c>
      <c r="C12" t="s">
        <v>39</v>
      </c>
      <c r="D12">
        <v>0.5</v>
      </c>
      <c r="E12">
        <f t="shared" ca="1" si="0"/>
        <v>5</v>
      </c>
      <c r="F12">
        <f t="shared" ca="1" si="1"/>
        <v>2.5</v>
      </c>
      <c r="G12" t="s">
        <v>482</v>
      </c>
      <c r="H12" t="s">
        <v>966</v>
      </c>
    </row>
    <row r="13" spans="1:8">
      <c r="A13" t="s">
        <v>959</v>
      </c>
      <c r="B13" t="s">
        <v>418</v>
      </c>
      <c r="C13" t="s">
        <v>39</v>
      </c>
      <c r="D13">
        <v>0.5</v>
      </c>
      <c r="E13">
        <f t="shared" ca="1" si="0"/>
        <v>5</v>
      </c>
      <c r="F13">
        <f t="shared" ca="1" si="1"/>
        <v>2.5</v>
      </c>
      <c r="G13" t="s">
        <v>482</v>
      </c>
      <c r="H13" t="s">
        <v>967</v>
      </c>
    </row>
    <row r="15" spans="1:8">
      <c r="A15" t="s">
        <v>968</v>
      </c>
      <c r="B15" t="s">
        <v>26</v>
      </c>
      <c r="C15" t="s">
        <v>39</v>
      </c>
      <c r="D15">
        <v>0.5</v>
      </c>
      <c r="E15">
        <f t="shared" ref="E15:E51" ca="1" si="2">IFERROR(INDEX(INDIRECT("'"&amp;$A15&amp;"'!$E$1:$E$45"),MATCH($B15,INDIRECT("'"&amp;$A15&amp;"'!$B$1:$B$45"),0)),"?")</f>
        <v>4</v>
      </c>
      <c r="F15">
        <f t="shared" ref="F15:F51" ca="1" si="3">IF(ISNUMBER(E15),$D15*E15,0)</f>
        <v>2</v>
      </c>
      <c r="G15" t="s">
        <v>482</v>
      </c>
      <c r="H15" t="s">
        <v>967</v>
      </c>
    </row>
    <row r="16" spans="1:8">
      <c r="A16" t="s">
        <v>969</v>
      </c>
      <c r="B16" t="s">
        <v>757</v>
      </c>
      <c r="C16" t="s">
        <v>39</v>
      </c>
      <c r="D16">
        <v>0.5</v>
      </c>
      <c r="E16">
        <f t="shared" ca="1" si="2"/>
        <v>3</v>
      </c>
      <c r="F16">
        <f t="shared" ca="1" si="3"/>
        <v>1.5</v>
      </c>
      <c r="G16" t="s">
        <v>482</v>
      </c>
      <c r="H16" t="s">
        <v>967</v>
      </c>
    </row>
    <row r="17" spans="1:8">
      <c r="A17" t="s">
        <v>962</v>
      </c>
      <c r="B17" t="s">
        <v>294</v>
      </c>
      <c r="C17" t="s">
        <v>39</v>
      </c>
      <c r="D17">
        <v>0.5</v>
      </c>
      <c r="E17">
        <f t="shared" ca="1" si="2"/>
        <v>3</v>
      </c>
      <c r="F17">
        <f t="shared" ca="1" si="3"/>
        <v>1.5</v>
      </c>
      <c r="G17" t="s">
        <v>482</v>
      </c>
      <c r="H17" t="s">
        <v>967</v>
      </c>
    </row>
    <row r="18" spans="1:8">
      <c r="A18" t="s">
        <v>959</v>
      </c>
      <c r="B18" t="s">
        <v>103</v>
      </c>
      <c r="C18" t="s">
        <v>27</v>
      </c>
      <c r="D18">
        <v>0.5</v>
      </c>
      <c r="E18">
        <f t="shared" ca="1" si="2"/>
        <v>5</v>
      </c>
      <c r="F18">
        <f t="shared" ca="1" si="3"/>
        <v>2.5</v>
      </c>
      <c r="G18" t="s">
        <v>482</v>
      </c>
      <c r="H18" t="s">
        <v>970</v>
      </c>
    </row>
    <row r="19" spans="1:8">
      <c r="A19" t="s">
        <v>959</v>
      </c>
      <c r="B19" t="s">
        <v>418</v>
      </c>
      <c r="C19" t="s">
        <v>27</v>
      </c>
      <c r="D19">
        <v>0.5</v>
      </c>
      <c r="E19">
        <f t="shared" ca="1" si="2"/>
        <v>5</v>
      </c>
      <c r="F19">
        <f t="shared" ca="1" si="3"/>
        <v>2.5</v>
      </c>
      <c r="G19" t="s">
        <v>482</v>
      </c>
      <c r="H19" t="s">
        <v>971</v>
      </c>
    </row>
    <row r="20" spans="1:8">
      <c r="A20" t="s">
        <v>962</v>
      </c>
      <c r="B20" t="s">
        <v>294</v>
      </c>
      <c r="C20" t="s">
        <v>27</v>
      </c>
      <c r="D20">
        <v>0.2</v>
      </c>
      <c r="E20">
        <f t="shared" ca="1" si="2"/>
        <v>3</v>
      </c>
      <c r="F20">
        <f t="shared" ca="1" si="3"/>
        <v>0.60000000000000009</v>
      </c>
      <c r="G20" t="s">
        <v>482</v>
      </c>
      <c r="H20" t="s">
        <v>972</v>
      </c>
    </row>
    <row r="21" spans="1:8">
      <c r="A21" t="s">
        <v>969</v>
      </c>
      <c r="B21" t="s">
        <v>757</v>
      </c>
      <c r="C21" t="s">
        <v>18</v>
      </c>
      <c r="D21">
        <v>0.5</v>
      </c>
      <c r="E21">
        <f t="shared" ca="1" si="2"/>
        <v>3</v>
      </c>
      <c r="F21">
        <f t="shared" ca="1" si="3"/>
        <v>1.5</v>
      </c>
      <c r="G21" t="s">
        <v>482</v>
      </c>
      <c r="H21" t="s">
        <v>973</v>
      </c>
    </row>
    <row r="22" spans="1:8">
      <c r="A22" t="s">
        <v>959</v>
      </c>
      <c r="B22" t="s">
        <v>381</v>
      </c>
      <c r="C22" t="s">
        <v>237</v>
      </c>
      <c r="D22">
        <v>0.5</v>
      </c>
      <c r="E22">
        <f t="shared" ca="1" si="2"/>
        <v>4</v>
      </c>
      <c r="F22">
        <f t="shared" ca="1" si="3"/>
        <v>2</v>
      </c>
      <c r="G22" t="s">
        <v>482</v>
      </c>
      <c r="H22" t="s">
        <v>974</v>
      </c>
    </row>
    <row r="23" spans="1:8">
      <c r="A23" t="s">
        <v>962</v>
      </c>
      <c r="B23" t="s">
        <v>788</v>
      </c>
      <c r="C23" t="s">
        <v>237</v>
      </c>
      <c r="D23">
        <v>0.5</v>
      </c>
      <c r="E23">
        <f t="shared" ca="1" si="2"/>
        <v>4</v>
      </c>
      <c r="F23">
        <f t="shared" ca="1" si="3"/>
        <v>2</v>
      </c>
      <c r="G23" t="s">
        <v>482</v>
      </c>
      <c r="H23" t="s">
        <v>974</v>
      </c>
    </row>
    <row r="24" spans="1:8">
      <c r="A24" t="s">
        <v>962</v>
      </c>
      <c r="B24" t="s">
        <v>793</v>
      </c>
      <c r="C24" t="s">
        <v>245</v>
      </c>
      <c r="D24">
        <v>0.5</v>
      </c>
      <c r="E24">
        <f t="shared" ca="1" si="2"/>
        <v>4</v>
      </c>
      <c r="F24">
        <f t="shared" ca="1" si="3"/>
        <v>2</v>
      </c>
      <c r="G24" t="s">
        <v>482</v>
      </c>
      <c r="H24" t="s">
        <v>975</v>
      </c>
    </row>
    <row r="25" spans="1:8">
      <c r="A25" t="s">
        <v>968</v>
      </c>
      <c r="B25" t="s">
        <v>350</v>
      </c>
      <c r="C25" t="s">
        <v>245</v>
      </c>
      <c r="D25">
        <v>0.5</v>
      </c>
      <c r="E25">
        <f t="shared" ca="1" si="2"/>
        <v>3</v>
      </c>
      <c r="F25">
        <f t="shared" ca="1" si="3"/>
        <v>1.5</v>
      </c>
      <c r="G25" t="s">
        <v>482</v>
      </c>
      <c r="H25" t="s">
        <v>976</v>
      </c>
    </row>
    <row r="26" spans="1:8">
      <c r="A26" t="s">
        <v>968</v>
      </c>
      <c r="B26" t="s">
        <v>421</v>
      </c>
      <c r="C26" t="s">
        <v>245</v>
      </c>
      <c r="D26">
        <v>0.33</v>
      </c>
      <c r="E26">
        <f t="shared" ca="1" si="2"/>
        <v>4</v>
      </c>
      <c r="F26">
        <f t="shared" ca="1" si="3"/>
        <v>1.32</v>
      </c>
      <c r="G26" t="s">
        <v>482</v>
      </c>
      <c r="H26" t="s">
        <v>977</v>
      </c>
    </row>
    <row r="27" spans="1:8">
      <c r="A27" t="s">
        <v>969</v>
      </c>
      <c r="B27" t="s">
        <v>768</v>
      </c>
      <c r="C27" t="s">
        <v>245</v>
      </c>
      <c r="D27">
        <v>0.33</v>
      </c>
      <c r="E27">
        <f t="shared" ca="1" si="2"/>
        <v>3</v>
      </c>
      <c r="F27">
        <f t="shared" ca="1" si="3"/>
        <v>0.99</v>
      </c>
      <c r="G27" t="s">
        <v>482</v>
      </c>
      <c r="H27" t="s">
        <v>977</v>
      </c>
    </row>
    <row r="28" spans="1:8">
      <c r="A28" t="s">
        <v>969</v>
      </c>
      <c r="B28" t="s">
        <v>757</v>
      </c>
      <c r="C28" t="s">
        <v>347</v>
      </c>
      <c r="D28">
        <v>0.2</v>
      </c>
      <c r="E28">
        <f t="shared" ca="1" si="2"/>
        <v>3</v>
      </c>
      <c r="F28">
        <f t="shared" ca="1" si="3"/>
        <v>0.60000000000000009</v>
      </c>
      <c r="G28" t="s">
        <v>482</v>
      </c>
      <c r="H28" t="s">
        <v>978</v>
      </c>
    </row>
    <row r="29" spans="1:8">
      <c r="A29" t="s">
        <v>962</v>
      </c>
      <c r="B29" t="s">
        <v>788</v>
      </c>
      <c r="C29" t="s">
        <v>347</v>
      </c>
      <c r="D29">
        <v>0.2</v>
      </c>
      <c r="E29">
        <f t="shared" ca="1" si="2"/>
        <v>4</v>
      </c>
      <c r="F29">
        <f t="shared" ca="1" si="3"/>
        <v>0.8</v>
      </c>
      <c r="G29" t="s">
        <v>482</v>
      </c>
      <c r="H29" t="s">
        <v>979</v>
      </c>
    </row>
    <row r="30" spans="1:8">
      <c r="A30" t="s">
        <v>962</v>
      </c>
      <c r="B30" t="s">
        <v>101</v>
      </c>
      <c r="C30" t="s">
        <v>347</v>
      </c>
      <c r="D30">
        <v>0.2</v>
      </c>
      <c r="E30">
        <f t="shared" ca="1" si="2"/>
        <v>1</v>
      </c>
      <c r="F30">
        <f t="shared" ca="1" si="3"/>
        <v>0.2</v>
      </c>
      <c r="G30" t="s">
        <v>482</v>
      </c>
      <c r="H30" t="s">
        <v>980</v>
      </c>
    </row>
    <row r="31" spans="1:8">
      <c r="A31" t="s">
        <v>962</v>
      </c>
      <c r="B31" t="s">
        <v>236</v>
      </c>
      <c r="C31" t="s">
        <v>34</v>
      </c>
      <c r="D31">
        <v>0.2</v>
      </c>
      <c r="E31">
        <f t="shared" ca="1" si="2"/>
        <v>3</v>
      </c>
      <c r="F31">
        <f t="shared" ca="1" si="3"/>
        <v>0.60000000000000009</v>
      </c>
      <c r="G31" t="s">
        <v>482</v>
      </c>
      <c r="H31" t="s">
        <v>981</v>
      </c>
    </row>
    <row r="32" spans="1:8">
      <c r="A32" t="s">
        <v>959</v>
      </c>
      <c r="B32" t="s">
        <v>876</v>
      </c>
      <c r="C32" t="s">
        <v>34</v>
      </c>
      <c r="D32">
        <v>0.2</v>
      </c>
      <c r="E32">
        <f t="shared" ca="1" si="2"/>
        <v>4</v>
      </c>
      <c r="F32">
        <f t="shared" ca="1" si="3"/>
        <v>0.8</v>
      </c>
      <c r="G32" t="s">
        <v>482</v>
      </c>
      <c r="H32" t="s">
        <v>982</v>
      </c>
    </row>
    <row r="33" spans="1:8">
      <c r="A33" t="s">
        <v>969</v>
      </c>
      <c r="B33" t="s">
        <v>99</v>
      </c>
      <c r="C33" t="s">
        <v>271</v>
      </c>
      <c r="D33">
        <v>0.2</v>
      </c>
      <c r="E33">
        <f t="shared" ca="1" si="2"/>
        <v>5</v>
      </c>
      <c r="F33">
        <f t="shared" ca="1" si="3"/>
        <v>1</v>
      </c>
      <c r="G33" t="s">
        <v>482</v>
      </c>
      <c r="H33" t="s">
        <v>983</v>
      </c>
    </row>
    <row r="34" spans="1:8">
      <c r="A34" t="s">
        <v>962</v>
      </c>
      <c r="B34" t="s">
        <v>788</v>
      </c>
      <c r="C34" t="s">
        <v>271</v>
      </c>
      <c r="D34">
        <v>0.2</v>
      </c>
      <c r="E34">
        <f t="shared" ca="1" si="2"/>
        <v>4</v>
      </c>
      <c r="F34">
        <f t="shared" ca="1" si="3"/>
        <v>0.8</v>
      </c>
      <c r="G34" t="s">
        <v>482</v>
      </c>
      <c r="H34" t="s">
        <v>984</v>
      </c>
    </row>
    <row r="35" spans="1:8">
      <c r="A35" t="s">
        <v>962</v>
      </c>
      <c r="B35" t="s">
        <v>398</v>
      </c>
      <c r="C35" t="s">
        <v>271</v>
      </c>
      <c r="D35">
        <v>0.2</v>
      </c>
      <c r="E35">
        <f t="shared" ca="1" si="2"/>
        <v>3</v>
      </c>
      <c r="F35">
        <f t="shared" ca="1" si="3"/>
        <v>0.60000000000000009</v>
      </c>
      <c r="G35" t="s">
        <v>482</v>
      </c>
      <c r="H35" t="s">
        <v>985</v>
      </c>
    </row>
    <row r="36" spans="1:8">
      <c r="A36" t="s">
        <v>969</v>
      </c>
      <c r="B36" t="s">
        <v>99</v>
      </c>
      <c r="C36" t="s">
        <v>321</v>
      </c>
      <c r="D36">
        <v>0.5</v>
      </c>
      <c r="E36">
        <f t="shared" ca="1" si="2"/>
        <v>5</v>
      </c>
      <c r="F36">
        <f t="shared" ca="1" si="3"/>
        <v>2.5</v>
      </c>
      <c r="G36" t="s">
        <v>482</v>
      </c>
      <c r="H36" t="s">
        <v>504</v>
      </c>
    </row>
    <row r="37" spans="1:8">
      <c r="A37" t="s">
        <v>962</v>
      </c>
      <c r="B37" t="s">
        <v>101</v>
      </c>
      <c r="C37" t="s">
        <v>321</v>
      </c>
      <c r="D37">
        <v>0.5</v>
      </c>
      <c r="E37">
        <f t="shared" ca="1" si="2"/>
        <v>1</v>
      </c>
      <c r="F37">
        <f t="shared" ca="1" si="3"/>
        <v>0.5</v>
      </c>
      <c r="G37" t="s">
        <v>482</v>
      </c>
      <c r="H37" t="s">
        <v>986</v>
      </c>
    </row>
    <row r="38" spans="1:8">
      <c r="A38" t="s">
        <v>969</v>
      </c>
      <c r="B38" t="s">
        <v>320</v>
      </c>
      <c r="C38" t="s">
        <v>321</v>
      </c>
      <c r="D38">
        <v>0.33</v>
      </c>
      <c r="E38">
        <f t="shared" ca="1" si="2"/>
        <v>4</v>
      </c>
      <c r="F38">
        <f t="shared" ca="1" si="3"/>
        <v>1.32</v>
      </c>
      <c r="G38" t="s">
        <v>482</v>
      </c>
      <c r="H38" t="s">
        <v>505</v>
      </c>
    </row>
    <row r="39" spans="1:8">
      <c r="A39" t="s">
        <v>968</v>
      </c>
      <c r="B39" t="s">
        <v>445</v>
      </c>
      <c r="C39" t="s">
        <v>330</v>
      </c>
      <c r="D39">
        <v>0.5</v>
      </c>
      <c r="E39">
        <f t="shared" ca="1" si="2"/>
        <v>3</v>
      </c>
      <c r="F39">
        <f t="shared" ca="1" si="3"/>
        <v>1.5</v>
      </c>
      <c r="G39" t="s">
        <v>482</v>
      </c>
      <c r="H39" t="s">
        <v>987</v>
      </c>
    </row>
    <row r="40" spans="1:8">
      <c r="A40" t="s">
        <v>962</v>
      </c>
      <c r="B40" t="s">
        <v>101</v>
      </c>
      <c r="C40" t="s">
        <v>330</v>
      </c>
      <c r="D40">
        <v>0.5</v>
      </c>
      <c r="E40">
        <f t="shared" ca="1" si="2"/>
        <v>1</v>
      </c>
      <c r="F40">
        <f t="shared" ca="1" si="3"/>
        <v>0.5</v>
      </c>
      <c r="G40" t="s">
        <v>482</v>
      </c>
      <c r="H40" t="s">
        <v>988</v>
      </c>
    </row>
    <row r="41" spans="1:8">
      <c r="A41" t="s">
        <v>969</v>
      </c>
      <c r="B41" t="s">
        <v>99</v>
      </c>
      <c r="C41" t="s">
        <v>333</v>
      </c>
      <c r="D41">
        <v>0.2</v>
      </c>
      <c r="E41">
        <f t="shared" ca="1" si="2"/>
        <v>5</v>
      </c>
      <c r="F41">
        <f t="shared" ca="1" si="3"/>
        <v>1</v>
      </c>
      <c r="G41" t="s">
        <v>482</v>
      </c>
      <c r="H41" t="s">
        <v>989</v>
      </c>
    </row>
    <row r="42" spans="1:8">
      <c r="A42" t="s">
        <v>969</v>
      </c>
      <c r="B42" t="s">
        <v>320</v>
      </c>
      <c r="C42" t="s">
        <v>333</v>
      </c>
      <c r="D42">
        <v>0.2</v>
      </c>
      <c r="E42">
        <f t="shared" ca="1" si="2"/>
        <v>4</v>
      </c>
      <c r="F42">
        <f t="shared" ca="1" si="3"/>
        <v>0.8</v>
      </c>
      <c r="G42" t="s">
        <v>482</v>
      </c>
      <c r="H42" t="s">
        <v>989</v>
      </c>
    </row>
    <row r="43" spans="1:8">
      <c r="A43" t="s">
        <v>968</v>
      </c>
      <c r="B43" t="s">
        <v>43</v>
      </c>
      <c r="C43" t="s">
        <v>45</v>
      </c>
      <c r="D43">
        <v>0.33</v>
      </c>
      <c r="E43">
        <f t="shared" ca="1" si="2"/>
        <v>3</v>
      </c>
      <c r="F43">
        <f t="shared" ca="1" si="3"/>
        <v>0.99</v>
      </c>
      <c r="G43" t="s">
        <v>482</v>
      </c>
      <c r="H43" t="s">
        <v>485</v>
      </c>
    </row>
    <row r="44" spans="1:8">
      <c r="A44" t="s">
        <v>962</v>
      </c>
      <c r="B44" t="s">
        <v>392</v>
      </c>
      <c r="C44" t="s">
        <v>45</v>
      </c>
      <c r="D44">
        <v>0.33</v>
      </c>
      <c r="E44">
        <f t="shared" ca="1" si="2"/>
        <v>3</v>
      </c>
      <c r="F44">
        <f t="shared" ca="1" si="3"/>
        <v>0.99</v>
      </c>
      <c r="G44" t="s">
        <v>482</v>
      </c>
      <c r="H44" t="s">
        <v>485</v>
      </c>
    </row>
    <row r="45" spans="1:8">
      <c r="A45" t="s">
        <v>959</v>
      </c>
      <c r="B45" t="s">
        <v>103</v>
      </c>
      <c r="C45" t="s">
        <v>299</v>
      </c>
      <c r="D45">
        <v>0.2</v>
      </c>
      <c r="E45">
        <f t="shared" ca="1" si="2"/>
        <v>5</v>
      </c>
      <c r="F45">
        <f t="shared" ca="1" si="3"/>
        <v>1</v>
      </c>
      <c r="G45" t="s">
        <v>482</v>
      </c>
      <c r="H45" t="s">
        <v>990</v>
      </c>
    </row>
    <row r="46" spans="1:8">
      <c r="A46" t="s">
        <v>959</v>
      </c>
      <c r="B46" t="s">
        <v>418</v>
      </c>
      <c r="C46" t="s">
        <v>288</v>
      </c>
      <c r="D46">
        <v>0.2</v>
      </c>
      <c r="E46">
        <f t="shared" ca="1" si="2"/>
        <v>5</v>
      </c>
      <c r="F46">
        <f t="shared" ca="1" si="3"/>
        <v>1</v>
      </c>
      <c r="G46" t="s">
        <v>482</v>
      </c>
      <c r="H46" t="s">
        <v>991</v>
      </c>
    </row>
    <row r="47" spans="1:8">
      <c r="A47" t="s">
        <v>962</v>
      </c>
      <c r="B47" t="s">
        <v>101</v>
      </c>
      <c r="C47" t="s">
        <v>237</v>
      </c>
      <c r="D47">
        <v>0</v>
      </c>
      <c r="E47">
        <f t="shared" ca="1" si="2"/>
        <v>1</v>
      </c>
      <c r="F47">
        <f t="shared" ca="1" si="3"/>
        <v>0</v>
      </c>
      <c r="G47" t="s">
        <v>482</v>
      </c>
      <c r="H47" t="s">
        <v>992</v>
      </c>
    </row>
    <row r="48" spans="1:8">
      <c r="A48" t="s">
        <v>969</v>
      </c>
      <c r="B48" t="s">
        <v>99</v>
      </c>
      <c r="C48" t="s">
        <v>260</v>
      </c>
      <c r="D48">
        <v>0</v>
      </c>
      <c r="E48">
        <f t="shared" ca="1" si="2"/>
        <v>5</v>
      </c>
      <c r="F48">
        <f t="shared" ca="1" si="3"/>
        <v>0</v>
      </c>
      <c r="G48" t="s">
        <v>482</v>
      </c>
      <c r="H48" t="s">
        <v>993</v>
      </c>
    </row>
    <row r="49" spans="1:8">
      <c r="A49" t="s">
        <v>969</v>
      </c>
      <c r="B49" t="s">
        <v>55</v>
      </c>
      <c r="C49" t="s">
        <v>56</v>
      </c>
      <c r="D49">
        <v>0</v>
      </c>
      <c r="E49">
        <f t="shared" ca="1" si="2"/>
        <v>3</v>
      </c>
      <c r="F49">
        <f t="shared" ca="1" si="3"/>
        <v>0</v>
      </c>
      <c r="G49" t="s">
        <v>482</v>
      </c>
      <c r="H49" t="s">
        <v>994</v>
      </c>
    </row>
    <row r="50" spans="1:8">
      <c r="A50" t="s">
        <v>959</v>
      </c>
      <c r="B50" t="s">
        <v>871</v>
      </c>
      <c r="C50" t="s">
        <v>288</v>
      </c>
      <c r="D50">
        <v>0.2</v>
      </c>
      <c r="E50">
        <f t="shared" ca="1" si="2"/>
        <v>4</v>
      </c>
      <c r="F50">
        <f t="shared" ca="1" si="3"/>
        <v>0.8</v>
      </c>
      <c r="G50" t="s">
        <v>482</v>
      </c>
      <c r="H50" t="s">
        <v>991</v>
      </c>
    </row>
    <row r="51" spans="1:8">
      <c r="A51" t="s">
        <v>959</v>
      </c>
      <c r="B51" t="s">
        <v>871</v>
      </c>
      <c r="C51" t="s">
        <v>27</v>
      </c>
      <c r="D51">
        <v>0.2</v>
      </c>
      <c r="E51">
        <f t="shared" ca="1" si="2"/>
        <v>4</v>
      </c>
      <c r="F51">
        <f t="shared" ca="1" si="3"/>
        <v>0.8</v>
      </c>
      <c r="G51" t="s">
        <v>482</v>
      </c>
      <c r="H51" t="s">
        <v>995</v>
      </c>
    </row>
  </sheetData>
  <phoneticPr fontId="32" type="noConversion"/>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L52"/>
  <sheetViews>
    <sheetView workbookViewId="0">
      <selection activeCell="F21" sqref="F21"/>
    </sheetView>
  </sheetViews>
  <sheetFormatPr defaultRowHeight="15"/>
  <cols>
    <col min="1" max="1" width="22" customWidth="1"/>
    <col min="2" max="3" width="11" customWidth="1"/>
    <col min="4" max="4" width="9" customWidth="1"/>
    <col min="5" max="5" width="12" customWidth="1"/>
    <col min="6" max="6" width="95" customWidth="1"/>
    <col min="7" max="7" width="12" customWidth="1"/>
    <col min="8" max="8" width="24" customWidth="1"/>
    <col min="9" max="9" width="10" customWidth="1"/>
  </cols>
  <sheetData>
    <row r="1" spans="1:12">
      <c r="A1" t="s">
        <v>996</v>
      </c>
      <c r="G1" s="93" t="s">
        <v>1175</v>
      </c>
    </row>
    <row r="2" spans="1:12">
      <c r="A2" t="s">
        <v>997</v>
      </c>
      <c r="G2" s="94" t="s">
        <v>547</v>
      </c>
      <c r="H2" s="95">
        <v>7</v>
      </c>
      <c r="I2" s="94" t="s">
        <v>548</v>
      </c>
      <c r="J2" s="95">
        <v>136</v>
      </c>
      <c r="K2" s="94" t="s">
        <v>549</v>
      </c>
      <c r="L2" s="96">
        <f>B25</f>
        <v>135</v>
      </c>
    </row>
    <row r="3" spans="1:12">
      <c r="A3" t="str">
        <f>IF($H$3&lt;0,"⚠ 총량 상한 "&amp;ABS($H$3)&amp;"세트 초과 — 다른 종목에서 그만큼 빼기 전에는 추가 금지. 상한을 올리려면 아래 '상한 변경 이력'에 한 줄 남길 것.","")</f>
        <v/>
      </c>
      <c r="G3" s="94" t="s">
        <v>550</v>
      </c>
      <c r="H3" s="98">
        <f>$J$2-$L$2</f>
        <v>1</v>
      </c>
      <c r="I3" s="94" t="s">
        <v>551</v>
      </c>
      <c r="J3" s="98">
        <f>ROUND($L$2*7/$H$2,1)</f>
        <v>135</v>
      </c>
      <c r="K3" s="94" t="s">
        <v>552</v>
      </c>
      <c r="L3" s="98" t="str">
        <f>IF($H$3&lt;0,"INVALID","VALID")</f>
        <v>VALID</v>
      </c>
    </row>
    <row r="4" spans="1:12">
      <c r="A4" t="s">
        <v>5</v>
      </c>
      <c r="B4" t="s">
        <v>553</v>
      </c>
      <c r="C4" t="s">
        <v>554</v>
      </c>
      <c r="D4" t="s">
        <v>555</v>
      </c>
      <c r="E4" t="s">
        <v>556</v>
      </c>
      <c r="F4" t="s">
        <v>557</v>
      </c>
      <c r="G4" t="s">
        <v>998</v>
      </c>
    </row>
    <row r="5" spans="1:12">
      <c r="A5" t="s">
        <v>299</v>
      </c>
      <c r="B5">
        <f>SUMIFS(복귀_평일A_가슴!$E:$E,복귀_평일A_가슴!$C:$C,$A5)+SUMIFS(복귀_평일B_어깨!$E:$E,복귀_평일B_어깨!$C:$C,$A5)+SUMIFS(복귀_토_하체!$E:$E,복귀_토_하체!$C:$C,$A5)+SUMIFS(복귀_일_등!$E:$E,복귀_일_등!$C:$C,$A5)</f>
        <v>9</v>
      </c>
      <c r="C5">
        <f ca="1">MROUND(SUMIFS(복귀_간접계수맵!$F$7:$F$51,복귀_간접계수맵!$C$7:$C$51,$A5),0.5)</f>
        <v>1</v>
      </c>
      <c r="D5">
        <f t="shared" ref="D5:D24" ca="1" si="0">B5+C5</f>
        <v>10</v>
      </c>
      <c r="E5" t="str">
        <f t="shared" ref="E5:E24" ca="1" si="1">IF(D5&gt;20,"과다 점검",IF(D5&gt;=10,"충분",IF(D5&gt;=8,"하한",IF(D5&gt;=1,"보완 필요","미배치"))))</f>
        <v>충분</v>
      </c>
      <c r="F5" t="s">
        <v>999</v>
      </c>
      <c r="G5" t="s">
        <v>618</v>
      </c>
      <c r="H5" t="s">
        <v>559</v>
      </c>
      <c r="I5">
        <f ca="1">SUM(D5:D6)</f>
        <v>23</v>
      </c>
    </row>
    <row r="6" spans="1:12">
      <c r="A6" t="s">
        <v>288</v>
      </c>
      <c r="B6">
        <f>SUMIFS(복귀_평일A_가슴!$E:$E,복귀_평일A_가슴!$C:$C,$A6)+SUMIFS(복귀_평일B_어깨!$E:$E,복귀_평일B_어깨!$C:$C,$A6)+SUMIFS(복귀_토_하체!$E:$E,복귀_토_하체!$C:$C,$A6)+SUMIFS(복귀_일_등!$E:$E,복귀_일_등!$C:$C,$A6)</f>
        <v>11</v>
      </c>
      <c r="C6">
        <f ca="1">MROUND(SUMIFS(복귀_간접계수맵!$F$7:$F$51,복귀_간접계수맵!$C$7:$C$51,$A6),0.5)</f>
        <v>2</v>
      </c>
      <c r="D6">
        <f t="shared" ca="1" si="0"/>
        <v>13</v>
      </c>
      <c r="E6" t="str">
        <f t="shared" ca="1" si="1"/>
        <v>충분</v>
      </c>
      <c r="F6" t="s">
        <v>1000</v>
      </c>
      <c r="G6" t="s">
        <v>618</v>
      </c>
    </row>
    <row r="7" spans="1:12">
      <c r="A7" t="s">
        <v>237</v>
      </c>
      <c r="B7">
        <f>SUMIFS(복귀_평일A_가슴!$E:$E,복귀_평일A_가슴!$C:$C,$A7)+SUMIFS(복귀_평일B_어깨!$E:$E,복귀_평일B_어깨!$C:$C,$A7)+SUMIFS(복귀_토_하체!$E:$E,복귀_토_하체!$C:$C,$A7)+SUMIFS(복귀_일_등!$E:$E,복귀_일_등!$C:$C,$A7)</f>
        <v>11</v>
      </c>
      <c r="C7">
        <f ca="1">MROUND(SUMIFS(복귀_간접계수맵!$F$7:$F$51,복귀_간접계수맵!$C$7:$C$51,$A7),0.5)</f>
        <v>4</v>
      </c>
      <c r="D7">
        <f t="shared" ca="1" si="0"/>
        <v>15</v>
      </c>
      <c r="E7" t="str">
        <f t="shared" ca="1" si="1"/>
        <v>충분</v>
      </c>
      <c r="F7" t="s">
        <v>1001</v>
      </c>
      <c r="G7" t="s">
        <v>1002</v>
      </c>
      <c r="H7" t="s">
        <v>1003</v>
      </c>
      <c r="I7">
        <f ca="1">SUM(D7:D10)</f>
        <v>38</v>
      </c>
    </row>
    <row r="8" spans="1:12">
      <c r="A8" t="s">
        <v>347</v>
      </c>
      <c r="B8">
        <f>SUMIFS(복귀_평일A_가슴!$E:$E,복귀_평일A_가슴!$C:$C,$A8)+SUMIFS(복귀_평일B_어깨!$E:$E,복귀_평일B_어깨!$C:$C,$A8)+SUMIFS(복귀_토_하체!$E:$E,복귀_토_하체!$C:$C,$A8)+SUMIFS(복귀_일_등!$E:$E,복귀_일_등!$C:$C,$A8)</f>
        <v>0</v>
      </c>
      <c r="C8">
        <f ca="1">MROUND(SUMIFS(복귀_간접계수맵!$F$7:$F$51,복귀_간접계수맵!$C$7:$C$51,$A8),0.5)</f>
        <v>1.5</v>
      </c>
      <c r="D8">
        <f t="shared" ca="1" si="0"/>
        <v>1.5</v>
      </c>
      <c r="E8" t="str">
        <f t="shared" ca="1" si="1"/>
        <v>보완 필요</v>
      </c>
      <c r="F8" t="s">
        <v>1004</v>
      </c>
      <c r="G8" t="s">
        <v>1002</v>
      </c>
    </row>
    <row r="9" spans="1:12">
      <c r="A9" t="s">
        <v>34</v>
      </c>
      <c r="B9">
        <f>SUMIFS(복귀_평일A_가슴!$E:$E,복귀_평일A_가슴!$C:$C,$A9)+SUMIFS(복귀_평일B_어깨!$E:$E,복귀_평일B_어깨!$C:$C,$A9)+SUMIFS(복귀_토_하체!$E:$E,복귀_토_하체!$C:$C,$A9)+SUMIFS(복귀_일_등!$E:$E,복귀_일_등!$C:$C,$A9)</f>
        <v>3</v>
      </c>
      <c r="C9">
        <f ca="1">MROUND(SUMIFS(복귀_간접계수맵!$F$7:$F$51,복귀_간접계수맵!$C$7:$C$51,$A9),0.5)</f>
        <v>1.5</v>
      </c>
      <c r="D9">
        <f t="shared" ca="1" si="0"/>
        <v>4.5</v>
      </c>
      <c r="E9" t="str">
        <f t="shared" ca="1" si="1"/>
        <v>보완 필요</v>
      </c>
      <c r="F9" t="s">
        <v>1005</v>
      </c>
      <c r="G9" t="s">
        <v>1006</v>
      </c>
    </row>
    <row r="10" spans="1:12">
      <c r="A10" t="s">
        <v>245</v>
      </c>
      <c r="B10">
        <f>SUMIFS(복귀_평일A_가슴!$E:$E,복귀_평일A_가슴!$C:$C,$A10)+SUMIFS(복귀_평일B_어깨!$E:$E,복귀_평일B_어깨!$C:$C,$A10)+SUMIFS(복귀_토_하체!$E:$E,복귀_토_하체!$C:$C,$A10)+SUMIFS(복귀_일_등!$E:$E,복귀_일_등!$C:$C,$A10)</f>
        <v>11</v>
      </c>
      <c r="C10">
        <f ca="1">MROUND(SUMIFS(복귀_간접계수맵!$F$7:$F$51,복귀_간접계수맵!$C$7:$C$51,$A10),0.5)</f>
        <v>6</v>
      </c>
      <c r="D10">
        <f t="shared" ca="1" si="0"/>
        <v>17</v>
      </c>
      <c r="E10" t="str">
        <f t="shared" ca="1" si="1"/>
        <v>충분</v>
      </c>
      <c r="F10" t="s">
        <v>1007</v>
      </c>
      <c r="G10" t="s">
        <v>1006</v>
      </c>
    </row>
    <row r="11" spans="1:12">
      <c r="A11" t="s">
        <v>271</v>
      </c>
      <c r="B11">
        <f>SUMIFS(복귀_평일A_가슴!$E:$E,복귀_평일A_가슴!$C:$C,$A11)+SUMIFS(복귀_평일B_어깨!$E:$E,복귀_평일B_어깨!$C:$C,$A11)+SUMIFS(복귀_토_하체!$E:$E,복귀_토_하체!$C:$C,$A11)+SUMIFS(복귀_일_등!$E:$E,복귀_일_등!$C:$C,$A11)</f>
        <v>3</v>
      </c>
      <c r="C11">
        <f ca="1">MROUND(SUMIFS(복귀_간접계수맵!$F$7:$F$51,복귀_간접계수맵!$C$7:$C$51,$A11),0.5)</f>
        <v>2.5</v>
      </c>
      <c r="D11">
        <f t="shared" ca="1" si="0"/>
        <v>5.5</v>
      </c>
      <c r="E11" t="str">
        <f t="shared" ca="1" si="1"/>
        <v>보완 필요</v>
      </c>
      <c r="F11" t="s">
        <v>1212</v>
      </c>
      <c r="G11" t="s">
        <v>1002</v>
      </c>
    </row>
    <row r="12" spans="1:12">
      <c r="A12" t="s">
        <v>27</v>
      </c>
      <c r="B12">
        <f>SUMIFS(복귀_평일A_가슴!$E:$E,복귀_평일A_가슴!$C:$C,$A12)+SUMIFS(복귀_평일B_어깨!$E:$E,복귀_평일B_어깨!$C:$C,$A12)+SUMIFS(복귀_토_하체!$E:$E,복귀_토_하체!$C:$C,$A12)+SUMIFS(복귀_일_등!$E:$E,복귀_일_등!$C:$C,$A12)</f>
        <v>7</v>
      </c>
      <c r="C12">
        <f ca="1">MROUND(SUMIFS(복귀_간접계수맵!$F$7:$F$51,복귀_간접계수맵!$C$7:$C$51,$A12),0.5)</f>
        <v>6.5</v>
      </c>
      <c r="D12">
        <f t="shared" ca="1" si="0"/>
        <v>13.5</v>
      </c>
      <c r="E12" t="str">
        <f t="shared" ca="1" si="1"/>
        <v>충분</v>
      </c>
      <c r="F12" t="s">
        <v>1008</v>
      </c>
      <c r="G12" t="s">
        <v>618</v>
      </c>
    </row>
    <row r="13" spans="1:12">
      <c r="A13" t="s">
        <v>18</v>
      </c>
      <c r="B13">
        <f>SUMIFS(복귀_평일A_가슴!$E:$E,복귀_평일A_가슴!$C:$C,$A13)+SUMIFS(복귀_평일B_어깨!$E:$E,복귀_평일B_어깨!$C:$C,$A13)+SUMIFS(복귀_토_하체!$E:$E,복귀_토_하체!$C:$C,$A13)+SUMIFS(복귀_일_등!$E:$E,복귀_일_등!$C:$C,$A13)</f>
        <v>12</v>
      </c>
      <c r="C13">
        <f ca="1">MROUND(SUMIFS(복귀_간접계수맵!$F$7:$F$51,복귀_간접계수맵!$C$7:$C$51,$A13),0.5)</f>
        <v>1.5</v>
      </c>
      <c r="D13">
        <f t="shared" ca="1" si="0"/>
        <v>13.5</v>
      </c>
      <c r="E13" t="str">
        <f t="shared" ca="1" si="1"/>
        <v>충분</v>
      </c>
      <c r="F13" t="s">
        <v>1009</v>
      </c>
      <c r="G13" t="s">
        <v>618</v>
      </c>
    </row>
    <row r="14" spans="1:12">
      <c r="A14" t="s">
        <v>23</v>
      </c>
      <c r="B14">
        <f>SUMIFS(복귀_평일A_가슴!$E:$E,복귀_평일A_가슴!$C:$C,$A14)+SUMIFS(복귀_평일B_어깨!$E:$E,복귀_평일B_어깨!$C:$C,$A14)+SUMIFS(복귀_토_하체!$E:$E,복귀_토_하체!$C:$C,$A14)+SUMIFS(복귀_일_등!$E:$E,복귀_일_등!$C:$C,$A14)</f>
        <v>10</v>
      </c>
      <c r="C14">
        <f>MROUND(SUMIFS(복귀_간접계수맵!$F$7:$F$51,복귀_간접계수맵!$C$7:$C$51,$A14),0.5)</f>
        <v>0</v>
      </c>
      <c r="D14">
        <f t="shared" si="0"/>
        <v>10</v>
      </c>
      <c r="E14" t="str">
        <f t="shared" si="1"/>
        <v>충분</v>
      </c>
      <c r="F14" t="s">
        <v>1010</v>
      </c>
      <c r="G14" t="s">
        <v>618</v>
      </c>
    </row>
    <row r="15" spans="1:12">
      <c r="A15" t="s">
        <v>315</v>
      </c>
      <c r="B15">
        <f>SUMIFS(복귀_평일A_가슴!$E:$E,복귀_평일A_가슴!$C:$C,$A15)+SUMIFS(복귀_평일B_어깨!$E:$E,복귀_평일B_어깨!$C:$C,$A15)+SUMIFS(복귀_토_하체!$E:$E,복귀_토_하체!$C:$C,$A15)+SUMIFS(복귀_일_등!$E:$E,복귀_일_등!$C:$C,$A15)</f>
        <v>12</v>
      </c>
      <c r="C15">
        <f>MROUND(SUMIFS(복귀_간접계수맵!$F$7:$F$51,복귀_간접계수맵!$C$7:$C$51,$A15),0.5)</f>
        <v>0</v>
      </c>
      <c r="D15">
        <f t="shared" si="0"/>
        <v>12</v>
      </c>
      <c r="E15" t="str">
        <f t="shared" si="1"/>
        <v>충분</v>
      </c>
      <c r="F15" t="s">
        <v>1011</v>
      </c>
      <c r="G15" t="s">
        <v>1002</v>
      </c>
      <c r="H15" t="s">
        <v>1012</v>
      </c>
      <c r="I15">
        <f ca="1">SUM(D15:D16,D19)</f>
        <v>24</v>
      </c>
    </row>
    <row r="16" spans="1:12">
      <c r="A16" t="s">
        <v>330</v>
      </c>
      <c r="B16">
        <f>SUMIFS(복귀_평일A_가슴!$E:$E,복귀_평일A_가슴!$C:$C,$A16)+SUMIFS(복귀_평일B_어깨!$E:$E,복귀_평일B_어깨!$C:$C,$A16)+SUMIFS(복귀_토_하체!$E:$E,복귀_토_하체!$C:$C,$A16)+SUMIFS(복귀_일_등!$E:$E,복귀_일_등!$C:$C,$A16)</f>
        <v>7</v>
      </c>
      <c r="C16">
        <f ca="1">MROUND(SUMIFS(복귀_간접계수맵!$F$7:$F$51,복귀_간접계수맵!$C$7:$C$51,$A16),0.5)</f>
        <v>2</v>
      </c>
      <c r="D16">
        <f t="shared" ca="1" si="0"/>
        <v>9</v>
      </c>
      <c r="E16" t="str">
        <f t="shared" ca="1" si="1"/>
        <v>하한</v>
      </c>
      <c r="F16" t="s">
        <v>1013</v>
      </c>
      <c r="G16" t="s">
        <v>1006</v>
      </c>
    </row>
    <row r="17" spans="1:7">
      <c r="A17" t="s">
        <v>321</v>
      </c>
      <c r="B17">
        <f>SUMIFS(복귀_평일A_가슴!$E:$E,복귀_평일A_가슴!$C:$C,$A17)+SUMIFS(복귀_평일B_어깨!$E:$E,복귀_평일B_어깨!$C:$C,$A17)+SUMIFS(복귀_토_하체!$E:$E,복귀_토_하체!$C:$C,$A17)+SUMIFS(복귀_일_등!$E:$E,복귀_일_등!$C:$C,$A17)</f>
        <v>3</v>
      </c>
      <c r="C17">
        <f ca="1">MROUND(SUMIFS(복귀_간접계수맵!$F$7:$F$51,복귀_간접계수맵!$C$7:$C$51,$A17),0.5)</f>
        <v>4.5</v>
      </c>
      <c r="D17">
        <f t="shared" ca="1" si="0"/>
        <v>7.5</v>
      </c>
      <c r="E17" t="str">
        <f t="shared" ca="1" si="1"/>
        <v>보완 필요</v>
      </c>
      <c r="F17" t="s">
        <v>1014</v>
      </c>
      <c r="G17" t="s">
        <v>1006</v>
      </c>
    </row>
    <row r="18" spans="1:7">
      <c r="A18" t="s">
        <v>60</v>
      </c>
      <c r="B18">
        <f>SUMIFS(복귀_평일A_가슴!$E:$E,복귀_평일A_가슴!$C:$C,$A18)+SUMIFS(복귀_평일B_어깨!$E:$E,복귀_평일B_어깨!$C:$C,$A18)+SUMIFS(복귀_토_하체!$E:$E,복귀_토_하체!$C:$C,$A18)+SUMIFS(복귀_일_등!$E:$E,복귀_일_등!$C:$C,$A18)</f>
        <v>8</v>
      </c>
      <c r="C18">
        <f>MROUND(SUMIFS(복귀_간접계수맵!$F$7:$F$51,복귀_간접계수맵!$C$7:$C$51,$A18),0.5)</f>
        <v>0</v>
      </c>
      <c r="D18">
        <f t="shared" si="0"/>
        <v>8</v>
      </c>
      <c r="E18" t="str">
        <f t="shared" si="1"/>
        <v>하한</v>
      </c>
      <c r="F18" t="s">
        <v>1193</v>
      </c>
      <c r="G18" t="s">
        <v>1006</v>
      </c>
    </row>
    <row r="19" spans="1:7">
      <c r="A19" t="s">
        <v>56</v>
      </c>
      <c r="B19">
        <f>SUMIFS(복귀_평일A_가슴!$E:$E,복귀_평일A_가슴!$C:$C,$A19)+SUMIFS(복귀_평일B_어깨!$E:$E,복귀_평일B_어깨!$C:$C,$A19)+SUMIFS(복귀_토_하체!$E:$E,복귀_토_하체!$C:$C,$A19)+SUMIFS(복귀_일_등!$E:$E,복귀_일_등!$C:$C,$A19)</f>
        <v>3</v>
      </c>
      <c r="C19">
        <f ca="1">MROUND(SUMIFS(복귀_간접계수맵!$F$7:$F$51,복귀_간접계수맵!$C$7:$C$51,$A19),0.5)</f>
        <v>0</v>
      </c>
      <c r="D19">
        <f t="shared" ca="1" si="0"/>
        <v>3</v>
      </c>
      <c r="E19" t="str">
        <f t="shared" ca="1" si="1"/>
        <v>보완 필요</v>
      </c>
      <c r="F19" t="s">
        <v>1015</v>
      </c>
      <c r="G19" t="s">
        <v>1002</v>
      </c>
    </row>
    <row r="20" spans="1:7">
      <c r="A20" t="s">
        <v>44</v>
      </c>
      <c r="B20">
        <f>SUMIFS(복귀_평일A_가슴!$E:$E,복귀_평일A_가슴!$C:$C,$A20)+SUMIFS(복귀_평일B_어깨!$E:$E,복귀_평일B_어깨!$C:$C,$A20)+SUMIFS(복귀_토_하체!$E:$E,복귀_토_하체!$C:$C,$A20)+SUMIFS(복귀_일_등!$E:$E,복귀_일_등!$C:$C,$A20)</f>
        <v>6</v>
      </c>
      <c r="C20">
        <f ca="1">MROUND(SUMIFS(복귀_간접계수맵!$F$7:$F$51,복귀_간접계수맵!$C$7:$C$51,$A20),0.5)</f>
        <v>6.5</v>
      </c>
      <c r="D20">
        <f t="shared" ca="1" si="0"/>
        <v>12.5</v>
      </c>
      <c r="E20" t="str">
        <f t="shared" ca="1" si="1"/>
        <v>충분</v>
      </c>
      <c r="F20" t="s">
        <v>1016</v>
      </c>
      <c r="G20" t="s">
        <v>618</v>
      </c>
    </row>
    <row r="21" spans="1:7">
      <c r="A21" t="s">
        <v>39</v>
      </c>
      <c r="B21">
        <f>SUMIFS(복귀_평일A_가슴!$E:$E,복귀_평일A_가슴!$C:$C,$A21)+SUMIFS(복귀_평일B_어깨!$E:$E,복귀_평일B_어깨!$C:$C,$A21)+SUMIFS(복귀_토_하체!$E:$E,복귀_토_하체!$C:$C,$A21)+SUMIFS(복귀_일_등!$E:$E,복귀_일_등!$C:$C,$A21)</f>
        <v>6</v>
      </c>
      <c r="C21">
        <f ca="1">MROUND(SUMIFS(복귀_간접계수맵!$F$7:$F$51,복귀_간접계수맵!$C$7:$C$51,$A21),0.5)</f>
        <v>10</v>
      </c>
      <c r="D21">
        <f t="shared" ca="1" si="0"/>
        <v>16</v>
      </c>
      <c r="E21" t="str">
        <f t="shared" ca="1" si="1"/>
        <v>충분</v>
      </c>
      <c r="F21" t="s">
        <v>1017</v>
      </c>
      <c r="G21" t="s">
        <v>618</v>
      </c>
    </row>
    <row r="22" spans="1:7">
      <c r="A22" t="s">
        <v>45</v>
      </c>
      <c r="B22">
        <f>SUMIFS(복귀_평일A_가슴!$E:$E,복귀_평일A_가슴!$C:$C,$A22)+SUMIFS(복귀_평일B_어깨!$E:$E,복귀_평일B_어깨!$C:$C,$A22)+SUMIFS(복귀_토_하체!$E:$E,복귀_토_하체!$C:$C,$A22)+SUMIFS(복귀_일_등!$E:$E,복귀_일_등!$C:$C,$A22)</f>
        <v>6</v>
      </c>
      <c r="C22">
        <f ca="1">MROUND(SUMIFS(복귀_간접계수맵!$F$7:$F$51,복귀_간접계수맵!$C$7:$C$51,$A22),0.5)</f>
        <v>2</v>
      </c>
      <c r="D22">
        <f t="shared" ca="1" si="0"/>
        <v>8</v>
      </c>
      <c r="E22" t="str">
        <f t="shared" ca="1" si="1"/>
        <v>하한</v>
      </c>
      <c r="F22" t="s">
        <v>1018</v>
      </c>
      <c r="G22" t="s">
        <v>1002</v>
      </c>
    </row>
    <row r="23" spans="1:7">
      <c r="A23" t="s">
        <v>260</v>
      </c>
      <c r="B23">
        <f>SUMIFS(복귀_평일A_가슴!$E:$E,복귀_평일A_가슴!$C:$C,$A23)+SUMIFS(복귀_평일B_어깨!$E:$E,복귀_평일B_어깨!$C:$C,$A23)+SUMIFS(복귀_토_하체!$E:$E,복귀_토_하체!$C:$C,$A23)+SUMIFS(복귀_일_등!$E:$E,복귀_일_등!$C:$C,$A23)</f>
        <v>3</v>
      </c>
      <c r="C23">
        <f ca="1">MROUND(SUMIFS(복귀_간접계수맵!$F$7:$F$51,복귀_간접계수맵!$C$7:$C$51,$A23),0.5)</f>
        <v>0</v>
      </c>
      <c r="D23">
        <f t="shared" ca="1" si="0"/>
        <v>3</v>
      </c>
      <c r="E23" t="str">
        <f t="shared" ca="1" si="1"/>
        <v>보완 필요</v>
      </c>
      <c r="F23" t="s">
        <v>1019</v>
      </c>
      <c r="G23" t="s">
        <v>1006</v>
      </c>
    </row>
    <row r="24" spans="1:7">
      <c r="A24" t="s">
        <v>333</v>
      </c>
      <c r="B24">
        <f>SUMIFS(복귀_평일A_가슴!$E:$E,복귀_평일A_가슴!$C:$C,$A24)+SUMIFS(복귀_평일B_어깨!$E:$E,복귀_평일B_어깨!$C:$C,$A24)+SUMIFS(복귀_토_하체!$E:$E,복귀_토_하체!$C:$C,$A24)+SUMIFS(복귀_일_등!$E:$E,복귀_일_등!$C:$C,$A24)</f>
        <v>4</v>
      </c>
      <c r="C24">
        <f ca="1">MROUND(SUMIFS(복귀_간접계수맵!$F$7:$F$51,복귀_간접계수맵!$C$7:$C$51,$A24),0.5)</f>
        <v>2</v>
      </c>
      <c r="D24">
        <f t="shared" ca="1" si="0"/>
        <v>6</v>
      </c>
      <c r="E24" t="str">
        <f t="shared" ca="1" si="1"/>
        <v>보완 필요</v>
      </c>
      <c r="F24" t="s">
        <v>1020</v>
      </c>
      <c r="G24" t="s">
        <v>618</v>
      </c>
    </row>
    <row r="25" spans="1:7">
      <c r="A25" t="s">
        <v>579</v>
      </c>
      <c r="B25">
        <f>SUM(B5:B24)</f>
        <v>135</v>
      </c>
      <c r="D25">
        <f ca="1">SUM(D5:D24)</f>
        <v>188.5</v>
      </c>
    </row>
    <row r="27" spans="1:7">
      <c r="A27" t="s">
        <v>580</v>
      </c>
    </row>
    <row r="28" spans="1:7">
      <c r="A28" t="s">
        <v>1021</v>
      </c>
    </row>
    <row r="29" spans="1:7">
      <c r="A29" t="s">
        <v>1022</v>
      </c>
    </row>
    <row r="30" spans="1:7">
      <c r="A30" t="s">
        <v>1023</v>
      </c>
    </row>
    <row r="32" spans="1:7">
      <c r="A32" t="s">
        <v>1024</v>
      </c>
    </row>
    <row r="33" spans="1:5">
      <c r="A33" t="s">
        <v>1025</v>
      </c>
    </row>
    <row r="34" spans="1:5">
      <c r="A34" t="s">
        <v>1026</v>
      </c>
    </row>
    <row r="35" spans="1:5">
      <c r="A35" t="s">
        <v>1027</v>
      </c>
    </row>
    <row r="37" spans="1:5">
      <c r="A37" t="s">
        <v>1028</v>
      </c>
    </row>
    <row r="38" spans="1:5">
      <c r="A38" t="s">
        <v>1029</v>
      </c>
    </row>
    <row r="39" spans="1:5">
      <c r="A39" t="s">
        <v>1194</v>
      </c>
    </row>
    <row r="40" spans="1:5">
      <c r="A40" t="s">
        <v>1030</v>
      </c>
    </row>
    <row r="41" spans="1:5">
      <c r="A41" t="s">
        <v>1031</v>
      </c>
    </row>
    <row r="43" spans="1:5">
      <c r="A43" t="s">
        <v>608</v>
      </c>
    </row>
    <row r="44" spans="1:5">
      <c r="A44" t="s">
        <v>609</v>
      </c>
      <c r="B44" t="s">
        <v>610</v>
      </c>
      <c r="C44" t="s">
        <v>611</v>
      </c>
      <c r="D44" t="s">
        <v>612</v>
      </c>
      <c r="E44" t="s">
        <v>613</v>
      </c>
    </row>
    <row r="45" spans="1:5">
      <c r="A45" s="113">
        <v>46278</v>
      </c>
      <c r="B45" t="s">
        <v>149</v>
      </c>
      <c r="C45">
        <v>136</v>
      </c>
      <c r="D45" t="s">
        <v>1176</v>
      </c>
      <c r="E45" t="s">
        <v>149</v>
      </c>
    </row>
    <row r="47" spans="1:5">
      <c r="A47" t="s">
        <v>619</v>
      </c>
    </row>
    <row r="48" spans="1:5">
      <c r="A48" t="s">
        <v>1177</v>
      </c>
    </row>
    <row r="49" spans="1:1">
      <c r="A49" t="s">
        <v>620</v>
      </c>
    </row>
    <row r="50" spans="1:1">
      <c r="A50" t="s">
        <v>1178</v>
      </c>
    </row>
    <row r="51" spans="1:1">
      <c r="A51" t="s">
        <v>1179</v>
      </c>
    </row>
    <row r="52" spans="1:1">
      <c r="A52" t="s">
        <v>1180</v>
      </c>
    </row>
  </sheetData>
  <phoneticPr fontId="32" type="noConversion"/>
  <conditionalFormatting sqref="H3">
    <cfRule type="cellIs" dxfId="2" priority="3" operator="lessThan">
      <formula>0</formula>
    </cfRule>
  </conditionalFormatting>
  <conditionalFormatting sqref="L3">
    <cfRule type="cellIs" dxfId="1" priority="1" operator="equal">
      <formula>"INVALID"</formula>
    </cfRule>
    <cfRule type="cellIs" dxfId="0" priority="2" operator="equal">
      <formula>"VALID"</formula>
    </cfRule>
  </conditionalFormatting>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22</vt:i4>
      </vt:variant>
    </vt:vector>
  </HeadingPairs>
  <TitlesOfParts>
    <vt:vector size="22" baseType="lpstr">
      <vt:lpstr>시작중량_설정</vt:lpstr>
      <vt:lpstr>주간계획</vt:lpstr>
      <vt:lpstr>D1_당기기A</vt:lpstr>
      <vt:lpstr>D2_밀기A</vt:lpstr>
      <vt:lpstr>D3_하체A</vt:lpstr>
      <vt:lpstr>D4_어깨팔A</vt:lpstr>
      <vt:lpstr>D6_당기기B</vt:lpstr>
      <vt:lpstr>D7_밀기B</vt:lpstr>
      <vt:lpstr>D8_하체B</vt:lpstr>
      <vt:lpstr>D9_어깨팔B</vt:lpstr>
      <vt:lpstr>간접계수맵</vt:lpstr>
      <vt:lpstr>세트검산</vt:lpstr>
      <vt:lpstr>증량기록</vt:lpstr>
      <vt:lpstr>9월이후조정</vt:lpstr>
      <vt:lpstr>복귀_주간계획</vt:lpstr>
      <vt:lpstr>복귀_토_하체</vt:lpstr>
      <vt:lpstr>복귀_일_등</vt:lpstr>
      <vt:lpstr>복귀_평일B_어깨</vt:lpstr>
      <vt:lpstr>복귀_평일A_가슴</vt:lpstr>
      <vt:lpstr>복귀_증량원칙</vt:lpstr>
      <vt:lpstr>복귀_간접계수맵</vt:lpstr>
      <vt:lpstr>복귀_세트검산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승태 최</cp:lastModifiedBy>
  <cp:revision>0</cp:revision>
  <dcterms:created xsi:type="dcterms:W3CDTF">2026-07-28T16:37:37Z</dcterms:created>
  <dcterms:modified xsi:type="dcterms:W3CDTF">2026-09-12T22:06:33Z</dcterms:modified>
  <dc:language>en-US</dc:language>
</cp:coreProperties>
</file>