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AFC04BC332C8E67D663385E5FA62D6C091FC9F4B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D15" i="21" s="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B25" i="21" s="1"/>
  <c r="E12" i="18"/>
  <c r="E6" i="14" s="1"/>
  <c r="E11" i="14" s="1"/>
  <c r="I11" i="18"/>
  <c r="I10" i="18"/>
  <c r="I9" i="18"/>
  <c r="I8" i="18"/>
  <c r="I7" i="18"/>
  <c r="I6" i="18"/>
  <c r="I5" i="18"/>
  <c r="I12" i="18" s="1"/>
  <c r="E15" i="17"/>
  <c r="E7" i="14" s="1"/>
  <c r="I14" i="17"/>
  <c r="I13" i="17"/>
  <c r="I12" i="17"/>
  <c r="I11" i="17"/>
  <c r="I10" i="17"/>
  <c r="I9" i="17"/>
  <c r="I8" i="17"/>
  <c r="I7" i="17"/>
  <c r="I6" i="17"/>
  <c r="I15" i="17" s="1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I16" i="16" s="1"/>
  <c r="E14" i="15"/>
  <c r="I13" i="15"/>
  <c r="I12" i="15"/>
  <c r="I11" i="15"/>
  <c r="I10" i="15"/>
  <c r="I9" i="15"/>
  <c r="I8" i="15"/>
  <c r="I7" i="15"/>
  <c r="I6" i="15"/>
  <c r="I5" i="15"/>
  <c r="I14" i="15" s="1"/>
  <c r="E8" i="14"/>
  <c r="I12" i="12"/>
  <c r="I13" i="12" s="1"/>
  <c r="E12" i="12"/>
  <c r="E13" i="12" s="1"/>
  <c r="I11" i="12"/>
  <c r="E11" i="12"/>
  <c r="C11" i="12"/>
  <c r="C12" i="12" s="1"/>
  <c r="I10" i="12"/>
  <c r="G10" i="12"/>
  <c r="G11" i="12" s="1"/>
  <c r="E10" i="12"/>
  <c r="C10" i="12"/>
  <c r="H7" i="12"/>
  <c r="E18" i="9"/>
  <c r="I17" i="9"/>
  <c r="I16" i="9"/>
  <c r="I15" i="9"/>
  <c r="I14" i="9"/>
  <c r="I13" i="9"/>
  <c r="I12" i="9"/>
  <c r="I11" i="9"/>
  <c r="I10" i="9"/>
  <c r="I9" i="9"/>
  <c r="I8" i="9"/>
  <c r="I7" i="9"/>
  <c r="I18" i="9" s="1"/>
  <c r="F12" i="2" s="1"/>
  <c r="I6" i="9"/>
  <c r="E24" i="8"/>
  <c r="I23" i="8"/>
  <c r="I22" i="8"/>
  <c r="I21" i="8"/>
  <c r="D21" i="8"/>
  <c r="I20" i="8"/>
  <c r="I19" i="8"/>
  <c r="I18" i="8"/>
  <c r="I17" i="8"/>
  <c r="I16" i="8"/>
  <c r="I15" i="8"/>
  <c r="I24" i="8" s="1"/>
  <c r="F11" i="2" s="1"/>
  <c r="E30" i="7"/>
  <c r="I29" i="7"/>
  <c r="F10" i="2" s="1"/>
  <c r="I28" i="7"/>
  <c r="I27" i="7"/>
  <c r="I26" i="7"/>
  <c r="I25" i="7"/>
  <c r="I24" i="7"/>
  <c r="I23" i="7"/>
  <c r="I22" i="7"/>
  <c r="I21" i="7"/>
  <c r="I20" i="7"/>
  <c r="I30" i="7" s="1"/>
  <c r="E17" i="6"/>
  <c r="I16" i="6"/>
  <c r="I15" i="6"/>
  <c r="I14" i="6"/>
  <c r="I13" i="6"/>
  <c r="I12" i="6"/>
  <c r="I11" i="6"/>
  <c r="I10" i="6"/>
  <c r="I9" i="6"/>
  <c r="I8" i="6"/>
  <c r="I7" i="6"/>
  <c r="I6" i="6"/>
  <c r="I17" i="6" s="1"/>
  <c r="F9" i="2" s="1"/>
  <c r="E23" i="5"/>
  <c r="E7" i="2" s="1"/>
  <c r="I22" i="5"/>
  <c r="I21" i="5"/>
  <c r="I20" i="5"/>
  <c r="I19" i="5"/>
  <c r="I18" i="5"/>
  <c r="I17" i="5"/>
  <c r="I16" i="5"/>
  <c r="I23" i="5" s="1"/>
  <c r="F7" i="2" s="1"/>
  <c r="I15" i="5"/>
  <c r="E28" i="4"/>
  <c r="I27" i="4"/>
  <c r="I26" i="4"/>
  <c r="I25" i="4"/>
  <c r="I24" i="4"/>
  <c r="I23" i="4"/>
  <c r="I22" i="4"/>
  <c r="I21" i="4"/>
  <c r="I20" i="4"/>
  <c r="I28" i="4" s="1"/>
  <c r="E18" i="3"/>
  <c r="I17" i="3"/>
  <c r="I16" i="3"/>
  <c r="I15" i="3"/>
  <c r="I14" i="3"/>
  <c r="I13" i="3"/>
  <c r="I12" i="3"/>
  <c r="I11" i="3"/>
  <c r="I10" i="3"/>
  <c r="I9" i="3"/>
  <c r="I8" i="3"/>
  <c r="I7" i="3"/>
  <c r="I18" i="3" s="1"/>
  <c r="I6" i="3"/>
  <c r="E12" i="2"/>
  <c r="E11" i="2"/>
  <c r="E10" i="2"/>
  <c r="E9" i="2"/>
  <c r="E6" i="2"/>
  <c r="F5" i="2"/>
  <c r="E5" i="2"/>
  <c r="E41" i="1"/>
  <c r="C41" i="1"/>
  <c r="E40" i="1"/>
  <c r="C40" i="1"/>
  <c r="B40" i="1"/>
  <c r="C10" i="1"/>
  <c r="C9" i="1"/>
  <c r="C8" i="1"/>
  <c r="C7" i="1"/>
  <c r="B24" i="11"/>
  <c r="L24" i="11" s="1"/>
  <c r="L23" i="11"/>
  <c r="C23" i="11"/>
  <c r="B23" i="11"/>
  <c r="D23" i="11" s="1"/>
  <c r="J23" i="11" s="1"/>
  <c r="E23" i="11" s="1"/>
  <c r="B22" i="11"/>
  <c r="L22" i="11" s="1"/>
  <c r="L21" i="11"/>
  <c r="B21" i="11"/>
  <c r="B20" i="11"/>
  <c r="L20" i="11" s="1"/>
  <c r="L19" i="11"/>
  <c r="C19" i="11"/>
  <c r="B19" i="11"/>
  <c r="D19" i="11" s="1"/>
  <c r="J19" i="11" s="1"/>
  <c r="E19" i="11" s="1"/>
  <c r="B18" i="11"/>
  <c r="L18" i="11" s="1"/>
  <c r="L17" i="11"/>
  <c r="B17" i="11"/>
  <c r="B16" i="11"/>
  <c r="B15" i="11"/>
  <c r="L15" i="11" s="1"/>
  <c r="L14" i="11"/>
  <c r="B14" i="11"/>
  <c r="B13" i="11"/>
  <c r="L13" i="11" s="1"/>
  <c r="B12" i="11"/>
  <c r="L12" i="11" s="1"/>
  <c r="B11" i="11"/>
  <c r="L11" i="11" s="1"/>
  <c r="B10" i="11"/>
  <c r="L10" i="11" s="1"/>
  <c r="B9" i="11"/>
  <c r="L9" i="11" s="1"/>
  <c r="B8" i="11"/>
  <c r="L8" i="11" s="1"/>
  <c r="B7" i="11"/>
  <c r="L7" i="11" s="1"/>
  <c r="B6" i="11"/>
  <c r="L6" i="11" s="1"/>
  <c r="B5" i="11"/>
  <c r="L5" i="11" s="1"/>
  <c r="E21" i="10"/>
  <c r="E50" i="20"/>
  <c r="E64" i="10"/>
  <c r="E39" i="10"/>
  <c r="E41" i="10"/>
  <c r="E29" i="10"/>
  <c r="E40" i="10"/>
  <c r="E17" i="10"/>
  <c r="E36" i="20"/>
  <c r="E48" i="10"/>
  <c r="E43" i="20"/>
  <c r="E22" i="20"/>
  <c r="E10" i="10"/>
  <c r="E33" i="10"/>
  <c r="E33" i="20"/>
  <c r="E12" i="10"/>
  <c r="E53" i="10"/>
  <c r="E54" i="10"/>
  <c r="E58" i="10"/>
  <c r="E25" i="20"/>
  <c r="E38" i="10"/>
  <c r="E61" i="10"/>
  <c r="E27" i="10"/>
  <c r="E19" i="10"/>
  <c r="E10" i="20"/>
  <c r="E32" i="20"/>
  <c r="E40" i="20"/>
  <c r="E56" i="10"/>
  <c r="E47" i="10"/>
  <c r="E63" i="10"/>
  <c r="E71" i="10"/>
  <c r="E12" i="20"/>
  <c r="E60" i="10"/>
  <c r="E66" i="10"/>
  <c r="E51" i="10"/>
  <c r="E67" i="10"/>
  <c r="E19" i="20"/>
  <c r="E26" i="20"/>
  <c r="E34" i="10"/>
  <c r="E26" i="10"/>
  <c r="E21" i="20"/>
  <c r="E42" i="10"/>
  <c r="E11" i="20"/>
  <c r="E30" i="10"/>
  <c r="E16" i="20"/>
  <c r="E18" i="20"/>
  <c r="E29" i="20"/>
  <c r="E47" i="20"/>
  <c r="E28" i="10"/>
  <c r="E9" i="20"/>
  <c r="E9" i="10"/>
  <c r="E37" i="20"/>
  <c r="E62" i="10"/>
  <c r="E16" i="10"/>
  <c r="E24" i="10"/>
  <c r="E34" i="20"/>
  <c r="E28" i="20"/>
  <c r="E15" i="10"/>
  <c r="E46" i="20"/>
  <c r="E72" i="10"/>
  <c r="E70" i="10"/>
  <c r="E42" i="20"/>
  <c r="E55" i="10"/>
  <c r="E18" i="10"/>
  <c r="E49" i="10"/>
  <c r="E13" i="10"/>
  <c r="E50" i="10"/>
  <c r="E43" i="10"/>
  <c r="E31" i="10"/>
  <c r="E36" i="10"/>
  <c r="E24" i="20"/>
  <c r="E25" i="10"/>
  <c r="E14" i="10"/>
  <c r="E59" i="10"/>
  <c r="E31" i="20"/>
  <c r="E22" i="10"/>
  <c r="E37" i="10"/>
  <c r="E41" i="20"/>
  <c r="E8" i="20"/>
  <c r="E51" i="20"/>
  <c r="E69" i="10"/>
  <c r="E46" i="10"/>
  <c r="E23" i="10"/>
  <c r="E68" i="10"/>
  <c r="E27" i="20"/>
  <c r="E45" i="20"/>
  <c r="E11" i="10"/>
  <c r="E23" i="20"/>
  <c r="E45" i="10"/>
  <c r="E35" i="20"/>
  <c r="E30" i="20"/>
  <c r="E7" i="10"/>
  <c r="E39" i="20"/>
  <c r="E49" i="20"/>
  <c r="E44" i="20"/>
  <c r="E32" i="10"/>
  <c r="E8" i="10"/>
  <c r="E20" i="10"/>
  <c r="E65" i="10"/>
  <c r="E17" i="20"/>
  <c r="E20" i="20"/>
  <c r="E57" i="10"/>
  <c r="E7" i="20"/>
  <c r="E44" i="10"/>
  <c r="E48" i="20"/>
  <c r="E52" i="10"/>
  <c r="E38" i="20"/>
  <c r="E35" i="10"/>
  <c r="E15" i="20"/>
  <c r="E13" i="20"/>
  <c r="F13" i="10" l="1"/>
  <c r="F25" i="10"/>
  <c r="C14" i="11" s="1"/>
  <c r="D14" i="11" s="1"/>
  <c r="J14" i="11" s="1"/>
  <c r="E14" i="11" s="1"/>
  <c r="F37" i="10"/>
  <c r="F55" i="10"/>
  <c r="F67" i="10"/>
  <c r="F30" i="10"/>
  <c r="F66" i="10"/>
  <c r="F8" i="10"/>
  <c r="F14" i="10"/>
  <c r="F20" i="10"/>
  <c r="F26" i="10"/>
  <c r="F32" i="10"/>
  <c r="F38" i="10"/>
  <c r="F44" i="10"/>
  <c r="F50" i="10"/>
  <c r="F56" i="10"/>
  <c r="F62" i="10"/>
  <c r="F68" i="10"/>
  <c r="F10" i="20"/>
  <c r="F17" i="20"/>
  <c r="F23" i="20"/>
  <c r="F29" i="20"/>
  <c r="F35" i="20"/>
  <c r="F41" i="20"/>
  <c r="C24" i="21" s="1"/>
  <c r="D24" i="21" s="1"/>
  <c r="E24" i="21" s="1"/>
  <c r="F47" i="20"/>
  <c r="F9" i="10"/>
  <c r="F15" i="10"/>
  <c r="F21" i="10"/>
  <c r="F27" i="10"/>
  <c r="F33" i="10"/>
  <c r="F39" i="10"/>
  <c r="F45" i="10"/>
  <c r="F51" i="10"/>
  <c r="F57" i="10"/>
  <c r="F63" i="10"/>
  <c r="F69" i="10"/>
  <c r="F11" i="20"/>
  <c r="F18" i="20"/>
  <c r="F24" i="20"/>
  <c r="F30" i="20"/>
  <c r="F36" i="20"/>
  <c r="F42" i="20"/>
  <c r="F48" i="20"/>
  <c r="C23" i="21" s="1"/>
  <c r="D23" i="21" s="1"/>
  <c r="E23" i="21" s="1"/>
  <c r="F12" i="10"/>
  <c r="F24" i="10"/>
  <c r="F42" i="10"/>
  <c r="C15" i="11" s="1"/>
  <c r="D15" i="11" s="1"/>
  <c r="F60" i="10"/>
  <c r="F15" i="20"/>
  <c r="F48" i="10"/>
  <c r="C5" i="11" s="1"/>
  <c r="D5" i="11" s="1"/>
  <c r="F10" i="10"/>
  <c r="F16" i="10"/>
  <c r="F22" i="10"/>
  <c r="F28" i="10"/>
  <c r="F34" i="10"/>
  <c r="F40" i="10"/>
  <c r="F46" i="10"/>
  <c r="F52" i="10"/>
  <c r="F58" i="10"/>
  <c r="F64" i="10"/>
  <c r="F70" i="10"/>
  <c r="F12" i="20"/>
  <c r="F19" i="20"/>
  <c r="F25" i="20"/>
  <c r="F31" i="20"/>
  <c r="F37" i="20"/>
  <c r="F43" i="20"/>
  <c r="F49" i="20"/>
  <c r="C19" i="21" s="1"/>
  <c r="D19" i="21" s="1"/>
  <c r="E19" i="21" s="1"/>
  <c r="F11" i="10"/>
  <c r="F17" i="10"/>
  <c r="F23" i="10"/>
  <c r="F29" i="10"/>
  <c r="C10" i="11" s="1"/>
  <c r="D10" i="11" s="1"/>
  <c r="J10" i="11" s="1"/>
  <c r="E10" i="11" s="1"/>
  <c r="F35" i="10"/>
  <c r="F41" i="10"/>
  <c r="F47" i="10"/>
  <c r="F53" i="10"/>
  <c r="C9" i="11" s="1"/>
  <c r="D9" i="11" s="1"/>
  <c r="J9" i="11" s="1"/>
  <c r="E9" i="11" s="1"/>
  <c r="F59" i="10"/>
  <c r="F65" i="10"/>
  <c r="F71" i="10"/>
  <c r="F7" i="20"/>
  <c r="F3" i="20"/>
  <c r="F13" i="20"/>
  <c r="F20" i="20"/>
  <c r="F26" i="20"/>
  <c r="F32" i="20"/>
  <c r="F38" i="20"/>
  <c r="F44" i="20"/>
  <c r="F50" i="20"/>
  <c r="F18" i="10"/>
  <c r="F36" i="10"/>
  <c r="F54" i="10"/>
  <c r="F72" i="10"/>
  <c r="F8" i="20"/>
  <c r="F21" i="20"/>
  <c r="C13" i="21" s="1"/>
  <c r="D13" i="21" s="1"/>
  <c r="E13" i="21" s="1"/>
  <c r="F27" i="20"/>
  <c r="F33" i="20"/>
  <c r="F39" i="20"/>
  <c r="F45" i="20"/>
  <c r="C5" i="21" s="1"/>
  <c r="D5" i="21" s="1"/>
  <c r="F51" i="20"/>
  <c r="F7" i="10"/>
  <c r="C20" i="11" s="1"/>
  <c r="D20" i="11" s="1"/>
  <c r="J20" i="11" s="1"/>
  <c r="E20" i="11" s="1"/>
  <c r="F3" i="10"/>
  <c r="F19" i="10"/>
  <c r="F31" i="10"/>
  <c r="C16" i="11" s="1"/>
  <c r="D16" i="11" s="1"/>
  <c r="J16" i="11" s="1"/>
  <c r="E16" i="11" s="1"/>
  <c r="F43" i="10"/>
  <c r="C18" i="11" s="1"/>
  <c r="D18" i="11" s="1"/>
  <c r="J18" i="11" s="1"/>
  <c r="E18" i="11" s="1"/>
  <c r="F49" i="10"/>
  <c r="C6" i="11" s="1"/>
  <c r="D6" i="11" s="1"/>
  <c r="J6" i="11" s="1"/>
  <c r="E6" i="11" s="1"/>
  <c r="F61" i="10"/>
  <c r="F9" i="20"/>
  <c r="F16" i="20"/>
  <c r="F22" i="20"/>
  <c r="C7" i="21" s="1"/>
  <c r="D7" i="21" s="1"/>
  <c r="F28" i="20"/>
  <c r="C8" i="21" s="1"/>
  <c r="D8" i="21" s="1"/>
  <c r="E8" i="21" s="1"/>
  <c r="F34" i="20"/>
  <c r="F40" i="20"/>
  <c r="F46" i="20"/>
  <c r="C6" i="21" s="1"/>
  <c r="D6" i="21" s="1"/>
  <c r="E6" i="21" s="1"/>
  <c r="E15" i="21"/>
  <c r="F14" i="2"/>
  <c r="F6" i="2"/>
  <c r="E8" i="1"/>
  <c r="E14" i="12"/>
  <c r="C43" i="1"/>
  <c r="I14" i="12"/>
  <c r="E43" i="1"/>
  <c r="E10" i="1"/>
  <c r="G12" i="12"/>
  <c r="D41" i="1"/>
  <c r="E14" i="2"/>
  <c r="C13" i="12"/>
  <c r="B42" i="1"/>
  <c r="C42" i="1"/>
  <c r="L16" i="11"/>
  <c r="E42" i="1"/>
  <c r="B25" i="11"/>
  <c r="L25" i="11" s="1"/>
  <c r="D40" i="1"/>
  <c r="B41" i="1"/>
  <c r="C9" i="21" l="1"/>
  <c r="D9" i="21" s="1"/>
  <c r="E9" i="21" s="1"/>
  <c r="C21" i="11"/>
  <c r="D21" i="11" s="1"/>
  <c r="J21" i="11" s="1"/>
  <c r="E21" i="11" s="1"/>
  <c r="C20" i="21"/>
  <c r="D20" i="21" s="1"/>
  <c r="E20" i="21" s="1"/>
  <c r="C12" i="11"/>
  <c r="D12" i="11" s="1"/>
  <c r="J12" i="11" s="1"/>
  <c r="E12" i="11" s="1"/>
  <c r="C22" i="11"/>
  <c r="D22" i="11" s="1"/>
  <c r="J22" i="11" s="1"/>
  <c r="E22" i="11" s="1"/>
  <c r="J5" i="11"/>
  <c r="E5" i="11" s="1"/>
  <c r="H5" i="11"/>
  <c r="I5" i="11" s="1"/>
  <c r="J15" i="11"/>
  <c r="E15" i="11" s="1"/>
  <c r="H15" i="11"/>
  <c r="E7" i="21"/>
  <c r="C16" i="21"/>
  <c r="D16" i="21" s="1"/>
  <c r="D16" i="8"/>
  <c r="D15" i="8"/>
  <c r="D5" i="16"/>
  <c r="A10" i="8"/>
  <c r="A9" i="8"/>
  <c r="A8" i="8"/>
  <c r="A7" i="8"/>
  <c r="A6" i="8"/>
  <c r="C11" i="21"/>
  <c r="D11" i="21" s="1"/>
  <c r="E11" i="21" s="1"/>
  <c r="I15" i="12"/>
  <c r="E44" i="1"/>
  <c r="D42" i="1"/>
  <c r="G13" i="12"/>
  <c r="C24" i="11"/>
  <c r="D24" i="11" s="1"/>
  <c r="J24" i="11" s="1"/>
  <c r="E24" i="11" s="1"/>
  <c r="C11" i="11"/>
  <c r="D11" i="11" s="1"/>
  <c r="J11" i="11" s="1"/>
  <c r="E11" i="11" s="1"/>
  <c r="I5" i="21"/>
  <c r="E5" i="21"/>
  <c r="E7" i="1"/>
  <c r="B43" i="1"/>
  <c r="C14" i="12"/>
  <c r="A7" i="7"/>
  <c r="D6" i="15"/>
  <c r="A6" i="7"/>
  <c r="A8" i="7"/>
  <c r="D20" i="7"/>
  <c r="A10" i="7"/>
  <c r="A9" i="7"/>
  <c r="C22" i="21"/>
  <c r="D22" i="21" s="1"/>
  <c r="E22" i="21" s="1"/>
  <c r="C17" i="11"/>
  <c r="D17" i="11" s="1"/>
  <c r="C7" i="11"/>
  <c r="D7" i="11" s="1"/>
  <c r="C17" i="21"/>
  <c r="D17" i="21" s="1"/>
  <c r="E17" i="21" s="1"/>
  <c r="C13" i="11"/>
  <c r="D13" i="11" s="1"/>
  <c r="J13" i="11" s="1"/>
  <c r="E13" i="11" s="1"/>
  <c r="C10" i="21"/>
  <c r="D10" i="21" s="1"/>
  <c r="E10" i="21" s="1"/>
  <c r="C8" i="11"/>
  <c r="D8" i="11" s="1"/>
  <c r="J8" i="11" s="1"/>
  <c r="E8" i="11" s="1"/>
  <c r="C44" i="1"/>
  <c r="E15" i="12"/>
  <c r="C12" i="21"/>
  <c r="D12" i="21" s="1"/>
  <c r="E12" i="21" s="1"/>
  <c r="C21" i="21"/>
  <c r="D21" i="21" s="1"/>
  <c r="E21" i="21" s="1"/>
  <c r="D25" i="21" l="1"/>
  <c r="E16" i="12"/>
  <c r="C45" i="1"/>
  <c r="G14" i="12"/>
  <c r="D43" i="1"/>
  <c r="E9" i="1"/>
  <c r="E16" i="21"/>
  <c r="I15" i="21"/>
  <c r="I7" i="21"/>
  <c r="I16" i="12"/>
  <c r="E45" i="1"/>
  <c r="J7" i="11"/>
  <c r="E7" i="11" s="1"/>
  <c r="H7" i="11"/>
  <c r="D15" i="5"/>
  <c r="A10" i="5"/>
  <c r="D5" i="15"/>
  <c r="A9" i="5"/>
  <c r="A8" i="5"/>
  <c r="A7" i="5"/>
  <c r="A6" i="5"/>
  <c r="J17" i="11"/>
  <c r="E17" i="11" s="1"/>
  <c r="H17" i="11"/>
  <c r="C15" i="12"/>
  <c r="B44" i="1"/>
  <c r="D25" i="11"/>
  <c r="J25" i="11" s="1"/>
  <c r="I17" i="12" l="1"/>
  <c r="E46" i="1"/>
  <c r="C16" i="12"/>
  <c r="B45" i="1"/>
  <c r="A6" i="4"/>
  <c r="D5" i="18"/>
  <c r="D20" i="4"/>
  <c r="A10" i="4"/>
  <c r="A9" i="4"/>
  <c r="A8" i="4"/>
  <c r="A7" i="4"/>
  <c r="E17" i="12"/>
  <c r="C46" i="1"/>
  <c r="G15" i="12"/>
  <c r="D44" i="1"/>
  <c r="E18" i="12" l="1"/>
  <c r="C47" i="1"/>
  <c r="G16" i="12"/>
  <c r="D45" i="1"/>
  <c r="C17" i="12"/>
  <c r="B46" i="1"/>
  <c r="I18" i="12"/>
  <c r="E47" i="1"/>
  <c r="I19" i="12" l="1"/>
  <c r="E48" i="1"/>
  <c r="C18" i="12"/>
  <c r="B47" i="1"/>
  <c r="G17" i="12"/>
  <c r="D46" i="1"/>
  <c r="E19" i="12"/>
  <c r="C48" i="1"/>
  <c r="E20" i="12" l="1"/>
  <c r="C49" i="1"/>
  <c r="G18" i="12"/>
  <c r="D47" i="1"/>
  <c r="C19" i="12"/>
  <c r="B48" i="1"/>
  <c r="I20" i="12"/>
  <c r="E49" i="1"/>
  <c r="I21" i="12" l="1"/>
  <c r="E51" i="1" s="1"/>
  <c r="E50" i="1"/>
  <c r="B49" i="1"/>
  <c r="C20" i="12"/>
  <c r="D48" i="1"/>
  <c r="G19" i="12"/>
  <c r="E21" i="12"/>
  <c r="C51" i="1" s="1"/>
  <c r="C50" i="1"/>
  <c r="G20" i="12" l="1"/>
  <c r="D49" i="1"/>
  <c r="C21" i="12"/>
  <c r="B51" i="1" s="1"/>
  <c r="B50" i="1"/>
  <c r="G21" i="12" l="1"/>
  <c r="D51" i="1" s="1"/>
  <c r="D50" i="1"/>
</calcChain>
</file>

<file path=xl/sharedStrings.xml><?xml version="1.0" encoding="utf-8"?>
<sst xmlns="http://schemas.openxmlformats.org/spreadsheetml/2006/main" count="2079" uniqueCount="1051">
  <si>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</si>
  <si>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</si>
  <si>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</si>
  <si>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</si>
  <si>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</si>
  <si>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</si>
  <si>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</si>
  <si>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</si>
  <si>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(×7/9)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</si>
  <si>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</si>
  <si>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</si>
  <si>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</si>
  <si>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</si>
  <si>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</si>
  <si>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</si>
  <si>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직접 12세트: 1일차 친업 4 · 랫풀다운 4 · 5일차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</si>
  <si>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</si>
  <si>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</si>
  <si>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</si>
  <si>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</si>
  <si>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</si>
  <si>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</si>
  <si>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직접 15세트: 1일차 넓은 그립 바벨 로우 4 · 페이스풀 3 · 5일차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</si>
  <si>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</si>
  <si>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</si>
  <si>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</si>
  <si>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</si>
  <si>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</si>
  <si>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</si>
  <si>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</si>
  <si>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</si>
  <si>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</si>
  <si>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</si>
  <si>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</si>
  <si>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</si>
  <si>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</si>
  <si>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</si>
  <si>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</si>
  <si>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</si>
  <si>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</si>
  <si>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</si>
  <si>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</si>
  <si>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</si>
  <si>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</si>
  <si>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</si>
  <si>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</si>
  <si>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</si>
  <si>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</si>
  <si>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</si>
  <si>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직접 13세트: 1일차 라잉 레그 레이즈 4(굴곡 하부) · 케이블 트렁크 로테이션 3(회전) · 3일차 앱휠 롤아웃 3(항신전) · 5일차 중량 크런치 3(굴곡 상부). 네 축이 다 찼다. 스쿼트 · 데드의 코어 브레이싱은 등척성 안정화이며 실패지점 근처까지 가지 않아 간접 0.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</si>
  <si>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</si>
  <si>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</si>
  <si>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</si>
  <si>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</si>
  <si>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</si>
  <si>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</si>
  <si>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</si>
  <si>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</si>
  <si>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</si>
  <si>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</si>
  <si>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</si>
  <si>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</si>
  <si>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</si>
  <si>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</si>
  <si>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</si>
  <si>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</si>
  <si>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</si>
  <si>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</si>
  <si>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</si>
  <si>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</si>
  <si>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</si>
  <si>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</si>
  <si>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</si>
  <si>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</si>
  <si>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</si>
  <si>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</si>
  <si>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로우(5일차)를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</si>
  <si>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</si>
  <si>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6일차 인클라인 벤치프레스 머신 뒤에 3세트. 흉근(중하부) 직접 15 → 18 · 주당 14.0, 흉근 합산 28 → 31 · 주당 24.1로 천장(20)을 넘겼다 — 2일차에 이어 6일차도 예외 처리다. 6일차는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</si>
  <si>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1일차·5일차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</si>
  <si>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5일차 중량 크런치 6세트를 3으로 내리고 1일차에 케이블 트렁크 로테이션 3세트를 넣었다. 총량 13 · 주당 10.1 불변이고 자리만 옮긴 것이다. 계기는 "한 번에 6세트는 빡세다"였고, 실제로 한 세션 한 종목 6세트는 8일차 후면삼각을 3종목으로 쪼갠 원칙과 어긋나 있었다. 겸사겸사 비어 있던 네 번째 축(회전)이 채워졌다 — 그전까지 굴곡 상·하와 항신전 셋뿐이었다. 8일차가 아니라 1일차인 이유: 8일차는 데드(7일차) 다음 날이고 "척추 부하 0"이 그 날의 설계 근거라 회전 부하를 얹지 않았다. 1일차는 9일차 휴식 다음 날이라 척추가 가장 신선하다. 시간은 1일차 75.8 → 82.3분 · 5일차 82.0 → 77.0분으로 맞바꿨다. 앉아서 하는 트렁크 로테이션 머신은 쓰지 않는다 — 골반이 고정돼 회전이 요추에 몰린다.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</si>
  <si>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</si>
  <si>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</si>
  <si>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</si>
  <si>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</si>
  <si>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</si>
  <si>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</si>
  <si>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</si>
  <si>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</si>
  <si>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</si>
  <si>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</si>
  <si>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</si>
  <si>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</si>
  <si>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</si>
  <si>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</si>
  <si>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</si>
  <si>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</si>
  <si>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</si>
  <si>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</si>
  <si>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</si>
  <si>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</si>
  <si>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</si>
  <si>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</si>
  <si>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</si>
  <si>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</si>
  <si>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</si>
  <si>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</si>
  <si>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</si>
  <si>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</si>
  <si>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</si>
  <si>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</si>
  <si>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</si>
  <si>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</si>
  <si>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</si>
  <si>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</si>
  <si>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</si>
  <si>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</si>
  <si>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</si>
  <si>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</si>
  <si>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</si>
  <si>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</si>
  <si>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</si>
  <si>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</si>
  <si>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</si>
  <si>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</si>
  <si>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</si>
  <si>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</si>
  <si>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</si>
  <si>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</si>
  <si>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</si>
  <si>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</si>
  <si>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</si>
  <si>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</si>
  <si>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</si>
  <si>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</si>
  <si>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</si>
  <si>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</si>
  <si>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</si>
  <si>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</si>
  <si>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</si>
  <si>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</si>
  <si>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</si>
  <si>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</si>
  <si>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</si>
  <si>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</si>
  <si>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</si>
  <si>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</si>
  <si>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</si>
  <si>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</si>
  <si>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</si>
  <si>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</si>
  <si>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</si>
  <si>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</si>
  <si>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</si>
  <si>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</si>
  <si>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</si>
  <si>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</si>
  <si>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</si>
  <si>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</si>
  <si>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</si>
  <si>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</si>
  <si>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</si>
  <si>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</si>
  <si>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</si>
  <si>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</si>
  <si>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</si>
  <si>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</si>
  <si>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</si>
  <si>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</si>
  <si>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</si>
  <si>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</si>
  <si>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</si>
  <si>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</si>
  <si>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</si>
  <si>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</si>
  <si>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</si>
  <si>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</si>
  <si>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</si>
  <si>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</si>
  <si>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</si>
  <si>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</si>
  <si>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</si>
  <si>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</si>
  <si>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</si>
  <si>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</si>
  <si>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</si>
  <si>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</si>
  <si>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</si>
  <si>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</si>
  <si>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</si>
  <si>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</si>
  <si>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</si>
  <si>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</si>
  <si>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</si>
  <si>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</si>
  <si>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</si>
  <si>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</si>
  <si>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</si>
  <si>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</si>
  <si>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</si>
  <si>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</si>
  <si>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</si>
  <si>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</si>
  <si>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</si>
  <si>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</si>
  <si>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</si>
  <si>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</si>
  <si>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</si>
  <si>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</si>
  <si>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</si>
  <si>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</si>
  <si>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</si>
  <si>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</si>
  <si>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</si>
  <si>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</si>
  <si>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</si>
  <si>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</si>
  <si>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</si>
  <si>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</si>
  <si>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</si>
  <si>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</si>
  <si>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</si>
  <si>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</si>
  <si>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</si>
  <si>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</si>
  <si>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</si>
  <si>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</si>
  <si>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</si>
  <si>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</si>
  <si>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</si>
  <si>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</si>
  <si>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</si>
  <si>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</si>
  <si>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</si>
  <si>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</si>
  <si>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</si>
  <si>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</si>
  <si>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</si>
  <si>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</si>
  <si>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</si>
  <si>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</si>
  <si>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</si>
  <si>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</si>
  <si>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</si>
  <si>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</si>
  <si>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</si>
  <si>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</si>
  <si>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</si>
  <si>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</si>
  <si>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</si>
  <si>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</si>
  <si>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</si>
  <si>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</si>
  <si>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</si>
  <si>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</si>
  <si>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</si>
  <si>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</si>
  <si>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</si>
  <si>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</si>
  <si>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</si>
  <si>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</si>
  <si>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</si>
  <si>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</si>
  <si>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</si>
  <si>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</si>
  <si>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</si>
  <si>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</si>
  <si>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</si>
  <si>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</si>
  <si>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</si>
  <si>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</si>
  <si>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</si>
  <si>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</si>
  <si>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</si>
  <si>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</si>
  <si>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</si>
  <si>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</si>
  <si>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</si>
  <si>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</si>
  <si>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</si>
  <si>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</si>
  <si>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</si>
  <si>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5일차 중량 크런치를 6→3으로 내리며 이쪽으로 옮겨온 자리다. 왜 1일차인가 — 9일차 휴식 다음 날이라 척추가 가장 신선하다. 8일차는 데드(7일차)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</si>
  <si>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</si>
  <si>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</si>
  <si>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</si>
  <si>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</si>
  <si>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</si>
  <si>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</si>
  <si>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</si>
  <si>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</si>
  <si>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</si>
  <si>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</si>
  <si>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</si>
  <si>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</si>
  <si>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</si>
  <si>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</si>
  <si>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</si>
  <si>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</si>
  <si>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</si>
  <si>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</si>
  <si>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</si>
  <si>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</si>
  <si>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</si>
  <si>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</si>
  <si>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</si>
  <si>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</si>
  <si>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</si>
  <si>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</si>
  <si>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</si>
  <si>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</si>
  <si>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</si>
  <si>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</si>
  <si>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</si>
  <si>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</si>
  <si>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</si>
  <si>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</si>
  <si>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</si>
  <si>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</si>
  <si>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6일차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</si>
  <si>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</si>
  <si>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</si>
  <si>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</si>
  <si>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</si>
  <si>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</si>
  <si>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</si>
  <si>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</si>
  <si>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</si>
  <si>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</si>
  <si>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</si>
  <si>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</si>
  <si>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</si>
  <si>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</si>
  <si>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</si>
  <si>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</si>
  <si>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</si>
  <si>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</si>
  <si>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</si>
  <si>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</si>
  <si>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</si>
  <si>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</si>
  <si>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</si>
  <si>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</si>
  <si>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</si>
  <si>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</si>
  <si>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</si>
  <si>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</si>
  <si>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</si>
  <si>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</si>
  <si>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</si>
  <si>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</si>
  <si>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</si>
  <si>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</si>
  <si>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</si>
  <si>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</si>
  <si>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</si>
  <si>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</si>
  <si>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</si>
  <si>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</si>
  <si>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</si>
  <si>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</si>
  <si>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</si>
  <si>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</si>
  <si>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</si>
  <si>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</si>
  <si>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</si>
  <si>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</si>
  <si>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</si>
  <si>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</si>
  <si>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</si>
  <si>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</si>
  <si>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</si>
  <si>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</si>
  <si>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</si>
  <si>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</si>
  <si>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</si>
  <si>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</si>
  <si>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</si>
  <si>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</si>
  <si>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</si>
  <si>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</si>
  <si>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</si>
  <si>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</si>
  <si>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</si>
  <si>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</si>
  <si>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</si>
  <si>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</si>
  <si>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</si>
  <si>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</si>
  <si>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</si>
  <si>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</si>
  <si>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</si>
  <si>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</si>
  <si>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</si>
  <si>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</si>
  <si>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</si>
  <si>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</si>
  <si>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</si>
  <si>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</si>
  <si>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</si>
  <si>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</si>
  <si>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</si>
  <si>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</si>
  <si>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8일차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</si>
  <si>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</si>
  <si>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</si>
  <si>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</si>
  <si>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</si>
  <si>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</si>
  <si>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</si>
  <si>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</si>
  <si>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</si>
  <si>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</si>
  <si>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</si>
  <si>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</si>
  <si>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</si>
  <si>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</si>
  <si>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</si>
  <si>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</si>
  <si>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</si>
  <si>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</si>
  <si>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</si>
  <si>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</si>
  <si>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</si>
  <si>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</si>
  <si>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</si>
  <si>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</si>
  <si>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</si>
  <si>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</si>
  <si>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</si>
  <si>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</si>
  <si>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</si>
  <si>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</si>
  <si>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</si>
  <si>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</si>
  <si>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</si>
  <si>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</si>
  <si>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</si>
  <si>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</si>
  <si>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</si>
  <si>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</si>
  <si>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</si>
  <si>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</si>
  <si>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</si>
  <si>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</si>
  <si>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</si>
  <si>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</si>
  <si>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</si>
  <si>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</si>
  <si>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</si>
  <si>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</si>
  <si>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</si>
  <si>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</si>
  <si>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</si>
  <si>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</si>
  <si>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</si>
  <si>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</si>
  <si>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</si>
  <si>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</si>
  <si>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</si>
  <si>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</si>
  <si>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</si>
  <si>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</si>
  <si>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</si>
  <si>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</si>
  <si>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</si>
  <si>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</si>
  <si>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</si>
  <si>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</si>
  <si>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</si>
  <si>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</si>
  <si>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</si>
  <si>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</si>
  <si>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</si>
  <si>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</si>
  <si>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</si>
  <si>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</si>
  <si>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</si>
  <si>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</si>
  <si>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</si>
  <si>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</si>
  <si>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</si>
  <si>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</si>
  <si>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</si>
  <si>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</si>
  <si>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</si>
  <si>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</si>
  <si>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</si>
  <si>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</si>
  <si>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</si>
  <si>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</si>
  <si>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</si>
  <si>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</si>
  <si>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</si>
  <si>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</si>
  <si>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</si>
  <si>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</si>
  <si>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</si>
  <si>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</si>
  <si>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</si>
  <si>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</si>
  <si>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</si>
  <si>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</si>
  <si>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</si>
  <si>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</si>
  <si>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</si>
  <si>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</si>
  <si>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</si>
  <si>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</si>
  <si>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</si>
  <si>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</si>
  <si>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</si>
  <si>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</si>
  <si>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</si>
  <si>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</si>
  <si>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</si>
  <si>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</si>
  <si>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</si>
  <si>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</si>
  <si>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</si>
  <si>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</si>
  <si>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</si>
  <si>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</si>
  <si>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</si>
  <si>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</si>
  <si>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</si>
  <si>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</si>
  <si>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</si>
  <si>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</si>
  <si>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</si>
  <si>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</si>
  <si>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</si>
  <si>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</si>
  <si>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</si>
  <si>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</si>
  <si>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</si>
  <si>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</si>
  <si>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</si>
  <si>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</si>
  <si>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</si>
  <si>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</si>
  <si>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</si>
  <si>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</si>
  <si>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</si>
  <si>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</si>
  <si>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</si>
  <si>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</si>
  <si>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</si>
  <si>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</si>
  <si>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</si>
  <si>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</si>
  <si>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</si>
  <si>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D5_당기기B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</si>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</sst>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0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81</v>
      </c>
    </row>
    <row r="2" spans="1:6" ht="15" customHeight="1">
      <c r="A2" s="2" t="s">
        <v>82</v>
      </c>
    </row>
    <row r="4" spans="1:6" ht="15" customHeight="1">
      <c r="A4" s="3" t="s">
        <v>83</v>
      </c>
      <c r="C4" s="4">
        <v>4</v>
      </c>
      <c r="D4" s="2" t="s">
        <v>84</v>
      </c>
    </row>
    <row r="6" spans="1:6" ht="15" customHeight="1">
      <c r="A6" s="5" t="s">
        <v>85</v>
      </c>
      <c r="B6" s="6" t="s">
        <v>86</v>
      </c>
      <c r="C6" s="5" t="s">
        <v>87</v>
      </c>
      <c r="D6" s="5" t="s">
        <v>88</v>
      </c>
      <c r="E6" s="5" t="s">
        <v>89</v>
      </c>
      <c r="F6" s="5" t="s">
        <v>90</v>
      </c>
    </row>
    <row r="7" spans="1:6" ht="15" customHeight="1">
      <c r="A7" s="7" t="s">
        <v>91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92</v>
      </c>
    </row>
    <row r="8" spans="1:6" ht="15" customHeight="1">
      <c r="A8" s="7" t="s">
        <v>93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94</v>
      </c>
    </row>
    <row r="9" spans="1:6" ht="15" customHeight="1">
      <c r="A9" s="7" t="s">
        <v>95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92</v>
      </c>
    </row>
    <row r="10" spans="1:6" ht="15" customHeight="1">
      <c r="A10" s="7" t="s">
        <v>96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97</v>
      </c>
    </row>
    <row r="11" spans="1:6" ht="15" customHeight="1">
      <c r="D11" s="10" t="s">
        <v>98</v>
      </c>
    </row>
    <row r="12" spans="1:6" ht="15" customHeight="1">
      <c r="A12" s="11"/>
    </row>
    <row r="13" spans="1:6" ht="32.25" customHeight="1">
      <c r="A13" s="12" t="s">
        <v>99</v>
      </c>
    </row>
    <row r="14" spans="1:6" ht="51.75" customHeight="1">
      <c r="A14" s="11" t="s">
        <v>100</v>
      </c>
    </row>
    <row r="15" spans="1:6" ht="51.75" customHeight="1">
      <c r="A15" s="11" t="s">
        <v>101</v>
      </c>
    </row>
    <row r="16" spans="1:6" ht="64.5" customHeight="1">
      <c r="A16" s="11" t="s">
        <v>102</v>
      </c>
    </row>
    <row r="17" spans="1:1" ht="51.75" customHeight="1">
      <c r="A17" s="11" t="s">
        <v>103</v>
      </c>
    </row>
    <row r="18" spans="1:1" ht="51.75" customHeight="1">
      <c r="A18" s="11"/>
    </row>
    <row r="19" spans="1:1" ht="15" customHeight="1">
      <c r="A19" s="12" t="s">
        <v>104</v>
      </c>
    </row>
    <row r="20" spans="1:1" ht="77.25" customHeight="1">
      <c r="A20" s="11" t="s">
        <v>105</v>
      </c>
    </row>
    <row r="21" spans="1:1" ht="51.75" customHeight="1">
      <c r="A21" s="11" t="s">
        <v>106</v>
      </c>
    </row>
    <row r="22" spans="1:1" ht="15" customHeight="1">
      <c r="A22" s="11" t="s">
        <v>107</v>
      </c>
    </row>
    <row r="23" spans="1:1" ht="16.5" customHeight="1">
      <c r="A23" s="11" t="s">
        <v>108</v>
      </c>
    </row>
    <row r="24" spans="1:1" ht="51.75" customHeight="1">
      <c r="A24" s="11" t="s">
        <v>109</v>
      </c>
    </row>
    <row r="25" spans="1:1" ht="39" customHeight="1">
      <c r="A25" s="11"/>
    </row>
    <row r="26" spans="1:1" ht="64.5" customHeight="1">
      <c r="A26" s="11" t="s">
        <v>110</v>
      </c>
    </row>
    <row r="27" spans="1:1" ht="15" customHeight="1">
      <c r="A27" s="11" t="s">
        <v>111</v>
      </c>
    </row>
    <row r="28" spans="1:1" ht="60" customHeight="1">
      <c r="A28" s="11"/>
    </row>
    <row r="29" spans="1:1" ht="51.75" customHeight="1">
      <c r="A29" s="13" t="s">
        <v>112</v>
      </c>
    </row>
    <row r="30" spans="1:1" ht="51.75" customHeight="1">
      <c r="A30" s="11" t="s">
        <v>113</v>
      </c>
    </row>
    <row r="31" spans="1:1" ht="64.5" customHeight="1">
      <c r="A31" s="11" t="s">
        <v>114</v>
      </c>
    </row>
    <row r="32" spans="1:1" ht="64.5" customHeight="1">
      <c r="A32" s="11" t="s">
        <v>115</v>
      </c>
    </row>
    <row r="33" spans="1:5" ht="15" customHeight="1">
      <c r="A33" s="11"/>
    </row>
    <row r="34" spans="1:5" ht="51.75" customHeight="1">
      <c r="A34" s="11" t="s">
        <v>116</v>
      </c>
    </row>
    <row r="35" spans="1:5" ht="64.5" customHeight="1">
      <c r="A35" s="11" t="s">
        <v>117</v>
      </c>
    </row>
    <row r="36" spans="1:5" ht="26.25" customHeight="1">
      <c r="A36" s="11" t="s">
        <v>118</v>
      </c>
    </row>
    <row r="38" spans="1:5" ht="16.5" customHeight="1">
      <c r="A38" s="14" t="s">
        <v>119</v>
      </c>
    </row>
    <row r="39" spans="1:5" ht="15" customHeight="1">
      <c r="A39" s="5" t="s">
        <v>120</v>
      </c>
      <c r="B39" s="5" t="s">
        <v>91</v>
      </c>
      <c r="C39" s="5" t="s">
        <v>93</v>
      </c>
      <c r="D39" s="5" t="s">
        <v>95</v>
      </c>
      <c r="E39" s="5" t="s">
        <v>96</v>
      </c>
    </row>
    <row r="40" spans="1:5" ht="15" customHeight="1">
      <c r="A40" s="15" t="s">
        <v>121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122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123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124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125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126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127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128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129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130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131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132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134</v>
      </c>
    </row>
    <row r="2" spans="1:6" ht="15" customHeight="1">
      <c r="A2" s="18" t="s">
        <v>135</v>
      </c>
    </row>
    <row r="4" spans="1:6" ht="15" customHeight="1">
      <c r="A4" s="19" t="s">
        <v>136</v>
      </c>
      <c r="B4" s="19" t="s">
        <v>137</v>
      </c>
      <c r="C4" s="19" t="s">
        <v>138</v>
      </c>
      <c r="D4" s="19" t="s">
        <v>139</v>
      </c>
      <c r="E4" s="19" t="s">
        <v>140</v>
      </c>
      <c r="F4" s="19" t="s">
        <v>141</v>
      </c>
    </row>
    <row r="5" spans="1:6" ht="15" customHeight="1">
      <c r="A5" s="20" t="s">
        <v>142</v>
      </c>
      <c r="B5" s="21" t="s">
        <v>143</v>
      </c>
      <c r="C5" s="22" t="s">
        <v>144</v>
      </c>
      <c r="D5" s="21" t="s">
        <v>145</v>
      </c>
      <c r="E5" s="20">
        <f>D1_당기기A!$E$17</f>
        <v>3</v>
      </c>
      <c r="F5" s="20" t="str">
        <f>"약 "&amp;D1_당기기A!$I$17&amp;"분"</f>
        <v>약 5분</v>
      </c>
    </row>
    <row r="6" spans="1:6" ht="15" customHeight="1">
      <c r="A6" s="20" t="s">
        <v>146</v>
      </c>
      <c r="B6" s="21" t="s">
        <v>147</v>
      </c>
      <c r="C6" s="21" t="s">
        <v>148</v>
      </c>
      <c r="D6" s="21" t="s">
        <v>149</v>
      </c>
      <c r="E6" s="20">
        <f>D2_밀기A!$E$28</f>
        <v>33</v>
      </c>
      <c r="F6" s="20" t="str">
        <f>"약 "&amp;D2_밀기A!$I$28&amp;"분"</f>
        <v>약 82분</v>
      </c>
    </row>
    <row r="7" spans="1:6" ht="15" customHeight="1">
      <c r="A7" s="20" t="s">
        <v>150</v>
      </c>
      <c r="B7" s="21" t="s">
        <v>151</v>
      </c>
      <c r="C7" s="21" t="s">
        <v>152</v>
      </c>
      <c r="D7" s="21" t="s">
        <v>153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154</v>
      </c>
      <c r="B8" s="24" t="s">
        <v>155</v>
      </c>
      <c r="C8" s="25" t="s">
        <v>144</v>
      </c>
      <c r="D8" s="24" t="s">
        <v>144</v>
      </c>
      <c r="E8" s="23">
        <v>0</v>
      </c>
      <c r="F8" s="20" t="s">
        <v>144</v>
      </c>
    </row>
    <row r="9" spans="1:6" ht="15" customHeight="1">
      <c r="A9" s="20" t="s">
        <v>156</v>
      </c>
      <c r="B9" s="21" t="s">
        <v>157</v>
      </c>
      <c r="C9" s="21" t="s">
        <v>144</v>
      </c>
      <c r="D9" s="21" t="s">
        <v>158</v>
      </c>
      <c r="E9" s="20">
        <f>D5_당기기B!$E$17</f>
        <v>37</v>
      </c>
      <c r="F9" s="20" t="str">
        <f>"약 "&amp;D5_당기기B!$I$17&amp;"분"</f>
        <v>약 77분</v>
      </c>
    </row>
    <row r="10" spans="1:6" ht="15" customHeight="1">
      <c r="A10" s="20" t="s">
        <v>159</v>
      </c>
      <c r="B10" s="21" t="s">
        <v>160</v>
      </c>
      <c r="C10" s="21" t="s">
        <v>161</v>
      </c>
      <c r="D10" s="21" t="s">
        <v>162</v>
      </c>
      <c r="E10" s="20">
        <f>D6_밀기B!$E$29</f>
        <v>4</v>
      </c>
      <c r="F10" s="20" t="str">
        <f>"약 "&amp;D6_밀기B!$I$29&amp;"분"</f>
        <v>약 7.7분</v>
      </c>
    </row>
    <row r="11" spans="1:6" ht="15" customHeight="1">
      <c r="A11" s="23" t="s">
        <v>163</v>
      </c>
      <c r="B11" s="24" t="s">
        <v>164</v>
      </c>
      <c r="C11" s="25" t="s">
        <v>165</v>
      </c>
      <c r="D11" s="25" t="s">
        <v>166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167</v>
      </c>
      <c r="B12" s="24" t="s">
        <v>168</v>
      </c>
      <c r="C12" s="25" t="s">
        <v>144</v>
      </c>
      <c r="D12" s="25" t="s">
        <v>169</v>
      </c>
      <c r="E12" s="23">
        <f>D8_어깨!$E$18</f>
        <v>40</v>
      </c>
      <c r="F12" s="26" t="str">
        <f>"약 "&amp;D8_어깨!$I$18&amp;"분"</f>
        <v>약 76분</v>
      </c>
    </row>
    <row r="13" spans="1:6" ht="15" customHeight="1">
      <c r="A13" s="23" t="s">
        <v>170</v>
      </c>
      <c r="B13" s="24" t="s">
        <v>155</v>
      </c>
      <c r="C13" s="25" t="s">
        <v>144</v>
      </c>
      <c r="D13" s="25" t="s">
        <v>144</v>
      </c>
      <c r="E13" s="23">
        <v>0</v>
      </c>
      <c r="F13" s="92"/>
    </row>
    <row r="14" spans="1:6">
      <c r="A14" s="27" t="s">
        <v>171</v>
      </c>
      <c r="B14" s="28"/>
      <c r="C14" s="29"/>
      <c r="D14" s="28"/>
      <c r="E14" s="27">
        <f>SUM(E5:E13)</f>
        <v>174</v>
      </c>
      <c r="F14" t="str">
        <f>"약 "&amp;(D1_당기기A!$I$17+D2_밀기A!$I$28+D3_하체A!$I$23+D5_당기기B!$I$17+D6_밀기B!$I$29+D7_하체B!$I$24+D8_어깨!$I$18)&amp;"분 ("&amp;INT((D1_당기기A!$I$17+D2_밀기A!$I$28+D3_하체A!$I$23+D5_당기기B!$I$17+D6_밀기B!$I$29+D7_하체B!$I$24+D8_어깨!$I$18)/60)&amp;"시간 "&amp;MOD((D1_당기기A!$I$17+D2_밀기A!$I$28+D3_하체A!$I$23+D5_당기기B!$I$17+D6_밀기B!$I$29+D7_하체B!$I$24+D8_어깨!$I$18),60)&amp;"분)"</f>
        <v>약 404.7분 (6시간 44.7분)</v>
      </c>
    </row>
    <row r="15" spans="1:6" ht="16.5" customHeight="1"/>
    <row r="16" spans="1:6" ht="89.25" customHeight="1">
      <c r="A16" s="13" t="s">
        <v>172</v>
      </c>
    </row>
    <row r="17" spans="1:1" ht="76.5" customHeight="1">
      <c r="A17" s="30" t="s">
        <v>173</v>
      </c>
    </row>
    <row r="18" spans="1:1" ht="38.25" customHeight="1">
      <c r="A18" s="30" t="s">
        <v>174</v>
      </c>
    </row>
    <row r="19" spans="1:1" ht="114.75" customHeight="1">
      <c r="A19" s="30" t="s">
        <v>175</v>
      </c>
    </row>
    <row r="20" spans="1:1" ht="16.5" customHeight="1">
      <c r="A20" s="30" t="s">
        <v>176</v>
      </c>
    </row>
    <row r="21" spans="1:1" ht="16.5" customHeight="1">
      <c r="A21" s="30" t="s">
        <v>177</v>
      </c>
    </row>
    <row r="22" spans="1:1" ht="15" customHeight="1">
      <c r="A22" s="30" t="s">
        <v>178</v>
      </c>
    </row>
    <row r="23" spans="1:1" ht="15" customHeight="1">
      <c r="A23" s="30" t="s">
        <v>179</v>
      </c>
    </row>
    <row r="24" spans="1:1" ht="15" customHeight="1">
      <c r="A24" s="31"/>
    </row>
    <row r="25" spans="1:1" ht="15" customHeight="1">
      <c r="A25" s="13" t="s">
        <v>180</v>
      </c>
    </row>
    <row r="26" spans="1:1" ht="16.5" customHeight="1">
      <c r="A26" s="30" t="s">
        <v>181</v>
      </c>
    </row>
    <row r="27" spans="1:1" ht="15" customHeight="1">
      <c r="A27" s="30" t="s">
        <v>182</v>
      </c>
    </row>
    <row r="28" spans="1:1" ht="15" customHeight="1">
      <c r="A28" s="30" t="s">
        <v>183</v>
      </c>
    </row>
    <row r="29" spans="1:1" ht="79.5" customHeight="1">
      <c r="A29" s="30" t="s">
        <v>184</v>
      </c>
    </row>
    <row r="30" spans="1:1" ht="64.5" customHeight="1">
      <c r="A30" s="30" t="s">
        <v>185</v>
      </c>
    </row>
    <row r="31" spans="1:1" ht="90" customHeight="1">
      <c r="A31" s="30"/>
    </row>
    <row r="32" spans="1:1" ht="102.75" customHeight="1">
      <c r="A32" s="13" t="s">
        <v>186</v>
      </c>
    </row>
    <row r="33" spans="1:1" ht="100.5" customHeight="1">
      <c r="A33" s="30" t="s">
        <v>187</v>
      </c>
    </row>
    <row r="34" spans="1:1" ht="15" customHeight="1">
      <c r="A34" s="30" t="s">
        <v>188</v>
      </c>
    </row>
    <row r="35" spans="1:1" ht="90" customHeight="1">
      <c r="A35" s="30" t="s">
        <v>189</v>
      </c>
    </row>
    <row r="36" spans="1:1" ht="51.75" customHeight="1">
      <c r="A36" s="30" t="s">
        <v>190</v>
      </c>
    </row>
    <row r="37" spans="1:1" ht="77.25" customHeight="1">
      <c r="A37" s="30" t="s">
        <v>191</v>
      </c>
    </row>
    <row r="38" spans="1:1" ht="64.5" customHeight="1">
      <c r="A38" s="30" t="s">
        <v>192</v>
      </c>
    </row>
    <row r="39" spans="1:1" ht="16.5" customHeight="1">
      <c r="A39" s="32"/>
    </row>
    <row r="40" spans="1:1" ht="16.5" customHeight="1">
      <c r="A40" s="13" t="s">
        <v>193</v>
      </c>
    </row>
    <row r="41" spans="1:1" ht="16.5" customHeight="1">
      <c r="A41" s="30" t="s">
        <v>194</v>
      </c>
    </row>
    <row r="42" spans="1:1" ht="242.25" customHeight="1">
      <c r="A42" s="30" t="s">
        <v>195</v>
      </c>
    </row>
    <row r="43" spans="1:1" ht="270.75" customHeight="1">
      <c r="A43" s="30" t="s">
        <v>196</v>
      </c>
    </row>
    <row r="44" spans="1:1" ht="242.25" customHeight="1">
      <c r="A44" s="30" t="s">
        <v>197</v>
      </c>
    </row>
    <row r="45" spans="1:1" ht="199.5" customHeight="1">
      <c r="A45" s="31"/>
    </row>
    <row r="46" spans="1:1" ht="185.25" customHeight="1">
      <c r="A46" s="13" t="s">
        <v>198</v>
      </c>
    </row>
    <row r="47" spans="1:1" ht="199.5" customHeight="1">
      <c r="A47" s="30" t="s">
        <v>199</v>
      </c>
    </row>
    <row r="48" spans="1:1" ht="185.25" customHeight="1">
      <c r="A48" s="30" t="s">
        <v>200</v>
      </c>
    </row>
    <row r="49" spans="1:1" ht="327.75" customHeight="1">
      <c r="A49" s="30" t="s">
        <v>201</v>
      </c>
    </row>
    <row r="50" spans="1:1" ht="256.5" customHeight="1">
      <c r="A50" s="30" t="s">
        <v>202</v>
      </c>
    </row>
    <row r="51" spans="1:1" ht="409.5" customHeight="1">
      <c r="A51" s="30" t="s">
        <v>203</v>
      </c>
    </row>
    <row r="52" spans="1:1" ht="370.5" customHeight="1">
      <c r="A52" s="30" t="s">
        <v>204</v>
      </c>
    </row>
    <row r="53" spans="1:1" ht="409.5" customHeight="1">
      <c r="A53" s="13" t="s">
        <v>205</v>
      </c>
    </row>
    <row r="54" spans="1:1" ht="370.5" customHeight="1">
      <c r="A54" s="30" t="s">
        <v>206</v>
      </c>
    </row>
    <row r="55" spans="1:1" ht="185.25" customHeight="1">
      <c r="A55" s="30" t="s">
        <v>207</v>
      </c>
    </row>
    <row r="57" spans="1:1">
      <c r="A57" s="13" t="s">
        <v>208</v>
      </c>
    </row>
    <row r="58" spans="1:1" ht="327.75" customHeight="1">
      <c r="A58" s="30" t="s">
        <v>209</v>
      </c>
    </row>
    <row r="59" spans="1:1" ht="256.5" customHeight="1">
      <c r="A59" s="30" t="s">
        <v>210</v>
      </c>
    </row>
    <row r="60" spans="1:1" ht="409.5" customHeight="1">
      <c r="A60" s="30" t="s">
        <v>211</v>
      </c>
    </row>
    <row r="61" spans="1:1" ht="370.5" customHeight="1">
      <c r="A61" s="30" t="s">
        <v>212</v>
      </c>
    </row>
    <row r="63" spans="1:1" ht="90" customHeight="1">
      <c r="A63" s="13" t="s">
        <v>213</v>
      </c>
    </row>
    <row r="64" spans="1:1" ht="313.5" customHeight="1">
      <c r="A64" s="30" t="s">
        <v>214</v>
      </c>
    </row>
    <row r="65" spans="1:1" ht="370.5" customHeight="1">
      <c r="A65" s="30" t="s">
        <v>215</v>
      </c>
    </row>
    <row r="66" spans="1:1" ht="285" customHeight="1">
      <c r="A66" s="30" t="s">
        <v>216</v>
      </c>
    </row>
    <row r="67" spans="1:1" ht="370.5" customHeight="1">
      <c r="A67" s="30" t="s">
        <v>217</v>
      </c>
    </row>
    <row r="68" spans="1:1" ht="256.5" customHeight="1">
      <c r="A68" s="30" t="s">
        <v>218</v>
      </c>
    </row>
    <row r="69" spans="1:1" ht="327.75" customHeight="1">
      <c r="A69" s="30" t="s">
        <v>219</v>
      </c>
    </row>
    <row r="70" spans="1:1" ht="327.75" customHeight="1">
      <c r="A70" s="30" t="s">
        <v>220</v>
      </c>
    </row>
    <row r="71" spans="1:1" ht="299.25" customHeight="1">
      <c r="A71" s="30" t="s">
        <v>221</v>
      </c>
    </row>
    <row r="72" spans="1:1" ht="327.75" customHeight="1">
      <c r="A72" s="30" t="s">
        <v>222</v>
      </c>
    </row>
    <row r="74" spans="1:1" ht="75" customHeight="1">
      <c r="A74" s="13" t="s">
        <v>223</v>
      </c>
    </row>
    <row r="75" spans="1:1" ht="327.75" customHeight="1">
      <c r="A75" s="30" t="s">
        <v>224</v>
      </c>
    </row>
    <row r="76" spans="1:1" ht="356.25" customHeight="1">
      <c r="A76" s="30" t="s">
        <v>225</v>
      </c>
    </row>
    <row r="77" spans="1:1" ht="270.75" customHeight="1">
      <c r="A77" s="30" t="s">
        <v>226</v>
      </c>
    </row>
    <row r="78" spans="1:1" ht="313.5" customHeight="1">
      <c r="A78" s="30" t="s">
        <v>227</v>
      </c>
    </row>
    <row r="79" spans="1:1" ht="142.5" customHeight="1">
      <c r="A79" s="30" t="s">
        <v>228</v>
      </c>
    </row>
    <row r="80" spans="1:1" ht="242.25" customHeight="1">
      <c r="A80" s="30" t="s">
        <v>229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230</v>
      </c>
    </row>
    <row r="2" spans="1:14" ht="16.5" customHeight="1">
      <c r="A2" s="18" t="s">
        <v>231</v>
      </c>
    </row>
    <row r="3" spans="1:14">
      <c r="A3" s="33" t="s">
        <v>232</v>
      </c>
    </row>
    <row r="4" spans="1:14" ht="15" customHeight="1">
      <c r="A4" s="3" t="s">
        <v>233</v>
      </c>
    </row>
    <row r="5" spans="1:14" ht="16.5" customHeight="1">
      <c r="A5" s="34" t="s">
        <v>234</v>
      </c>
      <c r="B5" s="35" t="s">
        <v>85</v>
      </c>
      <c r="C5" s="35" t="s">
        <v>2</v>
      </c>
      <c r="D5" s="35" t="s">
        <v>235</v>
      </c>
      <c r="E5" s="35" t="s">
        <v>140</v>
      </c>
      <c r="F5" s="35" t="s">
        <v>236</v>
      </c>
      <c r="G5" s="35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243</v>
      </c>
      <c r="N5" s="35" t="s">
        <v>244</v>
      </c>
    </row>
    <row r="6" spans="1:14" ht="16.5" customHeight="1">
      <c r="A6" s="20">
        <v>1</v>
      </c>
      <c r="B6" s="21" t="s">
        <v>245</v>
      </c>
      <c r="C6" s="20" t="s">
        <v>14</v>
      </c>
      <c r="D6" s="20">
        <v>60</v>
      </c>
      <c r="E6" s="20">
        <v>4</v>
      </c>
      <c r="F6" s="26" t="s">
        <v>246</v>
      </c>
      <c r="G6" s="26">
        <v>35</v>
      </c>
      <c r="H6" s="26">
        <v>155</v>
      </c>
      <c r="I6" s="26">
        <f t="shared" ref="I6:I17" si="0">IF(E6=0,0,ROUND(E6*(G6+H6)/60,1))</f>
        <v>12.7</v>
      </c>
      <c r="J6" s="21" t="s">
        <v>42</v>
      </c>
      <c r="K6" s="21" t="s">
        <v>247</v>
      </c>
      <c r="L6" s="21" t="s">
        <v>248</v>
      </c>
      <c r="M6" s="26" t="s">
        <v>249</v>
      </c>
    </row>
    <row r="7" spans="1:14" ht="16.5" customHeight="1">
      <c r="A7" s="20">
        <v>2</v>
      </c>
      <c r="B7" s="21" t="s">
        <v>250</v>
      </c>
      <c r="C7" s="20" t="s">
        <v>14</v>
      </c>
      <c r="D7" s="26">
        <v>40</v>
      </c>
      <c r="E7" s="20">
        <v>4</v>
      </c>
      <c r="F7" s="26" t="s">
        <v>251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252</v>
      </c>
      <c r="L7" s="21" t="s">
        <v>253</v>
      </c>
    </row>
    <row r="8" spans="1:14" ht="16.5" customHeight="1">
      <c r="A8" s="20">
        <v>3</v>
      </c>
      <c r="B8" s="36" t="s">
        <v>254</v>
      </c>
      <c r="C8" s="42" t="s">
        <v>21</v>
      </c>
      <c r="D8" s="20" t="s">
        <v>255</v>
      </c>
      <c r="E8" s="20">
        <v>4</v>
      </c>
      <c r="F8" s="26" t="s">
        <v>256</v>
      </c>
      <c r="G8" s="26">
        <v>40</v>
      </c>
      <c r="H8" s="26">
        <v>120</v>
      </c>
      <c r="I8" s="26">
        <f t="shared" si="0"/>
        <v>10.7</v>
      </c>
      <c r="J8" s="21" t="s">
        <v>257</v>
      </c>
      <c r="K8" s="21" t="s">
        <v>258</v>
      </c>
      <c r="L8" s="21" t="s">
        <v>259</v>
      </c>
    </row>
    <row r="9" spans="1:14" ht="16.5" customHeight="1">
      <c r="A9" s="20">
        <v>4</v>
      </c>
      <c r="B9" s="36" t="s">
        <v>260</v>
      </c>
      <c r="C9" s="20" t="s">
        <v>21</v>
      </c>
      <c r="D9" s="20">
        <v>12.5</v>
      </c>
      <c r="E9" s="20">
        <v>3</v>
      </c>
      <c r="F9" s="26" t="s">
        <v>261</v>
      </c>
      <c r="G9" s="26">
        <v>45</v>
      </c>
      <c r="H9" s="26">
        <v>60</v>
      </c>
      <c r="I9" s="26">
        <f t="shared" si="0"/>
        <v>5.3</v>
      </c>
      <c r="J9" s="21" t="s">
        <v>262</v>
      </c>
      <c r="K9" s="21" t="s">
        <v>263</v>
      </c>
      <c r="L9" s="21" t="s">
        <v>264</v>
      </c>
    </row>
    <row r="10" spans="1:14" ht="16.5" customHeight="1">
      <c r="A10" s="20">
        <v>5</v>
      </c>
      <c r="B10" s="21" t="s">
        <v>265</v>
      </c>
      <c r="C10" s="20" t="s">
        <v>42</v>
      </c>
      <c r="D10" s="26" t="s">
        <v>266</v>
      </c>
      <c r="E10" s="20">
        <v>0</v>
      </c>
      <c r="F10" s="26" t="s">
        <v>251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267</v>
      </c>
      <c r="L10" s="22" t="s">
        <v>268</v>
      </c>
    </row>
    <row r="11" spans="1:14" ht="16.5" customHeight="1">
      <c r="A11" s="20">
        <v>6</v>
      </c>
      <c r="B11" s="21" t="s">
        <v>269</v>
      </c>
      <c r="C11" s="20" t="s">
        <v>44</v>
      </c>
      <c r="D11" s="26">
        <v>20</v>
      </c>
      <c r="E11" s="20">
        <v>4</v>
      </c>
      <c r="F11" s="26" t="s">
        <v>270</v>
      </c>
      <c r="G11" s="26">
        <v>40</v>
      </c>
      <c r="H11" s="26">
        <v>70</v>
      </c>
      <c r="I11" s="26">
        <f t="shared" si="0"/>
        <v>7.3</v>
      </c>
      <c r="J11" s="21"/>
      <c r="K11" s="21" t="s">
        <v>271</v>
      </c>
      <c r="L11" s="21" t="s">
        <v>272</v>
      </c>
    </row>
    <row r="12" spans="1:14" ht="16.5" customHeight="1">
      <c r="A12" s="20">
        <v>7</v>
      </c>
      <c r="B12" s="81" t="s">
        <v>273</v>
      </c>
      <c r="C12" s="20" t="s">
        <v>46</v>
      </c>
      <c r="D12" s="20">
        <v>10</v>
      </c>
      <c r="E12" s="20">
        <v>3</v>
      </c>
      <c r="F12" s="26" t="s">
        <v>274</v>
      </c>
      <c r="G12" s="26">
        <v>40</v>
      </c>
      <c r="H12" s="26">
        <v>60</v>
      </c>
      <c r="I12" s="26">
        <f t="shared" si="0"/>
        <v>5</v>
      </c>
      <c r="J12" s="21"/>
      <c r="K12" s="21" t="s">
        <v>275</v>
      </c>
      <c r="L12" s="21" t="s">
        <v>276</v>
      </c>
    </row>
    <row r="13" spans="1:14" ht="15" customHeight="1">
      <c r="A13" s="20">
        <v>8</v>
      </c>
      <c r="B13" s="81" t="s">
        <v>277</v>
      </c>
      <c r="C13" s="20" t="s">
        <v>48</v>
      </c>
      <c r="D13" s="20" t="s">
        <v>255</v>
      </c>
      <c r="E13" s="20">
        <v>4</v>
      </c>
      <c r="F13" s="26" t="s">
        <v>261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278</v>
      </c>
      <c r="L13" s="86" t="s">
        <v>279</v>
      </c>
    </row>
    <row r="14" spans="1:14" ht="15" customHeight="1">
      <c r="A14" s="20">
        <v>9</v>
      </c>
      <c r="B14" s="81" t="s">
        <v>280</v>
      </c>
      <c r="C14" s="20" t="s">
        <v>48</v>
      </c>
      <c r="D14" s="20" t="s">
        <v>270</v>
      </c>
      <c r="E14" s="20">
        <v>3</v>
      </c>
      <c r="F14" s="26" t="s">
        <v>281</v>
      </c>
      <c r="G14" s="26">
        <v>70</v>
      </c>
      <c r="H14" s="26">
        <v>60</v>
      </c>
      <c r="I14" s="26">
        <f t="shared" si="0"/>
        <v>6.5</v>
      </c>
      <c r="J14" s="21"/>
      <c r="K14" s="21" t="s">
        <v>282</v>
      </c>
      <c r="L14" s="86" t="s">
        <v>283</v>
      </c>
    </row>
    <row r="15" spans="1:14" ht="15" customHeight="1">
      <c r="A15" s="20">
        <v>10</v>
      </c>
      <c r="B15" s="81" t="s">
        <v>284</v>
      </c>
      <c r="C15" s="20" t="s">
        <v>40</v>
      </c>
      <c r="D15" s="20" t="s">
        <v>285</v>
      </c>
      <c r="E15" s="20">
        <v>3</v>
      </c>
      <c r="F15" s="26" t="s">
        <v>261</v>
      </c>
      <c r="G15" s="26">
        <v>40</v>
      </c>
      <c r="H15" s="26">
        <v>75</v>
      </c>
      <c r="I15" s="26">
        <f t="shared" si="0"/>
        <v>5.8</v>
      </c>
      <c r="J15" s="21"/>
      <c r="K15" s="21" t="s">
        <v>286</v>
      </c>
      <c r="L15" s="86" t="s">
        <v>287</v>
      </c>
    </row>
    <row r="16" spans="1:14" ht="15" customHeight="1">
      <c r="A16" s="20">
        <v>11</v>
      </c>
      <c r="B16" s="21" t="s">
        <v>288</v>
      </c>
      <c r="C16" s="20" t="s">
        <v>23</v>
      </c>
      <c r="D16" s="20">
        <v>20</v>
      </c>
      <c r="E16" s="20">
        <v>3</v>
      </c>
      <c r="F16" s="26" t="s">
        <v>289</v>
      </c>
      <c r="G16" s="26">
        <v>45</v>
      </c>
      <c r="H16" s="26">
        <v>90</v>
      </c>
      <c r="I16" s="26">
        <f t="shared" si="0"/>
        <v>6.8</v>
      </c>
      <c r="J16" s="21" t="s">
        <v>290</v>
      </c>
      <c r="K16" s="36" t="s">
        <v>291</v>
      </c>
      <c r="L16" s="36" t="s">
        <v>292</v>
      </c>
    </row>
    <row r="17" spans="1:12" ht="15" customHeight="1">
      <c r="A17" s="20">
        <v>12</v>
      </c>
      <c r="B17" s="21" t="s">
        <v>293</v>
      </c>
      <c r="C17" s="20" t="s">
        <v>23</v>
      </c>
      <c r="D17" s="20" t="s">
        <v>255</v>
      </c>
      <c r="E17" s="20">
        <v>3</v>
      </c>
      <c r="F17" s="26" t="s">
        <v>261</v>
      </c>
      <c r="G17" s="26">
        <v>40</v>
      </c>
      <c r="H17" s="26">
        <v>60</v>
      </c>
      <c r="I17" s="26">
        <f t="shared" si="0"/>
        <v>5</v>
      </c>
      <c r="J17" s="21"/>
      <c r="K17" s="36" t="s">
        <v>294</v>
      </c>
      <c r="L17" s="36" t="s">
        <v>295</v>
      </c>
    </row>
    <row r="18" spans="1:12">
      <c r="A18" s="20"/>
      <c r="B18" s="21"/>
      <c r="C18" s="20"/>
      <c r="D18" s="20" t="s">
        <v>296</v>
      </c>
      <c r="E18" s="20">
        <f>SUM(E6:E17)</f>
        <v>38</v>
      </c>
      <c r="F18" s="26"/>
      <c r="G18" s="26"/>
      <c r="H18" s="26"/>
      <c r="I18" s="26">
        <f>ROUND(SUM(I6:I17),0)</f>
        <v>83</v>
      </c>
      <c r="J18" s="21"/>
      <c r="K18" s="36"/>
      <c r="L18" s="36"/>
    </row>
    <row r="27" spans="1:12">
      <c r="B27" s="36"/>
    </row>
    <row r="35" spans="10:10">
      <c r="J35" t="s">
        <v>297</v>
      </c>
    </row>
  </sheetData>
  <phoneticPr fontId="32" type="noConversion"/>
  <conditionalFormatting sqref="A6:N16">
    <cfRule type="expression" dxfId="8" priority="1">
      <formula>$E6=0</formula>
    </cfRule>
  </conditionalFormatting>
  <conditionalFormatting sqref="B27">
    <cfRule type="expression" dxfId="7" priority="2">
      <formula>$E27=0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8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298</v>
      </c>
    </row>
    <row r="2" spans="1:3" ht="16.5" customHeight="1">
      <c r="A2" s="18" t="s">
        <v>299</v>
      </c>
    </row>
    <row r="4" spans="1:3" ht="16.5" customHeight="1">
      <c r="A4" s="3" t="s">
        <v>300</v>
      </c>
    </row>
    <row r="5" spans="1:3" ht="16.5" customHeight="1">
      <c r="A5" s="19" t="s">
        <v>235</v>
      </c>
      <c r="B5" s="19" t="s">
        <v>301</v>
      </c>
      <c r="C5" s="19" t="s">
        <v>140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302</v>
      </c>
    </row>
    <row r="13" spans="1:3" ht="16.5" customHeight="1">
      <c r="A13" s="3" t="s">
        <v>303</v>
      </c>
    </row>
    <row r="14" spans="1:3" ht="16.5" customHeight="1">
      <c r="A14" s="31" t="s">
        <v>304</v>
      </c>
    </row>
    <row r="15" spans="1:3" ht="16.5" customHeight="1">
      <c r="A15" s="31" t="s">
        <v>305</v>
      </c>
    </row>
    <row r="16" spans="1:3" ht="16.5" customHeight="1">
      <c r="A16" s="31" t="s">
        <v>306</v>
      </c>
    </row>
    <row r="18" spans="1:14" ht="15" customHeight="1">
      <c r="A18" s="3" t="s">
        <v>233</v>
      </c>
    </row>
    <row r="19" spans="1:14" ht="16.5" customHeight="1">
      <c r="A19" s="34" t="s">
        <v>234</v>
      </c>
      <c r="B19" s="35" t="s">
        <v>85</v>
      </c>
      <c r="C19" s="35" t="s">
        <v>2</v>
      </c>
      <c r="D19" s="35" t="s">
        <v>235</v>
      </c>
      <c r="E19" s="35" t="s">
        <v>140</v>
      </c>
      <c r="F19" s="35" t="s">
        <v>236</v>
      </c>
      <c r="G19" s="35" t="s">
        <v>237</v>
      </c>
      <c r="H19" s="35" t="s">
        <v>238</v>
      </c>
      <c r="I19" s="35" t="s">
        <v>239</v>
      </c>
      <c r="J19" s="35" t="s">
        <v>240</v>
      </c>
      <c r="K19" s="35" t="s">
        <v>241</v>
      </c>
      <c r="L19" s="35" t="s">
        <v>242</v>
      </c>
      <c r="M19" s="35" t="s">
        <v>243</v>
      </c>
      <c r="N19" s="35" t="s">
        <v>244</v>
      </c>
    </row>
    <row r="20" spans="1:14" ht="16.5" customHeight="1">
      <c r="A20" s="38">
        <v>1</v>
      </c>
      <c r="B20" s="39" t="s">
        <v>307</v>
      </c>
      <c r="C20" s="40" t="s">
        <v>12</v>
      </c>
      <c r="D20" s="41">
        <f>시작중량_설정!$E$9</f>
        <v>29.25</v>
      </c>
      <c r="E20" s="40">
        <v>5</v>
      </c>
      <c r="F20" s="38" t="s">
        <v>156</v>
      </c>
      <c r="G20" s="38">
        <v>30</v>
      </c>
      <c r="H20" s="38">
        <v>180</v>
      </c>
      <c r="I20" s="38">
        <f t="shared" ref="I20:I27" si="0">IF(E20=0,0,ROUND(E20*(G20+H20)/60,1))</f>
        <v>17.5</v>
      </c>
      <c r="J20" s="39" t="s">
        <v>308</v>
      </c>
      <c r="K20" s="39" t="s">
        <v>309</v>
      </c>
      <c r="L20" s="39" t="s">
        <v>310</v>
      </c>
      <c r="M20" s="38" t="s">
        <v>311</v>
      </c>
    </row>
    <row r="21" spans="1:14" ht="16.5" customHeight="1">
      <c r="A21" s="20">
        <v>2</v>
      </c>
      <c r="B21" s="21" t="s">
        <v>312</v>
      </c>
      <c r="C21" s="20" t="s">
        <v>12</v>
      </c>
      <c r="D21" s="42" t="s">
        <v>313</v>
      </c>
      <c r="E21" s="20">
        <v>4</v>
      </c>
      <c r="F21" s="26" t="s">
        <v>256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314</v>
      </c>
      <c r="L21" s="36" t="s">
        <v>315</v>
      </c>
      <c r="M21" s="26" t="s">
        <v>249</v>
      </c>
    </row>
    <row r="22" spans="1:14" ht="16.5" customHeight="1">
      <c r="A22" s="20">
        <v>3</v>
      </c>
      <c r="B22" s="21" t="s">
        <v>316</v>
      </c>
      <c r="C22" s="20" t="s">
        <v>9</v>
      </c>
      <c r="D22" s="42" t="s">
        <v>317</v>
      </c>
      <c r="E22" s="20">
        <v>3</v>
      </c>
      <c r="F22" s="26" t="s">
        <v>251</v>
      </c>
      <c r="G22" s="26">
        <v>40</v>
      </c>
      <c r="H22" s="26">
        <v>150</v>
      </c>
      <c r="I22" s="26">
        <f t="shared" si="0"/>
        <v>9.5</v>
      </c>
      <c r="J22" s="21" t="s">
        <v>318</v>
      </c>
      <c r="K22" s="21" t="s">
        <v>319</v>
      </c>
      <c r="L22" s="36" t="s">
        <v>320</v>
      </c>
      <c r="M22" s="92"/>
    </row>
    <row r="23" spans="1:14" ht="16.5" customHeight="1">
      <c r="A23" s="20">
        <v>4</v>
      </c>
      <c r="B23" s="36" t="s">
        <v>321</v>
      </c>
      <c r="C23" s="20" t="s">
        <v>9</v>
      </c>
      <c r="D23" s="26">
        <v>8</v>
      </c>
      <c r="E23" s="20">
        <v>4</v>
      </c>
      <c r="F23" s="26" t="s">
        <v>322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323</v>
      </c>
      <c r="L23" s="21" t="s">
        <v>324</v>
      </c>
    </row>
    <row r="24" spans="1:14" ht="16.5" customHeight="1">
      <c r="A24" s="20">
        <v>5</v>
      </c>
      <c r="B24" s="21" t="s">
        <v>325</v>
      </c>
      <c r="C24" s="43" t="s">
        <v>12</v>
      </c>
      <c r="D24" s="26">
        <v>10</v>
      </c>
      <c r="E24" s="20">
        <v>3</v>
      </c>
      <c r="F24" s="26" t="s">
        <v>251</v>
      </c>
      <c r="G24" s="26">
        <v>40</v>
      </c>
      <c r="H24" s="26">
        <v>90</v>
      </c>
      <c r="I24" s="26">
        <f t="shared" si="0"/>
        <v>6.5</v>
      </c>
      <c r="J24" s="21"/>
      <c r="K24" s="21" t="s">
        <v>326</v>
      </c>
      <c r="L24" s="21" t="s">
        <v>327</v>
      </c>
    </row>
    <row r="25" spans="1:14" ht="16.5" customHeight="1">
      <c r="A25" s="20">
        <v>6</v>
      </c>
      <c r="B25" s="21" t="s">
        <v>328</v>
      </c>
      <c r="C25" s="20" t="s">
        <v>27</v>
      </c>
      <c r="D25" s="26">
        <v>6</v>
      </c>
      <c r="E25" s="20">
        <v>6</v>
      </c>
      <c r="F25" s="26" t="s">
        <v>261</v>
      </c>
      <c r="G25" s="26">
        <v>40</v>
      </c>
      <c r="H25" s="26">
        <v>70</v>
      </c>
      <c r="I25" s="26">
        <f t="shared" si="0"/>
        <v>11</v>
      </c>
      <c r="J25" s="21"/>
      <c r="K25" s="21" t="s">
        <v>329</v>
      </c>
      <c r="L25" s="21" t="s">
        <v>330</v>
      </c>
    </row>
    <row r="26" spans="1:14" ht="16.5" customHeight="1">
      <c r="A26" s="20">
        <v>7</v>
      </c>
      <c r="B26" s="21" t="s">
        <v>331</v>
      </c>
      <c r="C26" s="43" t="s">
        <v>29</v>
      </c>
      <c r="D26" s="26">
        <v>20</v>
      </c>
      <c r="E26" s="20">
        <v>5</v>
      </c>
      <c r="F26" s="26" t="s">
        <v>261</v>
      </c>
      <c r="G26" s="26">
        <v>40</v>
      </c>
      <c r="H26" s="26">
        <v>70</v>
      </c>
      <c r="I26" s="26">
        <f t="shared" si="0"/>
        <v>9.1999999999999993</v>
      </c>
      <c r="J26" s="21"/>
      <c r="K26" s="21"/>
      <c r="L26" s="86" t="s">
        <v>332</v>
      </c>
    </row>
    <row r="27" spans="1:14" ht="16.5" customHeight="1">
      <c r="A27" s="20">
        <v>8</v>
      </c>
      <c r="B27" s="21" t="s">
        <v>265</v>
      </c>
      <c r="C27" s="43" t="s">
        <v>42</v>
      </c>
      <c r="D27" s="26" t="s">
        <v>333</v>
      </c>
      <c r="E27" s="20">
        <v>3</v>
      </c>
      <c r="F27" s="26" t="s">
        <v>251</v>
      </c>
      <c r="G27" s="26">
        <v>40</v>
      </c>
      <c r="H27" s="26">
        <v>70</v>
      </c>
      <c r="I27" s="26">
        <f t="shared" si="0"/>
        <v>5.5</v>
      </c>
      <c r="J27" s="21" t="s">
        <v>46</v>
      </c>
      <c r="K27" s="21" t="s">
        <v>334</v>
      </c>
      <c r="L27" s="21" t="s">
        <v>335</v>
      </c>
    </row>
    <row r="28" spans="1:14">
      <c r="D28" s="3" t="s">
        <v>296</v>
      </c>
      <c r="E28" s="27">
        <f>SUM(E20:E27)</f>
        <v>33</v>
      </c>
      <c r="I28">
        <f>ROUND(SUM(I20:I27),0)</f>
        <v>82</v>
      </c>
    </row>
  </sheetData>
  <phoneticPr fontId="32" type="noConversion"/>
  <conditionalFormatting sqref="A20:N27">
    <cfRule type="expression" dxfId="6" priority="1">
      <formula>$E20=0</formula>
    </cfRule>
  </conditionalFormatting>
  <hyperlinks>
    <hyperlink ref="L26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336</v>
      </c>
    </row>
    <row r="2" spans="1:14" ht="16.5" customHeight="1">
      <c r="A2" s="18" t="s">
        <v>337</v>
      </c>
    </row>
    <row r="4" spans="1:14" ht="16.5" customHeight="1">
      <c r="A4" s="3" t="s">
        <v>338</v>
      </c>
    </row>
    <row r="5" spans="1:14" ht="16.5" customHeight="1">
      <c r="A5" s="19" t="s">
        <v>235</v>
      </c>
      <c r="B5" s="19" t="s">
        <v>301</v>
      </c>
      <c r="C5" s="19" t="s">
        <v>140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302</v>
      </c>
    </row>
    <row r="13" spans="1:14" ht="15" customHeight="1">
      <c r="A13" s="3" t="s">
        <v>233</v>
      </c>
    </row>
    <row r="14" spans="1:14" ht="16.5" customHeight="1">
      <c r="A14" s="34" t="s">
        <v>234</v>
      </c>
      <c r="B14" s="35" t="s">
        <v>85</v>
      </c>
      <c r="C14" s="35" t="s">
        <v>2</v>
      </c>
      <c r="D14" s="35" t="s">
        <v>235</v>
      </c>
      <c r="E14" s="35" t="s">
        <v>140</v>
      </c>
      <c r="F14" s="35" t="s">
        <v>236</v>
      </c>
      <c r="G14" s="35" t="s">
        <v>237</v>
      </c>
      <c r="H14" s="35" t="s">
        <v>238</v>
      </c>
      <c r="I14" s="35" t="s">
        <v>239</v>
      </c>
      <c r="J14" s="35" t="s">
        <v>240</v>
      </c>
      <c r="K14" s="35" t="s">
        <v>241</v>
      </c>
      <c r="L14" s="35" t="s">
        <v>242</v>
      </c>
      <c r="M14" s="35" t="s">
        <v>243</v>
      </c>
      <c r="N14" s="35" t="s">
        <v>244</v>
      </c>
    </row>
    <row r="15" spans="1:14" ht="16.5" customHeight="1">
      <c r="A15" s="40">
        <v>1</v>
      </c>
      <c r="B15" s="39" t="s">
        <v>339</v>
      </c>
      <c r="C15" s="40" t="s">
        <v>31</v>
      </c>
      <c r="D15" s="41">
        <f>시작중량_설정!$E$7</f>
        <v>52.5</v>
      </c>
      <c r="E15" s="40">
        <v>5</v>
      </c>
      <c r="F15" s="38" t="s">
        <v>156</v>
      </c>
      <c r="G15" s="38">
        <v>35</v>
      </c>
      <c r="H15" s="38">
        <v>193</v>
      </c>
      <c r="I15" s="38">
        <f t="shared" ref="I15:I22" si="0">IF(E15=0,0,ROUND(E15*(G15+H15)/60,1))</f>
        <v>19</v>
      </c>
      <c r="J15" s="39" t="s">
        <v>340</v>
      </c>
      <c r="K15" s="39" t="s">
        <v>341</v>
      </c>
      <c r="L15" s="39" t="s">
        <v>342</v>
      </c>
      <c r="M15" s="38" t="s">
        <v>343</v>
      </c>
    </row>
    <row r="16" spans="1:14" ht="16.5" customHeight="1">
      <c r="A16" s="20">
        <v>2</v>
      </c>
      <c r="B16" s="21" t="s">
        <v>344</v>
      </c>
      <c r="C16" s="20" t="s">
        <v>31</v>
      </c>
      <c r="D16" s="26">
        <v>120</v>
      </c>
      <c r="E16" s="20">
        <v>3</v>
      </c>
      <c r="F16" s="26" t="s">
        <v>251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345</v>
      </c>
      <c r="L16" s="21" t="s">
        <v>346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255</v>
      </c>
      <c r="E17" s="20">
        <v>3</v>
      </c>
      <c r="F17" s="26" t="s">
        <v>347</v>
      </c>
      <c r="G17" s="26">
        <v>90</v>
      </c>
      <c r="H17" s="26">
        <v>150</v>
      </c>
      <c r="I17" s="26">
        <f t="shared" si="0"/>
        <v>12</v>
      </c>
      <c r="J17" s="21" t="s">
        <v>348</v>
      </c>
      <c r="K17" s="21" t="s">
        <v>349</v>
      </c>
      <c r="L17" s="21" t="s">
        <v>350</v>
      </c>
    </row>
    <row r="18" spans="1:14" ht="16.5" customHeight="1">
      <c r="A18" s="20">
        <v>4</v>
      </c>
      <c r="B18" s="21" t="s">
        <v>351</v>
      </c>
      <c r="C18" s="20" t="s">
        <v>34</v>
      </c>
      <c r="D18" s="26">
        <v>40</v>
      </c>
      <c r="E18" s="20">
        <v>4</v>
      </c>
      <c r="F18" s="26" t="s">
        <v>322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352</v>
      </c>
      <c r="L18" s="21" t="s">
        <v>353</v>
      </c>
    </row>
    <row r="19" spans="1:14" ht="16.5" customHeight="1">
      <c r="A19" s="20">
        <v>5</v>
      </c>
      <c r="B19" s="21" t="s">
        <v>354</v>
      </c>
      <c r="C19" s="20" t="s">
        <v>50</v>
      </c>
      <c r="D19" s="26">
        <v>35</v>
      </c>
      <c r="E19" s="20">
        <v>4</v>
      </c>
      <c r="F19" s="26" t="s">
        <v>261</v>
      </c>
      <c r="G19" s="26">
        <v>40</v>
      </c>
      <c r="H19" s="26">
        <v>10</v>
      </c>
      <c r="I19" s="26">
        <f t="shared" si="0"/>
        <v>3.3</v>
      </c>
      <c r="J19" s="21"/>
      <c r="K19" s="21" t="s">
        <v>355</v>
      </c>
      <c r="L19" s="21" t="s">
        <v>356</v>
      </c>
      <c r="N19" t="s">
        <v>357</v>
      </c>
    </row>
    <row r="20" spans="1:14" ht="16.5" customHeight="1">
      <c r="A20" s="20">
        <v>6</v>
      </c>
      <c r="B20" s="21" t="s">
        <v>358</v>
      </c>
      <c r="C20" s="20" t="s">
        <v>38</v>
      </c>
      <c r="D20" s="26" t="s">
        <v>266</v>
      </c>
      <c r="E20" s="20">
        <v>4</v>
      </c>
      <c r="F20" s="26" t="s">
        <v>261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359</v>
      </c>
      <c r="L20" s="21" t="s">
        <v>360</v>
      </c>
      <c r="N20" t="s">
        <v>357</v>
      </c>
    </row>
    <row r="21" spans="1:14" ht="16.5" customHeight="1">
      <c r="A21" s="20">
        <v>7</v>
      </c>
      <c r="B21" s="21" t="s">
        <v>284</v>
      </c>
      <c r="C21" s="20" t="s">
        <v>40</v>
      </c>
      <c r="D21" s="26">
        <v>10</v>
      </c>
      <c r="E21" s="20">
        <v>4</v>
      </c>
      <c r="F21" s="26" t="s">
        <v>261</v>
      </c>
      <c r="G21" s="26">
        <v>40</v>
      </c>
      <c r="H21" s="26">
        <v>75</v>
      </c>
      <c r="I21" s="26">
        <f t="shared" si="0"/>
        <v>7.7</v>
      </c>
      <c r="J21" s="21"/>
      <c r="K21" s="21" t="s">
        <v>361</v>
      </c>
      <c r="L21" s="21" t="s">
        <v>362</v>
      </c>
    </row>
    <row r="22" spans="1:14" ht="15" customHeight="1">
      <c r="A22" s="20">
        <v>8</v>
      </c>
      <c r="B22" s="81" t="s">
        <v>363</v>
      </c>
      <c r="C22" s="20" t="s">
        <v>48</v>
      </c>
      <c r="D22" s="82" t="s">
        <v>255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364</v>
      </c>
      <c r="L22" s="21" t="s">
        <v>365</v>
      </c>
    </row>
    <row r="23" spans="1:14" ht="15" customHeight="1">
      <c r="D23" s="3" t="s">
        <v>296</v>
      </c>
      <c r="E23" s="27">
        <f>SUM(E15:E22)</f>
        <v>30</v>
      </c>
      <c r="I23">
        <f>ROUND(SUM(I15:I22),0)</f>
        <v>77</v>
      </c>
    </row>
  </sheetData>
  <phoneticPr fontId="32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3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366</v>
      </c>
    </row>
    <row r="2" spans="1:14" ht="16.5" customHeight="1">
      <c r="A2" s="18" t="s">
        <v>367</v>
      </c>
    </row>
    <row r="3" spans="1:14">
      <c r="A3" s="33" t="s">
        <v>368</v>
      </c>
    </row>
    <row r="4" spans="1:14" ht="15" customHeight="1">
      <c r="A4" s="3" t="s">
        <v>233</v>
      </c>
    </row>
    <row r="5" spans="1:14" ht="16.5" customHeight="1">
      <c r="A5" s="34" t="s">
        <v>234</v>
      </c>
      <c r="B5" s="35" t="s">
        <v>85</v>
      </c>
      <c r="C5" s="35" t="s">
        <v>2</v>
      </c>
      <c r="D5" s="35" t="s">
        <v>235</v>
      </c>
      <c r="E5" s="35" t="s">
        <v>140</v>
      </c>
      <c r="F5" s="35" t="s">
        <v>236</v>
      </c>
      <c r="G5" s="35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243</v>
      </c>
      <c r="N5" s="35" t="s">
        <v>244</v>
      </c>
    </row>
    <row r="6" spans="1:14" ht="16.5" customHeight="1">
      <c r="A6" s="20">
        <v>1</v>
      </c>
      <c r="B6" s="36" t="s">
        <v>369</v>
      </c>
      <c r="C6" s="20" t="s">
        <v>21</v>
      </c>
      <c r="D6" s="26">
        <v>40</v>
      </c>
      <c r="E6" s="20">
        <v>4</v>
      </c>
      <c r="F6" s="26" t="s">
        <v>256</v>
      </c>
      <c r="G6" s="26">
        <v>40</v>
      </c>
      <c r="H6" s="26">
        <v>150</v>
      </c>
      <c r="I6" s="26">
        <f t="shared" ref="I6:I16" si="0">IF(E6=0,0,ROUND(E6*(G6+H6)/60,1))</f>
        <v>12.7</v>
      </c>
      <c r="J6" s="21" t="s">
        <v>370</v>
      </c>
      <c r="K6" s="21" t="s">
        <v>371</v>
      </c>
      <c r="L6" s="21" t="s">
        <v>372</v>
      </c>
    </row>
    <row r="7" spans="1:14" ht="16.5" customHeight="1">
      <c r="A7" s="20">
        <v>2</v>
      </c>
      <c r="B7" s="36" t="s">
        <v>373</v>
      </c>
      <c r="C7" s="20" t="s">
        <v>14</v>
      </c>
      <c r="D7" s="26">
        <v>40</v>
      </c>
      <c r="E7" s="20">
        <v>4</v>
      </c>
      <c r="F7" s="26" t="s">
        <v>251</v>
      </c>
      <c r="G7" s="26">
        <v>40</v>
      </c>
      <c r="H7" s="26">
        <v>150</v>
      </c>
      <c r="I7" s="26">
        <f t="shared" si="0"/>
        <v>12.7</v>
      </c>
      <c r="J7" s="21" t="s">
        <v>370</v>
      </c>
      <c r="K7" s="21" t="s">
        <v>374</v>
      </c>
      <c r="L7" s="21" t="s">
        <v>375</v>
      </c>
    </row>
    <row r="8" spans="1:14" ht="16.5" customHeight="1">
      <c r="A8" s="20">
        <v>3</v>
      </c>
      <c r="B8" s="36" t="s">
        <v>376</v>
      </c>
      <c r="C8" s="20" t="s">
        <v>21</v>
      </c>
      <c r="D8" s="20">
        <v>32</v>
      </c>
      <c r="E8" s="20">
        <v>4</v>
      </c>
      <c r="F8" s="26" t="s">
        <v>261</v>
      </c>
      <c r="G8" s="26">
        <v>40</v>
      </c>
      <c r="H8" s="26">
        <v>60</v>
      </c>
      <c r="I8" s="26">
        <f t="shared" si="0"/>
        <v>6.7</v>
      </c>
      <c r="J8" s="21" t="s">
        <v>377</v>
      </c>
      <c r="K8" s="21" t="s">
        <v>378</v>
      </c>
      <c r="L8" s="21" t="s">
        <v>379</v>
      </c>
    </row>
    <row r="9" spans="1:14" ht="16.5" customHeight="1">
      <c r="A9" s="20">
        <v>4</v>
      </c>
      <c r="B9" s="21" t="s">
        <v>380</v>
      </c>
      <c r="C9" s="20" t="s">
        <v>29</v>
      </c>
      <c r="D9" s="26" t="s">
        <v>261</v>
      </c>
      <c r="E9" s="20">
        <v>0</v>
      </c>
      <c r="F9" s="26" t="s">
        <v>289</v>
      </c>
      <c r="G9" s="26">
        <v>40</v>
      </c>
      <c r="H9" s="26">
        <v>70</v>
      </c>
      <c r="I9" s="26">
        <f t="shared" si="0"/>
        <v>0</v>
      </c>
      <c r="J9" s="21" t="s">
        <v>381</v>
      </c>
      <c r="K9" s="21" t="s">
        <v>382</v>
      </c>
      <c r="L9" s="21" t="s">
        <v>383</v>
      </c>
    </row>
    <row r="10" spans="1:14" ht="16.5" customHeight="1">
      <c r="A10" s="20">
        <v>5</v>
      </c>
      <c r="B10" s="21" t="s">
        <v>384</v>
      </c>
      <c r="C10" s="20" t="s">
        <v>42</v>
      </c>
      <c r="D10" s="26">
        <v>30</v>
      </c>
      <c r="E10" s="20">
        <v>4</v>
      </c>
      <c r="F10" s="26" t="s">
        <v>251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385</v>
      </c>
      <c r="L10" s="22" t="s">
        <v>386</v>
      </c>
    </row>
    <row r="11" spans="1:14" ht="16.5" customHeight="1">
      <c r="A11" s="20">
        <v>6</v>
      </c>
      <c r="B11" s="81" t="s">
        <v>387</v>
      </c>
      <c r="C11" s="20" t="s">
        <v>46</v>
      </c>
      <c r="D11" s="20">
        <v>15</v>
      </c>
      <c r="E11" s="20">
        <v>4</v>
      </c>
      <c r="F11" s="26" t="s">
        <v>274</v>
      </c>
      <c r="G11" s="26">
        <v>40</v>
      </c>
      <c r="H11" s="26">
        <v>60</v>
      </c>
      <c r="I11" s="26">
        <f t="shared" si="0"/>
        <v>6.7</v>
      </c>
      <c r="J11" s="21"/>
      <c r="K11" s="21" t="s">
        <v>388</v>
      </c>
      <c r="L11" s="21" t="s">
        <v>389</v>
      </c>
    </row>
    <row r="12" spans="1:14" ht="16.5" customHeight="1">
      <c r="A12" s="20">
        <v>7</v>
      </c>
      <c r="B12" s="81" t="s">
        <v>390</v>
      </c>
      <c r="C12" s="20" t="s">
        <v>46</v>
      </c>
      <c r="D12" s="20">
        <v>15</v>
      </c>
      <c r="E12" s="20">
        <v>4</v>
      </c>
      <c r="F12" s="26" t="s">
        <v>270</v>
      </c>
      <c r="G12" s="26">
        <v>40</v>
      </c>
      <c r="H12" s="26">
        <v>70</v>
      </c>
      <c r="I12" s="26">
        <f t="shared" si="0"/>
        <v>7.3</v>
      </c>
      <c r="J12" s="21" t="s">
        <v>391</v>
      </c>
      <c r="K12" s="21" t="s">
        <v>392</v>
      </c>
      <c r="L12" s="21" t="s">
        <v>393</v>
      </c>
    </row>
    <row r="13" spans="1:14" ht="16.5" customHeight="1">
      <c r="A13" s="20">
        <v>8</v>
      </c>
      <c r="B13" s="21" t="s">
        <v>394</v>
      </c>
      <c r="C13" s="20" t="s">
        <v>17</v>
      </c>
      <c r="D13" s="20">
        <v>20</v>
      </c>
      <c r="E13" s="20">
        <v>4</v>
      </c>
      <c r="F13" s="26" t="s">
        <v>322</v>
      </c>
      <c r="G13" s="26">
        <v>40</v>
      </c>
      <c r="H13" s="26">
        <v>90</v>
      </c>
      <c r="I13" s="26">
        <f t="shared" si="0"/>
        <v>8.6999999999999993</v>
      </c>
      <c r="J13" s="21" t="s">
        <v>395</v>
      </c>
      <c r="K13" s="21" t="s">
        <v>396</v>
      </c>
      <c r="L13" s="21" t="s">
        <v>397</v>
      </c>
    </row>
    <row r="14" spans="1:14" ht="16.5" customHeight="1">
      <c r="A14" s="20">
        <v>9</v>
      </c>
      <c r="B14" s="91" t="s">
        <v>398</v>
      </c>
      <c r="C14" s="20" t="s">
        <v>19</v>
      </c>
      <c r="D14" s="20" t="s">
        <v>399</v>
      </c>
      <c r="E14" s="20">
        <v>3</v>
      </c>
      <c r="F14" s="26" t="s">
        <v>261</v>
      </c>
      <c r="G14" s="26">
        <v>40</v>
      </c>
      <c r="H14" s="26">
        <v>60</v>
      </c>
      <c r="I14" s="26">
        <f t="shared" si="0"/>
        <v>5</v>
      </c>
      <c r="J14" s="21"/>
      <c r="K14" s="21" t="s">
        <v>400</v>
      </c>
      <c r="L14" s="21" t="s">
        <v>401</v>
      </c>
    </row>
    <row r="15" spans="1:14" ht="16.5" customHeight="1">
      <c r="A15" s="20">
        <v>10</v>
      </c>
      <c r="B15" s="85" t="s">
        <v>402</v>
      </c>
      <c r="C15" s="20" t="s">
        <v>48</v>
      </c>
      <c r="D15" s="20">
        <v>15</v>
      </c>
      <c r="E15" s="20">
        <v>3</v>
      </c>
      <c r="F15" s="26" t="s">
        <v>289</v>
      </c>
      <c r="G15" s="26">
        <v>40</v>
      </c>
      <c r="H15" s="26">
        <v>60</v>
      </c>
      <c r="I15" s="26">
        <f t="shared" si="0"/>
        <v>5</v>
      </c>
      <c r="J15" s="21"/>
      <c r="K15" s="21" t="s">
        <v>403</v>
      </c>
      <c r="L15" s="21" t="s">
        <v>404</v>
      </c>
    </row>
    <row r="16" spans="1:14" ht="15" customHeight="1">
      <c r="A16" s="20">
        <v>11</v>
      </c>
      <c r="B16" s="85" t="s">
        <v>293</v>
      </c>
      <c r="C16" s="20" t="s">
        <v>23</v>
      </c>
      <c r="D16" s="20" t="s">
        <v>255</v>
      </c>
      <c r="E16" s="20">
        <v>3</v>
      </c>
      <c r="F16" s="26" t="s">
        <v>261</v>
      </c>
      <c r="G16" s="26">
        <v>40</v>
      </c>
      <c r="H16" s="26">
        <v>60</v>
      </c>
      <c r="I16" s="26">
        <f t="shared" si="0"/>
        <v>5</v>
      </c>
      <c r="J16" s="21"/>
      <c r="K16" s="21" t="s">
        <v>294</v>
      </c>
      <c r="L16" s="21" t="s">
        <v>295</v>
      </c>
    </row>
    <row r="17" spans="2:9" ht="15" customHeight="1">
      <c r="D17" s="3" t="s">
        <v>296</v>
      </c>
      <c r="E17" s="27">
        <f>SUM(E6:E16)</f>
        <v>37</v>
      </c>
      <c r="I17">
        <f>ROUND(SUM(I6:I16),0)</f>
        <v>77</v>
      </c>
    </row>
    <row r="23" spans="2:9">
      <c r="B23" s="83"/>
    </row>
  </sheetData>
  <phoneticPr fontId="32" type="noConversion"/>
  <conditionalFormatting sqref="A6:N16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405</v>
      </c>
    </row>
    <row r="2" spans="1:3" ht="16.5" customHeight="1">
      <c r="A2" s="18" t="s">
        <v>406</v>
      </c>
    </row>
    <row r="4" spans="1:3" ht="16.5" customHeight="1">
      <c r="A4" s="3" t="s">
        <v>407</v>
      </c>
    </row>
    <row r="5" spans="1:3" ht="16.5" customHeight="1">
      <c r="A5" s="19" t="s">
        <v>235</v>
      </c>
      <c r="B5" s="19" t="s">
        <v>301</v>
      </c>
      <c r="C5" s="19" t="s">
        <v>140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302</v>
      </c>
    </row>
    <row r="13" spans="1:3" ht="16.5" customHeight="1">
      <c r="A13" s="3" t="s">
        <v>303</v>
      </c>
    </row>
    <row r="14" spans="1:3" ht="16.5" customHeight="1">
      <c r="A14" s="31" t="s">
        <v>304</v>
      </c>
    </row>
    <row r="15" spans="1:3" ht="16.5" customHeight="1">
      <c r="A15" s="31" t="s">
        <v>305</v>
      </c>
    </row>
    <row r="16" spans="1:3" ht="16.5" customHeight="1">
      <c r="A16" s="31" t="s">
        <v>306</v>
      </c>
    </row>
    <row r="18" spans="1:14" ht="15" customHeight="1">
      <c r="A18" s="3" t="s">
        <v>233</v>
      </c>
    </row>
    <row r="19" spans="1:14" ht="16.5" customHeight="1">
      <c r="A19" s="34" t="s">
        <v>234</v>
      </c>
      <c r="B19" s="35" t="s">
        <v>85</v>
      </c>
      <c r="C19" s="35" t="s">
        <v>2</v>
      </c>
      <c r="D19" s="35" t="s">
        <v>235</v>
      </c>
      <c r="E19" s="35" t="s">
        <v>140</v>
      </c>
      <c r="F19" s="35" t="s">
        <v>236</v>
      </c>
      <c r="G19" s="35" t="s">
        <v>237</v>
      </c>
      <c r="H19" s="35" t="s">
        <v>238</v>
      </c>
      <c r="I19" s="35" t="s">
        <v>239</v>
      </c>
      <c r="J19" s="35" t="s">
        <v>240</v>
      </c>
      <c r="K19" s="35" t="s">
        <v>241</v>
      </c>
      <c r="L19" s="35" t="s">
        <v>242</v>
      </c>
      <c r="M19" s="35" t="s">
        <v>243</v>
      </c>
      <c r="N19" s="35" t="s">
        <v>244</v>
      </c>
    </row>
    <row r="20" spans="1:14" ht="16.5" customHeight="1">
      <c r="A20" s="40">
        <v>1</v>
      </c>
      <c r="B20" s="39" t="s">
        <v>408</v>
      </c>
      <c r="C20" s="40" t="s">
        <v>25</v>
      </c>
      <c r="D20" s="41">
        <f>시작중량_설정!$E$10</f>
        <v>23.75</v>
      </c>
      <c r="E20" s="40">
        <v>3</v>
      </c>
      <c r="F20" s="38" t="s">
        <v>156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409</v>
      </c>
      <c r="K20" s="39" t="s">
        <v>410</v>
      </c>
      <c r="L20" s="39" t="s">
        <v>411</v>
      </c>
      <c r="M20" s="38" t="s">
        <v>412</v>
      </c>
    </row>
    <row r="21" spans="1:14" ht="16.5" customHeight="1">
      <c r="A21" s="20">
        <v>2</v>
      </c>
      <c r="B21" s="21" t="s">
        <v>413</v>
      </c>
      <c r="C21" s="20" t="s">
        <v>25</v>
      </c>
      <c r="D21" s="20">
        <v>25</v>
      </c>
      <c r="E21" s="20">
        <v>3</v>
      </c>
      <c r="F21" s="26" t="s">
        <v>289</v>
      </c>
      <c r="G21" s="26">
        <v>40</v>
      </c>
      <c r="H21" s="26">
        <v>120</v>
      </c>
      <c r="I21" s="26">
        <f t="shared" si="0"/>
        <v>8</v>
      </c>
      <c r="J21" s="21" t="s">
        <v>414</v>
      </c>
      <c r="K21" s="21" t="s">
        <v>415</v>
      </c>
      <c r="L21" s="21" t="s">
        <v>416</v>
      </c>
    </row>
    <row r="22" spans="1:14" ht="16.5" customHeight="1">
      <c r="A22" s="20">
        <v>3</v>
      </c>
      <c r="B22" s="36" t="s">
        <v>398</v>
      </c>
      <c r="C22" s="20" t="s">
        <v>19</v>
      </c>
      <c r="D22" s="20">
        <v>20</v>
      </c>
      <c r="E22" s="20">
        <v>3</v>
      </c>
      <c r="F22" s="26" t="s">
        <v>261</v>
      </c>
      <c r="G22" s="26">
        <v>40</v>
      </c>
      <c r="H22" s="26">
        <v>60</v>
      </c>
      <c r="I22" s="26">
        <f t="shared" si="0"/>
        <v>5</v>
      </c>
      <c r="J22" s="21" t="s">
        <v>257</v>
      </c>
      <c r="K22" s="21" t="s">
        <v>417</v>
      </c>
      <c r="L22" s="21" t="s">
        <v>418</v>
      </c>
    </row>
    <row r="23" spans="1:14" ht="16.5" customHeight="1">
      <c r="A23" s="20">
        <v>4</v>
      </c>
      <c r="B23" s="21" t="s">
        <v>419</v>
      </c>
      <c r="C23" s="20" t="s">
        <v>12</v>
      </c>
      <c r="D23" s="26">
        <v>25</v>
      </c>
      <c r="E23" s="20">
        <v>3</v>
      </c>
      <c r="F23" s="26" t="s">
        <v>251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420</v>
      </c>
      <c r="L23" s="21" t="s">
        <v>421</v>
      </c>
    </row>
    <row r="24" spans="1:14" ht="16.5" customHeight="1">
      <c r="A24" s="20">
        <v>5</v>
      </c>
      <c r="B24" s="21" t="s">
        <v>422</v>
      </c>
      <c r="C24" s="20" t="s">
        <v>9</v>
      </c>
      <c r="D24" s="26">
        <v>35</v>
      </c>
      <c r="E24" s="20">
        <v>6</v>
      </c>
      <c r="F24" s="26" t="s">
        <v>256</v>
      </c>
      <c r="G24" s="26">
        <v>40</v>
      </c>
      <c r="H24" s="26">
        <v>150</v>
      </c>
      <c r="I24" s="26">
        <f t="shared" si="0"/>
        <v>19</v>
      </c>
      <c r="J24" s="21" t="s">
        <v>308</v>
      </c>
      <c r="K24" s="21" t="s">
        <v>423</v>
      </c>
      <c r="L24" s="21" t="s">
        <v>424</v>
      </c>
    </row>
    <row r="25" spans="1:14" ht="16.5" customHeight="1">
      <c r="A25" s="20">
        <v>6</v>
      </c>
      <c r="B25" s="21" t="s">
        <v>425</v>
      </c>
      <c r="C25" s="20" t="s">
        <v>12</v>
      </c>
      <c r="D25" s="26" t="s">
        <v>426</v>
      </c>
      <c r="E25" s="20">
        <v>3</v>
      </c>
      <c r="F25" s="26" t="s">
        <v>322</v>
      </c>
      <c r="G25" s="26">
        <v>40</v>
      </c>
      <c r="H25" s="26">
        <v>90</v>
      </c>
      <c r="I25" s="26">
        <f t="shared" si="0"/>
        <v>6.5</v>
      </c>
      <c r="J25" s="21" t="s">
        <v>25</v>
      </c>
      <c r="K25" s="21" t="s">
        <v>427</v>
      </c>
      <c r="L25" s="21" t="s">
        <v>428</v>
      </c>
    </row>
    <row r="26" spans="1:14" ht="16.5" customHeight="1">
      <c r="A26" s="20">
        <v>7</v>
      </c>
      <c r="B26" s="21" t="s">
        <v>429</v>
      </c>
      <c r="C26" s="20" t="s">
        <v>29</v>
      </c>
      <c r="D26" s="26">
        <v>15</v>
      </c>
      <c r="E26" s="20">
        <v>3</v>
      </c>
      <c r="F26" s="26" t="s">
        <v>261</v>
      </c>
      <c r="G26" s="26">
        <v>40</v>
      </c>
      <c r="H26" s="26">
        <v>70</v>
      </c>
      <c r="I26" s="26">
        <f t="shared" si="0"/>
        <v>5.5</v>
      </c>
      <c r="J26" s="21"/>
      <c r="K26" s="21" t="s">
        <v>430</v>
      </c>
      <c r="L26" s="21" t="s">
        <v>431</v>
      </c>
    </row>
    <row r="27" spans="1:14" ht="16.5" customHeight="1">
      <c r="A27" s="20">
        <v>8</v>
      </c>
      <c r="B27" s="21" t="s">
        <v>432</v>
      </c>
      <c r="C27" s="20" t="s">
        <v>27</v>
      </c>
      <c r="D27" s="26">
        <v>5</v>
      </c>
      <c r="E27" s="20">
        <v>3</v>
      </c>
      <c r="F27" s="26" t="s">
        <v>322</v>
      </c>
      <c r="G27" s="26">
        <v>70</v>
      </c>
      <c r="H27" s="26">
        <v>70</v>
      </c>
      <c r="I27" s="26">
        <f t="shared" si="0"/>
        <v>7</v>
      </c>
      <c r="J27" s="21"/>
      <c r="K27" s="21" t="s">
        <v>433</v>
      </c>
      <c r="L27" s="21" t="s">
        <v>434</v>
      </c>
    </row>
    <row r="28" spans="1:14" ht="15" customHeight="1">
      <c r="A28" s="20">
        <v>9</v>
      </c>
      <c r="B28" s="21" t="s">
        <v>435</v>
      </c>
      <c r="C28" s="20" t="s">
        <v>19</v>
      </c>
      <c r="D28" s="26" t="s">
        <v>436</v>
      </c>
      <c r="E28" s="20">
        <v>3</v>
      </c>
      <c r="F28" s="26" t="s">
        <v>261</v>
      </c>
      <c r="G28" s="26">
        <v>40</v>
      </c>
      <c r="H28" s="26">
        <v>60</v>
      </c>
      <c r="I28" s="26">
        <f t="shared" si="0"/>
        <v>5</v>
      </c>
      <c r="J28" s="21" t="s">
        <v>377</v>
      </c>
      <c r="K28" s="21" t="s">
        <v>437</v>
      </c>
      <c r="L28" s="21" t="s">
        <v>438</v>
      </c>
    </row>
    <row r="29" spans="1:14" ht="15" customHeight="1">
      <c r="A29" s="20">
        <v>10</v>
      </c>
      <c r="B29" s="21" t="s">
        <v>439</v>
      </c>
      <c r="C29" s="20" t="s">
        <v>44</v>
      </c>
      <c r="D29" s="26">
        <v>15</v>
      </c>
      <c r="E29" s="20">
        <v>4</v>
      </c>
      <c r="F29" s="26" t="s">
        <v>251</v>
      </c>
      <c r="G29" s="26">
        <v>40</v>
      </c>
      <c r="H29" s="26">
        <v>75</v>
      </c>
      <c r="I29" s="26">
        <f t="shared" si="0"/>
        <v>7.7</v>
      </c>
      <c r="J29" s="21"/>
      <c r="K29" s="21" t="s">
        <v>440</v>
      </c>
      <c r="L29" s="21" t="s">
        <v>441</v>
      </c>
    </row>
    <row r="30" spans="1:14">
      <c r="A30" s="20"/>
      <c r="B30" s="21"/>
      <c r="C30" s="20"/>
      <c r="D30" s="26" t="s">
        <v>296</v>
      </c>
      <c r="E30" s="20">
        <f>SUM(E20:E29)</f>
        <v>34</v>
      </c>
      <c r="F30" s="26"/>
      <c r="G30" s="26"/>
      <c r="H30" s="26"/>
      <c r="I30" s="26">
        <f>ROUND(SUM(I20:I29),0)</f>
        <v>84</v>
      </c>
      <c r="J30" s="21"/>
      <c r="K30" s="21"/>
      <c r="L30" s="21"/>
    </row>
    <row r="31" spans="1:14" ht="16.5" customHeight="1">
      <c r="A31" s="3" t="s">
        <v>442</v>
      </c>
    </row>
    <row r="32" spans="1:14" ht="16.5" customHeight="1">
      <c r="A32" s="31" t="s">
        <v>443</v>
      </c>
    </row>
    <row r="33" spans="1:1" ht="16.5" customHeight="1">
      <c r="A33" s="31" t="s">
        <v>444</v>
      </c>
    </row>
    <row r="34" spans="1:1" ht="16.5" customHeight="1">
      <c r="A34" s="31" t="s">
        <v>445</v>
      </c>
    </row>
    <row r="35" spans="1:1" ht="16.5" customHeight="1">
      <c r="A35" s="31" t="s">
        <v>446</v>
      </c>
    </row>
    <row r="36" spans="1:1" ht="16.5" customHeight="1">
      <c r="A36" s="31" t="s">
        <v>447</v>
      </c>
    </row>
    <row r="37" spans="1:1" ht="16.5" customHeight="1">
      <c r="A37" s="31" t="s">
        <v>448</v>
      </c>
    </row>
    <row r="38" spans="1:1" ht="16.5" customHeight="1">
      <c r="A38" s="31" t="s">
        <v>449</v>
      </c>
    </row>
  </sheetData>
  <phoneticPr fontId="32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450</v>
      </c>
    </row>
    <row r="2" spans="1:14" ht="16.5" customHeight="1">
      <c r="A2" s="18" t="s">
        <v>451</v>
      </c>
    </row>
    <row r="4" spans="1:14" ht="16.5" customHeight="1">
      <c r="A4" s="3" t="s">
        <v>452</v>
      </c>
    </row>
    <row r="5" spans="1:14" ht="16.5" customHeight="1">
      <c r="A5" s="19" t="s">
        <v>235</v>
      </c>
      <c r="B5" s="19" t="s">
        <v>301</v>
      </c>
      <c r="C5" s="19" t="s">
        <v>140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302</v>
      </c>
    </row>
    <row r="13" spans="1:14" ht="15" customHeight="1">
      <c r="A13" s="3" t="s">
        <v>233</v>
      </c>
    </row>
    <row r="14" spans="1:14" ht="16.5" customHeight="1">
      <c r="A14" s="34" t="s">
        <v>234</v>
      </c>
      <c r="B14" s="35" t="s">
        <v>85</v>
      </c>
      <c r="C14" s="35" t="s">
        <v>2</v>
      </c>
      <c r="D14" s="35" t="s">
        <v>235</v>
      </c>
      <c r="E14" s="35" t="s">
        <v>140</v>
      </c>
      <c r="F14" s="35" t="s">
        <v>236</v>
      </c>
      <c r="G14" s="35" t="s">
        <v>237</v>
      </c>
      <c r="H14" s="35" t="s">
        <v>238</v>
      </c>
      <c r="I14" s="35" t="s">
        <v>239</v>
      </c>
      <c r="J14" s="35" t="s">
        <v>240</v>
      </c>
      <c r="K14" s="35" t="s">
        <v>241</v>
      </c>
      <c r="L14" s="35" t="s">
        <v>242</v>
      </c>
      <c r="M14" s="35" t="s">
        <v>243</v>
      </c>
      <c r="N14" s="35" t="s">
        <v>244</v>
      </c>
    </row>
    <row r="15" spans="1:14" ht="16.5" customHeight="1">
      <c r="A15" s="40">
        <v>1</v>
      </c>
      <c r="B15" s="39" t="s">
        <v>453</v>
      </c>
      <c r="C15" s="40" t="s">
        <v>23</v>
      </c>
      <c r="D15" s="41">
        <f>시작중량_설정!$E$8</f>
        <v>57.5</v>
      </c>
      <c r="E15" s="40">
        <v>1</v>
      </c>
      <c r="F15" s="38" t="s">
        <v>156</v>
      </c>
      <c r="G15" s="38">
        <v>35</v>
      </c>
      <c r="H15" s="38">
        <v>240</v>
      </c>
      <c r="I15" s="38">
        <f t="shared" ref="I15:I23" si="0">IF(E15=0,0,ROUND(E15*(G15+H15)/60,1))</f>
        <v>4.5999999999999996</v>
      </c>
      <c r="J15" s="39" t="s">
        <v>454</v>
      </c>
      <c r="K15" s="39" t="s">
        <v>455</v>
      </c>
      <c r="L15" s="39" t="s">
        <v>456</v>
      </c>
    </row>
    <row r="16" spans="1:14" ht="16.5" customHeight="1">
      <c r="A16" s="40">
        <v>2</v>
      </c>
      <c r="B16" s="39" t="s">
        <v>457</v>
      </c>
      <c r="C16" s="40" t="s">
        <v>23</v>
      </c>
      <c r="D16" s="41">
        <f>시작중량_설정!$E$8-증량기록!$C$5</f>
        <v>52.5</v>
      </c>
      <c r="E16" s="40">
        <v>2</v>
      </c>
      <c r="F16" s="38" t="s">
        <v>156</v>
      </c>
      <c r="G16" s="38">
        <v>35</v>
      </c>
      <c r="H16" s="38">
        <v>180</v>
      </c>
      <c r="I16" s="38">
        <f t="shared" si="0"/>
        <v>7.2</v>
      </c>
      <c r="J16" s="39" t="s">
        <v>454</v>
      </c>
      <c r="K16" s="39" t="s">
        <v>458</v>
      </c>
      <c r="L16" s="39" t="s">
        <v>456</v>
      </c>
    </row>
    <row r="17" spans="1:12" ht="16.5" customHeight="1">
      <c r="A17" s="20">
        <v>3</v>
      </c>
      <c r="B17" s="21" t="s">
        <v>459</v>
      </c>
      <c r="C17" s="20" t="s">
        <v>36</v>
      </c>
      <c r="D17" s="26">
        <v>25</v>
      </c>
      <c r="E17" s="20">
        <v>4</v>
      </c>
      <c r="F17" s="26" t="s">
        <v>251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460</v>
      </c>
      <c r="L17" s="21" t="s">
        <v>461</v>
      </c>
    </row>
    <row r="18" spans="1:12" ht="16.5" customHeight="1">
      <c r="A18" s="20">
        <v>4</v>
      </c>
      <c r="B18" s="21" t="s">
        <v>462</v>
      </c>
      <c r="C18" s="20" t="s">
        <v>34</v>
      </c>
      <c r="D18" s="20">
        <v>35</v>
      </c>
      <c r="E18" s="20">
        <v>3</v>
      </c>
      <c r="F18" s="26" t="s">
        <v>167</v>
      </c>
      <c r="G18" s="26">
        <v>40</v>
      </c>
      <c r="H18" s="26">
        <v>150</v>
      </c>
      <c r="I18" s="26">
        <f t="shared" si="0"/>
        <v>9.5</v>
      </c>
      <c r="J18" s="21" t="s">
        <v>340</v>
      </c>
      <c r="K18" s="21" t="s">
        <v>463</v>
      </c>
      <c r="L18" s="21" t="s">
        <v>464</v>
      </c>
    </row>
    <row r="19" spans="1:12" ht="16.5" customHeight="1">
      <c r="A19" s="20">
        <v>5</v>
      </c>
      <c r="B19" s="21" t="s">
        <v>465</v>
      </c>
      <c r="C19" s="20" t="s">
        <v>34</v>
      </c>
      <c r="D19" s="26">
        <v>15</v>
      </c>
      <c r="E19" s="20">
        <v>3</v>
      </c>
      <c r="F19" s="26" t="s">
        <v>285</v>
      </c>
      <c r="G19" s="26">
        <v>80</v>
      </c>
      <c r="H19" s="26">
        <v>120</v>
      </c>
      <c r="I19" s="26">
        <f t="shared" si="0"/>
        <v>10</v>
      </c>
      <c r="J19" s="21"/>
      <c r="K19" s="21" t="s">
        <v>466</v>
      </c>
      <c r="L19" s="21" t="s">
        <v>467</v>
      </c>
    </row>
    <row r="20" spans="1:12" ht="16.5" customHeight="1">
      <c r="A20" s="20">
        <v>6</v>
      </c>
      <c r="B20" s="21" t="s">
        <v>468</v>
      </c>
      <c r="C20" s="20" t="s">
        <v>31</v>
      </c>
      <c r="D20" s="26">
        <v>42</v>
      </c>
      <c r="E20" s="20">
        <v>4</v>
      </c>
      <c r="F20" s="26" t="s">
        <v>322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469</v>
      </c>
      <c r="L20" s="21" t="s">
        <v>470</v>
      </c>
    </row>
    <row r="21" spans="1:12" ht="16.5" customHeight="1">
      <c r="A21" s="20">
        <v>7</v>
      </c>
      <c r="B21" s="21" t="s">
        <v>344</v>
      </c>
      <c r="C21" s="20" t="s">
        <v>31</v>
      </c>
      <c r="D21" s="26">
        <f>D3_하체A!D16</f>
        <v>120</v>
      </c>
      <c r="E21" s="20">
        <v>3</v>
      </c>
      <c r="F21" s="26" t="s">
        <v>251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471</v>
      </c>
      <c r="L21" s="21" t="s">
        <v>472</v>
      </c>
    </row>
    <row r="22" spans="1:12" ht="16.5" customHeight="1">
      <c r="A22" s="20">
        <v>8</v>
      </c>
      <c r="B22" s="21" t="s">
        <v>473</v>
      </c>
      <c r="C22" s="20" t="s">
        <v>40</v>
      </c>
      <c r="D22" s="26">
        <v>8</v>
      </c>
      <c r="E22" s="20">
        <v>4</v>
      </c>
      <c r="F22" s="26" t="s">
        <v>261</v>
      </c>
      <c r="G22" s="26">
        <v>40</v>
      </c>
      <c r="H22" s="26">
        <v>75</v>
      </c>
      <c r="I22" s="26">
        <f t="shared" si="0"/>
        <v>7.7</v>
      </c>
      <c r="J22" s="21"/>
      <c r="K22" s="21" t="s">
        <v>474</v>
      </c>
      <c r="L22" s="21" t="s">
        <v>475</v>
      </c>
    </row>
    <row r="23" spans="1:12" ht="16.5" customHeight="1">
      <c r="A23" s="20">
        <v>9</v>
      </c>
      <c r="B23" s="21" t="s">
        <v>476</v>
      </c>
      <c r="C23" s="20" t="s">
        <v>38</v>
      </c>
      <c r="D23" s="26">
        <v>15</v>
      </c>
      <c r="E23" s="20">
        <v>3</v>
      </c>
      <c r="F23" s="26" t="s">
        <v>281</v>
      </c>
      <c r="G23" s="26">
        <v>80</v>
      </c>
      <c r="H23" s="26">
        <v>75</v>
      </c>
      <c r="I23" s="26">
        <f t="shared" si="0"/>
        <v>7.8</v>
      </c>
      <c r="J23" s="21"/>
      <c r="K23" s="21" t="s">
        <v>477</v>
      </c>
      <c r="L23" s="21" t="s">
        <v>478</v>
      </c>
    </row>
    <row r="24" spans="1:12" ht="15" customHeight="1">
      <c r="D24" s="3" t="s">
        <v>296</v>
      </c>
      <c r="E24" s="27">
        <f>SUM(E15:E23)</f>
        <v>27</v>
      </c>
      <c r="I24">
        <f>ROUND(SUM(I15:I23),0)</f>
        <v>80</v>
      </c>
    </row>
    <row r="34" spans="2:2">
      <c r="B34" s="83"/>
    </row>
  </sheetData>
  <phoneticPr fontId="32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479</v>
      </c>
    </row>
    <row r="2" spans="1:14" ht="16.5" customHeight="1">
      <c r="A2" s="18" t="s">
        <v>480</v>
      </c>
    </row>
    <row r="3" spans="1:14" ht="30" customHeight="1">
      <c r="A3" s="33" t="s">
        <v>481</v>
      </c>
    </row>
    <row r="4" spans="1:14" ht="15" customHeight="1">
      <c r="A4" s="3" t="s">
        <v>233</v>
      </c>
    </row>
    <row r="5" spans="1:14" ht="16.5" customHeight="1">
      <c r="A5" s="34" t="s">
        <v>234</v>
      </c>
      <c r="B5" s="35" t="s">
        <v>85</v>
      </c>
      <c r="C5" s="35" t="s">
        <v>2</v>
      </c>
      <c r="D5" s="35" t="s">
        <v>235</v>
      </c>
      <c r="E5" s="35" t="s">
        <v>140</v>
      </c>
      <c r="F5" s="35" t="s">
        <v>236</v>
      </c>
      <c r="G5" s="35" t="s">
        <v>237</v>
      </c>
      <c r="H5" s="35" t="s">
        <v>238</v>
      </c>
      <c r="I5" s="35" t="s">
        <v>239</v>
      </c>
      <c r="J5" s="35" t="s">
        <v>240</v>
      </c>
      <c r="K5" s="35" t="s">
        <v>241</v>
      </c>
      <c r="L5" s="35" t="s">
        <v>242</v>
      </c>
      <c r="M5" s="35" t="s">
        <v>243</v>
      </c>
      <c r="N5" s="35" t="s">
        <v>244</v>
      </c>
    </row>
    <row r="6" spans="1:14" ht="16.5" customHeight="1">
      <c r="A6" s="20">
        <v>1</v>
      </c>
      <c r="B6" s="81" t="s">
        <v>482</v>
      </c>
      <c r="C6" s="20" t="s">
        <v>27</v>
      </c>
      <c r="D6" s="20">
        <v>10</v>
      </c>
      <c r="E6" s="20">
        <v>3</v>
      </c>
      <c r="F6" s="26" t="s">
        <v>261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483</v>
      </c>
      <c r="L6" s="21" t="s">
        <v>484</v>
      </c>
    </row>
    <row r="7" spans="1:14" ht="16.5" customHeight="1">
      <c r="A7" s="20">
        <v>2</v>
      </c>
      <c r="B7" s="81" t="s">
        <v>485</v>
      </c>
      <c r="C7" s="20" t="s">
        <v>27</v>
      </c>
      <c r="D7" s="20">
        <v>5</v>
      </c>
      <c r="E7" s="20">
        <v>3</v>
      </c>
      <c r="F7" s="26" t="s">
        <v>261</v>
      </c>
      <c r="G7" s="26">
        <v>80</v>
      </c>
      <c r="H7" s="26">
        <v>70</v>
      </c>
      <c r="I7" s="26">
        <f t="shared" si="0"/>
        <v>7.5</v>
      </c>
      <c r="J7" s="21"/>
      <c r="K7" s="21" t="s">
        <v>486</v>
      </c>
      <c r="L7" s="21" t="s">
        <v>487</v>
      </c>
    </row>
    <row r="8" spans="1:14" ht="16.5" customHeight="1">
      <c r="A8" s="20">
        <v>3</v>
      </c>
      <c r="B8" s="81" t="s">
        <v>488</v>
      </c>
      <c r="C8" s="20" t="s">
        <v>27</v>
      </c>
      <c r="D8" s="20">
        <v>15</v>
      </c>
      <c r="E8" s="20">
        <v>3</v>
      </c>
      <c r="F8" s="26" t="s">
        <v>261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489</v>
      </c>
      <c r="L8" s="21" t="s">
        <v>490</v>
      </c>
    </row>
    <row r="9" spans="1:14" ht="16.5" customHeight="1">
      <c r="A9" s="20">
        <v>4</v>
      </c>
      <c r="B9" s="81" t="s">
        <v>380</v>
      </c>
      <c r="C9" s="20" t="s">
        <v>29</v>
      </c>
      <c r="D9" s="20" t="s">
        <v>261</v>
      </c>
      <c r="E9" s="20">
        <v>3</v>
      </c>
      <c r="F9" s="26" t="s">
        <v>261</v>
      </c>
      <c r="G9" s="26">
        <v>40</v>
      </c>
      <c r="H9" s="26">
        <v>70</v>
      </c>
      <c r="I9" s="26">
        <f t="shared" si="0"/>
        <v>5.5</v>
      </c>
      <c r="J9" s="21" t="s">
        <v>381</v>
      </c>
      <c r="K9" s="21" t="s">
        <v>491</v>
      </c>
      <c r="L9" s="21" t="s">
        <v>492</v>
      </c>
    </row>
    <row r="10" spans="1:14" ht="16.5" customHeight="1">
      <c r="A10" s="20">
        <v>5</v>
      </c>
      <c r="B10" s="81" t="s">
        <v>493</v>
      </c>
      <c r="C10" s="20" t="s">
        <v>29</v>
      </c>
      <c r="D10" s="20">
        <v>5</v>
      </c>
      <c r="E10" s="20">
        <v>3</v>
      </c>
      <c r="F10" s="26" t="s">
        <v>261</v>
      </c>
      <c r="G10" s="26">
        <v>40</v>
      </c>
      <c r="H10" s="26">
        <v>70</v>
      </c>
      <c r="I10" s="26">
        <f t="shared" si="0"/>
        <v>5.5</v>
      </c>
      <c r="J10" s="21"/>
      <c r="K10" s="21" t="s">
        <v>494</v>
      </c>
      <c r="L10" s="21" t="s">
        <v>495</v>
      </c>
    </row>
    <row r="11" spans="1:14" ht="16.5" customHeight="1">
      <c r="A11" s="20">
        <v>6</v>
      </c>
      <c r="B11" s="81" t="s">
        <v>496</v>
      </c>
      <c r="C11" s="20" t="s">
        <v>29</v>
      </c>
      <c r="D11" s="20">
        <v>20</v>
      </c>
      <c r="E11" s="20">
        <v>3</v>
      </c>
      <c r="F11" s="26" t="s">
        <v>261</v>
      </c>
      <c r="G11" s="26">
        <v>40</v>
      </c>
      <c r="H11" s="26">
        <v>80</v>
      </c>
      <c r="I11" s="26">
        <f t="shared" si="0"/>
        <v>6</v>
      </c>
      <c r="J11" s="21" t="s">
        <v>381</v>
      </c>
      <c r="K11" s="21" t="s">
        <v>497</v>
      </c>
      <c r="L11" s="21" t="s">
        <v>498</v>
      </c>
    </row>
    <row r="12" spans="1:14" ht="16.5" customHeight="1">
      <c r="A12" s="20">
        <v>7</v>
      </c>
      <c r="B12" s="81" t="s">
        <v>413</v>
      </c>
      <c r="C12" s="20" t="s">
        <v>25</v>
      </c>
      <c r="D12" s="20" t="s">
        <v>499</v>
      </c>
      <c r="E12" s="20">
        <v>3</v>
      </c>
      <c r="F12" s="26" t="s">
        <v>289</v>
      </c>
      <c r="G12" s="26">
        <v>40</v>
      </c>
      <c r="H12" s="26">
        <v>120</v>
      </c>
      <c r="I12" s="26">
        <f t="shared" si="0"/>
        <v>8</v>
      </c>
      <c r="J12" s="21" t="s">
        <v>409</v>
      </c>
      <c r="K12" s="21" t="s">
        <v>500</v>
      </c>
      <c r="L12" s="21" t="s">
        <v>501</v>
      </c>
    </row>
    <row r="13" spans="1:14" ht="16.5" customHeight="1">
      <c r="A13" s="20">
        <v>8</v>
      </c>
      <c r="B13" s="81" t="s">
        <v>435</v>
      </c>
      <c r="C13" s="20" t="s">
        <v>19</v>
      </c>
      <c r="D13" s="20" t="s">
        <v>436</v>
      </c>
      <c r="E13" s="20">
        <v>3</v>
      </c>
      <c r="F13" s="26" t="s">
        <v>261</v>
      </c>
      <c r="G13" s="26">
        <v>40</v>
      </c>
      <c r="H13" s="26">
        <v>60</v>
      </c>
      <c r="I13" s="26">
        <f t="shared" si="0"/>
        <v>5</v>
      </c>
      <c r="J13" s="21" t="s">
        <v>29</v>
      </c>
      <c r="K13" s="21" t="s">
        <v>502</v>
      </c>
      <c r="L13" s="21" t="s">
        <v>503</v>
      </c>
    </row>
    <row r="14" spans="1:14" ht="16.5" customHeight="1">
      <c r="A14" s="20">
        <v>9</v>
      </c>
      <c r="B14" s="81" t="s">
        <v>354</v>
      </c>
      <c r="C14" s="20" t="s">
        <v>50</v>
      </c>
      <c r="D14" s="20" t="s">
        <v>504</v>
      </c>
      <c r="E14" s="20">
        <v>5</v>
      </c>
      <c r="F14" s="26" t="s">
        <v>261</v>
      </c>
      <c r="G14" s="26">
        <v>40</v>
      </c>
      <c r="H14" s="26">
        <v>10</v>
      </c>
      <c r="I14" s="26">
        <f t="shared" si="0"/>
        <v>4.2</v>
      </c>
      <c r="J14" s="21"/>
      <c r="K14" s="21" t="s">
        <v>505</v>
      </c>
      <c r="L14" s="21" t="s">
        <v>506</v>
      </c>
      <c r="N14" t="s">
        <v>357</v>
      </c>
    </row>
    <row r="15" spans="1:14" ht="16.5" customHeight="1">
      <c r="A15" s="20">
        <v>10</v>
      </c>
      <c r="B15" s="81" t="s">
        <v>358</v>
      </c>
      <c r="C15" s="20" t="s">
        <v>38</v>
      </c>
      <c r="D15" s="20" t="s">
        <v>266</v>
      </c>
      <c r="E15" s="20">
        <v>5</v>
      </c>
      <c r="F15" s="26" t="s">
        <v>261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507</v>
      </c>
      <c r="L15" s="21" t="s">
        <v>508</v>
      </c>
      <c r="N15" t="s">
        <v>357</v>
      </c>
    </row>
    <row r="16" spans="1:14" ht="16.5" customHeight="1">
      <c r="A16" s="20">
        <v>11</v>
      </c>
      <c r="B16" s="81" t="s">
        <v>473</v>
      </c>
      <c r="C16" s="20" t="s">
        <v>40</v>
      </c>
      <c r="D16" s="20" t="s">
        <v>167</v>
      </c>
      <c r="E16" s="20">
        <v>2</v>
      </c>
      <c r="F16" s="26" t="s">
        <v>261</v>
      </c>
      <c r="G16" s="26">
        <v>40</v>
      </c>
      <c r="H16" s="26">
        <v>75</v>
      </c>
      <c r="I16" s="26">
        <f t="shared" si="0"/>
        <v>3.8</v>
      </c>
      <c r="J16" s="21"/>
      <c r="K16" s="21" t="s">
        <v>509</v>
      </c>
      <c r="L16" s="21" t="s">
        <v>510</v>
      </c>
    </row>
    <row r="17" spans="1:12" ht="16.5" customHeight="1">
      <c r="A17" s="20">
        <v>12</v>
      </c>
      <c r="B17" s="81" t="s">
        <v>511</v>
      </c>
      <c r="C17" s="20" t="s">
        <v>42</v>
      </c>
      <c r="D17" s="20">
        <v>6</v>
      </c>
      <c r="E17" s="20">
        <v>4</v>
      </c>
      <c r="F17" s="26" t="s">
        <v>251</v>
      </c>
      <c r="G17" s="26">
        <v>40</v>
      </c>
      <c r="H17" s="26">
        <v>70</v>
      </c>
      <c r="I17" s="26">
        <f t="shared" si="0"/>
        <v>7.3</v>
      </c>
      <c r="J17" s="21" t="s">
        <v>46</v>
      </c>
      <c r="K17" s="21" t="s">
        <v>512</v>
      </c>
      <c r="L17" s="21" t="s">
        <v>513</v>
      </c>
    </row>
    <row r="18" spans="1:12" ht="16.5" customHeight="1">
      <c r="D18" s="3" t="s">
        <v>296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514</v>
      </c>
    </row>
    <row r="21" spans="1:12" ht="16.5" customHeight="1">
      <c r="A21" s="31" t="s">
        <v>515</v>
      </c>
    </row>
    <row r="22" spans="1:12" ht="16.5" customHeight="1">
      <c r="A22" s="31" t="s">
        <v>516</v>
      </c>
    </row>
    <row r="23" spans="1:12" ht="16.5" customHeight="1">
      <c r="A23" s="31" t="s">
        <v>517</v>
      </c>
    </row>
    <row r="24" spans="1:12" ht="16.5" customHeight="1">
      <c r="A24" s="31" t="s">
        <v>518</v>
      </c>
    </row>
    <row r="25" spans="1:12" ht="16.5" customHeight="1">
      <c r="A25" s="3" t="s">
        <v>519</v>
      </c>
    </row>
    <row r="26" spans="1:12" ht="16.5" customHeight="1">
      <c r="A26" s="31" t="s">
        <v>520</v>
      </c>
    </row>
    <row r="27" spans="1:12" ht="16.5" customHeight="1">
      <c r="A27" s="31" t="s">
        <v>521</v>
      </c>
    </row>
    <row r="28" spans="1:12" ht="16.5" customHeight="1">
      <c r="A28" s="3" t="s">
        <v>522</v>
      </c>
    </row>
    <row r="29" spans="1:12" ht="16.5" customHeight="1">
      <c r="A29" s="31" t="s">
        <v>523</v>
      </c>
    </row>
    <row r="30" spans="1:12" ht="16.5" customHeight="1">
      <c r="A30" s="31" t="s">
        <v>524</v>
      </c>
    </row>
    <row r="31" spans="1:12" ht="16.5" customHeight="1">
      <c r="A31" s="31" t="s">
        <v>525</v>
      </c>
    </row>
    <row r="32" spans="1:12" ht="16.5" customHeight="1">
      <c r="A32" s="31" t="s">
        <v>526</v>
      </c>
    </row>
    <row r="33" spans="1:1" ht="16.5" customHeight="1">
      <c r="A33" s="3" t="s">
        <v>527</v>
      </c>
    </row>
    <row r="34" spans="1:1" ht="16.5" customHeight="1">
      <c r="A34" s="31" t="s">
        <v>528</v>
      </c>
    </row>
    <row r="35" spans="1:1" ht="16.5" customHeight="1">
      <c r="A35" s="31" t="s">
        <v>529</v>
      </c>
    </row>
    <row r="36" spans="1:1" ht="16.5" customHeight="1">
      <c r="A36" s="31" t="s">
        <v>530</v>
      </c>
    </row>
    <row r="37" spans="1:1" ht="16.5" customHeight="1">
      <c r="A37" s="31" t="s">
        <v>531</v>
      </c>
    </row>
    <row r="38" spans="1:1" ht="16.5" customHeight="1">
      <c r="A38" s="3" t="s">
        <v>532</v>
      </c>
    </row>
    <row r="39" spans="1:1" ht="16.5" customHeight="1">
      <c r="A39" s="31" t="s">
        <v>533</v>
      </c>
    </row>
    <row r="40" spans="1:1" ht="16.5" customHeight="1">
      <c r="A40" s="31" t="s">
        <v>534</v>
      </c>
    </row>
    <row r="41" spans="1:1">
      <c r="A41" s="31" t="s">
        <v>535</v>
      </c>
    </row>
  </sheetData>
  <phoneticPr fontId="32" type="noConversion"/>
  <conditionalFormatting sqref="A6:N17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536</v>
      </c>
    </row>
    <row r="2" spans="1:8" ht="30" customHeight="1">
      <c r="A2" s="97" t="s">
        <v>537</v>
      </c>
      <c r="B2" s="96"/>
      <c r="C2" s="96"/>
      <c r="D2" s="96"/>
      <c r="E2" s="96"/>
      <c r="F2" s="96"/>
      <c r="G2" s="96"/>
      <c r="H2" s="96"/>
    </row>
    <row r="3" spans="1:8">
      <c r="A3" t="s">
        <v>538</v>
      </c>
      <c r="F3">
        <f ca="1">COUNTIF($E$7:$E$80,"?")</f>
        <v>0</v>
      </c>
    </row>
    <row r="4" spans="1:8" ht="39.75" customHeight="1">
      <c r="A4" s="95" t="s">
        <v>539</v>
      </c>
      <c r="B4" s="96"/>
      <c r="C4" s="96"/>
      <c r="D4" s="96"/>
      <c r="E4" s="96"/>
      <c r="F4" s="96"/>
      <c r="G4" s="96"/>
      <c r="H4" s="96"/>
    </row>
    <row r="6" spans="1:8" ht="15" customHeight="1">
      <c r="A6" s="44" t="s">
        <v>540</v>
      </c>
      <c r="B6" s="44" t="s">
        <v>541</v>
      </c>
      <c r="C6" s="44" t="s">
        <v>542</v>
      </c>
      <c r="D6" s="44" t="s">
        <v>543</v>
      </c>
      <c r="E6" s="44" t="s">
        <v>544</v>
      </c>
      <c r="F6" s="44" t="s">
        <v>545</v>
      </c>
      <c r="G6" s="44" t="s">
        <v>546</v>
      </c>
      <c r="H6" s="44" t="s">
        <v>547</v>
      </c>
    </row>
    <row r="7" spans="1:8" ht="15" customHeight="1">
      <c r="A7" s="45" t="s">
        <v>548</v>
      </c>
      <c r="B7" s="45" t="s">
        <v>245</v>
      </c>
      <c r="C7" s="45" t="s">
        <v>42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549</v>
      </c>
      <c r="H7" s="50" t="s">
        <v>550</v>
      </c>
    </row>
    <row r="8" spans="1:8" ht="15" customHeight="1">
      <c r="A8" s="45" t="s">
        <v>548</v>
      </c>
      <c r="B8" s="45" t="s">
        <v>250</v>
      </c>
      <c r="C8" s="45" t="s">
        <v>42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549</v>
      </c>
      <c r="H8" s="50" t="s">
        <v>551</v>
      </c>
    </row>
    <row r="9" spans="1:8" ht="15" customHeight="1">
      <c r="A9" s="45" t="s">
        <v>552</v>
      </c>
      <c r="B9" s="45" t="s">
        <v>369</v>
      </c>
      <c r="C9" s="45" t="s">
        <v>42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549</v>
      </c>
      <c r="H9" s="50" t="s">
        <v>553</v>
      </c>
    </row>
    <row r="10" spans="1:8" ht="15" customHeight="1">
      <c r="A10" s="45" t="s">
        <v>552</v>
      </c>
      <c r="B10" s="45" t="s">
        <v>373</v>
      </c>
      <c r="C10" s="45" t="s">
        <v>42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549</v>
      </c>
      <c r="H10" s="50" t="s">
        <v>554</v>
      </c>
    </row>
    <row r="11" spans="1:8" ht="15" customHeight="1">
      <c r="A11" s="45" t="s">
        <v>555</v>
      </c>
      <c r="B11" s="45" t="s">
        <v>307</v>
      </c>
      <c r="C11" s="45" t="s">
        <v>44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549</v>
      </c>
      <c r="H11" s="50" t="s">
        <v>556</v>
      </c>
    </row>
    <row r="12" spans="1:8" ht="15" customHeight="1">
      <c r="A12" s="45" t="s">
        <v>555</v>
      </c>
      <c r="B12" s="45" t="s">
        <v>312</v>
      </c>
      <c r="C12" s="45" t="s">
        <v>44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549</v>
      </c>
      <c r="H12" s="50" t="s">
        <v>557</v>
      </c>
    </row>
    <row r="13" spans="1:8" ht="15" customHeight="1">
      <c r="A13" s="45" t="s">
        <v>558</v>
      </c>
      <c r="B13" s="45" t="s">
        <v>408</v>
      </c>
      <c r="C13" s="45" t="s">
        <v>44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549</v>
      </c>
      <c r="H13" s="50" t="s">
        <v>559</v>
      </c>
    </row>
    <row r="14" spans="1:8" ht="15" customHeight="1">
      <c r="A14" s="45" t="s">
        <v>558</v>
      </c>
      <c r="B14" s="45" t="s">
        <v>422</v>
      </c>
      <c r="C14" s="45" t="s">
        <v>44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549</v>
      </c>
      <c r="H14" s="50" t="s">
        <v>560</v>
      </c>
    </row>
    <row r="15" spans="1:8" ht="15" customHeight="1">
      <c r="A15" s="45" t="s">
        <v>555</v>
      </c>
      <c r="B15" s="45" t="s">
        <v>316</v>
      </c>
      <c r="C15" s="45" t="s">
        <v>44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561</v>
      </c>
      <c r="H15" s="50" t="s">
        <v>562</v>
      </c>
    </row>
    <row r="16" spans="1:8" ht="15" customHeight="1">
      <c r="A16" s="45" t="s">
        <v>563</v>
      </c>
      <c r="B16" s="45" t="s">
        <v>511</v>
      </c>
      <c r="C16" s="45" t="s">
        <v>46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549</v>
      </c>
      <c r="H16" s="50" t="s">
        <v>564</v>
      </c>
    </row>
    <row r="17" spans="1:8" ht="15" customHeight="1">
      <c r="A17" s="45" t="s">
        <v>552</v>
      </c>
      <c r="B17" s="45" t="s">
        <v>384</v>
      </c>
      <c r="C17" s="45" t="s">
        <v>46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549</v>
      </c>
      <c r="H17" s="50" t="s">
        <v>565</v>
      </c>
    </row>
    <row r="18" spans="1:8" ht="15" customHeight="1">
      <c r="A18" s="45" t="s">
        <v>552</v>
      </c>
      <c r="B18" s="45" t="s">
        <v>394</v>
      </c>
      <c r="C18" s="45" t="s">
        <v>46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549</v>
      </c>
      <c r="H18" s="50" t="s">
        <v>566</v>
      </c>
    </row>
    <row r="19" spans="1:8" ht="15" customHeight="1">
      <c r="A19" s="45" t="s">
        <v>555</v>
      </c>
      <c r="B19" s="45" t="s">
        <v>307</v>
      </c>
      <c r="C19" s="45" t="s">
        <v>25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549</v>
      </c>
      <c r="H19" s="50" t="s">
        <v>567</v>
      </c>
    </row>
    <row r="20" spans="1:8" ht="15" customHeight="1">
      <c r="A20" s="45" t="s">
        <v>555</v>
      </c>
      <c r="B20" s="45" t="s">
        <v>316</v>
      </c>
      <c r="C20" s="45" t="s">
        <v>25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561</v>
      </c>
      <c r="H20" s="50" t="s">
        <v>568</v>
      </c>
    </row>
    <row r="21" spans="1:8" ht="15" customHeight="1">
      <c r="A21" s="45" t="s">
        <v>558</v>
      </c>
      <c r="B21" s="45" t="s">
        <v>422</v>
      </c>
      <c r="C21" s="45" t="s">
        <v>25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549</v>
      </c>
      <c r="H21" s="50" t="s">
        <v>569</v>
      </c>
    </row>
    <row r="22" spans="1:8" ht="15" customHeight="1">
      <c r="A22" s="45" t="s">
        <v>558</v>
      </c>
      <c r="B22" s="45" t="s">
        <v>408</v>
      </c>
      <c r="C22" s="45" t="s">
        <v>27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549</v>
      </c>
      <c r="H22" s="50" t="s">
        <v>570</v>
      </c>
    </row>
    <row r="23" spans="1:8" ht="15" customHeight="1">
      <c r="A23" s="45" t="s">
        <v>558</v>
      </c>
      <c r="B23" s="45" t="s">
        <v>413</v>
      </c>
      <c r="C23" s="45" t="s">
        <v>27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561</v>
      </c>
      <c r="H23" s="50" t="s">
        <v>571</v>
      </c>
    </row>
    <row r="24" spans="1:8" ht="15" customHeight="1">
      <c r="A24" s="45" t="s">
        <v>563</v>
      </c>
      <c r="B24" s="45" t="s">
        <v>413</v>
      </c>
      <c r="C24" s="45" t="s">
        <v>27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561</v>
      </c>
      <c r="H24" s="50" t="s">
        <v>572</v>
      </c>
    </row>
    <row r="25" spans="1:8" ht="15" customHeight="1">
      <c r="A25" s="45" t="s">
        <v>548</v>
      </c>
      <c r="B25" s="45" t="s">
        <v>260</v>
      </c>
      <c r="C25" s="45" t="s">
        <v>29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549</v>
      </c>
      <c r="H25" s="50" t="s">
        <v>573</v>
      </c>
    </row>
    <row r="26" spans="1:8" ht="15" customHeight="1">
      <c r="A26" s="45" t="s">
        <v>563</v>
      </c>
      <c r="B26" s="45" t="s">
        <v>435</v>
      </c>
      <c r="C26" s="45" t="s">
        <v>29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561</v>
      </c>
      <c r="H26" s="50" t="s">
        <v>574</v>
      </c>
    </row>
    <row r="27" spans="1:8" ht="15" customHeight="1">
      <c r="A27" s="45" t="s">
        <v>558</v>
      </c>
      <c r="B27" s="45" t="s">
        <v>435</v>
      </c>
      <c r="C27" s="45" t="s">
        <v>29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549</v>
      </c>
      <c r="H27" s="51" t="s">
        <v>575</v>
      </c>
    </row>
    <row r="28" spans="1:8" ht="15" customHeight="1">
      <c r="A28" s="45" t="s">
        <v>552</v>
      </c>
      <c r="B28" s="45" t="s">
        <v>369</v>
      </c>
      <c r="C28" s="45" t="s">
        <v>14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549</v>
      </c>
      <c r="H28" s="50" t="s">
        <v>576</v>
      </c>
    </row>
    <row r="29" spans="1:8" ht="15" customHeight="1">
      <c r="A29" s="45" t="s">
        <v>552</v>
      </c>
      <c r="B29" s="45" t="s">
        <v>373</v>
      </c>
      <c r="C29" s="45" t="s">
        <v>21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549</v>
      </c>
      <c r="H29" s="50" t="s">
        <v>577</v>
      </c>
    </row>
    <row r="30" spans="1:8" ht="15" customHeight="1">
      <c r="A30" s="45" t="s">
        <v>552</v>
      </c>
      <c r="B30" s="45" t="s">
        <v>380</v>
      </c>
      <c r="C30" s="45" t="s">
        <v>21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549</v>
      </c>
      <c r="H30" s="50" t="s">
        <v>577</v>
      </c>
    </row>
    <row r="31" spans="1:8" ht="15" customHeight="1">
      <c r="A31" s="45" t="s">
        <v>578</v>
      </c>
      <c r="B31" s="45" t="s">
        <v>459</v>
      </c>
      <c r="C31" s="45" t="s">
        <v>34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549</v>
      </c>
      <c r="H31" s="50" t="s">
        <v>579</v>
      </c>
    </row>
    <row r="32" spans="1:8" ht="15" customHeight="1">
      <c r="A32" s="45" t="s">
        <v>578</v>
      </c>
      <c r="B32" s="45" t="s">
        <v>453</v>
      </c>
      <c r="C32" s="45" t="s">
        <v>34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549</v>
      </c>
      <c r="H32" s="50" t="s">
        <v>580</v>
      </c>
    </row>
    <row r="33" spans="1:8" ht="15" customHeight="1">
      <c r="A33" s="45" t="s">
        <v>548</v>
      </c>
      <c r="B33" s="45" t="s">
        <v>288</v>
      </c>
      <c r="C33" s="45" t="s">
        <v>34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549</v>
      </c>
      <c r="H33" s="50" t="s">
        <v>581</v>
      </c>
    </row>
    <row r="34" spans="1:8" ht="15" customHeight="1">
      <c r="A34" s="45" t="s">
        <v>582</v>
      </c>
      <c r="B34" s="45" t="s">
        <v>339</v>
      </c>
      <c r="C34" s="45" t="s">
        <v>36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549</v>
      </c>
      <c r="H34" s="50" t="s">
        <v>583</v>
      </c>
    </row>
    <row r="35" spans="1:8" ht="15" customHeight="1">
      <c r="A35" s="45" t="s">
        <v>582</v>
      </c>
      <c r="B35" s="45" t="s">
        <v>344</v>
      </c>
      <c r="C35" s="45" t="s">
        <v>36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549</v>
      </c>
      <c r="H35" s="50" t="s">
        <v>584</v>
      </c>
    </row>
    <row r="36" spans="1:8" ht="15" customHeight="1">
      <c r="A36" s="45" t="s">
        <v>578</v>
      </c>
      <c r="B36" s="45" t="s">
        <v>453</v>
      </c>
      <c r="C36" s="45" t="s">
        <v>36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549</v>
      </c>
      <c r="H36" s="50" t="s">
        <v>585</v>
      </c>
    </row>
    <row r="37" spans="1:8" ht="15" customHeight="1">
      <c r="A37" s="45" t="s">
        <v>578</v>
      </c>
      <c r="B37" s="45" t="s">
        <v>462</v>
      </c>
      <c r="C37" s="45" t="s">
        <v>36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549</v>
      </c>
      <c r="H37" s="50" t="s">
        <v>586</v>
      </c>
    </row>
    <row r="38" spans="1:8" ht="15" customHeight="1">
      <c r="A38" s="45" t="s">
        <v>548</v>
      </c>
      <c r="B38" s="45" t="s">
        <v>288</v>
      </c>
      <c r="C38" s="45" t="s">
        <v>36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549</v>
      </c>
      <c r="H38" s="50" t="s">
        <v>587</v>
      </c>
    </row>
    <row r="39" spans="1:8" ht="15" customHeight="1">
      <c r="A39" s="45" t="s">
        <v>582</v>
      </c>
      <c r="B39" s="45" t="s">
        <v>339</v>
      </c>
      <c r="C39" s="45" t="s">
        <v>23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549</v>
      </c>
      <c r="H39" s="50" t="s">
        <v>588</v>
      </c>
    </row>
    <row r="40" spans="1:8" ht="15" customHeight="1">
      <c r="A40" s="45" t="s">
        <v>552</v>
      </c>
      <c r="B40" s="45" t="s">
        <v>394</v>
      </c>
      <c r="C40" s="45" t="s">
        <v>23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549</v>
      </c>
      <c r="H40" s="50" t="s">
        <v>589</v>
      </c>
    </row>
    <row r="41" spans="1:8" ht="15" customHeight="1">
      <c r="A41" s="45" t="s">
        <v>578</v>
      </c>
      <c r="B41" s="45" t="s">
        <v>462</v>
      </c>
      <c r="C41" s="45" t="s">
        <v>23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549</v>
      </c>
      <c r="H41" s="51" t="s">
        <v>590</v>
      </c>
    </row>
    <row r="42" spans="1:8" ht="15" customHeight="1">
      <c r="A42" s="45" t="s">
        <v>582</v>
      </c>
      <c r="B42" s="45" t="s">
        <v>32</v>
      </c>
      <c r="C42" s="45" t="s">
        <v>31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549</v>
      </c>
      <c r="H42" s="50" t="s">
        <v>591</v>
      </c>
    </row>
    <row r="43" spans="1:8" ht="15" customHeight="1">
      <c r="A43" s="45" t="s">
        <v>582</v>
      </c>
      <c r="B43" s="45" t="s">
        <v>32</v>
      </c>
      <c r="C43" s="45" t="s">
        <v>38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549</v>
      </c>
      <c r="H43" s="50" t="s">
        <v>592</v>
      </c>
    </row>
    <row r="44" spans="1:8" ht="15" customHeight="1">
      <c r="A44" s="45" t="s">
        <v>578</v>
      </c>
      <c r="B44" s="45" t="s">
        <v>453</v>
      </c>
      <c r="C44" s="45" t="s">
        <v>14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561</v>
      </c>
      <c r="H44" s="50" t="s">
        <v>593</v>
      </c>
    </row>
    <row r="45" spans="1:8" ht="15" customHeight="1">
      <c r="A45" s="45" t="s">
        <v>582</v>
      </c>
      <c r="B45" s="45" t="s">
        <v>339</v>
      </c>
      <c r="C45" s="45" t="s">
        <v>50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561</v>
      </c>
      <c r="H45" s="50" t="s">
        <v>594</v>
      </c>
    </row>
    <row r="46" spans="1:8" ht="15" customHeight="1">
      <c r="A46" s="45" t="s">
        <v>582</v>
      </c>
      <c r="B46" s="45" t="s">
        <v>344</v>
      </c>
      <c r="C46" s="45" t="s">
        <v>50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561</v>
      </c>
      <c r="H46" s="50" t="s">
        <v>595</v>
      </c>
    </row>
    <row r="47" spans="1:8" ht="15" customHeight="1">
      <c r="A47" s="45" t="s">
        <v>582</v>
      </c>
      <c r="B47" s="45" t="s">
        <v>32</v>
      </c>
      <c r="C47" s="45" t="s">
        <v>50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561</v>
      </c>
      <c r="H47" s="50" t="s">
        <v>596</v>
      </c>
    </row>
    <row r="48" spans="1:8" ht="15" customHeight="1">
      <c r="A48" s="45" t="s">
        <v>555</v>
      </c>
      <c r="B48" s="45" t="s">
        <v>307</v>
      </c>
      <c r="C48" s="45" t="s">
        <v>9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561</v>
      </c>
      <c r="H48" s="50" t="s">
        <v>597</v>
      </c>
    </row>
    <row r="49" spans="1:8" ht="15" customHeight="1">
      <c r="A49" s="45" t="s">
        <v>558</v>
      </c>
      <c r="B49" s="45" t="s">
        <v>422</v>
      </c>
      <c r="C49" s="45" t="s">
        <v>12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561</v>
      </c>
      <c r="H49" s="50" t="s">
        <v>598</v>
      </c>
    </row>
    <row r="50" spans="1:8" ht="15" customHeight="1">
      <c r="A50" s="45" t="s">
        <v>552</v>
      </c>
      <c r="B50" s="45" t="s">
        <v>369</v>
      </c>
      <c r="C50" s="45" t="s">
        <v>17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561</v>
      </c>
      <c r="H50" s="50" t="s">
        <v>599</v>
      </c>
    </row>
    <row r="51" spans="1:8" ht="15" customHeight="1">
      <c r="A51" s="45" t="s">
        <v>558</v>
      </c>
      <c r="B51" s="45" t="s">
        <v>408</v>
      </c>
      <c r="C51" s="45" t="s">
        <v>17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561</v>
      </c>
      <c r="H51" s="50" t="s">
        <v>600</v>
      </c>
    </row>
    <row r="52" spans="1:8" ht="15" customHeight="1">
      <c r="A52" s="45" t="s">
        <v>578</v>
      </c>
      <c r="B52" s="45" t="s">
        <v>453</v>
      </c>
      <c r="C52" s="45" t="s">
        <v>17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561</v>
      </c>
      <c r="H52" s="50" t="s">
        <v>601</v>
      </c>
    </row>
    <row r="53" spans="1:8" ht="15" customHeight="1">
      <c r="A53" s="45" t="s">
        <v>548</v>
      </c>
      <c r="B53" s="45" t="s">
        <v>245</v>
      </c>
      <c r="C53" s="45" t="s">
        <v>19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561</v>
      </c>
      <c r="H53" s="50" t="s">
        <v>602</v>
      </c>
    </row>
    <row r="54" spans="1:8" ht="15" customHeight="1">
      <c r="A54" s="45" t="s">
        <v>552</v>
      </c>
      <c r="B54" s="45" t="s">
        <v>369</v>
      </c>
      <c r="C54" s="45" t="s">
        <v>19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561</v>
      </c>
      <c r="H54" s="50" t="s">
        <v>603</v>
      </c>
    </row>
    <row r="55" spans="1:8" ht="15" customHeight="1">
      <c r="A55" s="45" t="s">
        <v>555</v>
      </c>
      <c r="B55" s="45" t="s">
        <v>331</v>
      </c>
      <c r="C55" s="45" t="s">
        <v>21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561</v>
      </c>
      <c r="H55" s="50" t="s">
        <v>604</v>
      </c>
    </row>
    <row r="56" spans="1:8" ht="15" customHeight="1">
      <c r="A56" s="45" t="s">
        <v>578</v>
      </c>
      <c r="B56" s="45" t="s">
        <v>344</v>
      </c>
      <c r="C56" s="45" t="s">
        <v>36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549</v>
      </c>
      <c r="H56" s="50" t="s">
        <v>605</v>
      </c>
    </row>
    <row r="57" spans="1:8" ht="15" customHeight="1">
      <c r="A57" s="45" t="s">
        <v>578</v>
      </c>
      <c r="B57" s="45" t="s">
        <v>344</v>
      </c>
      <c r="C57" s="45" t="s">
        <v>50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561</v>
      </c>
      <c r="H57" s="50" t="s">
        <v>606</v>
      </c>
    </row>
    <row r="58" spans="1:8" ht="15" customHeight="1">
      <c r="A58" s="45" t="s">
        <v>558</v>
      </c>
      <c r="B58" s="45" t="s">
        <v>413</v>
      </c>
      <c r="C58" s="45" t="s">
        <v>44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561</v>
      </c>
      <c r="H58" s="50" t="s">
        <v>607</v>
      </c>
    </row>
    <row r="59" spans="1:8" ht="15" customHeight="1">
      <c r="A59" s="45" t="s">
        <v>563</v>
      </c>
      <c r="B59" s="45" t="s">
        <v>413</v>
      </c>
      <c r="C59" s="45" t="s">
        <v>44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561</v>
      </c>
      <c r="H59" s="50" t="s">
        <v>608</v>
      </c>
    </row>
    <row r="60" spans="1:8" ht="15" customHeight="1">
      <c r="A60" s="45" t="s">
        <v>558</v>
      </c>
      <c r="B60" s="45" t="s">
        <v>419</v>
      </c>
      <c r="C60" s="45" t="s">
        <v>44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561</v>
      </c>
      <c r="H60" s="50" t="s">
        <v>609</v>
      </c>
    </row>
    <row r="61" spans="1:8" ht="15" customHeight="1">
      <c r="A61" s="45" t="s">
        <v>555</v>
      </c>
      <c r="B61" s="45" t="s">
        <v>312</v>
      </c>
      <c r="C61" s="45" t="s">
        <v>25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561</v>
      </c>
      <c r="H61" s="50" t="s">
        <v>610</v>
      </c>
    </row>
    <row r="62" spans="1:8" ht="15" customHeight="1">
      <c r="A62" s="45" t="s">
        <v>558</v>
      </c>
      <c r="B62" s="45" t="s">
        <v>419</v>
      </c>
      <c r="C62" s="45" t="s">
        <v>25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561</v>
      </c>
      <c r="H62" s="50" t="s">
        <v>611</v>
      </c>
    </row>
    <row r="63" spans="1:8" ht="15" customHeight="1">
      <c r="A63" s="45" t="s">
        <v>552</v>
      </c>
      <c r="B63" s="45" t="s">
        <v>390</v>
      </c>
      <c r="C63" s="45" t="s">
        <v>42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561</v>
      </c>
      <c r="H63" s="50" t="s">
        <v>612</v>
      </c>
    </row>
    <row r="64" spans="1:8" ht="15" customHeight="1">
      <c r="A64" s="45" t="s">
        <v>563</v>
      </c>
      <c r="B64" s="45" t="s">
        <v>380</v>
      </c>
      <c r="C64" s="45" t="s">
        <v>21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561</v>
      </c>
      <c r="H64" s="50" t="s">
        <v>613</v>
      </c>
    </row>
    <row r="65" spans="1:8" ht="15" customHeight="1">
      <c r="A65" s="45" t="s">
        <v>563</v>
      </c>
      <c r="B65" s="45" t="s">
        <v>488</v>
      </c>
      <c r="C65" s="45" t="s">
        <v>17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561</v>
      </c>
      <c r="H65" s="50" t="s">
        <v>614</v>
      </c>
    </row>
    <row r="66" spans="1:8" ht="15" customHeight="1">
      <c r="A66" s="45" t="s">
        <v>563</v>
      </c>
      <c r="B66" s="45" t="s">
        <v>496</v>
      </c>
      <c r="C66" s="45" t="s">
        <v>21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561</v>
      </c>
      <c r="H66" s="50" t="s">
        <v>615</v>
      </c>
    </row>
    <row r="67" spans="1:8" ht="15" customHeight="1">
      <c r="A67" s="45" t="s">
        <v>555</v>
      </c>
      <c r="B67" s="45" t="s">
        <v>265</v>
      </c>
      <c r="C67" s="45" t="s">
        <v>46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561</v>
      </c>
      <c r="H67" s="50" t="s">
        <v>616</v>
      </c>
    </row>
    <row r="68" spans="1:8" ht="15" customHeight="1">
      <c r="A68" s="45" t="s">
        <v>578</v>
      </c>
      <c r="B68" s="45" t="s">
        <v>457</v>
      </c>
      <c r="C68" s="45" t="s">
        <v>34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549</v>
      </c>
      <c r="H68" s="50" t="s">
        <v>617</v>
      </c>
    </row>
    <row r="69" spans="1:8">
      <c r="A69" s="45" t="s">
        <v>578</v>
      </c>
      <c r="B69" s="45" t="s">
        <v>457</v>
      </c>
      <c r="C69" s="45" t="s">
        <v>36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549</v>
      </c>
      <c r="H69" s="50" t="s">
        <v>618</v>
      </c>
    </row>
    <row r="70" spans="1:8">
      <c r="A70" s="45" t="s">
        <v>578</v>
      </c>
      <c r="B70" s="45" t="s">
        <v>457</v>
      </c>
      <c r="C70" s="45" t="s">
        <v>17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561</v>
      </c>
      <c r="H70" s="50" t="s">
        <v>619</v>
      </c>
    </row>
    <row r="71" spans="1:8">
      <c r="A71" t="s">
        <v>548</v>
      </c>
      <c r="B71" t="s">
        <v>254</v>
      </c>
      <c r="C71" t="s">
        <v>14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561</v>
      </c>
      <c r="H71" t="s">
        <v>620</v>
      </c>
    </row>
    <row r="72" spans="1:8">
      <c r="A72" t="s">
        <v>548</v>
      </c>
      <c r="B72" t="s">
        <v>254</v>
      </c>
      <c r="C72" t="s">
        <v>42</v>
      </c>
      <c r="D72">
        <v>0.2</v>
      </c>
      <c r="E72">
        <f t="shared" ca="1" si="2"/>
        <v>4</v>
      </c>
      <c r="F72">
        <f t="shared" ca="1" si="4"/>
        <v>0.8</v>
      </c>
      <c r="G72" t="s">
        <v>561</v>
      </c>
      <c r="H72" t="s">
        <v>621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5"/>
  <sheetViews>
    <sheetView tabSelected="1" zoomScaleNormal="100" workbookViewId="0">
      <selection activeCell="T19" sqref="T19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2" ht="18" customHeight="1">
      <c r="A1" s="1" t="s">
        <v>0</v>
      </c>
    </row>
    <row r="2" spans="1:12" ht="15" customHeight="1">
      <c r="A2" s="2" t="s">
        <v>1</v>
      </c>
    </row>
    <row r="4" spans="1:12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2" ht="15" customHeight="1">
      <c r="A5" s="53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IF(J5&gt;20,"과다 점검",IF(J5&gt;=10,"충분",IF(J5&gt;=8,"하한",IF(J5&gt;=1,"보완 필요","미배치"))))</f>
        <v>충분</v>
      </c>
      <c r="F5" s="53" t="s">
        <v>10</v>
      </c>
      <c r="G5" s="93" t="s">
        <v>11</v>
      </c>
      <c r="H5" s="56">
        <f ca="1">SUM(D5:D6)</f>
        <v>31</v>
      </c>
      <c r="I5" t="str">
        <f ca="1">IF(H5*7/9&gt;20,"주당 환산 천장(20) 초과 — 2일차·6일차 예외 허용 · 세트 질 관찰","")</f>
        <v>주당 환산 천장(20) 초과 — 2일차·6일차 예외 허용 · 세트 질 관찰</v>
      </c>
      <c r="J5" s="55">
        <f t="shared" ref="J5:J25" ca="1" si="2">ROUND(D5*7/9,1)</f>
        <v>10.1</v>
      </c>
      <c r="L5" s="55">
        <f t="shared" ref="L5:L25" si="3">ROUND(B5*7/9,1)</f>
        <v>10.1</v>
      </c>
    </row>
    <row r="6" spans="1:12" ht="15" customHeight="1">
      <c r="A6" s="53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충분</v>
      </c>
      <c r="F6" s="53" t="s">
        <v>13</v>
      </c>
      <c r="G6" s="94"/>
      <c r="J6" s="55">
        <f t="shared" ca="1" si="2"/>
        <v>14</v>
      </c>
      <c r="L6" s="55">
        <f t="shared" si="3"/>
        <v>14</v>
      </c>
    </row>
    <row r="7" spans="1:12" ht="15" customHeight="1">
      <c r="A7" s="53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충분</v>
      </c>
      <c r="F7" s="53" t="s">
        <v>15</v>
      </c>
      <c r="G7" s="93" t="s">
        <v>16</v>
      </c>
      <c r="H7" s="56">
        <f ca="1">SUM(D7:D10)</f>
        <v>55.5</v>
      </c>
      <c r="J7" s="55">
        <f t="shared" ca="1" si="2"/>
        <v>12.4</v>
      </c>
      <c r="L7" s="55">
        <f t="shared" si="3"/>
        <v>9.3000000000000007</v>
      </c>
    </row>
    <row r="8" spans="1:12" ht="15" customHeight="1">
      <c r="A8" s="53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보완 필요</v>
      </c>
      <c r="F8" s="53" t="s">
        <v>18</v>
      </c>
      <c r="G8" s="94"/>
      <c r="J8" s="55">
        <f t="shared" ca="1" si="2"/>
        <v>4.3</v>
      </c>
      <c r="L8" s="55">
        <f t="shared" si="3"/>
        <v>3.1</v>
      </c>
    </row>
    <row r="9" spans="1:12" ht="15" customHeight="1">
      <c r="A9" s="53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충분</v>
      </c>
      <c r="F9" s="53" t="s">
        <v>20</v>
      </c>
      <c r="G9" s="94"/>
      <c r="J9" s="55">
        <f t="shared" ca="1" si="2"/>
        <v>10.5</v>
      </c>
      <c r="L9" s="55">
        <f t="shared" si="3"/>
        <v>9.3000000000000007</v>
      </c>
    </row>
    <row r="10" spans="1:12" ht="15" customHeight="1">
      <c r="A10" s="53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충분</v>
      </c>
      <c r="F10" s="53" t="s">
        <v>22</v>
      </c>
      <c r="G10" s="94"/>
      <c r="J10" s="55">
        <f t="shared" ca="1" si="2"/>
        <v>15.9</v>
      </c>
      <c r="L10" s="55">
        <f t="shared" si="3"/>
        <v>11.7</v>
      </c>
    </row>
    <row r="11" spans="1:12" ht="15" customHeight="1">
      <c r="A11" s="53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충분</v>
      </c>
      <c r="F11" s="53" t="s">
        <v>24</v>
      </c>
      <c r="G11" s="57"/>
      <c r="J11" s="55">
        <f t="shared" ca="1" si="2"/>
        <v>10.5</v>
      </c>
      <c r="L11" s="55">
        <f t="shared" si="3"/>
        <v>9.3000000000000007</v>
      </c>
    </row>
    <row r="12" spans="1:12" ht="15" customHeight="1">
      <c r="A12" s="53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충분</v>
      </c>
      <c r="F12" s="53" t="s">
        <v>26</v>
      </c>
      <c r="G12" s="57"/>
      <c r="J12" s="55">
        <f t="shared" ca="1" si="2"/>
        <v>13.2</v>
      </c>
      <c r="L12" s="55">
        <f t="shared" si="3"/>
        <v>7</v>
      </c>
    </row>
    <row r="13" spans="1:12" ht="15" customHeight="1">
      <c r="A13" s="53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충분</v>
      </c>
      <c r="F13" s="53" t="s">
        <v>28</v>
      </c>
      <c r="G13" s="57"/>
      <c r="J13" s="55">
        <f t="shared" ca="1" si="2"/>
        <v>16.3</v>
      </c>
      <c r="L13" s="55">
        <f t="shared" si="3"/>
        <v>14</v>
      </c>
    </row>
    <row r="14" spans="1:12" ht="15" customHeight="1">
      <c r="A14" s="53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충분</v>
      </c>
      <c r="F14" s="53" t="s">
        <v>30</v>
      </c>
      <c r="G14" s="57"/>
      <c r="H14" s="56"/>
      <c r="J14" s="55">
        <f t="shared" ca="1" si="2"/>
        <v>16.7</v>
      </c>
      <c r="L14" s="55">
        <f t="shared" si="3"/>
        <v>13.2</v>
      </c>
    </row>
    <row r="15" spans="1:12" ht="15" customHeight="1">
      <c r="A15" s="53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충분</v>
      </c>
      <c r="F15" s="53" t="s">
        <v>32</v>
      </c>
      <c r="G15" s="58" t="s">
        <v>33</v>
      </c>
      <c r="H15" s="56">
        <f ca="1">SUM(D15:D16,D19)</f>
        <v>43</v>
      </c>
      <c r="J15" s="55">
        <f t="shared" ca="1" si="2"/>
        <v>12.8</v>
      </c>
      <c r="L15" s="55">
        <f t="shared" si="3"/>
        <v>11.7</v>
      </c>
    </row>
    <row r="16" spans="1:12" ht="15" customHeight="1">
      <c r="A16" s="53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충분</v>
      </c>
      <c r="F16" s="53" t="s">
        <v>35</v>
      </c>
      <c r="G16" s="57"/>
      <c r="J16" s="55">
        <f t="shared" ca="1" si="2"/>
        <v>10.5</v>
      </c>
      <c r="L16" s="55">
        <f t="shared" si="3"/>
        <v>7.8</v>
      </c>
    </row>
    <row r="17" spans="1:12" ht="15" customHeight="1">
      <c r="A17" s="53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충분</v>
      </c>
      <c r="F17" s="53" t="s">
        <v>37</v>
      </c>
      <c r="G17" s="93" t="s">
        <v>36</v>
      </c>
      <c r="H17" s="56">
        <f ca="1">SUM(D17:D18)</f>
        <v>29</v>
      </c>
      <c r="J17" s="55">
        <f t="shared" ca="1" si="2"/>
        <v>12.4</v>
      </c>
      <c r="L17" s="55">
        <f t="shared" si="3"/>
        <v>5.4</v>
      </c>
    </row>
    <row r="18" spans="1:12" ht="15" customHeight="1">
      <c r="A18" s="53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충분</v>
      </c>
      <c r="F18" s="53" t="s">
        <v>39</v>
      </c>
      <c r="G18" s="94"/>
      <c r="J18" s="55">
        <f t="shared" ca="1" si="2"/>
        <v>10.1</v>
      </c>
      <c r="L18" s="55">
        <f t="shared" si="3"/>
        <v>9.3000000000000007</v>
      </c>
    </row>
    <row r="19" spans="1:12" ht="15" customHeight="1">
      <c r="A19" s="53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충분</v>
      </c>
      <c r="F19" s="53" t="s">
        <v>41</v>
      </c>
      <c r="G19" s="57"/>
      <c r="J19" s="55">
        <f t="shared" si="2"/>
        <v>10.1</v>
      </c>
      <c r="L19" s="55">
        <f t="shared" si="3"/>
        <v>10.1</v>
      </c>
    </row>
    <row r="20" spans="1:12" ht="15" customHeight="1">
      <c r="A20" s="53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충분</v>
      </c>
      <c r="F20" s="53" t="s">
        <v>43</v>
      </c>
      <c r="G20" s="57"/>
      <c r="J20" s="55">
        <f t="shared" ca="1" si="2"/>
        <v>13.6</v>
      </c>
      <c r="L20" s="55">
        <f t="shared" si="3"/>
        <v>8.6</v>
      </c>
    </row>
    <row r="21" spans="1:12" ht="15" customHeight="1">
      <c r="A21" s="53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충분</v>
      </c>
      <c r="F21" s="53" t="s">
        <v>45</v>
      </c>
      <c r="G21" s="57"/>
      <c r="J21" s="55">
        <f t="shared" ca="1" si="2"/>
        <v>16.7</v>
      </c>
      <c r="L21" s="55">
        <f t="shared" si="3"/>
        <v>6.2</v>
      </c>
    </row>
    <row r="22" spans="1:12" ht="16.5" customHeight="1">
      <c r="A22" s="53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충분</v>
      </c>
      <c r="F22" s="53" t="s">
        <v>47</v>
      </c>
      <c r="G22" s="57"/>
      <c r="J22" s="55">
        <f t="shared" ca="1" si="2"/>
        <v>11.3</v>
      </c>
      <c r="L22" s="55">
        <f t="shared" si="3"/>
        <v>8.6</v>
      </c>
    </row>
    <row r="23" spans="1:12" ht="24" customHeight="1">
      <c r="A23" s="53" t="s">
        <v>48</v>
      </c>
      <c r="B23" s="59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충분</v>
      </c>
      <c r="F23" s="53" t="s">
        <v>49</v>
      </c>
      <c r="G23" s="57"/>
      <c r="J23" s="55">
        <f t="shared" si="2"/>
        <v>10.1</v>
      </c>
      <c r="L23" s="55">
        <f t="shared" si="3"/>
        <v>10.1</v>
      </c>
    </row>
    <row r="24" spans="1:12" ht="15" customHeight="1">
      <c r="A24" s="53" t="s">
        <v>50</v>
      </c>
      <c r="B24" s="59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충분</v>
      </c>
      <c r="F24" s="53" t="s">
        <v>51</v>
      </c>
      <c r="G24" s="57"/>
      <c r="J24" s="55">
        <f t="shared" ca="1" si="2"/>
        <v>10.5</v>
      </c>
      <c r="L24" s="55">
        <f t="shared" si="3"/>
        <v>7</v>
      </c>
    </row>
    <row r="25" spans="1:12" ht="36" customHeight="1">
      <c r="A25" s="60" t="s">
        <v>52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242.3</v>
      </c>
      <c r="L25" s="62">
        <f t="shared" si="3"/>
        <v>185.9</v>
      </c>
    </row>
    <row r="26" spans="1:12" ht="15" customHeight="1">
      <c r="A26" s="13" t="s">
        <v>53</v>
      </c>
    </row>
    <row r="27" spans="1:12" ht="16.5" customHeight="1">
      <c r="A27" s="11" t="s">
        <v>54</v>
      </c>
    </row>
    <row r="28" spans="1:12" ht="36" customHeight="1">
      <c r="A28" s="11" t="s">
        <v>55</v>
      </c>
    </row>
    <row r="29" spans="1:12" ht="48" customHeight="1">
      <c r="A29" s="11" t="s">
        <v>56</v>
      </c>
    </row>
    <row r="30" spans="1:12" ht="48" customHeight="1">
      <c r="A30" s="63"/>
    </row>
    <row r="31" spans="1:12" ht="15" customHeight="1">
      <c r="A31" s="13" t="s">
        <v>57</v>
      </c>
    </row>
    <row r="32" spans="1:12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3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3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0" t="s">
        <v>69</v>
      </c>
    </row>
    <row r="45" spans="1:1" ht="51.75" customHeight="1">
      <c r="A45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  <row r="50" spans="1:1" ht="48" customHeight="1">
      <c r="A50" s="11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4" spans="1:1">
      <c r="A54" t="s">
        <v>79</v>
      </c>
    </row>
    <row r="55" spans="1:1">
      <c r="A55" t="s">
        <v>80</v>
      </c>
    </row>
  </sheetData>
  <mergeCells count="3">
    <mergeCell ref="G5:G6"/>
    <mergeCell ref="G17:G18"/>
    <mergeCell ref="G7:G10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622</v>
      </c>
    </row>
    <row r="2" spans="1:11" ht="15" customHeight="1">
      <c r="A2" s="2" t="s">
        <v>623</v>
      </c>
    </row>
    <row r="4" spans="1:11" ht="15" customHeight="1">
      <c r="A4" s="3" t="s">
        <v>624</v>
      </c>
    </row>
    <row r="5" spans="1:11" ht="15" customHeight="1">
      <c r="A5" s="64" t="s">
        <v>625</v>
      </c>
      <c r="C5" s="4">
        <v>5</v>
      </c>
      <c r="D5" s="63" t="s">
        <v>626</v>
      </c>
    </row>
    <row r="6" spans="1:11" ht="15" customHeight="1">
      <c r="A6" s="64" t="s">
        <v>627</v>
      </c>
      <c r="C6" s="4">
        <v>5</v>
      </c>
      <c r="D6" s="63" t="s">
        <v>628</v>
      </c>
    </row>
    <row r="7" spans="1:11" ht="15" customHeight="1">
      <c r="A7" s="64" t="s">
        <v>629</v>
      </c>
      <c r="C7" s="4">
        <v>2.25</v>
      </c>
      <c r="D7" s="63" t="s">
        <v>630</v>
      </c>
      <c r="H7">
        <f>SUM(D7:D10)</f>
        <v>0</v>
      </c>
    </row>
    <row r="8" spans="1:11" ht="84" customHeight="1">
      <c r="A8" s="64" t="s">
        <v>631</v>
      </c>
      <c r="C8" s="4">
        <v>1.25</v>
      </c>
      <c r="D8" s="63" t="s">
        <v>632</v>
      </c>
    </row>
    <row r="9" spans="1:11" ht="15" customHeight="1">
      <c r="A9" s="5" t="s">
        <v>120</v>
      </c>
      <c r="B9" s="5" t="s">
        <v>633</v>
      </c>
      <c r="C9" s="5" t="s">
        <v>634</v>
      </c>
      <c r="D9" s="5" t="s">
        <v>635</v>
      </c>
      <c r="E9" s="5" t="s">
        <v>636</v>
      </c>
      <c r="F9" s="5" t="s">
        <v>635</v>
      </c>
      <c r="G9" s="5" t="s">
        <v>637</v>
      </c>
      <c r="H9" s="5" t="s">
        <v>635</v>
      </c>
      <c r="I9" s="5" t="s">
        <v>638</v>
      </c>
      <c r="J9" s="5" t="s">
        <v>635</v>
      </c>
      <c r="K9" s="5" t="s">
        <v>241</v>
      </c>
    </row>
    <row r="10" spans="1:11" ht="15" customHeight="1">
      <c r="A10" s="8" t="s">
        <v>121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</row>
    <row r="11" spans="1:11" ht="15" customHeight="1">
      <c r="A11" s="8" t="s">
        <v>122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5"/>
    </row>
    <row r="12" spans="1:11" ht="15" customHeight="1">
      <c r="A12" s="8" t="s">
        <v>123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</row>
    <row r="13" spans="1:11" ht="15" customHeight="1">
      <c r="A13" s="8" t="s">
        <v>124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</row>
    <row r="14" spans="1:11" ht="15" customHeight="1">
      <c r="A14" s="8" t="s">
        <v>125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</row>
    <row r="15" spans="1:11" ht="15" customHeight="1">
      <c r="A15" s="8" t="s">
        <v>126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</row>
    <row r="16" spans="1:11" ht="15" customHeight="1">
      <c r="A16" s="8" t="s">
        <v>127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</row>
    <row r="17" spans="1:11" ht="15" customHeight="1">
      <c r="A17" s="8" t="s">
        <v>128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</row>
    <row r="18" spans="1:11" ht="15" customHeight="1">
      <c r="A18" s="8" t="s">
        <v>129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</row>
    <row r="19" spans="1:11" ht="15" customHeight="1">
      <c r="A19" s="8" t="s">
        <v>130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</row>
    <row r="20" spans="1:11" ht="15" customHeight="1">
      <c r="A20" s="8" t="s">
        <v>131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</row>
    <row r="21" spans="1:11" ht="15" customHeight="1">
      <c r="A21" s="8" t="s">
        <v>132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</row>
    <row r="23" spans="1:11" ht="108" customHeight="1">
      <c r="A23" s="11" t="s">
        <v>639</v>
      </c>
    </row>
    <row r="24" spans="1:11" ht="84" customHeight="1">
      <c r="A24" s="11" t="s">
        <v>640</v>
      </c>
    </row>
    <row r="25" spans="1:11" ht="84" customHeight="1">
      <c r="A25" s="11" t="s">
        <v>641</v>
      </c>
    </row>
    <row r="26" spans="1:11" ht="120" customHeight="1">
      <c r="A26" s="11"/>
    </row>
    <row r="27" spans="1:11" ht="96" customHeight="1">
      <c r="A27" s="11" t="s">
        <v>642</v>
      </c>
    </row>
    <row r="28" spans="1:11" ht="108" customHeight="1">
      <c r="A28" s="11" t="s">
        <v>643</v>
      </c>
    </row>
    <row r="29" spans="1:11" ht="108" customHeight="1">
      <c r="A29" s="11" t="s">
        <v>644</v>
      </c>
    </row>
    <row r="30" spans="1:11" ht="156" customHeight="1">
      <c r="A30" s="11" t="s">
        <v>645</v>
      </c>
    </row>
    <row r="31" spans="1:11" ht="96" customHeight="1">
      <c r="A31" s="11" t="s">
        <v>646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647</v>
      </c>
    </row>
    <row r="2" spans="1:3" ht="15" customHeight="1">
      <c r="A2" s="2" t="s">
        <v>648</v>
      </c>
    </row>
    <row r="4" spans="1:3" ht="15" customHeight="1">
      <c r="A4" s="5" t="s">
        <v>649</v>
      </c>
      <c r="B4" s="5" t="s">
        <v>650</v>
      </c>
      <c r="C4" s="5" t="s">
        <v>651</v>
      </c>
    </row>
    <row r="5" spans="1:3" ht="15" customHeight="1">
      <c r="A5" s="7" t="s">
        <v>16</v>
      </c>
      <c r="B5" s="7" t="s">
        <v>652</v>
      </c>
      <c r="C5" s="53" t="s">
        <v>653</v>
      </c>
    </row>
    <row r="6" spans="1:3" ht="15" customHeight="1">
      <c r="A6" s="7" t="s">
        <v>654</v>
      </c>
      <c r="B6" s="7" t="s">
        <v>652</v>
      </c>
      <c r="C6" s="53" t="s">
        <v>655</v>
      </c>
    </row>
    <row r="7" spans="1:3" ht="15" customHeight="1">
      <c r="A7" s="7" t="s">
        <v>23</v>
      </c>
      <c r="B7" s="7" t="s">
        <v>656</v>
      </c>
      <c r="C7" s="53" t="s">
        <v>657</v>
      </c>
    </row>
    <row r="8" spans="1:3" ht="15" customHeight="1">
      <c r="A8" s="67" t="s">
        <v>658</v>
      </c>
      <c r="B8" s="67" t="s">
        <v>659</v>
      </c>
      <c r="C8" s="68" t="s">
        <v>660</v>
      </c>
    </row>
    <row r="9" spans="1:3" ht="15" customHeight="1">
      <c r="A9" s="67" t="s">
        <v>661</v>
      </c>
      <c r="B9" s="67" t="s">
        <v>659</v>
      </c>
      <c r="C9" s="68" t="s">
        <v>662</v>
      </c>
    </row>
    <row r="10" spans="1:3" ht="15" customHeight="1">
      <c r="A10" s="7" t="s">
        <v>663</v>
      </c>
      <c r="B10" s="7" t="s">
        <v>664</v>
      </c>
      <c r="C10" s="69" t="s">
        <v>665</v>
      </c>
    </row>
    <row r="11" spans="1:3" ht="15" customHeight="1">
      <c r="A11" s="7" t="s">
        <v>666</v>
      </c>
      <c r="B11" s="8" t="s">
        <v>667</v>
      </c>
      <c r="C11" s="53" t="s">
        <v>668</v>
      </c>
    </row>
    <row r="12" spans="1:3" ht="15" customHeight="1">
      <c r="A12" s="7" t="s">
        <v>669</v>
      </c>
      <c r="B12" s="7" t="s">
        <v>670</v>
      </c>
      <c r="C12" s="53" t="s">
        <v>671</v>
      </c>
    </row>
    <row r="15" spans="1:3" ht="24" customHeight="1">
      <c r="A15" s="11" t="s">
        <v>672</v>
      </c>
    </row>
    <row r="16" spans="1:3" ht="24" customHeight="1">
      <c r="A16" s="11" t="s">
        <v>673</v>
      </c>
    </row>
    <row r="17" spans="1:1" ht="36" customHeight="1">
      <c r="A17" s="11" t="s">
        <v>674</v>
      </c>
    </row>
    <row r="18" spans="1:1" ht="15" customHeight="1">
      <c r="A18" s="63"/>
    </row>
    <row r="19" spans="1:1" ht="36" customHeight="1">
      <c r="A19" s="11" t="s">
        <v>675</v>
      </c>
    </row>
    <row r="20" spans="1:1" ht="36" customHeight="1">
      <c r="A20" s="11" t="s">
        <v>676</v>
      </c>
    </row>
    <row r="22" spans="1:1" ht="48" customHeight="1">
      <c r="A22" s="13" t="s">
        <v>677</v>
      </c>
    </row>
    <row r="24" spans="1:1" ht="16.5" customHeight="1">
      <c r="A24" s="14" t="s">
        <v>678</v>
      </c>
    </row>
    <row r="25" spans="1:1" ht="16.5" customHeight="1">
      <c r="A25" t="s">
        <v>679</v>
      </c>
    </row>
    <row r="26" spans="1:1" ht="16.5" customHeight="1">
      <c r="A26" t="s">
        <v>680</v>
      </c>
    </row>
    <row r="27" spans="1:1" ht="16.5" customHeight="1">
      <c r="A27" t="s">
        <v>681</v>
      </c>
    </row>
    <row r="28" spans="1:1" ht="16.5" customHeight="1">
      <c r="A28" t="s">
        <v>682</v>
      </c>
    </row>
    <row r="30" spans="1:1" ht="16.5" customHeight="1">
      <c r="A30" t="s">
        <v>683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684</v>
      </c>
    </row>
    <row r="2" spans="1:7" ht="15" customHeight="1">
      <c r="A2" s="70" t="s">
        <v>685</v>
      </c>
    </row>
    <row r="3" spans="1:7" ht="16.5" customHeight="1">
      <c r="A3" s="3" t="s">
        <v>686</v>
      </c>
    </row>
    <row r="5" spans="1:7" ht="15" customHeight="1">
      <c r="A5" s="5" t="s">
        <v>687</v>
      </c>
      <c r="B5" s="5" t="s">
        <v>688</v>
      </c>
      <c r="C5" s="5" t="s">
        <v>689</v>
      </c>
      <c r="D5" s="5" t="s">
        <v>690</v>
      </c>
      <c r="E5" s="5" t="s">
        <v>140</v>
      </c>
      <c r="F5" s="5" t="s">
        <v>141</v>
      </c>
      <c r="G5" t="s">
        <v>691</v>
      </c>
    </row>
    <row r="6" spans="1:7" ht="15" customHeight="1">
      <c r="A6" s="71" t="s">
        <v>692</v>
      </c>
      <c r="B6" s="72" t="s">
        <v>693</v>
      </c>
      <c r="C6" s="72" t="s">
        <v>694</v>
      </c>
      <c r="D6" s="71" t="s">
        <v>695</v>
      </c>
      <c r="E6" s="71">
        <f>복귀_평일A_가슴!$E$12</f>
        <v>28</v>
      </c>
      <c r="F6" s="73" t="s">
        <v>696</v>
      </c>
      <c r="G6" t="s">
        <v>697</v>
      </c>
    </row>
    <row r="7" spans="1:7" ht="15" customHeight="1">
      <c r="A7" s="7" t="s">
        <v>698</v>
      </c>
      <c r="B7" s="8" t="s">
        <v>693</v>
      </c>
      <c r="C7" s="8" t="s">
        <v>694</v>
      </c>
      <c r="D7" s="67" t="s">
        <v>699</v>
      </c>
      <c r="E7" s="7">
        <f>복귀_평일B_어깨!$E$15</f>
        <v>35</v>
      </c>
      <c r="F7" s="69" t="s">
        <v>700</v>
      </c>
      <c r="G7" t="s">
        <v>701</v>
      </c>
    </row>
    <row r="8" spans="1:7" ht="15" customHeight="1">
      <c r="A8" s="71" t="s">
        <v>702</v>
      </c>
      <c r="B8" s="72" t="s">
        <v>703</v>
      </c>
      <c r="C8" s="72" t="s">
        <v>689</v>
      </c>
      <c r="D8" s="71" t="s">
        <v>704</v>
      </c>
      <c r="E8" s="71">
        <f>복귀_토_하체!$E$14</f>
        <v>32</v>
      </c>
      <c r="F8" s="73" t="s">
        <v>705</v>
      </c>
      <c r="G8" t="s">
        <v>706</v>
      </c>
    </row>
    <row r="9" spans="1:7" ht="15" customHeight="1">
      <c r="A9" s="71" t="s">
        <v>707</v>
      </c>
      <c r="B9" s="72" t="s">
        <v>708</v>
      </c>
      <c r="C9" s="72" t="s">
        <v>689</v>
      </c>
      <c r="D9" s="71" t="s">
        <v>709</v>
      </c>
      <c r="E9" s="71">
        <f>복귀_일_등!$E$16</f>
        <v>33</v>
      </c>
      <c r="F9" s="73" t="s">
        <v>710</v>
      </c>
      <c r="G9" t="s">
        <v>711</v>
      </c>
    </row>
    <row r="10" spans="1:7" ht="15" customHeight="1">
      <c r="A10" s="71" t="s">
        <v>712</v>
      </c>
      <c r="B10" s="72" t="s">
        <v>713</v>
      </c>
      <c r="C10" s="72" t="s">
        <v>144</v>
      </c>
      <c r="D10" s="71" t="s">
        <v>155</v>
      </c>
      <c r="E10" s="71">
        <v>0</v>
      </c>
      <c r="F10" s="73" t="s">
        <v>144</v>
      </c>
      <c r="G10" t="s">
        <v>714</v>
      </c>
    </row>
    <row r="11" spans="1:7" ht="15" customHeight="1">
      <c r="A11" s="7" t="s">
        <v>171</v>
      </c>
      <c r="B11" s="7"/>
      <c r="C11" s="7"/>
      <c r="D11" s="67"/>
      <c r="E11" s="7">
        <f>SUM(E6:E10)</f>
        <v>128</v>
      </c>
      <c r="F11" s="53" t="s">
        <v>715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716</v>
      </c>
    </row>
    <row r="16" spans="1:7" ht="141" customHeight="1">
      <c r="A16" s="11" t="s">
        <v>717</v>
      </c>
    </row>
    <row r="17" spans="1:1" ht="126" customHeight="1">
      <c r="A17" s="11" t="s">
        <v>718</v>
      </c>
    </row>
    <row r="18" spans="1:1" ht="77.25" customHeight="1">
      <c r="A18" s="11" t="s">
        <v>719</v>
      </c>
    </row>
    <row r="19" spans="1:1" ht="115.5" customHeight="1">
      <c r="A19" s="11" t="s">
        <v>720</v>
      </c>
    </row>
    <row r="20" spans="1:1" ht="15" customHeight="1">
      <c r="A20" s="63" t="s">
        <v>721</v>
      </c>
    </row>
    <row r="21" spans="1:1" ht="48" customHeight="1">
      <c r="A21" s="13"/>
    </row>
    <row r="22" spans="1:1" ht="141" customHeight="1">
      <c r="A22" s="11" t="s">
        <v>722</v>
      </c>
    </row>
    <row r="23" spans="1:1" ht="77.25" customHeight="1">
      <c r="A23" s="11" t="s">
        <v>723</v>
      </c>
    </row>
    <row r="24" spans="1:1" ht="90" customHeight="1">
      <c r="A24" s="11" t="s">
        <v>724</v>
      </c>
    </row>
    <row r="25" spans="1:1" ht="128.25" customHeight="1">
      <c r="A25" s="11" t="s">
        <v>725</v>
      </c>
    </row>
    <row r="26" spans="1:1" ht="128.25" customHeight="1">
      <c r="A26" s="11"/>
    </row>
    <row r="27" spans="1:1" ht="15" customHeight="1">
      <c r="A27" s="63" t="s">
        <v>726</v>
      </c>
    </row>
    <row r="28" spans="1:1" ht="48" customHeight="1">
      <c r="A28" s="13" t="s">
        <v>727</v>
      </c>
    </row>
    <row r="29" spans="1:1" ht="75" customHeight="1">
      <c r="A29" s="11" t="s">
        <v>728</v>
      </c>
    </row>
    <row r="30" spans="1:1" ht="102.75" customHeight="1">
      <c r="A30" s="11" t="s">
        <v>729</v>
      </c>
    </row>
    <row r="31" spans="1:1" ht="90" customHeight="1">
      <c r="A31" s="11" t="s">
        <v>730</v>
      </c>
    </row>
    <row r="32" spans="1:1" ht="128.25" customHeight="1">
      <c r="A32" s="11" t="s">
        <v>731</v>
      </c>
    </row>
    <row r="33" spans="1:1" ht="144" customHeight="1">
      <c r="A33" s="11"/>
    </row>
    <row r="34" spans="1:1" ht="15" customHeight="1">
      <c r="A34" s="74" t="s">
        <v>732</v>
      </c>
    </row>
    <row r="35" spans="1:1">
      <c r="A35" t="s">
        <v>733</v>
      </c>
    </row>
    <row r="36" spans="1:1">
      <c r="A36" t="s">
        <v>734</v>
      </c>
    </row>
    <row r="37" spans="1:1">
      <c r="A37" t="s">
        <v>735</v>
      </c>
    </row>
    <row r="39" spans="1:1">
      <c r="A39" t="s">
        <v>736</v>
      </c>
    </row>
    <row r="40" spans="1:1">
      <c r="A40" t="s">
        <v>737</v>
      </c>
    </row>
    <row r="41" spans="1:1">
      <c r="A41" t="s">
        <v>738</v>
      </c>
    </row>
    <row r="42" spans="1:1">
      <c r="A42" t="s">
        <v>739</v>
      </c>
    </row>
    <row r="44" spans="1:1">
      <c r="A44" t="s">
        <v>740</v>
      </c>
    </row>
    <row r="45" spans="1:1">
      <c r="A45" t="s">
        <v>200</v>
      </c>
    </row>
    <row r="46" spans="1:1">
      <c r="A46" t="s">
        <v>741</v>
      </c>
    </row>
    <row r="47" spans="1:1">
      <c r="A47" t="s">
        <v>742</v>
      </c>
    </row>
    <row r="48" spans="1:1">
      <c r="A48" t="s">
        <v>743</v>
      </c>
    </row>
    <row r="49" spans="1:1">
      <c r="A49" t="s">
        <v>744</v>
      </c>
    </row>
    <row r="50" spans="1:1">
      <c r="A50" t="s">
        <v>745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746</v>
      </c>
    </row>
    <row r="2" spans="1:13" ht="15" customHeight="1">
      <c r="A2" s="2" t="s">
        <v>747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29.25" customHeight="1">
      <c r="A5" s="67">
        <v>1</v>
      </c>
      <c r="B5" s="68" t="s">
        <v>91</v>
      </c>
      <c r="C5" s="67" t="s">
        <v>31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748</v>
      </c>
      <c r="K5" t="s">
        <v>749</v>
      </c>
      <c r="L5" s="68" t="s">
        <v>311</v>
      </c>
    </row>
    <row r="6" spans="1:13" ht="29.25" customHeight="1">
      <c r="A6" s="67">
        <v>2</v>
      </c>
      <c r="B6" s="68" t="s">
        <v>750</v>
      </c>
      <c r="C6" s="67" t="s">
        <v>25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751</v>
      </c>
      <c r="K6" t="s">
        <v>752</v>
      </c>
      <c r="L6" s="68" t="s">
        <v>412</v>
      </c>
    </row>
    <row r="7" spans="1:13" ht="15" customHeight="1">
      <c r="A7" s="7">
        <v>3</v>
      </c>
      <c r="B7" s="53" t="s">
        <v>344</v>
      </c>
      <c r="C7" s="7" t="s">
        <v>31</v>
      </c>
      <c r="D7" s="8" t="s">
        <v>144</v>
      </c>
      <c r="E7" s="7">
        <v>4</v>
      </c>
      <c r="F7" s="8" t="s">
        <v>251</v>
      </c>
      <c r="G7" s="53">
        <v>45</v>
      </c>
      <c r="H7" s="53">
        <v>150</v>
      </c>
      <c r="I7">
        <f t="shared" si="0"/>
        <v>13</v>
      </c>
      <c r="J7" t="s">
        <v>753</v>
      </c>
      <c r="K7" t="s">
        <v>754</v>
      </c>
    </row>
    <row r="8" spans="1:13" ht="15" customHeight="1">
      <c r="A8" s="7">
        <v>4</v>
      </c>
      <c r="B8" s="53" t="s">
        <v>468</v>
      </c>
      <c r="C8" s="7" t="s">
        <v>31</v>
      </c>
      <c r="D8" s="8" t="s">
        <v>144</v>
      </c>
      <c r="E8" s="7">
        <v>3</v>
      </c>
      <c r="F8" s="8" t="s">
        <v>322</v>
      </c>
      <c r="G8" s="53">
        <v>40</v>
      </c>
      <c r="H8" s="53">
        <v>120</v>
      </c>
      <c r="I8">
        <f t="shared" si="0"/>
        <v>8</v>
      </c>
      <c r="J8" t="s">
        <v>755</v>
      </c>
      <c r="K8" t="s">
        <v>756</v>
      </c>
    </row>
    <row r="9" spans="1:13" ht="15" customHeight="1">
      <c r="A9" s="7">
        <v>5</v>
      </c>
      <c r="B9" s="53" t="s">
        <v>465</v>
      </c>
      <c r="C9" s="7" t="s">
        <v>34</v>
      </c>
      <c r="D9" s="8" t="s">
        <v>144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757</v>
      </c>
      <c r="K9" t="s">
        <v>758</v>
      </c>
    </row>
    <row r="10" spans="1:13" ht="15" customHeight="1">
      <c r="A10" s="7">
        <v>6</v>
      </c>
      <c r="B10" s="53" t="s">
        <v>354</v>
      </c>
      <c r="C10" s="7" t="s">
        <v>50</v>
      </c>
      <c r="D10" s="8" t="s">
        <v>759</v>
      </c>
      <c r="E10" s="7">
        <v>4</v>
      </c>
      <c r="F10" s="8" t="s">
        <v>261</v>
      </c>
      <c r="G10" s="53">
        <v>40</v>
      </c>
      <c r="H10" s="53">
        <v>120</v>
      </c>
      <c r="I10">
        <f t="shared" si="0"/>
        <v>10.7</v>
      </c>
      <c r="J10" t="s">
        <v>760</v>
      </c>
      <c r="K10" t="s">
        <v>761</v>
      </c>
    </row>
    <row r="11" spans="1:13" ht="15" customHeight="1">
      <c r="A11" s="7">
        <v>7</v>
      </c>
      <c r="B11" s="53" t="s">
        <v>473</v>
      </c>
      <c r="C11" s="7" t="s">
        <v>40</v>
      </c>
      <c r="D11" s="77" t="s">
        <v>144</v>
      </c>
      <c r="E11" s="7">
        <v>3</v>
      </c>
      <c r="F11" s="8" t="s">
        <v>261</v>
      </c>
      <c r="G11" s="53">
        <v>40</v>
      </c>
      <c r="H11" s="53">
        <v>75</v>
      </c>
      <c r="I11">
        <f t="shared" si="0"/>
        <v>5.8</v>
      </c>
      <c r="J11" t="s">
        <v>762</v>
      </c>
      <c r="K11" t="s">
        <v>763</v>
      </c>
    </row>
    <row r="12" spans="1:13" ht="15" customHeight="1">
      <c r="A12">
        <v>8</v>
      </c>
      <c r="B12" s="87" t="s">
        <v>764</v>
      </c>
      <c r="C12" t="s">
        <v>29</v>
      </c>
      <c r="D12" s="76" t="s">
        <v>765</v>
      </c>
      <c r="E12" s="28">
        <v>3</v>
      </c>
      <c r="F12" t="s">
        <v>261</v>
      </c>
      <c r="G12">
        <v>40</v>
      </c>
      <c r="H12">
        <v>60</v>
      </c>
      <c r="I12">
        <f t="shared" si="0"/>
        <v>5</v>
      </c>
      <c r="J12" t="s">
        <v>766</v>
      </c>
      <c r="K12" t="s">
        <v>767</v>
      </c>
    </row>
    <row r="13" spans="1:13">
      <c r="A13">
        <v>9</v>
      </c>
      <c r="B13" t="s">
        <v>328</v>
      </c>
      <c r="C13" t="s">
        <v>27</v>
      </c>
      <c r="D13" t="s">
        <v>256</v>
      </c>
      <c r="E13">
        <v>4</v>
      </c>
      <c r="F13" t="s">
        <v>261</v>
      </c>
      <c r="G13">
        <v>40</v>
      </c>
      <c r="H13">
        <v>60</v>
      </c>
      <c r="I13">
        <f t="shared" si="0"/>
        <v>6.7</v>
      </c>
      <c r="J13" t="s">
        <v>768</v>
      </c>
      <c r="K13" t="s">
        <v>769</v>
      </c>
    </row>
    <row r="14" spans="1:13" ht="76.5" customHeight="1">
      <c r="A14" s="12"/>
      <c r="D14" t="s">
        <v>296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770</v>
      </c>
    </row>
    <row r="17" spans="1:1" ht="276" customHeight="1">
      <c r="A17" s="11" t="s">
        <v>771</v>
      </c>
    </row>
    <row r="18" spans="1:1">
      <c r="A18" t="s">
        <v>772</v>
      </c>
    </row>
    <row r="19" spans="1:1">
      <c r="A19" t="s">
        <v>773</v>
      </c>
    </row>
    <row r="20" spans="1:1">
      <c r="A20" t="s">
        <v>774</v>
      </c>
    </row>
    <row r="21" spans="1:1">
      <c r="A21" t="s">
        <v>775</v>
      </c>
    </row>
    <row r="23" spans="1:1">
      <c r="A23" t="s">
        <v>776</v>
      </c>
    </row>
    <row r="24" spans="1:1">
      <c r="A24" t="s">
        <v>777</v>
      </c>
    </row>
    <row r="25" spans="1:1">
      <c r="A25" t="s">
        <v>778</v>
      </c>
    </row>
    <row r="26" spans="1:1">
      <c r="A26" t="s">
        <v>779</v>
      </c>
    </row>
    <row r="28" spans="1:1">
      <c r="A28" t="s">
        <v>736</v>
      </c>
    </row>
    <row r="29" spans="1:1">
      <c r="A29" t="s">
        <v>780</v>
      </c>
    </row>
    <row r="30" spans="1:1">
      <c r="A30" t="s">
        <v>781</v>
      </c>
    </row>
    <row r="33" spans="3:3">
      <c r="C33" t="s">
        <v>782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783</v>
      </c>
    </row>
    <row r="2" spans="1:13" ht="15" customHeight="1">
      <c r="A2" s="2" t="s">
        <v>784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29.25" customHeight="1">
      <c r="A5" s="67">
        <v>1</v>
      </c>
      <c r="B5" s="68" t="s">
        <v>93</v>
      </c>
      <c r="C5" s="67" t="s">
        <v>23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785</v>
      </c>
      <c r="K5" t="s">
        <v>786</v>
      </c>
    </row>
    <row r="6" spans="1:13" ht="15" customHeight="1">
      <c r="A6" s="7">
        <v>2</v>
      </c>
      <c r="B6" s="89" t="s">
        <v>787</v>
      </c>
      <c r="C6" s="7" t="s">
        <v>21</v>
      </c>
      <c r="D6" s="8" t="s">
        <v>788</v>
      </c>
      <c r="E6" s="7">
        <v>4</v>
      </c>
      <c r="F6" s="8" t="s">
        <v>256</v>
      </c>
      <c r="G6" s="53">
        <v>40</v>
      </c>
      <c r="H6" s="53">
        <v>150</v>
      </c>
      <c r="I6">
        <f t="shared" si="0"/>
        <v>12.7</v>
      </c>
      <c r="J6" t="s">
        <v>789</v>
      </c>
      <c r="K6" t="s">
        <v>790</v>
      </c>
      <c r="L6" s="53" t="s">
        <v>791</v>
      </c>
    </row>
    <row r="7" spans="1:13" ht="15" customHeight="1">
      <c r="A7" s="7">
        <v>3</v>
      </c>
      <c r="B7" s="89" t="s">
        <v>792</v>
      </c>
      <c r="C7" s="7" t="s">
        <v>14</v>
      </c>
      <c r="D7" s="7" t="s">
        <v>144</v>
      </c>
      <c r="E7" s="7">
        <v>4</v>
      </c>
      <c r="F7" s="8" t="s">
        <v>251</v>
      </c>
      <c r="G7" s="53">
        <v>40</v>
      </c>
      <c r="H7" s="53">
        <v>150</v>
      </c>
      <c r="I7">
        <f t="shared" si="0"/>
        <v>12.7</v>
      </c>
      <c r="J7" t="s">
        <v>793</v>
      </c>
      <c r="K7" t="s">
        <v>794</v>
      </c>
    </row>
    <row r="8" spans="1:13" ht="15" customHeight="1">
      <c r="A8" s="7">
        <v>4</v>
      </c>
      <c r="B8" s="53" t="s">
        <v>245</v>
      </c>
      <c r="C8" s="7" t="s">
        <v>14</v>
      </c>
      <c r="D8" s="7" t="s">
        <v>255</v>
      </c>
      <c r="E8" s="7">
        <v>3</v>
      </c>
      <c r="F8" s="8" t="s">
        <v>246</v>
      </c>
      <c r="G8" s="53">
        <v>35</v>
      </c>
      <c r="H8" s="53">
        <v>150</v>
      </c>
      <c r="I8">
        <f t="shared" si="0"/>
        <v>9.3000000000000007</v>
      </c>
      <c r="J8" t="s">
        <v>795</v>
      </c>
      <c r="K8" t="s">
        <v>796</v>
      </c>
      <c r="L8" s="53" t="s">
        <v>797</v>
      </c>
    </row>
    <row r="9" spans="1:13" ht="29.25" customHeight="1">
      <c r="A9" s="7">
        <v>5</v>
      </c>
      <c r="B9" s="53" t="s">
        <v>376</v>
      </c>
      <c r="C9" s="7" t="s">
        <v>21</v>
      </c>
      <c r="D9" s="8" t="s">
        <v>798</v>
      </c>
      <c r="E9" s="7">
        <v>3</v>
      </c>
      <c r="F9" s="8" t="s">
        <v>261</v>
      </c>
      <c r="G9" s="53">
        <v>40</v>
      </c>
      <c r="H9" s="53">
        <v>75</v>
      </c>
      <c r="I9">
        <f t="shared" si="0"/>
        <v>5.8</v>
      </c>
      <c r="J9" t="s">
        <v>799</v>
      </c>
      <c r="K9" t="s">
        <v>800</v>
      </c>
    </row>
    <row r="10" spans="1:13" ht="15" customHeight="1">
      <c r="A10" s="7">
        <v>6</v>
      </c>
      <c r="B10" s="53" t="s">
        <v>398</v>
      </c>
      <c r="C10" s="7" t="s">
        <v>19</v>
      </c>
      <c r="D10" s="8" t="s">
        <v>765</v>
      </c>
      <c r="E10" s="7">
        <v>3</v>
      </c>
      <c r="F10" s="8" t="s">
        <v>261</v>
      </c>
      <c r="G10" s="53">
        <v>40</v>
      </c>
      <c r="H10" s="53">
        <v>75</v>
      </c>
      <c r="I10">
        <f t="shared" si="0"/>
        <v>5.8</v>
      </c>
      <c r="J10" t="s">
        <v>801</v>
      </c>
      <c r="K10" t="s">
        <v>802</v>
      </c>
    </row>
    <row r="11" spans="1:13" ht="15" customHeight="1">
      <c r="A11" s="7">
        <v>7</v>
      </c>
      <c r="B11" s="53" t="s">
        <v>312</v>
      </c>
      <c r="C11" s="7" t="s">
        <v>12</v>
      </c>
      <c r="D11" s="8" t="s">
        <v>255</v>
      </c>
      <c r="E11" s="7">
        <v>3</v>
      </c>
      <c r="F11" s="8" t="s">
        <v>251</v>
      </c>
      <c r="G11" s="53">
        <v>40</v>
      </c>
      <c r="H11" s="53">
        <v>120</v>
      </c>
      <c r="I11">
        <f t="shared" si="0"/>
        <v>8</v>
      </c>
      <c r="J11" t="s">
        <v>803</v>
      </c>
      <c r="K11" t="s">
        <v>804</v>
      </c>
      <c r="L11" s="53" t="s">
        <v>805</v>
      </c>
    </row>
    <row r="12" spans="1:13" ht="15" customHeight="1">
      <c r="A12" s="7">
        <v>8</v>
      </c>
      <c r="B12" s="53" t="s">
        <v>325</v>
      </c>
      <c r="C12" s="7" t="s">
        <v>12</v>
      </c>
      <c r="D12" s="7" t="s">
        <v>270</v>
      </c>
      <c r="E12" s="7">
        <v>3</v>
      </c>
      <c r="F12" s="7" t="s">
        <v>261</v>
      </c>
      <c r="G12" s="53">
        <v>40</v>
      </c>
      <c r="H12" s="53">
        <v>105</v>
      </c>
      <c r="I12">
        <f t="shared" si="0"/>
        <v>7.3</v>
      </c>
      <c r="J12" t="s">
        <v>806</v>
      </c>
      <c r="K12" t="s">
        <v>807</v>
      </c>
    </row>
    <row r="13" spans="1:13" ht="15" customHeight="1">
      <c r="A13">
        <v>9</v>
      </c>
      <c r="B13" t="s">
        <v>384</v>
      </c>
      <c r="C13" t="s">
        <v>42</v>
      </c>
      <c r="D13" s="76" t="s">
        <v>333</v>
      </c>
      <c r="E13" s="28">
        <v>3</v>
      </c>
      <c r="F13" t="s">
        <v>251</v>
      </c>
      <c r="G13">
        <v>40</v>
      </c>
      <c r="H13">
        <v>75</v>
      </c>
      <c r="I13">
        <f t="shared" si="0"/>
        <v>5.8</v>
      </c>
      <c r="J13" t="s">
        <v>808</v>
      </c>
      <c r="K13" t="s">
        <v>809</v>
      </c>
    </row>
    <row r="14" spans="1:13">
      <c r="A14">
        <v>10</v>
      </c>
      <c r="B14" t="s">
        <v>810</v>
      </c>
      <c r="C14" t="s">
        <v>46</v>
      </c>
      <c r="D14">
        <v>12</v>
      </c>
      <c r="E14">
        <v>3</v>
      </c>
      <c r="F14" t="s">
        <v>274</v>
      </c>
      <c r="G14">
        <v>40</v>
      </c>
      <c r="H14">
        <v>60</v>
      </c>
      <c r="I14">
        <f t="shared" si="0"/>
        <v>5</v>
      </c>
      <c r="J14" t="s">
        <v>811</v>
      </c>
      <c r="K14" t="s">
        <v>812</v>
      </c>
    </row>
    <row r="15" spans="1:13" ht="17.25" customHeight="1">
      <c r="A15" s="12">
        <v>11</v>
      </c>
      <c r="B15" t="s">
        <v>273</v>
      </c>
      <c r="C15" t="s">
        <v>46</v>
      </c>
      <c r="D15">
        <v>10</v>
      </c>
      <c r="E15">
        <v>3</v>
      </c>
      <c r="F15" t="s">
        <v>274</v>
      </c>
      <c r="G15">
        <v>40</v>
      </c>
      <c r="H15">
        <v>60</v>
      </c>
      <c r="I15">
        <f t="shared" si="0"/>
        <v>5</v>
      </c>
      <c r="J15" t="s">
        <v>813</v>
      </c>
      <c r="K15" t="s">
        <v>814</v>
      </c>
    </row>
    <row r="16" spans="1:13" ht="23.25" customHeight="1">
      <c r="A16" s="11"/>
      <c r="C16" s="88"/>
      <c r="D16" t="s">
        <v>296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815</v>
      </c>
    </row>
    <row r="19" spans="1:1" ht="15" customHeight="1">
      <c r="A19" s="63" t="s">
        <v>816</v>
      </c>
    </row>
    <row r="20" spans="1:1" ht="95.25" customHeight="1">
      <c r="A20" s="12" t="s">
        <v>817</v>
      </c>
    </row>
    <row r="21" spans="1:1" ht="252.75" customHeight="1">
      <c r="A21" s="11" t="s">
        <v>818</v>
      </c>
    </row>
    <row r="22" spans="1:1" ht="237.75" customHeight="1">
      <c r="A22" s="11" t="s">
        <v>819</v>
      </c>
    </row>
    <row r="23" spans="1:1" ht="265.5" customHeight="1">
      <c r="A23" s="11" t="s">
        <v>820</v>
      </c>
    </row>
    <row r="25" spans="1:1">
      <c r="A25" t="s">
        <v>821</v>
      </c>
    </row>
    <row r="26" spans="1:1">
      <c r="A26" t="s">
        <v>822</v>
      </c>
    </row>
    <row r="27" spans="1:1">
      <c r="A27" t="s">
        <v>823</v>
      </c>
    </row>
    <row r="28" spans="1:1">
      <c r="A28" t="s">
        <v>824</v>
      </c>
    </row>
    <row r="29" spans="1:1">
      <c r="A29" t="s">
        <v>825</v>
      </c>
    </row>
    <row r="31" spans="1:1">
      <c r="A31" t="s">
        <v>826</v>
      </c>
    </row>
    <row r="32" spans="1:1">
      <c r="A32" t="s">
        <v>827</v>
      </c>
    </row>
    <row r="33" spans="1:3">
      <c r="A33" t="s">
        <v>828</v>
      </c>
    </row>
    <row r="34" spans="1:3">
      <c r="A34" t="s">
        <v>829</v>
      </c>
    </row>
    <row r="35" spans="1:3">
      <c r="A35" t="s">
        <v>830</v>
      </c>
    </row>
    <row r="36" spans="1:3">
      <c r="A36" t="s">
        <v>831</v>
      </c>
    </row>
    <row r="38" spans="1:3">
      <c r="A38" t="s">
        <v>832</v>
      </c>
    </row>
    <row r="39" spans="1:3">
      <c r="A39" t="s">
        <v>833</v>
      </c>
    </row>
    <row r="40" spans="1:3">
      <c r="A40" t="s">
        <v>834</v>
      </c>
    </row>
    <row r="41" spans="1:3">
      <c r="A41" t="s">
        <v>835</v>
      </c>
    </row>
    <row r="44" spans="1:3">
      <c r="C44" t="s">
        <v>836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837</v>
      </c>
    </row>
    <row r="2" spans="1:13" ht="15" customHeight="1">
      <c r="A2" s="2" t="s">
        <v>838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15" customHeight="1">
      <c r="A5" s="67">
        <v>1</v>
      </c>
      <c r="B5" s="68" t="s">
        <v>413</v>
      </c>
      <c r="C5" s="67" t="s">
        <v>25</v>
      </c>
      <c r="D5" s="75" t="s">
        <v>333</v>
      </c>
      <c r="E5" s="67">
        <v>4</v>
      </c>
      <c r="F5" s="59" t="s">
        <v>251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839</v>
      </c>
      <c r="K5" t="s">
        <v>501</v>
      </c>
    </row>
    <row r="6" spans="1:13" ht="15" customHeight="1">
      <c r="A6" s="7">
        <v>2</v>
      </c>
      <c r="B6" s="53" t="s">
        <v>328</v>
      </c>
      <c r="C6" s="7" t="s">
        <v>27</v>
      </c>
      <c r="D6" s="8" t="s">
        <v>256</v>
      </c>
      <c r="E6" s="7">
        <v>4</v>
      </c>
      <c r="F6" s="8" t="s">
        <v>261</v>
      </c>
      <c r="G6" s="53">
        <v>40</v>
      </c>
      <c r="H6" s="53">
        <v>60</v>
      </c>
      <c r="I6">
        <f t="shared" si="0"/>
        <v>6.7</v>
      </c>
      <c r="J6" t="s">
        <v>840</v>
      </c>
      <c r="K6" t="s">
        <v>841</v>
      </c>
    </row>
    <row r="7" spans="1:13" ht="15" customHeight="1">
      <c r="A7" s="7">
        <v>3</v>
      </c>
      <c r="B7" s="53" t="s">
        <v>842</v>
      </c>
      <c r="C7" s="7" t="s">
        <v>27</v>
      </c>
      <c r="D7" s="8" t="s">
        <v>843</v>
      </c>
      <c r="E7" s="7">
        <v>4</v>
      </c>
      <c r="F7" s="8" t="s">
        <v>261</v>
      </c>
      <c r="G7" s="53">
        <v>60</v>
      </c>
      <c r="H7" s="53">
        <v>60</v>
      </c>
      <c r="I7">
        <f t="shared" si="0"/>
        <v>8</v>
      </c>
      <c r="J7" t="s">
        <v>844</v>
      </c>
      <c r="K7" t="s">
        <v>845</v>
      </c>
    </row>
    <row r="8" spans="1:13" ht="15" customHeight="1">
      <c r="A8" s="7">
        <v>4</v>
      </c>
      <c r="B8" s="53" t="s">
        <v>429</v>
      </c>
      <c r="C8" s="7" t="s">
        <v>29</v>
      </c>
      <c r="D8" s="8" t="s">
        <v>256</v>
      </c>
      <c r="E8" s="7">
        <v>4</v>
      </c>
      <c r="F8" s="8" t="s">
        <v>261</v>
      </c>
      <c r="G8" s="53">
        <v>40</v>
      </c>
      <c r="H8" s="53">
        <v>60</v>
      </c>
      <c r="I8">
        <f t="shared" si="0"/>
        <v>6.7</v>
      </c>
      <c r="J8" t="s">
        <v>846</v>
      </c>
      <c r="K8" t="s">
        <v>847</v>
      </c>
    </row>
    <row r="9" spans="1:13" ht="15" customHeight="1">
      <c r="A9" s="7">
        <v>5</v>
      </c>
      <c r="B9" s="53" t="s">
        <v>380</v>
      </c>
      <c r="C9" s="7" t="s">
        <v>29</v>
      </c>
      <c r="D9" s="8" t="s">
        <v>843</v>
      </c>
      <c r="E9" s="7">
        <v>3</v>
      </c>
      <c r="F9" s="8" t="s">
        <v>261</v>
      </c>
      <c r="G9" s="53">
        <v>40</v>
      </c>
      <c r="H9" s="53">
        <v>60</v>
      </c>
      <c r="I9">
        <f t="shared" si="0"/>
        <v>5</v>
      </c>
      <c r="J9" t="s">
        <v>848</v>
      </c>
      <c r="K9" t="s">
        <v>849</v>
      </c>
    </row>
    <row r="10" spans="1:13" ht="15" customHeight="1">
      <c r="A10" s="7">
        <v>6</v>
      </c>
      <c r="B10" s="53" t="s">
        <v>511</v>
      </c>
      <c r="C10" s="7" t="s">
        <v>42</v>
      </c>
      <c r="D10" s="8" t="s">
        <v>322</v>
      </c>
      <c r="E10" s="7">
        <v>3</v>
      </c>
      <c r="F10" s="8" t="s">
        <v>251</v>
      </c>
      <c r="G10" s="53">
        <v>40</v>
      </c>
      <c r="H10" s="53">
        <v>75</v>
      </c>
      <c r="I10">
        <f t="shared" si="0"/>
        <v>5.8</v>
      </c>
      <c r="J10" t="s">
        <v>850</v>
      </c>
      <c r="K10" t="s">
        <v>851</v>
      </c>
    </row>
    <row r="11" spans="1:13" ht="15" customHeight="1">
      <c r="A11">
        <v>7</v>
      </c>
      <c r="B11" t="s">
        <v>459</v>
      </c>
      <c r="C11" t="s">
        <v>36</v>
      </c>
      <c r="D11" s="76" t="s">
        <v>852</v>
      </c>
      <c r="E11" s="28">
        <v>3</v>
      </c>
      <c r="F11" t="s">
        <v>322</v>
      </c>
      <c r="G11">
        <v>40</v>
      </c>
      <c r="H11">
        <v>120</v>
      </c>
      <c r="I11">
        <f t="shared" si="0"/>
        <v>8</v>
      </c>
      <c r="J11" t="s">
        <v>853</v>
      </c>
      <c r="K11" t="s">
        <v>854</v>
      </c>
    </row>
    <row r="12" spans="1:13">
      <c r="A12">
        <v>8</v>
      </c>
      <c r="B12" t="s">
        <v>476</v>
      </c>
      <c r="C12" t="s">
        <v>38</v>
      </c>
      <c r="D12" t="s">
        <v>274</v>
      </c>
      <c r="E12">
        <v>3</v>
      </c>
      <c r="F12" t="s">
        <v>281</v>
      </c>
      <c r="G12">
        <v>60</v>
      </c>
      <c r="H12">
        <v>75</v>
      </c>
      <c r="I12">
        <f t="shared" si="0"/>
        <v>6.8</v>
      </c>
      <c r="J12" t="s">
        <v>855</v>
      </c>
      <c r="K12" t="s">
        <v>856</v>
      </c>
    </row>
    <row r="13" spans="1:13" ht="18.75" customHeight="1">
      <c r="A13" s="12">
        <v>9</v>
      </c>
      <c r="B13" t="s">
        <v>351</v>
      </c>
      <c r="C13" t="s">
        <v>34</v>
      </c>
      <c r="D13" t="s">
        <v>144</v>
      </c>
      <c r="E13">
        <v>4</v>
      </c>
      <c r="F13" t="s">
        <v>322</v>
      </c>
      <c r="G13">
        <v>40</v>
      </c>
      <c r="H13">
        <v>120</v>
      </c>
      <c r="I13">
        <f t="shared" si="0"/>
        <v>10.7</v>
      </c>
      <c r="J13" t="s">
        <v>857</v>
      </c>
      <c r="K13" t="s">
        <v>858</v>
      </c>
    </row>
    <row r="14" spans="1:13" ht="18" customHeight="1">
      <c r="A14" s="11">
        <v>10</v>
      </c>
      <c r="B14" t="s">
        <v>402</v>
      </c>
      <c r="C14" s="87" t="s">
        <v>48</v>
      </c>
      <c r="D14">
        <v>2.5</v>
      </c>
      <c r="E14">
        <v>3</v>
      </c>
      <c r="F14" t="s">
        <v>289</v>
      </c>
      <c r="G14">
        <v>40</v>
      </c>
      <c r="H14">
        <v>60</v>
      </c>
      <c r="I14">
        <f t="shared" si="0"/>
        <v>5</v>
      </c>
      <c r="J14" t="s">
        <v>859</v>
      </c>
      <c r="K14" t="s">
        <v>860</v>
      </c>
    </row>
    <row r="15" spans="1:13" ht="25.5" customHeight="1">
      <c r="A15" s="11"/>
      <c r="D15" t="s">
        <v>296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770</v>
      </c>
    </row>
    <row r="17" spans="1:1">
      <c r="A17" t="s">
        <v>861</v>
      </c>
    </row>
    <row r="18" spans="1:1">
      <c r="A18" t="s">
        <v>862</v>
      </c>
    </row>
    <row r="19" spans="1:1">
      <c r="A19" t="s">
        <v>863</v>
      </c>
    </row>
    <row r="20" spans="1:1">
      <c r="A20" t="s">
        <v>864</v>
      </c>
    </row>
    <row r="22" spans="1:1">
      <c r="A22" t="s">
        <v>865</v>
      </c>
    </row>
    <row r="23" spans="1:1">
      <c r="A23" t="s">
        <v>866</v>
      </c>
    </row>
    <row r="24" spans="1:1">
      <c r="A24" t="s">
        <v>867</v>
      </c>
    </row>
    <row r="25" spans="1:1">
      <c r="A25" t="s">
        <v>868</v>
      </c>
    </row>
    <row r="27" spans="1:1">
      <c r="A27" t="s">
        <v>869</v>
      </c>
    </row>
    <row r="28" spans="1:1">
      <c r="A28" t="s">
        <v>870</v>
      </c>
    </row>
    <row r="29" spans="1:1">
      <c r="A29" t="s">
        <v>871</v>
      </c>
    </row>
    <row r="30" spans="1:1">
      <c r="A30" t="s">
        <v>872</v>
      </c>
    </row>
    <row r="33" spans="3:3">
      <c r="C33" t="s">
        <v>873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874</v>
      </c>
    </row>
    <row r="2" spans="1:13" ht="15" customHeight="1">
      <c r="A2" s="2" t="s">
        <v>875</v>
      </c>
    </row>
    <row r="4" spans="1:13" ht="15" customHeight="1">
      <c r="A4" s="6" t="s">
        <v>234</v>
      </c>
      <c r="B4" s="5" t="s">
        <v>85</v>
      </c>
      <c r="C4" s="5" t="s">
        <v>2</v>
      </c>
      <c r="D4" s="5" t="s">
        <v>235</v>
      </c>
      <c r="E4" s="5" t="s">
        <v>140</v>
      </c>
      <c r="F4" s="5" t="s">
        <v>236</v>
      </c>
      <c r="G4" s="5" t="s">
        <v>237</v>
      </c>
      <c r="H4" s="5" t="s">
        <v>238</v>
      </c>
      <c r="I4" t="s">
        <v>239</v>
      </c>
      <c r="J4" t="s">
        <v>241</v>
      </c>
      <c r="K4" t="s">
        <v>242</v>
      </c>
      <c r="L4" s="5" t="s">
        <v>243</v>
      </c>
      <c r="M4" s="5" t="s">
        <v>244</v>
      </c>
    </row>
    <row r="5" spans="1:13" ht="15" customHeight="1">
      <c r="A5" s="67">
        <v>1</v>
      </c>
      <c r="B5" s="68" t="s">
        <v>95</v>
      </c>
      <c r="C5" s="67" t="s">
        <v>12</v>
      </c>
      <c r="D5" s="75">
        <f>시작중량_설정!$E$9</f>
        <v>29.25</v>
      </c>
      <c r="E5" s="67">
        <v>5</v>
      </c>
      <c r="F5" s="59" t="s">
        <v>156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876</v>
      </c>
      <c r="K5" t="s">
        <v>877</v>
      </c>
      <c r="L5" s="68" t="s">
        <v>311</v>
      </c>
    </row>
    <row r="6" spans="1:13" ht="15" customHeight="1">
      <c r="A6" s="7">
        <v>2</v>
      </c>
      <c r="B6" s="53" t="s">
        <v>422</v>
      </c>
      <c r="C6" s="7" t="s">
        <v>9</v>
      </c>
      <c r="D6" s="8" t="s">
        <v>788</v>
      </c>
      <c r="E6" s="7">
        <v>5</v>
      </c>
      <c r="F6" s="8" t="s">
        <v>256</v>
      </c>
      <c r="G6" s="53">
        <v>40</v>
      </c>
      <c r="H6" s="53">
        <v>150</v>
      </c>
      <c r="I6">
        <f t="shared" si="0"/>
        <v>15.8</v>
      </c>
      <c r="J6" t="s">
        <v>878</v>
      </c>
      <c r="K6" t="s">
        <v>879</v>
      </c>
    </row>
    <row r="7" spans="1:13" ht="15" customHeight="1">
      <c r="A7" s="7">
        <v>3</v>
      </c>
      <c r="B7" s="53" t="s">
        <v>880</v>
      </c>
      <c r="C7" s="7" t="s">
        <v>9</v>
      </c>
      <c r="D7" s="8" t="s">
        <v>256</v>
      </c>
      <c r="E7" s="7">
        <v>4</v>
      </c>
      <c r="F7" s="8" t="s">
        <v>322</v>
      </c>
      <c r="G7" s="53">
        <v>40</v>
      </c>
      <c r="H7" s="53">
        <v>105</v>
      </c>
      <c r="I7">
        <f t="shared" si="0"/>
        <v>9.6999999999999993</v>
      </c>
      <c r="J7" t="s">
        <v>881</v>
      </c>
      <c r="K7" t="s">
        <v>882</v>
      </c>
    </row>
    <row r="8" spans="1:13" ht="15" customHeight="1">
      <c r="A8" s="7">
        <v>4</v>
      </c>
      <c r="B8" s="89" t="s">
        <v>369</v>
      </c>
      <c r="C8" s="7" t="s">
        <v>21</v>
      </c>
      <c r="D8" s="8" t="s">
        <v>144</v>
      </c>
      <c r="E8" s="7">
        <v>4</v>
      </c>
      <c r="F8" s="8" t="s">
        <v>256</v>
      </c>
      <c r="G8" s="53">
        <v>40</v>
      </c>
      <c r="H8" s="53">
        <v>150</v>
      </c>
      <c r="I8">
        <f t="shared" si="0"/>
        <v>12.7</v>
      </c>
      <c r="J8" t="s">
        <v>883</v>
      </c>
      <c r="K8" t="s">
        <v>884</v>
      </c>
    </row>
    <row r="9" spans="1:13" ht="15" customHeight="1">
      <c r="A9" s="7">
        <v>5</v>
      </c>
      <c r="B9" s="89" t="s">
        <v>885</v>
      </c>
      <c r="C9" s="7" t="s">
        <v>14</v>
      </c>
      <c r="D9" s="8" t="s">
        <v>144</v>
      </c>
      <c r="E9" s="7">
        <v>4</v>
      </c>
      <c r="F9" s="8" t="s">
        <v>251</v>
      </c>
      <c r="G9" s="53">
        <v>40</v>
      </c>
      <c r="H9" s="53">
        <v>120</v>
      </c>
      <c r="I9">
        <f t="shared" si="0"/>
        <v>10.7</v>
      </c>
      <c r="J9" t="s">
        <v>886</v>
      </c>
      <c r="K9" t="s">
        <v>887</v>
      </c>
    </row>
    <row r="10" spans="1:13" ht="15" customHeight="1">
      <c r="A10" s="7">
        <v>6</v>
      </c>
      <c r="B10" s="53" t="s">
        <v>439</v>
      </c>
      <c r="C10" s="7" t="s">
        <v>44</v>
      </c>
      <c r="D10" s="8" t="s">
        <v>266</v>
      </c>
      <c r="E10" s="7">
        <v>3</v>
      </c>
      <c r="F10" s="8" t="s">
        <v>251</v>
      </c>
      <c r="G10" s="53">
        <v>40</v>
      </c>
      <c r="H10" s="53">
        <v>75</v>
      </c>
      <c r="I10">
        <f t="shared" si="0"/>
        <v>5.8</v>
      </c>
      <c r="J10" t="s">
        <v>888</v>
      </c>
      <c r="K10" t="s">
        <v>889</v>
      </c>
    </row>
    <row r="11" spans="1:13" ht="15" customHeight="1">
      <c r="A11">
        <v>7</v>
      </c>
      <c r="B11" t="s">
        <v>269</v>
      </c>
      <c r="C11" t="s">
        <v>44</v>
      </c>
      <c r="D11" s="76" t="s">
        <v>399</v>
      </c>
      <c r="E11" s="28">
        <v>3</v>
      </c>
      <c r="F11" t="s">
        <v>270</v>
      </c>
      <c r="G11">
        <v>40</v>
      </c>
      <c r="H11">
        <v>70</v>
      </c>
      <c r="I11">
        <f t="shared" si="0"/>
        <v>5.5</v>
      </c>
      <c r="J11" t="s">
        <v>890</v>
      </c>
      <c r="K11" t="s">
        <v>891</v>
      </c>
    </row>
    <row r="12" spans="1:13">
      <c r="D12" t="s">
        <v>296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892</v>
      </c>
    </row>
    <row r="22" spans="1:3">
      <c r="A22" t="s">
        <v>893</v>
      </c>
    </row>
    <row r="23" spans="1:3">
      <c r="A23" t="s">
        <v>894</v>
      </c>
    </row>
    <row r="24" spans="1:3">
      <c r="A24" t="s">
        <v>895</v>
      </c>
    </row>
    <row r="27" spans="1:3">
      <c r="C27" t="s">
        <v>896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897</v>
      </c>
    </row>
    <row r="2" spans="1:4" ht="15" customHeight="1">
      <c r="A2" s="2" t="s">
        <v>898</v>
      </c>
    </row>
    <row r="4" spans="1:4" ht="15" customHeight="1">
      <c r="A4" s="5" t="s">
        <v>899</v>
      </c>
      <c r="B4" s="5" t="s">
        <v>900</v>
      </c>
      <c r="C4" s="5" t="s">
        <v>901</v>
      </c>
      <c r="D4" s="5" t="s">
        <v>651</v>
      </c>
    </row>
    <row r="5" spans="1:4" ht="15" customHeight="1">
      <c r="A5" s="7" t="s">
        <v>902</v>
      </c>
      <c r="B5" s="7" t="s">
        <v>903</v>
      </c>
      <c r="C5" s="7" t="s">
        <v>904</v>
      </c>
      <c r="D5" s="69" t="s">
        <v>905</v>
      </c>
    </row>
    <row r="6" spans="1:4" ht="15" customHeight="1">
      <c r="A6" s="7" t="s">
        <v>663</v>
      </c>
      <c r="B6" s="8" t="s">
        <v>906</v>
      </c>
      <c r="C6" s="7" t="s">
        <v>907</v>
      </c>
      <c r="D6" s="53" t="s">
        <v>908</v>
      </c>
    </row>
    <row r="7" spans="1:4" ht="15" customHeight="1">
      <c r="A7" s="7" t="s">
        <v>909</v>
      </c>
      <c r="B7" s="7" t="s">
        <v>910</v>
      </c>
      <c r="C7" s="7" t="s">
        <v>911</v>
      </c>
      <c r="D7" s="53" t="s">
        <v>912</v>
      </c>
    </row>
    <row r="8" spans="1:4" ht="15" customHeight="1">
      <c r="A8" s="7" t="s">
        <v>913</v>
      </c>
      <c r="B8" s="7" t="s">
        <v>914</v>
      </c>
      <c r="C8" s="7" t="s">
        <v>915</v>
      </c>
      <c r="D8" s="53" t="s">
        <v>916</v>
      </c>
    </row>
    <row r="9" spans="1:4" ht="15" customHeight="1">
      <c r="A9" s="7" t="s">
        <v>917</v>
      </c>
      <c r="B9" s="8" t="s">
        <v>918</v>
      </c>
      <c r="C9" s="8" t="s">
        <v>919</v>
      </c>
      <c r="D9" s="53" t="s">
        <v>920</v>
      </c>
    </row>
    <row r="10" spans="1:4" ht="15" customHeight="1">
      <c r="A10" s="7" t="s">
        <v>921</v>
      </c>
      <c r="B10" s="8" t="s">
        <v>922</v>
      </c>
      <c r="C10" s="8" t="s">
        <v>923</v>
      </c>
      <c r="D10" s="53" t="s">
        <v>924</v>
      </c>
    </row>
    <row r="11" spans="1:4" ht="15" customHeight="1">
      <c r="A11" s="7" t="s">
        <v>925</v>
      </c>
      <c r="B11" s="8" t="s">
        <v>144</v>
      </c>
      <c r="C11" s="8" t="s">
        <v>926</v>
      </c>
      <c r="D11" s="53" t="s">
        <v>927</v>
      </c>
    </row>
    <row r="12" spans="1:4" ht="15" customHeight="1">
      <c r="A12" s="7" t="s">
        <v>928</v>
      </c>
      <c r="B12" s="8" t="s">
        <v>929</v>
      </c>
      <c r="C12" s="8" t="s">
        <v>930</v>
      </c>
      <c r="D12" s="53" t="s">
        <v>931</v>
      </c>
    </row>
    <row r="13" spans="1:4" ht="15" customHeight="1">
      <c r="A13" s="79" t="s">
        <v>932</v>
      </c>
      <c r="B13" s="80" t="s">
        <v>933</v>
      </c>
      <c r="C13" s="80" t="s">
        <v>934</v>
      </c>
      <c r="D13" s="79" t="s">
        <v>935</v>
      </c>
    </row>
    <row r="14" spans="1:4">
      <c r="A14" t="s">
        <v>936</v>
      </c>
      <c r="B14" t="s">
        <v>937</v>
      </c>
      <c r="C14" t="s">
        <v>938</v>
      </c>
      <c r="D14" t="s">
        <v>939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940</v>
      </c>
    </row>
    <row r="18" spans="1:1" ht="39" customHeight="1">
      <c r="A18" s="11" t="s">
        <v>941</v>
      </c>
    </row>
    <row r="19" spans="1:1" ht="39" customHeight="1">
      <c r="A19" s="11" t="s">
        <v>942</v>
      </c>
    </row>
    <row r="20" spans="1:1" ht="15" customHeight="1">
      <c r="A20" s="63" t="s">
        <v>943</v>
      </c>
    </row>
    <row r="21" spans="1:1" ht="51.75" customHeight="1">
      <c r="A21" s="11"/>
    </row>
    <row r="22" spans="1:1" ht="39" customHeight="1">
      <c r="A22" s="11" t="s">
        <v>944</v>
      </c>
    </row>
    <row r="23" spans="1:1" ht="15" customHeight="1">
      <c r="A23" s="63" t="s">
        <v>945</v>
      </c>
    </row>
    <row r="24" spans="1:1" ht="51.75" customHeight="1">
      <c r="A24" s="11" t="s">
        <v>946</v>
      </c>
    </row>
    <row r="25" spans="1:1" ht="39" customHeight="1">
      <c r="A25" s="11" t="s">
        <v>947</v>
      </c>
    </row>
    <row r="26" spans="1:1">
      <c r="A26" t="s">
        <v>872</v>
      </c>
    </row>
    <row r="28" spans="1:1">
      <c r="A28" t="s">
        <v>948</v>
      </c>
    </row>
    <row r="29" spans="1:1">
      <c r="A29" t="s">
        <v>949</v>
      </c>
    </row>
    <row r="30" spans="1:1">
      <c r="A30" t="s">
        <v>950</v>
      </c>
    </row>
    <row r="31" spans="1:1">
      <c r="A31" t="s">
        <v>951</v>
      </c>
    </row>
    <row r="33" spans="1:1">
      <c r="A33" t="s">
        <v>952</v>
      </c>
    </row>
    <row r="34" spans="1:1">
      <c r="A34" t="s">
        <v>953</v>
      </c>
    </row>
    <row r="35" spans="1:1">
      <c r="A35" t="s">
        <v>954</v>
      </c>
    </row>
    <row r="36" spans="1:1">
      <c r="A36" t="s">
        <v>955</v>
      </c>
    </row>
    <row r="37" spans="1:1">
      <c r="A37" t="s">
        <v>956</v>
      </c>
    </row>
    <row r="39" spans="1:1">
      <c r="A39" t="s">
        <v>957</v>
      </c>
    </row>
    <row r="40" spans="1:1">
      <c r="A40" t="s">
        <v>958</v>
      </c>
    </row>
    <row r="41" spans="1:1">
      <c r="A41" t="s">
        <v>959</v>
      </c>
    </row>
    <row r="42" spans="1:1">
      <c r="A42" t="s">
        <v>960</v>
      </c>
    </row>
    <row r="43" spans="1:1">
      <c r="A43" t="s">
        <v>961</v>
      </c>
    </row>
    <row r="44" spans="1:1">
      <c r="A44" t="s">
        <v>962</v>
      </c>
    </row>
    <row r="45" spans="1:1">
      <c r="A45" t="s">
        <v>963</v>
      </c>
    </row>
    <row r="47" spans="1:1">
      <c r="A47" t="s">
        <v>964</v>
      </c>
    </row>
    <row r="48" spans="1:1">
      <c r="A48" t="s">
        <v>965</v>
      </c>
    </row>
    <row r="49" spans="1:1">
      <c r="A49" t="s">
        <v>966</v>
      </c>
    </row>
    <row r="50" spans="1:1">
      <c r="A50" t="s">
        <v>967</v>
      </c>
    </row>
    <row r="51" spans="1:1">
      <c r="A51" t="s">
        <v>968</v>
      </c>
    </row>
    <row r="52" spans="1:1">
      <c r="A52" t="s">
        <v>969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970</v>
      </c>
    </row>
    <row r="2" spans="1:8">
      <c r="A2" t="s">
        <v>971</v>
      </c>
    </row>
    <row r="3" spans="1:8">
      <c r="A3" t="s">
        <v>538</v>
      </c>
      <c r="F3">
        <f ca="1">COUNTIF($E$7:$E$51,"?")</f>
        <v>0</v>
      </c>
    </row>
    <row r="4" spans="1:8">
      <c r="A4" t="s">
        <v>972</v>
      </c>
    </row>
    <row r="6" spans="1:8">
      <c r="A6" t="s">
        <v>973</v>
      </c>
      <c r="B6" t="s">
        <v>541</v>
      </c>
      <c r="C6" t="s">
        <v>542</v>
      </c>
      <c r="D6" t="s">
        <v>543</v>
      </c>
      <c r="E6" t="s">
        <v>544</v>
      </c>
      <c r="F6" t="s">
        <v>545</v>
      </c>
      <c r="G6" t="s">
        <v>546</v>
      </c>
      <c r="H6" t="s">
        <v>547</v>
      </c>
    </row>
    <row r="7" spans="1:8">
      <c r="A7" t="s">
        <v>974</v>
      </c>
      <c r="B7" t="s">
        <v>369</v>
      </c>
      <c r="C7" t="s">
        <v>42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561</v>
      </c>
      <c r="H7" t="s">
        <v>975</v>
      </c>
    </row>
    <row r="8" spans="1:8">
      <c r="A8" t="s">
        <v>974</v>
      </c>
      <c r="B8" t="s">
        <v>885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561</v>
      </c>
      <c r="H8" t="s">
        <v>976</v>
      </c>
    </row>
    <row r="9" spans="1:8">
      <c r="A9" t="s">
        <v>977</v>
      </c>
      <c r="B9" t="s">
        <v>787</v>
      </c>
      <c r="C9" t="s">
        <v>42</v>
      </c>
      <c r="D9">
        <v>0.2</v>
      </c>
      <c r="E9">
        <f t="shared" ca="1" si="0"/>
        <v>4</v>
      </c>
      <c r="F9">
        <f t="shared" ca="1" si="1"/>
        <v>0.8</v>
      </c>
      <c r="G9" t="s">
        <v>561</v>
      </c>
      <c r="H9" t="s">
        <v>978</v>
      </c>
    </row>
    <row r="10" spans="1:8">
      <c r="A10" t="s">
        <v>977</v>
      </c>
      <c r="B10" t="s">
        <v>792</v>
      </c>
      <c r="C10" t="s">
        <v>42</v>
      </c>
      <c r="D10">
        <v>0.33</v>
      </c>
      <c r="E10">
        <f t="shared" ca="1" si="0"/>
        <v>4</v>
      </c>
      <c r="F10">
        <f t="shared" ca="1" si="1"/>
        <v>1.32</v>
      </c>
      <c r="G10" t="s">
        <v>561</v>
      </c>
      <c r="H10" t="s">
        <v>979</v>
      </c>
    </row>
    <row r="11" spans="1:8">
      <c r="A11" t="s">
        <v>977</v>
      </c>
      <c r="B11" t="s">
        <v>245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561</v>
      </c>
      <c r="H11" t="s">
        <v>980</v>
      </c>
    </row>
    <row r="12" spans="1:8">
      <c r="A12" t="s">
        <v>974</v>
      </c>
      <c r="B12" t="s">
        <v>95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561</v>
      </c>
      <c r="H12" t="s">
        <v>981</v>
      </c>
    </row>
    <row r="13" spans="1:8">
      <c r="A13" t="s">
        <v>974</v>
      </c>
      <c r="B13" t="s">
        <v>422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561</v>
      </c>
      <c r="H13" t="s">
        <v>982</v>
      </c>
    </row>
    <row r="15" spans="1:8">
      <c r="A15" t="s">
        <v>983</v>
      </c>
      <c r="B15" t="s">
        <v>413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561</v>
      </c>
      <c r="H15" t="s">
        <v>982</v>
      </c>
    </row>
    <row r="16" spans="1:8">
      <c r="A16" t="s">
        <v>984</v>
      </c>
      <c r="B16" t="s">
        <v>750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561</v>
      </c>
      <c r="H16" t="s">
        <v>982</v>
      </c>
    </row>
    <row r="17" spans="1:8">
      <c r="A17" t="s">
        <v>977</v>
      </c>
      <c r="B17" t="s">
        <v>312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561</v>
      </c>
      <c r="H17" t="s">
        <v>982</v>
      </c>
    </row>
    <row r="18" spans="1:8">
      <c r="A18" t="s">
        <v>974</v>
      </c>
      <c r="B18" t="s">
        <v>95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561</v>
      </c>
      <c r="H18" t="s">
        <v>985</v>
      </c>
    </row>
    <row r="19" spans="1:8">
      <c r="A19" t="s">
        <v>974</v>
      </c>
      <c r="B19" t="s">
        <v>422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561</v>
      </c>
      <c r="H19" t="s">
        <v>986</v>
      </c>
    </row>
    <row r="20" spans="1:8">
      <c r="A20" t="s">
        <v>977</v>
      </c>
      <c r="B20" t="s">
        <v>312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561</v>
      </c>
      <c r="H20" t="s">
        <v>987</v>
      </c>
    </row>
    <row r="21" spans="1:8">
      <c r="A21" t="s">
        <v>984</v>
      </c>
      <c r="B21" t="s">
        <v>750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561</v>
      </c>
      <c r="H21" t="s">
        <v>988</v>
      </c>
    </row>
    <row r="22" spans="1:8">
      <c r="A22" t="s">
        <v>974</v>
      </c>
      <c r="B22" t="s">
        <v>369</v>
      </c>
      <c r="C22" t="s">
        <v>14</v>
      </c>
      <c r="D22">
        <v>0.5</v>
      </c>
      <c r="E22">
        <f t="shared" ca="1" si="2"/>
        <v>4</v>
      </c>
      <c r="F22">
        <f t="shared" ca="1" si="3"/>
        <v>2</v>
      </c>
      <c r="G22" t="s">
        <v>561</v>
      </c>
      <c r="H22" t="s">
        <v>989</v>
      </c>
    </row>
    <row r="23" spans="1:8">
      <c r="A23" t="s">
        <v>977</v>
      </c>
      <c r="B23" t="s">
        <v>787</v>
      </c>
      <c r="C23" t="s">
        <v>14</v>
      </c>
      <c r="D23">
        <v>0.5</v>
      </c>
      <c r="E23">
        <f t="shared" ca="1" si="2"/>
        <v>4</v>
      </c>
      <c r="F23">
        <f t="shared" ca="1" si="3"/>
        <v>2</v>
      </c>
      <c r="G23" t="s">
        <v>561</v>
      </c>
      <c r="H23" t="s">
        <v>989</v>
      </c>
    </row>
    <row r="24" spans="1:8">
      <c r="A24" t="s">
        <v>977</v>
      </c>
      <c r="B24" t="s">
        <v>792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561</v>
      </c>
      <c r="H24" t="s">
        <v>990</v>
      </c>
    </row>
    <row r="25" spans="1:8">
      <c r="A25" t="s">
        <v>983</v>
      </c>
      <c r="B25" t="s">
        <v>380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561</v>
      </c>
      <c r="H25" t="s">
        <v>991</v>
      </c>
    </row>
    <row r="26" spans="1:8">
      <c r="A26" t="s">
        <v>983</v>
      </c>
      <c r="B26" t="s">
        <v>429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561</v>
      </c>
      <c r="H26" t="s">
        <v>992</v>
      </c>
    </row>
    <row r="27" spans="1:8">
      <c r="A27" t="s">
        <v>984</v>
      </c>
      <c r="B27" t="s">
        <v>764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561</v>
      </c>
      <c r="H27" t="s">
        <v>992</v>
      </c>
    </row>
    <row r="28" spans="1:8">
      <c r="A28" t="s">
        <v>984</v>
      </c>
      <c r="B28" t="s">
        <v>750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561</v>
      </c>
      <c r="H28" t="s">
        <v>993</v>
      </c>
    </row>
    <row r="29" spans="1:8">
      <c r="A29" t="s">
        <v>977</v>
      </c>
      <c r="B29" t="s">
        <v>787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561</v>
      </c>
      <c r="H29" t="s">
        <v>994</v>
      </c>
    </row>
    <row r="30" spans="1:8">
      <c r="A30" t="s">
        <v>977</v>
      </c>
      <c r="B30" t="s">
        <v>93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561</v>
      </c>
      <c r="H30" t="s">
        <v>995</v>
      </c>
    </row>
    <row r="31" spans="1:8">
      <c r="A31" t="s">
        <v>977</v>
      </c>
      <c r="B31" t="s">
        <v>245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561</v>
      </c>
      <c r="H31" t="s">
        <v>996</v>
      </c>
    </row>
    <row r="32" spans="1:8">
      <c r="A32" t="s">
        <v>974</v>
      </c>
      <c r="B32" t="s">
        <v>885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561</v>
      </c>
      <c r="H32" t="s">
        <v>997</v>
      </c>
    </row>
    <row r="33" spans="1:8">
      <c r="A33" t="s">
        <v>984</v>
      </c>
      <c r="B33" t="s">
        <v>91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561</v>
      </c>
      <c r="H33" t="s">
        <v>998</v>
      </c>
    </row>
    <row r="34" spans="1:8">
      <c r="A34" t="s">
        <v>977</v>
      </c>
      <c r="B34" t="s">
        <v>787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561</v>
      </c>
      <c r="H34" t="s">
        <v>999</v>
      </c>
    </row>
    <row r="35" spans="1:8">
      <c r="A35" t="s">
        <v>977</v>
      </c>
      <c r="B35" t="s">
        <v>398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561</v>
      </c>
      <c r="H35" t="s">
        <v>1000</v>
      </c>
    </row>
    <row r="36" spans="1:8">
      <c r="A36" t="s">
        <v>984</v>
      </c>
      <c r="B36" t="s">
        <v>91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561</v>
      </c>
      <c r="H36" t="s">
        <v>583</v>
      </c>
    </row>
    <row r="37" spans="1:8">
      <c r="A37" t="s">
        <v>977</v>
      </c>
      <c r="B37" t="s">
        <v>93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561</v>
      </c>
      <c r="H37" t="s">
        <v>1001</v>
      </c>
    </row>
    <row r="38" spans="1:8">
      <c r="A38" t="s">
        <v>984</v>
      </c>
      <c r="B38" t="s">
        <v>344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561</v>
      </c>
      <c r="H38" t="s">
        <v>584</v>
      </c>
    </row>
    <row r="39" spans="1:8">
      <c r="A39" t="s">
        <v>983</v>
      </c>
      <c r="B39" t="s">
        <v>459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561</v>
      </c>
      <c r="H39" t="s">
        <v>1002</v>
      </c>
    </row>
    <row r="40" spans="1:8">
      <c r="A40" t="s">
        <v>977</v>
      </c>
      <c r="B40" t="s">
        <v>93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561</v>
      </c>
      <c r="H40" t="s">
        <v>1003</v>
      </c>
    </row>
    <row r="41" spans="1:8">
      <c r="A41" t="s">
        <v>984</v>
      </c>
      <c r="B41" t="s">
        <v>91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561</v>
      </c>
      <c r="H41" t="s">
        <v>1004</v>
      </c>
    </row>
    <row r="42" spans="1:8">
      <c r="A42" t="s">
        <v>984</v>
      </c>
      <c r="B42" t="s">
        <v>344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561</v>
      </c>
      <c r="H42" t="s">
        <v>1004</v>
      </c>
    </row>
    <row r="43" spans="1:8">
      <c r="A43" t="s">
        <v>983</v>
      </c>
      <c r="B43" t="s">
        <v>511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561</v>
      </c>
      <c r="H43" t="s">
        <v>564</v>
      </c>
    </row>
    <row r="44" spans="1:8">
      <c r="A44" t="s">
        <v>977</v>
      </c>
      <c r="B44" t="s">
        <v>384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561</v>
      </c>
      <c r="H44" t="s">
        <v>564</v>
      </c>
    </row>
    <row r="45" spans="1:8">
      <c r="A45" t="s">
        <v>974</v>
      </c>
      <c r="B45" t="s">
        <v>95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561</v>
      </c>
      <c r="H45" t="s">
        <v>1005</v>
      </c>
    </row>
    <row r="46" spans="1:8">
      <c r="A46" t="s">
        <v>974</v>
      </c>
      <c r="B46" t="s">
        <v>422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561</v>
      </c>
      <c r="H46" t="s">
        <v>1006</v>
      </c>
    </row>
    <row r="47" spans="1:8">
      <c r="A47" t="s">
        <v>977</v>
      </c>
      <c r="B47" t="s">
        <v>93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561</v>
      </c>
      <c r="H47" t="s">
        <v>1007</v>
      </c>
    </row>
    <row r="48" spans="1:8">
      <c r="A48" t="s">
        <v>984</v>
      </c>
      <c r="B48" t="s">
        <v>91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561</v>
      </c>
      <c r="H48" t="s">
        <v>1008</v>
      </c>
    </row>
    <row r="49" spans="1:8">
      <c r="A49" t="s">
        <v>984</v>
      </c>
      <c r="B49" t="s">
        <v>473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561</v>
      </c>
      <c r="H49" t="s">
        <v>1009</v>
      </c>
    </row>
    <row r="50" spans="1:8">
      <c r="A50" t="s">
        <v>974</v>
      </c>
      <c r="B50" t="s">
        <v>880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561</v>
      </c>
      <c r="H50" t="s">
        <v>1006</v>
      </c>
    </row>
    <row r="51" spans="1:8">
      <c r="A51" t="s">
        <v>974</v>
      </c>
      <c r="B51" t="s">
        <v>880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561</v>
      </c>
      <c r="H51" t="s">
        <v>1010</v>
      </c>
    </row>
  </sheetData>
  <phoneticPr fontId="32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1011</v>
      </c>
    </row>
    <row r="2" spans="1:9">
      <c r="A2" t="s">
        <v>1012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1013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1014</v>
      </c>
      <c r="G5" t="s">
        <v>1015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1016</v>
      </c>
      <c r="G6" t="s">
        <v>1015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1017</v>
      </c>
      <c r="G7" t="s">
        <v>1018</v>
      </c>
      <c r="H7" t="s">
        <v>1019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1020</v>
      </c>
      <c r="G8" t="s">
        <v>1018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1021</v>
      </c>
      <c r="G9" t="s">
        <v>1022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1023</v>
      </c>
      <c r="G10" t="s">
        <v>1022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1024</v>
      </c>
      <c r="G11" t="s">
        <v>1018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1025</v>
      </c>
      <c r="G12" t="s">
        <v>1015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1026</v>
      </c>
      <c r="G13" t="s">
        <v>1015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1027</v>
      </c>
      <c r="G14" t="s">
        <v>1015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1028</v>
      </c>
      <c r="G15" t="s">
        <v>1018</v>
      </c>
      <c r="H15" t="s">
        <v>1029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1030</v>
      </c>
      <c r="G16" t="s">
        <v>1022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1031</v>
      </c>
      <c r="G17" t="s">
        <v>1022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1032</v>
      </c>
      <c r="G18" t="s">
        <v>1022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1033</v>
      </c>
      <c r="G19" t="s">
        <v>1018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1034</v>
      </c>
      <c r="G20" t="s">
        <v>1015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1035</v>
      </c>
      <c r="G21" t="s">
        <v>1015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1036</v>
      </c>
      <c r="G22" t="s">
        <v>1018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1037</v>
      </c>
      <c r="G23" t="s">
        <v>1022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1038</v>
      </c>
      <c r="G24" t="s">
        <v>1015</v>
      </c>
    </row>
    <row r="25" spans="1:7">
      <c r="A25" t="s">
        <v>52</v>
      </c>
      <c r="B25">
        <f>SUM(B5:B24)</f>
        <v>128</v>
      </c>
      <c r="D25">
        <f ca="1">SUM(D5:D24)</f>
        <v>181.5</v>
      </c>
    </row>
    <row r="27" spans="1:7">
      <c r="A27" t="s">
        <v>53</v>
      </c>
    </row>
    <row r="28" spans="1:7">
      <c r="A28" t="s">
        <v>1039</v>
      </c>
    </row>
    <row r="29" spans="1:7">
      <c r="A29" t="s">
        <v>1040</v>
      </c>
    </row>
    <row r="30" spans="1:7">
      <c r="A30" t="s">
        <v>1041</v>
      </c>
    </row>
    <row r="32" spans="1:7">
      <c r="A32" t="s">
        <v>1042</v>
      </c>
    </row>
    <row r="33" spans="1:1">
      <c r="A33" t="s">
        <v>1043</v>
      </c>
    </row>
    <row r="34" spans="1:1">
      <c r="A34" t="s">
        <v>1044</v>
      </c>
    </row>
    <row r="35" spans="1:1">
      <c r="A35" t="s">
        <v>1045</v>
      </c>
    </row>
    <row r="37" spans="1:1">
      <c r="A37" t="s">
        <v>1046</v>
      </c>
    </row>
    <row r="38" spans="1:1">
      <c r="A38" t="s">
        <v>1047</v>
      </c>
    </row>
    <row r="39" spans="1:1">
      <c r="A39" t="s">
        <v>1048</v>
      </c>
    </row>
    <row r="40" spans="1:1">
      <c r="A40" t="s">
        <v>1049</v>
      </c>
    </row>
    <row r="41" spans="1:1">
      <c r="A41" t="s">
        <v>1050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2026-09-04T11:05:31Z</dcterms:modified>
  <dc:language>en-US</dc:language>
</cp:coreProperties>
</file>