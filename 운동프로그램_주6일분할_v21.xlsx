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4100" documentId="11_6AF0B42629B6F5CFF7DAC05DB27E968F34409905" xr6:coauthVersionLast="47" xr6:coauthVersionMax="47" xr10:uidLastSave="{ED1E0494-1DBB-43B2-8F29-296D9E00630C}"/>
  <bookViews>
    <workbookView xWindow="-120" yWindow="-120" windowWidth="38640" windowHeight="21120" tabRatio="976" firstSheet="7" activeTab="14"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분할_주간계획" sheetId="15" r:id="rId15"/>
    <sheet name="분할_월_하체A" sheetId="28" r:id="rId16"/>
    <sheet name="분할_화_가슴" sheetId="29" r:id="rId17"/>
    <sheet name="분할_수_등" sheetId="30" r:id="rId18"/>
    <sheet name="분할_목_어깨" sheetId="31" r:id="rId19"/>
    <sheet name="분할_금_하체B" sheetId="32" r:id="rId20"/>
    <sheet name="분할_토_가슴등" sheetId="33" r:id="rId21"/>
    <sheet name="복귀_집계단" sheetId="27" r:id="rId22"/>
    <sheet name="복귀_캐리" sheetId="25" r:id="rId23"/>
    <sheet name="복귀_스텝박스" sheetId="26" r:id="rId24"/>
    <sheet name="복귀_증량원칙" sheetId="22" r:id="rId2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28" l="1"/>
  <c r="B36" i="15"/>
  <c r="E12" i="15"/>
  <c r="E23" i="33"/>
  <c r="I22" i="33"/>
  <c r="I21" i="33"/>
  <c r="I20" i="33"/>
  <c r="I19" i="33"/>
  <c r="I18" i="33"/>
  <c r="I17" i="33"/>
  <c r="I16" i="33"/>
  <c r="I15" i="33"/>
  <c r="I14" i="33"/>
  <c r="I13" i="33"/>
  <c r="I12" i="33"/>
  <c r="I11" i="33"/>
  <c r="I10" i="33"/>
  <c r="I9" i="33"/>
  <c r="I23" i="33" s="1"/>
  <c r="D10" i="15" s="1"/>
  <c r="F10" i="15" s="1"/>
  <c r="E27" i="32"/>
  <c r="I26" i="32"/>
  <c r="I25" i="32"/>
  <c r="I24" i="32"/>
  <c r="I23" i="32"/>
  <c r="I22" i="32"/>
  <c r="I21" i="32"/>
  <c r="I20" i="32"/>
  <c r="I19" i="32"/>
  <c r="I18" i="32"/>
  <c r="I17" i="32"/>
  <c r="I27" i="32" s="1"/>
  <c r="D9" i="15" s="1"/>
  <c r="F9" i="15" s="1"/>
  <c r="E24" i="31"/>
  <c r="I23" i="31"/>
  <c r="I22" i="31"/>
  <c r="I21" i="31"/>
  <c r="I20" i="31"/>
  <c r="I19" i="31"/>
  <c r="I18" i="31"/>
  <c r="I17" i="31"/>
  <c r="I16" i="31"/>
  <c r="I15" i="31"/>
  <c r="I24" i="31" s="1"/>
  <c r="D8" i="15" s="1"/>
  <c r="F8" i="15" s="1"/>
  <c r="E22" i="30"/>
  <c r="I21" i="30"/>
  <c r="I20" i="30"/>
  <c r="I19" i="30"/>
  <c r="I18" i="30"/>
  <c r="I17" i="30"/>
  <c r="I16" i="30"/>
  <c r="I15" i="30"/>
  <c r="I14" i="30"/>
  <c r="I13" i="30"/>
  <c r="I12" i="30"/>
  <c r="I11" i="30"/>
  <c r="I10" i="30"/>
  <c r="I22" i="30" s="1"/>
  <c r="D7" i="15" s="1"/>
  <c r="F7" i="15" s="1"/>
  <c r="E30" i="29"/>
  <c r="I29" i="29"/>
  <c r="I28" i="29"/>
  <c r="I27" i="29"/>
  <c r="I26" i="29"/>
  <c r="I25" i="29"/>
  <c r="I24" i="29"/>
  <c r="I23" i="29"/>
  <c r="I22" i="29"/>
  <c r="I21" i="29"/>
  <c r="I20" i="29"/>
  <c r="I19" i="29"/>
  <c r="I18" i="29"/>
  <c r="E28" i="28"/>
  <c r="I27" i="28"/>
  <c r="I26" i="28"/>
  <c r="I25" i="28"/>
  <c r="I24" i="28"/>
  <c r="I23" i="28"/>
  <c r="I22" i="28"/>
  <c r="I21" i="28"/>
  <c r="I20" i="28"/>
  <c r="I18" i="28"/>
  <c r="I17" i="28"/>
  <c r="E22" i="1"/>
  <c r="D10" i="33"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6" i="30"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23" i="31"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21" i="3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20" i="32"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19" i="32"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18" i="28"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3" i="33" s="1"/>
  <c r="E11" i="1"/>
  <c r="D11" i="30"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D35" i="25"/>
  <c r="D34" i="25"/>
  <c r="D33" i="25"/>
  <c r="D32" i="25"/>
  <c r="D31" i="25"/>
  <c r="D30" i="25"/>
  <c r="D29" i="25"/>
  <c r="D28" i="25"/>
  <c r="D27" i="25"/>
  <c r="D26" i="25"/>
  <c r="D25" i="25"/>
  <c r="D24" i="25"/>
  <c r="D23" i="25"/>
  <c r="D22" i="25"/>
  <c r="D21" i="25"/>
  <c r="D20" i="25"/>
  <c r="D19" i="25"/>
  <c r="D18" i="25"/>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28" i="28" l="1"/>
  <c r="D5" i="15" s="1"/>
  <c r="I30" i="29"/>
  <c r="C10" i="15"/>
  <c r="A2" i="33"/>
  <c r="C9" i="15"/>
  <c r="A2" i="32"/>
  <c r="C8" i="15"/>
  <c r="A2" i="31"/>
  <c r="C7" i="15"/>
  <c r="A2" i="30"/>
  <c r="C6" i="15"/>
  <c r="C5" i="15"/>
  <c r="A2" i="28"/>
  <c r="F5" i="15"/>
  <c r="I16" i="7"/>
  <c r="F10" i="2" s="1"/>
  <c r="E55" i="1"/>
  <c r="D55" i="1"/>
  <c r="C55" i="1"/>
  <c r="B55" i="1"/>
  <c r="I26" i="4"/>
  <c r="C8" i="12"/>
  <c r="D8" i="12" s="1"/>
  <c r="J8" i="12" s="1"/>
  <c r="E8" i="12" s="1"/>
  <c r="C16" i="12"/>
  <c r="D16" i="12" s="1"/>
  <c r="J16" i="12" s="1"/>
  <c r="E16" i="12" s="1"/>
  <c r="I23" i="9"/>
  <c r="C14" i="12"/>
  <c r="D14" i="12" s="1"/>
  <c r="J14" i="12" s="1"/>
  <c r="E14" i="12" s="1"/>
  <c r="C24" i="12"/>
  <c r="D24" i="12" s="1"/>
  <c r="J24" i="12" s="1"/>
  <c r="E24" i="12" s="1"/>
  <c r="C7" i="12"/>
  <c r="D7" i="12" s="1"/>
  <c r="C17" i="12"/>
  <c r="D17" i="12" s="1"/>
  <c r="I17" i="6"/>
  <c r="F8" i="2" s="1"/>
  <c r="C22" i="12"/>
  <c r="D22" i="12" s="1"/>
  <c r="J22" i="12" s="1"/>
  <c r="E22" i="12" s="1"/>
  <c r="C10" i="12"/>
  <c r="D10" i="12" s="1"/>
  <c r="J10" i="12" s="1"/>
  <c r="E10" i="12" s="1"/>
  <c r="C21" i="12"/>
  <c r="D21" i="12" s="1"/>
  <c r="J21" i="12" s="1"/>
  <c r="E21" i="12" s="1"/>
  <c r="C11" i="12"/>
  <c r="D11" i="12" s="1"/>
  <c r="J11" i="12" s="1"/>
  <c r="E11" i="12" s="1"/>
  <c r="I16" i="10"/>
  <c r="F13" i="2" s="1"/>
  <c r="I30" i="8"/>
  <c r="I17" i="3"/>
  <c r="F5" i="2" s="1"/>
  <c r="I22" i="5"/>
  <c r="C12" i="12"/>
  <c r="D12" i="12" s="1"/>
  <c r="J12" i="12" s="1"/>
  <c r="E12" i="12" s="1"/>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C13" i="12"/>
  <c r="D13" i="12" s="1"/>
  <c r="J13" i="12" s="1"/>
  <c r="E13" i="12" s="1"/>
  <c r="D6" i="15" l="1"/>
  <c r="A2" i="29"/>
  <c r="C12" i="15"/>
  <c r="B37" i="15" s="1"/>
  <c r="C56" i="1"/>
  <c r="B56" i="1"/>
  <c r="E57" i="1"/>
  <c r="D57" i="1"/>
  <c r="H17" i="12"/>
  <c r="J17" i="12"/>
  <c r="E17" i="12" s="1"/>
  <c r="H15" i="12"/>
  <c r="J15" i="12"/>
  <c r="E15" i="12" s="1"/>
  <c r="H7" i="12"/>
  <c r="J7" i="12"/>
  <c r="E7" i="12" s="1"/>
  <c r="L25" i="12"/>
  <c r="L2" i="12"/>
  <c r="J5" i="12"/>
  <c r="E5" i="12" s="1"/>
  <c r="D25" i="12"/>
  <c r="J25" i="12" s="1"/>
  <c r="H5" i="12"/>
  <c r="I5" i="12" s="1"/>
  <c r="F6" i="15" l="1"/>
  <c r="F12" i="15" s="1"/>
  <c r="D12" i="15"/>
  <c r="C57" i="1"/>
  <c r="B57" i="1"/>
  <c r="E58" i="1"/>
  <c r="D58" i="1"/>
  <c r="H3" i="12"/>
  <c r="J3" i="12"/>
  <c r="C58" i="1" l="1"/>
  <c r="B58" i="1"/>
  <c r="E10" i="1"/>
  <c r="E59" i="1"/>
  <c r="E9" i="1"/>
  <c r="D59" i="1"/>
  <c r="L3" i="12"/>
  <c r="A3" i="12"/>
  <c r="D16" i="31" l="1"/>
  <c r="A7" i="31"/>
  <c r="D18" i="29"/>
  <c r="A10" i="29"/>
  <c r="A8" i="29"/>
  <c r="A7" i="29"/>
  <c r="A6" i="29"/>
  <c r="A9" i="29"/>
  <c r="C59" i="1"/>
  <c r="B59" i="1"/>
  <c r="A6" i="8"/>
  <c r="A7" i="8"/>
  <c r="A8" i="8"/>
  <c r="A9" i="8"/>
  <c r="A10" i="8"/>
  <c r="D20" i="8"/>
  <c r="A7" i="4"/>
  <c r="A6" i="4"/>
  <c r="A8" i="4"/>
  <c r="A9" i="4"/>
  <c r="A10" i="4"/>
  <c r="D20" i="4"/>
  <c r="E60" i="1"/>
  <c r="D60" i="1"/>
  <c r="E8" i="1" l="1"/>
  <c r="C60" i="1"/>
  <c r="E7" i="1"/>
  <c r="B60" i="1"/>
  <c r="F11" i="2"/>
  <c r="E11" i="2"/>
  <c r="F6" i="2"/>
  <c r="E6" i="2"/>
  <c r="E61" i="1"/>
  <c r="D61" i="1"/>
  <c r="D18" i="32" l="1"/>
  <c r="D17" i="32"/>
  <c r="A10" i="32"/>
  <c r="A9" i="32"/>
  <c r="A8" i="32"/>
  <c r="A7" i="32"/>
  <c r="A6" i="32"/>
  <c r="A10" i="28"/>
  <c r="D17" i="28"/>
  <c r="A9" i="28"/>
  <c r="A8" i="28"/>
  <c r="A7" i="28"/>
  <c r="A6" i="28"/>
  <c r="A7" i="9"/>
  <c r="A6" i="9"/>
  <c r="A10" i="9"/>
  <c r="D16" i="9"/>
  <c r="D15" i="9"/>
  <c r="A9" i="9"/>
  <c r="A8" i="9"/>
  <c r="C61" i="1"/>
  <c r="B61" i="1"/>
  <c r="A7" i="5"/>
  <c r="A9" i="5"/>
  <c r="A10" i="5"/>
  <c r="D15" i="5"/>
  <c r="A8" i="5"/>
  <c r="A6" i="5"/>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<sst xmlns="http://schemas.openxmlformats.org/spreadsheetml/2006/main" count="2455" uniqueCount="1281">
  <si>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</si>
  <si>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</si>
  <si>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</si>
  <si>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</si>
  <si>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</si>
  <si>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</si>
  <si>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</si>
  <si>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</si>
  <si>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</si>
  <si>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</si>
  <si>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</si>
  <si>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</si>
  <si>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</si>
  <si>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</si>
  <si>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</si>
  <si>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</si>
  <si>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</si>
  <si>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</si>
  <si>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</si>
  <si>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</si>
  <si>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</si>
  <si>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</si>
  <si>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</si>
  <si>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</si>
  <si>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</si>
  <si>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</si>
  <si>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</si>
  <si>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</si>
  <si>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</si>
  <si>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</si>
  <si>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</si>
  <si>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</si>
  <si>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</si>
  <si>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</si>
  <si>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</si>
  <si>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</si>
  <si>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</si>
  <si>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</si>
  <si>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</si>
  <si>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</si>
  <si>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</si>
  <si>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</si>
  <si>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</si>
  <si>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</si>
  <si>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</si>
  <si>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</si>
  <si>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</si>
  <si>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</si>
  <si>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</si>
  <si>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</si>
  <si>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</si>
  <si>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</si>
  <si>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</si>
  <si>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</si>
  <si>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</si>
  <si>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</si>
  <si>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</si>
  <si>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</si>
  <si>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</si>
  <si>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</si>
  <si>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</si>
  <si>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</si>
  <si>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</si>
  <si>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</si>
  <si>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</si>
  <si>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</si>
  <si>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</si>
  <si>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</si>
  <si>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</si>
  <si>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</si>
  <si>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</si>
  <si>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</si>
  <si>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</si>
  <si>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</si>
  <si>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</si>
  <si>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</si>
  <si>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</si>
  <si>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</si>
  <si>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</si>
  <si>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</si>
  <si>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</si>
  <si>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</si>
  <si>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</si>
  <si>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</si>
  <si>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</si>
  <si>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</si>
  <si>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</si>
  <si>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</si>
  <si>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</si>
  <si>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</si>
  <si>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</si>
  <si>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</si>
  <si>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</si>
  <si>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</si>
  <si>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</si>
  <si>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</si>
  <si>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</si>
  <si>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</si>
  <si>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</si>
  <si>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</si>
  <si>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</si>
  <si>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</si>
  <si>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</si>
  <si>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</si>
  <si>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</si>
  <si>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</si>
  <si>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</si>
  <si>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</si>
  <si>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</si>
  <si>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</si>
  <si>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</si>
  <si>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</si>
  <si>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</si>
  <si>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</si>
  <si>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</si>
  <si>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</si>
  <si>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</si>
  <si>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</si>
  <si>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</si>
  <si>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</si>
  <si>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</si>
  <si>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</si>
  <si>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</si>
  <si>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</si>
  <si>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</si>
  <si>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</si>
  <si>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</si>
  <si>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</si>
  <si>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</si>
  <si>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</si>
  <si>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</si>
  <si>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</si>
  <si>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</si>
  <si>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</si>
  <si>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</si>
  <si>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</si>
  <si>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</si>
  <si>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</si>
  <si>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</si>
  <si>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</si>
  <si>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</si>
  <si>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</si>
  <si>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</si>
  <si>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</si>
  <si>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</si>
  <si>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</si>
  <si>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</si>
  <si>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</si>
  <si>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</si>
  <si>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</si>
  <si>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</si>
  <si>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</si>
  <si>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</si>
  <si>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</si>
  <si>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</si>
  <si>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</si>
  <si>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</si>
  <si>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</si>
  <si>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</si>
  <si>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</si>
  <si>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</si>
  <si>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</si>
  <si>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</si>
  <si>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</si>
  <si>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</si>
  <si>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</si>
  <si>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</si>
  <si>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</si>
  <si>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</si>
  <si>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</si>
  <si>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</si>
  <si>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</si>
  <si>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</si>
  <si>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</si>
  <si>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</si>
  <si>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</si>
  <si>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</si>
  <si>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</si>
  <si>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</si>
  <si>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</si>
  <si>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</si>
  <si>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</si>
  <si>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</si>
  <si>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</si>
  <si>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</si>
  <si>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</si>
  <si>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</si>
  <si>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</si>
  <si>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</si>
  <si>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</si>
  <si>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</si>
  <si>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</si>
  <si>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</si>
  <si>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</si>
  <si>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</si>
  <si>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</si>
  <si>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</si>
  <si>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</si>
  <si>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</si>
  <si>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</si>
  <si>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</si>
  <si>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</si>
  <si>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</si>
  <si>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</si>
  <si>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</si>
  <si>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</si>
  <si>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</si>
  <si>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</si>
  <si>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</si>
  <si>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</si>
  <si>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</si>
  <si>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</si>
  <si>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</si>
  <si>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</si>
  <si>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</si>
  <si>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</si>
  <si>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</si>
  <si>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</si>
  <si>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</si>
  <si>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</si>
  <si>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</si>
  <si>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</si>
  <si>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</si>
  <si>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</si>
  <si>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</si>
  <si>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</si>
  <si>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</si>
  <si>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</si>
  <si>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</si>
  <si>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</si>
  <si>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</si>
  <si>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</si>
  <si>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</si>
  <si>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</si>
  <si>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</si>
  <si>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</si>
  <si>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</si>
  <si>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</si>
  <si>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</si>
  <si>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</si>
  <si>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</si>
  <si>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</si>
  <si>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</si>
  <si>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</si>
  <si>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</si>
  <si>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</si>
  <si>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</si>
  <si>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</si>
  <si>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</si>
  <si>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</si>
  <si>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</si>
  <si>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</si>
  <si>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</si>
  <si>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</si>
  <si>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</si>
  <si>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</si>
  <si>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</si>
  <si>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</si>
  <si>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</si>
  <si>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</si>
  <si>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</si>
  <si>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</si>
  <si>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</si>
  <si>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</si>
  <si>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</si>
  <si>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</si>
  <si>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</si>
  <si>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</si>
  <si>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</si>
  <si>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</si>
  <si>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</si>
  <si>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</si>
  <si>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</si>
  <si>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</si>
  <si>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</si>
  <si>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</si>
  <si>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</si>
  <si>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</si>
  <si>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</si>
  <si>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</si>
  <si>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</si>
  <si>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</si>
  <si>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</si>
  <si>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</si>
  <si>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</si>
  <si>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</si>
  <si>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</si>
  <si>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</si>
  <si>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</si>
  <si>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</si>
  <si>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</si>
  <si>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</si>
  <si>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</si>
  <si>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</si>
  <si>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</si>
  <si>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</si>
  <si>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</si>
  <si>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</si>
  <si>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</si>
  <si>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</si>
  <si>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</si>
  <si>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</si>
  <si>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</si>
  <si>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</si>
  <si>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</si>
  <si>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</si>
  <si>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</si>
  <si>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</si>
  <si>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</si>
  <si>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</si>
  <si>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</si>
  <si>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</si>
  <si>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</si>
  <si>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</si>
  <si>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</si>
  <si>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</si>
  <si>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</si>
  <si>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</si>
  <si>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</si>
  <si>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</si>
  <si>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</si>
  <si>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</si>
  <si>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</si>
  <si>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</si>
  <si>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</si>
  <si>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</si>
  <si>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</si>
  <si>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</si>
  <si>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</si>
  <si>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</si>
  <si>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</si>
  <si>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</si>
  <si>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</si>
  <si>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</si>
  <si>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</si>
  <si>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</si>
  <si>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</si>
  <si>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</si>
  <si>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</si>
  <si>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</si>
  <si>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</si>
  <si>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</si>
  <si>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</si>
  <si>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</si>
  <si>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</si>
  <si>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</si>
  <si>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</si>
  <si>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</si>
  <si>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</si>
  <si>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</si>
  <si>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</si>
  <si>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</si>
  <si>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</si>
  <si>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</si>
  <si>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</si>
  <si>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</si>
  <si>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</si>
  <si>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</si>
  <si>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</si>
  <si>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</si>
  <si>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</si>
  <si>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</si>
  <si>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</si>
  <si>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</si>
  <si>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</si>
  <si>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</si>
  <si>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</si>
  <si>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</si>
  <si>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</si>
  <si>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</si>
  <si>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</si>
  <si>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</si>
  <si>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</si>
  <si>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</si>
  <si>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</si>
  <si>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</si>
  <si>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</si>
  <si>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</si>
  <si>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</si>
  <si>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</si>
  <si>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</si>
  <si>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</si>
  <si>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</si>
  <si>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</si>
  <si>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</si>
  <si>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</si>
  <si>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</si>
  <si>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</si>
  <si>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</si>
  <si>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</si>
  <si>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</si>
  <si>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</si>
  <si>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</si>
  <si>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</si>
  <si>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</si>
  <si>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</si>
  <si>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</si>
  <si>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</si>
  <si>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</si>
  <si>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</si>
  <si>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</si>
  <si>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</si>
  <si>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</si>
  <si>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</si>
  <si>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</si>
  <si>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</si>
  <si>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</si>
  <si>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</si>
  <si>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</si>
  <si>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</si>
  <si>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</si>
  <si>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</si>
  <si>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</si>
  <si>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</si>
  <si>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</si>
  <si>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</si>
  <si>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</si>
  <si>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</si>
  <si>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</si>
  <si>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</si>
  <si>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</si>
  <si>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</si>
  <si>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</si>
  <si>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</si>
  <si>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</si>
  <si>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</si>
  <si>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</si>
  <si>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</si>
  <si>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</si>
  <si>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</si>
  <si>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</si>
  <si>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</si>
  <si>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</si>
  <si>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</si>
  <si>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</si>
  <si>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</si>
  <si>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</si>
  <si>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</si>
  <si>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</si>
  <si>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</si>
  <si>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</si>
  <si>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</si>
  <si>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</si>
  <si>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</si>
  <si>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</si>
  <si>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</si>
  <si>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</si>
  <si>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</si>
  <si>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</si>
  <si>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</si>
  <si>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</si>
  <si>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</si>
  <si>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</si>
  <si>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</si>
  <si>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</si>
  <si>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</si>
  <si>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</si>
  <si>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</si>
  <si>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</si>
  <si>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</si>
  <si>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</si>
  <si>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</si>
  <si>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</si>
  <si>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</si>
  <si>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</si>
  <si>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</si>
  <si>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</si>
  <si>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</si>
  <si>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</si>
  <si>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</si>
  <si>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</si>
  <si>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</si>
  <si>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</si>
  <si>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</si>
  <si>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</si>
  <si>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</si>
  <si>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</si>
  <si>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</si>
  <si>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</si>
  <si>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</si>
  <si>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</si>
  <si>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</si>
  <si>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</si>
  <si>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</si>
  <si>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</si>
  <si>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</si>
  <si>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</si>
  <si>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</si>
  <si>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</si>
  <si>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</si>
  <si>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</si>
  <si>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</si>
  <si>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</si>
  <si>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</si>
  <si>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</si>
  <si>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</si>
  <si>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</si>
  <si>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</si>
  <si>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</si>
  <si>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</si>
  <si>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</si>
  <si>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</si>
  <si>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</si>
  <si>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</si>
  <si>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</si>
  <si>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</si>
  <si>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</si>
  <si>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</si>
  <si>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</si>
  <si>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</si>
  <si>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</si>
  <si>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</si>
  <si>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</si>
  <si>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</si>
  <si>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</si>
  <si>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</si>
  <si>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</si>
  <si>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</si>
  <si>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</si>
  <si>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</si>
  <si>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</si>
  <si>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</si>
  <si>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</si>
  <si>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</si>
  <si>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</si>
  <si>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</si>
  <si>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</si>
  <si>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</si>
  <si>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</si>
  <si>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</si>
  <si>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</si>
  <si>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</si>
  <si>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</si>
  <si>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</si>
  <si>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</si>
  <si>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</si>
  <si>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</si>
  <si>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</si>
  <si>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</si>
  <si>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</si>
  <si>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</si>
  <si>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</si>
  <si>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</si>
  <si>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</si>
  <si>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</si>
  <si>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</si>
  <si>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</si>
  <si>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</si>
  <si>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</si>
  <si>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</si>
  <si>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</si>
  <si>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</si>
  <si>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</si>
  <si>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</si>
  <si>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</si>
  <si>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</si>
  <si>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</si>
  <si>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</si>
  <si>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</si>
  <si>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</si>
  <si>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</si>
  <si>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</si>
  <si>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</si>
  <si>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</si>
  <si>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</si>
  <si>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</si>
  <si>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</si>
  <si>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</si>
  <si>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</si>
  <si>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</si>
  <si>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</si>
  <si>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</si>
  <si>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</si>
  <si>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</si>
  <si>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</si>
  <si>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</si>
  <si>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</si>
  <si>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</si>
  <si>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</si>
  <si>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</si>
  <si>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</si>
  <si>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</si>
  <si>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</si>
  <si>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</si>
  <si>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</si>
  <si>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</si>
  <si>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</si>
  <si>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</si>
  <si>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</si>
  <si>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</si>
  <si>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</si>
  <si>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</si>
  <si>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</si>
  <si>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</si>
  <si>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</si>
  <si>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</si>
  <si>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</si>
  <si>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</si>
  <si>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</si>
  <si>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</si>
  <si>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</si>
  <si>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</si>
  <si>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</si>
  <si>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</si>
  <si>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</si>
  <si>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</si>
  <si>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</si>
  <si>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</si>
  <si>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</si>
  <si>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</si>
  <si>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</si>
  <si>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</si>
  <si>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</si>
  <si>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</si>
  <si>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</si>
  <si>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</si>
  <si>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</si>
  <si>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</si>
  <si>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</si>
  <si>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</si>
  <si>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</si>
  <si>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</si>
  <si>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</si>
  <si>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</si>
  <si>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</si>
  <si>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</si>
  <si>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</si>
  <si>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</si>
  <si>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</si>
  <si>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</si>
  <si>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</si>
  <si>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</si>
  <si>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</si>
  <si>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</si>
  <si>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</si>
  <si>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</si>
  <si>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</si>
  <si>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</si>
  <si>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</si>
  <si>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</si>
  <si>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</si>
  <si>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</si>
  <si>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</si>
  <si>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</si>
  <si>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</si>
  <si>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</si>
  <si>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</si>
  <si>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</si>
  <si>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</si>
  <si>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</si>
  <si>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</si>
  <si>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</si>
  <si>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</si>
  <si>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</si>
  <si>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</si>
  <si>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</si>
  <si>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</si>
  <si>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</si>
  <si>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</si>
  <si>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</si>
  <si>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</si>
  <si>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</si>
  <si>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</si>
  <si>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</si>
  <si>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</si>
  <si>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</si>
  <si>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</si>
  <si>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</si>
  <si>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</si>
  <si>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</si>
  <si>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</si>
  <si>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</si>
  <si>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</si>
  <si>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</si>
  <si>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</si>
  <si>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</si>
  <si>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</si>
  <si>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</si>
  <si>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</si>
  <si>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</si>
  <si>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</si>
  <si>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</si>
  <si>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</si>
  <si>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</si>
  <si>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</si>
  <si>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</si>
  <si>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</si>
  <si>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</si>
  <si>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</si>
  <si>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</si>
  <si>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</si>
  <si>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</si>
  <si>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</si>
  <si>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</si>
  <si>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</si>
  <si>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</si>
  <si>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</si>
  <si>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</si>
  <si>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</si>
  <si>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</si>
  <si>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</si>
  <si>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</si>
  <si>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</si>
  <si>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</si>
  <si>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</si>
  <si>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</si>
  <si>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</si>
  <si>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</si>
  <si>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</si>
  <si>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</si>
  <si>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</si>
  <si>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</si>
  <si>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</si>
  <si>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</si>
  <si>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</si>
  <si>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</si>
  <si>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</si>
  <si>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</si>
  <si>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</si>
  <si>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</si>
  <si>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</si>
  <si>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</si>
  <si>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</si>
  <si>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</si>
  <si>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</si>
  <si>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</si>
  <si>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</si>
  <si>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</si>
  <si>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</si>
  <si>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</si>
  <si>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</si>
  <si>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</si>
  <si>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</si>
  <si>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</si>
  <si>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</si>
  <si>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</si>
  <si>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</si>
  <si>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</si>
  <si>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</si>
  <si>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</si>
  <si>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</si>
  <si>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</si>
  <si>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</si>
  <si>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</si>
  <si>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</si>
  <si>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</si>
  <si>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</si>
  <si>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</si>
  <si>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</si>
  <si>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</si>
  <si>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</si>
  <si>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</si>
  <si>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</si>
  <si>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</si>
  <si>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</si>
  <si>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</si>
  <si>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</si>
  <si>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</si>
  <si>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</si>
  <si>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</si>
  <si>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</si>
  <si>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</si>
  <si>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</si>
  <si>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</si>
  <si>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</si>
  <si>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</si>
  <si>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</si>
  <si>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</si>
  <si>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</si>
  <si>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</si>
  <si>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</si>
  <si>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</si>
  <si>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</si>
  <si>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</si>
  <si>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</si>
  <si>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</si>
  <si>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</si>
  <si>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</si>
  <si>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</si>
  <si>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</si>
  <si>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</si>
  <si>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</si>
  <si>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</si>
  <si>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</si>
  <si>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</si>
  <si>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</si>
  <si>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</si>
  <si>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</si>
  <si>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</si>
  <si>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</si>
  <si>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</si>
  <si>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</si>
  <si>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</si>
  <si>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</si>
  <si>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</si>
  <si>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</si>
  <si>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</si>
  <si>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</si>
  <si>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</si>
  <si>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</si>
  <si>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</si>
  <si>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</si>
  <si>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</si>
  <si>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</si>
  <si>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</si>
  <si>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</si>
  <si>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</si>
  <si>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</si>
  <si>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</si>
  <si>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</si>
  <si>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</si>
  <si>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</si>
  <si>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</si>
  <si>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</si>
  <si>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</si>
  <si>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</si>
  <si>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</si>
  <si>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</si>
  <si>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</si>
  <si>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</si>
  <si>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</si>
  <si>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</si>
  <si>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</si>
  <si>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</si>
  <si>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</si>
  <si>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</si>
  <si>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</si>
  <si>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</si>
  <si>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</si>
  <si>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</si>
  <si>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</si>
  <si>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</si>
  <si>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</si>
  <si>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</si>
  <si>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</si>
  <si>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</si>
  <si>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</si>
  <si>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</si>
  <si>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</si>
  <si>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</si>
  <si>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</si>
  <si>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</si>
  <si>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</si>
  <si>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</si>
  <si>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</si>
  <si>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</si>
  <si>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</si>
  <si>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</si>
  <si>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</si>
  <si>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</si>
  <si>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</si>
  <si>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</si>
  <si>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</si>
  <si>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</si>
  <si>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</si>
  <si>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</si>
  <si>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</si>
  <si>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</si>
  <si>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</si>
  <si>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</si>
  <si>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</si>
  <si>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</si>
  <si>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</si>
  <si>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</si>
  <si>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</si>
  <si>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</si>
  <si>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</si>
  <si>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</si>
  <si>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</si>
  <si>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</si>
  <si>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</si>
  <si>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</si>
  <si>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</si>
  <si>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</si>
  <si>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</si>
  <si>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</si>
  <si>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</si>
  <si>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</si>
  <si>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</si>
  <si>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</si>
  <si>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</si>
  <si>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</si>
  <si>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</si>
  <si>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</si>
  <si>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</si>
  <si>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</si>
  <si>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</si>
  <si>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</si>
  <si>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</si>
  <si>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</si>
  <si>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</si>
  <si>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요일</t>
  </si>
  <si>
    <t>토</t>
  </si>
  <si>
    <t>일</t>
  </si>
  <si>
    <t>월</t>
  </si>
  <si>
    <t>화</t>
  </si>
  <si>
    <t>수</t>
  </si>
  <si>
    <t>목</t>
  </si>
  <si>
    <t>금</t>
  </si>
  <si>
    <t>레그 프레스 (허리 부담 시 1순위) / 스미스 스쿼트 / 핵 스쿼트</t>
  </si>
  <si>
    <t>핵 스쿼트 / 45도 레그 프레스 / 스미스 스쿼트</t>
  </si>
  <si>
    <t>케이블 레터럴 레이즈 / 머신 레터럴</t>
  </si>
  <si>
    <t>리버스 펙덱</t>
  </si>
  <si>
    <t>와이드 스탠스 레그 프레스 / 케이블 어덕션</t>
  </si>
  <si>
    <t>135/145/155/165</t>
  </si>
  <si>
    <t>시티드 리스트 컬(손등 아래)</t>
  </si>
  <si>
    <t>150/170/190/210</t>
  </si>
  <si>
    <t>원암 케이블 레터럴 레이즈</t>
  </si>
  <si>
    <t>넥 익스텐션 (플레이트)</t>
  </si>
  <si>
    <t>넥 플렉션 (플레이트)</t>
  </si>
  <si>
    <t>데드리프트 백오프</t>
  </si>
  <si>
    <t>레그 프레스 (발 높게)</t>
  </si>
  <si>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</si>
  <si>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</si>
  <si>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</si>
  <si>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</si>
  <si>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</si>
  <si>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</si>
  <si>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</si>
  <si>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</si>
  <si>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</si>
  <si>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</si>
  <si>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</si>
  <si>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</si>
  <si>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</si>
  <si>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</si>
  <si>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</si>
  <si>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</si>
  <si>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</si>
  <si>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</si>
  <si>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</si>
  <si>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</si>
  <si>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</si>
  <si>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</si>
  <si>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</si>
  <si>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</si>
  <si>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</si>
  <si>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</si>
  <si>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</si>
  <si>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</si>
  <si>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</si>
  <si>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</si>
  <si>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</si>
  <si>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</si>
  <si>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</si>
  <si>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</si>
  <si>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</si>
  <si>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화요일 24세트 (삼두 3 · 이두 3 · 전완 6 · 목 6 · 복근 6)</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</si>
  <si>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</si>
  <si>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</si>
  <si>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</si>
  <si>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</si>
  <si>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</si>
  <si>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</si>
  <si>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</si>
  <si>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</si>
  <si>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</si>
  <si>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</si>
  <si>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</si>
  <si>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</si>
  <si>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</si>
  <si>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</si>
  <si>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</si>
  <si>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</si>
  <si>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</si>
  <si>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</si>
  <si>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</si>
  <si>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</si>
  <si>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</si>
  <si>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</si>
  <si>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</si>
  <si>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</si>
  <si>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</si>
  <si>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</si>
  <si>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</si>
  <si>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</si>
  <si>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</si>
  <si>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</si>
  <si>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</si>
  <si>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</si>
  <si>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</si>
  <si>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</si>
  <si>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</si>
  <si>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</si>
  <si>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</si>
  <si>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</si>
  <si>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</si>
  <si>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</si>
  <si>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</si>
  <si>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</si>
  <si>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</si>
  <si>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</si>
  <si>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</si>
  <si>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</si>
  <si>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</si>
  <si>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</si>
  <si>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</si>
  <si>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</si>
  <si>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</si>
  <si>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</si>
  <si>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</si>
  <si>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</si>
  <si>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</si>
  <si>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</si>
  <si>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</si>
  <si>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</si>
  <si>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</si>
  <si>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해머 컬</t>
  </si>
  <si>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</si>
  <si>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</si>
  <si>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</si>
  <si>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</si>
  <si>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t>팔 주간 세트는 삼두 9 · 이두 9이고 셋으로 나뉘어 있다(일 · 화 · 목 각 3). 화요일이 유일하게 '전용'인 것은 전완 · 목이다(복근은 2026-10-10 월요일로)</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</si>
  <si>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</si>
  <si>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</si>
  <si>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</si>
  <si>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</si>
  <si>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</si>
  <si>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</si>
  <si>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인클라인 덤벨 프로트랙션</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</si>
  <si>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</si>
  <si>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</si>
  <si>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</si>
  <si>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</si>
  <si>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</si>
  <si>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</si>
  <si>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</si>
  <si>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</si>
  <si>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</si>
  <si>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</si>
  <si>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</si>
  <si>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10회 × 4세트</t>
  </si>
  <si>
    <t>레그 프레스 주당 증량 (kg)</t>
  </si>
  <si>
    <t>매주 +2 · 13주차 160kg에서 출발 (2026-10-23 사용자 결정)</t>
  </si>
  <si>
    <t>레그 프레스 목표</t>
    <phoneticPr fontId="29" type="noConversion"/>
  </si>
  <si>
    <t>레그 프레스 (발 높게) 주당 증량 (kg)</t>
  </si>
  <si>
    <t>2주마다 +2 · 13주차 140kg에서 출발 (2026-10-23 사용자 결정)</t>
  </si>
  <si>
    <t>레그 프레스 발 높게 목표</t>
    <phoneticPr fontId="29" type="noConversion"/>
  </si>
  <si>
    <t>루마니안 데드리프트 주당 증량 (kg)</t>
  </si>
  <si>
    <t>2주마다 +1 · 13주차 50kg에서 출발 (2026-10-23 사용자 결정)</t>
  </si>
  <si>
    <t>루마니안 목표</t>
    <phoneticPr fontId="29" type="noConversion"/>
  </si>
  <si>
    <t>12회 × 4세트</t>
  </si>
  <si>
    <t>힙 쓰러스트 주당 증량 (kg)</t>
  </si>
  <si>
    <t>2주마다 +1 · 13주차 25kg에서 출발 (2026-10-23 사용자 결정)</t>
  </si>
  <si>
    <t>힙 쓰러스트 목표</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</si>
  <si>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</si>
  <si>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</si>
  <si>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</si>
  <si>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</si>
  <si>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</si>
  <si>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</si>
  <si>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</si>
  <si>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</si>
  <si>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</si>
  <si>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</si>
  <si>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</si>
  <si>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</si>
  <si>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</si>
  <si>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</si>
  <si>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</si>
  <si>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12회 × 3세트</t>
  </si>
  <si>
    <t>리버스컬 주당 증량 (kg)</t>
  </si>
  <si>
    <t>리버스컬 목표</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</si>
  <si>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</si>
  <si>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</si>
  <si>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</si>
  <si>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</si>
  <si>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</si>
  <si>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</si>
  <si>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</si>
  <si>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하이로우 머신(언더그립)</t>
  </si>
  <si>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</si>
  <si>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</si>
  <si>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</si>
  <si>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</si>
  <si>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</si>
  <si>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</si>
  <si>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</si>
  <si>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</si>
  <si>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</si>
  <si>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</si>
  <si>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r>
      <rPr>
        <b/>
        <sz val="14"/>
        <color theme="1"/>
        <rFont val="Calibri"/>
        <family val="2"/>
        <charset val="1"/>
      </rPr>
      <t>월요일</t>
    </r>
    <r>
      <rPr>
        <b/>
        <sz val="14"/>
        <color theme="1"/>
        <rFont val="Calibri"/>
        <family val="2"/>
      </rPr>
      <t xml:space="preserve"> — </t>
    </r>
    <r>
      <rPr>
        <b/>
        <sz val="14"/>
        <color theme="1"/>
        <rFont val="Calibri"/>
        <family val="2"/>
        <charset val="1"/>
      </rPr>
      <t>하체</t>
    </r>
    <r>
      <rPr>
        <b/>
        <sz val="14"/>
        <color theme="1"/>
        <rFont val="Calibri"/>
        <family val="2"/>
      </rPr>
      <t xml:space="preserve"> A (</t>
    </r>
    <r>
      <rPr>
        <b/>
        <sz val="14"/>
        <color theme="1"/>
        <rFont val="Calibri"/>
        <family val="2"/>
        <charset val="1"/>
      </rPr>
      <t>사두</t>
    </r>
    <r>
      <rPr>
        <b/>
        <sz val="14"/>
        <color theme="1"/>
        <rFont val="Calibri"/>
        <family val="2"/>
      </rPr>
      <t xml:space="preserve"> · </t>
    </r>
    <r>
      <rPr>
        <b/>
        <sz val="14"/>
        <color theme="1"/>
        <rFont val="Calibri"/>
        <family val="2"/>
        <charset val="1"/>
      </rPr>
      <t>내전</t>
    </r>
    <r>
      <rPr>
        <b/>
        <sz val="14"/>
        <color theme="1"/>
        <rFont val="Calibri"/>
        <family val="2"/>
      </rPr>
      <t xml:space="preserve"> · </t>
    </r>
    <r>
      <rPr>
        <b/>
        <sz val="14"/>
        <color theme="1"/>
        <rFont val="Calibri"/>
        <family val="2"/>
        <charset val="1"/>
      </rPr>
      <t>외전</t>
    </r>
    <r>
      <rPr>
        <b/>
        <sz val="14"/>
        <color theme="1"/>
        <rFont val="Calibri"/>
        <family val="2"/>
      </rPr>
      <t>)</t>
    </r>
  </si>
  <si>
    <t>메인: 스쿼트</t>
    <phoneticPr fontId="29" type="noConversion"/>
  </si>
  <si>
    <r>
      <t>웜업</t>
    </r>
    <r>
      <rPr>
        <b/>
        <sz val="11"/>
        <color theme="1"/>
        <rFont val="Calibri"/>
        <family val="2"/>
      </rPr>
      <t xml:space="preserve"> (</t>
    </r>
    <r>
      <rPr>
        <b/>
        <sz val="11"/>
        <color theme="1"/>
        <rFont val="Calibri"/>
        <family val="2"/>
        <charset val="1"/>
      </rPr>
      <t>세트</t>
    </r>
    <r>
      <rPr>
        <b/>
        <sz val="11"/>
        <color theme="1"/>
        <rFont val="Calibri"/>
        <family val="2"/>
      </rPr>
      <t xml:space="preserve"> </t>
    </r>
    <r>
      <rPr>
        <b/>
        <sz val="11"/>
        <color theme="1"/>
        <rFont val="Calibri"/>
        <family val="2"/>
        <charset val="1"/>
      </rPr>
      <t>카운트</t>
    </r>
    <r>
      <rPr>
        <b/>
        <sz val="11"/>
        <color theme="1"/>
        <rFont val="Calibri"/>
        <family val="2"/>
      </rPr>
      <t xml:space="preserve"> </t>
    </r>
    <r>
      <rPr>
        <b/>
        <sz val="11"/>
        <color theme="1"/>
        <rFont val="Calibri"/>
        <family val="2"/>
        <charset val="1"/>
      </rPr>
      <t>제외</t>
    </r>
    <r>
      <rPr>
        <b/>
        <sz val="11"/>
        <color theme="1"/>
        <rFont val="Calibri"/>
        <family val="2"/>
      </rPr>
      <t>)</t>
    </r>
  </si>
  <si>
    <t>· 스쿼트 램프 · 몸풀기 5세트(위 표) — 약 12분.</t>
  </si>
  <si>
    <r>
      <t>운동</t>
    </r>
    <r>
      <rPr>
        <b/>
        <sz val="11"/>
        <color theme="1"/>
        <rFont val="Calibri"/>
        <family val="2"/>
      </rPr>
      <t xml:space="preserve"> </t>
    </r>
    <r>
      <rPr>
        <b/>
        <sz val="11"/>
        <color theme="1"/>
        <rFont val="Calibri"/>
        <family val="2"/>
        <charset val="1"/>
      </rPr>
      <t>구성</t>
    </r>
  </si>
  <si>
    <r>
      <rPr>
        <b/>
        <sz val="11"/>
        <color theme="1"/>
        <rFont val="Calibri"/>
        <family val="2"/>
        <charset val="1"/>
      </rPr>
      <t>종목</t>
    </r>
  </si>
  <si>
    <r>
      <rPr>
        <b/>
        <sz val="11"/>
        <color theme="1"/>
        <rFont val="Calibri"/>
        <family val="2"/>
        <charset val="1"/>
      </rPr>
      <t>근육군</t>
    </r>
  </si>
  <si>
    <r>
      <rPr>
        <b/>
        <sz val="11"/>
        <color theme="1"/>
        <rFont val="Calibri"/>
        <family val="2"/>
        <charset val="1"/>
      </rPr>
      <t>중량</t>
    </r>
    <r>
      <rPr>
        <b/>
        <sz val="11"/>
        <color theme="1"/>
        <rFont val="Calibri"/>
        <family val="2"/>
      </rPr>
      <t>(Kg)</t>
    </r>
  </si>
  <si>
    <r>
      <rPr>
        <b/>
        <sz val="11"/>
        <color theme="1"/>
        <rFont val="Calibri"/>
        <family val="2"/>
        <charset val="1"/>
      </rPr>
      <t>세트</t>
    </r>
  </si>
  <si>
    <r>
      <rPr>
        <b/>
        <sz val="11"/>
        <color theme="1"/>
        <rFont val="Calibri"/>
        <family val="2"/>
        <charset val="1"/>
      </rPr>
      <t>횟수</t>
    </r>
  </si>
  <si>
    <r>
      <rPr>
        <b/>
        <sz val="11"/>
        <color theme="1"/>
        <rFont val="Calibri"/>
        <family val="2"/>
        <charset val="1"/>
      </rPr>
      <t>수행</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</si>
  <si>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휴식</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</si>
  <si>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종목</t>
    </r>
    <r>
      <rPr>
        <b/>
        <sz val="11"/>
        <color theme="1"/>
        <rFont val="Calibri"/>
        <family val="2"/>
      </rPr>
      <t xml:space="preserve"> </t>
    </r>
    <r>
      <rPr>
        <b/>
        <sz val="11"/>
        <color theme="1"/>
        <rFont val="Calibri"/>
        <family val="2"/>
        <charset val="1"/>
      </rPr>
      <t>분</t>
    </r>
  </si>
  <si>
    <r>
      <rPr>
        <b/>
        <sz val="11"/>
        <color theme="1"/>
        <rFont val="Calibri"/>
        <family val="2"/>
        <charset val="1"/>
      </rPr>
      <t>메모</t>
    </r>
  </si>
  <si>
    <r>
      <rPr>
        <b/>
        <sz val="11"/>
        <color theme="1"/>
        <rFont val="Calibri"/>
        <family val="2"/>
        <charset val="1"/>
      </rPr>
      <t>대체</t>
    </r>
    <r>
      <rPr>
        <b/>
        <sz val="11"/>
        <color theme="1"/>
        <rFont val="Calibri"/>
        <family val="2"/>
      </rPr>
      <t xml:space="preserve"> </t>
    </r>
    <r>
      <rPr>
        <b/>
        <sz val="11"/>
        <color theme="1"/>
        <rFont val="Calibri"/>
        <family val="2"/>
        <charset val="1"/>
      </rPr>
      <t>종목</t>
    </r>
  </si>
  <si>
    <r>
      <rPr>
        <b/>
        <sz val="11"/>
        <color theme="1"/>
        <rFont val="Calibri"/>
        <family val="2"/>
        <charset val="1"/>
      </rPr>
      <t>세트별</t>
    </r>
    <r>
      <rPr>
        <b/>
        <sz val="11"/>
        <color theme="1"/>
        <rFont val="Calibri"/>
        <family val="2"/>
      </rPr>
      <t xml:space="preserve"> </t>
    </r>
    <r>
      <rPr>
        <b/>
        <sz val="11"/>
        <color theme="1"/>
        <rFont val="Calibri"/>
        <family val="2"/>
        <charset val="1"/>
      </rPr>
      <t>휴식</t>
    </r>
    <r>
      <rPr>
        <b/>
        <sz val="11"/>
        <color theme="1"/>
        <rFont val="Calibri"/>
        <family val="2"/>
      </rPr>
      <t>(</t>
    </r>
    <r>
      <rPr>
        <b/>
        <sz val="11"/>
        <color theme="1"/>
        <rFont val="Calibri"/>
        <family val="2"/>
        <charset val="1"/>
      </rPr>
      <t>초</t>
    </r>
    <r>
      <rPr>
        <b/>
        <sz val="11"/>
        <color theme="1"/>
        <rFont val="Calibri"/>
        <family val="2"/>
      </rPr>
      <t>)</t>
    </r>
  </si>
  <si>
    <r>
      <rPr>
        <b/>
        <sz val="11"/>
        <color theme="1"/>
        <rFont val="Calibri"/>
        <family val="2"/>
        <charset val="1"/>
      </rPr>
      <t>슈퍼세트</t>
    </r>
  </si>
  <si>
    <r>
      <rPr>
        <b/>
        <sz val="11"/>
        <color theme="1"/>
        <rFont val="Calibri"/>
        <family val="2"/>
        <charset val="1"/>
      </rPr>
      <t>드롭</t>
    </r>
    <r>
      <rPr>
        <b/>
        <sz val="11"/>
        <color theme="1"/>
        <rFont val="Calibri"/>
        <family val="2"/>
      </rPr>
      <t>(</t>
    </r>
    <r>
      <rPr>
        <b/>
        <sz val="11"/>
        <color theme="1"/>
        <rFont val="Calibri"/>
        <family val="2"/>
        <charset val="1"/>
      </rPr>
      <t>초</t>
    </r>
    <r>
      <rPr>
        <b/>
        <sz val="11"/>
        <color theme="1"/>
        <rFont val="Calibri"/>
        <family val="2"/>
      </rPr>
      <t>)</t>
    </r>
  </si>
  <si>
    <t>증량표(시작중량_설정 E7). 일요일 휴식 다음날이라 주에서 가장 신선한 자리.</t>
  </si>
  <si>
    <t>발 낮게(사두). 증량표 E13 — 10회 × 4세트 고정.</t>
  </si>
  <si>
    <t>자이언트 세트 둘째 — 같은 머신에서 핀만 옮긴다.</t>
  </si>
  <si>
    <t>자이언트 세트 셋째 · 끝나고 120초.</t>
  </si>
  <si>
    <t>힙 어브덕션 머신 / 케이블 힙 외전</t>
  </si>
  <si>
    <t>라잉 · 마지막 세트 드롭. [셋업 2026-10-27] 골반 앞(엉덩이뼈 ~ 허벅지 윗부분) 아래에 접은 패드를 끼운다.</t>
  </si>
  <si>
    <t>시티드 레그 컬 (옆 센터) / 노르딕 햄 컬</t>
  </si>
  <si>
    <t>앉아서 — 가자미근. 금요일 스탠딩과 각도를 나눈다.</t>
  </si>
  <si>
    <t>레그 프레스 카프 레이즈</t>
  </si>
  <si>
    <t>넥 익스텐션 ↔ 플렉션 2라운드 · 지금 무게 그대로.</t>
  </si>
  <si>
    <t>B</t>
  </si>
  <si>
    <t>라운드 후 60초.</t>
  </si>
  <si>
    <t>[2026-10-29 사용자 결정] 승모 상부 직접 — 목요일 오버헤드 슈러그와 주 2회(3일 간격). 넥 뒤 맨 끝: 넥 익스텐션에도 승모 상부가 쓰여 먼저 지치면 넥 무게가 흔들린다. 그립 쓰는 종목이 없는 날이라 손이 멀쩡하다.</t>
  </si>
  <si>
    <t>덤벨 슈러그 / 바벨 슈러그 / 머신 슈러그</t>
  </si>
  <si>
    <r>
      <t>세트</t>
    </r>
    <r>
      <rPr>
        <b/>
        <sz val="11"/>
        <color theme="1"/>
        <rFont val="Calibri"/>
        <family val="2"/>
      </rPr>
      <t xml:space="preserve"> </t>
    </r>
    <r>
      <rPr>
        <b/>
        <sz val="11"/>
        <color theme="1"/>
        <rFont val="Calibri"/>
        <family val="2"/>
        <charset val="1"/>
      </rPr>
      <t>합계</t>
    </r>
  </si>
  <si>
    <t>· 원본: Downloads\주6일_분할_프로그램.md (2026-10-29) — 이 날은 원본 그대로 + 트랩바 슈러그 3.</t>
  </si>
  <si>
    <r>
      <rPr>
        <b/>
        <sz val="14"/>
        <color theme="1"/>
        <rFont val="Calibri"/>
        <family val="2"/>
        <charset val="1"/>
      </rPr>
      <t>화요일</t>
    </r>
    <r>
      <rPr>
        <b/>
        <sz val="14"/>
        <color theme="1"/>
        <rFont val="Calibri"/>
        <family val="2"/>
      </rPr>
      <t xml:space="preserve"> — </t>
    </r>
    <r>
      <rPr>
        <b/>
        <sz val="14"/>
        <color theme="1"/>
        <rFont val="Calibri"/>
        <family val="2"/>
        <charset val="1"/>
      </rPr>
      <t>가슴</t>
    </r>
    <r>
      <rPr>
        <b/>
        <sz val="14"/>
        <color theme="1"/>
        <rFont val="Calibri"/>
        <family val="2"/>
      </rPr>
      <t xml:space="preserve"> · </t>
    </r>
    <r>
      <rPr>
        <b/>
        <sz val="14"/>
        <color theme="1"/>
        <rFont val="Calibri"/>
        <family val="2"/>
        <charset val="1"/>
      </rPr>
      <t>삼두</t>
    </r>
    <r>
      <rPr>
        <b/>
        <sz val="14"/>
        <color theme="1"/>
        <rFont val="Calibri"/>
        <family val="2"/>
      </rPr>
      <t xml:space="preserve"> · </t>
    </r>
    <r>
      <rPr>
        <b/>
        <sz val="14"/>
        <color theme="1"/>
        <rFont val="Calibri"/>
        <family val="2"/>
        <charset val="1"/>
      </rPr>
      <t>후면</t>
    </r>
  </si>
  <si>
    <t>메인: 벤치프레스</t>
    <phoneticPr fontId="29" type="noConversion"/>
  </si>
  <si>
    <t>· 케이블 외회전 2×15 — 팔꿈치 90도로 옆구리에 붙이고 바깥으로만, 매우 가볍게(약 3분).</t>
  </si>
  <si>
    <t>· 벤치 램프 · 몸풀기 5세트(위 표) — 약 12분.</t>
  </si>
  <si>
    <t>증량표 E9 · 4×8.</t>
  </si>
  <si>
    <t>덤벨 벤치프레스 / 머신 체스트 프레스</t>
  </si>
  <si>
    <t>인클라인 덤벨 프레스 (뉴트럴 그립)</t>
  </si>
  <si>
    <t>벤치 15~30도 — 45도 넘게 세우면 전면삼각 비중이 커진다. 폰 각도계로 한 번 확인. 3~4초 내리기 · 1초 정지.</t>
  </si>
  <si>
    <t>인클라인 벤치프레스 머신 / 인클라인 스미스</t>
  </si>
  <si>
    <t>머신 체스트 프레스</t>
  </si>
  <si>
    <t>덤벨 벤치프레스</t>
  </si>
  <si>
    <t>로우 투 하이 케이블 플라이</t>
  </si>
  <si>
    <t>[2026-10-29 교체 · 디클라인 케이블 플라이에서] 윗가슴. 손이 쇄골~턱 높이에서 모이게. 마지막 세트 드롭.</t>
  </si>
  <si>
    <t>인클라인 플라이 머신 / 인클라인 덤벨 플라이</t>
  </si>
  <si>
    <t>딥스 → 오버헤드 익스텐션 → 로프 푸쉬다운 2라운드 · 라운드 후 90초.</t>
  </si>
  <si>
    <t>머신 딥스 / 디클라인 프레스</t>
  </si>
  <si>
    <t>케이블 오버헤드 익스텐션 (로프)</t>
  </si>
  <si>
    <t>자이언트 세트 둘째.</t>
  </si>
  <si>
    <t>로프 푸쉬다운</t>
  </si>
  <si>
    <t>자이언트 세트 셋째 · 끝나고 90초.</t>
  </si>
  <si>
    <t>체스트 프레스 머신 프로트랙션</t>
  </si>
  <si>
    <t>원암 오버헤드 케이블 익스텐션</t>
  </si>
  <si>
    <t>[2026-10-29 교체 · 원암 케이블 익스텐션에서] 팔꿈치를 귀 옆에 고정하고, 아래에서 끝까지 늘린다. 페이스풀과 3라운드 · 라운드 후 60초.</t>
  </si>
  <si>
    <t>페이스풀 (로프)</t>
  </si>
  <si>
    <t>슈퍼세트 둘째 · 끝나고 60초.</t>
  </si>
  <si>
    <t>· 원본 대비 바뀐 두 종목: 디클라인 케이블 플라이 → 로우 투 하이 케이블 플라이 · 원암 케이블 익스텐션 → 원암 오버헤드 케이블 익스텐션.</t>
  </si>
  <si>
    <r>
      <rPr>
        <b/>
        <sz val="14"/>
        <color theme="1"/>
        <rFont val="Calibri"/>
        <family val="2"/>
        <charset val="1"/>
      </rPr>
      <t>수요일</t>
    </r>
    <r>
      <rPr>
        <b/>
        <sz val="14"/>
        <color theme="1"/>
        <rFont val="Calibri"/>
        <family val="2"/>
      </rPr>
      <t xml:space="preserve"> — </t>
    </r>
    <r>
      <rPr>
        <b/>
        <sz val="14"/>
        <color theme="1"/>
        <rFont val="Calibri"/>
        <family val="2"/>
        <charset val="1"/>
      </rPr>
      <t>등</t>
    </r>
    <r>
      <rPr>
        <b/>
        <sz val="14"/>
        <color theme="1"/>
        <rFont val="Calibri"/>
        <family val="2"/>
      </rPr>
      <t xml:space="preserve"> · </t>
    </r>
    <r>
      <rPr>
        <b/>
        <sz val="14"/>
        <color theme="1"/>
        <rFont val="Calibri"/>
        <family val="2"/>
        <charset val="1"/>
      </rPr>
      <t>이두</t>
    </r>
    <r>
      <rPr>
        <b/>
        <sz val="14"/>
        <color theme="1"/>
        <rFont val="Calibri"/>
        <family val="2"/>
      </rPr>
      <t xml:space="preserve"> · </t>
    </r>
    <r>
      <rPr>
        <b/>
        <sz val="14"/>
        <color theme="1"/>
        <rFont val="Calibri"/>
        <family val="2"/>
        <charset val="1"/>
      </rPr>
      <t>전완</t>
    </r>
  </si>
  <si>
    <t>· 랫풀다운 가볍게 램프 2~3세트 — 약 4분.</t>
  </si>
  <si>
    <t>· 등은 상부(해머 로우 · 인클라인 덤벨 로우)와 광배 하부(원암 케이블 로우 · 암풀다운)로 나눠 겨냥한다.</t>
  </si>
  <si>
    <t>랫풀다운 (뉴트럴 그립)</t>
  </si>
  <si>
    <t>[미정 제안] 원암 케이블 풀다운으로 바꾸는 안 — 위에서 더 깊게 늘리고 아래 끝까지 당긴다.</t>
  </si>
  <si>
    <t>원암 케이블 풀다운</t>
  </si>
  <si>
    <t>증량표 E11 · 4×8. 등 상부 — 넓은 오버그립, 팔꿈치를 옆으로 70~90도 벌려 가슴 쪽으로.</t>
  </si>
  <si>
    <t>시티드 케이블 로우 (와이드 바)</t>
  </si>
  <si>
    <t>인클라인 덤벨 로우(오버그립)</t>
  </si>
  <si>
    <t>등 상부 — 넓은 오버그립, 팔꿈치 70~90도. 덤벨은 그립 넓이보다 팔꿈치 각도를 유지하는 게 핵심.</t>
  </si>
  <si>
    <t>체스트 서포티드 로우 머신</t>
  </si>
  <si>
    <t>10~12 (좌우)</t>
  </si>
  <si>
    <t>[2026-10-29] 낮은 도르래 앞에 벤치를 두고 한쪽 무릎과 손을 짚고 숙인다(몸통이 기울어 도르래를 높인 것과 같은 각도). 몸통은 바닥을 향해 반듯하게 — 어깨선은 벤치와 평행으로 고정하고 날개뼈만 움직인다. 늘어날 때 어깨가 앞·아래로 딸려 나가게 두고(몸통은 10° 안쪽까지만), 당길 때 날개뼈를 뒤·아래로 내리며 팔꿈치를 골반 쪽으로. 손을 가슴 쪽으로 당기면 등 상부로 빠진다. 끝에서 상체를 비틀지 않는다. 시선은 벤치 앞 바닥.</t>
  </si>
  <si>
    <t>원암 시티드 케이블 로우 (팔꿈치를 몸통에 붙여 골반 쪽으로)</t>
  </si>
  <si>
    <t>암풀다운</t>
  </si>
  <si>
    <t>광배 하부 — 팔을 골반 쪽으로.</t>
  </si>
  <si>
    <t>로프 암풀다운</t>
  </si>
  <si>
    <t>EZ 프리쳐 컬</t>
  </si>
  <si>
    <t>프리쳐 → 리버스 EZ 컬 → 로우 케이블 컬 3라운드 · 라운드 후 90초.</t>
  </si>
  <si>
    <t>머신 프리쳐 컬</t>
  </si>
  <si>
    <t>증량표 E21 · EZ바(봉 포함). 자이언트 세트 둘째.</t>
  </si>
  <si>
    <t>케이블 리버스 컬</t>
  </si>
  <si>
    <t>로우 케이블 컬</t>
  </si>
  <si>
    <t>손등 아래 2 ↔ 손등 위 3.</t>
  </si>
  <si>
    <t>옆 센터로 이동(약 3분) 후 — 하이퍼 익스텐션.</t>
  </si>
  <si>
    <t>· 한 달 뒤 등 그립 회전표는 원본 md의 '한 달 뒤 — 등 그립 회전표'에 있다(이 워크북에는 아직 넣지 않았다).</t>
  </si>
  <si>
    <t>· [미정 제안] 순서 해머 로우 → 원암 케이블 로우 → 암풀다운 → 인클라인 덤벨 로우(광배를 덜 지친 상태에서).</t>
  </si>
  <si>
    <r>
      <rPr>
        <b/>
        <sz val="14"/>
        <color theme="1"/>
        <rFont val="Calibri"/>
        <family val="2"/>
        <charset val="1"/>
      </rPr>
      <t>목요일</t>
    </r>
    <r>
      <rPr>
        <b/>
        <sz val="14"/>
        <color theme="1"/>
        <rFont val="Calibri"/>
        <family val="2"/>
      </rPr>
      <t xml:space="preserve"> — </t>
    </r>
    <r>
      <rPr>
        <b/>
        <sz val="14"/>
        <color theme="1"/>
        <rFont val="Calibri"/>
        <family val="2"/>
        <charset val="1"/>
      </rPr>
      <t>어깨</t>
    </r>
    <r>
      <rPr>
        <b/>
        <sz val="14"/>
        <color theme="1"/>
        <rFont val="Calibri"/>
        <family val="2"/>
      </rPr>
      <t xml:space="preserve"> · </t>
    </r>
    <r>
      <rPr>
        <b/>
        <sz val="14"/>
        <color theme="1"/>
        <rFont val="Calibri"/>
        <family val="2"/>
        <charset val="1"/>
      </rPr>
      <t>삼두</t>
    </r>
  </si>
  <si>
    <r>
      <t>메인</t>
    </r>
    <r>
      <rPr>
        <b/>
        <sz val="11"/>
        <color theme="1"/>
        <rFont val="Calibri"/>
        <family val="2"/>
      </rPr>
      <t xml:space="preserve">: </t>
    </r>
    <r>
      <rPr>
        <b/>
        <sz val="11"/>
        <color theme="1"/>
        <rFont val="Calibri"/>
        <family val="2"/>
        <charset val="1"/>
      </rPr>
      <t>시티드</t>
    </r>
    <r>
      <rPr>
        <b/>
        <sz val="11"/>
        <color theme="1"/>
        <rFont val="Calibri"/>
        <family val="2"/>
      </rPr>
      <t xml:space="preserve"> </t>
    </r>
    <r>
      <rPr>
        <b/>
        <sz val="11"/>
        <color theme="1"/>
        <rFont val="Calibri"/>
        <family val="2"/>
        <charset val="1"/>
      </rPr>
      <t>바벨</t>
    </r>
    <r>
      <rPr>
        <b/>
        <sz val="11"/>
        <color theme="1"/>
        <rFont val="Calibri"/>
        <family val="2"/>
      </rPr>
      <t xml:space="preserve"> </t>
    </r>
    <r>
      <rPr>
        <b/>
        <sz val="11"/>
        <color theme="1"/>
        <rFont val="Calibri"/>
        <family val="2"/>
        <charset val="1"/>
      </rPr>
      <t>밀리터리</t>
    </r>
    <r>
      <rPr>
        <b/>
        <sz val="11"/>
        <color theme="1"/>
        <rFont val="Calibri"/>
        <family val="2"/>
      </rPr>
      <t xml:space="preserve"> </t>
    </r>
    <r>
      <rPr>
        <b/>
        <sz val="11"/>
        <color theme="1"/>
        <rFont val="Calibri"/>
        <family val="2"/>
        <charset val="1"/>
      </rPr>
      <t>프레스</t>
    </r>
  </si>
  <si>
    <t>· 케이블 외회전 2×15 — 매우 가볍게(약 3분).</t>
  </si>
  <si>
    <t>· 밀리터리 램프 20kg × 5 × 2 — 원암 레터럴 뒤, 밀리터리 직전에(약 3분).</t>
  </si>
  <si>
    <t>위에서 1초 정지 · 좌우.</t>
  </si>
  <si>
    <t>케이블 레터럴 레이즈</t>
  </si>
  <si>
    <t>시티드 바벨 밀리터리 프레스</t>
  </si>
  <si>
    <t>증량표 E10 · 3×8.</t>
  </si>
  <si>
    <t>스미스 오버헤드 프레스 / 덤벨 숄더 프레스</t>
  </si>
  <si>
    <t>리버스 펙덱 ↔ 시티드 덤벨 레터럴 4라운드 · 라운드 후 75초.</t>
  </si>
  <si>
    <t>시티드 레터럴 레이즈</t>
  </si>
  <si>
    <t>슈퍼세트 둘째 · 끝나고 75초.</t>
  </si>
  <si>
    <t>원암 케이블 리버스 플라이</t>
  </si>
  <si>
    <t>덤벨 숄더 프레스 (뉴트럴 그립)</t>
  </si>
  <si>
    <t>증량표 E17 · 승모 상부(거상 + 상방 회전). 팔꿈치 잠금 · 위 1초 · 천천히 내림. 월요일 트랩바 슈러그와 주 2회.</t>
  </si>
  <si>
    <t>바벨 오버헤드 슈러그</t>
  </si>
  <si>
    <t>증량표 E20 · 바를 이마 대신 머리 뒤쪽으로 내리면 삼두 장두가 더 늘어난다.</t>
  </si>
  <si>
    <t>케이블 오버헤드 익스텐션</t>
  </si>
  <si>
    <r>
      <rPr>
        <b/>
        <sz val="14"/>
        <color theme="1"/>
        <rFont val="Calibri"/>
        <family val="2"/>
        <charset val="1"/>
      </rPr>
      <t>금요일</t>
    </r>
    <r>
      <rPr>
        <b/>
        <sz val="14"/>
        <color theme="1"/>
        <rFont val="Calibri"/>
        <family val="2"/>
      </rPr>
      <t xml:space="preserve"> — </t>
    </r>
    <r>
      <rPr>
        <b/>
        <sz val="14"/>
        <color theme="1"/>
        <rFont val="Calibri"/>
        <family val="2"/>
        <charset val="1"/>
      </rPr>
      <t>하체</t>
    </r>
    <r>
      <rPr>
        <b/>
        <sz val="14"/>
        <color theme="1"/>
        <rFont val="Calibri"/>
        <family val="2"/>
      </rPr>
      <t xml:space="preserve"> B (</t>
    </r>
    <r>
      <rPr>
        <b/>
        <sz val="14"/>
        <color theme="1"/>
        <rFont val="Calibri"/>
        <family val="2"/>
        <charset val="1"/>
      </rPr>
      <t>햄</t>
    </r>
    <r>
      <rPr>
        <b/>
        <sz val="14"/>
        <color theme="1"/>
        <rFont val="Calibri"/>
        <family val="2"/>
      </rPr>
      <t xml:space="preserve"> · </t>
    </r>
    <r>
      <rPr>
        <b/>
        <sz val="14"/>
        <color theme="1"/>
        <rFont val="Calibri"/>
        <family val="2"/>
        <charset val="1"/>
      </rPr>
      <t>둔근</t>
    </r>
    <r>
      <rPr>
        <b/>
        <sz val="14"/>
        <color theme="1"/>
        <rFont val="Calibri"/>
        <family val="2"/>
      </rPr>
      <t>)</t>
    </r>
  </si>
  <si>
    <t>메인: 데드리프트</t>
    <phoneticPr fontId="29" type="noConversion"/>
  </si>
  <si>
    <t>· 데드 램프 · 몸풀기 5세트(위 표) — 약 12분.</t>
  </si>
  <si>
    <t>증량표 E8 · 톱 1×5.</t>
  </si>
  <si>
    <t>트랩바 데드리프트 / 랙풀</t>
  </si>
  <si>
    <t>톱 × 0.82 · 2×5. 엉덩이 뒤가 당기면 그날 백오프 생략.</t>
  </si>
  <si>
    <t>증량표 E15 · 3×10.</t>
  </si>
  <si>
    <t>덤벨 루마니안 / 굿모닝</t>
  </si>
  <si>
    <t>증량표 E16 · 4×12.</t>
  </si>
  <si>
    <t>스미스 힙 쓰러스트 / 글루트 브리지</t>
  </si>
  <si>
    <t>원 레그 라잉 컬</t>
  </si>
  <si>
    <t>라잉 레그 컬</t>
  </si>
  <si>
    <t>아우터 ↔ 이너 3라운드 · 라운드 후 120초.</t>
  </si>
  <si>
    <t>슈퍼세트 둘째 · 끝나고 120초.</t>
  </si>
  <si>
    <t>케이블 어덕션</t>
  </si>
  <si>
    <t>서서 — 비복근. 월요일 시티드와 각도를 나눈다.</t>
  </si>
  <si>
    <t>시티드 레그 컬</t>
  </si>
  <si>
    <t>옆 센터로 이동(약 3분) 후. 고관절이 굽어 햄스트링이 늘어난 구간.</t>
  </si>
  <si>
    <r>
      <rPr>
        <b/>
        <sz val="14"/>
        <color theme="1"/>
        <rFont val="Calibri"/>
        <family val="2"/>
        <charset val="1"/>
      </rPr>
      <t>토요일</t>
    </r>
    <r>
      <rPr>
        <b/>
        <sz val="14"/>
        <color theme="1"/>
        <rFont val="Calibri"/>
        <family val="2"/>
      </rPr>
      <t xml:space="preserve"> — </t>
    </r>
    <r>
      <rPr>
        <b/>
        <sz val="14"/>
        <color theme="1"/>
        <rFont val="Calibri"/>
        <family val="2"/>
        <charset val="1"/>
      </rPr>
      <t>가슴</t>
    </r>
    <r>
      <rPr>
        <b/>
        <sz val="14"/>
        <color theme="1"/>
        <rFont val="Calibri"/>
        <family val="2"/>
      </rPr>
      <t xml:space="preserve"> + </t>
    </r>
    <r>
      <rPr>
        <b/>
        <sz val="14"/>
        <color theme="1"/>
        <rFont val="Calibri"/>
        <family val="2"/>
        <charset val="1"/>
      </rPr>
      <t>등</t>
    </r>
    <r>
      <rPr>
        <b/>
        <sz val="14"/>
        <color theme="1"/>
        <rFont val="Calibri"/>
        <family val="2"/>
      </rPr>
      <t xml:space="preserve"> (</t>
    </r>
    <r>
      <rPr>
        <b/>
        <sz val="14"/>
        <color theme="1"/>
        <rFont val="Calibri"/>
        <family val="2"/>
        <charset val="1"/>
      </rPr>
      <t>교대</t>
    </r>
    <r>
      <rPr>
        <b/>
        <sz val="14"/>
        <color theme="1"/>
        <rFont val="Calibri"/>
        <family val="2"/>
      </rPr>
      <t xml:space="preserve">) · </t>
    </r>
    <r>
      <rPr>
        <b/>
        <sz val="14"/>
        <color theme="1"/>
        <rFont val="Calibri"/>
        <family val="2"/>
        <charset val="1"/>
      </rPr>
      <t>이두</t>
    </r>
    <r>
      <rPr>
        <b/>
        <sz val="14"/>
        <color theme="1"/>
        <rFont val="Calibri"/>
        <family val="2"/>
      </rPr>
      <t xml:space="preserve"> · </t>
    </r>
    <r>
      <rPr>
        <b/>
        <sz val="14"/>
        <color theme="1"/>
        <rFont val="Calibri"/>
        <family val="2"/>
        <charset val="1"/>
      </rPr>
      <t>전완</t>
    </r>
  </si>
  <si>
    <t>· 랫풀다운 가볍게 + 인클라인 바벨 램프 4세트 — 약 6분.</t>
  </si>
  <si>
    <t>풀업 (어시스트 가능)</t>
  </si>
  <si>
    <t>어깨너비보다 살짝 넓은 오버그립 — 겨드랑이 바로 밑(광배 위쪽 바깥 · 대원근). 너무 넓게 잡으면 가동범위만 줄어든다.</t>
  </si>
  <si>
    <t>어시스트 풀업 머신 / 와이드 랫풀다운</t>
  </si>
  <si>
    <t>증량표 E22 · 3×8. 벤치 15~30도 — 고정 벤치가 가파르면 조절식 벤치를 랙이나 스미스 안에. 언더그립 랫풀다운과 교대 3라운드 · 라운드 후 150초.</t>
  </si>
  <si>
    <t>인클라인 스미스</t>
  </si>
  <si>
    <t>랫풀다운(언더그립)</t>
  </si>
  <si>
    <t>팔꿈치를 골반 쪽으로 — 광배 아래쪽.</t>
  </si>
  <si>
    <t>팔꿈치를 골반 쪽으로. 인클라인 머신과 교대 3라운드 · 라운드 후 150초.</t>
  </si>
  <si>
    <t>증량표 E12 · 3×10.</t>
  </si>
  <si>
    <t>인클라인 덤벨 프레스</t>
  </si>
  <si>
    <t>펙덱 ↔ 리버스 펙덱 3라운드 + 리버스 펙덱 1세트 · 라운드 후 105초.</t>
  </si>
  <si>
    <t>케이블 플라이</t>
  </si>
  <si>
    <t>4세트째는 혼자.</t>
  </si>
  <si>
    <t>인클라인 덤벨 컬 ↔ 해머 컬 3라운드 · 라운드 후 75초.</t>
  </si>
  <si>
    <t>D</t>
  </si>
  <si>
    <t>E</t>
  </si>
  <si>
    <t>스탠딩 케이블 크런치</t>
  </si>
  <si>
    <r>
      <rPr>
        <b/>
        <sz val="14"/>
        <color theme="1"/>
        <rFont val="Calibri"/>
        <family val="2"/>
        <charset val="1"/>
      </rPr>
      <t>주</t>
    </r>
    <r>
      <rPr>
        <b/>
        <sz val="14"/>
        <color theme="1"/>
        <rFont val="Calibri"/>
        <family val="2"/>
      </rPr>
      <t xml:space="preserve"> 6</t>
    </r>
    <r>
      <rPr>
        <b/>
        <sz val="14"/>
        <color theme="1"/>
        <rFont val="Calibri"/>
        <family val="2"/>
        <charset val="1"/>
      </rPr>
      <t>일</t>
    </r>
    <r>
      <rPr>
        <b/>
        <sz val="14"/>
        <color theme="1"/>
        <rFont val="Calibri"/>
        <family val="2"/>
      </rPr>
      <t xml:space="preserve"> </t>
    </r>
    <r>
      <rPr>
        <b/>
        <sz val="14"/>
        <color theme="1"/>
        <rFont val="Calibri"/>
        <family val="2"/>
        <charset val="1"/>
      </rPr>
      <t>분할</t>
    </r>
    <r>
      <rPr>
        <b/>
        <sz val="14"/>
        <color theme="1"/>
        <rFont val="Calibri"/>
        <family val="2"/>
      </rPr>
      <t xml:space="preserve"> — </t>
    </r>
    <r>
      <rPr>
        <b/>
        <sz val="14"/>
        <color theme="1"/>
        <rFont val="Calibri"/>
        <family val="2"/>
        <charset val="1"/>
      </rPr>
      <t>주간</t>
    </r>
    <r>
      <rPr>
        <b/>
        <sz val="14"/>
        <color theme="1"/>
        <rFont val="Calibri"/>
        <family val="2"/>
      </rPr>
      <t xml:space="preserve"> </t>
    </r>
    <r>
      <rPr>
        <b/>
        <sz val="14"/>
        <color theme="1"/>
        <rFont val="Calibri"/>
        <family val="2"/>
        <charset val="1"/>
      </rPr>
      <t>계획</t>
    </r>
    <r>
      <rPr>
        <b/>
        <sz val="14"/>
        <color theme="1"/>
        <rFont val="Calibri"/>
        <family val="2"/>
      </rPr>
      <t xml:space="preserve"> (</t>
    </r>
    <r>
      <rPr>
        <b/>
        <sz val="14"/>
        <color theme="1"/>
        <rFont val="Calibri"/>
        <family val="2"/>
        <charset val="1"/>
      </rPr>
      <t>한</t>
    </r>
    <r>
      <rPr>
        <b/>
        <sz val="14"/>
        <color theme="1"/>
        <rFont val="Calibri"/>
        <family val="2"/>
      </rPr>
      <t xml:space="preserve"> </t>
    </r>
    <r>
      <rPr>
        <b/>
        <sz val="14"/>
        <color theme="1"/>
        <rFont val="Calibri"/>
        <family val="2"/>
        <charset val="1"/>
      </rPr>
      <t>달</t>
    </r>
    <r>
      <rPr>
        <b/>
        <sz val="14"/>
        <color theme="1"/>
        <rFont val="Calibri"/>
        <family val="2"/>
      </rPr>
      <t xml:space="preserve"> </t>
    </r>
    <r>
      <rPr>
        <b/>
        <sz val="14"/>
        <color theme="1"/>
        <rFont val="Calibri"/>
        <family val="2"/>
        <charset val="1"/>
      </rPr>
      <t>시험</t>
    </r>
    <r>
      <rPr>
        <b/>
        <sz val="14"/>
        <color theme="1"/>
        <rFont val="Calibri"/>
        <family val="2"/>
      </rPr>
      <t xml:space="preserve"> · 2026-10-29 </t>
    </r>
    <r>
      <rPr>
        <b/>
        <sz val="14"/>
        <color theme="1"/>
        <rFont val="Calibri"/>
        <family val="2"/>
        <charset val="1"/>
      </rPr>
      <t>작성</t>
    </r>
    <r>
      <rPr>
        <b/>
        <sz val="14"/>
        <color theme="1"/>
        <rFont val="Calibri"/>
        <family val="2"/>
      </rPr>
      <t>)</t>
    </r>
  </si>
  <si>
    <t>구성</t>
  </si>
  <si>
    <r>
      <t>운동</t>
    </r>
    <r>
      <rPr>
        <b/>
        <sz val="11"/>
        <color theme="1"/>
        <rFont val="Calibri"/>
        <family val="2"/>
      </rPr>
      <t xml:space="preserve"> </t>
    </r>
    <r>
      <rPr>
        <b/>
        <sz val="11"/>
        <color theme="1"/>
        <rFont val="Calibri"/>
        <family val="2"/>
        <charset val="1"/>
      </rPr>
      <t>분</t>
    </r>
  </si>
  <si>
    <r>
      <t>웜업</t>
    </r>
    <r>
      <rPr>
        <b/>
        <sz val="11"/>
        <color theme="1"/>
        <rFont val="Calibri"/>
        <family val="2"/>
      </rPr>
      <t xml:space="preserve"> </t>
    </r>
    <r>
      <rPr>
        <b/>
        <sz val="11"/>
        <color theme="1"/>
        <rFont val="Calibri"/>
        <family val="2"/>
        <charset val="1"/>
      </rPr>
      <t>분</t>
    </r>
  </si>
  <si>
    <r>
      <t>합계</t>
    </r>
    <r>
      <rPr>
        <b/>
        <sz val="11"/>
        <color theme="1"/>
        <rFont val="Calibri"/>
        <family val="2"/>
      </rPr>
      <t xml:space="preserve"> </t>
    </r>
    <r>
      <rPr>
        <b/>
        <sz val="11"/>
        <color theme="1"/>
        <rFont val="Calibri"/>
        <family val="2"/>
        <charset val="1"/>
      </rPr>
      <t>분</t>
    </r>
  </si>
  <si>
    <t>가슴 · 삼두 · 후면</t>
  </si>
  <si>
    <t>등 · 이두 · 전완</t>
  </si>
  <si>
    <t>어깨 · 삼두</t>
  </si>
  <si>
    <t>하체 B (햄 · 둔근)</t>
  </si>
  <si>
    <t>가슴 + 등 (교대) · 이두 · 전완</t>
  </si>
  <si>
    <r>
      <t>부위별</t>
    </r>
    <r>
      <rPr>
        <b/>
        <sz val="11"/>
        <color theme="1"/>
        <rFont val="Calibri"/>
        <family val="2"/>
      </rPr>
      <t xml:space="preserve"> </t>
    </r>
    <r>
      <rPr>
        <b/>
        <sz val="11"/>
        <color theme="1"/>
        <rFont val="Calibri"/>
        <family val="2"/>
        <charset val="1"/>
      </rPr>
      <t>주간</t>
    </r>
    <r>
      <rPr>
        <b/>
        <sz val="11"/>
        <color theme="1"/>
        <rFont val="Calibri"/>
        <family val="2"/>
      </rPr>
      <t xml:space="preserve"> </t>
    </r>
    <r>
      <rPr>
        <b/>
        <sz val="11"/>
        <color theme="1"/>
        <rFont val="Calibri"/>
        <family val="2"/>
        <charset val="1"/>
      </rPr>
      <t>직접</t>
    </r>
    <r>
      <rPr>
        <b/>
        <sz val="11"/>
        <color theme="1"/>
        <rFont val="Calibri"/>
        <family val="2"/>
      </rPr>
      <t xml:space="preserve"> </t>
    </r>
    <r>
      <rPr>
        <b/>
        <sz val="11"/>
        <color theme="1"/>
        <rFont val="Calibri"/>
        <family val="2"/>
        <charset val="1"/>
      </rPr>
      <t>세트</t>
    </r>
    <r>
      <rPr>
        <b/>
        <sz val="11"/>
        <color theme="1"/>
        <rFont val="Calibri"/>
        <family val="2"/>
      </rPr>
      <t xml:space="preserve"> (</t>
    </r>
    <r>
      <rPr>
        <b/>
        <sz val="11"/>
        <color theme="1"/>
        <rFont val="Calibri"/>
        <family val="2"/>
        <charset val="1"/>
      </rPr>
      <t>원본</t>
    </r>
    <r>
      <rPr>
        <b/>
        <sz val="11"/>
        <color theme="1"/>
        <rFont val="Calibri"/>
        <family val="2"/>
      </rPr>
      <t xml:space="preserve"> md </t>
    </r>
    <r>
      <rPr>
        <b/>
        <sz val="11"/>
        <color theme="1"/>
        <rFont val="Calibri"/>
        <family val="2"/>
        <charset val="1"/>
      </rPr>
      <t>표</t>
    </r>
    <r>
      <rPr>
        <b/>
        <sz val="11"/>
        <color theme="1"/>
        <rFont val="Calibri"/>
        <family val="2"/>
      </rPr>
      <t xml:space="preserve"> + </t>
    </r>
    <r>
      <rPr>
        <b/>
        <sz val="11"/>
        <color theme="1"/>
        <rFont val="Calibri"/>
        <family val="2"/>
        <charset val="1"/>
      </rPr>
      <t>트랩바</t>
    </r>
    <r>
      <rPr>
        <b/>
        <sz val="11"/>
        <color theme="1"/>
        <rFont val="Calibri"/>
        <family val="2"/>
      </rPr>
      <t xml:space="preserve"> </t>
    </r>
    <r>
      <rPr>
        <b/>
        <sz val="11"/>
        <color theme="1"/>
        <rFont val="Calibri"/>
        <family val="2"/>
        <charset val="1"/>
      </rPr>
      <t>슈러그</t>
    </r>
    <r>
      <rPr>
        <b/>
        <sz val="11"/>
        <color theme="1"/>
        <rFont val="Calibri"/>
        <family val="2"/>
      </rPr>
      <t xml:space="preserve"> 3)</t>
    </r>
  </si>
  <si>
    <t>부위</t>
  </si>
  <si>
    <t>랫풀다운 2 · 원암 케이블 로우 3 · 암풀다운 3 · 풀업 3 · 언더그립 랫풀다운 3 · 하이로우 3</t>
  </si>
  <si>
    <t>이두 · 상완</t>
  </si>
  <si>
    <t>EZ 프리쳐 3 · 리버스 EZ 컬 3 · 로우 케이블 컬 3 · 인클라인 덤벨 컬 3 · 해머 컬 3</t>
  </si>
  <si>
    <t>측면삼각</t>
  </si>
  <si>
    <t>레터럴 3(화) · 원암 케이블 레터럴 4 · 시티드 레터럴 4 · 레터럴 4(토)</t>
  </si>
  <si>
    <t>사두</t>
  </si>
  <si>
    <t>라잉 레그 컬 4 · 루마니안 3 · 원 레그 라잉 컬 3 · 시티드 레그 컬 4</t>
  </si>
  <si>
    <t>후면삼각</t>
  </si>
  <si>
    <t>페이스풀 3 · 리버스 펙덱 4(목) · 4(토) · 원암 리버스 플라이 3</t>
  </si>
  <si>
    <t>윗가슴</t>
  </si>
  <si>
    <t>인클라인 덤벨 프레스 3 · 로우 투 하이 3 · 인클라인 바벨 3 · 인클라인 머신 3</t>
  </si>
  <si>
    <t>내전 · 외전</t>
  </si>
  <si>
    <t>이너 · 아우터 각 3(월) · 각 3(금)</t>
  </si>
  <si>
    <t>오버헤드 익스텐션 2 · 로프 푸쉬다운 2 · 원암 오버헤드 익스텐션 3 · 라잉 4</t>
  </si>
  <si>
    <t>가슴(윗가슴 외)</t>
  </si>
  <si>
    <t>벤치 4 · 머신 체스트 프레스 2 · 딥스 2 · 펙덱 플라이 3</t>
  </si>
  <si>
    <t>리스트 컬 5(수) · 5(토)</t>
  </si>
  <si>
    <t>시티드 카프 5 · 스탠딩 카프 5</t>
  </si>
  <si>
    <t>등 상부</t>
  </si>
  <si>
    <t>해머 스트랭스 로우 4 · 인클라인 덤벨 로우 5</t>
  </si>
  <si>
    <t>복근</t>
  </si>
  <si>
    <t>중량 크런치 3 · 라잉 레그 레이즈 3 · 스탠딩 케이블 크런치 3</t>
  </si>
  <si>
    <t>트랩바 슈러그 3(월) · 오버헤드 슈러그 3(목)</t>
  </si>
  <si>
    <t>전면삼각</t>
  </si>
  <si>
    <t>밀리터리 3 · 덤벨 숄더 프레스 3</t>
  </si>
  <si>
    <t>허리</t>
  </si>
  <si>
    <t>백 익스텐션 3(수) · 3(토)</t>
  </si>
  <si>
    <t>체스트 프레스 머신 프로트랙션 2 · 인클라인 덤벨 프로트랙션 3</t>
  </si>
  <si>
    <t>넥 익스텐션 · 플렉션 2라운드</t>
  </si>
  <si>
    <r>
      <t>검산</t>
    </r>
    <r>
      <rPr>
        <b/>
        <sz val="11"/>
        <color theme="1"/>
        <rFont val="Calibri"/>
        <family val="2"/>
      </rPr>
      <t xml:space="preserve"> — </t>
    </r>
    <r>
      <rPr>
        <b/>
        <sz val="11"/>
        <color theme="1"/>
        <rFont val="Calibri"/>
        <family val="2"/>
        <charset val="1"/>
      </rPr>
      <t>요일</t>
    </r>
    <r>
      <rPr>
        <b/>
        <sz val="11"/>
        <color theme="1"/>
        <rFont val="Calibri"/>
        <family val="2"/>
      </rPr>
      <t xml:space="preserve"> </t>
    </r>
    <r>
      <rPr>
        <b/>
        <sz val="11"/>
        <color theme="1"/>
        <rFont val="Calibri"/>
        <family val="2"/>
        <charset val="1"/>
      </rPr>
      <t>시트</t>
    </r>
    <r>
      <rPr>
        <b/>
        <sz val="11"/>
        <color theme="1"/>
        <rFont val="Calibri"/>
        <family val="2"/>
      </rPr>
      <t xml:space="preserve"> </t>
    </r>
    <r>
      <rPr>
        <b/>
        <sz val="11"/>
        <color theme="1"/>
        <rFont val="Calibri"/>
        <family val="2"/>
        <charset val="1"/>
      </rPr>
      <t>합계</t>
    </r>
  </si>
  <si>
    <t>[운영 메모 — 원본 md]</t>
  </si>
  <si>
    <t>· 증량표 13종목은 그대로. 2주 넘게 정체되는 종목만 더블 프로그레션으로 돌린다.</t>
  </si>
  <si>
    <t>· 덜어낼 신호: 증량표 무게가 2주 넘게 멈춤 · 어깨나 팔꿈치 통증 · 자고 나도 피로가 안 풀림.</t>
  </si>
  <si>
    <t>· 덜어낼 때 후보: 목 덤벨 숄더 프레스 · 화 머신 체스트 프레스 · 금 원 레그 라잉 컬 · 목 원암 리버스 플라이 · 프로트랙션 2종 · 인클라인 덤벨 로우 일부 · 외전 일부 · 토 리스트 컬.</t>
  </si>
  <si>
    <t>· '—' 중량 칸은 이 프로그램에서 처음 하는 종목이다. 첫 주에 정해서 적는다.</t>
  </si>
  <si>
    <t>· 복귀_캐리 · 복귀_스텝박스 · 복귀_집계단은 v20 그대로 가져왔다(요일 배치는 아직 정하지 않음).</t>
  </si>
  <si>
    <r>
      <rPr>
        <sz val="11"/>
        <color theme="1"/>
        <rFont val="Calibri"/>
        <family val="2"/>
        <charset val="1"/>
      </rPr>
      <t>불가리안</t>
    </r>
    <r>
      <rPr>
        <sz val="11"/>
        <color theme="1"/>
        <rFont val="Calibri"/>
        <family val="2"/>
      </rPr>
      <t xml:space="preserve"> </t>
    </r>
    <r>
      <rPr>
        <sz val="11"/>
        <color theme="1"/>
        <rFont val="Calibri"/>
        <family val="2"/>
        <charset val="1"/>
      </rPr>
      <t>스플릿</t>
    </r>
    <r>
      <rPr>
        <sz val="11"/>
        <color theme="1"/>
        <rFont val="Calibri"/>
        <family val="2"/>
      </rPr>
      <t xml:space="preserve"> </t>
    </r>
    <r>
      <rPr>
        <sz val="11"/>
        <color theme="1"/>
        <rFont val="Calibri"/>
        <family val="2"/>
        <charset val="1"/>
      </rPr>
      <t>스쿼트</t>
    </r>
    <r>
      <rPr>
        <sz val="11"/>
        <color theme="1"/>
        <rFont val="Calibri"/>
        <family val="2"/>
      </rPr>
      <t xml:space="preserve"> (</t>
    </r>
    <r>
      <rPr>
        <sz val="11"/>
        <color theme="1"/>
        <rFont val="Calibri"/>
        <family val="2"/>
        <charset val="1"/>
      </rPr>
      <t>상체</t>
    </r>
    <r>
      <rPr>
        <sz val="11"/>
        <color theme="1"/>
        <rFont val="Calibri"/>
        <family val="2"/>
      </rPr>
      <t xml:space="preserve"> </t>
    </r>
    <r>
      <rPr>
        <sz val="11"/>
        <color theme="1"/>
        <rFont val="Calibri"/>
        <family val="2"/>
        <charset val="1"/>
      </rPr>
      <t>숙여서</t>
    </r>
    <r>
      <rPr>
        <sz val="11"/>
        <color theme="1"/>
        <rFont val="Calibri"/>
        <family val="2"/>
      </rPr>
      <t>)</t>
    </r>
  </si>
  <si>
    <r>
      <rPr>
        <sz val="11"/>
        <color theme="1"/>
        <rFont val="Calibri"/>
        <family val="2"/>
        <charset val="1"/>
      </rPr>
      <t>둔근</t>
    </r>
  </si>
  <si>
    <r>
      <t>8~10 (</t>
    </r>
    <r>
      <rPr>
        <sz val="11"/>
        <color theme="1"/>
        <rFont val="Calibri"/>
        <family val="2"/>
        <charset val="1"/>
      </rPr>
      <t>좌우</t>
    </r>
    <r>
      <rPr>
        <sz val="11"/>
        <color theme="1"/>
        <rFont val="Calibri"/>
        <family val="2"/>
      </rPr>
      <t>)</t>
    </r>
  </si>
  <si>
    <r>
      <t xml:space="preserve">[2026-10-29 </t>
    </r>
    <r>
      <rPr>
        <sz val="11"/>
        <color theme="1"/>
        <rFont val="Calibri"/>
        <family val="2"/>
        <charset val="1"/>
      </rPr>
      <t>사용자</t>
    </r>
    <r>
      <rPr>
        <sz val="11"/>
        <color theme="1"/>
        <rFont val="Calibri"/>
        <family val="2"/>
      </rPr>
      <t xml:space="preserve"> </t>
    </r>
    <r>
      <rPr>
        <sz val="11"/>
        <color theme="1"/>
        <rFont val="Calibri"/>
        <family val="2"/>
        <charset val="1"/>
      </rPr>
      <t>결정</t>
    </r>
    <r>
      <rPr>
        <sz val="11"/>
        <color theme="1"/>
        <rFont val="Calibri"/>
        <family val="2"/>
      </rPr>
      <t xml:space="preserve">] </t>
    </r>
    <r>
      <rPr>
        <sz val="11"/>
        <color theme="1"/>
        <rFont val="Calibri"/>
        <family val="2"/>
        <charset val="1"/>
      </rPr>
      <t>둔근을</t>
    </r>
    <r>
      <rPr>
        <sz val="11"/>
        <color theme="1"/>
        <rFont val="Calibri"/>
        <family val="2"/>
      </rPr>
      <t xml:space="preserve"> </t>
    </r>
    <r>
      <rPr>
        <sz val="11"/>
        <color theme="1"/>
        <rFont val="Calibri"/>
        <family val="2"/>
        <charset val="1"/>
      </rPr>
      <t>늘어난</t>
    </r>
    <r>
      <rPr>
        <sz val="11"/>
        <color theme="1"/>
        <rFont val="Calibri"/>
        <family val="2"/>
      </rPr>
      <t xml:space="preserve"> </t>
    </r>
    <r>
      <rPr>
        <sz val="11"/>
        <color theme="1"/>
        <rFont val="Calibri"/>
        <family val="2"/>
        <charset val="1"/>
      </rPr>
      <t>위치에서</t>
    </r>
    <r>
      <rPr>
        <sz val="11"/>
        <color theme="1"/>
        <rFont val="Calibri"/>
        <family val="2"/>
      </rPr>
      <t xml:space="preserve"> — </t>
    </r>
    <r>
      <rPr>
        <sz val="11"/>
        <color theme="1"/>
        <rFont val="Calibri"/>
        <family val="2"/>
        <charset val="1"/>
      </rPr>
      <t>힙</t>
    </r>
    <r>
      <rPr>
        <sz val="11"/>
        <color theme="1"/>
        <rFont val="Calibri"/>
        <family val="2"/>
      </rPr>
      <t xml:space="preserve"> </t>
    </r>
    <r>
      <rPr>
        <sz val="11"/>
        <color theme="1"/>
        <rFont val="Calibri"/>
        <family val="2"/>
        <charset val="1"/>
      </rPr>
      <t>쓰러스트</t>
    </r>
    <r>
      <rPr>
        <sz val="11"/>
        <color theme="1"/>
        <rFont val="Calibri"/>
        <family val="2"/>
      </rPr>
      <t>(</t>
    </r>
    <r>
      <rPr>
        <sz val="11"/>
        <color theme="1"/>
        <rFont val="Calibri"/>
        <family val="2"/>
        <charset val="1"/>
      </rPr>
      <t>짧은</t>
    </r>
    <r>
      <rPr>
        <sz val="11"/>
        <color theme="1"/>
        <rFont val="Calibri"/>
        <family val="2"/>
      </rPr>
      <t xml:space="preserve"> </t>
    </r>
    <r>
      <rPr>
        <sz val="11"/>
        <color theme="1"/>
        <rFont val="Calibri"/>
        <family val="2"/>
        <charset val="1"/>
      </rPr>
      <t>위치</t>
    </r>
    <r>
      <rPr>
        <sz val="11"/>
        <color theme="1"/>
        <rFont val="Calibri"/>
        <family val="2"/>
      </rPr>
      <t>)</t>
    </r>
    <r>
      <rPr>
        <sz val="11"/>
        <color theme="1"/>
        <rFont val="Calibri"/>
        <family val="2"/>
        <charset val="1"/>
      </rPr>
      <t>와</t>
    </r>
    <r>
      <rPr>
        <sz val="11"/>
        <color theme="1"/>
        <rFont val="Calibri"/>
        <family val="2"/>
      </rPr>
      <t xml:space="preserve"> </t>
    </r>
    <r>
      <rPr>
        <sz val="11"/>
        <color theme="1"/>
        <rFont val="Calibri"/>
        <family val="2"/>
        <charset val="1"/>
      </rPr>
      <t>짝</t>
    </r>
    <r>
      <rPr>
        <sz val="11"/>
        <color theme="1"/>
        <rFont val="Calibri"/>
        <family val="2"/>
      </rPr>
      <t xml:space="preserve">. </t>
    </r>
    <r>
      <rPr>
        <sz val="11"/>
        <color theme="1"/>
        <rFont val="Calibri"/>
        <family val="2"/>
        <charset val="1"/>
      </rPr>
      <t>상체</t>
    </r>
    <r>
      <rPr>
        <sz val="11"/>
        <color theme="1"/>
        <rFont val="Calibri"/>
        <family val="2"/>
      </rPr>
      <t xml:space="preserve"> 30~45</t>
    </r>
    <r>
      <rPr>
        <sz val="11"/>
        <color theme="1"/>
        <rFont val="Calibri"/>
        <family val="2"/>
        <charset val="1"/>
      </rPr>
      <t>도</t>
    </r>
    <r>
      <rPr>
        <sz val="11"/>
        <color theme="1"/>
        <rFont val="Calibri"/>
        <family val="2"/>
      </rPr>
      <t xml:space="preserve"> </t>
    </r>
    <r>
      <rPr>
        <sz val="11"/>
        <color theme="1"/>
        <rFont val="Calibri"/>
        <family val="2"/>
        <charset val="1"/>
      </rPr>
      <t>숙이고</t>
    </r>
    <r>
      <rPr>
        <sz val="11"/>
        <color theme="1"/>
        <rFont val="Calibri"/>
        <family val="2"/>
      </rPr>
      <t xml:space="preserve"> </t>
    </r>
    <r>
      <rPr>
        <sz val="11"/>
        <color theme="1"/>
        <rFont val="Calibri"/>
        <family val="2"/>
        <charset val="1"/>
      </rPr>
      <t>앞발은</t>
    </r>
    <r>
      <rPr>
        <sz val="11"/>
        <color theme="1"/>
        <rFont val="Calibri"/>
        <family val="2"/>
      </rPr>
      <t xml:space="preserve"> </t>
    </r>
    <r>
      <rPr>
        <sz val="11"/>
        <color theme="1"/>
        <rFont val="Calibri"/>
        <family val="2"/>
        <charset val="1"/>
      </rPr>
      <t>조금</t>
    </r>
    <r>
      <rPr>
        <sz val="11"/>
        <color theme="1"/>
        <rFont val="Calibri"/>
        <family val="2"/>
      </rPr>
      <t xml:space="preserve"> </t>
    </r>
    <r>
      <rPr>
        <sz val="11"/>
        <color theme="1"/>
        <rFont val="Calibri"/>
        <family val="2"/>
        <charset val="1"/>
      </rPr>
      <t>멀리</t>
    </r>
    <r>
      <rPr>
        <sz val="11"/>
        <color theme="1"/>
        <rFont val="Calibri"/>
        <family val="2"/>
      </rPr>
      <t xml:space="preserve">, </t>
    </r>
    <r>
      <rPr>
        <sz val="11"/>
        <color theme="1"/>
        <rFont val="Calibri"/>
        <family val="2"/>
        <charset val="1"/>
      </rPr>
      <t>무릎보다</t>
    </r>
    <r>
      <rPr>
        <sz val="11"/>
        <color theme="1"/>
        <rFont val="Calibri"/>
        <family val="2"/>
      </rPr>
      <t xml:space="preserve"> </t>
    </r>
    <r>
      <rPr>
        <sz val="11"/>
        <color theme="1"/>
        <rFont val="Calibri"/>
        <family val="2"/>
        <charset val="1"/>
      </rPr>
      <t>엉덩이를</t>
    </r>
    <r>
      <rPr>
        <sz val="11"/>
        <color theme="1"/>
        <rFont val="Calibri"/>
        <family val="2"/>
      </rPr>
      <t xml:space="preserve"> </t>
    </r>
    <r>
      <rPr>
        <sz val="11"/>
        <color theme="1"/>
        <rFont val="Calibri"/>
        <family val="2"/>
        <charset val="1"/>
      </rPr>
      <t>뒤로</t>
    </r>
    <r>
      <rPr>
        <sz val="11"/>
        <color theme="1"/>
        <rFont val="Calibri"/>
        <family val="2"/>
      </rPr>
      <t xml:space="preserve"> </t>
    </r>
    <r>
      <rPr>
        <sz val="11"/>
        <color theme="1"/>
        <rFont val="Calibri"/>
        <family val="2"/>
        <charset val="1"/>
      </rPr>
      <t>보내며</t>
    </r>
    <r>
      <rPr>
        <sz val="11"/>
        <color theme="1"/>
        <rFont val="Calibri"/>
        <family val="2"/>
      </rPr>
      <t xml:space="preserve"> </t>
    </r>
    <r>
      <rPr>
        <sz val="11"/>
        <color theme="1"/>
        <rFont val="Calibri"/>
        <family val="2"/>
        <charset val="1"/>
      </rPr>
      <t>내려가</t>
    </r>
    <r>
      <rPr>
        <sz val="11"/>
        <color theme="1"/>
        <rFont val="Calibri"/>
        <family val="2"/>
      </rPr>
      <t xml:space="preserve"> </t>
    </r>
    <r>
      <rPr>
        <sz val="11"/>
        <color theme="1"/>
        <rFont val="Calibri"/>
        <family val="2"/>
        <charset val="1"/>
      </rPr>
      <t>앞발</t>
    </r>
    <r>
      <rPr>
        <sz val="11"/>
        <color theme="1"/>
        <rFont val="Calibri"/>
        <family val="2"/>
      </rPr>
      <t xml:space="preserve"> </t>
    </r>
    <r>
      <rPr>
        <sz val="11"/>
        <color theme="1"/>
        <rFont val="Calibri"/>
        <family val="2"/>
        <charset val="1"/>
      </rPr>
      <t>뒤꿈치로</t>
    </r>
    <r>
      <rPr>
        <sz val="11"/>
        <color theme="1"/>
        <rFont val="Calibri"/>
        <family val="2"/>
      </rPr>
      <t xml:space="preserve"> </t>
    </r>
    <r>
      <rPr>
        <sz val="11"/>
        <color theme="1"/>
        <rFont val="Calibri"/>
        <family val="2"/>
        <charset val="1"/>
      </rPr>
      <t>민다</t>
    </r>
    <r>
      <rPr>
        <sz val="11"/>
        <color theme="1"/>
        <rFont val="Calibri"/>
        <family val="2"/>
      </rPr>
      <t xml:space="preserve">. </t>
    </r>
    <r>
      <rPr>
        <sz val="11"/>
        <color theme="1"/>
        <rFont val="Calibri"/>
        <family val="2"/>
        <charset val="1"/>
      </rPr>
      <t>사두</t>
    </r>
    <r>
      <rPr>
        <sz val="11"/>
        <color theme="1"/>
        <rFont val="Calibri"/>
        <family val="2"/>
      </rPr>
      <t xml:space="preserve"> </t>
    </r>
    <r>
      <rPr>
        <sz val="11"/>
        <color theme="1"/>
        <rFont val="Calibri"/>
        <family val="2"/>
        <charset val="1"/>
      </rPr>
      <t>간접</t>
    </r>
    <r>
      <rPr>
        <sz val="11"/>
        <color theme="1"/>
        <rFont val="Calibri"/>
        <family val="2"/>
      </rPr>
      <t xml:space="preserve"> 0.5 · </t>
    </r>
    <r>
      <rPr>
        <sz val="11"/>
        <color theme="1"/>
        <rFont val="Calibri"/>
        <family val="2"/>
        <charset val="1"/>
      </rPr>
      <t>대내전근도</t>
    </r>
    <r>
      <rPr>
        <sz val="11"/>
        <color theme="1"/>
        <rFont val="Calibri"/>
        <family val="2"/>
      </rPr>
      <t xml:space="preserve"> </t>
    </r>
    <r>
      <rPr>
        <sz val="11"/>
        <color theme="1"/>
        <rFont val="Calibri"/>
        <family val="2"/>
        <charset val="1"/>
      </rPr>
      <t>늘어난</t>
    </r>
    <r>
      <rPr>
        <sz val="11"/>
        <color theme="1"/>
        <rFont val="Calibri"/>
        <family val="2"/>
      </rPr>
      <t xml:space="preserve"> </t>
    </r>
    <r>
      <rPr>
        <sz val="11"/>
        <color theme="1"/>
        <rFont val="Calibri"/>
        <family val="2"/>
        <charset val="1"/>
      </rPr>
      <t>위치에서</t>
    </r>
    <r>
      <rPr>
        <sz val="11"/>
        <color theme="1"/>
        <rFont val="Calibri"/>
        <family val="2"/>
      </rPr>
      <t xml:space="preserve"> </t>
    </r>
    <r>
      <rPr>
        <sz val="11"/>
        <color theme="1"/>
        <rFont val="Calibri"/>
        <family val="2"/>
        <charset val="1"/>
      </rPr>
      <t>쓴다</t>
    </r>
    <r>
      <rPr>
        <sz val="11"/>
        <color theme="1"/>
        <rFont val="Calibri"/>
        <family val="2"/>
      </rPr>
      <t xml:space="preserve">. </t>
    </r>
    <r>
      <rPr>
        <sz val="11"/>
        <color theme="1"/>
        <rFont val="Calibri"/>
        <family val="2"/>
        <charset val="1"/>
      </rPr>
      <t>엉덩이</t>
    </r>
    <r>
      <rPr>
        <sz val="11"/>
        <color theme="1"/>
        <rFont val="Calibri"/>
        <family val="2"/>
      </rPr>
      <t xml:space="preserve"> </t>
    </r>
    <r>
      <rPr>
        <sz val="11"/>
        <color theme="1"/>
        <rFont val="Calibri"/>
        <family val="2"/>
        <charset val="1"/>
      </rPr>
      <t>뒤</t>
    </r>
    <r>
      <rPr>
        <sz val="11"/>
        <color theme="1"/>
        <rFont val="Calibri"/>
        <family val="2"/>
      </rPr>
      <t xml:space="preserve"> </t>
    </r>
    <r>
      <rPr>
        <sz val="11"/>
        <color theme="1"/>
        <rFont val="Calibri"/>
        <family val="2"/>
        <charset val="1"/>
      </rPr>
      <t>팝</t>
    </r>
    <r>
      <rPr>
        <sz val="11"/>
        <color theme="1"/>
        <rFont val="Calibri"/>
        <family val="2"/>
      </rPr>
      <t xml:space="preserve"> </t>
    </r>
    <r>
      <rPr>
        <sz val="11"/>
        <color theme="1"/>
        <rFont val="Calibri"/>
        <family val="2"/>
        <charset val="1"/>
      </rPr>
      <t>이력</t>
    </r>
    <r>
      <rPr>
        <sz val="11"/>
        <color theme="1"/>
        <rFont val="Calibri"/>
        <family val="2"/>
      </rPr>
      <t xml:space="preserve"> — </t>
    </r>
    <r>
      <rPr>
        <sz val="11"/>
        <color theme="1"/>
        <rFont val="Calibri"/>
        <family val="2"/>
        <charset val="1"/>
      </rPr>
      <t>첫</t>
    </r>
    <r>
      <rPr>
        <sz val="11"/>
        <color theme="1"/>
        <rFont val="Calibri"/>
        <family val="2"/>
      </rPr>
      <t xml:space="preserve"> 2</t>
    </r>
    <r>
      <rPr>
        <sz val="11"/>
        <color theme="1"/>
        <rFont val="Calibri"/>
        <family val="2"/>
        <charset val="1"/>
      </rPr>
      <t>주는</t>
    </r>
    <r>
      <rPr>
        <sz val="11"/>
        <color theme="1"/>
        <rFont val="Calibri"/>
        <family val="2"/>
      </rPr>
      <t xml:space="preserve"> </t>
    </r>
    <r>
      <rPr>
        <sz val="11"/>
        <color theme="1"/>
        <rFont val="Calibri"/>
        <family val="2"/>
        <charset val="1"/>
      </rPr>
      <t>맨몸이나</t>
    </r>
    <r>
      <rPr>
        <sz val="11"/>
        <color theme="1"/>
        <rFont val="Calibri"/>
        <family val="2"/>
      </rPr>
      <t xml:space="preserve"> </t>
    </r>
    <r>
      <rPr>
        <sz val="11"/>
        <color theme="1"/>
        <rFont val="Calibri"/>
        <family val="2"/>
        <charset val="1"/>
      </rPr>
      <t>가볍게</t>
    </r>
    <r>
      <rPr>
        <sz val="11"/>
        <color theme="1"/>
        <rFont val="Calibri"/>
        <family val="2"/>
      </rPr>
      <t xml:space="preserve">, </t>
    </r>
    <r>
      <rPr>
        <sz val="11"/>
        <color theme="1"/>
        <rFont val="Calibri"/>
        <family val="2"/>
        <charset val="1"/>
      </rPr>
      <t>아래에서</t>
    </r>
    <r>
      <rPr>
        <sz val="11"/>
        <color theme="1"/>
        <rFont val="Calibri"/>
        <family val="2"/>
      </rPr>
      <t xml:space="preserve"> </t>
    </r>
    <r>
      <rPr>
        <sz val="11"/>
        <color theme="1"/>
        <rFont val="Calibri"/>
        <family val="2"/>
        <charset val="1"/>
      </rPr>
      <t>당기면</t>
    </r>
    <r>
      <rPr>
        <sz val="11"/>
        <color theme="1"/>
        <rFont val="Calibri"/>
        <family val="2"/>
      </rPr>
      <t xml:space="preserve"> </t>
    </r>
    <r>
      <rPr>
        <sz val="11"/>
        <color theme="1"/>
        <rFont val="Calibri"/>
        <family val="2"/>
        <charset val="1"/>
      </rPr>
      <t>깊이를</t>
    </r>
    <r>
      <rPr>
        <sz val="11"/>
        <color theme="1"/>
        <rFont val="Calibri"/>
        <family val="2"/>
      </rPr>
      <t xml:space="preserve"> </t>
    </r>
    <r>
      <rPr>
        <sz val="11"/>
        <color theme="1"/>
        <rFont val="Calibri"/>
        <family val="2"/>
        <charset val="1"/>
      </rPr>
      <t>줄인다</t>
    </r>
    <r>
      <rPr>
        <sz val="11"/>
        <color theme="1"/>
        <rFont val="Calibri"/>
        <family val="2"/>
      </rPr>
      <t>.</t>
    </r>
  </si>
  <si>
    <r>
      <rPr>
        <sz val="11"/>
        <color theme="1"/>
        <rFont val="Calibri"/>
        <family val="2"/>
        <charset val="1"/>
      </rPr>
      <t>덤벨</t>
    </r>
    <r>
      <rPr>
        <sz val="11"/>
        <color theme="1"/>
        <rFont val="Calibri"/>
        <family val="2"/>
      </rPr>
      <t xml:space="preserve"> </t>
    </r>
    <r>
      <rPr>
        <sz val="11"/>
        <color theme="1"/>
        <rFont val="Calibri"/>
        <family val="2"/>
        <charset val="1"/>
      </rPr>
      <t>리버스</t>
    </r>
    <r>
      <rPr>
        <sz val="11"/>
        <color theme="1"/>
        <rFont val="Calibri"/>
        <family val="2"/>
      </rPr>
      <t xml:space="preserve"> </t>
    </r>
    <r>
      <rPr>
        <sz val="11"/>
        <color theme="1"/>
        <rFont val="Calibri"/>
        <family val="2"/>
        <charset val="1"/>
      </rPr>
      <t>런지</t>
    </r>
    <r>
      <rPr>
        <sz val="11"/>
        <color theme="1"/>
        <rFont val="Calibri"/>
        <family val="2"/>
      </rPr>
      <t xml:space="preserve"> (</t>
    </r>
    <r>
      <rPr>
        <sz val="11"/>
        <color theme="1"/>
        <rFont val="Calibri"/>
        <family val="2"/>
        <charset val="1"/>
      </rPr>
      <t>상체</t>
    </r>
    <r>
      <rPr>
        <sz val="11"/>
        <color theme="1"/>
        <rFont val="Calibri"/>
        <family val="2"/>
      </rPr>
      <t xml:space="preserve"> </t>
    </r>
    <r>
      <rPr>
        <sz val="11"/>
        <color theme="1"/>
        <rFont val="Calibri"/>
        <family val="2"/>
        <charset val="1"/>
      </rPr>
      <t>숙여서</t>
    </r>
    <r>
      <rPr>
        <sz val="11"/>
        <color theme="1"/>
        <rFont val="Calibri"/>
        <family val="2"/>
      </rPr>
      <t xml:space="preserve">) / </t>
    </r>
    <r>
      <rPr>
        <sz val="11"/>
        <color theme="1"/>
        <rFont val="Calibri"/>
        <family val="2"/>
        <charset val="1"/>
      </rPr>
      <t>스미스</t>
    </r>
    <r>
      <rPr>
        <sz val="11"/>
        <color theme="1"/>
        <rFont val="Calibri"/>
        <family val="2"/>
      </rPr>
      <t xml:space="preserve"> </t>
    </r>
    <r>
      <rPr>
        <sz val="11"/>
        <color theme="1"/>
        <rFont val="Calibri"/>
        <family val="2"/>
        <charset val="1"/>
      </rPr>
      <t>불가리안</t>
    </r>
  </si>
  <si>
    <t>익스텐션 2 · 이너 3 · 아우터 3 자이언트 세트 · 라운드 후 120초 — 마지막 라운드는 이너 → 아우터만. [2026-10-29] 3 → 2: 불가리안이 사두 간접 1.5를 채운다. 대퇴직근(고관절이 굽은 종목에선 안 늘어남)을 맡는 자리라 0으로는 안 뺐다. 월요일이 버거우면 가장 먼저 뺄 2세트.</t>
    <phoneticPr fontId="29" type="noConversion"/>
  </si>
  <si>
    <t>스쿼트 5 · 레그 프레스 4 · 레그 익스텐션 2(월) · 3(금) — 불가리안 간접 1.5 별도</t>
    <phoneticPr fontId="29" type="noConversion"/>
  </si>
  <si>
    <t>힙 쓰러스트 4 · 데드리프트 3 · 불가리안 스플릿 스쿼트 3(월)</t>
    <phoneticPr fontId="29" type="noConversion"/>
  </si>
  <si>
    <t>하체 A (사두 · 둔근 늘어난 위치 · 내전 · 외전) · 승모 상부</t>
    <phoneticPr fontId="29" type="noConversion"/>
  </si>
  <si>
    <t>월~토 · 일요일 휴식 · 원본 Downloads\주6일_분할_프로그램.md + 월요일 트랩바 슈러그 3 · 불가리안(상체 숙여서) 3 · 레그 익스텐션 3→2 · 복귀판(v20)은 그대로 두고 한 달 뒤 돌아간다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</si>
</sst>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0">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b/>
      <sz val="14"/>
      <color theme="1"/>
      <name val="Calibri"/>
      <family val="2"/>
      <charset val="1"/>
    </font>
    <font>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404040"/>
        <bgColor indexed="64"/>
      </patternFill>
    </fill>
    <fill>
      <patternFill patternType="solid">
        <fgColor rgb="FFEEEEEE"/>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2" fillId="8" borderId="4" xfId="0" applyFont="1" applyFill="1" applyBorder="1" applyAlignment="1">
      <alignment horizontal="center" vertical="center"/>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51" fillId="0" borderId="0" xfId="0" applyFont="1" applyAlignment="1">
      <alignment horizontal="left" vertical="center"/>
    </xf>
    <xf numFmtId="0" fontId="51" fillId="0" borderId="4" xfId="0" applyFont="1" applyBorder="1" applyAlignment="1">
      <alignment horizontal="left" vertical="center"/>
    </xf>
    <xf numFmtId="0" fontId="53" fillId="0" borderId="0" xfId="0" applyFont="1" applyAlignment="1">
      <alignment horizontal="left" vertical="center"/>
    </xf>
    <xf numFmtId="0" fontId="54" fillId="0" borderId="0" xfId="0" applyFont="1"/>
    <xf numFmtId="0" fontId="55" fillId="0" borderId="0" xfId="0" applyFont="1"/>
    <xf numFmtId="0" fontId="56" fillId="11" borderId="0" xfId="0" applyFont="1" applyFill="1"/>
    <xf numFmtId="0" fontId="36" fillId="11" borderId="0" xfId="0" applyFont="1" applyFill="1"/>
    <xf numFmtId="0" fontId="57" fillId="0" borderId="0" xfId="0" applyFont="1"/>
    <xf numFmtId="0" fontId="54" fillId="0" borderId="0" xfId="0" applyFont="1" applyAlignment="1">
      <alignment horizontal="center"/>
    </xf>
    <xf numFmtId="1" fontId="0" fillId="0" borderId="0" xfId="0" applyNumberFormat="1"/>
    <xf numFmtId="178" fontId="54"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1"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0" fontId="57" fillId="12" borderId="0" xfId="0" applyFont="1" applyFill="1"/>
    <xf numFmtId="2" fontId="0" fillId="0" borderId="0" xfId="0" applyNumberFormat="1"/>
    <xf numFmtId="49" fontId="0" fillId="0" borderId="0" xfId="0" applyNumberFormat="1"/>
    <xf numFmtId="0" fontId="0" fillId="0" borderId="0" xfId="0" applyAlignment="1">
      <alignment wrapText="1"/>
    </xf>
    <xf numFmtId="0" fontId="59" fillId="0" borderId="0" xfId="0" applyFont="1"/>
    <xf numFmtId="2" fontId="59" fillId="0" borderId="0" xfId="0" applyNumberFormat="1" applyFont="1"/>
    <xf numFmtId="49" fontId="59" fillId="0" borderId="0" xfId="0" applyNumberFormat="1" applyFont="1"/>
    <xf numFmtId="0" fontId="59" fillId="0" borderId="0" xfId="0" applyFont="1" applyAlignment="1">
      <alignment wrapText="1"/>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4"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1015</v>
      </c>
    </row>
    <row r="11" spans="1:6" ht="15" customHeight="1">
      <c r="A11" s="128" t="s">
        <v>1020</v>
      </c>
      <c r="B11" s="128" t="s">
        <v>27</v>
      </c>
      <c r="C11" s="101" t="s">
        <v>27</v>
      </c>
      <c r="D11" s="102">
        <v>60</v>
      </c>
      <c r="E11" s="129">
        <f>IF($C$4&lt;증량기록!$F$9,D11,INDEX(증량기록!$N$22:$N$51,MAX(1,MIN(30,$C$4-5))))</f>
        <v>60</v>
      </c>
      <c r="F11" s="101" t="s">
        <v>87</v>
      </c>
    </row>
    <row r="12" spans="1:6" ht="15" customHeight="1">
      <c r="A12" s="128" t="s">
        <v>517</v>
      </c>
      <c r="B12" s="128" t="s">
        <v>27</v>
      </c>
      <c r="C12" s="101" t="s">
        <v>27</v>
      </c>
      <c r="D12" s="102">
        <v>42</v>
      </c>
      <c r="E12" s="129">
        <f>IF($C$4&lt;증량기록!$F$10,D12,INDEX(증량기록!$P$22:$P$51,MAX(1,MIN(30,$C$4-5))))</f>
        <v>42</v>
      </c>
      <c r="F12" s="101" t="s">
        <v>1021</v>
      </c>
    </row>
    <row r="13" spans="1:6" ht="15" customHeight="1">
      <c r="A13" s="128" t="s">
        <v>374</v>
      </c>
      <c r="B13" s="128" t="s">
        <v>27</v>
      </c>
      <c r="C13" s="101" t="s">
        <v>27</v>
      </c>
      <c r="D13" s="102">
        <v>160</v>
      </c>
      <c r="E13" s="129">
        <f>IF($C$4&lt;증량기록!$F$11,D13,INDEX(증량기록!$R$22:$R$51,MAX(1,MIN(30,$C$4-5))))</f>
        <v>160</v>
      </c>
      <c r="F13" s="101" t="s">
        <v>1031</v>
      </c>
    </row>
    <row r="14" spans="1:6" ht="15" customHeight="1">
      <c r="A14" s="128" t="s">
        <v>911</v>
      </c>
      <c r="B14" s="128" t="s">
        <v>27</v>
      </c>
      <c r="C14" s="101" t="s">
        <v>27</v>
      </c>
      <c r="D14" s="102">
        <v>140</v>
      </c>
      <c r="E14" s="129">
        <f>IF($C$4&lt;증량기록!$F$12,D14,INDEX(증량기록!$T$22:$T$51,MAX(1,MIN(30,$C$4-5))))</f>
        <v>140</v>
      </c>
      <c r="F14" s="101" t="s">
        <v>1031</v>
      </c>
    </row>
    <row r="15" spans="1:6" ht="15" customHeight="1">
      <c r="A15" s="128" t="s">
        <v>559</v>
      </c>
      <c r="B15" s="128" t="s">
        <v>27</v>
      </c>
      <c r="C15" s="101" t="s">
        <v>27</v>
      </c>
      <c r="D15" s="102">
        <v>50</v>
      </c>
      <c r="E15" s="129">
        <f>IF($C$4&lt;증량기록!$F$13,D15,INDEX(증량기록!$V$22:$V$51,MAX(1,MIN(30,$C$4-5))))</f>
        <v>50</v>
      </c>
      <c r="F15" s="101" t="s">
        <v>1021</v>
      </c>
    </row>
    <row r="16" spans="1:6" ht="15" customHeight="1">
      <c r="A16" s="128" t="s">
        <v>556</v>
      </c>
      <c r="B16" s="128" t="s">
        <v>27</v>
      </c>
      <c r="C16" s="101" t="s">
        <v>27</v>
      </c>
      <c r="D16" s="102">
        <v>25</v>
      </c>
      <c r="E16" s="129">
        <f>IF($C$4&lt;증량기록!$F$14,D16,INDEX(증량기록!$X$22:$X$51,MAX(1,MIN(30,$C$4-5))))</f>
        <v>25</v>
      </c>
      <c r="F16" s="101" t="s">
        <v>1041</v>
      </c>
    </row>
    <row r="17" spans="1:6" ht="15" customHeight="1">
      <c r="A17" s="128" t="s">
        <v>417</v>
      </c>
      <c r="B17" s="128" t="s">
        <v>27</v>
      </c>
      <c r="C17" s="101" t="s">
        <v>27</v>
      </c>
      <c r="D17" s="102">
        <v>25</v>
      </c>
      <c r="E17" s="129">
        <f>IF($C$4&lt;증량기록!$F$15,D17,INDEX(증량기록!$Z$22:$Z$51,MAX(1,MIN(30,$C$4-5))))</f>
        <v>25</v>
      </c>
      <c r="F17" s="101" t="s">
        <v>1045</v>
      </c>
    </row>
    <row r="18" spans="1:6" ht="15" customHeight="1">
      <c r="A18" s="128" t="s">
        <v>1049</v>
      </c>
      <c r="B18" s="128" t="s">
        <v>27</v>
      </c>
      <c r="C18" s="101" t="s">
        <v>27</v>
      </c>
      <c r="D18" s="102">
        <v>50</v>
      </c>
      <c r="E18" s="129">
        <f>IF($C$4&lt;증량기록!$F$16,D18,INDEX(증량기록!$AB$22:$AB$51,MAX(1,MIN(30,$C$4-5))))</f>
        <v>50</v>
      </c>
      <c r="F18" s="101" t="s">
        <v>1045</v>
      </c>
    </row>
    <row r="19" spans="1:6" ht="15" customHeight="1">
      <c r="A19" s="128" t="s">
        <v>1079</v>
      </c>
      <c r="B19" s="128" t="s">
        <v>27</v>
      </c>
      <c r="C19" s="101" t="s">
        <v>27</v>
      </c>
      <c r="D19" s="102">
        <v>0</v>
      </c>
      <c r="E19" s="129">
        <f>IF($C$4&lt;증량기록!$F$17,D19,INDEX(증량기록!$AD$22:$AD$51,MAX(1,MIN(30,$C$4-5))))</f>
        <v>0</v>
      </c>
      <c r="F19" s="101" t="s">
        <v>1053</v>
      </c>
    </row>
    <row r="20" spans="1:6" ht="15" customHeight="1">
      <c r="A20" s="128" t="s">
        <v>588</v>
      </c>
      <c r="B20" s="128" t="s">
        <v>27</v>
      </c>
      <c r="C20" s="101" t="s">
        <v>27</v>
      </c>
      <c r="D20" s="102">
        <v>15</v>
      </c>
      <c r="E20" s="129">
        <f>IF($C$4&lt;증량기록!$F$18,D20,INDEX(증량기록!$AF$22:$AF$51,MAX(1,MIN(30,$C$4-5))))</f>
        <v>15</v>
      </c>
      <c r="F20" s="101" t="s">
        <v>1031</v>
      </c>
    </row>
    <row r="21" spans="1:6" ht="15" customHeight="1">
      <c r="A21" s="128" t="s">
        <v>439</v>
      </c>
      <c r="B21" s="128" t="s">
        <v>27</v>
      </c>
      <c r="C21" s="101" t="s">
        <v>27</v>
      </c>
      <c r="D21" s="102">
        <v>15</v>
      </c>
      <c r="E21" s="129">
        <f>IF($C$4&lt;증량기록!$F$19,D21,INDEX(증량기록!$AH$22:$AH$51,MAX(1,MIN(30,$C$4-5))))</f>
        <v>15</v>
      </c>
      <c r="F21" s="101" t="s">
        <v>1060</v>
      </c>
    </row>
    <row r="22" spans="1:6" ht="15" customHeight="1">
      <c r="A22" s="128" t="s">
        <v>1063</v>
      </c>
      <c r="B22" s="128" t="s">
        <v>27</v>
      </c>
      <c r="C22" s="101" t="s">
        <v>27</v>
      </c>
      <c r="D22" s="102">
        <v>40</v>
      </c>
      <c r="E22" s="129">
        <f>IF($C$4&lt;증량기록!$F$20,D22,INDEX(증량기록!$AJ$22:$AJ$51,MAX(1,MIN(30,$C$4-5))))</f>
        <v>40</v>
      </c>
      <c r="F22" s="101" t="s">
        <v>1064</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912</v>
      </c>
    </row>
    <row r="72" spans="1:5">
      <c r="A72" t="s">
        <v>130</v>
      </c>
      <c r="C72" s="100">
        <v>46298</v>
      </c>
      <c r="D72" t="s">
        <v>913</v>
      </c>
    </row>
    <row r="73" spans="1:5">
      <c r="A73" t="s">
        <v>131</v>
      </c>
      <c r="C73">
        <v>11</v>
      </c>
      <c r="D73" t="s">
        <v>132</v>
      </c>
    </row>
    <row r="74" spans="1:5">
      <c r="A74" t="s">
        <v>133</v>
      </c>
      <c r="C74">
        <v>1</v>
      </c>
      <c r="D74" t="s">
        <v>134</v>
      </c>
    </row>
    <row r="75" spans="1:5">
      <c r="A75" t="s">
        <v>949</v>
      </c>
      <c r="C75" s="100">
        <v>46312</v>
      </c>
      <c r="D75" t="s">
        <v>954</v>
      </c>
    </row>
    <row r="76" spans="1:5">
      <c r="A76" t="s">
        <v>952</v>
      </c>
      <c r="C76" s="122">
        <v>7</v>
      </c>
      <c r="D76" t="s">
        <v>953</v>
      </c>
    </row>
    <row r="77" spans="1:5">
      <c r="A77" t="s">
        <v>135</v>
      </c>
      <c r="C77" s="100">
        <v>46266</v>
      </c>
      <c r="D77" t="s">
        <v>136</v>
      </c>
    </row>
    <row r="78" spans="1:5">
      <c r="A78" t="s">
        <v>137</v>
      </c>
    </row>
    <row r="79" spans="1:5">
      <c r="A79" t="s">
        <v>138</v>
      </c>
    </row>
    <row r="80" spans="1:5">
      <c r="A80" t="s">
        <v>139</v>
      </c>
    </row>
    <row r="81" spans="1:1">
      <c r="A81" t="s">
        <v>950</v>
      </c>
    </row>
    <row r="82" spans="1:1">
      <c r="A82" t="s">
        <v>140</v>
      </c>
    </row>
    <row r="83" spans="1:1">
      <c r="A83" t="s">
        <v>141</v>
      </c>
    </row>
    <row r="84" spans="1:1">
      <c r="A84" t="s">
        <v>914</v>
      </c>
    </row>
    <row r="85" spans="1:1">
      <c r="A85" t="s">
        <v>916</v>
      </c>
    </row>
    <row r="86" spans="1:1">
      <c r="A86" t="s">
        <v>1011</v>
      </c>
    </row>
    <row r="87" spans="1:1">
      <c r="A87" t="s">
        <v>1016</v>
      </c>
    </row>
    <row r="88" spans="1:1">
      <c r="A88" t="s">
        <v>1030</v>
      </c>
    </row>
    <row r="89" spans="1:1">
      <c r="A89" t="s">
        <v>1056</v>
      </c>
    </row>
    <row r="90" spans="1:1">
      <c r="A90" t="s">
        <v>1068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1" t="s">
        <v>634</v>
      </c>
      <c r="B2" s="140"/>
      <c r="C2" s="140"/>
      <c r="D2" s="140"/>
      <c r="E2" s="140"/>
      <c r="F2" s="140"/>
      <c r="G2" s="140"/>
      <c r="H2" s="140"/>
    </row>
    <row r="3" spans="1:8">
      <c r="A3" t="s">
        <v>635</v>
      </c>
      <c r="F3">
        <f ca="1">COUNTIF($E$7:$E$80,"?")</f>
        <v>0</v>
      </c>
    </row>
    <row r="4" spans="1:8" ht="39.75" customHeight="1">
      <c r="A4" s="139" t="s">
        <v>636</v>
      </c>
      <c r="B4" s="140"/>
      <c r="C4" s="140"/>
      <c r="D4" s="140"/>
      <c r="E4" s="140"/>
      <c r="F4" s="140"/>
      <c r="G4" s="140"/>
      <c r="H4" s="140"/>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2"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43"/>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2"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43"/>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43"/>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43"/>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2"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43"/>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1022</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1023</v>
      </c>
      <c r="C9" s="130">
        <v>1</v>
      </c>
      <c r="D9" s="63" t="s">
        <v>1024</v>
      </c>
      <c r="E9">
        <v>1</v>
      </c>
      <c r="F9">
        <v>13</v>
      </c>
    </row>
    <row r="10" spans="1:8" ht="84" customHeight="1">
      <c r="A10" s="64" t="s">
        <v>1025</v>
      </c>
      <c r="C10" s="130">
        <v>1</v>
      </c>
      <c r="D10" s="63" t="s">
        <v>1026</v>
      </c>
      <c r="E10">
        <v>1</v>
      </c>
      <c r="F10">
        <v>13</v>
      </c>
    </row>
    <row r="11" spans="1:8" ht="84" customHeight="1">
      <c r="A11" s="64" t="s">
        <v>1032</v>
      </c>
      <c r="C11" s="130">
        <v>2</v>
      </c>
      <c r="D11" s="63" t="s">
        <v>1033</v>
      </c>
      <c r="E11">
        <v>1</v>
      </c>
      <c r="F11">
        <v>13</v>
      </c>
    </row>
    <row r="12" spans="1:8" ht="84" customHeight="1">
      <c r="A12" s="64" t="s">
        <v>1035</v>
      </c>
      <c r="C12" s="130">
        <v>2</v>
      </c>
      <c r="D12" s="63" t="s">
        <v>1036</v>
      </c>
      <c r="E12">
        <v>2</v>
      </c>
      <c r="F12">
        <v>13</v>
      </c>
    </row>
    <row r="13" spans="1:8" ht="84" customHeight="1">
      <c r="A13" s="64" t="s">
        <v>1038</v>
      </c>
      <c r="C13" s="130">
        <v>1</v>
      </c>
      <c r="D13" s="63" t="s">
        <v>1039</v>
      </c>
      <c r="E13">
        <v>2</v>
      </c>
      <c r="F13">
        <v>13</v>
      </c>
    </row>
    <row r="14" spans="1:8" ht="84" customHeight="1">
      <c r="A14" s="64" t="s">
        <v>1042</v>
      </c>
      <c r="C14" s="130">
        <v>1</v>
      </c>
      <c r="D14" s="63" t="s">
        <v>1043</v>
      </c>
      <c r="E14">
        <v>2</v>
      </c>
      <c r="F14">
        <v>13</v>
      </c>
    </row>
    <row r="15" spans="1:8" ht="84" customHeight="1">
      <c r="A15" s="64" t="s">
        <v>1046</v>
      </c>
      <c r="C15" s="130">
        <v>1</v>
      </c>
      <c r="D15" s="63" t="s">
        <v>1047</v>
      </c>
      <c r="E15">
        <v>3</v>
      </c>
      <c r="F15">
        <v>13</v>
      </c>
    </row>
    <row r="16" spans="1:8" ht="84" customHeight="1">
      <c r="A16" s="64" t="s">
        <v>1050</v>
      </c>
      <c r="C16" s="130">
        <v>1</v>
      </c>
      <c r="D16" s="63" t="s">
        <v>1051</v>
      </c>
      <c r="E16">
        <v>2</v>
      </c>
      <c r="F16">
        <v>13</v>
      </c>
    </row>
    <row r="17" spans="1:37" ht="84" customHeight="1">
      <c r="A17" s="64" t="s">
        <v>1054</v>
      </c>
      <c r="C17" s="130">
        <v>1</v>
      </c>
      <c r="D17" s="63" t="s">
        <v>1080</v>
      </c>
      <c r="E17">
        <v>2</v>
      </c>
      <c r="F17">
        <v>13</v>
      </c>
    </row>
    <row r="18" spans="1:37" ht="84" customHeight="1">
      <c r="A18" s="64" t="s">
        <v>1057</v>
      </c>
      <c r="C18" s="130">
        <v>1</v>
      </c>
      <c r="D18" s="63" t="s">
        <v>1058</v>
      </c>
      <c r="E18">
        <v>3</v>
      </c>
      <c r="F18">
        <v>13</v>
      </c>
    </row>
    <row r="19" spans="1:37" ht="84" customHeight="1">
      <c r="A19" s="64" t="s">
        <v>1061</v>
      </c>
      <c r="C19" s="130">
        <v>1</v>
      </c>
      <c r="D19" s="63" t="s">
        <v>1058</v>
      </c>
      <c r="E19">
        <v>3</v>
      </c>
      <c r="F19">
        <v>13</v>
      </c>
    </row>
    <row r="20" spans="1:37" ht="84" customHeight="1">
      <c r="A20" s="64" t="s">
        <v>1065</v>
      </c>
      <c r="C20" s="130">
        <v>1</v>
      </c>
      <c r="D20" s="63" t="s">
        <v>1066</v>
      </c>
      <c r="E20">
        <v>1</v>
      </c>
      <c r="F20">
        <v>13</v>
      </c>
    </row>
    <row r="21" spans="1:37" ht="15" customHeight="1">
      <c r="A21" s="5" t="s">
        <v>114</v>
      </c>
      <c r="B21" s="5" t="s">
        <v>915</v>
      </c>
      <c r="C21" s="5" t="s">
        <v>817</v>
      </c>
      <c r="D21" s="5" t="s">
        <v>818</v>
      </c>
      <c r="E21" s="5" t="s">
        <v>819</v>
      </c>
      <c r="F21" s="5" t="s">
        <v>818</v>
      </c>
      <c r="G21" s="5" t="s">
        <v>820</v>
      </c>
      <c r="H21" s="5" t="s">
        <v>818</v>
      </c>
      <c r="I21" s="5" t="s">
        <v>821</v>
      </c>
      <c r="J21" s="5" t="s">
        <v>818</v>
      </c>
      <c r="K21" s="5" t="s">
        <v>261</v>
      </c>
      <c r="L21" s="87" t="s">
        <v>822</v>
      </c>
      <c r="M21" s="87" t="s">
        <v>823</v>
      </c>
      <c r="N21" s="5" t="s">
        <v>1027</v>
      </c>
      <c r="O21" s="5" t="s">
        <v>1028</v>
      </c>
      <c r="P21" s="5" t="s">
        <v>1029</v>
      </c>
      <c r="Q21" s="5" t="s">
        <v>1028</v>
      </c>
      <c r="R21" s="5" t="s">
        <v>1034</v>
      </c>
      <c r="S21" s="5" t="s">
        <v>1028</v>
      </c>
      <c r="T21" s="5" t="s">
        <v>1037</v>
      </c>
      <c r="U21" s="5" t="s">
        <v>1028</v>
      </c>
      <c r="V21" s="5" t="s">
        <v>1040</v>
      </c>
      <c r="W21" s="5" t="s">
        <v>1028</v>
      </c>
      <c r="X21" s="5" t="s">
        <v>1044</v>
      </c>
      <c r="Y21" s="5" t="s">
        <v>1028</v>
      </c>
      <c r="Z21" s="5" t="s">
        <v>1048</v>
      </c>
      <c r="AA21" s="5" t="s">
        <v>1028</v>
      </c>
      <c r="AB21" s="5" t="s">
        <v>1052</v>
      </c>
      <c r="AC21" s="5" t="s">
        <v>1028</v>
      </c>
      <c r="AD21" s="5" t="s">
        <v>1055</v>
      </c>
      <c r="AE21" s="5" t="s">
        <v>1028</v>
      </c>
      <c r="AF21" s="5" t="s">
        <v>1059</v>
      </c>
      <c r="AG21" s="5" t="s">
        <v>1028</v>
      </c>
      <c r="AH21" s="5" t="s">
        <v>1062</v>
      </c>
      <c r="AI21" s="5" t="s">
        <v>1028</v>
      </c>
      <c r="AJ21" s="5" t="s">
        <v>1067</v>
      </c>
      <c r="AK21" s="5" t="s">
        <v>1028</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4"/>
  <sheetViews>
    <sheetView tabSelected="1" topLeftCell="A25" workbookViewId="0">
      <selection activeCell="A84" sqref="A84:XFD84"/>
    </sheetView>
  </sheetViews>
  <sheetFormatPr defaultRowHeight="15"/>
  <cols>
    <col min="1" max="1" width="18.7109375" customWidth="1"/>
    <col min="2" max="2" width="40.7109375" customWidth="1"/>
    <col min="3" max="3" width="12.7109375" customWidth="1"/>
    <col min="4" max="4" width="24" customWidth="1"/>
    <col min="5" max="5" width="8" customWidth="1"/>
    <col min="6" max="6" width="22" customWidth="1"/>
    <col min="7" max="7" width="60" customWidth="1"/>
  </cols>
  <sheetData>
    <row r="1" spans="1:6" ht="18.75">
      <c r="A1" s="117" t="s">
        <v>1223</v>
      </c>
    </row>
    <row r="2" spans="1:6">
      <c r="A2" t="s">
        <v>1280</v>
      </c>
    </row>
    <row r="4" spans="1:6">
      <c r="A4" s="99" t="s">
        <v>891</v>
      </c>
      <c r="B4" s="99" t="s">
        <v>1224</v>
      </c>
      <c r="C4" s="99" t="s">
        <v>148</v>
      </c>
      <c r="D4" s="99" t="s">
        <v>1225</v>
      </c>
      <c r="E4" s="99" t="s">
        <v>1226</v>
      </c>
      <c r="F4" s="99" t="s">
        <v>1227</v>
      </c>
    </row>
    <row r="5" spans="1:6">
      <c r="A5" t="s">
        <v>894</v>
      </c>
      <c r="B5" t="s">
        <v>1279</v>
      </c>
      <c r="C5">
        <f>분할_월_하체A!E28</f>
        <v>36</v>
      </c>
      <c r="D5">
        <f>분할_월_하체A!I28</f>
        <v>85</v>
      </c>
      <c r="E5">
        <v>12</v>
      </c>
      <c r="F5">
        <f t="shared" ref="F5:F10" si="0">D5+E5</f>
        <v>97</v>
      </c>
    </row>
    <row r="6" spans="1:6" ht="30" customHeight="1">
      <c r="A6" t="s">
        <v>895</v>
      </c>
      <c r="B6" t="s">
        <v>1228</v>
      </c>
      <c r="C6">
        <f>분할_화_가슴!E30</f>
        <v>32</v>
      </c>
      <c r="D6">
        <f>분할_화_가슴!I30</f>
        <v>69</v>
      </c>
      <c r="E6">
        <v>15</v>
      </c>
      <c r="F6">
        <f t="shared" si="0"/>
        <v>84</v>
      </c>
    </row>
    <row r="7" spans="1:6" ht="30" customHeight="1">
      <c r="A7" t="s">
        <v>896</v>
      </c>
      <c r="B7" t="s">
        <v>1229</v>
      </c>
      <c r="C7">
        <f>분할_수_등!E22</f>
        <v>37</v>
      </c>
      <c r="D7">
        <f>분할_수_등!I22</f>
        <v>69</v>
      </c>
      <c r="E7">
        <v>4</v>
      </c>
      <c r="F7">
        <f t="shared" si="0"/>
        <v>73</v>
      </c>
    </row>
    <row r="8" spans="1:6" ht="30" customHeight="1">
      <c r="A8" t="s">
        <v>897</v>
      </c>
      <c r="B8" t="s">
        <v>1230</v>
      </c>
      <c r="C8">
        <f>분할_목_어깨!E24</f>
        <v>31</v>
      </c>
      <c r="D8">
        <f>분할_목_어깨!I24</f>
        <v>63</v>
      </c>
      <c r="E8">
        <v>6</v>
      </c>
      <c r="F8">
        <f t="shared" si="0"/>
        <v>69</v>
      </c>
    </row>
    <row r="9" spans="1:6" ht="30" customHeight="1">
      <c r="A9" t="s">
        <v>898</v>
      </c>
      <c r="B9" t="s">
        <v>1231</v>
      </c>
      <c r="C9">
        <f>분할_금_하체B!E27</f>
        <v>31</v>
      </c>
      <c r="D9">
        <f>분할_금_하체B!I27</f>
        <v>79</v>
      </c>
      <c r="E9">
        <v>12</v>
      </c>
      <c r="F9">
        <f t="shared" si="0"/>
        <v>91</v>
      </c>
    </row>
    <row r="10" spans="1:6" ht="30" customHeight="1">
      <c r="A10" t="s">
        <v>892</v>
      </c>
      <c r="B10" t="s">
        <v>1232</v>
      </c>
      <c r="C10">
        <f>분할_토_가슴등!E23</f>
        <v>43</v>
      </c>
      <c r="D10">
        <f>분할_토_가슴등!I23</f>
        <v>77</v>
      </c>
      <c r="E10">
        <v>6</v>
      </c>
      <c r="F10">
        <f t="shared" si="0"/>
        <v>83</v>
      </c>
    </row>
    <row r="11" spans="1:6" ht="30" customHeight="1">
      <c r="A11" t="s">
        <v>893</v>
      </c>
      <c r="B11" t="s">
        <v>160</v>
      </c>
    </row>
    <row r="12" spans="1:6" ht="30" customHeight="1">
      <c r="A12" s="99" t="s">
        <v>171</v>
      </c>
      <c r="B12" s="99"/>
      <c r="C12" s="99">
        <f>SUM(C5:C10)</f>
        <v>210</v>
      </c>
      <c r="D12" s="99">
        <f>SUM(D5:D10)</f>
        <v>442</v>
      </c>
      <c r="E12" s="99">
        <f>SUM(E5:E10)</f>
        <v>55</v>
      </c>
      <c r="F12" s="99">
        <f>SUM(F5:F10)</f>
        <v>497</v>
      </c>
    </row>
    <row r="14" spans="1:6">
      <c r="A14" s="99" t="s">
        <v>1233</v>
      </c>
    </row>
    <row r="15" spans="1:6">
      <c r="A15" s="99" t="s">
        <v>1234</v>
      </c>
      <c r="B15" s="99" t="s">
        <v>148</v>
      </c>
      <c r="C15" s="99" t="s">
        <v>1224</v>
      </c>
    </row>
    <row r="16" spans="1:6">
      <c r="A16" t="s">
        <v>267</v>
      </c>
      <c r="B16">
        <v>17</v>
      </c>
      <c r="C16" t="s">
        <v>1235</v>
      </c>
    </row>
    <row r="17" spans="1:3">
      <c r="A17" t="s">
        <v>1236</v>
      </c>
      <c r="B17">
        <v>15</v>
      </c>
      <c r="C17" t="s">
        <v>1237</v>
      </c>
    </row>
    <row r="18" spans="1:3">
      <c r="A18" t="s">
        <v>1238</v>
      </c>
      <c r="B18">
        <v>15</v>
      </c>
      <c r="C18" t="s">
        <v>1239</v>
      </c>
    </row>
    <row r="19" spans="1:3">
      <c r="A19" t="s">
        <v>1240</v>
      </c>
      <c r="B19">
        <v>14</v>
      </c>
      <c r="C19" t="s">
        <v>1277</v>
      </c>
    </row>
    <row r="20" spans="1:3">
      <c r="A20" t="s">
        <v>384</v>
      </c>
      <c r="B20">
        <v>14</v>
      </c>
      <c r="C20" t="s">
        <v>1241</v>
      </c>
    </row>
    <row r="21" spans="1:3">
      <c r="A21" t="s">
        <v>1242</v>
      </c>
      <c r="B21">
        <v>14</v>
      </c>
      <c r="C21" t="s">
        <v>1243</v>
      </c>
    </row>
    <row r="22" spans="1:3">
      <c r="A22" t="s">
        <v>1244</v>
      </c>
      <c r="B22">
        <v>12</v>
      </c>
      <c r="C22" t="s">
        <v>1245</v>
      </c>
    </row>
    <row r="23" spans="1:3">
      <c r="A23" t="s">
        <v>1246</v>
      </c>
      <c r="B23">
        <v>12</v>
      </c>
      <c r="C23" t="s">
        <v>1247</v>
      </c>
    </row>
    <row r="24" spans="1:3">
      <c r="A24" t="s">
        <v>345</v>
      </c>
      <c r="B24">
        <v>11</v>
      </c>
      <c r="C24" t="s">
        <v>1248</v>
      </c>
    </row>
    <row r="25" spans="1:3">
      <c r="A25" t="s">
        <v>1249</v>
      </c>
      <c r="B25">
        <v>11</v>
      </c>
      <c r="C25" t="s">
        <v>1250</v>
      </c>
    </row>
    <row r="26" spans="1:3">
      <c r="A26" t="s">
        <v>295</v>
      </c>
      <c r="B26">
        <v>10</v>
      </c>
      <c r="C26" t="s">
        <v>1251</v>
      </c>
    </row>
    <row r="27" spans="1:3">
      <c r="A27" t="s">
        <v>308</v>
      </c>
      <c r="B27">
        <v>10</v>
      </c>
      <c r="C27" t="s">
        <v>1252</v>
      </c>
    </row>
    <row r="28" spans="1:3">
      <c r="A28" t="s">
        <v>1253</v>
      </c>
      <c r="B28">
        <v>9</v>
      </c>
      <c r="C28" t="s">
        <v>1254</v>
      </c>
    </row>
    <row r="29" spans="1:3">
      <c r="A29" t="s">
        <v>1255</v>
      </c>
      <c r="B29">
        <v>9</v>
      </c>
      <c r="C29" t="s">
        <v>1256</v>
      </c>
    </row>
    <row r="30" spans="1:3">
      <c r="A30" t="s">
        <v>375</v>
      </c>
      <c r="B30">
        <v>10</v>
      </c>
      <c r="C30" t="s">
        <v>1278</v>
      </c>
    </row>
    <row r="31" spans="1:3">
      <c r="A31" t="s">
        <v>407</v>
      </c>
      <c r="B31">
        <v>6</v>
      </c>
      <c r="C31" t="s">
        <v>1257</v>
      </c>
    </row>
    <row r="32" spans="1:3">
      <c r="A32" t="s">
        <v>1258</v>
      </c>
      <c r="B32">
        <v>6</v>
      </c>
      <c r="C32" t="s">
        <v>1259</v>
      </c>
    </row>
    <row r="33" spans="1:3">
      <c r="A33" t="s">
        <v>1260</v>
      </c>
      <c r="B33">
        <v>6</v>
      </c>
      <c r="C33" t="s">
        <v>1261</v>
      </c>
    </row>
    <row r="34" spans="1:3">
      <c r="A34" t="s">
        <v>285</v>
      </c>
      <c r="B34">
        <v>5</v>
      </c>
      <c r="C34" t="s">
        <v>1262</v>
      </c>
    </row>
    <row r="35" spans="1:3">
      <c r="A35" t="s">
        <v>897</v>
      </c>
      <c r="B35">
        <v>4</v>
      </c>
      <c r="C35" t="s">
        <v>1263</v>
      </c>
    </row>
    <row r="36" spans="1:3">
      <c r="A36" s="99" t="s">
        <v>171</v>
      </c>
      <c r="B36" s="99">
        <f>SUM(B16:B35)</f>
        <v>210</v>
      </c>
    </row>
    <row r="37" spans="1:3">
      <c r="A37" s="99" t="s">
        <v>1264</v>
      </c>
      <c r="B37" s="99">
        <f>C12</f>
        <v>210</v>
      </c>
    </row>
    <row r="39" spans="1:3">
      <c r="A39" t="s">
        <v>1265</v>
      </c>
    </row>
    <row r="40" spans="1:3">
      <c r="A40" t="s">
        <v>1266</v>
      </c>
    </row>
    <row r="41" spans="1:3">
      <c r="A41" t="s">
        <v>1267</v>
      </c>
    </row>
    <row r="42" spans="1:3">
      <c r="A42" t="s">
        <v>1268</v>
      </c>
    </row>
    <row r="43" spans="1:3">
      <c r="A43" t="s">
        <v>1269</v>
      </c>
    </row>
    <row r="44" spans="1:3">
      <c r="A44" t="s">
        <v>1270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0E8B4-63C3-470B-A14A-0C1C220ED252}">
  <dimension ref="A1:N31"/>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1081</v>
      </c>
    </row>
    <row r="2" spans="1:14">
      <c r="A2" t="str">
        <f>E28&amp;"세트 · 운동 "&amp;I28&amp;"분 + 웜업 12분 = "&amp;(I28+12)&amp;"분"</f>
        <v>36세트 · 운동 85분 + 웜업 12분 = 97분</v>
      </c>
    </row>
    <row r="4" spans="1:14">
      <c r="A4" s="107" t="s">
        <v>1082</v>
      </c>
    </row>
    <row r="5" spans="1:14">
      <c r="A5" s="108" t="s">
        <v>255</v>
      </c>
      <c r="B5" s="108" t="s">
        <v>330</v>
      </c>
      <c r="C5" s="108" t="s">
        <v>148</v>
      </c>
    </row>
    <row r="6" spans="1:14">
      <c r="A6" s="109">
        <f>MAX(20,(MROUND(시작중량_설정!$E$7*0.4,1)+(MOD(MROUND(시작중량_설정!$E$7*0.4,1),5)=4)))</f>
        <v>30</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14">
      <c r="A10" s="109">
        <f>시작중량_설정!$E$7</f>
        <v>75</v>
      </c>
      <c r="B10" s="109">
        <v>5</v>
      </c>
      <c r="C10" s="109">
        <v>5</v>
      </c>
    </row>
    <row r="12" spans="1:14">
      <c r="A12" s="99" t="s">
        <v>1083</v>
      </c>
    </row>
    <row r="13" spans="1:14">
      <c r="A13" t="s">
        <v>1084</v>
      </c>
    </row>
    <row r="15" spans="1:14">
      <c r="A15" s="99" t="s">
        <v>1085</v>
      </c>
    </row>
    <row r="16" spans="1:14">
      <c r="A16" s="131" t="s">
        <v>253</v>
      </c>
      <c r="B16" s="131" t="s">
        <v>1086</v>
      </c>
      <c r="C16" s="131" t="s">
        <v>1087</v>
      </c>
      <c r="D16" s="131" t="s">
        <v>1088</v>
      </c>
      <c r="E16" s="131" t="s">
        <v>1089</v>
      </c>
      <c r="F16" s="131" t="s">
        <v>1090</v>
      </c>
      <c r="G16" s="131" t="s">
        <v>1091</v>
      </c>
      <c r="H16" s="131" t="s">
        <v>1092</v>
      </c>
      <c r="I16" s="131" t="s">
        <v>1093</v>
      </c>
      <c r="J16" s="131" t="s">
        <v>1094</v>
      </c>
      <c r="K16" s="131" t="s">
        <v>1095</v>
      </c>
      <c r="L16" s="131" t="s">
        <v>1096</v>
      </c>
      <c r="M16" s="131" t="s">
        <v>1097</v>
      </c>
      <c r="N16" s="131" t="s">
        <v>1098</v>
      </c>
    </row>
    <row r="17" spans="1:14" ht="30">
      <c r="A17">
        <v>1</v>
      </c>
      <c r="B17" t="s">
        <v>82</v>
      </c>
      <c r="C17" t="s">
        <v>369</v>
      </c>
      <c r="D17" s="132">
        <f>시작중량_설정!$E$7</f>
        <v>75</v>
      </c>
      <c r="E17">
        <v>5</v>
      </c>
      <c r="F17" s="133" t="s">
        <v>338</v>
      </c>
      <c r="G17">
        <v>30</v>
      </c>
      <c r="H17">
        <v>180</v>
      </c>
      <c r="I17">
        <f t="shared" ref="I17:I27" si="0">IF(E17=0,0,ROUND((E17*(G17+H17)+N17)/60,1))</f>
        <v>17.5</v>
      </c>
      <c r="J17" s="134" t="s">
        <v>1099</v>
      </c>
      <c r="K17" s="134" t="s">
        <v>899</v>
      </c>
      <c r="L17" s="133" t="s">
        <v>342</v>
      </c>
    </row>
    <row r="18" spans="1:14">
      <c r="A18">
        <v>2</v>
      </c>
      <c r="B18" t="s">
        <v>374</v>
      </c>
      <c r="C18" t="s">
        <v>369</v>
      </c>
      <c r="D18" s="132">
        <f>시작중량_설정!$E$13</f>
        <v>160</v>
      </c>
      <c r="E18">
        <v>4</v>
      </c>
      <c r="F18" s="133" t="s">
        <v>309</v>
      </c>
      <c r="G18">
        <v>45</v>
      </c>
      <c r="H18">
        <v>150</v>
      </c>
      <c r="I18">
        <f t="shared" si="0"/>
        <v>13</v>
      </c>
      <c r="J18" s="134" t="s">
        <v>1100</v>
      </c>
      <c r="K18" s="134" t="s">
        <v>900</v>
      </c>
    </row>
    <row r="19" spans="1:14" s="135" customFormat="1" ht="75">
      <c r="A19" s="135">
        <v>3</v>
      </c>
      <c r="B19" s="135" t="s">
        <v>1271</v>
      </c>
      <c r="C19" s="135" t="s">
        <v>1272</v>
      </c>
      <c r="D19" s="136" t="s">
        <v>27</v>
      </c>
      <c r="E19" s="135">
        <v>3</v>
      </c>
      <c r="F19" s="137" t="s">
        <v>1273</v>
      </c>
      <c r="G19" s="135">
        <v>60</v>
      </c>
      <c r="H19" s="135">
        <v>120</v>
      </c>
      <c r="I19" s="135">
        <f>IF(E19=0,0,ROUND((E19*(G19+H19)+N19)/60,1))</f>
        <v>9</v>
      </c>
      <c r="J19" s="138" t="s">
        <v>1274</v>
      </c>
      <c r="K19" s="138" t="s">
        <v>1275</v>
      </c>
    </row>
    <row r="20" spans="1:14" ht="15" customHeight="1">
      <c r="A20">
        <v>4</v>
      </c>
      <c r="B20" t="s">
        <v>567</v>
      </c>
      <c r="C20" t="s">
        <v>369</v>
      </c>
      <c r="D20">
        <v>47</v>
      </c>
      <c r="E20">
        <v>2</v>
      </c>
      <c r="F20" s="133" t="s">
        <v>289</v>
      </c>
      <c r="G20">
        <v>40</v>
      </c>
      <c r="H20">
        <v>10</v>
      </c>
      <c r="I20">
        <f t="shared" si="0"/>
        <v>1.7</v>
      </c>
      <c r="J20" s="134" t="s">
        <v>1276</v>
      </c>
      <c r="K20" s="134"/>
      <c r="M20" t="s">
        <v>391</v>
      </c>
    </row>
    <row r="21" spans="1:14" ht="30" customHeight="1">
      <c r="A21">
        <v>5</v>
      </c>
      <c r="B21" t="s">
        <v>387</v>
      </c>
      <c r="C21" t="s">
        <v>388</v>
      </c>
      <c r="D21">
        <v>41</v>
      </c>
      <c r="E21">
        <v>3</v>
      </c>
      <c r="F21" s="133" t="s">
        <v>289</v>
      </c>
      <c r="G21">
        <v>40</v>
      </c>
      <c r="H21">
        <v>10</v>
      </c>
      <c r="I21">
        <f t="shared" si="0"/>
        <v>2.5</v>
      </c>
      <c r="J21" s="134" t="s">
        <v>1101</v>
      </c>
      <c r="K21" s="134" t="s">
        <v>903</v>
      </c>
      <c r="M21" t="s">
        <v>391</v>
      </c>
    </row>
    <row r="22" spans="1:14" ht="30" customHeight="1">
      <c r="A22">
        <v>6</v>
      </c>
      <c r="B22" t="s">
        <v>392</v>
      </c>
      <c r="C22" t="s">
        <v>393</v>
      </c>
      <c r="D22">
        <v>59</v>
      </c>
      <c r="E22">
        <v>3</v>
      </c>
      <c r="F22" s="133" t="s">
        <v>289</v>
      </c>
      <c r="G22">
        <v>40</v>
      </c>
      <c r="H22">
        <v>120</v>
      </c>
      <c r="I22">
        <f t="shared" si="0"/>
        <v>8</v>
      </c>
      <c r="J22" s="134" t="s">
        <v>1102</v>
      </c>
      <c r="K22" s="134" t="s">
        <v>1103</v>
      </c>
      <c r="M22" t="s">
        <v>391</v>
      </c>
    </row>
    <row r="23" spans="1:14" ht="30" customHeight="1">
      <c r="A23">
        <v>7</v>
      </c>
      <c r="B23" t="s">
        <v>383</v>
      </c>
      <c r="C23" t="s">
        <v>384</v>
      </c>
      <c r="D23">
        <v>50</v>
      </c>
      <c r="E23">
        <v>4</v>
      </c>
      <c r="F23" s="133" t="s">
        <v>350</v>
      </c>
      <c r="G23">
        <v>40</v>
      </c>
      <c r="H23">
        <v>120</v>
      </c>
      <c r="I23">
        <f t="shared" si="0"/>
        <v>11.9</v>
      </c>
      <c r="J23" s="134" t="s">
        <v>1104</v>
      </c>
      <c r="K23" s="134" t="s">
        <v>1105</v>
      </c>
      <c r="N23">
        <v>75</v>
      </c>
    </row>
    <row r="24" spans="1:14" ht="30" customHeight="1">
      <c r="A24">
        <v>8</v>
      </c>
      <c r="B24" t="s">
        <v>488</v>
      </c>
      <c r="C24" t="s">
        <v>308</v>
      </c>
      <c r="D24">
        <v>16</v>
      </c>
      <c r="E24">
        <v>5</v>
      </c>
      <c r="F24" s="133" t="s">
        <v>289</v>
      </c>
      <c r="G24">
        <v>40</v>
      </c>
      <c r="H24">
        <v>75</v>
      </c>
      <c r="I24">
        <f t="shared" si="0"/>
        <v>9.6</v>
      </c>
      <c r="J24" s="134" t="s">
        <v>1106</v>
      </c>
      <c r="K24" s="134" t="s">
        <v>1107</v>
      </c>
    </row>
    <row r="25" spans="1:14" ht="30" customHeight="1">
      <c r="A25">
        <v>9</v>
      </c>
      <c r="B25" t="s">
        <v>908</v>
      </c>
      <c r="C25" t="s">
        <v>897</v>
      </c>
      <c r="D25">
        <v>2.5</v>
      </c>
      <c r="E25">
        <v>2</v>
      </c>
      <c r="F25" s="133" t="s">
        <v>289</v>
      </c>
      <c r="G25">
        <v>40</v>
      </c>
      <c r="H25">
        <v>10</v>
      </c>
      <c r="I25">
        <f t="shared" si="0"/>
        <v>1.7</v>
      </c>
      <c r="J25" s="134" t="s">
        <v>1108</v>
      </c>
      <c r="K25" s="134"/>
      <c r="M25" t="s">
        <v>1109</v>
      </c>
    </row>
    <row r="26" spans="1:14" ht="30" customHeight="1">
      <c r="A26">
        <v>10</v>
      </c>
      <c r="B26" t="s">
        <v>909</v>
      </c>
      <c r="C26" t="s">
        <v>897</v>
      </c>
      <c r="D26">
        <v>2.5</v>
      </c>
      <c r="E26">
        <v>2</v>
      </c>
      <c r="F26" s="133" t="s">
        <v>289</v>
      </c>
      <c r="G26">
        <v>40</v>
      </c>
      <c r="H26">
        <v>60</v>
      </c>
      <c r="I26">
        <f t="shared" si="0"/>
        <v>3.3</v>
      </c>
      <c r="J26" s="134" t="s">
        <v>1110</v>
      </c>
      <c r="K26" s="134"/>
      <c r="M26" t="s">
        <v>1109</v>
      </c>
    </row>
    <row r="27" spans="1:14" ht="30" customHeight="1">
      <c r="A27">
        <v>11</v>
      </c>
      <c r="B27" t="s">
        <v>484</v>
      </c>
      <c r="C27" t="s">
        <v>407</v>
      </c>
      <c r="D27">
        <v>20</v>
      </c>
      <c r="E27">
        <v>3</v>
      </c>
      <c r="F27" s="133" t="s">
        <v>350</v>
      </c>
      <c r="G27">
        <v>40</v>
      </c>
      <c r="H27">
        <v>90</v>
      </c>
      <c r="I27">
        <f t="shared" si="0"/>
        <v>6.5</v>
      </c>
      <c r="J27" s="134" t="s">
        <v>1111</v>
      </c>
      <c r="K27" s="134" t="s">
        <v>1112</v>
      </c>
    </row>
    <row r="28" spans="1:14" ht="30" customHeight="1">
      <c r="D28" s="99" t="s">
        <v>1113</v>
      </c>
      <c r="E28" s="99">
        <f>SUM(E17:E27)</f>
        <v>36</v>
      </c>
      <c r="F28" s="99"/>
      <c r="G28" s="99"/>
      <c r="H28" s="99"/>
      <c r="I28" s="99">
        <f>ROUND(SUM(I17:I27),0)</f>
        <v>85</v>
      </c>
    </row>
    <row r="29" spans="1:14" ht="30" customHeight="1"/>
    <row r="30" spans="1:14" ht="30" customHeight="1">
      <c r="A30" t="s">
        <v>1114</v>
      </c>
    </row>
    <row r="31" spans="1:14" ht="30" customHeight="1"/>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1BFD9-97FA-4DEB-ACE7-8C641CA638BB}">
  <dimension ref="A1:N32"/>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17" t="s">
        <v>1115</v>
      </c>
    </row>
    <row r="2" spans="1:3">
      <c r="A2" t="str">
        <f>E30&amp;"세트 · 운동 "&amp;I30&amp;"분 + 웜업 15분 = "&amp;(I30+15)&amp;"분"</f>
        <v>32세트 · 운동 69분 + 웜업 15분 = 84분</v>
      </c>
    </row>
    <row r="4" spans="1:3">
      <c r="A4" s="107" t="s">
        <v>1116</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99" t="s">
        <v>1083</v>
      </c>
    </row>
    <row r="13" spans="1:3">
      <c r="A13" t="s">
        <v>1117</v>
      </c>
    </row>
    <row r="14" spans="1:3">
      <c r="A14" t="s">
        <v>1118</v>
      </c>
    </row>
    <row r="16" spans="1:3">
      <c r="A16" s="99" t="s">
        <v>1085</v>
      </c>
    </row>
    <row r="17" spans="1:14">
      <c r="A17" s="131" t="s">
        <v>253</v>
      </c>
      <c r="B17" s="131" t="s">
        <v>1086</v>
      </c>
      <c r="C17" s="131" t="s">
        <v>1087</v>
      </c>
      <c r="D17" s="131" t="s">
        <v>1088</v>
      </c>
      <c r="E17" s="131" t="s">
        <v>1089</v>
      </c>
      <c r="F17" s="131" t="s">
        <v>1090</v>
      </c>
      <c r="G17" s="131" t="s">
        <v>1091</v>
      </c>
      <c r="H17" s="131" t="s">
        <v>1092</v>
      </c>
      <c r="I17" s="131" t="s">
        <v>1093</v>
      </c>
      <c r="J17" s="131" t="s">
        <v>1094</v>
      </c>
      <c r="K17" s="131" t="s">
        <v>1095</v>
      </c>
      <c r="L17" s="131" t="s">
        <v>1096</v>
      </c>
      <c r="M17" s="131" t="s">
        <v>1097</v>
      </c>
      <c r="N17" s="131" t="s">
        <v>1098</v>
      </c>
    </row>
    <row r="18" spans="1:14">
      <c r="A18">
        <v>1</v>
      </c>
      <c r="B18" t="s">
        <v>86</v>
      </c>
      <c r="C18" t="s">
        <v>337</v>
      </c>
      <c r="D18" s="132">
        <f>시작중량_설정!$E$9</f>
        <v>41</v>
      </c>
      <c r="E18">
        <v>4</v>
      </c>
      <c r="F18" s="133" t="s">
        <v>489</v>
      </c>
      <c r="G18">
        <v>50</v>
      </c>
      <c r="H18">
        <v>180</v>
      </c>
      <c r="I18">
        <f t="shared" ref="I18:I29" si="0">IF(E18=0,0,ROUND((E18*(G18+H18)+N18)/60,1))</f>
        <v>15.3</v>
      </c>
      <c r="J18" s="134" t="s">
        <v>1119</v>
      </c>
      <c r="K18" s="134" t="s">
        <v>1120</v>
      </c>
      <c r="L18" s="133" t="s">
        <v>906</v>
      </c>
    </row>
    <row r="19" spans="1:14" ht="15" customHeight="1">
      <c r="A19">
        <v>2</v>
      </c>
      <c r="B19" t="s">
        <v>1121</v>
      </c>
      <c r="C19" t="s">
        <v>349</v>
      </c>
      <c r="D19" t="s">
        <v>27</v>
      </c>
      <c r="E19">
        <v>3</v>
      </c>
      <c r="F19" s="133" t="s">
        <v>284</v>
      </c>
      <c r="G19">
        <v>50</v>
      </c>
      <c r="H19">
        <v>150</v>
      </c>
      <c r="I19">
        <f t="shared" si="0"/>
        <v>10</v>
      </c>
      <c r="J19" s="134" t="s">
        <v>1122</v>
      </c>
      <c r="K19" s="134" t="s">
        <v>1123</v>
      </c>
    </row>
    <row r="20" spans="1:14" ht="30" customHeight="1">
      <c r="A20">
        <v>3</v>
      </c>
      <c r="B20" t="s">
        <v>1124</v>
      </c>
      <c r="C20" t="s">
        <v>337</v>
      </c>
      <c r="D20" t="s">
        <v>27</v>
      </c>
      <c r="E20">
        <v>2</v>
      </c>
      <c r="F20" s="133" t="s">
        <v>309</v>
      </c>
      <c r="G20">
        <v>40</v>
      </c>
      <c r="H20">
        <v>120</v>
      </c>
      <c r="I20">
        <f t="shared" si="0"/>
        <v>5.3</v>
      </c>
      <c r="J20" s="134"/>
      <c r="K20" s="134" t="s">
        <v>1125</v>
      </c>
    </row>
    <row r="21" spans="1:14" ht="30" customHeight="1">
      <c r="A21">
        <v>4</v>
      </c>
      <c r="B21" t="s">
        <v>1126</v>
      </c>
      <c r="C21" t="s">
        <v>349</v>
      </c>
      <c r="D21" t="s">
        <v>27</v>
      </c>
      <c r="E21">
        <v>3</v>
      </c>
      <c r="F21" s="133" t="s">
        <v>289</v>
      </c>
      <c r="G21">
        <v>40</v>
      </c>
      <c r="H21">
        <v>105</v>
      </c>
      <c r="I21">
        <f t="shared" si="0"/>
        <v>8.3000000000000007</v>
      </c>
      <c r="J21" s="134" t="s">
        <v>1127</v>
      </c>
      <c r="K21" s="134" t="s">
        <v>1128</v>
      </c>
      <c r="N21">
        <v>60</v>
      </c>
    </row>
    <row r="22" spans="1:14" ht="30" customHeight="1">
      <c r="A22">
        <v>5</v>
      </c>
      <c r="B22" t="s">
        <v>343</v>
      </c>
      <c r="C22" t="s">
        <v>337</v>
      </c>
      <c r="D22">
        <v>55</v>
      </c>
      <c r="E22">
        <v>2</v>
      </c>
      <c r="F22" s="133" t="s">
        <v>303</v>
      </c>
      <c r="G22">
        <v>40</v>
      </c>
      <c r="H22">
        <v>10</v>
      </c>
      <c r="I22">
        <f t="shared" si="0"/>
        <v>1.7</v>
      </c>
      <c r="J22" s="134" t="s">
        <v>1129</v>
      </c>
      <c r="K22" s="134" t="s">
        <v>1130</v>
      </c>
      <c r="M22" t="s">
        <v>391</v>
      </c>
    </row>
    <row r="23" spans="1:14" ht="30" customHeight="1">
      <c r="A23">
        <v>6</v>
      </c>
      <c r="B23" t="s">
        <v>1131</v>
      </c>
      <c r="C23" t="s">
        <v>345</v>
      </c>
      <c r="D23">
        <v>20</v>
      </c>
      <c r="E23">
        <v>2</v>
      </c>
      <c r="F23" s="133" t="s">
        <v>303</v>
      </c>
      <c r="G23">
        <v>40</v>
      </c>
      <c r="H23">
        <v>10</v>
      </c>
      <c r="I23">
        <f t="shared" si="0"/>
        <v>1.7</v>
      </c>
      <c r="J23" s="134" t="s">
        <v>1132</v>
      </c>
      <c r="K23" s="134"/>
      <c r="M23" t="s">
        <v>391</v>
      </c>
    </row>
    <row r="24" spans="1:14" ht="30" customHeight="1">
      <c r="A24">
        <v>7</v>
      </c>
      <c r="B24" t="s">
        <v>1133</v>
      </c>
      <c r="C24" t="s">
        <v>345</v>
      </c>
      <c r="D24">
        <v>25</v>
      </c>
      <c r="E24">
        <v>2</v>
      </c>
      <c r="F24" s="133" t="s">
        <v>303</v>
      </c>
      <c r="G24">
        <v>40</v>
      </c>
      <c r="H24">
        <v>90</v>
      </c>
      <c r="I24">
        <f t="shared" si="0"/>
        <v>4.3</v>
      </c>
      <c r="J24" s="134" t="s">
        <v>1134</v>
      </c>
      <c r="K24" s="134"/>
      <c r="M24" t="s">
        <v>391</v>
      </c>
    </row>
    <row r="25" spans="1:14" ht="30" customHeight="1">
      <c r="A25">
        <v>8</v>
      </c>
      <c r="B25" t="s">
        <v>1135</v>
      </c>
      <c r="C25" t="s">
        <v>285</v>
      </c>
      <c r="D25" t="s">
        <v>27</v>
      </c>
      <c r="E25">
        <v>2</v>
      </c>
      <c r="F25" s="133" t="s">
        <v>350</v>
      </c>
      <c r="G25">
        <v>40</v>
      </c>
      <c r="H25">
        <v>60</v>
      </c>
      <c r="I25">
        <f t="shared" si="0"/>
        <v>3.3</v>
      </c>
      <c r="J25" s="134"/>
      <c r="K25" s="134" t="s">
        <v>1019</v>
      </c>
    </row>
    <row r="26" spans="1:14" ht="30" customHeight="1">
      <c r="A26">
        <v>9</v>
      </c>
      <c r="B26" t="s">
        <v>1136</v>
      </c>
      <c r="C26" t="s">
        <v>345</v>
      </c>
      <c r="D26" t="s">
        <v>27</v>
      </c>
      <c r="E26">
        <v>3</v>
      </c>
      <c r="F26" s="133" t="s">
        <v>304</v>
      </c>
      <c r="G26">
        <v>60</v>
      </c>
      <c r="H26">
        <v>10</v>
      </c>
      <c r="I26">
        <f t="shared" si="0"/>
        <v>3.5</v>
      </c>
      <c r="J26" s="134" t="s">
        <v>1137</v>
      </c>
      <c r="K26" s="134"/>
      <c r="M26" t="s">
        <v>1109</v>
      </c>
    </row>
    <row r="27" spans="1:14" ht="30" customHeight="1">
      <c r="A27">
        <v>10</v>
      </c>
      <c r="B27" t="s">
        <v>1138</v>
      </c>
      <c r="C27" t="s">
        <v>358</v>
      </c>
      <c r="D27">
        <v>25</v>
      </c>
      <c r="E27">
        <v>3</v>
      </c>
      <c r="F27" s="133" t="s">
        <v>289</v>
      </c>
      <c r="G27">
        <v>45</v>
      </c>
      <c r="H27">
        <v>60</v>
      </c>
      <c r="I27">
        <f t="shared" si="0"/>
        <v>5.3</v>
      </c>
      <c r="J27" s="134" t="s">
        <v>1139</v>
      </c>
      <c r="K27" s="134"/>
      <c r="M27" t="s">
        <v>1109</v>
      </c>
    </row>
    <row r="28" spans="1:14" ht="30" customHeight="1">
      <c r="A28">
        <v>11</v>
      </c>
      <c r="B28" t="s">
        <v>353</v>
      </c>
      <c r="C28" t="s">
        <v>354</v>
      </c>
      <c r="D28">
        <v>8</v>
      </c>
      <c r="E28">
        <v>3</v>
      </c>
      <c r="F28" s="133" t="s">
        <v>289</v>
      </c>
      <c r="G28">
        <v>40</v>
      </c>
      <c r="H28">
        <v>60</v>
      </c>
      <c r="I28">
        <f t="shared" si="0"/>
        <v>5</v>
      </c>
      <c r="J28" s="134"/>
      <c r="K28" s="134" t="s">
        <v>901</v>
      </c>
    </row>
    <row r="29" spans="1:14" ht="30" customHeight="1">
      <c r="A29">
        <v>12</v>
      </c>
      <c r="B29" t="s">
        <v>533</v>
      </c>
      <c r="C29" t="s">
        <v>299</v>
      </c>
      <c r="D29">
        <v>20</v>
      </c>
      <c r="E29">
        <v>3</v>
      </c>
      <c r="F29" s="133" t="s">
        <v>314</v>
      </c>
      <c r="G29">
        <v>40</v>
      </c>
      <c r="H29">
        <v>60</v>
      </c>
      <c r="I29">
        <f t="shared" si="0"/>
        <v>5</v>
      </c>
      <c r="J29" s="134"/>
      <c r="K29" s="134"/>
    </row>
    <row r="30" spans="1:14" ht="30" customHeight="1">
      <c r="D30" s="99" t="s">
        <v>1113</v>
      </c>
      <c r="E30" s="99">
        <f>SUM(E18:E29)</f>
        <v>32</v>
      </c>
      <c r="F30" s="99"/>
      <c r="G30" s="99"/>
      <c r="H30" s="99"/>
      <c r="I30" s="99">
        <f>ROUND(SUM(I18:I29),0)</f>
        <v>69</v>
      </c>
    </row>
    <row r="32" spans="1:14">
      <c r="A32" t="s">
        <v>1140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7575-2646-4746-8BB6-92E49476E27A}">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1141</v>
      </c>
    </row>
    <row r="2" spans="1:14">
      <c r="A2" t="str">
        <f>E22&amp;"세트 · 운동 "&amp;I22&amp;"분 + 웜업 4분 = "&amp;(I22+4)&amp;"분"</f>
        <v>37세트 · 운동 69분 + 웜업 4분 = 73분</v>
      </c>
    </row>
    <row r="4" spans="1:14">
      <c r="A4" s="99" t="s">
        <v>1083</v>
      </c>
    </row>
    <row r="5" spans="1:14">
      <c r="A5" t="s">
        <v>1142</v>
      </c>
    </row>
    <row r="6" spans="1:14">
      <c r="A6" t="s">
        <v>1143</v>
      </c>
    </row>
    <row r="8" spans="1:14">
      <c r="A8" s="99" t="s">
        <v>1085</v>
      </c>
    </row>
    <row r="9" spans="1:14">
      <c r="A9" s="131" t="s">
        <v>253</v>
      </c>
      <c r="B9" s="131" t="s">
        <v>1086</v>
      </c>
      <c r="C9" s="131" t="s">
        <v>1087</v>
      </c>
      <c r="D9" s="131" t="s">
        <v>1088</v>
      </c>
      <c r="E9" s="131" t="s">
        <v>1089</v>
      </c>
      <c r="F9" s="131" t="s">
        <v>1090</v>
      </c>
      <c r="G9" s="131" t="s">
        <v>1091</v>
      </c>
      <c r="H9" s="131" t="s">
        <v>1092</v>
      </c>
      <c r="I9" s="131" t="s">
        <v>1093</v>
      </c>
      <c r="J9" s="131" t="s">
        <v>1094</v>
      </c>
      <c r="K9" s="131" t="s">
        <v>1095</v>
      </c>
      <c r="L9" s="131" t="s">
        <v>1096</v>
      </c>
      <c r="M9" s="131" t="s">
        <v>1097</v>
      </c>
      <c r="N9" s="131" t="s">
        <v>1098</v>
      </c>
    </row>
    <row r="10" spans="1:14" ht="30">
      <c r="A10">
        <v>1</v>
      </c>
      <c r="B10" t="s">
        <v>1144</v>
      </c>
      <c r="C10" t="s">
        <v>267</v>
      </c>
      <c r="D10" t="s">
        <v>27</v>
      </c>
      <c r="E10">
        <v>2</v>
      </c>
      <c r="F10" s="133" t="s">
        <v>350</v>
      </c>
      <c r="G10">
        <v>40</v>
      </c>
      <c r="H10">
        <v>120</v>
      </c>
      <c r="I10">
        <f t="shared" ref="I10:I21" si="0">IF(E10=0,0,ROUND((E10*(G10+H10)+N10)/60,1))</f>
        <v>5.3</v>
      </c>
      <c r="J10" s="134" t="s">
        <v>1145</v>
      </c>
      <c r="K10" s="134" t="s">
        <v>1146</v>
      </c>
    </row>
    <row r="11" spans="1:14" ht="30">
      <c r="A11">
        <v>2</v>
      </c>
      <c r="B11" t="s">
        <v>465</v>
      </c>
      <c r="C11" t="s">
        <v>282</v>
      </c>
      <c r="D11" s="132">
        <f>시작중량_설정!$E$11</f>
        <v>60</v>
      </c>
      <c r="E11">
        <v>4</v>
      </c>
      <c r="F11" s="133" t="s">
        <v>489</v>
      </c>
      <c r="G11">
        <v>40</v>
      </c>
      <c r="H11">
        <v>150</v>
      </c>
      <c r="I11">
        <f t="shared" si="0"/>
        <v>12.7</v>
      </c>
      <c r="J11" s="134" t="s">
        <v>1147</v>
      </c>
      <c r="K11" s="134" t="s">
        <v>1148</v>
      </c>
      <c r="L11" s="133" t="s">
        <v>904</v>
      </c>
    </row>
    <row r="12" spans="1:14" ht="30">
      <c r="A12">
        <v>3</v>
      </c>
      <c r="B12" t="s">
        <v>1149</v>
      </c>
      <c r="C12" t="s">
        <v>282</v>
      </c>
      <c r="D12">
        <v>18</v>
      </c>
      <c r="E12">
        <v>5</v>
      </c>
      <c r="F12" s="133" t="s">
        <v>309</v>
      </c>
      <c r="G12">
        <v>40</v>
      </c>
      <c r="H12">
        <v>60</v>
      </c>
      <c r="I12">
        <f t="shared" si="0"/>
        <v>8.3000000000000007</v>
      </c>
      <c r="J12" s="134" t="s">
        <v>1150</v>
      </c>
      <c r="K12" s="134" t="s">
        <v>1151</v>
      </c>
    </row>
    <row r="13" spans="1:14" ht="90">
      <c r="A13">
        <v>4</v>
      </c>
      <c r="B13" t="s">
        <v>472</v>
      </c>
      <c r="C13" t="s">
        <v>267</v>
      </c>
      <c r="D13">
        <v>32</v>
      </c>
      <c r="E13">
        <v>3</v>
      </c>
      <c r="F13" s="133" t="s">
        <v>1152</v>
      </c>
      <c r="G13">
        <v>60</v>
      </c>
      <c r="H13">
        <v>120</v>
      </c>
      <c r="I13">
        <f t="shared" si="0"/>
        <v>9</v>
      </c>
      <c r="J13" s="134" t="s">
        <v>1153</v>
      </c>
      <c r="K13" s="134" t="s">
        <v>1154</v>
      </c>
    </row>
    <row r="14" spans="1:14">
      <c r="A14">
        <v>5</v>
      </c>
      <c r="B14" t="s">
        <v>1155</v>
      </c>
      <c r="C14" t="s">
        <v>267</v>
      </c>
      <c r="D14">
        <v>20</v>
      </c>
      <c r="E14">
        <v>3</v>
      </c>
      <c r="F14" s="133" t="s">
        <v>289</v>
      </c>
      <c r="G14">
        <v>40</v>
      </c>
      <c r="H14">
        <v>75</v>
      </c>
      <c r="I14">
        <f t="shared" si="0"/>
        <v>5.8</v>
      </c>
      <c r="J14" s="134" t="s">
        <v>1156</v>
      </c>
      <c r="K14" s="134" t="s">
        <v>1157</v>
      </c>
    </row>
    <row r="15" spans="1:14">
      <c r="A15">
        <v>6</v>
      </c>
      <c r="B15" t="s">
        <v>1158</v>
      </c>
      <c r="C15" t="s">
        <v>269</v>
      </c>
      <c r="D15">
        <v>30</v>
      </c>
      <c r="E15">
        <v>3</v>
      </c>
      <c r="F15" s="133" t="s">
        <v>284</v>
      </c>
      <c r="G15">
        <v>40</v>
      </c>
      <c r="H15">
        <v>10</v>
      </c>
      <c r="I15">
        <f t="shared" si="0"/>
        <v>2.5</v>
      </c>
      <c r="J15" s="134" t="s">
        <v>1159</v>
      </c>
      <c r="K15" s="134" t="s">
        <v>1160</v>
      </c>
      <c r="M15" t="s">
        <v>391</v>
      </c>
    </row>
    <row r="16" spans="1:14">
      <c r="A16">
        <v>7</v>
      </c>
      <c r="B16" t="s">
        <v>439</v>
      </c>
      <c r="C16" t="s">
        <v>269</v>
      </c>
      <c r="D16" s="132">
        <f>시작중량_설정!$E$21</f>
        <v>15</v>
      </c>
      <c r="E16">
        <v>3</v>
      </c>
      <c r="F16" s="133" t="s">
        <v>314</v>
      </c>
      <c r="G16">
        <v>40</v>
      </c>
      <c r="H16">
        <v>10</v>
      </c>
      <c r="I16">
        <f t="shared" si="0"/>
        <v>2.5</v>
      </c>
      <c r="J16" s="134" t="s">
        <v>1161</v>
      </c>
      <c r="K16" s="134" t="s">
        <v>1162</v>
      </c>
      <c r="M16" t="s">
        <v>391</v>
      </c>
    </row>
    <row r="17" spans="1:13">
      <c r="A17">
        <v>8</v>
      </c>
      <c r="B17" t="s">
        <v>1163</v>
      </c>
      <c r="C17" t="s">
        <v>269</v>
      </c>
      <c r="D17" t="s">
        <v>27</v>
      </c>
      <c r="E17">
        <v>3</v>
      </c>
      <c r="F17" s="133" t="s">
        <v>289</v>
      </c>
      <c r="G17">
        <v>40</v>
      </c>
      <c r="H17">
        <v>90</v>
      </c>
      <c r="I17">
        <f t="shared" si="0"/>
        <v>6.5</v>
      </c>
      <c r="J17" s="134" t="s">
        <v>1134</v>
      </c>
      <c r="K17" s="134"/>
      <c r="M17" t="s">
        <v>391</v>
      </c>
    </row>
    <row r="18" spans="1:13">
      <c r="A18">
        <v>9</v>
      </c>
      <c r="B18" t="s">
        <v>905</v>
      </c>
      <c r="C18" t="s">
        <v>295</v>
      </c>
      <c r="D18">
        <v>20</v>
      </c>
      <c r="E18">
        <v>2</v>
      </c>
      <c r="F18" s="133" t="s">
        <v>1069</v>
      </c>
      <c r="G18">
        <v>40</v>
      </c>
      <c r="H18">
        <v>10</v>
      </c>
      <c r="I18">
        <f t="shared" si="0"/>
        <v>1.7</v>
      </c>
      <c r="J18" s="134" t="s">
        <v>1164</v>
      </c>
      <c r="K18" s="134"/>
      <c r="M18" t="s">
        <v>1109</v>
      </c>
    </row>
    <row r="19" spans="1:13" ht="15" customHeight="1">
      <c r="A19">
        <v>10</v>
      </c>
      <c r="B19" t="s">
        <v>594</v>
      </c>
      <c r="C19" t="s">
        <v>295</v>
      </c>
      <c r="D19">
        <v>15</v>
      </c>
      <c r="E19">
        <v>3</v>
      </c>
      <c r="F19" s="133" t="s">
        <v>1069</v>
      </c>
      <c r="G19">
        <v>40</v>
      </c>
      <c r="H19">
        <v>60</v>
      </c>
      <c r="I19">
        <f t="shared" si="0"/>
        <v>5</v>
      </c>
      <c r="J19" s="134" t="s">
        <v>1110</v>
      </c>
      <c r="K19" s="134"/>
      <c r="M19" t="s">
        <v>1109</v>
      </c>
    </row>
    <row r="20" spans="1:13" ht="30" customHeight="1">
      <c r="A20">
        <v>11</v>
      </c>
      <c r="B20" t="s">
        <v>298</v>
      </c>
      <c r="C20" t="s">
        <v>299</v>
      </c>
      <c r="D20" t="s">
        <v>283</v>
      </c>
      <c r="E20">
        <v>3</v>
      </c>
      <c r="F20" s="133" t="s">
        <v>289</v>
      </c>
      <c r="G20">
        <v>40</v>
      </c>
      <c r="H20">
        <v>60</v>
      </c>
      <c r="I20">
        <f t="shared" si="0"/>
        <v>5</v>
      </c>
      <c r="J20" s="134"/>
      <c r="K20" s="134"/>
    </row>
    <row r="21" spans="1:13" ht="30" customHeight="1">
      <c r="A21">
        <v>12</v>
      </c>
      <c r="B21" t="s">
        <v>318</v>
      </c>
      <c r="C21" t="s">
        <v>313</v>
      </c>
      <c r="D21">
        <v>20</v>
      </c>
      <c r="E21">
        <v>3</v>
      </c>
      <c r="F21" s="133" t="s">
        <v>289</v>
      </c>
      <c r="G21">
        <v>40</v>
      </c>
      <c r="H21">
        <v>60</v>
      </c>
      <c r="I21">
        <f t="shared" si="0"/>
        <v>5</v>
      </c>
      <c r="J21" s="134" t="s">
        <v>1165</v>
      </c>
      <c r="K21" s="134"/>
    </row>
    <row r="22" spans="1:13" ht="30" customHeight="1">
      <c r="D22" s="99" t="s">
        <v>1113</v>
      </c>
      <c r="E22" s="99">
        <f>SUM(E10:E21)</f>
        <v>37</v>
      </c>
      <c r="F22" s="99"/>
      <c r="G22" s="99"/>
      <c r="H22" s="99"/>
      <c r="I22" s="99">
        <f>ROUND(SUM(I10:I21),0)</f>
        <v>69</v>
      </c>
    </row>
    <row r="23" spans="1:13" ht="30" customHeight="1"/>
    <row r="24" spans="1:13" ht="30" customHeight="1">
      <c r="A24" t="s">
        <v>1166</v>
      </c>
    </row>
    <row r="25" spans="1:13" ht="30" customHeight="1">
      <c r="A25" t="s">
        <v>1167</v>
      </c>
    </row>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CE3B9-EBEB-45F7-94E8-DB751EE9F80B}">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1168</v>
      </c>
    </row>
    <row r="2" spans="1:14">
      <c r="A2" t="str">
        <f>E24&amp;"세트 · 운동 "&amp;I24&amp;"분 + 웜업 6분 = "&amp;(I24+6)&amp;"분"</f>
        <v>31세트 · 운동 63분 + 웜업 6분 = 69분</v>
      </c>
    </row>
    <row r="4" spans="1:14">
      <c r="A4" s="99" t="s">
        <v>1169</v>
      </c>
    </row>
    <row r="5" spans="1:14">
      <c r="A5" t="s">
        <v>255</v>
      </c>
      <c r="B5" t="s">
        <v>330</v>
      </c>
      <c r="C5" t="s">
        <v>148</v>
      </c>
    </row>
    <row r="6" spans="1:14">
      <c r="A6">
        <v>20</v>
      </c>
      <c r="B6">
        <v>5</v>
      </c>
      <c r="C6">
        <v>2</v>
      </c>
    </row>
    <row r="7" spans="1:14">
      <c r="A7" s="132">
        <f>시작중량_설정!$E$10</f>
        <v>31</v>
      </c>
      <c r="B7">
        <v>8</v>
      </c>
      <c r="C7">
        <v>3</v>
      </c>
    </row>
    <row r="9" spans="1:14">
      <c r="A9" s="99" t="s">
        <v>1083</v>
      </c>
    </row>
    <row r="10" spans="1:14">
      <c r="A10" t="s">
        <v>1170</v>
      </c>
    </row>
    <row r="11" spans="1:14">
      <c r="A11" t="s">
        <v>1171</v>
      </c>
    </row>
    <row r="13" spans="1:14">
      <c r="A13" s="99" t="s">
        <v>1085</v>
      </c>
    </row>
    <row r="14" spans="1:14">
      <c r="A14" s="131" t="s">
        <v>253</v>
      </c>
      <c r="B14" s="131" t="s">
        <v>1086</v>
      </c>
      <c r="C14" s="131" t="s">
        <v>1087</v>
      </c>
      <c r="D14" s="131" t="s">
        <v>1088</v>
      </c>
      <c r="E14" s="131" t="s">
        <v>1089</v>
      </c>
      <c r="F14" s="131" t="s">
        <v>1090</v>
      </c>
      <c r="G14" s="131" t="s">
        <v>1091</v>
      </c>
      <c r="H14" s="131" t="s">
        <v>1092</v>
      </c>
      <c r="I14" s="131" t="s">
        <v>1093</v>
      </c>
      <c r="J14" s="131" t="s">
        <v>1094</v>
      </c>
      <c r="K14" s="131" t="s">
        <v>1095</v>
      </c>
      <c r="L14" s="131" t="s">
        <v>1096</v>
      </c>
      <c r="M14" s="131" t="s">
        <v>1097</v>
      </c>
      <c r="N14" s="131" t="s">
        <v>1098</v>
      </c>
    </row>
    <row r="15" spans="1:14">
      <c r="A15">
        <v>1</v>
      </c>
      <c r="B15" t="s">
        <v>907</v>
      </c>
      <c r="C15" t="s">
        <v>354</v>
      </c>
      <c r="D15">
        <v>5</v>
      </c>
      <c r="E15">
        <v>4</v>
      </c>
      <c r="F15" s="133" t="s">
        <v>304</v>
      </c>
      <c r="G15">
        <v>60</v>
      </c>
      <c r="H15">
        <v>60</v>
      </c>
      <c r="I15">
        <f t="shared" ref="I15:I23" si="0">IF(E15=0,0,ROUND((E15*(G15+H15)+N15)/60,1))</f>
        <v>8</v>
      </c>
      <c r="J15" s="134" t="s">
        <v>1172</v>
      </c>
      <c r="K15" s="134" t="s">
        <v>1173</v>
      </c>
    </row>
    <row r="16" spans="1:14">
      <c r="A16">
        <v>2</v>
      </c>
      <c r="B16" t="s">
        <v>1174</v>
      </c>
      <c r="C16" t="s">
        <v>429</v>
      </c>
      <c r="D16" s="132">
        <f>시작중량_설정!$E$10</f>
        <v>31</v>
      </c>
      <c r="E16">
        <v>3</v>
      </c>
      <c r="F16" s="133" t="s">
        <v>489</v>
      </c>
      <c r="G16">
        <v>50</v>
      </c>
      <c r="H16">
        <v>180</v>
      </c>
      <c r="I16">
        <f t="shared" si="0"/>
        <v>11.5</v>
      </c>
      <c r="J16" s="134" t="s">
        <v>1175</v>
      </c>
      <c r="K16" s="134" t="s">
        <v>1176</v>
      </c>
      <c r="L16" s="133" t="s">
        <v>507</v>
      </c>
    </row>
    <row r="17" spans="1:13">
      <c r="A17">
        <v>3</v>
      </c>
      <c r="B17" t="s">
        <v>902</v>
      </c>
      <c r="C17" t="s">
        <v>358</v>
      </c>
      <c r="D17">
        <v>35</v>
      </c>
      <c r="E17">
        <v>4</v>
      </c>
      <c r="F17" s="133" t="s">
        <v>289</v>
      </c>
      <c r="G17">
        <v>40</v>
      </c>
      <c r="H17">
        <v>10</v>
      </c>
      <c r="I17">
        <f t="shared" si="0"/>
        <v>3.3</v>
      </c>
      <c r="J17" s="134" t="s">
        <v>1177</v>
      </c>
      <c r="K17" s="134" t="s">
        <v>410</v>
      </c>
      <c r="M17" t="s">
        <v>391</v>
      </c>
    </row>
    <row r="18" spans="1:13">
      <c r="A18">
        <v>4</v>
      </c>
      <c r="B18" t="s">
        <v>1178</v>
      </c>
      <c r="C18" t="s">
        <v>354</v>
      </c>
      <c r="D18">
        <v>8</v>
      </c>
      <c r="E18">
        <v>4</v>
      </c>
      <c r="F18" s="133" t="s">
        <v>289</v>
      </c>
      <c r="G18">
        <v>40</v>
      </c>
      <c r="H18">
        <v>75</v>
      </c>
      <c r="I18">
        <f t="shared" si="0"/>
        <v>7.7</v>
      </c>
      <c r="J18" s="134" t="s">
        <v>1179</v>
      </c>
      <c r="K18" s="134" t="s">
        <v>901</v>
      </c>
      <c r="M18" t="s">
        <v>391</v>
      </c>
    </row>
    <row r="19" spans="1:13" ht="15" customHeight="1">
      <c r="A19">
        <v>5</v>
      </c>
      <c r="B19" t="s">
        <v>1180</v>
      </c>
      <c r="C19" t="s">
        <v>358</v>
      </c>
      <c r="D19">
        <v>10</v>
      </c>
      <c r="E19">
        <v>3</v>
      </c>
      <c r="F19" s="133" t="s">
        <v>304</v>
      </c>
      <c r="G19">
        <v>60</v>
      </c>
      <c r="H19">
        <v>60</v>
      </c>
      <c r="I19">
        <f t="shared" si="0"/>
        <v>6</v>
      </c>
      <c r="J19" s="134"/>
      <c r="K19" s="134" t="s">
        <v>902</v>
      </c>
    </row>
    <row r="20" spans="1:13" ht="30" customHeight="1">
      <c r="A20">
        <v>6</v>
      </c>
      <c r="B20" t="s">
        <v>1181</v>
      </c>
      <c r="C20" t="s">
        <v>429</v>
      </c>
      <c r="D20">
        <v>14</v>
      </c>
      <c r="E20">
        <v>3</v>
      </c>
      <c r="F20" s="133" t="s">
        <v>350</v>
      </c>
      <c r="G20">
        <v>40</v>
      </c>
      <c r="H20">
        <v>120</v>
      </c>
      <c r="I20">
        <f t="shared" si="0"/>
        <v>8</v>
      </c>
      <c r="J20" s="134"/>
      <c r="K20" s="134" t="s">
        <v>508</v>
      </c>
    </row>
    <row r="21" spans="1:13" ht="30" customHeight="1">
      <c r="A21">
        <v>7</v>
      </c>
      <c r="B21" t="s">
        <v>417</v>
      </c>
      <c r="C21" t="s">
        <v>407</v>
      </c>
      <c r="D21" s="132">
        <f>시작중량_설정!$E$17</f>
        <v>25</v>
      </c>
      <c r="E21">
        <v>3</v>
      </c>
      <c r="F21" s="133" t="s">
        <v>436</v>
      </c>
      <c r="G21">
        <v>40</v>
      </c>
      <c r="H21">
        <v>75</v>
      </c>
      <c r="I21">
        <f t="shared" si="0"/>
        <v>5.8</v>
      </c>
      <c r="J21" s="134" t="s">
        <v>1182</v>
      </c>
      <c r="K21" s="134" t="s">
        <v>1183</v>
      </c>
    </row>
    <row r="22" spans="1:13" ht="30" customHeight="1">
      <c r="A22">
        <v>8</v>
      </c>
      <c r="B22" t="s">
        <v>1019</v>
      </c>
      <c r="C22" t="s">
        <v>285</v>
      </c>
      <c r="D22">
        <v>10</v>
      </c>
      <c r="E22">
        <v>3</v>
      </c>
      <c r="F22" s="133" t="s">
        <v>303</v>
      </c>
      <c r="G22">
        <v>40</v>
      </c>
      <c r="H22">
        <v>60</v>
      </c>
      <c r="I22">
        <f t="shared" si="0"/>
        <v>5</v>
      </c>
      <c r="J22" s="134"/>
      <c r="K22" s="134" t="s">
        <v>1135</v>
      </c>
    </row>
    <row r="23" spans="1:13" ht="30" customHeight="1">
      <c r="A23">
        <v>9</v>
      </c>
      <c r="B23" t="s">
        <v>588</v>
      </c>
      <c r="C23" t="s">
        <v>345</v>
      </c>
      <c r="D23" s="132">
        <f>시작중량_설정!$E$20</f>
        <v>15</v>
      </c>
      <c r="E23">
        <v>4</v>
      </c>
      <c r="F23" s="133" t="s">
        <v>309</v>
      </c>
      <c r="G23">
        <v>40</v>
      </c>
      <c r="H23">
        <v>75</v>
      </c>
      <c r="I23">
        <f t="shared" si="0"/>
        <v>7.7</v>
      </c>
      <c r="J23" s="134" t="s">
        <v>1184</v>
      </c>
      <c r="K23" s="134" t="s">
        <v>1185</v>
      </c>
    </row>
    <row r="24" spans="1:13" ht="30" customHeight="1">
      <c r="D24" s="99" t="s">
        <v>1113</v>
      </c>
      <c r="E24" s="99">
        <f>SUM(E15:E23)</f>
        <v>31</v>
      </c>
      <c r="F24" s="99"/>
      <c r="G24" s="99"/>
      <c r="H24" s="99"/>
      <c r="I24" s="99">
        <f>ROUND(SUM(I15:I23),0)</f>
        <v>63</v>
      </c>
    </row>
    <row r="25" spans="1:13" ht="30" customHeight="1"/>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7ADC0-861B-47F1-895E-A452992871DF}">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1186</v>
      </c>
    </row>
    <row r="2" spans="1:14">
      <c r="A2" t="str">
        <f>E27&amp;"세트 · 운동 "&amp;I27&amp;"분 + 웜업 12분 = "&amp;(I27+12)&amp;"분"</f>
        <v>31세트 · 운동 79분 + 웜업 12분 = 91분</v>
      </c>
    </row>
    <row r="4" spans="1:14">
      <c r="A4" s="107" t="s">
        <v>1187</v>
      </c>
    </row>
    <row r="5" spans="1:14">
      <c r="A5" s="108" t="s">
        <v>255</v>
      </c>
      <c r="B5" s="108" t="s">
        <v>330</v>
      </c>
      <c r="C5" s="108" t="s">
        <v>148</v>
      </c>
    </row>
    <row r="6" spans="1:14">
      <c r="A6" s="109">
        <f>MAX(20,(MROUND(시작중량_설정!$E$8*0.4,1)+(MOD(MROUND(시작중량_설정!$E$8*0.4,1),5)=4)))</f>
        <v>32</v>
      </c>
      <c r="B6" s="109">
        <v>5</v>
      </c>
      <c r="C6" s="109">
        <v>2</v>
      </c>
    </row>
    <row r="7" spans="1:14">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14">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14">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14">
      <c r="A10" s="109">
        <f>시작중량_설정!$E$8</f>
        <v>80</v>
      </c>
      <c r="B10" s="109">
        <v>5</v>
      </c>
      <c r="C10" s="109">
        <v>1</v>
      </c>
    </row>
    <row r="12" spans="1:14">
      <c r="A12" s="99" t="s">
        <v>1083</v>
      </c>
    </row>
    <row r="13" spans="1:14">
      <c r="A13" t="s">
        <v>1188</v>
      </c>
    </row>
    <row r="15" spans="1:14">
      <c r="A15" s="99" t="s">
        <v>1085</v>
      </c>
    </row>
    <row r="16" spans="1:14">
      <c r="A16" s="131" t="s">
        <v>253</v>
      </c>
      <c r="B16" s="131" t="s">
        <v>1086</v>
      </c>
      <c r="C16" s="131" t="s">
        <v>1087</v>
      </c>
      <c r="D16" s="131" t="s">
        <v>1088</v>
      </c>
      <c r="E16" s="131" t="s">
        <v>1089</v>
      </c>
      <c r="F16" s="131" t="s">
        <v>1090</v>
      </c>
      <c r="G16" s="131" t="s">
        <v>1091</v>
      </c>
      <c r="H16" s="131" t="s">
        <v>1092</v>
      </c>
      <c r="I16" s="131" t="s">
        <v>1093</v>
      </c>
      <c r="J16" s="131" t="s">
        <v>1094</v>
      </c>
      <c r="K16" s="131" t="s">
        <v>1095</v>
      </c>
      <c r="L16" s="131" t="s">
        <v>1096</v>
      </c>
      <c r="M16" s="131" t="s">
        <v>1097</v>
      </c>
      <c r="N16" s="131" t="s">
        <v>1098</v>
      </c>
    </row>
    <row r="17" spans="1:13">
      <c r="A17">
        <v>1</v>
      </c>
      <c r="B17" t="s">
        <v>84</v>
      </c>
      <c r="C17" t="s">
        <v>375</v>
      </c>
      <c r="D17" s="132">
        <f>시작중량_설정!$E$8</f>
        <v>80</v>
      </c>
      <c r="E17">
        <v>1</v>
      </c>
      <c r="F17" s="133" t="s">
        <v>338</v>
      </c>
      <c r="G17">
        <v>30</v>
      </c>
      <c r="H17">
        <v>180</v>
      </c>
      <c r="I17">
        <f t="shared" ref="I17:I26" si="0">IF(E17=0,0,ROUND((E17*(G17+H17)+N17)/60,1))</f>
        <v>3.5</v>
      </c>
      <c r="J17" s="134" t="s">
        <v>1189</v>
      </c>
      <c r="K17" s="134" t="s">
        <v>1190</v>
      </c>
    </row>
    <row r="18" spans="1:13">
      <c r="A18">
        <v>2</v>
      </c>
      <c r="B18" t="s">
        <v>910</v>
      </c>
      <c r="C18" t="s">
        <v>375</v>
      </c>
      <c r="D18">
        <f>MAX(20,MROUND(시작중량_설정!$E$8*0.82,1))</f>
        <v>66</v>
      </c>
      <c r="E18">
        <v>2</v>
      </c>
      <c r="F18" s="133" t="s">
        <v>338</v>
      </c>
      <c r="G18">
        <v>30</v>
      </c>
      <c r="H18">
        <v>180</v>
      </c>
      <c r="I18">
        <f t="shared" si="0"/>
        <v>7</v>
      </c>
      <c r="J18" s="134" t="s">
        <v>1191</v>
      </c>
      <c r="K18" s="134"/>
    </row>
    <row r="19" spans="1:13" ht="15" customHeight="1">
      <c r="A19">
        <v>3</v>
      </c>
      <c r="B19" t="s">
        <v>559</v>
      </c>
      <c r="C19" t="s">
        <v>384</v>
      </c>
      <c r="D19" s="132">
        <f>시작중량_설정!$E$15</f>
        <v>50</v>
      </c>
      <c r="E19">
        <v>3</v>
      </c>
      <c r="F19" s="133" t="s">
        <v>309</v>
      </c>
      <c r="G19">
        <v>45</v>
      </c>
      <c r="H19">
        <v>150</v>
      </c>
      <c r="I19">
        <f t="shared" si="0"/>
        <v>9.8000000000000007</v>
      </c>
      <c r="J19" s="134" t="s">
        <v>1192</v>
      </c>
      <c r="K19" s="134" t="s">
        <v>1193</v>
      </c>
    </row>
    <row r="20" spans="1:13" ht="30" customHeight="1">
      <c r="A20">
        <v>4</v>
      </c>
      <c r="B20" t="s">
        <v>556</v>
      </c>
      <c r="C20" t="s">
        <v>375</v>
      </c>
      <c r="D20" s="132">
        <f>시작중량_설정!$E$16</f>
        <v>25</v>
      </c>
      <c r="E20">
        <v>4</v>
      </c>
      <c r="F20" s="133" t="s">
        <v>314</v>
      </c>
      <c r="G20">
        <v>40</v>
      </c>
      <c r="H20">
        <v>120</v>
      </c>
      <c r="I20">
        <f t="shared" si="0"/>
        <v>10.7</v>
      </c>
      <c r="J20" s="134" t="s">
        <v>1194</v>
      </c>
      <c r="K20" s="134" t="s">
        <v>1195</v>
      </c>
    </row>
    <row r="21" spans="1:13" ht="30" customHeight="1">
      <c r="A21">
        <v>5</v>
      </c>
      <c r="B21" t="s">
        <v>1196</v>
      </c>
      <c r="C21" t="s">
        <v>384</v>
      </c>
      <c r="D21">
        <v>30</v>
      </c>
      <c r="E21">
        <v>3</v>
      </c>
      <c r="F21" s="133" t="s">
        <v>1152</v>
      </c>
      <c r="G21">
        <v>60</v>
      </c>
      <c r="H21">
        <v>120</v>
      </c>
      <c r="I21">
        <f t="shared" si="0"/>
        <v>9</v>
      </c>
      <c r="J21" s="134"/>
      <c r="K21" s="134" t="s">
        <v>1197</v>
      </c>
    </row>
    <row r="22" spans="1:13" ht="30" customHeight="1">
      <c r="A22">
        <v>6</v>
      </c>
      <c r="B22" t="s">
        <v>392</v>
      </c>
      <c r="C22" t="s">
        <v>393</v>
      </c>
      <c r="D22">
        <v>60</v>
      </c>
      <c r="E22">
        <v>3</v>
      </c>
      <c r="F22" s="133" t="s">
        <v>289</v>
      </c>
      <c r="G22">
        <v>40</v>
      </c>
      <c r="H22">
        <v>10</v>
      </c>
      <c r="I22">
        <f t="shared" si="0"/>
        <v>2.5</v>
      </c>
      <c r="J22" s="134" t="s">
        <v>1198</v>
      </c>
      <c r="K22" s="134" t="s">
        <v>492</v>
      </c>
      <c r="M22" t="s">
        <v>391</v>
      </c>
    </row>
    <row r="23" spans="1:13" ht="30" customHeight="1">
      <c r="A23">
        <v>7</v>
      </c>
      <c r="B23" t="s">
        <v>387</v>
      </c>
      <c r="C23" t="s">
        <v>388</v>
      </c>
      <c r="D23">
        <v>40</v>
      </c>
      <c r="E23">
        <v>3</v>
      </c>
      <c r="F23" s="133" t="s">
        <v>289</v>
      </c>
      <c r="G23">
        <v>40</v>
      </c>
      <c r="H23">
        <v>120</v>
      </c>
      <c r="I23">
        <f t="shared" si="0"/>
        <v>8</v>
      </c>
      <c r="J23" s="134" t="s">
        <v>1199</v>
      </c>
      <c r="K23" s="134" t="s">
        <v>1200</v>
      </c>
      <c r="M23" t="s">
        <v>391</v>
      </c>
    </row>
    <row r="24" spans="1:13" ht="30" customHeight="1">
      <c r="A24">
        <v>8</v>
      </c>
      <c r="B24" t="s">
        <v>567</v>
      </c>
      <c r="C24" t="s">
        <v>369</v>
      </c>
      <c r="D24">
        <v>47</v>
      </c>
      <c r="E24">
        <v>3</v>
      </c>
      <c r="F24" s="133" t="s">
        <v>289</v>
      </c>
      <c r="G24">
        <v>40</v>
      </c>
      <c r="H24">
        <v>120</v>
      </c>
      <c r="I24">
        <f t="shared" si="0"/>
        <v>8</v>
      </c>
      <c r="J24" s="134"/>
      <c r="K24" s="134"/>
    </row>
    <row r="25" spans="1:13" ht="30" customHeight="1">
      <c r="A25">
        <v>9</v>
      </c>
      <c r="B25" t="s">
        <v>307</v>
      </c>
      <c r="C25" t="s">
        <v>308</v>
      </c>
      <c r="D25">
        <v>16</v>
      </c>
      <c r="E25">
        <v>5</v>
      </c>
      <c r="F25" s="133" t="s">
        <v>289</v>
      </c>
      <c r="G25">
        <v>40</v>
      </c>
      <c r="H25">
        <v>75</v>
      </c>
      <c r="I25">
        <f t="shared" si="0"/>
        <v>9.6</v>
      </c>
      <c r="J25" s="134" t="s">
        <v>1201</v>
      </c>
      <c r="K25" s="134" t="s">
        <v>1107</v>
      </c>
    </row>
    <row r="26" spans="1:13" ht="30" customHeight="1">
      <c r="A26">
        <v>10</v>
      </c>
      <c r="B26" t="s">
        <v>1202</v>
      </c>
      <c r="C26" t="s">
        <v>384</v>
      </c>
      <c r="D26" t="s">
        <v>27</v>
      </c>
      <c r="E26">
        <v>4</v>
      </c>
      <c r="F26" s="133" t="s">
        <v>350</v>
      </c>
      <c r="G26">
        <v>40</v>
      </c>
      <c r="H26">
        <v>120</v>
      </c>
      <c r="I26">
        <f t="shared" si="0"/>
        <v>10.7</v>
      </c>
      <c r="J26" s="134" t="s">
        <v>1203</v>
      </c>
      <c r="K26" s="134" t="s">
        <v>1197</v>
      </c>
    </row>
    <row r="27" spans="1:13" ht="30" customHeight="1">
      <c r="D27" s="99" t="s">
        <v>1113</v>
      </c>
      <c r="E27" s="99">
        <f>SUM(E17:E26)</f>
        <v>31</v>
      </c>
      <c r="F27" s="99"/>
      <c r="G27" s="99"/>
      <c r="H27" s="99"/>
      <c r="I27" s="99">
        <f>ROUND(SUM(I17:I26),0)</f>
        <v>79</v>
      </c>
    </row>
    <row r="28" spans="1:13" ht="30" customHeight="1"/>
    <row r="29" spans="1:13" ht="30" customHeight="1"/>
    <row r="30" spans="1:13" ht="30" customHeight="1"/>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7D0D7-C79C-4570-BA91-80502AB77F19}">
  <dimension ref="A1:N30"/>
  <sheetViews>
    <sheetView workbookViewId="0">
      <selection activeCell="K5" sqref="K5"/>
    </sheetView>
  </sheetViews>
  <sheetFormatPr defaultRowHeight="15"/>
  <cols>
    <col min="1" max="1" width="10.710937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17" t="s">
        <v>1204</v>
      </c>
    </row>
    <row r="2" spans="1:14">
      <c r="A2" t="str">
        <f>E23&amp;"세트 · 운동 "&amp;I23&amp;"분 + 웜업 6분 = "&amp;(I23+6)&amp;"분"</f>
        <v>43세트 · 운동 77분 + 웜업 6분 = 83분</v>
      </c>
    </row>
    <row r="4" spans="1:14">
      <c r="A4" s="99" t="s">
        <v>1083</v>
      </c>
    </row>
    <row r="5" spans="1:14">
      <c r="A5" t="s">
        <v>1205</v>
      </c>
    </row>
    <row r="7" spans="1:14">
      <c r="A7" s="99" t="s">
        <v>1085</v>
      </c>
    </row>
    <row r="8" spans="1:14">
      <c r="A8" s="131" t="s">
        <v>253</v>
      </c>
      <c r="B8" s="131" t="s">
        <v>1086</v>
      </c>
      <c r="C8" s="131" t="s">
        <v>1087</v>
      </c>
      <c r="D8" s="131" t="s">
        <v>1088</v>
      </c>
      <c r="E8" s="131" t="s">
        <v>1089</v>
      </c>
      <c r="F8" s="131" t="s">
        <v>1090</v>
      </c>
      <c r="G8" s="131" t="s">
        <v>1091</v>
      </c>
      <c r="H8" s="131" t="s">
        <v>1092</v>
      </c>
      <c r="I8" s="131" t="s">
        <v>1093</v>
      </c>
      <c r="J8" s="131" t="s">
        <v>1094</v>
      </c>
      <c r="K8" s="131" t="s">
        <v>1095</v>
      </c>
      <c r="L8" s="131" t="s">
        <v>1096</v>
      </c>
      <c r="M8" s="131" t="s">
        <v>1097</v>
      </c>
      <c r="N8" s="131" t="s">
        <v>1098</v>
      </c>
    </row>
    <row r="9" spans="1:14" ht="30">
      <c r="A9">
        <v>1</v>
      </c>
      <c r="B9" t="s">
        <v>1206</v>
      </c>
      <c r="C9" t="s">
        <v>267</v>
      </c>
      <c r="D9">
        <v>45</v>
      </c>
      <c r="E9">
        <v>3</v>
      </c>
      <c r="F9" s="133" t="s">
        <v>268</v>
      </c>
      <c r="G9">
        <v>35</v>
      </c>
      <c r="H9">
        <v>150</v>
      </c>
      <c r="I9">
        <f t="shared" ref="I9:I22" si="0">IF(E9=0,0,ROUND((E9*(G9+H9)+N9)/60,1))</f>
        <v>9.3000000000000007</v>
      </c>
      <c r="J9" s="134" t="s">
        <v>1207</v>
      </c>
      <c r="K9" s="134" t="s">
        <v>1208</v>
      </c>
    </row>
    <row r="10" spans="1:14" ht="30">
      <c r="A10">
        <v>2</v>
      </c>
      <c r="B10" t="s">
        <v>1063</v>
      </c>
      <c r="C10" t="s">
        <v>349</v>
      </c>
      <c r="D10" s="132">
        <f>시작중량_설정!$E$22</f>
        <v>40</v>
      </c>
      <c r="E10">
        <v>3</v>
      </c>
      <c r="F10" s="133" t="s">
        <v>489</v>
      </c>
      <c r="G10">
        <v>40</v>
      </c>
      <c r="H10">
        <v>10</v>
      </c>
      <c r="I10">
        <f t="shared" si="0"/>
        <v>2.5</v>
      </c>
      <c r="J10" s="134" t="s">
        <v>1209</v>
      </c>
      <c r="K10" s="134" t="s">
        <v>1210</v>
      </c>
      <c r="M10" t="s">
        <v>391</v>
      </c>
    </row>
    <row r="11" spans="1:14">
      <c r="A11">
        <v>3</v>
      </c>
      <c r="B11" t="s">
        <v>1211</v>
      </c>
      <c r="C11" t="s">
        <v>267</v>
      </c>
      <c r="D11">
        <v>55</v>
      </c>
      <c r="E11">
        <v>3</v>
      </c>
      <c r="F11" s="133" t="s">
        <v>350</v>
      </c>
      <c r="G11">
        <v>40</v>
      </c>
      <c r="H11">
        <v>150</v>
      </c>
      <c r="I11">
        <f t="shared" si="0"/>
        <v>9.5</v>
      </c>
      <c r="J11" s="134" t="s">
        <v>1212</v>
      </c>
      <c r="K11" s="134"/>
      <c r="M11" t="s">
        <v>391</v>
      </c>
    </row>
    <row r="12" spans="1:14">
      <c r="A12">
        <v>4</v>
      </c>
      <c r="B12" t="s">
        <v>1070</v>
      </c>
      <c r="C12" t="s">
        <v>267</v>
      </c>
      <c r="D12">
        <v>60</v>
      </c>
      <c r="E12">
        <v>3</v>
      </c>
      <c r="F12" s="133" t="s">
        <v>350</v>
      </c>
      <c r="G12">
        <v>40</v>
      </c>
      <c r="H12">
        <v>10</v>
      </c>
      <c r="I12">
        <f t="shared" si="0"/>
        <v>2.5</v>
      </c>
      <c r="J12" s="134" t="s">
        <v>1213</v>
      </c>
      <c r="K12" s="134"/>
      <c r="M12" t="s">
        <v>1109</v>
      </c>
    </row>
    <row r="13" spans="1:14">
      <c r="A13">
        <v>5</v>
      </c>
      <c r="B13" t="s">
        <v>517</v>
      </c>
      <c r="C13" t="s">
        <v>349</v>
      </c>
      <c r="D13" s="132">
        <f>시작중량_설정!$E$12</f>
        <v>42</v>
      </c>
      <c r="E13">
        <v>3</v>
      </c>
      <c r="F13" s="133" t="s">
        <v>309</v>
      </c>
      <c r="G13">
        <v>40</v>
      </c>
      <c r="H13">
        <v>150</v>
      </c>
      <c r="I13">
        <f t="shared" si="0"/>
        <v>9.5</v>
      </c>
      <c r="J13" s="134" t="s">
        <v>1214</v>
      </c>
      <c r="K13" s="134" t="s">
        <v>1215</v>
      </c>
      <c r="M13" t="s">
        <v>1109</v>
      </c>
    </row>
    <row r="14" spans="1:14">
      <c r="A14">
        <v>6</v>
      </c>
      <c r="B14" t="s">
        <v>427</v>
      </c>
      <c r="C14" t="s">
        <v>337</v>
      </c>
      <c r="D14">
        <v>35</v>
      </c>
      <c r="E14">
        <v>3</v>
      </c>
      <c r="F14" s="133" t="s">
        <v>289</v>
      </c>
      <c r="G14">
        <v>40</v>
      </c>
      <c r="H14">
        <v>10</v>
      </c>
      <c r="I14">
        <f t="shared" si="0"/>
        <v>2.5</v>
      </c>
      <c r="J14" s="134" t="s">
        <v>1216</v>
      </c>
      <c r="K14" s="134" t="s">
        <v>1217</v>
      </c>
      <c r="M14" t="s">
        <v>659</v>
      </c>
    </row>
    <row r="15" spans="1:14">
      <c r="A15">
        <v>7</v>
      </c>
      <c r="B15" t="s">
        <v>902</v>
      </c>
      <c r="C15" t="s">
        <v>358</v>
      </c>
      <c r="D15">
        <v>35</v>
      </c>
      <c r="E15">
        <v>4</v>
      </c>
      <c r="F15" s="133" t="s">
        <v>289</v>
      </c>
      <c r="G15">
        <v>40</v>
      </c>
      <c r="H15">
        <v>105</v>
      </c>
      <c r="I15">
        <f t="shared" si="0"/>
        <v>9.6999999999999993</v>
      </c>
      <c r="J15" s="134" t="s">
        <v>1218</v>
      </c>
      <c r="K15" s="134" t="s">
        <v>410</v>
      </c>
      <c r="M15" t="s">
        <v>659</v>
      </c>
    </row>
    <row r="16" spans="1:14">
      <c r="A16">
        <v>8</v>
      </c>
      <c r="B16" t="s">
        <v>353</v>
      </c>
      <c r="C16" t="s">
        <v>354</v>
      </c>
      <c r="D16">
        <v>8</v>
      </c>
      <c r="E16">
        <v>4</v>
      </c>
      <c r="F16" s="133" t="s">
        <v>289</v>
      </c>
      <c r="G16">
        <v>40</v>
      </c>
      <c r="H16">
        <v>60</v>
      </c>
      <c r="I16">
        <f t="shared" si="0"/>
        <v>6.7</v>
      </c>
      <c r="J16" s="134"/>
      <c r="K16" s="134" t="s">
        <v>1173</v>
      </c>
    </row>
    <row r="17" spans="1:13">
      <c r="A17">
        <v>9</v>
      </c>
      <c r="B17" t="s">
        <v>591</v>
      </c>
      <c r="C17" t="s">
        <v>269</v>
      </c>
      <c r="D17">
        <v>6</v>
      </c>
      <c r="E17">
        <v>3</v>
      </c>
      <c r="F17" s="133" t="s">
        <v>350</v>
      </c>
      <c r="G17">
        <v>40</v>
      </c>
      <c r="H17">
        <v>10</v>
      </c>
      <c r="I17">
        <f t="shared" si="0"/>
        <v>2.5</v>
      </c>
      <c r="J17" s="134" t="s">
        <v>1219</v>
      </c>
      <c r="K17" s="134"/>
      <c r="M17" t="s">
        <v>1220</v>
      </c>
    </row>
    <row r="18" spans="1:13">
      <c r="A18">
        <v>10</v>
      </c>
      <c r="B18" t="s">
        <v>1007</v>
      </c>
      <c r="C18" t="s">
        <v>269</v>
      </c>
      <c r="D18">
        <v>8</v>
      </c>
      <c r="E18">
        <v>3</v>
      </c>
      <c r="F18" s="133" t="s">
        <v>350</v>
      </c>
      <c r="G18">
        <v>40</v>
      </c>
      <c r="H18">
        <v>75</v>
      </c>
      <c r="I18">
        <f t="shared" si="0"/>
        <v>5.8</v>
      </c>
      <c r="J18" s="134"/>
      <c r="K18" s="134"/>
      <c r="M18" t="s">
        <v>1220</v>
      </c>
    </row>
    <row r="19" spans="1:13" ht="15" customHeight="1">
      <c r="A19">
        <v>11</v>
      </c>
      <c r="B19" t="s">
        <v>905</v>
      </c>
      <c r="C19" t="s">
        <v>295</v>
      </c>
      <c r="D19">
        <v>20</v>
      </c>
      <c r="E19">
        <v>2</v>
      </c>
      <c r="F19" s="133" t="s">
        <v>1069</v>
      </c>
      <c r="G19">
        <v>40</v>
      </c>
      <c r="H19">
        <v>10</v>
      </c>
      <c r="I19">
        <f t="shared" si="0"/>
        <v>1.7</v>
      </c>
      <c r="J19" s="134" t="s">
        <v>1164</v>
      </c>
      <c r="K19" s="134"/>
      <c r="M19" t="s">
        <v>1221</v>
      </c>
    </row>
    <row r="20" spans="1:13" ht="30" customHeight="1">
      <c r="A20">
        <v>12</v>
      </c>
      <c r="B20" t="s">
        <v>594</v>
      </c>
      <c r="C20" t="s">
        <v>295</v>
      </c>
      <c r="D20">
        <v>15</v>
      </c>
      <c r="E20">
        <v>3</v>
      </c>
      <c r="F20" s="133" t="s">
        <v>1069</v>
      </c>
      <c r="G20">
        <v>40</v>
      </c>
      <c r="H20">
        <v>60</v>
      </c>
      <c r="I20">
        <f t="shared" si="0"/>
        <v>5</v>
      </c>
      <c r="J20" s="134" t="s">
        <v>1110</v>
      </c>
      <c r="K20" s="134"/>
      <c r="M20" t="s">
        <v>1221</v>
      </c>
    </row>
    <row r="21" spans="1:13" ht="30" customHeight="1">
      <c r="A21">
        <v>13</v>
      </c>
      <c r="B21" t="s">
        <v>1222</v>
      </c>
      <c r="C21" t="s">
        <v>299</v>
      </c>
      <c r="D21" t="s">
        <v>27</v>
      </c>
      <c r="E21">
        <v>3</v>
      </c>
      <c r="F21" s="133" t="s">
        <v>1069</v>
      </c>
      <c r="G21">
        <v>40</v>
      </c>
      <c r="H21">
        <v>60</v>
      </c>
      <c r="I21">
        <f t="shared" si="0"/>
        <v>5</v>
      </c>
      <c r="J21" s="134"/>
      <c r="K21" s="134"/>
    </row>
    <row r="22" spans="1:13" ht="30" customHeight="1">
      <c r="A22">
        <v>14</v>
      </c>
      <c r="B22" t="s">
        <v>318</v>
      </c>
      <c r="C22" t="s">
        <v>313</v>
      </c>
      <c r="D22">
        <v>12</v>
      </c>
      <c r="E22">
        <v>3</v>
      </c>
      <c r="F22" s="133" t="s">
        <v>289</v>
      </c>
      <c r="G22">
        <v>40</v>
      </c>
      <c r="H22">
        <v>60</v>
      </c>
      <c r="I22">
        <f t="shared" si="0"/>
        <v>5</v>
      </c>
      <c r="J22" s="134" t="s">
        <v>1165</v>
      </c>
      <c r="K22" s="134"/>
    </row>
    <row r="23" spans="1:13" ht="30" customHeight="1">
      <c r="D23" s="99" t="s">
        <v>1113</v>
      </c>
      <c r="E23" s="99">
        <f>SUM(E9:E22)</f>
        <v>43</v>
      </c>
      <c r="F23" s="99"/>
      <c r="G23" s="99"/>
      <c r="H23" s="99"/>
      <c r="I23" s="99">
        <f>ROUND(SUM(I9:I22),0)</f>
        <v>77</v>
      </c>
    </row>
    <row r="24" spans="1:13" ht="30" customHeight="1"/>
    <row r="25" spans="1:13" ht="30" customHeight="1"/>
    <row r="26" spans="1:13" ht="30" customHeight="1"/>
    <row r="27" spans="1:13" ht="30" customHeight="1"/>
    <row r="28" spans="1:13" ht="30" customHeight="1"/>
    <row r="29" spans="1:13" ht="30" customHeight="1"/>
    <row r="30" spans="1:13" ht="30" customHeight="1"/>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17" t="s">
        <v>1005</v>
      </c>
    </row>
    <row r="2" spans="1:5">
      <c r="A2" t="s">
        <v>986</v>
      </c>
    </row>
    <row r="4" spans="1:5">
      <c r="A4" s="99" t="s">
        <v>1006</v>
      </c>
    </row>
    <row r="5" spans="1:5">
      <c r="A5" s="127" t="s">
        <v>987</v>
      </c>
      <c r="B5" s="127" t="s">
        <v>988</v>
      </c>
      <c r="C5" s="127" t="s">
        <v>989</v>
      </c>
      <c r="D5" s="127" t="s">
        <v>990</v>
      </c>
      <c r="E5" s="127" t="s">
        <v>922</v>
      </c>
    </row>
    <row r="6" spans="1:5">
      <c r="A6" s="126">
        <v>46301</v>
      </c>
      <c r="B6" t="s">
        <v>991</v>
      </c>
      <c r="C6" t="s">
        <v>992</v>
      </c>
      <c r="D6" t="s">
        <v>28</v>
      </c>
      <c r="E6" t="s">
        <v>993</v>
      </c>
    </row>
    <row r="7" spans="1:5">
      <c r="A7" s="126">
        <v>46307</v>
      </c>
      <c r="B7" t="s">
        <v>994</v>
      </c>
      <c r="C7" t="s">
        <v>992</v>
      </c>
      <c r="D7" t="s">
        <v>28</v>
      </c>
      <c r="E7" t="s">
        <v>993</v>
      </c>
    </row>
    <row r="8" spans="1:5">
      <c r="A8" s="126">
        <v>46319</v>
      </c>
      <c r="B8" t="s">
        <v>994</v>
      </c>
      <c r="C8" t="s">
        <v>992</v>
      </c>
      <c r="D8" t="s">
        <v>995</v>
      </c>
      <c r="E8" t="s">
        <v>993</v>
      </c>
    </row>
    <row r="10" spans="1:5">
      <c r="A10" s="99" t="s">
        <v>917</v>
      </c>
    </row>
    <row r="11" spans="1:5">
      <c r="A11" t="s">
        <v>996</v>
      </c>
    </row>
    <row r="12" spans="1:5">
      <c r="A12" t="s">
        <v>997</v>
      </c>
    </row>
    <row r="13" spans="1:5">
      <c r="A13" t="s">
        <v>998</v>
      </c>
    </row>
    <row r="14" spans="1:5">
      <c r="A14" t="s">
        <v>999</v>
      </c>
    </row>
    <row r="15" spans="1:5">
      <c r="A15" t="s">
        <v>1000</v>
      </c>
    </row>
    <row r="16" spans="1:5">
      <c r="A16" t="s">
        <v>1001</v>
      </c>
    </row>
    <row r="17" spans="1:1">
      <c r="A17" t="s">
        <v>1002</v>
      </c>
    </row>
    <row r="18" spans="1:1">
      <c r="A18" t="s">
        <v>1003</v>
      </c>
    </row>
    <row r="19" spans="1:1">
      <c r="A19" t="s">
        <v>1004</v>
      </c>
    </row>
  </sheetData>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16" customWidth="1"/>
    <col min="2" max="2" width="30.7109375" style="116" customWidth="1"/>
    <col min="3" max="5" width="14.7109375" style="116" customWidth="1"/>
    <col min="6" max="6" width="50.7109375" style="116" customWidth="1"/>
    <col min="7" max="16384" width="9.140625" style="116"/>
  </cols>
  <sheetData>
    <row r="1" spans="1:6" ht="18.75">
      <c r="A1" s="117" t="s">
        <v>964</v>
      </c>
    </row>
    <row r="2" spans="1:6">
      <c r="A2" s="116" t="s">
        <v>1073</v>
      </c>
    </row>
    <row r="4" spans="1:6" ht="15">
      <c r="A4" s="99" t="s">
        <v>917</v>
      </c>
    </row>
    <row r="5" spans="1:6">
      <c r="A5" s="118" t="s">
        <v>2</v>
      </c>
      <c r="B5" s="118" t="s">
        <v>145</v>
      </c>
      <c r="C5" s="119"/>
      <c r="D5" s="119"/>
      <c r="E5" s="119"/>
      <c r="F5" s="118" t="s">
        <v>5</v>
      </c>
    </row>
    <row r="6" spans="1:6">
      <c r="A6" s="116" t="s">
        <v>891</v>
      </c>
      <c r="B6" s="144" t="s">
        <v>918</v>
      </c>
      <c r="C6" s="144"/>
      <c r="D6" s="144"/>
      <c r="E6" s="144"/>
      <c r="F6" s="116" t="s">
        <v>919</v>
      </c>
    </row>
    <row r="7" spans="1:6">
      <c r="A7" s="116" t="s">
        <v>76</v>
      </c>
      <c r="B7" s="144" t="s">
        <v>920</v>
      </c>
      <c r="C7" s="144"/>
      <c r="D7" s="144"/>
      <c r="E7" s="144"/>
      <c r="F7" s="116" t="s">
        <v>921</v>
      </c>
    </row>
    <row r="8" spans="1:6">
      <c r="A8" s="116" t="s">
        <v>922</v>
      </c>
      <c r="B8" s="144" t="s">
        <v>1074</v>
      </c>
      <c r="C8" s="144"/>
      <c r="D8" s="144"/>
      <c r="E8" s="144"/>
      <c r="F8" s="116" t="s">
        <v>923</v>
      </c>
    </row>
    <row r="9" spans="1:6">
      <c r="A9" s="116" t="s">
        <v>924</v>
      </c>
      <c r="B9" s="144" t="s">
        <v>925</v>
      </c>
      <c r="C9" s="144"/>
      <c r="D9" s="144"/>
      <c r="E9" s="144"/>
      <c r="F9" s="116" t="s">
        <v>926</v>
      </c>
    </row>
    <row r="10" spans="1:6">
      <c r="A10" s="116" t="s">
        <v>927</v>
      </c>
      <c r="B10" s="144" t="s">
        <v>1078</v>
      </c>
      <c r="C10" s="144"/>
      <c r="D10" s="144"/>
      <c r="E10" s="144"/>
      <c r="F10" s="116" t="s">
        <v>965</v>
      </c>
    </row>
    <row r="11" spans="1:6">
      <c r="A11" s="116" t="s">
        <v>928</v>
      </c>
      <c r="B11" s="144" t="s">
        <v>929</v>
      </c>
      <c r="C11" s="144"/>
      <c r="D11" s="144"/>
      <c r="E11" s="144"/>
      <c r="F11" s="116" t="s">
        <v>961</v>
      </c>
    </row>
    <row r="12" spans="1:6">
      <c r="A12" s="116" t="s">
        <v>9</v>
      </c>
      <c r="B12" s="144" t="s">
        <v>930</v>
      </c>
      <c r="C12" s="144"/>
      <c r="D12" s="144"/>
      <c r="E12" s="144"/>
      <c r="F12" s="116" t="s">
        <v>962</v>
      </c>
    </row>
    <row r="13" spans="1:6">
      <c r="A13" s="116" t="s">
        <v>931</v>
      </c>
      <c r="B13" s="144" t="s">
        <v>966</v>
      </c>
      <c r="C13" s="144"/>
      <c r="D13" s="144"/>
      <c r="E13" s="144"/>
      <c r="F13" s="116" t="s">
        <v>948</v>
      </c>
    </row>
    <row r="14" spans="1:6">
      <c r="A14" s="116" t="s">
        <v>932</v>
      </c>
      <c r="B14" s="144" t="s">
        <v>963</v>
      </c>
      <c r="C14" s="144"/>
      <c r="D14" s="144"/>
      <c r="E14" s="144"/>
      <c r="F14" s="116" t="s">
        <v>933</v>
      </c>
    </row>
    <row r="16" spans="1:6" ht="15">
      <c r="A16" s="120" t="s">
        <v>967</v>
      </c>
    </row>
    <row r="17" spans="1:7">
      <c r="A17" s="118" t="s">
        <v>968</v>
      </c>
      <c r="B17" s="118" t="s">
        <v>969</v>
      </c>
      <c r="C17" s="118" t="s">
        <v>934</v>
      </c>
      <c r="D17" s="118" t="s">
        <v>935</v>
      </c>
      <c r="E17" s="118" t="s">
        <v>936</v>
      </c>
      <c r="F17" s="118" t="s">
        <v>937</v>
      </c>
      <c r="G17" s="118" t="s">
        <v>1071</v>
      </c>
    </row>
    <row r="18" spans="1:7">
      <c r="A18" s="121">
        <v>1</v>
      </c>
      <c r="B18" s="123">
        <v>46298</v>
      </c>
      <c r="C18" s="121">
        <v>24</v>
      </c>
      <c r="D18" s="121">
        <f t="shared" ref="D18:D35" si="0">C18*2</f>
        <v>48</v>
      </c>
      <c r="E18" s="121"/>
      <c r="G18" s="116">
        <v>40</v>
      </c>
    </row>
    <row r="19" spans="1:7">
      <c r="A19" s="121">
        <v>2</v>
      </c>
      <c r="B19" s="123">
        <v>46302</v>
      </c>
      <c r="C19" s="121">
        <v>26</v>
      </c>
      <c r="D19" s="121">
        <f t="shared" si="0"/>
        <v>52</v>
      </c>
      <c r="E19" s="121"/>
      <c r="G19" s="116">
        <v>40</v>
      </c>
    </row>
    <row r="20" spans="1:7">
      <c r="A20" s="121">
        <v>3</v>
      </c>
      <c r="B20" s="123">
        <v>46305</v>
      </c>
      <c r="C20" s="121">
        <v>28</v>
      </c>
      <c r="D20" s="121">
        <f t="shared" si="0"/>
        <v>56</v>
      </c>
      <c r="E20" s="121"/>
      <c r="G20" s="116">
        <v>40</v>
      </c>
    </row>
    <row r="21" spans="1:7">
      <c r="A21" s="121">
        <v>4</v>
      </c>
      <c r="B21" s="123">
        <v>46309</v>
      </c>
      <c r="C21" s="121">
        <v>30</v>
      </c>
      <c r="D21" s="121">
        <f t="shared" si="0"/>
        <v>60</v>
      </c>
      <c r="E21" s="121"/>
      <c r="G21" s="116">
        <v>40</v>
      </c>
    </row>
    <row r="22" spans="1:7">
      <c r="A22" s="121">
        <v>5</v>
      </c>
      <c r="B22" s="123">
        <v>46312</v>
      </c>
      <c r="C22" s="121">
        <v>30</v>
      </c>
      <c r="D22" s="121">
        <f t="shared" si="0"/>
        <v>60</v>
      </c>
      <c r="E22" s="121"/>
      <c r="G22" s="116">
        <v>40</v>
      </c>
    </row>
    <row r="23" spans="1:7">
      <c r="A23" s="121">
        <v>6</v>
      </c>
      <c r="B23" s="123">
        <v>46316</v>
      </c>
      <c r="C23" s="121">
        <v>30</v>
      </c>
      <c r="D23" s="121">
        <f t="shared" si="0"/>
        <v>60</v>
      </c>
      <c r="E23" s="121"/>
      <c r="G23" s="116">
        <v>40</v>
      </c>
    </row>
    <row r="24" spans="1:7">
      <c r="A24" s="121">
        <v>7</v>
      </c>
      <c r="B24" s="123">
        <v>46319</v>
      </c>
      <c r="C24" s="121">
        <v>30</v>
      </c>
      <c r="D24" s="121">
        <f t="shared" si="0"/>
        <v>60</v>
      </c>
      <c r="E24" s="121">
        <v>30</v>
      </c>
      <c r="F24" s="116" t="s">
        <v>1072</v>
      </c>
      <c r="G24" s="116">
        <v>40</v>
      </c>
    </row>
    <row r="25" spans="1:7">
      <c r="A25" s="121">
        <v>8</v>
      </c>
      <c r="B25" s="123">
        <v>46323</v>
      </c>
      <c r="C25" s="121">
        <v>30</v>
      </c>
      <c r="D25" s="121">
        <f t="shared" si="0"/>
        <v>60</v>
      </c>
      <c r="E25" s="121"/>
      <c r="G25" s="116">
        <v>50</v>
      </c>
    </row>
    <row r="26" spans="1:7">
      <c r="A26" s="121">
        <v>9</v>
      </c>
      <c r="B26" s="123">
        <v>46326</v>
      </c>
      <c r="C26" s="121">
        <v>30</v>
      </c>
      <c r="D26" s="121">
        <f t="shared" si="0"/>
        <v>60</v>
      </c>
      <c r="E26" s="121"/>
      <c r="G26" s="116">
        <v>60</v>
      </c>
    </row>
    <row r="27" spans="1:7">
      <c r="A27" s="121">
        <v>10</v>
      </c>
      <c r="B27" s="123">
        <v>46330</v>
      </c>
      <c r="C27" s="121">
        <v>35</v>
      </c>
      <c r="D27" s="121">
        <f t="shared" si="0"/>
        <v>70</v>
      </c>
      <c r="E27" s="121"/>
      <c r="G27" s="116">
        <v>20</v>
      </c>
    </row>
    <row r="28" spans="1:7">
      <c r="A28" s="121">
        <v>11</v>
      </c>
      <c r="B28" s="123">
        <v>46333</v>
      </c>
      <c r="C28" s="121">
        <v>35</v>
      </c>
      <c r="D28" s="121">
        <f t="shared" si="0"/>
        <v>70</v>
      </c>
      <c r="E28" s="121"/>
      <c r="G28" s="116">
        <v>30</v>
      </c>
    </row>
    <row r="29" spans="1:7">
      <c r="A29" s="121">
        <v>12</v>
      </c>
      <c r="B29" s="123">
        <v>46337</v>
      </c>
      <c r="C29" s="121">
        <v>35</v>
      </c>
      <c r="D29" s="121">
        <f t="shared" si="0"/>
        <v>70</v>
      </c>
      <c r="E29" s="121"/>
      <c r="G29" s="116">
        <v>40</v>
      </c>
    </row>
    <row r="30" spans="1:7">
      <c r="A30" s="121">
        <v>13</v>
      </c>
      <c r="B30" s="123">
        <v>46340</v>
      </c>
      <c r="C30" s="121">
        <v>35</v>
      </c>
      <c r="D30" s="121">
        <f t="shared" si="0"/>
        <v>70</v>
      </c>
      <c r="E30" s="121"/>
      <c r="G30" s="116">
        <v>40</v>
      </c>
    </row>
    <row r="31" spans="1:7">
      <c r="A31" s="121">
        <v>14</v>
      </c>
      <c r="B31" s="123">
        <v>46344</v>
      </c>
      <c r="C31" s="121">
        <v>35</v>
      </c>
      <c r="D31" s="121">
        <f t="shared" si="0"/>
        <v>70</v>
      </c>
      <c r="E31" s="121"/>
      <c r="G31" s="116">
        <v>40</v>
      </c>
    </row>
    <row r="32" spans="1:7">
      <c r="A32" s="121">
        <v>15</v>
      </c>
      <c r="B32" s="123">
        <v>46347</v>
      </c>
      <c r="C32" s="121">
        <v>35</v>
      </c>
      <c r="D32" s="121">
        <f t="shared" si="0"/>
        <v>70</v>
      </c>
      <c r="E32" s="121"/>
      <c r="G32" s="116">
        <v>40</v>
      </c>
    </row>
    <row r="33" spans="1:7">
      <c r="A33" s="121">
        <v>16</v>
      </c>
      <c r="B33" s="123">
        <v>46351</v>
      </c>
      <c r="C33" s="121">
        <v>35</v>
      </c>
      <c r="D33" s="121">
        <f t="shared" si="0"/>
        <v>70</v>
      </c>
      <c r="E33" s="121"/>
      <c r="G33" s="116">
        <v>40</v>
      </c>
    </row>
    <row r="34" spans="1:7">
      <c r="A34" s="121">
        <v>17</v>
      </c>
      <c r="B34" s="123">
        <v>46354</v>
      </c>
      <c r="C34" s="121">
        <v>35</v>
      </c>
      <c r="D34" s="121">
        <f t="shared" si="0"/>
        <v>70</v>
      </c>
      <c r="E34" s="121"/>
      <c r="G34" s="116">
        <v>40</v>
      </c>
    </row>
    <row r="35" spans="1:7">
      <c r="A35" s="121">
        <v>18</v>
      </c>
      <c r="B35" s="123">
        <v>46358</v>
      </c>
      <c r="C35" s="121">
        <v>35</v>
      </c>
      <c r="D35" s="121">
        <f t="shared" si="0"/>
        <v>70</v>
      </c>
      <c r="E35" s="121"/>
      <c r="G35" s="116">
        <v>40</v>
      </c>
    </row>
    <row r="36" spans="1:7">
      <c r="A36" s="116" t="s">
        <v>1077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16" customWidth="1"/>
    <col min="2" max="2" width="14.7109375" style="116" customWidth="1"/>
    <col min="3" max="6" width="12.7109375" style="116" customWidth="1"/>
    <col min="7" max="8" width="13.7109375" style="116" customWidth="1"/>
    <col min="9" max="9" width="14.7109375" style="116" customWidth="1"/>
    <col min="10" max="16384" width="9.140625" style="116"/>
  </cols>
  <sheetData>
    <row r="1" spans="1:10" ht="18.75">
      <c r="A1" s="117" t="s">
        <v>979</v>
      </c>
    </row>
    <row r="2" spans="1:10">
      <c r="A2" s="116" t="s">
        <v>1076</v>
      </c>
    </row>
    <row r="4" spans="1:10" ht="15">
      <c r="A4" s="99" t="s">
        <v>891</v>
      </c>
    </row>
    <row r="5" spans="1:10">
      <c r="A5" s="118" t="s">
        <v>891</v>
      </c>
      <c r="B5" s="118" t="s">
        <v>938</v>
      </c>
      <c r="C5" s="119"/>
      <c r="D5" s="119"/>
      <c r="E5" s="119"/>
      <c r="F5" s="119"/>
      <c r="G5" s="119"/>
      <c r="H5" s="119"/>
      <c r="I5" s="118" t="s">
        <v>5</v>
      </c>
    </row>
    <row r="6" spans="1:10">
      <c r="A6" s="116" t="s">
        <v>892</v>
      </c>
      <c r="B6" s="144" t="s">
        <v>939</v>
      </c>
      <c r="C6" s="144"/>
      <c r="D6" s="144"/>
      <c r="E6" s="144"/>
      <c r="F6" s="144"/>
      <c r="G6" s="144"/>
      <c r="H6" s="144"/>
      <c r="I6" s="116" t="s">
        <v>940</v>
      </c>
    </row>
    <row r="7" spans="1:10">
      <c r="A7" s="116" t="s">
        <v>893</v>
      </c>
      <c r="B7" s="144" t="s">
        <v>941</v>
      </c>
      <c r="C7" s="144"/>
      <c r="D7" s="144"/>
      <c r="E7" s="144"/>
      <c r="F7" s="144"/>
      <c r="G7" s="144"/>
      <c r="H7" s="144"/>
      <c r="I7" s="116" t="s">
        <v>942</v>
      </c>
    </row>
    <row r="8" spans="1:10">
      <c r="A8" s="116" t="s">
        <v>894</v>
      </c>
      <c r="B8" s="144" t="s">
        <v>941</v>
      </c>
      <c r="C8" s="144"/>
      <c r="D8" s="144"/>
      <c r="E8" s="144"/>
      <c r="F8" s="144"/>
      <c r="G8" s="144"/>
      <c r="H8" s="144"/>
      <c r="I8" s="116" t="s">
        <v>942</v>
      </c>
    </row>
    <row r="9" spans="1:10">
      <c r="A9" s="116" t="s">
        <v>895</v>
      </c>
      <c r="B9" s="144" t="s">
        <v>28</v>
      </c>
      <c r="C9" s="144"/>
      <c r="D9" s="144"/>
      <c r="E9" s="144"/>
      <c r="F9" s="144"/>
      <c r="G9" s="144"/>
      <c r="H9" s="144"/>
      <c r="I9" s="116" t="s">
        <v>943</v>
      </c>
    </row>
    <row r="10" spans="1:10">
      <c r="A10" s="116" t="s">
        <v>896</v>
      </c>
      <c r="B10" s="144" t="s">
        <v>939</v>
      </c>
      <c r="C10" s="144"/>
      <c r="D10" s="144"/>
      <c r="E10" s="144"/>
      <c r="F10" s="144"/>
      <c r="G10" s="144"/>
      <c r="H10" s="144"/>
      <c r="I10" s="116" t="s">
        <v>944</v>
      </c>
    </row>
    <row r="11" spans="1:10">
      <c r="A11" s="116" t="s">
        <v>897</v>
      </c>
      <c r="B11" s="144" t="s">
        <v>941</v>
      </c>
      <c r="C11" s="144"/>
      <c r="D11" s="144"/>
      <c r="E11" s="144"/>
      <c r="F11" s="144"/>
      <c r="G11" s="144"/>
      <c r="H11" s="144"/>
      <c r="I11" s="116" t="s">
        <v>942</v>
      </c>
    </row>
    <row r="12" spans="1:10">
      <c r="A12" s="116" t="s">
        <v>898</v>
      </c>
      <c r="B12" s="144" t="s">
        <v>945</v>
      </c>
      <c r="C12" s="144"/>
      <c r="D12" s="144"/>
      <c r="E12" s="144"/>
      <c r="F12" s="144"/>
      <c r="G12" s="144"/>
      <c r="H12" s="144"/>
      <c r="I12" s="116" t="s">
        <v>946</v>
      </c>
    </row>
    <row r="14" spans="1:10" ht="15">
      <c r="A14" s="120" t="s">
        <v>970</v>
      </c>
    </row>
    <row r="15" spans="1:10">
      <c r="A15" s="118" t="s">
        <v>971</v>
      </c>
      <c r="B15" s="118" t="s">
        <v>789</v>
      </c>
      <c r="C15" s="118" t="s">
        <v>972</v>
      </c>
      <c r="D15" s="118" t="s">
        <v>973</v>
      </c>
      <c r="E15" s="118" t="s">
        <v>974</v>
      </c>
      <c r="F15" s="118" t="s">
        <v>975</v>
      </c>
      <c r="G15" s="118" t="s">
        <v>976</v>
      </c>
      <c r="H15" s="118" t="s">
        <v>977</v>
      </c>
      <c r="I15" s="118" t="s">
        <v>980</v>
      </c>
    </row>
    <row r="16" spans="1:10" ht="15">
      <c r="A16" s="124">
        <v>1</v>
      </c>
      <c r="B16" s="125">
        <v>46302</v>
      </c>
      <c r="C16" s="124">
        <v>16</v>
      </c>
      <c r="D16" s="124">
        <v>2</v>
      </c>
      <c r="E16" s="124">
        <v>2</v>
      </c>
      <c r="F16" s="124">
        <v>16</v>
      </c>
      <c r="G16" s="124">
        <v>3</v>
      </c>
      <c r="H16" s="124">
        <v>2</v>
      </c>
      <c r="I16" s="124" t="s">
        <v>928</v>
      </c>
      <c r="J16"/>
    </row>
    <row r="17" spans="1:10" ht="15">
      <c r="A17" s="124">
        <v>2</v>
      </c>
      <c r="B17" s="125">
        <v>46305</v>
      </c>
      <c r="C17" s="124">
        <v>18</v>
      </c>
      <c r="D17" s="124">
        <v>2</v>
      </c>
      <c r="E17" s="124">
        <v>2</v>
      </c>
      <c r="F17" s="124">
        <v>18</v>
      </c>
      <c r="G17" s="124">
        <v>3</v>
      </c>
      <c r="H17" s="124">
        <v>2</v>
      </c>
      <c r="I17" s="124" t="s">
        <v>928</v>
      </c>
      <c r="J17"/>
    </row>
    <row r="18" spans="1:10" ht="15">
      <c r="A18" s="124">
        <v>3</v>
      </c>
      <c r="B18" s="125">
        <v>46309</v>
      </c>
      <c r="C18" s="124">
        <v>20</v>
      </c>
      <c r="D18" s="124">
        <v>2</v>
      </c>
      <c r="E18" s="124">
        <v>2</v>
      </c>
      <c r="F18" s="124">
        <v>20</v>
      </c>
      <c r="G18" s="124">
        <v>3</v>
      </c>
      <c r="H18" s="124">
        <v>2</v>
      </c>
      <c r="I18" s="124" t="s">
        <v>928</v>
      </c>
      <c r="J18"/>
    </row>
    <row r="19" spans="1:10" ht="15">
      <c r="A19" s="124">
        <v>4</v>
      </c>
      <c r="B19" s="125">
        <v>46312</v>
      </c>
      <c r="C19" s="124">
        <v>20</v>
      </c>
      <c r="D19" s="124">
        <v>2</v>
      </c>
      <c r="E19" s="124">
        <v>2</v>
      </c>
      <c r="F19" s="124">
        <v>20</v>
      </c>
      <c r="G19" s="124">
        <v>3</v>
      </c>
      <c r="H19" s="124">
        <v>2</v>
      </c>
      <c r="I19" s="124" t="s">
        <v>928</v>
      </c>
      <c r="J19"/>
    </row>
    <row r="20" spans="1:10" ht="15">
      <c r="A20" s="124">
        <v>5</v>
      </c>
      <c r="B20" s="125">
        <v>46316</v>
      </c>
      <c r="C20" s="124">
        <v>20</v>
      </c>
      <c r="D20" s="124">
        <v>2</v>
      </c>
      <c r="E20" s="124">
        <v>2</v>
      </c>
      <c r="F20" s="124">
        <v>20</v>
      </c>
      <c r="G20" s="124">
        <v>3</v>
      </c>
      <c r="H20" s="124">
        <v>2</v>
      </c>
      <c r="I20" s="124" t="s">
        <v>928</v>
      </c>
      <c r="J20"/>
    </row>
    <row r="21" spans="1:10" ht="15">
      <c r="A21" s="124">
        <v>6</v>
      </c>
      <c r="B21" s="125">
        <v>46319</v>
      </c>
      <c r="C21" s="124">
        <v>22</v>
      </c>
      <c r="D21" s="124">
        <v>2</v>
      </c>
      <c r="E21" s="124">
        <v>2</v>
      </c>
      <c r="F21" s="124">
        <v>22</v>
      </c>
      <c r="G21" s="124">
        <v>4</v>
      </c>
      <c r="H21" s="124">
        <v>2</v>
      </c>
      <c r="I21" s="124" t="s">
        <v>928</v>
      </c>
      <c r="J21"/>
    </row>
    <row r="22" spans="1:10" ht="15">
      <c r="A22" s="124">
        <v>7</v>
      </c>
      <c r="B22" s="125">
        <v>46323</v>
      </c>
      <c r="C22" s="124">
        <v>24</v>
      </c>
      <c r="D22" s="124">
        <v>2</v>
      </c>
      <c r="E22" s="124">
        <v>2</v>
      </c>
      <c r="F22" s="124">
        <v>24</v>
      </c>
      <c r="G22" s="124">
        <v>4</v>
      </c>
      <c r="H22" s="124">
        <v>2</v>
      </c>
      <c r="I22" s="124" t="s">
        <v>928</v>
      </c>
      <c r="J22"/>
    </row>
    <row r="23" spans="1:10" ht="15">
      <c r="A23" s="124">
        <v>8</v>
      </c>
      <c r="B23" s="125">
        <v>46326</v>
      </c>
      <c r="C23" s="124">
        <v>26</v>
      </c>
      <c r="D23" s="124">
        <v>2</v>
      </c>
      <c r="E23" s="124">
        <v>2</v>
      </c>
      <c r="F23" s="124">
        <v>26</v>
      </c>
      <c r="G23" s="124">
        <v>5</v>
      </c>
      <c r="H23" s="124">
        <v>2</v>
      </c>
      <c r="I23" s="124" t="s">
        <v>928</v>
      </c>
      <c r="J23"/>
    </row>
    <row r="24" spans="1:10" ht="15">
      <c r="A24" s="124">
        <v>9</v>
      </c>
      <c r="B24" s="125">
        <v>46330</v>
      </c>
      <c r="C24" s="124">
        <v>28</v>
      </c>
      <c r="D24" s="124">
        <v>2</v>
      </c>
      <c r="E24" s="124">
        <v>2</v>
      </c>
      <c r="F24" s="124">
        <v>28</v>
      </c>
      <c r="G24" s="124">
        <v>5</v>
      </c>
      <c r="H24" s="124">
        <v>2</v>
      </c>
      <c r="I24" s="124" t="s">
        <v>928</v>
      </c>
      <c r="J24"/>
    </row>
    <row r="25" spans="1:10" ht="15">
      <c r="A25" s="124">
        <v>10</v>
      </c>
      <c r="B25" s="125">
        <v>46333</v>
      </c>
      <c r="C25" s="124">
        <v>30</v>
      </c>
      <c r="D25" s="124">
        <v>2</v>
      </c>
      <c r="E25" s="124">
        <v>2</v>
      </c>
      <c r="F25" s="124">
        <v>30</v>
      </c>
      <c r="G25" s="124">
        <v>5</v>
      </c>
      <c r="H25" s="124">
        <v>2</v>
      </c>
      <c r="I25" s="124" t="s">
        <v>928</v>
      </c>
      <c r="J25"/>
    </row>
    <row r="26" spans="1:10" ht="15">
      <c r="A26" s="124">
        <v>11</v>
      </c>
      <c r="B26" s="125">
        <v>46337</v>
      </c>
      <c r="C26" s="124">
        <v>35</v>
      </c>
      <c r="D26" s="124">
        <v>1</v>
      </c>
      <c r="E26" s="124">
        <v>2</v>
      </c>
      <c r="F26" s="124">
        <v>30</v>
      </c>
      <c r="G26" s="124">
        <v>5</v>
      </c>
      <c r="H26" s="124">
        <v>2</v>
      </c>
      <c r="I26" s="124" t="s">
        <v>928</v>
      </c>
      <c r="J26"/>
    </row>
    <row r="27" spans="1:10" ht="15">
      <c r="A27" s="124">
        <v>12</v>
      </c>
      <c r="B27" s="125">
        <v>46340</v>
      </c>
      <c r="C27" s="124">
        <v>35</v>
      </c>
      <c r="D27" s="124">
        <v>1.5</v>
      </c>
      <c r="E27" s="124">
        <v>2</v>
      </c>
      <c r="F27" s="124">
        <v>35</v>
      </c>
      <c r="G27" s="124">
        <v>5</v>
      </c>
      <c r="H27" s="124">
        <v>2</v>
      </c>
      <c r="I27" s="124" t="s">
        <v>928</v>
      </c>
      <c r="J27"/>
    </row>
    <row r="28" spans="1:10" ht="15">
      <c r="A28" s="124">
        <v>13</v>
      </c>
      <c r="B28" s="125">
        <v>46344</v>
      </c>
      <c r="C28" s="124">
        <v>35</v>
      </c>
      <c r="D28" s="124">
        <v>2</v>
      </c>
      <c r="E28" s="124">
        <v>2</v>
      </c>
      <c r="F28" s="124">
        <v>35</v>
      </c>
      <c r="G28" s="124">
        <v>5</v>
      </c>
      <c r="H28" s="124">
        <v>2</v>
      </c>
      <c r="I28" s="124" t="s">
        <v>928</v>
      </c>
      <c r="J28"/>
    </row>
    <row r="29" spans="1:10" ht="15">
      <c r="A29" s="124">
        <v>14</v>
      </c>
      <c r="B29" s="125">
        <v>46347</v>
      </c>
      <c r="C29" s="124">
        <v>35</v>
      </c>
      <c r="D29" s="124">
        <v>3</v>
      </c>
      <c r="E29" s="124">
        <v>2</v>
      </c>
      <c r="F29" s="124">
        <v>35</v>
      </c>
      <c r="G29" s="124">
        <v>5</v>
      </c>
      <c r="H29" s="124">
        <v>2</v>
      </c>
      <c r="I29" s="124" t="s">
        <v>928</v>
      </c>
      <c r="J29"/>
    </row>
    <row r="30" spans="1:10" ht="15">
      <c r="A30" s="124">
        <v>15</v>
      </c>
      <c r="B30" s="125">
        <v>46351</v>
      </c>
      <c r="C30" s="124">
        <v>35</v>
      </c>
      <c r="D30" s="124">
        <v>4</v>
      </c>
      <c r="E30" s="124">
        <v>2</v>
      </c>
      <c r="F30" s="124">
        <v>35</v>
      </c>
      <c r="G30" s="124">
        <v>5</v>
      </c>
      <c r="H30" s="124">
        <v>2</v>
      </c>
      <c r="I30" s="124" t="s">
        <v>928</v>
      </c>
      <c r="J30"/>
    </row>
    <row r="31" spans="1:10" ht="15">
      <c r="A31" s="124">
        <v>16</v>
      </c>
      <c r="B31" s="125">
        <v>46354</v>
      </c>
      <c r="C31" s="124">
        <v>35</v>
      </c>
      <c r="D31" s="124">
        <v>5</v>
      </c>
      <c r="E31" s="124">
        <v>2</v>
      </c>
      <c r="F31" s="124">
        <v>35</v>
      </c>
      <c r="G31" s="124">
        <v>5</v>
      </c>
      <c r="H31" s="124">
        <v>2</v>
      </c>
      <c r="I31" s="124" t="s">
        <v>928</v>
      </c>
      <c r="J31"/>
    </row>
    <row r="32" spans="1:10" ht="15">
      <c r="A32" s="124">
        <v>17</v>
      </c>
      <c r="B32" s="125">
        <v>46358</v>
      </c>
      <c r="C32" s="124">
        <v>35</v>
      </c>
      <c r="D32" s="124">
        <v>5</v>
      </c>
      <c r="E32" s="124">
        <v>2</v>
      </c>
      <c r="F32" s="124">
        <v>35</v>
      </c>
      <c r="G32" s="124">
        <v>5</v>
      </c>
      <c r="H32" s="124">
        <v>2</v>
      </c>
      <c r="I32" s="124" t="s">
        <v>928</v>
      </c>
      <c r="J32"/>
    </row>
    <row r="33" spans="1:10" ht="15">
      <c r="A33" t="s">
        <v>1075</v>
      </c>
      <c r="B33"/>
      <c r="C33"/>
      <c r="D33"/>
      <c r="E33"/>
      <c r="F33"/>
      <c r="G33"/>
      <c r="H33"/>
      <c r="I33"/>
      <c r="J33"/>
    </row>
    <row r="34" spans="1:10" ht="15">
      <c r="A34"/>
      <c r="B34"/>
      <c r="C34"/>
      <c r="D34"/>
      <c r="E34"/>
      <c r="F34"/>
      <c r="G34"/>
      <c r="H34"/>
      <c r="I34"/>
      <c r="J34"/>
    </row>
    <row r="35" spans="1:10" ht="15">
      <c r="A35" t="s">
        <v>917</v>
      </c>
      <c r="B35"/>
      <c r="C35"/>
      <c r="D35"/>
      <c r="E35"/>
      <c r="F35"/>
      <c r="G35"/>
      <c r="H35"/>
      <c r="I35"/>
      <c r="J35"/>
    </row>
    <row r="36" spans="1:10" ht="15">
      <c r="A36" t="s">
        <v>981</v>
      </c>
      <c r="B36"/>
      <c r="C36"/>
      <c r="D36"/>
      <c r="E36"/>
      <c r="F36"/>
      <c r="G36"/>
      <c r="H36"/>
      <c r="I36"/>
      <c r="J36"/>
    </row>
    <row r="37" spans="1:10" ht="15">
      <c r="A37" t="s">
        <v>985</v>
      </c>
      <c r="B37"/>
      <c r="C37"/>
      <c r="D37"/>
      <c r="E37"/>
      <c r="F37"/>
      <c r="G37"/>
      <c r="H37"/>
      <c r="I37"/>
      <c r="J37"/>
    </row>
    <row r="38" spans="1:10" ht="15">
      <c r="A38" t="s">
        <v>982</v>
      </c>
      <c r="B38"/>
      <c r="C38"/>
      <c r="D38"/>
      <c r="E38"/>
      <c r="F38"/>
      <c r="G38"/>
      <c r="H38"/>
      <c r="I38"/>
      <c r="J38"/>
    </row>
    <row r="39" spans="1:10" ht="15">
      <c r="A39" t="s">
        <v>983</v>
      </c>
      <c r="B39"/>
      <c r="C39"/>
      <c r="D39"/>
      <c r="E39"/>
      <c r="F39"/>
      <c r="G39"/>
      <c r="H39"/>
      <c r="I39"/>
      <c r="J39"/>
    </row>
    <row r="40" spans="1:10" ht="15">
      <c r="A40" t="s">
        <v>956</v>
      </c>
      <c r="B40"/>
      <c r="C40"/>
      <c r="D40"/>
      <c r="E40"/>
      <c r="F40"/>
      <c r="G40"/>
      <c r="H40"/>
      <c r="I40"/>
      <c r="J40"/>
    </row>
    <row r="41" spans="1:10" ht="15">
      <c r="A41" t="s">
        <v>957</v>
      </c>
      <c r="B41"/>
      <c r="C41"/>
      <c r="D41"/>
      <c r="E41"/>
      <c r="F41"/>
      <c r="G41"/>
      <c r="H41"/>
      <c r="I41"/>
      <c r="J41"/>
    </row>
    <row r="42" spans="1:10" ht="15">
      <c r="A42" t="s">
        <v>958</v>
      </c>
      <c r="B42"/>
      <c r="C42"/>
      <c r="D42"/>
      <c r="E42"/>
      <c r="F42"/>
      <c r="G42"/>
      <c r="H42"/>
      <c r="I42"/>
      <c r="J42"/>
    </row>
    <row r="43" spans="1:10" ht="15">
      <c r="A43" t="s">
        <v>959</v>
      </c>
      <c r="B43"/>
      <c r="C43"/>
      <c r="D43"/>
      <c r="E43"/>
      <c r="F43"/>
      <c r="G43"/>
      <c r="H43"/>
      <c r="I43"/>
      <c r="J43"/>
    </row>
    <row r="44" spans="1:10" ht="15">
      <c r="A44" t="s">
        <v>960</v>
      </c>
      <c r="B44"/>
      <c r="C44"/>
      <c r="D44"/>
      <c r="E44"/>
      <c r="F44"/>
      <c r="G44"/>
      <c r="H44"/>
      <c r="I44"/>
      <c r="J44"/>
    </row>
    <row r="45" spans="1:10" ht="15">
      <c r="A45" t="s">
        <v>984</v>
      </c>
      <c r="B45"/>
      <c r="C45"/>
      <c r="D45"/>
      <c r="E45"/>
      <c r="F45"/>
      <c r="G45"/>
      <c r="H45"/>
      <c r="I45"/>
      <c r="J45"/>
    </row>
    <row r="46" spans="1:10" ht="15">
      <c r="A46" t="s">
        <v>978</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3" t="s">
        <v>1</v>
      </c>
    </row>
    <row r="4" spans="1:4">
      <c r="A4" s="110" t="s">
        <v>2</v>
      </c>
      <c r="B4" s="110" t="s">
        <v>3</v>
      </c>
      <c r="C4" s="110" t="s">
        <v>4</v>
      </c>
      <c r="D4" s="110" t="s">
        <v>5</v>
      </c>
    </row>
    <row r="5" spans="1:4" ht="30" customHeight="1">
      <c r="A5" s="111" t="s">
        <v>6</v>
      </c>
      <c r="B5" s="114" t="s">
        <v>7</v>
      </c>
      <c r="C5" s="112" t="s">
        <v>7</v>
      </c>
      <c r="D5" s="112" t="s">
        <v>8</v>
      </c>
    </row>
    <row r="6" spans="1:4" ht="30" customHeight="1">
      <c r="A6" s="111" t="s">
        <v>9</v>
      </c>
      <c r="B6" s="114" t="s">
        <v>10</v>
      </c>
      <c r="C6" s="112" t="s">
        <v>11</v>
      </c>
      <c r="D6" s="112" t="s">
        <v>12</v>
      </c>
    </row>
    <row r="7" spans="1:4" ht="30" customHeight="1">
      <c r="A7" s="111" t="s">
        <v>13</v>
      </c>
      <c r="B7" s="114" t="s">
        <v>14</v>
      </c>
      <c r="C7" s="112" t="s">
        <v>1008</v>
      </c>
      <c r="D7" s="112" t="s">
        <v>1009</v>
      </c>
    </row>
    <row r="8" spans="1:4" ht="30" customHeight="1">
      <c r="A8" s="111" t="s">
        <v>15</v>
      </c>
      <c r="B8" s="114" t="s">
        <v>16</v>
      </c>
      <c r="C8" s="112" t="s">
        <v>17</v>
      </c>
      <c r="D8" s="112" t="s">
        <v>18</v>
      </c>
    </row>
    <row r="9" spans="1:4" ht="30" customHeight="1">
      <c r="A9" s="111" t="s">
        <v>19</v>
      </c>
      <c r="B9" s="114" t="s">
        <v>20</v>
      </c>
      <c r="C9" s="112" t="s">
        <v>21</v>
      </c>
      <c r="D9" s="112" t="s">
        <v>22</v>
      </c>
    </row>
    <row r="10" spans="1:4" ht="30" customHeight="1">
      <c r="A10" s="111" t="s">
        <v>23</v>
      </c>
      <c r="B10" s="114" t="s">
        <v>24</v>
      </c>
      <c r="C10" s="112" t="s">
        <v>1017</v>
      </c>
      <c r="D10" s="112" t="s">
        <v>25</v>
      </c>
    </row>
    <row r="11" spans="1:4" ht="30" customHeight="1">
      <c r="A11" s="111" t="s">
        <v>26</v>
      </c>
      <c r="B11" s="114" t="s">
        <v>27</v>
      </c>
      <c r="C11" s="112" t="s">
        <v>28</v>
      </c>
      <c r="D11" s="112" t="s">
        <v>29</v>
      </c>
    </row>
    <row r="12" spans="1:4" ht="30" customHeight="1">
      <c r="A12" s="111" t="s">
        <v>30</v>
      </c>
      <c r="B12" s="114" t="s">
        <v>31</v>
      </c>
      <c r="C12" s="112" t="s">
        <v>31</v>
      </c>
      <c r="D12" s="112" t="s">
        <v>32</v>
      </c>
    </row>
    <row r="13" spans="1:4" ht="30" customHeight="1">
      <c r="A13" s="111" t="s">
        <v>33</v>
      </c>
      <c r="B13" s="114" t="s">
        <v>34</v>
      </c>
      <c r="C13" s="112" t="s">
        <v>947</v>
      </c>
      <c r="D13" s="112" t="s">
        <v>1012</v>
      </c>
    </row>
    <row r="14" spans="1:4" ht="30" customHeight="1">
      <c r="A14" s="111" t="s">
        <v>35</v>
      </c>
      <c r="B14" s="114" t="s">
        <v>36</v>
      </c>
      <c r="C14" s="112" t="s">
        <v>37</v>
      </c>
      <c r="D14" s="112" t="s">
        <v>1014</v>
      </c>
    </row>
    <row r="17" spans="1:1">
      <c r="A17" s="107" t="s">
        <v>38</v>
      </c>
    </row>
    <row r="18" spans="1:1">
      <c r="A18" s="115" t="s">
        <v>39</v>
      </c>
    </row>
    <row r="19" spans="1:1">
      <c r="A19" s="115" t="s">
        <v>40</v>
      </c>
    </row>
    <row r="20" spans="1:1">
      <c r="A20" s="115" t="s">
        <v>41</v>
      </c>
    </row>
    <row r="21" spans="1:1">
      <c r="A21" s="115" t="s">
        <v>42</v>
      </c>
    </row>
    <row r="22" spans="1:1">
      <c r="A22" s="115" t="s">
        <v>43</v>
      </c>
    </row>
    <row r="24" spans="1:1">
      <c r="A24" s="107" t="s">
        <v>44</v>
      </c>
    </row>
    <row r="25" spans="1:1">
      <c r="A25" s="115" t="s">
        <v>45</v>
      </c>
    </row>
    <row r="26" spans="1:1">
      <c r="A26" s="115" t="s">
        <v>46</v>
      </c>
    </row>
    <row r="27" spans="1:1">
      <c r="A27" s="115" t="s">
        <v>47</v>
      </c>
    </row>
    <row r="29" spans="1:1">
      <c r="A29" s="107" t="s">
        <v>48</v>
      </c>
    </row>
    <row r="30" spans="1:1">
      <c r="A30" s="115" t="s">
        <v>49</v>
      </c>
    </row>
    <row r="31" spans="1:1">
      <c r="A31" s="115" t="s">
        <v>50</v>
      </c>
    </row>
    <row r="32" spans="1:1">
      <c r="A32" s="115" t="s">
        <v>51</v>
      </c>
    </row>
    <row r="33" spans="1:1">
      <c r="A33" s="115" t="s">
        <v>52</v>
      </c>
    </row>
    <row r="35" spans="1:1">
      <c r="A35" s="107" t="s">
        <v>53</v>
      </c>
    </row>
    <row r="36" spans="1:1">
      <c r="A36" s="115" t="s">
        <v>54</v>
      </c>
    </row>
    <row r="37" spans="1:1">
      <c r="A37" s="115" t="s">
        <v>55</v>
      </c>
    </row>
    <row r="38" spans="1:1">
      <c r="A38" s="115" t="s">
        <v>1010</v>
      </c>
    </row>
    <row r="39" spans="1:1">
      <c r="A39" s="115" t="s">
        <v>56</v>
      </c>
    </row>
    <row r="40" spans="1:1">
      <c r="A40" s="115" t="s">
        <v>57</v>
      </c>
    </row>
    <row r="42" spans="1:1">
      <c r="A42" s="107" t="s">
        <v>58</v>
      </c>
    </row>
    <row r="43" spans="1:1">
      <c r="A43" s="115" t="s">
        <v>59</v>
      </c>
    </row>
    <row r="44" spans="1:1">
      <c r="A44" s="115" t="s">
        <v>1018</v>
      </c>
    </row>
    <row r="45" spans="1:1">
      <c r="A45" s="115" t="s">
        <v>60</v>
      </c>
    </row>
    <row r="46" spans="1:1">
      <c r="A46" s="115" t="s">
        <v>955</v>
      </c>
    </row>
    <row r="47" spans="1:1">
      <c r="A47" s="115" t="s">
        <v>951</v>
      </c>
    </row>
    <row r="48" spans="1:1">
      <c r="A48" s="115" t="s">
        <v>61</v>
      </c>
    </row>
    <row r="49" spans="1:1">
      <c r="A49" s="115" t="s">
        <v>62</v>
      </c>
    </row>
    <row r="50" spans="1:1">
      <c r="A50" s="115" t="s">
        <v>63</v>
      </c>
    </row>
    <row r="52" spans="1:1">
      <c r="A52" s="107" t="s">
        <v>64</v>
      </c>
    </row>
    <row r="53" spans="1:1">
      <c r="A53" s="115" t="s">
        <v>65</v>
      </c>
    </row>
    <row r="54" spans="1:1">
      <c r="A54" s="115" t="s">
        <v>66</v>
      </c>
    </row>
    <row r="55" spans="1:1">
      <c r="A55" s="115" t="s">
        <v>1013</v>
      </c>
    </row>
    <row r="56" spans="1:1">
      <c r="A56" s="115" t="s">
        <v>67</v>
      </c>
    </row>
    <row r="58" spans="1:1">
      <c r="A58" s="107" t="s">
        <v>68</v>
      </c>
    </row>
    <row r="59" spans="1:1">
      <c r="A59" s="115" t="s">
        <v>69</v>
      </c>
    </row>
    <row r="60" spans="1:1">
      <c r="A60" s="115" t="s">
        <v>70</v>
      </c>
    </row>
    <row r="61" spans="1:1">
      <c r="A61" s="115" t="s">
        <v>71</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25</vt:i4>
      </vt:variant>
    </vt:vector>
  </HeadingPairs>
  <TitlesOfParts>
    <vt:vector size="25"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분할_주간계획</vt:lpstr>
      <vt:lpstr>분할_월_하체A</vt:lpstr>
      <vt:lpstr>분할_화_가슴</vt:lpstr>
      <vt:lpstr>분할_수_등</vt:lpstr>
      <vt:lpstr>분할_목_어깨</vt:lpstr>
      <vt:lpstr>분할_금_하체B</vt:lpstr>
      <vt:lpstr>분할_토_가슴등</vt:lpstr>
      <vt:lpstr>복귀_집계단</vt:lpstr>
      <vt:lpstr>복귀_캐리</vt:lpstr>
      <vt:lpstr>복귀_스텝박스</vt:lpstr>
      <vt:lpstr>복귀_증량원칙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2026-10-28T22:26:50Z</dcterms:modified>
  <dc:language>en-US</dc:language>
</cp:coreProperties>
</file>