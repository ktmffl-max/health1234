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7A914A6F33AD0B4F7726B5396B3544A9C9E12F4C"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C14" i="24"/>
  <c r="B14" i="24"/>
  <c r="D14" i="24" s="1"/>
  <c r="E14" i="24" s="1"/>
  <c r="B13" i="24"/>
  <c r="B12" i="24"/>
  <c r="B11" i="24"/>
  <c r="B10" i="24"/>
  <c r="B9" i="24"/>
  <c r="B8" i="24"/>
  <c r="B7" i="24"/>
  <c r="B6" i="24"/>
  <c r="B5" i="24"/>
  <c r="E64" i="23"/>
  <c r="F64" i="23" s="1"/>
  <c r="C25" i="24" s="1"/>
  <c r="E63" i="23"/>
  <c r="F63" i="23" s="1"/>
  <c r="C19" i="24" s="1"/>
  <c r="E62" i="23"/>
  <c r="F62" i="23" s="1"/>
  <c r="C23" i="24" s="1"/>
  <c r="E61" i="23"/>
  <c r="F61" i="23" s="1"/>
  <c r="E60" i="23"/>
  <c r="F60" i="23" s="1"/>
  <c r="C6" i="24" s="1"/>
  <c r="E59" i="23"/>
  <c r="F59" i="23" s="1"/>
  <c r="E58" i="23"/>
  <c r="F58" i="23" s="1"/>
  <c r="E57" i="23"/>
  <c r="F57" i="23" s="1"/>
  <c r="E56" i="23"/>
  <c r="F56" i="23" s="1"/>
  <c r="E55" i="23"/>
  <c r="F55" i="23" s="1"/>
  <c r="C22" i="24" s="1"/>
  <c r="E54" i="23"/>
  <c r="F54" i="23" s="1"/>
  <c r="E53" i="23"/>
  <c r="F53" i="23" s="1"/>
  <c r="E52" i="23"/>
  <c r="F52" i="23" s="1"/>
  <c r="C24" i="24" s="1"/>
  <c r="E51" i="23"/>
  <c r="F51" i="23" s="1"/>
  <c r="E50" i="23"/>
  <c r="F50" i="23" s="1"/>
  <c r="E49" i="23"/>
  <c r="F49" i="23" s="1"/>
  <c r="E48" i="23"/>
  <c r="F48" i="23" s="1"/>
  <c r="E47" i="23"/>
  <c r="F47" i="23" s="1"/>
  <c r="E46" i="23"/>
  <c r="F46" i="23" s="1"/>
  <c r="E45" i="23"/>
  <c r="F45" i="23" s="1"/>
  <c r="E44" i="23"/>
  <c r="F44" i="23" s="1"/>
  <c r="E43" i="23"/>
  <c r="F43" i="23" s="1"/>
  <c r="C17" i="24" s="1"/>
  <c r="E42" i="23"/>
  <c r="F42" i="23" s="1"/>
  <c r="E41" i="23"/>
  <c r="F41" i="23" s="1"/>
  <c r="E40" i="23"/>
  <c r="F40" i="23" s="1"/>
  <c r="E39" i="23"/>
  <c r="F39" i="23" s="1"/>
  <c r="E38" i="23"/>
  <c r="F38" i="23" s="1"/>
  <c r="E37" i="23"/>
  <c r="F37" i="23" s="1"/>
  <c r="E36" i="23"/>
  <c r="F36" i="23" s="1"/>
  <c r="E35" i="23"/>
  <c r="F35" i="23" s="1"/>
  <c r="E34" i="23"/>
  <c r="F34" i="23" s="1"/>
  <c r="C10" i="24" s="1"/>
  <c r="E33" i="23"/>
  <c r="F33" i="23" s="1"/>
  <c r="E32" i="23"/>
  <c r="F32" i="23" s="1"/>
  <c r="E31" i="23"/>
  <c r="F31" i="23" s="1"/>
  <c r="C9" i="24" s="1"/>
  <c r="E30" i="23"/>
  <c r="F30" i="23" s="1"/>
  <c r="E29" i="23"/>
  <c r="F29" i="23" s="1"/>
  <c r="E28" i="23"/>
  <c r="F28" i="23" s="1"/>
  <c r="E27" i="23"/>
  <c r="F27" i="23" s="1"/>
  <c r="E26" i="23"/>
  <c r="F26" i="23" s="1"/>
  <c r="E25" i="23"/>
  <c r="F25" i="23" s="1"/>
  <c r="C7" i="24" s="1"/>
  <c r="E24" i="23"/>
  <c r="F24" i="23" s="1"/>
  <c r="C15" i="24" s="1"/>
  <c r="E23" i="23"/>
  <c r="F23" i="23" s="1"/>
  <c r="C13" i="24"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19" i="21"/>
  <c r="E11" i="15" s="1"/>
  <c r="I18" i="21"/>
  <c r="I17" i="21"/>
  <c r="I16" i="21"/>
  <c r="I15" i="21"/>
  <c r="I14" i="21"/>
  <c r="I13" i="21"/>
  <c r="I12" i="21"/>
  <c r="I11" i="21"/>
  <c r="E35" i="20"/>
  <c r="E10" i="15" s="1"/>
  <c r="I34" i="20"/>
  <c r="I33" i="20"/>
  <c r="I32" i="20"/>
  <c r="I31" i="20"/>
  <c r="I30" i="20"/>
  <c r="I29" i="20"/>
  <c r="I28" i="20"/>
  <c r="I27" i="20"/>
  <c r="I26" i="20"/>
  <c r="I25" i="20"/>
  <c r="I24" i="20"/>
  <c r="I23" i="20"/>
  <c r="I22" i="20"/>
  <c r="E20" i="19"/>
  <c r="I19" i="19"/>
  <c r="I18" i="19"/>
  <c r="I17" i="19"/>
  <c r="I16" i="19"/>
  <c r="I15" i="19"/>
  <c r="I14" i="19"/>
  <c r="I13" i="19"/>
  <c r="I12" i="19"/>
  <c r="I11" i="19"/>
  <c r="I20" i="19" s="1"/>
  <c r="E24" i="18"/>
  <c r="E8" i="15" s="1"/>
  <c r="I23" i="18"/>
  <c r="I22" i="18"/>
  <c r="I21" i="18"/>
  <c r="I20" i="18"/>
  <c r="I19" i="18"/>
  <c r="I18" i="18"/>
  <c r="I24" i="18" s="1"/>
  <c r="E18" i="17"/>
  <c r="E7" i="15" s="1"/>
  <c r="I17" i="17"/>
  <c r="I16" i="17"/>
  <c r="I15" i="17"/>
  <c r="I14" i="17"/>
  <c r="I13" i="17"/>
  <c r="I12" i="17"/>
  <c r="I11" i="17"/>
  <c r="I18" i="17" s="1"/>
  <c r="E24" i="16"/>
  <c r="E6" i="15" s="1"/>
  <c r="I23" i="16"/>
  <c r="I22" i="16"/>
  <c r="I21" i="16"/>
  <c r="I20" i="16"/>
  <c r="I19" i="16"/>
  <c r="I18" i="16"/>
  <c r="I17" i="16"/>
  <c r="I16" i="16"/>
  <c r="I15" i="16"/>
  <c r="I14" i="16"/>
  <c r="I24" i="16" s="1"/>
  <c r="E9" i="15"/>
  <c r="I10" i="13"/>
  <c r="G10" i="13"/>
  <c r="E10" i="13"/>
  <c r="C10" i="13"/>
  <c r="H7" i="13"/>
  <c r="B24" i="12"/>
  <c r="C23" i="12"/>
  <c r="B23" i="12"/>
  <c r="B22" i="12"/>
  <c r="L22" i="12" s="1"/>
  <c r="B21" i="12"/>
  <c r="B20" i="12"/>
  <c r="C19" i="12"/>
  <c r="B19" i="12"/>
  <c r="B18" i="12"/>
  <c r="B17" i="12"/>
  <c r="B16" i="12"/>
  <c r="B15" i="12"/>
  <c r="B14" i="12"/>
  <c r="B13" i="12"/>
  <c r="B12" i="12"/>
  <c r="B11" i="12"/>
  <c r="B10" i="12"/>
  <c r="L10" i="12" s="1"/>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E13" i="2" s="1"/>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I17" i="3" s="1"/>
  <c r="E10" i="2"/>
  <c r="E8" i="2"/>
  <c r="E5" i="2"/>
  <c r="E10" i="1"/>
  <c r="C10" i="1"/>
  <c r="E9" i="1"/>
  <c r="C9" i="1"/>
  <c r="E8" i="1"/>
  <c r="C8" i="1"/>
  <c r="E7" i="1"/>
  <c r="C7" i="1"/>
  <c r="I19" i="21" l="1"/>
  <c r="I35" i="20"/>
  <c r="E13" i="15"/>
  <c r="I30" i="8"/>
  <c r="I17" i="6"/>
  <c r="F8" i="2" s="1"/>
  <c r="C5" i="24"/>
  <c r="D5" i="24" s="1"/>
  <c r="C11" i="24"/>
  <c r="D11" i="24" s="1"/>
  <c r="E11" i="24" s="1"/>
  <c r="C12" i="24"/>
  <c r="D12" i="24" s="1"/>
  <c r="E12" i="24" s="1"/>
  <c r="C17" i="12"/>
  <c r="D17" i="12" s="1"/>
  <c r="B26" i="24"/>
  <c r="F7" i="23"/>
  <c r="C21" i="24" s="1"/>
  <c r="D21" i="24" s="1"/>
  <c r="E21" i="24" s="1"/>
  <c r="F3" i="23"/>
  <c r="E43" i="1"/>
  <c r="I11" i="13"/>
  <c r="D43" i="1"/>
  <c r="G11" i="13"/>
  <c r="E11" i="13"/>
  <c r="C43" i="1"/>
  <c r="C11" i="13"/>
  <c r="B43" i="1"/>
  <c r="L24" i="12"/>
  <c r="D24" i="12"/>
  <c r="J24" i="12" s="1"/>
  <c r="E24" i="12" s="1"/>
  <c r="D23" i="12"/>
  <c r="J23" i="12" s="1"/>
  <c r="E23" i="12" s="1"/>
  <c r="L23" i="12"/>
  <c r="L21" i="12"/>
  <c r="D21" i="12"/>
  <c r="J21" i="12" s="1"/>
  <c r="E21" i="12" s="1"/>
  <c r="L20" i="12"/>
  <c r="L19" i="12"/>
  <c r="D19" i="12"/>
  <c r="J19" i="12" s="1"/>
  <c r="E19" i="12" s="1"/>
  <c r="L18" i="12"/>
  <c r="D18" i="12"/>
  <c r="J18" i="12" s="1"/>
  <c r="E18" i="12" s="1"/>
  <c r="L17" i="12"/>
  <c r="D16" i="12"/>
  <c r="J16" i="12" s="1"/>
  <c r="E16" i="12" s="1"/>
  <c r="L16" i="12"/>
  <c r="D15" i="12"/>
  <c r="L15" i="12"/>
  <c r="L14" i="12"/>
  <c r="D14" i="12"/>
  <c r="J14" i="12" s="1"/>
  <c r="E14" i="12" s="1"/>
  <c r="L13" i="12"/>
  <c r="L12" i="12"/>
  <c r="D12" i="12"/>
  <c r="J12" i="12" s="1"/>
  <c r="E12" i="12" s="1"/>
  <c r="D11" i="12"/>
  <c r="J11" i="12" s="1"/>
  <c r="E11" i="12" s="1"/>
  <c r="L11" i="12"/>
  <c r="L9" i="12"/>
  <c r="D9" i="12"/>
  <c r="J9" i="12" s="1"/>
  <c r="E9" i="12" s="1"/>
  <c r="L8" i="12"/>
  <c r="D8" i="12"/>
  <c r="J8" i="12" s="1"/>
  <c r="E8" i="12" s="1"/>
  <c r="L7" i="12"/>
  <c r="D7" i="12"/>
  <c r="L6" i="12"/>
  <c r="D6" i="12"/>
  <c r="J6" i="12" s="1"/>
  <c r="E6" i="12" s="1"/>
  <c r="B25" i="12"/>
  <c r="D5" i="12"/>
  <c r="L5" i="12"/>
  <c r="F7" i="11"/>
  <c r="C20" i="12" s="1"/>
  <c r="D20" i="12" s="1"/>
  <c r="J20" i="12" s="1"/>
  <c r="E20" i="12" s="1"/>
  <c r="F3" i="11"/>
  <c r="F5" i="2"/>
  <c r="D27" i="20"/>
  <c r="A6" i="8"/>
  <c r="A7" i="8"/>
  <c r="A14" i="20"/>
  <c r="A8" i="8"/>
  <c r="A9" i="8"/>
  <c r="A10" i="8"/>
  <c r="A15" i="20"/>
  <c r="A16" i="20"/>
  <c r="A17" i="20"/>
  <c r="A18" i="20"/>
  <c r="D20" i="8"/>
  <c r="A6" i="18"/>
  <c r="A10" i="4"/>
  <c r="A9" i="4"/>
  <c r="A8" i="4"/>
  <c r="A7" i="4"/>
  <c r="A6" i="4"/>
  <c r="D20" i="4"/>
  <c r="D18" i="18"/>
  <c r="A8" i="18"/>
  <c r="A10" i="18"/>
  <c r="A9" i="18"/>
  <c r="A7" i="18"/>
  <c r="A8" i="20"/>
  <c r="A9" i="20"/>
  <c r="A10" i="20"/>
  <c r="A7" i="9"/>
  <c r="A6" i="9"/>
  <c r="D16" i="9"/>
  <c r="D23" i="20"/>
  <c r="D22" i="20"/>
  <c r="D15" i="9"/>
  <c r="A10" i="9"/>
  <c r="A9" i="9"/>
  <c r="A8" i="9"/>
  <c r="A6" i="20"/>
  <c r="A7" i="20"/>
  <c r="A6" i="5"/>
  <c r="A6" i="16"/>
  <c r="A7" i="16"/>
  <c r="A8" i="16"/>
  <c r="A9" i="16"/>
  <c r="A8" i="5"/>
  <c r="D15" i="5"/>
  <c r="F15" i="2" s="1"/>
  <c r="A10" i="5"/>
  <c r="A9" i="5"/>
  <c r="A10" i="16"/>
  <c r="D14" i="16"/>
  <c r="A7" i="5"/>
  <c r="D25" i="24"/>
  <c r="E25" i="24" s="1"/>
  <c r="D24" i="24"/>
  <c r="E24" i="24" s="1"/>
  <c r="D23" i="24"/>
  <c r="E23" i="24" s="1"/>
  <c r="D22" i="24"/>
  <c r="E22" i="24" s="1"/>
  <c r="D20" i="24"/>
  <c r="E20" i="24" s="1"/>
  <c r="D19" i="24"/>
  <c r="E19" i="24" s="1"/>
  <c r="D17" i="24"/>
  <c r="E17" i="24" s="1"/>
  <c r="D15" i="24"/>
  <c r="D13" i="24"/>
  <c r="E13" i="24" s="1"/>
  <c r="D10" i="24"/>
  <c r="E10" i="24" s="1"/>
  <c r="D9" i="24"/>
  <c r="E9" i="24" s="1"/>
  <c r="D7" i="24"/>
  <c r="D6" i="24"/>
  <c r="E6" i="24" s="1"/>
  <c r="C16" i="24"/>
  <c r="D16" i="24" s="1"/>
  <c r="E16" i="24" s="1"/>
  <c r="C8" i="24"/>
  <c r="D8" i="24" s="1"/>
  <c r="E8" i="24" s="1"/>
  <c r="D22" i="12"/>
  <c r="J22" i="12" s="1"/>
  <c r="E22" i="12" s="1"/>
  <c r="D10" i="12"/>
  <c r="J10" i="12" s="1"/>
  <c r="E10" i="12" s="1"/>
  <c r="C13" i="12"/>
  <c r="D13" i="12" s="1"/>
  <c r="J13" i="12" s="1"/>
  <c r="E13" i="12" s="1"/>
  <c r="E5" i="24" l="1"/>
  <c r="I5" i="24"/>
  <c r="D26" i="24"/>
  <c r="I12" i="13"/>
  <c r="E44" i="1"/>
  <c r="G12" i="13"/>
  <c r="D44" i="1"/>
  <c r="E12" i="13"/>
  <c r="C44" i="1"/>
  <c r="C12" i="13"/>
  <c r="B44" i="1"/>
  <c r="H17" i="12"/>
  <c r="J17" i="12"/>
  <c r="E17" i="12" s="1"/>
  <c r="H15" i="12"/>
  <c r="J15" i="12"/>
  <c r="E15" i="12" s="1"/>
  <c r="H7" i="12"/>
  <c r="J7" i="12"/>
  <c r="E7" i="12" s="1"/>
  <c r="L25" i="12"/>
  <c r="L2" i="12"/>
  <c r="H5" i="12"/>
  <c r="I5" i="12" s="1"/>
  <c r="J5" i="12"/>
  <c r="E5" i="12" s="1"/>
  <c r="D25" i="12"/>
  <c r="J25" i="12" s="1"/>
  <c r="E11" i="2"/>
  <c r="F11" i="2"/>
  <c r="F6" i="2"/>
  <c r="E6" i="2"/>
  <c r="F12" i="2"/>
  <c r="E12" i="2"/>
  <c r="E7" i="2"/>
  <c r="F7" i="2"/>
  <c r="E15" i="24"/>
  <c r="I15" i="24"/>
  <c r="I7" i="24"/>
  <c r="E7" i="24"/>
  <c r="I13" i="13" l="1"/>
  <c r="E45" i="1"/>
  <c r="G13" i="13"/>
  <c r="D45" i="1"/>
  <c r="E13" i="13"/>
  <c r="C45" i="1"/>
  <c r="C13" i="13"/>
  <c r="B45" i="1"/>
  <c r="H3" i="12"/>
  <c r="J3" i="12"/>
  <c r="E15" i="2"/>
  <c r="I14" i="13" l="1"/>
  <c r="E46" i="1"/>
  <c r="G14" i="13"/>
  <c r="D46" i="1"/>
  <c r="E14" i="13"/>
  <c r="C46" i="1"/>
  <c r="C14" i="13"/>
  <c r="B46" i="1"/>
  <c r="L3" i="12"/>
  <c r="A3" i="12"/>
  <c r="I15" i="13" l="1"/>
  <c r="E47" i="1"/>
  <c r="G15" i="13"/>
  <c r="D47" i="1"/>
  <c r="E15" i="13"/>
  <c r="C47" i="1"/>
  <c r="C15" i="13"/>
  <c r="B47" i="1"/>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<sst xmlns="http://schemas.openxmlformats.org/spreadsheetml/2006/main" count="2560" uniqueCount="1324">
  <si>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</si>
  <si>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</si>
  <si>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</si>
  <si>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</si>
  <si>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</si>
  <si>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</si>
  <si>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</si>
  <si>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</si>
  <si>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</si>
  <si>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</si>
  <si>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</si>
  <si>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</si>
  <si>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</si>
  <si>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</si>
  <si>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</si>
  <si>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176세트</t>
  </si>
  <si>
    <t>주 4회 140에서 올렸다. 유지선은 75. 현장 일 보정이 사라진 자리들 + 2026-10-02 사용자 추가 셋(원 레그 컬 · 발 높은 레그 프레스 · 수요일 이너/아우터)</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</si>
  <si>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</si>
  <si>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</si>
  <si>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</si>
  <si>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</si>
  <si>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</si>
  <si>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</si>
  <si>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</si>
  <si>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</si>
  <si>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</si>
  <si>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</si>
  <si>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</si>
  <si>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</si>
  <si>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</si>
  <si>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</si>
  <si>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</si>
  <si>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</si>
  <si>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</si>
  <si>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</si>
  <si>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</si>
  <si>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</si>
  <si>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</si>
  <si>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</si>
  <si>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</si>
  <si>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</si>
  <si>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</si>
  <si>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</si>
  <si>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</si>
  <si>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</si>
  <si>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</si>
  <si>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</si>
  <si>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</si>
  <si>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</si>
  <si>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</si>
  <si>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</si>
  <si>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</si>
  <si>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</si>
  <si>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</si>
  <si>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</si>
  <si>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</si>
  <si>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</si>
  <si>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</si>
  <si>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</si>
  <si>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</si>
  <si>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</si>
  <si>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</si>
  <si>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</si>
  <si>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</si>
  <si>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</si>
  <si>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</si>
  <si>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</si>
  <si>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</si>
  <si>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</si>
  <si>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</si>
  <si>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</si>
  <si>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</si>
  <si>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</si>
  <si>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</si>
  <si>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</si>
  <si>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</si>
  <si>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</si>
  <si>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</si>
  <si>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</si>
  <si>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</si>
  <si>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</si>
  <si>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</si>
  <si>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</si>
  <si>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</si>
  <si>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</si>
  <si>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</si>
  <si>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</si>
  <si>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</si>
  <si>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</si>
  <si>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</si>
  <si>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</si>
  <si>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</si>
  <si>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</si>
  <si>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</si>
  <si>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</si>
  <si>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</si>
  <si>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</si>
  <si>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</si>
  <si>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</si>
  <si>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</si>
  <si>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</si>
  <si>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</si>
  <si>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</si>
  <si>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</si>
  <si>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</si>
  <si>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</si>
  <si>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</si>
  <si>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</si>
  <si>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</si>
  <si>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</si>
  <si>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</si>
  <si>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</si>
  <si>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</si>
  <si>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</si>
  <si>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</si>
  <si>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</si>
  <si>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</si>
  <si>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</si>
  <si>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</si>
  <si>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</si>
  <si>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</si>
  <si>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</si>
  <si>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</si>
  <si>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</si>
  <si>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</si>
  <si>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</si>
  <si>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</si>
  <si>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</si>
  <si>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</si>
  <si>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</si>
  <si>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</si>
  <si>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</si>
  <si>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</si>
  <si>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</si>
  <si>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</si>
  <si>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</si>
  <si>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</si>
  <si>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</si>
  <si>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</si>
  <si>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</si>
  <si>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</si>
  <si>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</si>
  <si>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</si>
  <si>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</si>
  <si>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</si>
  <si>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</si>
  <si>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</si>
  <si>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</si>
  <si>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</si>
  <si>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</si>
  <si>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</si>
  <si>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</si>
  <si>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</si>
  <si>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</si>
  <si>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</si>
  <si>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</si>
  <si>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</si>
  <si>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</si>
  <si>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</si>
  <si>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</si>
  <si>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</si>
  <si>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</si>
  <si>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</si>
  <si>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</si>
  <si>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</si>
  <si>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</si>
  <si>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</si>
  <si>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</si>
  <si>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</si>
  <si>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</si>
  <si>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</si>
  <si>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</si>
  <si>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</si>
  <si>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</si>
  <si>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</si>
  <si>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</si>
  <si>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</si>
  <si>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</si>
  <si>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</si>
  <si>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</si>
  <si>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</si>
  <si>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</si>
  <si>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</si>
  <si>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</si>
  <si>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</si>
  <si>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</si>
  <si>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</si>
  <si>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</si>
  <si>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</si>
  <si>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</si>
  <si>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</si>
  <si>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</si>
  <si>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</si>
  <si>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</si>
  <si>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</si>
  <si>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</si>
  <si>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</si>
  <si>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</si>
  <si>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</si>
  <si>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</si>
  <si>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</si>
  <si>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</si>
  <si>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</si>
  <si>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</si>
  <si>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</si>
  <si>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</si>
  <si>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</si>
  <si>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</si>
  <si>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</si>
  <si>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</si>
  <si>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</si>
  <si>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</si>
  <si>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</si>
  <si>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</si>
  <si>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</si>
  <si>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</si>
  <si>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</si>
  <si>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</si>
  <si>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</si>
  <si>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</si>
  <si>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</si>
  <si>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</si>
  <si>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</si>
  <si>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</si>
  <si>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</si>
  <si>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</si>
  <si>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</si>
  <si>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</si>
  <si>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</si>
  <si>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</si>
  <si>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</si>
  <si>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</si>
  <si>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</si>
  <si>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</si>
  <si>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</si>
  <si>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</si>
  <si>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</si>
  <si>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</si>
  <si>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</si>
  <si>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</si>
  <si>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</si>
  <si>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</si>
  <si>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</si>
  <si>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</si>
  <si>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</si>
  <si>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</si>
  <si>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</si>
  <si>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</si>
  <si>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</si>
  <si>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</si>
  <si>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</si>
  <si>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</si>
  <si>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</si>
  <si>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</si>
  <si>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</si>
  <si>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</si>
  <si>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</si>
  <si>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</si>
  <si>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</si>
  <si>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</si>
  <si>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</si>
  <si>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</si>
  <si>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</si>
  <si>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</si>
  <si>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</si>
  <si>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</si>
  <si>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</si>
  <si>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</si>
  <si>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</si>
  <si>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</si>
  <si>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</si>
  <si>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</si>
  <si>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</si>
  <si>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</si>
  <si>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</si>
  <si>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</si>
  <si>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</si>
  <si>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</si>
  <si>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</si>
  <si>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</si>
  <si>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</si>
  <si>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</si>
  <si>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</si>
  <si>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</si>
  <si>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</si>
  <si>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</si>
  <si>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</si>
  <si>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</si>
  <si>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</si>
  <si>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</si>
  <si>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</si>
  <si>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</si>
  <si>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</si>
  <si>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</si>
  <si>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</si>
  <si>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</si>
  <si>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</si>
  <si>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</si>
  <si>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</si>
  <si>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</si>
  <si>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</si>
  <si>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</si>
  <si>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</si>
  <si>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</si>
  <si>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</si>
  <si>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</si>
  <si>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</si>
  <si>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</si>
  <si>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</si>
  <si>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</si>
  <si>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</si>
  <si>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</si>
  <si>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</si>
  <si>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</si>
  <si>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</si>
  <si>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</si>
  <si>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</si>
  <si>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</si>
  <si>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</si>
  <si>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</si>
  <si>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</si>
  <si>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</si>
  <si>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</si>
  <si>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</si>
  <si>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</si>
  <si>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</si>
  <si>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</si>
  <si>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</si>
  <si>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</si>
  <si>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</si>
  <si>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</si>
  <si>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</si>
  <si>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</si>
  <si>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</si>
  <si>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</si>
  <si>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</si>
  <si>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</si>
  <si>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</si>
  <si>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</si>
  <si>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</si>
  <si>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</si>
  <si>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</si>
  <si>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</si>
  <si>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</si>
  <si>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</si>
  <si>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</si>
  <si>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</si>
  <si>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</si>
  <si>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</si>
  <si>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</si>
  <si>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</si>
  <si>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</si>
  <si>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</si>
  <si>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</si>
  <si>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</si>
  <si>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</si>
  <si>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</si>
  <si>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</si>
  <si>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</si>
  <si>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</si>
  <si>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</si>
  <si>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</si>
  <si>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</si>
  <si>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</si>
  <si>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</si>
  <si>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</si>
  <si>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</si>
  <si>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</si>
  <si>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</si>
  <si>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</si>
  <si>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</si>
  <si>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</si>
  <si>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</si>
  <si>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</si>
  <si>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</si>
  <si>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</si>
  <si>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</si>
  <si>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</si>
  <si>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</si>
  <si>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</si>
  <si>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</si>
  <si>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</si>
  <si>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</si>
  <si>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</si>
  <si>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</si>
  <si>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</si>
  <si>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</si>
  <si>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</si>
  <si>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</si>
  <si>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</si>
  <si>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</si>
  <si>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</si>
  <si>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</si>
  <si>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</si>
  <si>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</si>
  <si>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</si>
  <si>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</si>
  <si>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</si>
  <si>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</si>
  <si>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</si>
  <si>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</si>
  <si>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</si>
  <si>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</si>
  <si>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</si>
  <si>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</si>
  <si>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</si>
  <si>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</si>
  <si>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</si>
  <si>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</si>
  <si>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</si>
  <si>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</si>
  <si>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</si>
  <si>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</si>
  <si>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</si>
  <si>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</si>
  <si>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</si>
  <si>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</si>
  <si>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</si>
  <si>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</si>
  <si>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</si>
  <si>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</si>
  <si>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</si>
  <si>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</si>
  <si>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</si>
  <si>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</si>
  <si>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</si>
  <si>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</si>
  <si>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</si>
  <si>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</si>
  <si>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</si>
  <si>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</si>
  <si>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</si>
  <si>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</si>
  <si>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</si>
  <si>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</si>
  <si>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</si>
  <si>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</si>
  <si>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</si>
  <si>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</si>
  <si>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</si>
  <si>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</si>
  <si>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</si>
  <si>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</si>
  <si>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</si>
  <si>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</si>
  <si>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</si>
  <si>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</si>
  <si>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</si>
  <si>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</si>
  <si>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</si>
  <si>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</si>
  <si>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</si>
  <si>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</si>
  <si>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</si>
  <si>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</si>
  <si>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</si>
  <si>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</si>
  <si>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</si>
  <si>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</si>
  <si>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</si>
  <si>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</si>
  <si>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</si>
  <si>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</si>
  <si>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</si>
  <si>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</si>
  <si>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</si>
  <si>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</si>
  <si>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</si>
  <si>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</si>
  <si>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</si>
  <si>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</si>
  <si>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</si>
  <si>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</si>
  <si>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</si>
  <si>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</si>
  <si>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</si>
  <si>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</si>
  <si>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</si>
  <si>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</si>
  <si>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</si>
  <si>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</si>
  <si>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</si>
  <si>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</si>
  <si>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</si>
  <si>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</si>
  <si>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</si>
  <si>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</si>
  <si>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</si>
  <si>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</si>
  <si>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</si>
  <si>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</si>
  <si>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</si>
  <si>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</si>
  <si>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</si>
  <si>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</si>
  <si>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</si>
  <si>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</si>
  <si>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</si>
  <si>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</si>
  <si>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</si>
  <si>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</si>
  <si>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</si>
  <si>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</si>
  <si>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</si>
  <si>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</si>
  <si>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</si>
  <si>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</si>
  <si>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</si>
  <si>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</si>
  <si>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</si>
  <si>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</si>
  <si>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</si>
  <si>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</si>
  <si>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</si>
  <si>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</si>
  <si>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</si>
  <si>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</si>
  <si>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</si>
  <si>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</si>
  <si>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</si>
  <si>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</si>
  <si>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</si>
  <si>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</si>
  <si>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</si>
  <si>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</si>
  <si>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</si>
  <si>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</si>
  <si>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</si>
  <si>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</si>
  <si>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</si>
  <si>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</si>
  <si>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</si>
  <si>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</si>
  <si>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</si>
  <si>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</si>
  <si>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</si>
  <si>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</si>
  <si>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</si>
  <si>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</si>
  <si>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</si>
  <si>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</si>
  <si>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</si>
  <si>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</si>
  <si>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</si>
  <si>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</si>
  <si>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</si>
  <si>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</si>
  <si>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</si>
  <si>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</si>
  <si>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</si>
  <si>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</si>
  <si>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</si>
  <si>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</si>
  <si>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</si>
  <si>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</si>
  <si>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</si>
  <si>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</si>
  <si>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</si>
  <si>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</si>
  <si>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</si>
  <si>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</si>
  <si>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</si>
  <si>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</si>
  <si>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</si>
  <si>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</si>
  <si>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</si>
  <si>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</si>
  <si>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</si>
  <si>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</si>
  <si>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</si>
  <si>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</si>
  <si>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</si>
  <si>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</si>
  <si>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</si>
  <si>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</si>
  <si>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</si>
  <si>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</si>
  <si>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</si>
  <si>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</si>
  <si>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</si>
  <si>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</si>
  <si>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</si>
  <si>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</si>
  <si>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</si>
  <si>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</si>
  <si>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</si>
  <si>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</si>
  <si>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</si>
  <si>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</si>
  <si>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</si>
  <si>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</si>
  <si>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</si>
  <si>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</si>
  <si>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</si>
  <si>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</si>
  <si>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</si>
  <si>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</si>
  <si>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</si>
  <si>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</si>
  <si>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</si>
  <si>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</si>
  <si>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</si>
  <si>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</si>
  <si>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</si>
  <si>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</si>
  <si>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</si>
  <si>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</si>
  <si>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</si>
  <si>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</si>
  <si>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</si>
  <si>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</si>
  <si>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</si>
  <si>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</si>
  <si>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</si>
  <si>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</si>
  <si>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</si>
  <si>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</si>
  <si>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</si>
  <si>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</si>
  <si>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</si>
  <si>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</si>
  <si>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</si>
  <si>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</si>
  <si>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</si>
  <si>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</si>
  <si>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</si>
  <si>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</si>
  <si>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</si>
  <si>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</si>
  <si>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</si>
  <si>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</si>
  <si>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</si>
  <si>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</si>
  <si>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</si>
  <si>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</si>
  <si>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</si>
  <si>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</si>
  <si>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</si>
  <si>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</si>
  <si>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</si>
  <si>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</si>
  <si>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</si>
  <si>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</si>
  <si>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</si>
  <si>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</si>
  <si>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</si>
  <si>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</si>
  <si>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</si>
  <si>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</si>
  <si>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</si>
  <si>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</si>
  <si>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</si>
  <si>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</si>
  <si>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</si>
  <si>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</si>
  <si>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</si>
  <si>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</si>
  <si>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</si>
  <si>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</si>
  <si>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</si>
  <si>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</si>
  <si>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</si>
  <si>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</si>
  <si>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</si>
  <si>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</si>
  <si>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</si>
  <si>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</si>
  <si>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</si>
  <si>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</si>
  <si>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</si>
  <si>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</si>
  <si>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</si>
  <si>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</si>
  <si>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</si>
  <si>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</si>
  <si>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</si>
  <si>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</si>
  <si>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</si>
  <si>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</si>
  <si>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</si>
  <si>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</si>
  <si>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</si>
  <si>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</si>
  <si>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</si>
  <si>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</si>
  <si>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</si>
  <si>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</si>
  <si>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</si>
  <si>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</si>
  <si>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</si>
  <si>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</si>
  <si>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</si>
  <si>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</si>
  <si>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</si>
  <si>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</si>
  <si>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</si>
  <si>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</si>
  <si>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</si>
  <si>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</si>
  <si>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</si>
  <si>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</si>
  <si>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</si>
  <si>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</si>
  <si>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</si>
  <si>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</si>
  <si>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</si>
  <si>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</si>
  <si>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</si>
  <si>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</si>
  <si>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</si>
  <si>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</si>
  <si>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</si>
  <si>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</si>
  <si>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</si>
  <si>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</si>
  <si>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</si>
  <si>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</si>
  <si>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</si>
  <si>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</si>
  <si>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</si>
  <si>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</si>
  <si>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</si>
  <si>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</si>
  <si>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</si>
  <si>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</si>
  <si>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</si>
  <si>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</si>
  <si>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</si>
  <si>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</si>
  <si>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</si>
  <si>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</si>
  <si>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</si>
  <si>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</si>
  <si>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</si>
  <si>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</si>
  <si>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</si>
  <si>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</si>
  <si>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</si>
  <si>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</si>
  <si>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</si>
  <si>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</si>
  <si>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</si>
  <si>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</si>
  <si>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</si>
  <si>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</si>
  <si>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</si>
  <si>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</si>
  <si>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</si>
  <si>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</si>
  <si>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</si>
  <si>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</si>
  <si>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</si>
  <si>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</si>
  <si>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</si>
  <si>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</si>
  <si>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</si>
  <si>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</si>
  <si>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</si>
  <si>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</si>
  <si>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</si>
  <si>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</si>
  <si>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</si>
  <si>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</si>
  <si>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</si>
  <si>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</si>
  <si>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</si>
  <si>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</si>
  <si>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</si>
  <si>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</si>
  <si>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</si>
  <si>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</si>
  <si>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</si>
  <si>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</si>
  <si>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</si>
  <si>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</si>
  <si>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</si>
  <si>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</si>
  <si>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</si>
  <si>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</si>
  <si>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</si>
  <si>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</si>
  <si>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</si>
  <si>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</si>
  <si>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</si>
  <si>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</si>
  <si>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</si>
  <si>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</si>
  <si>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</si>
  <si>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</si>
  <si>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</si>
  <si>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</si>
  <si>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</si>
  <si>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</si>
  <si>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</si>
  <si>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</si>
  <si>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</si>
  <si>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</si>
  <si>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</si>
  <si>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</si>
  <si>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</si>
  <si>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</si>
  <si>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</si>
  <si>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</si>
  <si>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</si>
  <si>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</si>
  <si>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</si>
  <si>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</si>
  <si>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</si>
  <si>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</si>
  <si>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</si>
  <si>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</si>
  <si>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</si>
  <si>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</si>
  <si>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</si>
  <si>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</si>
  <si>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</si>
  <si>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</si>
  <si>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</si>
  <si>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</si>
  <si>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</si>
  <si>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</si>
  <si>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</si>
  <si>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</si>
  <si>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</si>
  <si>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</si>
  <si>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</si>
  <si>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</si>
  <si>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</si>
  <si>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</si>
  <si>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</si>
  <si>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</si>
  <si>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</si>
  <si>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</si>
  <si>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</si>
  <si>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</si>
  <si>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</si>
  <si>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</si>
  <si>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</si>
  <si>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</si>
  <si>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</si>
  <si>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</si>
  <si>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</si>
  <si>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</si>
  <si>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</si>
  <si>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</si>
  <si>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</si>
  <si>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</si>
  <si>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</si>
  <si>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</si>
  <si>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</si>
  <si>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</si>
  <si>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</si>
  <si>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</si>
  <si>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</si>
  <si>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</si>
  <si>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</si>
  <si>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</si>
  <si>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</si>
  <si>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</si>
  <si>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</si>
  <si>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</si>
  <si>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</si>
  <si>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</si>
  <si>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</si>
  <si>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</si>
  <si>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</si>
  <si>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</si>
  <si>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</si>
  <si>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</si>
  <si>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</si>
  <si>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</si>
  <si>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</si>
  <si>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</si>
  <si>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</si>
  <si>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</si>
  <si>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</si>
  <si>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</si>
  <si>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</si>
  <si>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</si>
  <si>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</si>
  <si>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</si>
  <si>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</si>
  <si>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</si>
  <si>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</si>
  <si>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</si>
  <si>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</si>
  <si>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</si>
  <si>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</si>
  <si>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</si>
  <si>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</si>
  <si>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</si>
  <si>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</si>
  <si>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</si>
  <si>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</si>
  <si>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</si>
  <si>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</si>
  <si>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</si>
  <si>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</si>
  <si>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</si>
  <si>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</si>
  <si>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</si>
  <si>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</si>
  <si>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</si>
  <si>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</si>
  <si>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</si>
  <si>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</si>
  <si>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</si>
  <si>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</si>
  <si>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</si>
  <si>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</si>
  <si>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</si>
  <si>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</si>
  <si>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</si>
  <si>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</si>
  <si>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</si>
  <si>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</si>
  <si>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</si>
  <si>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</si>
  <si>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 금요일 휴식 다음날이라 주 전체에서 가장 신선하다. 레그 컬 · 이너 · 아우터 · 카프는 어깨와 경쟁하지 않아 뒤로 보냈다 — 햄스트링 중량은 이 날이 가장 잘 나온다(토요일엔 햄스트링 직접 종목이 달리 없어 국소로 신선하다)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</si>
  <si>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</si>
  <si>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</si>
  <si>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</si>
  <si>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</si>
  <si>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</si>
  <si>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</si>
  <si>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</si>
  <si>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</si>
  <si>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</si>
  <si>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</si>
  <si>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</si>
  <si>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</si>
  <si>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</si>
  <si>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</si>
  <si>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</si>
  <si>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</si>
  <si>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</si>
  <si>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</si>
  <si>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</si>
  <si>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</si>
  <si>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</si>
  <si>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</si>
  <si>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</si>
  <si>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</si>
  <si>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</si>
  <si>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</si>
  <si>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</si>
  <si>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427분 (7시간 7분)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</si>
  <si>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</si>
  <si>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</si>
  <si>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</si>
  <si>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</si>
  <si>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있고, 발 높은 레그 프레스가 햄스트링이 아니라 둔근으로 계상된다.</t>
  </si>
  <si>
    <t>· [2026-10-02 보강] 햄스트링도 주 2회로 쪼갰다 — 수요일 7(루마니안 3 · 레그 컬 4) + 토요일 3(원 레그 컬).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</si>
  <si>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</si>
  <si>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</si>
  <si>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176세트. 세트는 26% 늘었고 가슴 · 등 · 하체 · 햄스트링 · 내전근 · 중둔근 빈도가 주 1회 → 2회로 올랐다.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</si>
  <si>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</si>
  <si>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164 → 168 → 176.</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</si>
  <si>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</si>
  <si>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</si>
  <si>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</si>
  <si>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</si>
  <si>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</si>
  <si>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</si>
  <si>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</si>
  <si>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</si>
  <si>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</si>
  <si>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</si>
  <si>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</si>
  <si>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</si>
  <si>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</si>
  <si>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</si>
  <si>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</si>
  <si>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</si>
  <si>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토 38세트 95분 · 목 27세트 67분 · 화 27세트 48분 · 일 23세트 60분 · 월 22세트 59분.</t>
  </si>
  <si>
    <t>· 세션 상한 26세트는 메인 리프트가 있는 날(토 · 월 · 수)에만 적용하고 고립 소근육은 예외로 센다 — 토요일은 고립 26을 빼면 실질 12, 수요일은 26을 빼면 13, 월요일은 6을 빼면 16이다.</t>
  </si>
  <si>
    <t>· 일 · 화 · 목은 메인 리프트가 없어 상한의 적용 대상이 아니다. 셋 다 휴식이 짧아 세트 수에 비해 시간이 안 든다.</t>
  </si>
  <si>
    <t>· 주 427분 = 7시간 7분. 주 4회 370분에서 57분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</si>
  <si>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</si>
  <si>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</si>
  <si>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</si>
  <si>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</si>
  <si>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</si>
  <si>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</si>
  <si>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</si>
  <si>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</si>
  <si>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</si>
  <si>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</si>
  <si>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</si>
  <si>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</si>
  <si>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</si>
  <si>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</si>
  <si>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</si>
  <si>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</si>
  <si>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</si>
  <si>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</si>
  <si>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</si>
  <si>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</si>
  <si>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</si>
  <si>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</si>
  <si>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</si>
  <si>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</si>
  <si>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</si>
  <si>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</si>
  <si>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</si>
  <si>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</si>
  <si>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</si>
  <si>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</si>
  <si>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</si>
  <si>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</si>
  <si>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</si>
  <si>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</si>
  <si>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</si>
  <si>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</si>
  <si>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</si>
  <si>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</si>
  <si>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</si>
  <si>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</si>
  <si>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</si>
  <si>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t>
  </si>
  <si>
    <t>일요일 — 등(광배) · 팔</t>
  </si>
  <si>
    <t>웜업 (세트 카운트 제외)</t>
  </si>
  <si>
    <t>· 이 날은 증량을 추적하는 메인 리프트가 없다. 첫 종목(친업) 전에 랫풀다운 작업중량의 50%로 10회 · 75%로 5회, 두 세트면 램프가 끝난다.</t>
  </si>
  <si>
    <t>· 케이블 외회전 2세트 × 12~15회. 팔꿈치 90도로 접어 옆구리에 붙이고 바깥으로만 회전. 매우 가볍게 — 2.5~5kg. 무거우면 광배와 후면 삼각근이 대신 일하며 목적을 잃는다.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</si>
  <si>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</si>
  <si>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</si>
  <si>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</si>
  <si>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</si>
  <si>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</si>
  <si>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</si>
  <si>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</si>
  <si>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</si>
  <si>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</si>
  <si>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</si>
  <si>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</si>
  <si>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</si>
  <si>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</si>
  <si>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</si>
  <si>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</si>
  <si>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</si>
  <si>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</si>
  <si>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</si>
  <si>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</si>
  <si>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</si>
  <si>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</si>
  <si>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</si>
  <si>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</si>
  <si>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</si>
  <si>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</si>
  <si>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</si>
  <si>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</si>
  <si>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</si>
  <si>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</si>
  <si>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</si>
  <si>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</si>
  <si>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</si>
  <si>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</si>
  <si>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</si>
  <si>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</si>
  <si>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</si>
  <si>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</si>
  <si>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</si>
  <si>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</si>
  <si>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</si>
  <si>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</si>
  <si>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</si>
  <si>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</si>
  <si>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</si>
  <si>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</si>
  <si>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</si>
  <si>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</si>
  <si>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</si>
  <si>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</si>
  <si>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</si>
  <si>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</si>
  <si>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</si>
  <si>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</si>
  <si>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</si>
  <si>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</si>
  <si>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</si>
  <si>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</si>
  <si>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</si>
  <si>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</si>
  <si>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</si>
  <si>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</si>
  <si>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</si>
  <si>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</si>
  <si>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</si>
  <si>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</si>
  <si>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</si>
  <si>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</si>
  <si>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</si>
  <si>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</si>
  <si>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</si>
  <si>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</si>
  <si>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</si>
  <si>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</si>
  <si>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</si>
  <si>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</si>
  <si>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</si>
  <si>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</si>
  <si>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</si>
  <si>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</si>
  <si>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</si>
  <si>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</si>
  <si>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</si>
  <si>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</si>
  <si>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</si>
  <si>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</si>
  <si>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</si>
  <si>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</si>
  <si>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</si>
  <si>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</si>
  <si>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</si>
  <si>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</si>
  <si>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</si>
  <si>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</si>
  <si>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</si>
  <si>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</si>
  <si>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</si>
  <si>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</si>
  <si>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</si>
  <si>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</si>
  <si>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</si>
  <si>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</si>
  <si>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</si>
  <si>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</si>
  <si>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</si>
  <si>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</si>
  <si>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</si>
  <si>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</si>
  <si>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</si>
  <si>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</si>
  <si>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</si>
  <si>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</si>
  <si>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</si>
  <si>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</si>
  <si>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</si>
  <si>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</si>
  <si>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</si>
  <si>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</si>
  <si>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</si>
  <si>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</si>
  <si>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</si>
  <si>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</si>
  <si>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</si>
  <si>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</si>
  <si>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</si>
  <si>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</si>
  <si>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</si>
  <si>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</si>
  <si>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</si>
  <si>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</si>
  <si>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</si>
  <si>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</si>
  <si>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</si>
  <si>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</si>
  <si>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</si>
  <si>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</si>
  <si>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</si>
  <si>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</si>
  <si>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</si>
  <si>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</si>
  <si>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</si>
  <si>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</si>
  <si>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</si>
  <si>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</si>
  <si>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</si>
  <si>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</si>
  <si>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</si>
  <si>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</si>
  <si>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</si>
  <si>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</si>
  <si>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</si>
  <si>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</si>
  <si>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</si>
  <si>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</si>
  <si>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</si>
  <si>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</si>
  <si>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</si>
  <si>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</si>
  <si>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</si>
  <si>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</si>
  <si>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</si>
  <si>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</si>
  <si>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</si>
  <si>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</si>
  <si>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</si>
  <si>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</si>
  <si>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</si>
  <si>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</si>
  <si>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</si>
  <si>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</si>
  <si>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</si>
  <si>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</si>
  <si>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</si>
  <si>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</si>
  <si>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</si>
  <si>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</si>
  <si>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</si>
  <si>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</si>
  <si>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</si>
  <si>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</si>
  <si>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</si>
  <si>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</si>
  <si>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</si>
  <si>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</si>
  <si>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</si>
  <si>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</si>
  <si>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</si>
  <si>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</si>
  <si>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</si>
  <si>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</si>
  <si>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</si>
  <si>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</si>
  <si>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</si>
  <si>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</si>
  <si>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</si>
  <si>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</si>
  <si>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</si>
  <si>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</si>
  <si>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</si>
  <si>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</si>
  <si>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</si>
  <si>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</si>
  <si>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</si>
  <si>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</si>
  <si>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</si>
  <si>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</si>
  <si>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</si>
  <si>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</si>
  <si>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</si>
  <si>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</si>
  <si>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</si>
  <si>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수평 내전 시 전면삼각 능동 관여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</si>
  <si>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</si>
  <si>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</si>
  <si>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</si>
  <si>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</si>
  <si>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머리 위 프레스 중 측면삼각 능동 외전</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</si>
  <si>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</si>
  <si>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</si>
  <si>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</si>
  <si>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</si>
  <si>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</si>
  <si>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지지</t>
  </si>
  <si>
    <t>견갑 하강은 동작 개시 관여라 약계수</t>
  </si>
  <si>
    <t>견갑 하강 개시 관여</t>
  </si>
  <si>
    <t>견갑 하강 개시 관여 — 언더그립 랫풀다운과 같은 등급</t>
  </si>
  <si>
    <t>수평 외전 + 견갑 후인 — 강한 협력</t>
  </si>
  <si>
    <t>견갑 후인 부분 협력</t>
  </si>
  <si>
    <t>로우 중 견갑 후인</t>
  </si>
  <si>
    <t>고장력 등척성 — 실패지점까지 가지 않음</t>
  </si>
  <si>
    <t>상체 각도 유지 등척성</t>
  </si>
  <si>
    <t>선 자세 유지 등척성</t>
  </si>
  <si>
    <t>중립 척추 유지 등척성. 0.2 무리 중에서는 가장 무거운 쪽이다</t>
  </si>
  <si>
    <t>선 자세 유지 등척성 — 오버헤드 슈러그와 같은 등급 (2026-10-02)</t>
  </si>
  <si>
    <t>고관절 신전 능동</t>
  </si>
  <si>
    <t>톱세트와 같은 동작 — 중량만 −5kg (2026-10-02 백오프 복귀)</t>
  </si>
  <si>
    <t>힌지 중 고관절 신전 능동 — 데드와 같은 등급</t>
  </si>
  <si>
    <t>고관절 신전 시 햄스트링 능동 협력</t>
  </si>
  <si>
    <t>힌지 중 햄스트링 신장성 부하</t>
  </si>
  <si>
    <t>톱세트와 같은 동작 (2026-10-02 백오프 복귀)</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</si>
  <si>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</si>
  <si>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벌어진 스탠스 구간 약관여</t>
  </si>
  <si>
    <t>벌어진 스탠스 구간 약관여 — 토요일 레그 프레스와 같은 등급 (2026-10-02)</t>
  </si>
  <si>
    <t>복귀_화_팔</t>
  </si>
  <si>
    <t>컬 중 상완요골근 동적 굴곡 — 부분 협력 (2026-10-02)</t>
  </si>
  <si>
    <t>플랫 벤치가 쇄골지에도 일부 기여</t>
  </si>
  <si>
    <t>수평 내전이라 쇄골지에도 일부 기여 — 플랫 벤치와 같은 등급</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</si>
  <si>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</si>
  <si>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</si>
  <si>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</si>
  <si>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</si>
  <si>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</si>
  <si>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</si>
  <si>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1.8 — 벤치 0.2×5 + 펙덱 플라이 0.2×4. 상부지를 복합 하나 · 고립 하나로 나눠 각 4세트다</t>
  </si>
  <si>
    <t>직접 16세트: 월요일 벤치 5 · 딥스 3 · 목요일 펙덱 플라이 4 · 디클라인 케이블 플라이 4. 간접 1.6 — 인클라인 머신 0.2×4 + 인클라인 플라이 0.2×4.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</si>
  <si>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</si>
  <si>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</si>
  <si>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1.6 — 오버헤드 프레스 · 스미스 로우 · 데드 각 0.2. 현장 일이 하루치를 얹어주던 것이 끝나 0 → 3으로 되살렸다. 재택 6일차와 같은 종목이다</t>
  </si>
  <si>
    <t>직접 3세트: 일요일 오버헤드 슈러그 3. 간접 2.2 — 친업 · 언더그립 랫풀다운 · 와이드 랫풀다운 각 0.2. 팔이 머리 위에 고정된 채 견갑을 내리는 종목이 이것뿐이다</t>
  </si>
  <si>
    <t>직접 10세트: 목요일 스미스 바벨 로우 4 · 해머 스트랭스 로우 3 · 스캡 슈러그 3. 간접 5.3 — 케이블 리버스 플라이 0.5×3 + 원암 로우 0.5×3 + 리버스 펙덱 0.33×4 + 벤트오버 레터럴 0.33×3</t>
  </si>
  <si>
    <t>직접 3세트: 수요일 데드 톱 1 + 백오프 2 (2026-10-02 백오프 복귀). 간접 3.6 — 스쿼트 · 스미스 로우 · 오버헤드 슈러그 · 루마니안 데드 · 트랩바 슈러그 각 0.2. 현장 일이 허리에 하루치를 얹던 것이 끝나 1 → 3이 됐다</t>
  </si>
  <si>
    <t>직접 6세트: 토요일 머신 숄더 프레스 3 · 수요일 스미스 오버헤드 프레스 3. 간접 6.7 — 벤치 0.5×5 + 인클라인 머신 0.5×4 + 딥스 0.2×3 + 인클라인 플라이 0.2×4 + 펙덱 0.2×4. 월요일에 프레스를 안 얹은 이유가 이 간접이다</t>
  </si>
  <si>
    <t>직접 10세트: 토요일 레터럴 4 · 월요일 원암 케이블 레터럴 3 · 수요일 레터럴 3. 간접 1.5 — 오버헤드 프레스 0.5×3. 간접이 거의 없는 부위라 직접 세트로만 채워진다. 셋으로 나눠 주 3회 빈도가 됐다</t>
  </si>
  <si>
    <t>직접 10세트: 토요일 리버스 펙덱 4 · 월요일 케이블 리버스 플라이 3 · 수요일 벤트오버 레터럴 머신 3. 간접 출처 없음 — 로우 계열은 전부 승모 중부 · 능형근으로 계상했다. 머신 · 케이블로 저항곡선을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</si>
  <si>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</si>
  <si>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</si>
  <si>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3.8 — 힙 쓰러스트 0.5×3 + 백오프 0.5×2 + 데드 0.5×1 + 레그 프레스(발 높게) 0.2×4.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</si>
  <si>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</si>
  <si>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</si>
  <si>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</si>
  <si>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6.7 — 당기기 6종목을 그립별로 (뒤침 0.5 · 뉴트럴 0.33 · 엎침 0.2). 짧아진 · 늘어난 · 중간 구간 셋으로 나눴다</t>
  </si>
  <si>
    <t>직접 9세트: 일요일 케이블 푸쉬다운 3 · 화요일 라잉 익스텐션 3 · 목요일 V바 푸쉬다운 3 (6 → 9). 간접 9.0 — 프레스 5종목 0.5씩 (벤치 5 · 인클라인 머신 4 · 딥스 3 · 머신 숄더 3 · 오버헤드 3). 실질 18로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</si>
  <si>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</si>
  <si>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</si>
  <si>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2.6 — 스쿼트 0.2×5 + 레그 프레스 2종 각 0.2×4 (토 발 낮게 · 수 발 높게).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</si>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</sst>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b/>
      <sz val="10"/>
      <color rgb="FFFFFFFF"/>
      <name val="Calibri"/>
      <family val="2"/>
    </font>
    <font>
      <sz val="10"/>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8" borderId="4" xfId="0" applyFont="1" applyFill="1" applyBorder="1" applyAlignment="1">
      <alignment horizontal="center" vertical="center"/>
    </xf>
    <xf numFmtId="0" fontId="52" fillId="10" borderId="4" xfId="0" applyFont="1" applyFill="1" applyBorder="1" applyAlignment="1">
      <alignment horizontal="center" vertical="center"/>
    </xf>
    <xf numFmtId="0" fontId="52" fillId="10" borderId="4" xfId="0" applyFont="1" applyFill="1" applyBorder="1" applyAlignment="1">
      <alignment horizontal="left" vertical="center" wrapText="1"/>
    </xf>
    <xf numFmtId="0" fontId="52" fillId="0" borderId="4" xfId="0" applyFont="1" applyBorder="1" applyAlignment="1">
      <alignment horizontal="center" vertical="center"/>
    </xf>
    <xf numFmtId="0" fontId="52"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2" fillId="0" borderId="0" xfId="0" applyFont="1" applyAlignment="1">
      <alignment vertical="center"/>
    </xf>
    <xf numFmtId="0" fontId="52" fillId="0" borderId="0" xfId="0" applyFont="1" applyAlignment="1">
      <alignment horizontal="left" vertical="center"/>
    </xf>
    <xf numFmtId="0" fontId="52" fillId="0" borderId="4" xfId="0" applyFont="1" applyBorder="1" applyAlignment="1">
      <alignment horizontal="left" vertical="center"/>
    </xf>
    <xf numFmtId="0" fontId="52"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2"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6"/>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0" t="s">
        <v>909</v>
      </c>
      <c r="B5" s="110" t="s">
        <v>910</v>
      </c>
      <c r="C5" s="110" t="s">
        <v>911</v>
      </c>
      <c r="D5" s="110" t="s">
        <v>912</v>
      </c>
      <c r="E5" s="110" t="s">
        <v>162</v>
      </c>
      <c r="F5" s="110" t="s">
        <v>163</v>
      </c>
      <c r="G5" s="110" t="s">
        <v>913</v>
      </c>
    </row>
    <row r="6" spans="1:7" ht="30" customHeight="1">
      <c r="A6" s="113" t="s">
        <v>914</v>
      </c>
      <c r="B6" s="120" t="s">
        <v>915</v>
      </c>
      <c r="C6" s="113" t="s">
        <v>911</v>
      </c>
      <c r="D6" s="114" t="s">
        <v>916</v>
      </c>
      <c r="E6" s="121">
        <f>복귀_토_하체전면!$E$24</f>
        <v>38</v>
      </c>
      <c r="F6" s="113" t="s">
        <v>917</v>
      </c>
      <c r="G6" s="114" t="s">
        <v>918</v>
      </c>
    </row>
    <row r="7" spans="1:7" ht="30" customHeight="1">
      <c r="A7" s="113" t="s">
        <v>919</v>
      </c>
      <c r="B7" s="120" t="s">
        <v>920</v>
      </c>
      <c r="C7" s="113" t="s">
        <v>911</v>
      </c>
      <c r="D7" s="114" t="s">
        <v>921</v>
      </c>
      <c r="E7" s="121">
        <f>복귀_일_등광배!$E$18</f>
        <v>23</v>
      </c>
      <c r="F7" s="113" t="s">
        <v>922</v>
      </c>
      <c r="G7" s="114" t="s">
        <v>923</v>
      </c>
    </row>
    <row r="8" spans="1:7" ht="30" customHeight="1">
      <c r="A8" s="113" t="s">
        <v>924</v>
      </c>
      <c r="B8" s="120" t="s">
        <v>925</v>
      </c>
      <c r="C8" s="113" t="s">
        <v>911</v>
      </c>
      <c r="D8" s="114" t="s">
        <v>926</v>
      </c>
      <c r="E8" s="121">
        <f>복귀_월_가슴!$E$24</f>
        <v>22</v>
      </c>
      <c r="F8" s="113" t="s">
        <v>927</v>
      </c>
      <c r="G8" s="114" t="s">
        <v>928</v>
      </c>
    </row>
    <row r="9" spans="1:7" ht="30" customHeight="1">
      <c r="A9" s="113" t="s">
        <v>929</v>
      </c>
      <c r="B9" s="120" t="s">
        <v>930</v>
      </c>
      <c r="C9" s="113" t="s">
        <v>911</v>
      </c>
      <c r="D9" s="114" t="s">
        <v>931</v>
      </c>
      <c r="E9" s="121">
        <f>복귀_화_팔!$E$20</f>
        <v>27</v>
      </c>
      <c r="F9" s="113" t="s">
        <v>932</v>
      </c>
      <c r="G9" s="114" t="s">
        <v>933</v>
      </c>
    </row>
    <row r="10" spans="1:7" ht="30" customHeight="1">
      <c r="A10" s="113" t="s">
        <v>934</v>
      </c>
      <c r="B10" s="120" t="s">
        <v>935</v>
      </c>
      <c r="C10" s="113" t="s">
        <v>911</v>
      </c>
      <c r="D10" s="114" t="s">
        <v>936</v>
      </c>
      <c r="E10" s="121">
        <f>복귀_수_하체후면!$E$35</f>
        <v>39</v>
      </c>
      <c r="F10" s="113" t="s">
        <v>937</v>
      </c>
      <c r="G10" s="114" t="s">
        <v>938</v>
      </c>
    </row>
    <row r="11" spans="1:7" ht="30" customHeight="1">
      <c r="A11" s="113" t="s">
        <v>939</v>
      </c>
      <c r="B11" s="120" t="s">
        <v>940</v>
      </c>
      <c r="C11" s="113" t="s">
        <v>911</v>
      </c>
      <c r="D11" s="114" t="s">
        <v>941</v>
      </c>
      <c r="E11" s="121">
        <f>복귀_목_등승모!$E$19</f>
        <v>27</v>
      </c>
      <c r="F11" s="113" t="s">
        <v>942</v>
      </c>
      <c r="G11" s="114" t="s">
        <v>943</v>
      </c>
    </row>
    <row r="12" spans="1:7" ht="30" customHeight="1">
      <c r="A12" s="113" t="s">
        <v>944</v>
      </c>
      <c r="B12" s="120" t="s">
        <v>174</v>
      </c>
      <c r="C12" s="113" t="s">
        <v>911</v>
      </c>
      <c r="D12" s="114" t="s">
        <v>174</v>
      </c>
      <c r="E12" s="121">
        <v>0</v>
      </c>
      <c r="F12" s="113" t="s">
        <v>30</v>
      </c>
      <c r="G12" s="114" t="s">
        <v>945</v>
      </c>
    </row>
    <row r="13" spans="1:7">
      <c r="A13" s="115" t="s">
        <v>185</v>
      </c>
      <c r="B13" s="122"/>
      <c r="C13" s="122"/>
      <c r="D13" s="122"/>
      <c r="E13" s="115">
        <f>SUM(E6:E12)</f>
        <v>176</v>
      </c>
      <c r="F13" s="115"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3" spans="1:1">
      <c r="A23" s="107" t="s">
        <v>954</v>
      </c>
    </row>
    <row r="24" spans="1:1">
      <c r="A24" s="123" t="s">
        <v>955</v>
      </c>
    </row>
    <row r="25" spans="1:1">
      <c r="A25" s="123" t="s">
        <v>956</v>
      </c>
    </row>
    <row r="26" spans="1:1">
      <c r="A26" s="123" t="s">
        <v>957</v>
      </c>
    </row>
    <row r="27" spans="1:1">
      <c r="A27" s="123" t="s">
        <v>958</v>
      </c>
    </row>
    <row r="28" spans="1:1">
      <c r="A28" s="123" t="s">
        <v>959</v>
      </c>
    </row>
    <row r="29" spans="1:1">
      <c r="A29" s="123" t="s">
        <v>960</v>
      </c>
    </row>
    <row r="30" spans="1:1">
      <c r="A30" s="123" t="s">
        <v>961</v>
      </c>
    </row>
    <row r="32" spans="1:1">
      <c r="A32" s="107" t="s">
        <v>962</v>
      </c>
    </row>
    <row r="33" spans="1:1">
      <c r="A33" s="123" t="s">
        <v>963</v>
      </c>
    </row>
    <row r="34" spans="1:1">
      <c r="A34" s="123" t="s">
        <v>964</v>
      </c>
    </row>
    <row r="35" spans="1:1">
      <c r="A35" s="123" t="s">
        <v>965</v>
      </c>
    </row>
    <row r="36" spans="1:1">
      <c r="A36" s="123" t="s">
        <v>966</v>
      </c>
    </row>
    <row r="38" spans="1:1">
      <c r="A38" s="107" t="s">
        <v>967</v>
      </c>
    </row>
    <row r="39" spans="1:1">
      <c r="A39" s="123" t="s">
        <v>968</v>
      </c>
    </row>
    <row r="40" spans="1:1">
      <c r="A40" s="123" t="s">
        <v>969</v>
      </c>
    </row>
    <row r="41" spans="1:1">
      <c r="A41" s="123" t="s">
        <v>970</v>
      </c>
    </row>
    <row r="42" spans="1:1">
      <c r="A42" s="123" t="s">
        <v>971</v>
      </c>
    </row>
    <row r="43" spans="1:1">
      <c r="A43" s="123" t="s">
        <v>972</v>
      </c>
    </row>
    <row r="45" spans="1:1">
      <c r="A45" s="107" t="s">
        <v>973</v>
      </c>
    </row>
    <row r="46" spans="1:1">
      <c r="A46" s="123" t="s">
        <v>974</v>
      </c>
    </row>
    <row r="47" spans="1:1">
      <c r="A47" s="123" t="s">
        <v>975</v>
      </c>
    </row>
    <row r="48" spans="1:1">
      <c r="A48" s="123" t="s">
        <v>976</v>
      </c>
    </row>
    <row r="49" spans="1:1">
      <c r="A49" s="123" t="s">
        <v>977</v>
      </c>
    </row>
    <row r="50" spans="1:1">
      <c r="A50" s="123" t="s">
        <v>978</v>
      </c>
    </row>
    <row r="52" spans="1:1">
      <c r="A52" s="107" t="s">
        <v>979</v>
      </c>
    </row>
    <row r="53" spans="1:1">
      <c r="A53" s="123" t="s">
        <v>980</v>
      </c>
    </row>
    <row r="54" spans="1:1">
      <c r="A54" s="123" t="s">
        <v>981</v>
      </c>
    </row>
    <row r="55" spans="1:1">
      <c r="A55" s="123" t="s">
        <v>982</v>
      </c>
    </row>
    <row r="56" spans="1:1">
      <c r="A56" s="123" t="s">
        <v>983</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984</v>
      </c>
    </row>
    <row r="4" spans="1:14">
      <c r="A4" s="107" t="s">
        <v>381</v>
      </c>
    </row>
    <row r="5" spans="1:14">
      <c r="A5" s="108" t="s">
        <v>269</v>
      </c>
      <c r="B5" s="108" t="s">
        <v>344</v>
      </c>
      <c r="C5" s="108" t="s">
        <v>162</v>
      </c>
    </row>
    <row r="6" spans="1:14">
      <c r="A6" s="109">
        <f>MAX(20,(MROUND(시작중량_설정!$E$7*0.4,1)+(MOD(MROUND(시작중량_설정!$E$7*0.4,1),5)=4)))</f>
        <v>25</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14">
      <c r="A10" s="109">
        <f>시작중량_설정!$E$7</f>
        <v>62</v>
      </c>
      <c r="B10" s="109">
        <v>5</v>
      </c>
      <c r="C10" s="109">
        <v>5</v>
      </c>
    </row>
    <row r="12" spans="1:14">
      <c r="A12" s="107" t="s">
        <v>266</v>
      </c>
    </row>
    <row r="13" spans="1:14" ht="15" customHeight="1">
      <c r="A13" s="110" t="s">
        <v>267</v>
      </c>
      <c r="B13" s="110" t="s">
        <v>87</v>
      </c>
      <c r="C13" s="110" t="s">
        <v>268</v>
      </c>
      <c r="D13" s="110" t="s">
        <v>269</v>
      </c>
      <c r="E13" s="110" t="s">
        <v>162</v>
      </c>
      <c r="F13" s="110" t="s">
        <v>270</v>
      </c>
      <c r="G13" s="110" t="s">
        <v>271</v>
      </c>
      <c r="H13" s="110" t="s">
        <v>272</v>
      </c>
      <c r="I13" s="110" t="s">
        <v>273</v>
      </c>
      <c r="J13" s="110" t="s">
        <v>275</v>
      </c>
      <c r="K13" s="110" t="s">
        <v>276</v>
      </c>
      <c r="L13" s="110" t="s">
        <v>277</v>
      </c>
      <c r="M13" s="110" t="s">
        <v>278</v>
      </c>
      <c r="N13" s="110" t="s">
        <v>279</v>
      </c>
    </row>
    <row r="14" spans="1:14" ht="30" customHeight="1">
      <c r="A14" s="111">
        <v>1</v>
      </c>
      <c r="B14" s="112" t="s">
        <v>93</v>
      </c>
      <c r="C14" s="111" t="s">
        <v>383</v>
      </c>
      <c r="D14" s="111">
        <f>시작중량_설정!$E$7</f>
        <v>62</v>
      </c>
      <c r="E14" s="111">
        <v>5</v>
      </c>
      <c r="F14" s="111">
        <v>5</v>
      </c>
      <c r="G14" s="111">
        <v>30</v>
      </c>
      <c r="H14" s="111">
        <v>180</v>
      </c>
      <c r="I14" s="111">
        <f t="shared" ref="I14:I23" si="0">IF(E14=0,0,ROUND((E14*(G14+H14)+N14)/60,1))</f>
        <v>17.5</v>
      </c>
      <c r="J14" s="112" t="s">
        <v>985</v>
      </c>
      <c r="K14" s="112" t="s">
        <v>986</v>
      </c>
      <c r="L14" s="111" t="s">
        <v>356</v>
      </c>
      <c r="M14" s="111"/>
      <c r="N14" s="111"/>
    </row>
    <row r="15" spans="1:14" ht="30" customHeight="1">
      <c r="A15" s="113">
        <v>2</v>
      </c>
      <c r="B15" s="114" t="s">
        <v>388</v>
      </c>
      <c r="C15" s="113" t="s">
        <v>383</v>
      </c>
      <c r="D15" s="113">
        <v>125</v>
      </c>
      <c r="E15" s="113">
        <v>4</v>
      </c>
      <c r="F15" s="113" t="s">
        <v>288</v>
      </c>
      <c r="G15" s="113">
        <v>45</v>
      </c>
      <c r="H15" s="113">
        <v>150</v>
      </c>
      <c r="I15" s="113">
        <f t="shared" si="0"/>
        <v>13</v>
      </c>
      <c r="J15" s="114" t="s">
        <v>987</v>
      </c>
      <c r="K15" s="114" t="s">
        <v>988</v>
      </c>
      <c r="L15" s="113"/>
      <c r="M15" s="113"/>
      <c r="N15" s="113"/>
    </row>
    <row r="16" spans="1:14" ht="30" customHeight="1">
      <c r="A16" s="113">
        <v>3</v>
      </c>
      <c r="B16" s="114" t="s">
        <v>581</v>
      </c>
      <c r="C16" s="113" t="s">
        <v>383</v>
      </c>
      <c r="D16" s="113">
        <v>40</v>
      </c>
      <c r="E16" s="113">
        <v>3</v>
      </c>
      <c r="F16" s="113" t="s">
        <v>364</v>
      </c>
      <c r="G16" s="113">
        <v>40</v>
      </c>
      <c r="H16" s="113">
        <v>120</v>
      </c>
      <c r="I16" s="113">
        <f t="shared" si="0"/>
        <v>9.3000000000000007</v>
      </c>
      <c r="J16" s="114" t="s">
        <v>989</v>
      </c>
      <c r="K16" s="114" t="s">
        <v>990</v>
      </c>
      <c r="L16" s="113"/>
      <c r="M16" s="113"/>
      <c r="N16" s="113">
        <v>75</v>
      </c>
    </row>
    <row r="17" spans="1:14" ht="30" customHeight="1">
      <c r="A17" s="113">
        <v>4</v>
      </c>
      <c r="B17" s="114" t="s">
        <v>522</v>
      </c>
      <c r="C17" s="113" t="s">
        <v>443</v>
      </c>
      <c r="D17" s="113">
        <v>30</v>
      </c>
      <c r="E17" s="113">
        <v>3</v>
      </c>
      <c r="F17" s="113" t="s">
        <v>288</v>
      </c>
      <c r="G17" s="113">
        <v>40</v>
      </c>
      <c r="H17" s="113">
        <v>120</v>
      </c>
      <c r="I17" s="113">
        <f t="shared" si="0"/>
        <v>8</v>
      </c>
      <c r="J17" s="114" t="s">
        <v>991</v>
      </c>
      <c r="K17" s="114" t="s">
        <v>597</v>
      </c>
      <c r="L17" s="113"/>
      <c r="M17" s="113"/>
      <c r="N17" s="113"/>
    </row>
    <row r="18" spans="1:14" ht="30" customHeight="1">
      <c r="A18" s="113">
        <v>5</v>
      </c>
      <c r="B18" s="114" t="s">
        <v>367</v>
      </c>
      <c r="C18" s="113" t="s">
        <v>368</v>
      </c>
      <c r="D18" s="113">
        <v>8</v>
      </c>
      <c r="E18" s="113">
        <v>4</v>
      </c>
      <c r="F18" s="113" t="s">
        <v>303</v>
      </c>
      <c r="G18" s="113">
        <v>40</v>
      </c>
      <c r="H18" s="113">
        <v>60</v>
      </c>
      <c r="I18" s="113">
        <f t="shared" si="0"/>
        <v>7.7</v>
      </c>
      <c r="J18" s="114" t="s">
        <v>992</v>
      </c>
      <c r="K18" s="114" t="s">
        <v>993</v>
      </c>
      <c r="L18" s="113"/>
      <c r="M18" s="113"/>
      <c r="N18" s="113">
        <v>60</v>
      </c>
    </row>
    <row r="19" spans="1:14" ht="30" customHeight="1">
      <c r="A19" s="113">
        <v>6</v>
      </c>
      <c r="B19" s="114" t="s">
        <v>994</v>
      </c>
      <c r="C19" s="113" t="s">
        <v>372</v>
      </c>
      <c r="D19" s="113">
        <v>30</v>
      </c>
      <c r="E19" s="113">
        <v>4</v>
      </c>
      <c r="F19" s="113" t="s">
        <v>303</v>
      </c>
      <c r="G19" s="113">
        <v>40</v>
      </c>
      <c r="H19" s="113">
        <v>60</v>
      </c>
      <c r="I19" s="113">
        <f t="shared" si="0"/>
        <v>7.7</v>
      </c>
      <c r="J19" s="114" t="s">
        <v>995</v>
      </c>
      <c r="K19" s="114" t="s">
        <v>996</v>
      </c>
      <c r="L19" s="113"/>
      <c r="M19" s="113"/>
      <c r="N19" s="113">
        <v>60</v>
      </c>
    </row>
    <row r="20" spans="1:14" ht="30" customHeight="1">
      <c r="A20" s="113">
        <v>7</v>
      </c>
      <c r="B20" s="114" t="s">
        <v>397</v>
      </c>
      <c r="C20" s="113" t="s">
        <v>398</v>
      </c>
      <c r="D20" s="113">
        <v>40</v>
      </c>
      <c r="E20" s="113">
        <v>4</v>
      </c>
      <c r="F20" s="113" t="s">
        <v>364</v>
      </c>
      <c r="G20" s="113">
        <v>40</v>
      </c>
      <c r="H20" s="113">
        <v>120</v>
      </c>
      <c r="I20" s="113">
        <f t="shared" si="0"/>
        <v>11.9</v>
      </c>
      <c r="J20" s="114" t="s">
        <v>997</v>
      </c>
      <c r="K20" s="114" t="s">
        <v>998</v>
      </c>
      <c r="L20" s="113"/>
      <c r="M20" s="113"/>
      <c r="N20" s="113">
        <v>75</v>
      </c>
    </row>
    <row r="21" spans="1:14" ht="30" customHeight="1">
      <c r="A21" s="113">
        <v>8</v>
      </c>
      <c r="B21" s="114" t="s">
        <v>401</v>
      </c>
      <c r="C21" s="113" t="s">
        <v>402</v>
      </c>
      <c r="D21" s="113">
        <v>40</v>
      </c>
      <c r="E21" s="113">
        <v>4</v>
      </c>
      <c r="F21" s="113" t="s">
        <v>303</v>
      </c>
      <c r="G21" s="113">
        <v>40</v>
      </c>
      <c r="H21" s="113">
        <v>10</v>
      </c>
      <c r="I21" s="113">
        <f t="shared" si="0"/>
        <v>3.3</v>
      </c>
      <c r="J21" s="114" t="s">
        <v>999</v>
      </c>
      <c r="K21" s="114" t="s">
        <v>1000</v>
      </c>
      <c r="L21" s="113"/>
      <c r="M21" s="113" t="s">
        <v>405</v>
      </c>
      <c r="N21" s="113"/>
    </row>
    <row r="22" spans="1:14" ht="30" customHeight="1">
      <c r="A22" s="113">
        <v>9</v>
      </c>
      <c r="B22" s="114" t="s">
        <v>406</v>
      </c>
      <c r="C22" s="113" t="s">
        <v>407</v>
      </c>
      <c r="D22" s="113">
        <v>40</v>
      </c>
      <c r="E22" s="113">
        <v>4</v>
      </c>
      <c r="F22" s="113" t="s">
        <v>303</v>
      </c>
      <c r="G22" s="113">
        <v>40</v>
      </c>
      <c r="H22" s="113">
        <v>120</v>
      </c>
      <c r="I22" s="113">
        <f t="shared" si="0"/>
        <v>10.7</v>
      </c>
      <c r="J22" s="114" t="s">
        <v>1001</v>
      </c>
      <c r="K22" s="114" t="s">
        <v>1002</v>
      </c>
      <c r="L22" s="113"/>
      <c r="M22" s="113" t="s">
        <v>405</v>
      </c>
      <c r="N22" s="113"/>
    </row>
    <row r="23" spans="1:14" ht="30" customHeight="1">
      <c r="A23" s="113">
        <v>10</v>
      </c>
      <c r="B23" s="114" t="s">
        <v>502</v>
      </c>
      <c r="C23" s="113" t="s">
        <v>322</v>
      </c>
      <c r="D23" s="113">
        <v>8</v>
      </c>
      <c r="E23" s="113">
        <v>3</v>
      </c>
      <c r="F23" s="113" t="s">
        <v>303</v>
      </c>
      <c r="G23" s="113">
        <v>40</v>
      </c>
      <c r="H23" s="113">
        <v>75</v>
      </c>
      <c r="I23" s="113">
        <f t="shared" si="0"/>
        <v>5.8</v>
      </c>
      <c r="J23" s="114" t="s">
        <v>1003</v>
      </c>
      <c r="K23" s="114" t="s">
        <v>1004</v>
      </c>
      <c r="L23" s="113"/>
      <c r="M23" s="113"/>
      <c r="N23" s="113"/>
    </row>
    <row r="24" spans="1:14">
      <c r="A24" s="115"/>
      <c r="B24" s="115"/>
      <c r="C24" s="115"/>
      <c r="D24" s="115" t="s">
        <v>335</v>
      </c>
      <c r="E24" s="115">
        <f>SUM(E14:E23)</f>
        <v>38</v>
      </c>
      <c r="F24" s="115"/>
      <c r="G24" s="115"/>
      <c r="H24" s="115"/>
      <c r="I24" s="115">
        <f>ROUND(SUM(I14:I23),0)</f>
        <v>95</v>
      </c>
    </row>
    <row r="26" spans="1:14">
      <c r="A26" s="107" t="s">
        <v>1005</v>
      </c>
    </row>
    <row r="27" spans="1:14">
      <c r="A27" s="116" t="s">
        <v>1006</v>
      </c>
    </row>
    <row r="28" spans="1:14">
      <c r="A28" s="116" t="s">
        <v>1007</v>
      </c>
    </row>
    <row r="29" spans="1:14">
      <c r="A29" s="116" t="s">
        <v>1008</v>
      </c>
    </row>
    <row r="30" spans="1:14">
      <c r="A30" s="116" t="s">
        <v>1009</v>
      </c>
    </row>
    <row r="31" spans="1:14">
      <c r="A31" s="116" t="s">
        <v>1010</v>
      </c>
    </row>
    <row r="32" spans="1:14">
      <c r="A32" s="116" t="s">
        <v>1011</v>
      </c>
    </row>
    <row r="34" spans="1:3">
      <c r="A34" s="107" t="s">
        <v>973</v>
      </c>
    </row>
    <row r="35" spans="1:3">
      <c r="A35" s="116" t="s">
        <v>1012</v>
      </c>
    </row>
    <row r="36" spans="1:3">
      <c r="A36" s="116" t="s">
        <v>1013</v>
      </c>
    </row>
    <row r="37" spans="1:3">
      <c r="A37" s="116" t="s">
        <v>1014</v>
      </c>
    </row>
    <row r="39" spans="1:3">
      <c r="A39" s="107" t="s">
        <v>1015</v>
      </c>
    </row>
    <row r="40" spans="1:3">
      <c r="A40" s="116" t="s">
        <v>1016</v>
      </c>
    </row>
    <row r="41" spans="1:3">
      <c r="A41" s="116" t="s">
        <v>1017</v>
      </c>
    </row>
    <row r="42" spans="1:3">
      <c r="A42" s="116" t="s">
        <v>1018</v>
      </c>
    </row>
    <row r="44" spans="1:3">
      <c r="C44" s="117" t="s">
        <v>1019</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1020</v>
      </c>
    </row>
    <row r="4" spans="1:14">
      <c r="A4" s="107" t="s">
        <v>1021</v>
      </c>
    </row>
    <row r="5" spans="1:14">
      <c r="A5" s="118" t="s">
        <v>1022</v>
      </c>
    </row>
    <row r="6" spans="1:14">
      <c r="A6" s="118" t="s">
        <v>1023</v>
      </c>
    </row>
    <row r="7" spans="1:14">
      <c r="A7" s="118" t="s">
        <v>1024</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280</v>
      </c>
      <c r="C11" s="113" t="s">
        <v>281</v>
      </c>
      <c r="D11" s="113">
        <v>55</v>
      </c>
      <c r="E11" s="113">
        <v>4</v>
      </c>
      <c r="F11" s="113" t="s">
        <v>282</v>
      </c>
      <c r="G11" s="113">
        <v>35</v>
      </c>
      <c r="H11" s="113">
        <v>150</v>
      </c>
      <c r="I11" s="113">
        <f t="shared" ref="I11:I17" si="0">IF(E11=0,0,ROUND((E11*(G11+H11)+N11)/60,1))</f>
        <v>12.3</v>
      </c>
      <c r="J11" s="114" t="s">
        <v>1025</v>
      </c>
      <c r="K11" s="114" t="s">
        <v>1026</v>
      </c>
      <c r="L11" s="113" t="s">
        <v>1027</v>
      </c>
      <c r="M11" s="113"/>
      <c r="N11" s="113"/>
    </row>
    <row r="12" spans="1:14" ht="30" customHeight="1">
      <c r="A12" s="113">
        <v>2</v>
      </c>
      <c r="B12" s="114" t="s">
        <v>1028</v>
      </c>
      <c r="C12" s="113" t="s">
        <v>281</v>
      </c>
      <c r="D12" s="113" t="s">
        <v>30</v>
      </c>
      <c r="E12" s="113">
        <v>4</v>
      </c>
      <c r="F12" s="113" t="s">
        <v>288</v>
      </c>
      <c r="G12" s="113">
        <v>40</v>
      </c>
      <c r="H12" s="113">
        <v>120</v>
      </c>
      <c r="I12" s="113">
        <f t="shared" si="0"/>
        <v>10.7</v>
      </c>
      <c r="J12" s="114" t="s">
        <v>1029</v>
      </c>
      <c r="K12" s="114" t="s">
        <v>1030</v>
      </c>
      <c r="L12" s="113"/>
      <c r="M12" s="113"/>
      <c r="N12" s="113"/>
    </row>
    <row r="13" spans="1:14" ht="30" customHeight="1">
      <c r="A13" s="113">
        <v>3</v>
      </c>
      <c r="B13" s="114" t="s">
        <v>1031</v>
      </c>
      <c r="C13" s="113" t="s">
        <v>281</v>
      </c>
      <c r="D13" s="113" t="s">
        <v>30</v>
      </c>
      <c r="E13" s="113">
        <v>3</v>
      </c>
      <c r="F13" s="113" t="s">
        <v>288</v>
      </c>
      <c r="G13" s="113">
        <v>40</v>
      </c>
      <c r="H13" s="113">
        <v>120</v>
      </c>
      <c r="I13" s="113">
        <f t="shared" si="0"/>
        <v>9</v>
      </c>
      <c r="J13" s="114" t="s">
        <v>1032</v>
      </c>
      <c r="K13" s="114" t="s">
        <v>1033</v>
      </c>
      <c r="L13" s="113"/>
      <c r="M13" s="113"/>
      <c r="N13" s="113">
        <v>60</v>
      </c>
    </row>
    <row r="14" spans="1:14" ht="30" customHeight="1">
      <c r="A14" s="113">
        <v>4</v>
      </c>
      <c r="B14" s="114" t="s">
        <v>486</v>
      </c>
      <c r="C14" s="113" t="s">
        <v>281</v>
      </c>
      <c r="D14" s="113">
        <v>25</v>
      </c>
      <c r="E14" s="113">
        <v>3</v>
      </c>
      <c r="F14" s="113" t="s">
        <v>292</v>
      </c>
      <c r="G14" s="113">
        <v>60</v>
      </c>
      <c r="H14" s="113">
        <v>120</v>
      </c>
      <c r="I14" s="113">
        <f t="shared" si="0"/>
        <v>9</v>
      </c>
      <c r="J14" s="114" t="s">
        <v>1034</v>
      </c>
      <c r="K14" s="114" t="s">
        <v>1035</v>
      </c>
      <c r="L14" s="113"/>
      <c r="M14" s="113"/>
      <c r="N14" s="113"/>
    </row>
    <row r="15" spans="1:14" ht="30" customHeight="1">
      <c r="A15" s="113">
        <v>5</v>
      </c>
      <c r="B15" s="114" t="s">
        <v>431</v>
      </c>
      <c r="C15" s="113" t="s">
        <v>432</v>
      </c>
      <c r="D15" s="113">
        <v>15</v>
      </c>
      <c r="E15" s="113">
        <v>3</v>
      </c>
      <c r="F15" s="113" t="s">
        <v>303</v>
      </c>
      <c r="G15" s="113">
        <v>40</v>
      </c>
      <c r="H15" s="113">
        <v>75</v>
      </c>
      <c r="I15" s="113">
        <f t="shared" si="0"/>
        <v>5.8</v>
      </c>
      <c r="J15" s="114" t="s">
        <v>1036</v>
      </c>
      <c r="K15" s="114" t="s">
        <v>1037</v>
      </c>
      <c r="L15" s="113"/>
      <c r="M15" s="113"/>
      <c r="N15" s="113"/>
    </row>
    <row r="16" spans="1:14" ht="30" customHeight="1">
      <c r="A16" s="113">
        <v>6</v>
      </c>
      <c r="B16" s="114" t="s">
        <v>375</v>
      </c>
      <c r="C16" s="113" t="s">
        <v>359</v>
      </c>
      <c r="D16" s="113">
        <v>20</v>
      </c>
      <c r="E16" s="113">
        <v>3</v>
      </c>
      <c r="F16" s="113" t="s">
        <v>288</v>
      </c>
      <c r="G16" s="113">
        <v>40</v>
      </c>
      <c r="H16" s="113">
        <v>75</v>
      </c>
      <c r="I16" s="113">
        <f t="shared" si="0"/>
        <v>6.8</v>
      </c>
      <c r="J16" s="114" t="s">
        <v>1038</v>
      </c>
      <c r="K16" s="114" t="s">
        <v>1039</v>
      </c>
      <c r="L16" s="113"/>
      <c r="M16" s="113"/>
      <c r="N16" s="113">
        <v>60</v>
      </c>
    </row>
    <row r="17" spans="1:14" ht="30" customHeight="1">
      <c r="A17" s="113">
        <v>7</v>
      </c>
      <c r="B17" s="114" t="s">
        <v>495</v>
      </c>
      <c r="C17" s="113" t="s">
        <v>283</v>
      </c>
      <c r="D17" s="113">
        <v>30</v>
      </c>
      <c r="E17" s="113">
        <v>3</v>
      </c>
      <c r="F17" s="113" t="s">
        <v>288</v>
      </c>
      <c r="G17" s="113">
        <v>40</v>
      </c>
      <c r="H17" s="113">
        <v>75</v>
      </c>
      <c r="I17" s="113">
        <f t="shared" si="0"/>
        <v>6.8</v>
      </c>
      <c r="J17" s="114" t="s">
        <v>1040</v>
      </c>
      <c r="K17" s="114" t="s">
        <v>1041</v>
      </c>
      <c r="L17" s="113"/>
      <c r="M17" s="113"/>
      <c r="N17" s="113">
        <v>60</v>
      </c>
    </row>
    <row r="18" spans="1:14">
      <c r="A18" s="115"/>
      <c r="B18" s="115"/>
      <c r="C18" s="115"/>
      <c r="D18" s="115" t="s">
        <v>335</v>
      </c>
      <c r="E18" s="115">
        <f>SUM(E11:E17)</f>
        <v>23</v>
      </c>
      <c r="F18" s="115"/>
      <c r="G18" s="115"/>
      <c r="H18" s="115"/>
      <c r="I18" s="115">
        <f>ROUND(SUM(I11:I17),0)</f>
        <v>60</v>
      </c>
    </row>
    <row r="20" spans="1:14">
      <c r="A20" s="107" t="s">
        <v>1042</v>
      </c>
    </row>
    <row r="21" spans="1:14">
      <c r="A21" s="116" t="s">
        <v>1043</v>
      </c>
    </row>
    <row r="22" spans="1:14">
      <c r="A22" s="116" t="s">
        <v>1044</v>
      </c>
    </row>
    <row r="23" spans="1:14">
      <c r="A23" s="116" t="s">
        <v>1045</v>
      </c>
    </row>
    <row r="24" spans="1:14">
      <c r="A24" s="116" t="s">
        <v>1046</v>
      </c>
    </row>
    <row r="26" spans="1:14">
      <c r="A26" s="107" t="s">
        <v>1047</v>
      </c>
    </row>
    <row r="27" spans="1:14">
      <c r="A27" s="116" t="s">
        <v>1006</v>
      </c>
    </row>
    <row r="28" spans="1:14">
      <c r="A28" s="116" t="s">
        <v>1048</v>
      </c>
    </row>
    <row r="29" spans="1:14">
      <c r="A29" s="116" t="s">
        <v>1049</v>
      </c>
    </row>
    <row r="30" spans="1:14">
      <c r="A30" s="116" t="s">
        <v>1050</v>
      </c>
    </row>
    <row r="32" spans="1:14">
      <c r="A32" s="107" t="s">
        <v>973</v>
      </c>
    </row>
    <row r="33" spans="1:3">
      <c r="A33" s="116" t="s">
        <v>1051</v>
      </c>
    </row>
    <row r="34" spans="1:3">
      <c r="A34" s="116" t="s">
        <v>1052</v>
      </c>
    </row>
    <row r="36" spans="1:3">
      <c r="A36" s="107" t="s">
        <v>1015</v>
      </c>
    </row>
    <row r="37" spans="1:3">
      <c r="A37" s="116" t="s">
        <v>1053</v>
      </c>
    </row>
    <row r="38" spans="1:3">
      <c r="A38" s="116" t="s">
        <v>1054</v>
      </c>
    </row>
    <row r="39" spans="1:3">
      <c r="A39" s="116" t="s">
        <v>1018</v>
      </c>
    </row>
    <row r="41" spans="1:3">
      <c r="C41" s="117" t="s">
        <v>1055</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8" t="s">
        <v>1023</v>
      </c>
    </row>
    <row r="14" spans="1:3">
      <c r="A14" s="118" t="s">
        <v>349</v>
      </c>
    </row>
    <row r="16" spans="1:3">
      <c r="A16" s="107" t="s">
        <v>266</v>
      </c>
    </row>
    <row r="17" spans="1:14" ht="15" customHeight="1">
      <c r="A17" s="110" t="s">
        <v>267</v>
      </c>
      <c r="B17" s="110" t="s">
        <v>87</v>
      </c>
      <c r="C17" s="110" t="s">
        <v>268</v>
      </c>
      <c r="D17" s="110" t="s">
        <v>269</v>
      </c>
      <c r="E17" s="110" t="s">
        <v>162</v>
      </c>
      <c r="F17" s="110" t="s">
        <v>270</v>
      </c>
      <c r="G17" s="110" t="s">
        <v>271</v>
      </c>
      <c r="H17" s="110" t="s">
        <v>272</v>
      </c>
      <c r="I17" s="110" t="s">
        <v>273</v>
      </c>
      <c r="J17" s="110" t="s">
        <v>275</v>
      </c>
      <c r="K17" s="110" t="s">
        <v>276</v>
      </c>
      <c r="L17" s="110" t="s">
        <v>277</v>
      </c>
      <c r="M17" s="110" t="s">
        <v>278</v>
      </c>
      <c r="N17" s="110" t="s">
        <v>279</v>
      </c>
    </row>
    <row r="18" spans="1:14" ht="30" customHeight="1">
      <c r="A18" s="111">
        <v>1</v>
      </c>
      <c r="B18" s="112" t="s">
        <v>97</v>
      </c>
      <c r="C18" s="111" t="s">
        <v>351</v>
      </c>
      <c r="D18" s="111">
        <f>시작중량_설정!$E$9</f>
        <v>35</v>
      </c>
      <c r="E18" s="111">
        <v>5</v>
      </c>
      <c r="F18" s="111">
        <v>5</v>
      </c>
      <c r="G18" s="111">
        <v>30</v>
      </c>
      <c r="H18" s="111">
        <v>180</v>
      </c>
      <c r="I18" s="111">
        <f t="shared" ref="I18:I23" si="0">IF(E18=0,0,ROUND((E18*(G18+H18)+N18)/60,1))</f>
        <v>17.5</v>
      </c>
      <c r="J18" s="112" t="s">
        <v>1057</v>
      </c>
      <c r="K18" s="112" t="s">
        <v>1058</v>
      </c>
      <c r="L18" s="111" t="s">
        <v>356</v>
      </c>
      <c r="M18" s="111"/>
      <c r="N18" s="111"/>
    </row>
    <row r="19" spans="1:14" ht="30" customHeight="1">
      <c r="A19" s="113">
        <v>2</v>
      </c>
      <c r="B19" s="114" t="s">
        <v>531</v>
      </c>
      <c r="C19" s="113" t="s">
        <v>363</v>
      </c>
      <c r="D19" s="113">
        <v>35</v>
      </c>
      <c r="E19" s="113">
        <v>4</v>
      </c>
      <c r="F19" s="113" t="s">
        <v>298</v>
      </c>
      <c r="G19" s="113">
        <v>40</v>
      </c>
      <c r="H19" s="113">
        <v>150</v>
      </c>
      <c r="I19" s="113">
        <f t="shared" si="0"/>
        <v>12.7</v>
      </c>
      <c r="J19" s="114" t="s">
        <v>1059</v>
      </c>
      <c r="K19" s="114" t="s">
        <v>1060</v>
      </c>
      <c r="L19" s="113"/>
      <c r="M19" s="113"/>
      <c r="N19" s="113"/>
    </row>
    <row r="20" spans="1:14" ht="30" customHeight="1">
      <c r="A20" s="113">
        <v>3</v>
      </c>
      <c r="B20" s="114" t="s">
        <v>600</v>
      </c>
      <c r="C20" s="113" t="s">
        <v>363</v>
      </c>
      <c r="D20" s="113" t="s">
        <v>358</v>
      </c>
      <c r="E20" s="113">
        <v>4</v>
      </c>
      <c r="F20" s="113" t="s">
        <v>364</v>
      </c>
      <c r="G20" s="113">
        <v>40</v>
      </c>
      <c r="H20" s="113">
        <v>105</v>
      </c>
      <c r="I20" s="113">
        <f t="shared" si="0"/>
        <v>9.6999999999999993</v>
      </c>
      <c r="J20" s="114" t="s">
        <v>1061</v>
      </c>
      <c r="K20" s="114" t="s">
        <v>1062</v>
      </c>
      <c r="L20" s="113"/>
      <c r="M20" s="113"/>
      <c r="N20" s="113"/>
    </row>
    <row r="21" spans="1:14" ht="30" customHeight="1">
      <c r="A21" s="113">
        <v>4</v>
      </c>
      <c r="B21" s="114" t="s">
        <v>357</v>
      </c>
      <c r="C21" s="113" t="s">
        <v>351</v>
      </c>
      <c r="D21" s="113" t="s">
        <v>297</v>
      </c>
      <c r="E21" s="113">
        <v>3</v>
      </c>
      <c r="F21" s="113" t="s">
        <v>288</v>
      </c>
      <c r="G21" s="113">
        <v>40</v>
      </c>
      <c r="H21" s="113">
        <v>120</v>
      </c>
      <c r="I21" s="113">
        <f t="shared" si="0"/>
        <v>8</v>
      </c>
      <c r="J21" s="114" t="s">
        <v>1063</v>
      </c>
      <c r="K21" s="114" t="s">
        <v>1064</v>
      </c>
      <c r="L21" s="113" t="s">
        <v>1065</v>
      </c>
      <c r="M21" s="113"/>
      <c r="N21" s="113"/>
    </row>
    <row r="22" spans="1:14" ht="30" customHeight="1">
      <c r="A22" s="113">
        <v>5</v>
      </c>
      <c r="B22" s="114" t="s">
        <v>1066</v>
      </c>
      <c r="C22" s="113" t="s">
        <v>368</v>
      </c>
      <c r="D22" s="113" t="s">
        <v>1067</v>
      </c>
      <c r="E22" s="113">
        <v>3</v>
      </c>
      <c r="F22" s="113" t="s">
        <v>318</v>
      </c>
      <c r="G22" s="113">
        <v>60</v>
      </c>
      <c r="H22" s="113">
        <v>60</v>
      </c>
      <c r="I22" s="113">
        <f t="shared" si="0"/>
        <v>6</v>
      </c>
      <c r="J22" s="114" t="s">
        <v>1068</v>
      </c>
      <c r="K22" s="114" t="s">
        <v>1069</v>
      </c>
      <c r="L22" s="113"/>
      <c r="M22" s="113"/>
      <c r="N22" s="113"/>
    </row>
    <row r="23" spans="1:14" ht="30" customHeight="1">
      <c r="A23" s="113">
        <v>6</v>
      </c>
      <c r="B23" s="114" t="s">
        <v>424</v>
      </c>
      <c r="C23" s="113" t="s">
        <v>372</v>
      </c>
      <c r="D23" s="113" t="s">
        <v>1067</v>
      </c>
      <c r="E23" s="113">
        <v>3</v>
      </c>
      <c r="F23" s="113" t="s">
        <v>303</v>
      </c>
      <c r="G23" s="113">
        <v>40</v>
      </c>
      <c r="H23" s="113">
        <v>60</v>
      </c>
      <c r="I23" s="113">
        <f t="shared" si="0"/>
        <v>5</v>
      </c>
      <c r="J23" s="114" t="s">
        <v>1070</v>
      </c>
      <c r="K23" s="114" t="s">
        <v>1071</v>
      </c>
      <c r="L23" s="113"/>
      <c r="M23" s="113"/>
      <c r="N23" s="113"/>
    </row>
    <row r="24" spans="1:14">
      <c r="A24" s="115"/>
      <c r="B24" s="115"/>
      <c r="C24" s="115"/>
      <c r="D24" s="115" t="s">
        <v>335</v>
      </c>
      <c r="E24" s="115">
        <f>SUM(E18:E23)</f>
        <v>22</v>
      </c>
      <c r="F24" s="115"/>
      <c r="G24" s="115"/>
      <c r="H24" s="115"/>
      <c r="I24" s="115">
        <f>ROUND(SUM(I18:I23),0)</f>
        <v>59</v>
      </c>
    </row>
    <row r="26" spans="1:14">
      <c r="A26" s="107" t="s">
        <v>1072</v>
      </c>
    </row>
    <row r="27" spans="1:14">
      <c r="A27" s="116" t="s">
        <v>1006</v>
      </c>
    </row>
    <row r="28" spans="1:14">
      <c r="A28" s="116" t="s">
        <v>1073</v>
      </c>
    </row>
    <row r="29" spans="1:14">
      <c r="A29" s="116" t="s">
        <v>1074</v>
      </c>
    </row>
    <row r="30" spans="1:14">
      <c r="A30" s="116" t="s">
        <v>1075</v>
      </c>
    </row>
    <row r="32" spans="1:14">
      <c r="A32" s="107" t="s">
        <v>1076</v>
      </c>
    </row>
    <row r="33" spans="1:3">
      <c r="A33" s="116" t="s">
        <v>1077</v>
      </c>
    </row>
    <row r="34" spans="1:3">
      <c r="A34" s="116" t="s">
        <v>1078</v>
      </c>
    </row>
    <row r="36" spans="1:3">
      <c r="A36" s="107" t="s">
        <v>973</v>
      </c>
    </row>
    <row r="37" spans="1:3">
      <c r="A37" s="116" t="s">
        <v>1079</v>
      </c>
    </row>
    <row r="38" spans="1:3">
      <c r="A38" s="116" t="s">
        <v>1080</v>
      </c>
    </row>
    <row r="40" spans="1:3">
      <c r="A40" s="107" t="s">
        <v>1081</v>
      </c>
    </row>
    <row r="41" spans="1:3">
      <c r="A41" s="116" t="s">
        <v>1082</v>
      </c>
    </row>
    <row r="42" spans="1:3">
      <c r="A42" s="116" t="s">
        <v>1083</v>
      </c>
    </row>
    <row r="44" spans="1:3">
      <c r="C44" s="117" t="s">
        <v>1084</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1085</v>
      </c>
    </row>
    <row r="4" spans="1:14">
      <c r="A4" s="107" t="s">
        <v>1021</v>
      </c>
    </row>
    <row r="5" spans="1:14">
      <c r="A5" s="118" t="s">
        <v>1086</v>
      </c>
    </row>
    <row r="6" spans="1:14">
      <c r="A6" s="118" t="s">
        <v>1087</v>
      </c>
    </row>
    <row r="7" spans="1:14">
      <c r="A7" s="118" t="s">
        <v>349</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602</v>
      </c>
      <c r="C11" s="113" t="s">
        <v>359</v>
      </c>
      <c r="D11" s="113">
        <v>15</v>
      </c>
      <c r="E11" s="113">
        <v>3</v>
      </c>
      <c r="F11" s="113" t="s">
        <v>288</v>
      </c>
      <c r="G11" s="113">
        <v>40</v>
      </c>
      <c r="H11" s="113">
        <v>75</v>
      </c>
      <c r="I11" s="113">
        <f t="shared" ref="I11:I19" si="0">IF(E11=0,0,ROUND((E11*(G11+H11)+N11)/60,1))</f>
        <v>6.8</v>
      </c>
      <c r="J11" s="114" t="s">
        <v>1088</v>
      </c>
      <c r="K11" s="114" t="s">
        <v>1089</v>
      </c>
      <c r="L11" s="113"/>
      <c r="M11" s="113"/>
      <c r="N11" s="113">
        <v>60</v>
      </c>
    </row>
    <row r="12" spans="1:14" ht="30" customHeight="1">
      <c r="A12" s="113">
        <v>2</v>
      </c>
      <c r="B12" s="114" t="s">
        <v>605</v>
      </c>
      <c r="C12" s="113" t="s">
        <v>283</v>
      </c>
      <c r="D12" s="113">
        <v>6</v>
      </c>
      <c r="E12" s="113">
        <v>3</v>
      </c>
      <c r="F12" s="113" t="s">
        <v>288</v>
      </c>
      <c r="G12" s="113">
        <v>40</v>
      </c>
      <c r="H12" s="113">
        <v>75</v>
      </c>
      <c r="I12" s="113">
        <f t="shared" si="0"/>
        <v>5.8</v>
      </c>
      <c r="J12" s="114" t="s">
        <v>1090</v>
      </c>
      <c r="K12" s="114" t="s">
        <v>1091</v>
      </c>
      <c r="L12" s="113"/>
      <c r="M12" s="113"/>
      <c r="N12" s="113"/>
    </row>
    <row r="13" spans="1:14" ht="30" customHeight="1">
      <c r="A13" s="113">
        <v>3</v>
      </c>
      <c r="B13" s="114" t="s">
        <v>453</v>
      </c>
      <c r="C13" s="113" t="s">
        <v>309</v>
      </c>
      <c r="D13" s="113">
        <v>15</v>
      </c>
      <c r="E13" s="113">
        <v>3</v>
      </c>
      <c r="F13" s="113" t="s">
        <v>317</v>
      </c>
      <c r="G13" s="113">
        <v>40</v>
      </c>
      <c r="H13" s="113">
        <v>70</v>
      </c>
      <c r="I13" s="113">
        <f t="shared" si="0"/>
        <v>5.5</v>
      </c>
      <c r="J13" s="114" t="s">
        <v>1092</v>
      </c>
      <c r="K13" s="114" t="s">
        <v>1093</v>
      </c>
      <c r="L13" s="113"/>
      <c r="M13" s="113"/>
      <c r="N13" s="113"/>
    </row>
    <row r="14" spans="1:14" ht="30" customHeight="1">
      <c r="A14" s="113">
        <v>4</v>
      </c>
      <c r="B14" s="114" t="s">
        <v>1094</v>
      </c>
      <c r="C14" s="113" t="s">
        <v>309</v>
      </c>
      <c r="D14" s="113">
        <v>10</v>
      </c>
      <c r="E14" s="113">
        <v>3</v>
      </c>
      <c r="F14" s="113">
        <v>15</v>
      </c>
      <c r="G14" s="113">
        <v>40</v>
      </c>
      <c r="H14" s="113">
        <v>60</v>
      </c>
      <c r="I14" s="113">
        <f t="shared" si="0"/>
        <v>5</v>
      </c>
      <c r="J14" s="114" t="s">
        <v>1095</v>
      </c>
      <c r="K14" s="114" t="s">
        <v>1096</v>
      </c>
      <c r="L14" s="113"/>
      <c r="M14" s="113"/>
      <c r="N14" s="113"/>
    </row>
    <row r="15" spans="1:14" ht="30" customHeight="1">
      <c r="A15" s="113">
        <v>5</v>
      </c>
      <c r="B15" s="114" t="s">
        <v>608</v>
      </c>
      <c r="C15" s="113" t="s">
        <v>309</v>
      </c>
      <c r="D15" s="113">
        <v>10</v>
      </c>
      <c r="E15" s="113">
        <v>3</v>
      </c>
      <c r="F15" s="113">
        <v>15</v>
      </c>
      <c r="G15" s="113">
        <v>40</v>
      </c>
      <c r="H15" s="113">
        <v>60</v>
      </c>
      <c r="I15" s="113">
        <f t="shared" si="0"/>
        <v>5</v>
      </c>
      <c r="J15" s="114" t="s">
        <v>1097</v>
      </c>
      <c r="K15" s="114" t="s">
        <v>1098</v>
      </c>
      <c r="L15" s="113"/>
      <c r="M15" s="113"/>
      <c r="N15" s="113"/>
    </row>
    <row r="16" spans="1:14" ht="30" customHeight="1">
      <c r="A16" s="113">
        <v>6</v>
      </c>
      <c r="B16" s="114" t="s">
        <v>1099</v>
      </c>
      <c r="C16" s="113" t="s">
        <v>939</v>
      </c>
      <c r="D16" s="113">
        <v>2.5</v>
      </c>
      <c r="E16" s="113">
        <v>3</v>
      </c>
      <c r="F16" s="113" t="s">
        <v>303</v>
      </c>
      <c r="G16" s="113">
        <v>40</v>
      </c>
      <c r="H16" s="113">
        <v>60</v>
      </c>
      <c r="I16" s="113">
        <f t="shared" si="0"/>
        <v>5</v>
      </c>
      <c r="J16" s="114" t="s">
        <v>1100</v>
      </c>
      <c r="K16" s="114" t="s">
        <v>1101</v>
      </c>
      <c r="L16" s="113"/>
      <c r="M16" s="113"/>
      <c r="N16" s="113"/>
    </row>
    <row r="17" spans="1:14" ht="30" customHeight="1">
      <c r="A17" s="113">
        <v>7</v>
      </c>
      <c r="B17" s="114" t="s">
        <v>1102</v>
      </c>
      <c r="C17" s="113" t="s">
        <v>939</v>
      </c>
      <c r="D17" s="113">
        <v>2.5</v>
      </c>
      <c r="E17" s="113">
        <v>3</v>
      </c>
      <c r="F17" s="113" t="s">
        <v>303</v>
      </c>
      <c r="G17" s="113">
        <v>40</v>
      </c>
      <c r="H17" s="113">
        <v>60</v>
      </c>
      <c r="I17" s="113">
        <f t="shared" si="0"/>
        <v>5</v>
      </c>
      <c r="J17" s="114" t="s">
        <v>1103</v>
      </c>
      <c r="K17" s="114" t="s">
        <v>1104</v>
      </c>
      <c r="L17" s="113"/>
      <c r="M17" s="113"/>
      <c r="N17" s="113"/>
    </row>
    <row r="18" spans="1:14" ht="30" customHeight="1">
      <c r="A18" s="113">
        <v>8</v>
      </c>
      <c r="B18" s="114" t="s">
        <v>547</v>
      </c>
      <c r="C18" s="113" t="s">
        <v>313</v>
      </c>
      <c r="D18" s="113">
        <v>2.5</v>
      </c>
      <c r="E18" s="113">
        <v>3</v>
      </c>
      <c r="F18" s="113">
        <v>12</v>
      </c>
      <c r="G18" s="113">
        <v>40</v>
      </c>
      <c r="H18" s="113">
        <v>60</v>
      </c>
      <c r="I18" s="113">
        <f t="shared" si="0"/>
        <v>5</v>
      </c>
      <c r="J18" s="114" t="s">
        <v>1105</v>
      </c>
      <c r="K18" s="114" t="s">
        <v>1106</v>
      </c>
      <c r="L18" s="113"/>
      <c r="M18" s="113"/>
      <c r="N18" s="113"/>
    </row>
    <row r="19" spans="1:14" ht="30" customHeight="1">
      <c r="A19" s="113">
        <v>9</v>
      </c>
      <c r="B19" s="114" t="s">
        <v>312</v>
      </c>
      <c r="C19" s="113" t="s">
        <v>313</v>
      </c>
      <c r="D19" s="113" t="s">
        <v>297</v>
      </c>
      <c r="E19" s="113">
        <v>3</v>
      </c>
      <c r="F19" s="113" t="s">
        <v>303</v>
      </c>
      <c r="G19" s="113">
        <v>40</v>
      </c>
      <c r="H19" s="113">
        <v>60</v>
      </c>
      <c r="I19" s="113">
        <f t="shared" si="0"/>
        <v>5</v>
      </c>
      <c r="J19" s="114" t="s">
        <v>1107</v>
      </c>
      <c r="K19" s="114" t="s">
        <v>1108</v>
      </c>
      <c r="L19" s="113"/>
      <c r="M19" s="113"/>
      <c r="N19" s="113"/>
    </row>
    <row r="20" spans="1:14">
      <c r="A20" s="115"/>
      <c r="B20" s="115"/>
      <c r="C20" s="115"/>
      <c r="D20" s="115" t="s">
        <v>335</v>
      </c>
      <c r="E20" s="115">
        <f>SUM(E11:E19)</f>
        <v>27</v>
      </c>
      <c r="F20" s="115"/>
      <c r="G20" s="115"/>
      <c r="H20" s="115"/>
      <c r="I20" s="115">
        <f>ROUND(SUM(I11:I19),0)</f>
        <v>48</v>
      </c>
    </row>
    <row r="22" spans="1:14">
      <c r="A22" s="107" t="s">
        <v>1109</v>
      </c>
    </row>
    <row r="23" spans="1:14">
      <c r="A23" s="116" t="s">
        <v>1110</v>
      </c>
    </row>
    <row r="24" spans="1:14">
      <c r="A24" s="116" t="s">
        <v>1111</v>
      </c>
    </row>
    <row r="25" spans="1:14">
      <c r="A25" s="116" t="s">
        <v>1112</v>
      </c>
    </row>
    <row r="27" spans="1:14">
      <c r="A27" s="107" t="s">
        <v>1113</v>
      </c>
    </row>
    <row r="28" spans="1:14">
      <c r="A28" s="116" t="s">
        <v>1114</v>
      </c>
    </row>
    <row r="29" spans="1:14">
      <c r="A29" s="116" t="s">
        <v>1115</v>
      </c>
    </row>
    <row r="30" spans="1:14">
      <c r="A30" s="116" t="s">
        <v>1116</v>
      </c>
    </row>
    <row r="32" spans="1:14">
      <c r="A32" s="107" t="s">
        <v>973</v>
      </c>
    </row>
    <row r="33" spans="1:3">
      <c r="A33" s="116" t="s">
        <v>1117</v>
      </c>
    </row>
    <row r="34" spans="1:3">
      <c r="A34" s="116" t="s">
        <v>1118</v>
      </c>
    </row>
    <row r="36" spans="1:3">
      <c r="A36" s="107" t="s">
        <v>1015</v>
      </c>
    </row>
    <row r="37" spans="1:3">
      <c r="A37" s="116" t="s">
        <v>1119</v>
      </c>
    </row>
    <row r="38" spans="1:3">
      <c r="A38" s="116" t="s">
        <v>1120</v>
      </c>
    </row>
    <row r="39" spans="1:3">
      <c r="A39" s="116" t="s">
        <v>1121</v>
      </c>
    </row>
    <row r="40" spans="1:3">
      <c r="A40" s="116" t="s">
        <v>1018</v>
      </c>
    </row>
    <row r="42" spans="1:3">
      <c r="C42" s="117" t="s">
        <v>1122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5"/>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1123</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1124</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266</v>
      </c>
    </row>
    <row r="21" spans="1:14" ht="15" customHeight="1">
      <c r="A21" s="110" t="s">
        <v>267</v>
      </c>
      <c r="B21" s="110" t="s">
        <v>87</v>
      </c>
      <c r="C21" s="110" t="s">
        <v>268</v>
      </c>
      <c r="D21" s="110" t="s">
        <v>269</v>
      </c>
      <c r="E21" s="110" t="s">
        <v>162</v>
      </c>
      <c r="F21" s="110" t="s">
        <v>270</v>
      </c>
      <c r="G21" s="110" t="s">
        <v>271</v>
      </c>
      <c r="H21" s="110" t="s">
        <v>272</v>
      </c>
      <c r="I21" s="110" t="s">
        <v>273</v>
      </c>
      <c r="J21" s="110" t="s">
        <v>275</v>
      </c>
      <c r="K21" s="110" t="s">
        <v>276</v>
      </c>
      <c r="L21" s="110" t="s">
        <v>277</v>
      </c>
      <c r="M21" s="110" t="s">
        <v>278</v>
      </c>
      <c r="N21" s="110" t="s">
        <v>279</v>
      </c>
    </row>
    <row r="22" spans="1:14" ht="30" customHeight="1">
      <c r="A22" s="111">
        <v>1</v>
      </c>
      <c r="B22" s="112" t="s">
        <v>95</v>
      </c>
      <c r="C22" s="111" t="s">
        <v>327</v>
      </c>
      <c r="D22" s="111">
        <f>시작중량_설정!$E$8</f>
        <v>67</v>
      </c>
      <c r="E22" s="111">
        <v>1</v>
      </c>
      <c r="F22" s="111">
        <v>5</v>
      </c>
      <c r="G22" s="111">
        <v>30</v>
      </c>
      <c r="H22" s="111">
        <v>180</v>
      </c>
      <c r="I22" s="111">
        <f t="shared" ref="I22:I34" si="0">IF(E22=0,0,ROUND((E22*(G22+H22)+N22)/60,1))</f>
        <v>3.5</v>
      </c>
      <c r="J22" s="112" t="s">
        <v>1125</v>
      </c>
      <c r="K22" s="112" t="s">
        <v>1126</v>
      </c>
      <c r="L22" s="111"/>
      <c r="M22" s="111"/>
      <c r="N22" s="111"/>
    </row>
    <row r="23" spans="1:14" ht="30" customHeight="1">
      <c r="A23" s="113">
        <v>2</v>
      </c>
      <c r="B23" s="114" t="s">
        <v>1127</v>
      </c>
      <c r="C23" s="113" t="s">
        <v>327</v>
      </c>
      <c r="D23" s="113">
        <f>시작중량_설정!$E$8-5</f>
        <v>62</v>
      </c>
      <c r="E23" s="113">
        <v>2</v>
      </c>
      <c r="F23" s="113">
        <v>5</v>
      </c>
      <c r="G23" s="113">
        <v>30</v>
      </c>
      <c r="H23" s="113">
        <v>180</v>
      </c>
      <c r="I23" s="113">
        <f t="shared" si="0"/>
        <v>7</v>
      </c>
      <c r="J23" s="114" t="s">
        <v>1128</v>
      </c>
      <c r="K23" s="114" t="s">
        <v>1129</v>
      </c>
      <c r="L23" s="113"/>
      <c r="M23" s="113"/>
      <c r="N23" s="113"/>
    </row>
    <row r="24" spans="1:14" ht="30" customHeight="1">
      <c r="A24" s="113">
        <v>3</v>
      </c>
      <c r="B24" s="114" t="s">
        <v>573</v>
      </c>
      <c r="C24" s="113" t="s">
        <v>398</v>
      </c>
      <c r="D24" s="113" t="s">
        <v>1130</v>
      </c>
      <c r="E24" s="113">
        <v>3</v>
      </c>
      <c r="F24" s="113" t="s">
        <v>288</v>
      </c>
      <c r="G24" s="113">
        <v>45</v>
      </c>
      <c r="H24" s="113">
        <v>150</v>
      </c>
      <c r="I24" s="113">
        <f t="shared" si="0"/>
        <v>9.8000000000000007</v>
      </c>
      <c r="J24" s="114" t="s">
        <v>1131</v>
      </c>
      <c r="K24" s="114" t="s">
        <v>1132</v>
      </c>
      <c r="L24" s="113"/>
      <c r="M24" s="113"/>
      <c r="N24" s="113"/>
    </row>
    <row r="25" spans="1:14" ht="30" customHeight="1">
      <c r="A25" s="113">
        <v>4</v>
      </c>
      <c r="B25" s="114" t="s">
        <v>1133</v>
      </c>
      <c r="C25" s="113" t="s">
        <v>389</v>
      </c>
      <c r="D25" s="113">
        <v>110</v>
      </c>
      <c r="E25" s="113">
        <v>4</v>
      </c>
      <c r="F25" s="113" t="s">
        <v>288</v>
      </c>
      <c r="G25" s="113">
        <v>45</v>
      </c>
      <c r="H25" s="113">
        <v>150</v>
      </c>
      <c r="I25" s="113">
        <f t="shared" si="0"/>
        <v>13</v>
      </c>
      <c r="J25" s="114" t="s">
        <v>1134</v>
      </c>
      <c r="K25" s="114" t="s">
        <v>1135</v>
      </c>
      <c r="L25" s="113"/>
      <c r="M25" s="113"/>
      <c r="N25" s="113"/>
    </row>
    <row r="26" spans="1:14" ht="30" customHeight="1">
      <c r="A26" s="113">
        <v>5</v>
      </c>
      <c r="B26" s="114" t="s">
        <v>576</v>
      </c>
      <c r="C26" s="113" t="s">
        <v>398</v>
      </c>
      <c r="D26" s="113">
        <v>25</v>
      </c>
      <c r="E26" s="113">
        <v>3</v>
      </c>
      <c r="F26" s="113">
        <v>10</v>
      </c>
      <c r="G26" s="113">
        <v>60</v>
      </c>
      <c r="H26" s="113">
        <v>120</v>
      </c>
      <c r="I26" s="113">
        <f t="shared" si="0"/>
        <v>9</v>
      </c>
      <c r="J26" s="114" t="s">
        <v>1136</v>
      </c>
      <c r="K26" s="114" t="s">
        <v>1137</v>
      </c>
      <c r="L26" s="113"/>
      <c r="M26" s="113"/>
      <c r="N26" s="113"/>
    </row>
    <row r="27" spans="1:14" ht="30" customHeight="1">
      <c r="A27" s="111">
        <v>6</v>
      </c>
      <c r="B27" s="112" t="s">
        <v>1138</v>
      </c>
      <c r="C27" s="111" t="s">
        <v>443</v>
      </c>
      <c r="D27" s="111">
        <f>시작중량_설정!$E$10</f>
        <v>26</v>
      </c>
      <c r="E27" s="111">
        <v>3</v>
      </c>
      <c r="F27" s="111">
        <v>5</v>
      </c>
      <c r="G27" s="111">
        <v>30</v>
      </c>
      <c r="H27" s="111">
        <v>180</v>
      </c>
      <c r="I27" s="111">
        <f t="shared" si="0"/>
        <v>10.5</v>
      </c>
      <c r="J27" s="112" t="s">
        <v>1139</v>
      </c>
      <c r="K27" s="112" t="s">
        <v>1140</v>
      </c>
      <c r="L27" s="111" t="s">
        <v>521</v>
      </c>
      <c r="M27" s="111"/>
      <c r="N27" s="111"/>
    </row>
    <row r="28" spans="1:14" ht="30" customHeight="1">
      <c r="A28" s="113">
        <v>7</v>
      </c>
      <c r="B28" s="114" t="s">
        <v>367</v>
      </c>
      <c r="C28" s="113" t="s">
        <v>368</v>
      </c>
      <c r="D28" s="113">
        <v>8</v>
      </c>
      <c r="E28" s="113">
        <v>3</v>
      </c>
      <c r="F28" s="113" t="s">
        <v>303</v>
      </c>
      <c r="G28" s="113">
        <v>40</v>
      </c>
      <c r="H28" s="113">
        <v>60</v>
      </c>
      <c r="I28" s="113">
        <f t="shared" si="0"/>
        <v>6</v>
      </c>
      <c r="J28" s="114" t="s">
        <v>1141</v>
      </c>
      <c r="K28" s="114" t="s">
        <v>993</v>
      </c>
      <c r="L28" s="113"/>
      <c r="M28" s="113"/>
      <c r="N28" s="113">
        <v>60</v>
      </c>
    </row>
    <row r="29" spans="1:14" ht="30" customHeight="1">
      <c r="A29" s="113">
        <v>8</v>
      </c>
      <c r="B29" s="114" t="s">
        <v>537</v>
      </c>
      <c r="C29" s="113" t="s">
        <v>372</v>
      </c>
      <c r="D29" s="113" t="s">
        <v>298</v>
      </c>
      <c r="E29" s="113">
        <v>3</v>
      </c>
      <c r="F29" s="113" t="s">
        <v>303</v>
      </c>
      <c r="G29" s="113">
        <v>40</v>
      </c>
      <c r="H29" s="113">
        <v>60</v>
      </c>
      <c r="I29" s="113">
        <f t="shared" si="0"/>
        <v>5</v>
      </c>
      <c r="J29" s="114" t="s">
        <v>1142</v>
      </c>
      <c r="K29" s="114" t="s">
        <v>1143</v>
      </c>
      <c r="L29" s="113"/>
      <c r="M29" s="113"/>
      <c r="N29" s="113"/>
    </row>
    <row r="30" spans="1:14" ht="30" customHeight="1">
      <c r="A30" s="113">
        <v>9</v>
      </c>
      <c r="B30" s="114" t="s">
        <v>570</v>
      </c>
      <c r="C30" s="113" t="s">
        <v>389</v>
      </c>
      <c r="D30" s="113">
        <v>25</v>
      </c>
      <c r="E30" s="113">
        <v>3</v>
      </c>
      <c r="F30" s="113" t="s">
        <v>364</v>
      </c>
      <c r="G30" s="113">
        <v>40</v>
      </c>
      <c r="H30" s="113">
        <v>120</v>
      </c>
      <c r="I30" s="113">
        <f t="shared" si="0"/>
        <v>8</v>
      </c>
      <c r="J30" s="114" t="s">
        <v>1144</v>
      </c>
      <c r="K30" s="114" t="s">
        <v>1145</v>
      </c>
      <c r="L30" s="113"/>
      <c r="M30" s="113"/>
      <c r="N30" s="113"/>
    </row>
    <row r="31" spans="1:14" ht="30" customHeight="1">
      <c r="A31" s="113">
        <v>10</v>
      </c>
      <c r="B31" s="114" t="s">
        <v>506</v>
      </c>
      <c r="C31" s="113" t="s">
        <v>407</v>
      </c>
      <c r="D31" s="113">
        <v>15</v>
      </c>
      <c r="E31" s="113">
        <v>3</v>
      </c>
      <c r="F31" s="113" t="s">
        <v>318</v>
      </c>
      <c r="G31" s="113">
        <v>60</v>
      </c>
      <c r="H31" s="113">
        <v>75</v>
      </c>
      <c r="I31" s="113">
        <f t="shared" si="0"/>
        <v>6.8</v>
      </c>
      <c r="J31" s="114" t="s">
        <v>1146</v>
      </c>
      <c r="K31" s="114" t="s">
        <v>1147</v>
      </c>
      <c r="L31" s="113"/>
      <c r="M31" s="113"/>
      <c r="N31" s="113"/>
    </row>
    <row r="32" spans="1:14" ht="30" customHeight="1">
      <c r="A32" s="113">
        <v>11</v>
      </c>
      <c r="B32" s="114" t="s">
        <v>401</v>
      </c>
      <c r="C32" s="113" t="s">
        <v>402</v>
      </c>
      <c r="D32" s="113">
        <v>40</v>
      </c>
      <c r="E32" s="113">
        <v>4</v>
      </c>
      <c r="F32" s="113" t="s">
        <v>303</v>
      </c>
      <c r="G32" s="113">
        <v>40</v>
      </c>
      <c r="H32" s="113">
        <v>10</v>
      </c>
      <c r="I32" s="113">
        <f t="shared" si="0"/>
        <v>3.3</v>
      </c>
      <c r="J32" s="114" t="s">
        <v>1148</v>
      </c>
      <c r="K32" s="114" t="s">
        <v>1000</v>
      </c>
      <c r="L32" s="113"/>
      <c r="M32" s="113" t="s">
        <v>405</v>
      </c>
      <c r="N32" s="113"/>
    </row>
    <row r="33" spans="1:14" ht="30" customHeight="1">
      <c r="A33" s="113">
        <v>12</v>
      </c>
      <c r="B33" s="114" t="s">
        <v>406</v>
      </c>
      <c r="C33" s="113" t="s">
        <v>407</v>
      </c>
      <c r="D33" s="113">
        <v>40</v>
      </c>
      <c r="E33" s="113">
        <v>4</v>
      </c>
      <c r="F33" s="113" t="s">
        <v>303</v>
      </c>
      <c r="G33" s="113">
        <v>40</v>
      </c>
      <c r="H33" s="113">
        <v>120</v>
      </c>
      <c r="I33" s="113">
        <f t="shared" si="0"/>
        <v>10.7</v>
      </c>
      <c r="J33" s="114" t="s">
        <v>1149</v>
      </c>
      <c r="K33" s="114" t="s">
        <v>1002</v>
      </c>
      <c r="L33" s="113"/>
      <c r="M33" s="113" t="s">
        <v>405</v>
      </c>
      <c r="N33" s="113"/>
    </row>
    <row r="34" spans="1:14" ht="30" customHeight="1">
      <c r="A34" s="113">
        <v>13</v>
      </c>
      <c r="B34" s="114" t="s">
        <v>321</v>
      </c>
      <c r="C34" s="113" t="s">
        <v>322</v>
      </c>
      <c r="D34" s="113">
        <v>10</v>
      </c>
      <c r="E34" s="113">
        <v>3</v>
      </c>
      <c r="F34" s="113" t="s">
        <v>303</v>
      </c>
      <c r="G34" s="113">
        <v>40</v>
      </c>
      <c r="H34" s="113">
        <v>75</v>
      </c>
      <c r="I34" s="113">
        <f t="shared" si="0"/>
        <v>5.8</v>
      </c>
      <c r="J34" s="114" t="s">
        <v>1150</v>
      </c>
      <c r="K34" s="114" t="s">
        <v>1151</v>
      </c>
      <c r="L34" s="113"/>
      <c r="M34" s="113"/>
      <c r="N34" s="113"/>
    </row>
    <row r="35" spans="1:14">
      <c r="A35" s="115"/>
      <c r="B35" s="115"/>
      <c r="C35" s="115"/>
      <c r="D35" s="115" t="s">
        <v>335</v>
      </c>
      <c r="E35" s="115">
        <f>SUM(E22:E34)</f>
        <v>39</v>
      </c>
      <c r="F35" s="115"/>
      <c r="G35" s="115"/>
      <c r="H35" s="115"/>
      <c r="I35" s="115">
        <f>ROUND(SUM(I22:I34),0)</f>
        <v>98</v>
      </c>
    </row>
    <row r="37" spans="1:14">
      <c r="A37" s="107" t="s">
        <v>1152</v>
      </c>
    </row>
    <row r="38" spans="1:14">
      <c r="A38" s="116" t="s">
        <v>1153</v>
      </c>
    </row>
    <row r="39" spans="1:14">
      <c r="A39" s="116" t="s">
        <v>1154</v>
      </c>
    </row>
    <row r="40" spans="1:14">
      <c r="A40" s="116" t="s">
        <v>1155</v>
      </c>
    </row>
    <row r="41" spans="1:14">
      <c r="A41" s="116" t="s">
        <v>1156</v>
      </c>
    </row>
    <row r="42" spans="1:14">
      <c r="A42" s="116" t="s">
        <v>1157</v>
      </c>
    </row>
    <row r="43" spans="1:14">
      <c r="A43" s="116" t="s">
        <v>1158</v>
      </c>
    </row>
    <row r="45" spans="1:14">
      <c r="A45" s="107" t="s">
        <v>1159</v>
      </c>
    </row>
    <row r="46" spans="1:14">
      <c r="A46" s="116" t="s">
        <v>1160</v>
      </c>
    </row>
    <row r="47" spans="1:14">
      <c r="A47" s="116" t="s">
        <v>1161</v>
      </c>
    </row>
    <row r="48" spans="1:14">
      <c r="A48" s="116" t="s">
        <v>1162</v>
      </c>
    </row>
    <row r="49" spans="1:1">
      <c r="A49" s="116" t="s">
        <v>1163</v>
      </c>
    </row>
    <row r="50" spans="1:1">
      <c r="A50" s="116" t="s">
        <v>1164</v>
      </c>
    </row>
    <row r="52" spans="1:1">
      <c r="A52" s="107" t="s">
        <v>1165</v>
      </c>
    </row>
    <row r="53" spans="1:1">
      <c r="A53" s="116" t="s">
        <v>1166</v>
      </c>
    </row>
    <row r="54" spans="1:1">
      <c r="A54" s="116" t="s">
        <v>1167</v>
      </c>
    </row>
    <row r="55" spans="1:1">
      <c r="A55" s="116" t="s">
        <v>1168</v>
      </c>
    </row>
    <row r="56" spans="1:1">
      <c r="A56" s="116" t="s">
        <v>1169</v>
      </c>
    </row>
    <row r="57" spans="1:1">
      <c r="A57" s="116" t="s">
        <v>1170</v>
      </c>
    </row>
    <row r="59" spans="1:1">
      <c r="A59" s="107" t="s">
        <v>1171</v>
      </c>
    </row>
    <row r="60" spans="1:1">
      <c r="A60" s="116" t="s">
        <v>1172</v>
      </c>
    </row>
    <row r="61" spans="1:1">
      <c r="A61" s="116" t="s">
        <v>1173</v>
      </c>
    </row>
    <row r="62" spans="1:1">
      <c r="A62" s="116" t="s">
        <v>1174</v>
      </c>
    </row>
    <row r="64" spans="1:1">
      <c r="A64" s="107" t="s">
        <v>973</v>
      </c>
    </row>
    <row r="65" spans="1:3">
      <c r="A65" s="116" t="s">
        <v>1175</v>
      </c>
    </row>
    <row r="66" spans="1:3">
      <c r="A66" s="116" t="s">
        <v>1176</v>
      </c>
    </row>
    <row r="68" spans="1:3">
      <c r="A68" s="107" t="s">
        <v>1015</v>
      </c>
    </row>
    <row r="69" spans="1:3">
      <c r="A69" s="116" t="s">
        <v>1177</v>
      </c>
    </row>
    <row r="70" spans="1:3">
      <c r="A70" s="116" t="s">
        <v>1178</v>
      </c>
    </row>
    <row r="71" spans="1:3">
      <c r="A71" s="116" t="s">
        <v>1179</v>
      </c>
    </row>
    <row r="72" spans="1:3">
      <c r="A72" s="116" t="s">
        <v>1180</v>
      </c>
    </row>
    <row r="73" spans="1:3">
      <c r="A73" s="116" t="s">
        <v>1018</v>
      </c>
    </row>
    <row r="75" spans="1:3">
      <c r="C75" s="117" t="s">
        <v>1181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1182</v>
      </c>
    </row>
    <row r="4" spans="1:14">
      <c r="A4" s="107" t="s">
        <v>1021</v>
      </c>
    </row>
    <row r="5" spans="1:14">
      <c r="A5" s="118" t="s">
        <v>1183</v>
      </c>
    </row>
    <row r="6" spans="1:14">
      <c r="A6" s="118" t="s">
        <v>1023</v>
      </c>
    </row>
    <row r="7" spans="1:14">
      <c r="A7" s="118" t="s">
        <v>1024</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1184</v>
      </c>
      <c r="C11" s="113" t="s">
        <v>296</v>
      </c>
      <c r="D11" s="113">
        <v>35</v>
      </c>
      <c r="E11" s="113">
        <v>4</v>
      </c>
      <c r="F11" s="113" t="s">
        <v>298</v>
      </c>
      <c r="G11" s="113">
        <v>40</v>
      </c>
      <c r="H11" s="113">
        <v>150</v>
      </c>
      <c r="I11" s="113">
        <f t="shared" ref="I11:I18" si="0">IF(E11=0,0,ROUND((E11*(G11+H11)+N11)/60,1))</f>
        <v>12.7</v>
      </c>
      <c r="J11" s="114" t="s">
        <v>1185</v>
      </c>
      <c r="K11" s="114" t="s">
        <v>1186</v>
      </c>
      <c r="L11" s="113" t="s">
        <v>1027</v>
      </c>
      <c r="M11" s="113"/>
      <c r="N11" s="113"/>
    </row>
    <row r="12" spans="1:14" ht="30" customHeight="1">
      <c r="A12" s="113">
        <v>2</v>
      </c>
      <c r="B12" s="114" t="s">
        <v>479</v>
      </c>
      <c r="C12" s="113" t="s">
        <v>296</v>
      </c>
      <c r="D12" s="113">
        <v>45</v>
      </c>
      <c r="E12" s="113">
        <v>3</v>
      </c>
      <c r="F12" s="113" t="s">
        <v>298</v>
      </c>
      <c r="G12" s="113">
        <v>40</v>
      </c>
      <c r="H12" s="113">
        <v>150</v>
      </c>
      <c r="I12" s="113">
        <f t="shared" si="0"/>
        <v>9.5</v>
      </c>
      <c r="J12" s="114" t="s">
        <v>1187</v>
      </c>
      <c r="K12" s="114" t="s">
        <v>1188</v>
      </c>
      <c r="L12" s="113"/>
      <c r="M12" s="113"/>
      <c r="N12" s="113"/>
    </row>
    <row r="13" spans="1:14" ht="30" customHeight="1">
      <c r="A13" s="113">
        <v>3</v>
      </c>
      <c r="B13" s="114" t="s">
        <v>489</v>
      </c>
      <c r="C13" s="113" t="s">
        <v>296</v>
      </c>
      <c r="D13" s="113">
        <v>32</v>
      </c>
      <c r="E13" s="113">
        <v>3</v>
      </c>
      <c r="F13" s="113" t="s">
        <v>303</v>
      </c>
      <c r="G13" s="113">
        <v>40</v>
      </c>
      <c r="H13" s="113">
        <v>75</v>
      </c>
      <c r="I13" s="113">
        <f t="shared" si="0"/>
        <v>6.8</v>
      </c>
      <c r="J13" s="114" t="s">
        <v>1189</v>
      </c>
      <c r="K13" s="114" t="s">
        <v>1190</v>
      </c>
      <c r="L13" s="113"/>
      <c r="M13" s="113"/>
      <c r="N13" s="113">
        <v>60</v>
      </c>
    </row>
    <row r="14" spans="1:14" ht="30" customHeight="1">
      <c r="A14" s="113">
        <v>4</v>
      </c>
      <c r="B14" s="114" t="s">
        <v>498</v>
      </c>
      <c r="C14" s="113" t="s">
        <v>421</v>
      </c>
      <c r="D14" s="113">
        <v>15</v>
      </c>
      <c r="E14" s="113">
        <v>3</v>
      </c>
      <c r="F14" s="113" t="s">
        <v>364</v>
      </c>
      <c r="G14" s="113">
        <v>40</v>
      </c>
      <c r="H14" s="113">
        <v>90</v>
      </c>
      <c r="I14" s="113">
        <f t="shared" si="0"/>
        <v>6.5</v>
      </c>
      <c r="J14" s="114" t="s">
        <v>1191</v>
      </c>
      <c r="K14" s="114" t="s">
        <v>1192</v>
      </c>
      <c r="L14" s="113"/>
      <c r="M14" s="113"/>
      <c r="N14" s="113"/>
    </row>
    <row r="15" spans="1:14" ht="30" customHeight="1">
      <c r="A15" s="113">
        <v>5</v>
      </c>
      <c r="B15" s="114" t="s">
        <v>441</v>
      </c>
      <c r="C15" s="113" t="s">
        <v>351</v>
      </c>
      <c r="D15" s="113">
        <v>30</v>
      </c>
      <c r="E15" s="113">
        <v>4</v>
      </c>
      <c r="F15" s="113" t="s">
        <v>303</v>
      </c>
      <c r="G15" s="113">
        <v>40</v>
      </c>
      <c r="H15" s="113">
        <v>105</v>
      </c>
      <c r="I15" s="113">
        <f t="shared" si="0"/>
        <v>9.6999999999999993</v>
      </c>
      <c r="J15" s="114" t="s">
        <v>1193</v>
      </c>
      <c r="K15" s="114" t="s">
        <v>1194</v>
      </c>
      <c r="L15" s="113"/>
      <c r="M15" s="113"/>
      <c r="N15" s="113"/>
    </row>
    <row r="16" spans="1:14" ht="30" customHeight="1">
      <c r="A16" s="113">
        <v>6</v>
      </c>
      <c r="B16" s="114" t="s">
        <v>534</v>
      </c>
      <c r="C16" s="113" t="s">
        <v>351</v>
      </c>
      <c r="D16" s="113">
        <v>10</v>
      </c>
      <c r="E16" s="113">
        <v>4</v>
      </c>
      <c r="F16" s="113" t="s">
        <v>303</v>
      </c>
      <c r="G16" s="113">
        <v>40</v>
      </c>
      <c r="H16" s="113">
        <v>105</v>
      </c>
      <c r="I16" s="113">
        <f t="shared" si="0"/>
        <v>10.7</v>
      </c>
      <c r="J16" s="114" t="s">
        <v>1195</v>
      </c>
      <c r="K16" s="114" t="s">
        <v>1196</v>
      </c>
      <c r="L16" s="113"/>
      <c r="M16" s="113"/>
      <c r="N16" s="113">
        <v>60</v>
      </c>
    </row>
    <row r="17" spans="1:14" ht="30" customHeight="1">
      <c r="A17" s="113">
        <v>7</v>
      </c>
      <c r="B17" s="114" t="s">
        <v>1197</v>
      </c>
      <c r="C17" s="113" t="s">
        <v>359</v>
      </c>
      <c r="D17" s="113">
        <v>22</v>
      </c>
      <c r="E17" s="113">
        <v>3</v>
      </c>
      <c r="F17" s="113" t="s">
        <v>317</v>
      </c>
      <c r="G17" s="113">
        <v>40</v>
      </c>
      <c r="H17" s="113">
        <v>70</v>
      </c>
      <c r="I17" s="113">
        <f t="shared" si="0"/>
        <v>5.5</v>
      </c>
      <c r="J17" s="114" t="s">
        <v>1198</v>
      </c>
      <c r="K17" s="114" t="s">
        <v>1199</v>
      </c>
      <c r="L17" s="113"/>
      <c r="M17" s="113"/>
      <c r="N17" s="113"/>
    </row>
    <row r="18" spans="1:14" ht="30" customHeight="1">
      <c r="A18" s="113">
        <v>8</v>
      </c>
      <c r="B18" s="114" t="s">
        <v>1200</v>
      </c>
      <c r="C18" s="113" t="s">
        <v>283</v>
      </c>
      <c r="D18" s="113">
        <v>15</v>
      </c>
      <c r="E18" s="113">
        <v>3</v>
      </c>
      <c r="F18" s="113" t="s">
        <v>288</v>
      </c>
      <c r="G18" s="113">
        <v>40</v>
      </c>
      <c r="H18" s="113">
        <v>75</v>
      </c>
      <c r="I18" s="113">
        <f t="shared" si="0"/>
        <v>5.8</v>
      </c>
      <c r="J18" s="114" t="s">
        <v>1201</v>
      </c>
      <c r="K18" s="114" t="s">
        <v>1202</v>
      </c>
      <c r="L18" s="113"/>
      <c r="M18" s="113"/>
      <c r="N18" s="113"/>
    </row>
    <row r="19" spans="1:14">
      <c r="A19" s="115"/>
      <c r="B19" s="115"/>
      <c r="C19" s="115"/>
      <c r="D19" s="115" t="s">
        <v>335</v>
      </c>
      <c r="E19" s="115">
        <f>SUM(E11:E18)</f>
        <v>27</v>
      </c>
      <c r="F19" s="115"/>
      <c r="G19" s="115"/>
      <c r="H19" s="115"/>
      <c r="I19" s="115">
        <f>ROUND(SUM(I11:I18),0)</f>
        <v>67</v>
      </c>
    </row>
    <row r="21" spans="1:14">
      <c r="A21" s="107" t="s">
        <v>1203</v>
      </c>
    </row>
    <row r="22" spans="1:14">
      <c r="A22" s="116" t="s">
        <v>1204</v>
      </c>
    </row>
    <row r="23" spans="1:14">
      <c r="A23" s="116" t="s">
        <v>1205</v>
      </c>
    </row>
    <row r="24" spans="1:14">
      <c r="A24" s="116" t="s">
        <v>1206</v>
      </c>
    </row>
    <row r="26" spans="1:14">
      <c r="A26" s="107" t="s">
        <v>1207</v>
      </c>
    </row>
    <row r="27" spans="1:14">
      <c r="A27" s="116" t="s">
        <v>1208</v>
      </c>
    </row>
    <row r="28" spans="1:14">
      <c r="A28" s="116" t="s">
        <v>1209</v>
      </c>
    </row>
    <row r="29" spans="1:14">
      <c r="A29" s="116" t="s">
        <v>1210</v>
      </c>
    </row>
    <row r="31" spans="1:14">
      <c r="A31" s="107" t="s">
        <v>973</v>
      </c>
    </row>
    <row r="32" spans="1:14">
      <c r="A32" s="116" t="s">
        <v>1211</v>
      </c>
    </row>
    <row r="33" spans="1:3">
      <c r="A33" s="116" t="s">
        <v>1212</v>
      </c>
    </row>
    <row r="35" spans="1:3">
      <c r="A35" s="107" t="s">
        <v>1015</v>
      </c>
    </row>
    <row r="36" spans="1:3">
      <c r="A36" s="116" t="s">
        <v>1213</v>
      </c>
    </row>
    <row r="37" spans="1:3">
      <c r="A37" s="116" t="s">
        <v>1214</v>
      </c>
    </row>
    <row r="38" spans="1:3">
      <c r="A38" s="116" t="s">
        <v>1215</v>
      </c>
    </row>
    <row r="39" spans="1:3">
      <c r="A39" s="116" t="s">
        <v>1018</v>
      </c>
    </row>
    <row r="41" spans="1:3">
      <c r="C41" s="117" t="s">
        <v>1216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0" t="s">
        <v>2</v>
      </c>
      <c r="B4" s="110" t="s">
        <v>3</v>
      </c>
      <c r="C4" s="110" t="s">
        <v>4</v>
      </c>
      <c r="D4" s="110" t="s">
        <v>5</v>
      </c>
    </row>
    <row r="5" spans="1:4" ht="30" customHeight="1">
      <c r="A5" s="113" t="s">
        <v>6</v>
      </c>
      <c r="B5" s="120" t="s">
        <v>7</v>
      </c>
      <c r="C5" s="114" t="s">
        <v>7</v>
      </c>
      <c r="D5" s="114" t="s">
        <v>8</v>
      </c>
    </row>
    <row r="6" spans="1:4" ht="30" customHeight="1">
      <c r="A6" s="113" t="s">
        <v>9</v>
      </c>
      <c r="B6" s="120" t="s">
        <v>10</v>
      </c>
      <c r="C6" s="114" t="s">
        <v>11</v>
      </c>
      <c r="D6" s="114" t="s">
        <v>12</v>
      </c>
    </row>
    <row r="7" spans="1:4" ht="30" customHeight="1">
      <c r="A7" s="113" t="s">
        <v>13</v>
      </c>
      <c r="B7" s="120" t="s">
        <v>14</v>
      </c>
      <c r="C7" s="114" t="s">
        <v>15</v>
      </c>
      <c r="D7" s="114" t="s">
        <v>16</v>
      </c>
    </row>
    <row r="8" spans="1:4" ht="30" customHeight="1">
      <c r="A8" s="113" t="s">
        <v>17</v>
      </c>
      <c r="B8" s="120" t="s">
        <v>18</v>
      </c>
      <c r="C8" s="114" t="s">
        <v>19</v>
      </c>
      <c r="D8" s="114" t="s">
        <v>20</v>
      </c>
    </row>
    <row r="9" spans="1:4" ht="30" customHeight="1">
      <c r="A9" s="113" t="s">
        <v>21</v>
      </c>
      <c r="B9" s="120" t="s">
        <v>22</v>
      </c>
      <c r="C9" s="114" t="s">
        <v>23</v>
      </c>
      <c r="D9" s="114" t="s">
        <v>24</v>
      </c>
    </row>
    <row r="10" spans="1:4" ht="30" customHeight="1">
      <c r="A10" s="113" t="s">
        <v>25</v>
      </c>
      <c r="B10" s="120" t="s">
        <v>26</v>
      </c>
      <c r="C10" s="114" t="s">
        <v>27</v>
      </c>
      <c r="D10" s="114" t="s">
        <v>28</v>
      </c>
    </row>
    <row r="11" spans="1:4" ht="30" customHeight="1">
      <c r="A11" s="113" t="s">
        <v>29</v>
      </c>
      <c r="B11" s="120" t="s">
        <v>30</v>
      </c>
      <c r="C11" s="114" t="s">
        <v>31</v>
      </c>
      <c r="D11" s="114" t="s">
        <v>32</v>
      </c>
    </row>
    <row r="12" spans="1:4" ht="30" customHeight="1">
      <c r="A12" s="113" t="s">
        <v>33</v>
      </c>
      <c r="B12" s="120" t="s">
        <v>34</v>
      </c>
      <c r="C12" s="114" t="s">
        <v>34</v>
      </c>
      <c r="D12" s="114" t="s">
        <v>35</v>
      </c>
    </row>
    <row r="13" spans="1:4" ht="30" customHeight="1">
      <c r="A13" s="113" t="s">
        <v>36</v>
      </c>
      <c r="B13" s="120" t="s">
        <v>37</v>
      </c>
      <c r="C13" s="114" t="s">
        <v>38</v>
      </c>
      <c r="D13" s="114" t="s">
        <v>39</v>
      </c>
    </row>
    <row r="14" spans="1:4" ht="30" customHeight="1">
      <c r="A14" s="113" t="s">
        <v>40</v>
      </c>
      <c r="B14" s="120" t="s">
        <v>41</v>
      </c>
      <c r="C14" s="114" t="s">
        <v>42</v>
      </c>
      <c r="D14" s="114"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4"/>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1217</v>
      </c>
    </row>
    <row r="2" spans="1:8">
      <c r="A2" s="119" t="s">
        <v>1218</v>
      </c>
    </row>
    <row r="3" spans="1:8">
      <c r="A3" s="119" t="s">
        <v>649</v>
      </c>
      <c r="F3" s="107">
        <f ca="1">COUNTIF($E$7:$E$70,"?")</f>
        <v>0</v>
      </c>
    </row>
    <row r="4" spans="1:8">
      <c r="A4" s="119" t="s">
        <v>1219</v>
      </c>
    </row>
    <row r="6" spans="1:8">
      <c r="A6" s="110" t="s">
        <v>1220</v>
      </c>
      <c r="B6" s="110" t="s">
        <v>652</v>
      </c>
      <c r="C6" s="110" t="s">
        <v>653</v>
      </c>
      <c r="D6" s="110" t="s">
        <v>654</v>
      </c>
      <c r="E6" s="110" t="s">
        <v>655</v>
      </c>
      <c r="F6" s="110" t="s">
        <v>656</v>
      </c>
      <c r="G6" s="110" t="s">
        <v>657</v>
      </c>
      <c r="H6" s="110" t="s">
        <v>658</v>
      </c>
    </row>
    <row r="7" spans="1:8">
      <c r="A7" s="113" t="s">
        <v>1221</v>
      </c>
      <c r="B7" s="114" t="s">
        <v>97</v>
      </c>
      <c r="C7" s="113" t="s">
        <v>359</v>
      </c>
      <c r="D7" s="113">
        <v>0.5</v>
      </c>
      <c r="E7" s="113">
        <f t="shared" ref="E7:E38" ca="1" si="0">IFERROR(INDEX(INDIRECT("'"&amp;$A7&amp;"'!$E$1:$E$45"),MATCH($B7,INDIRECT("'"&amp;$A7&amp;"'!$B$1:$B$45"),0)),"?")</f>
        <v>5</v>
      </c>
      <c r="F7" s="113">
        <f t="shared" ref="F7:F38" ca="1" si="1">IF(ISNUMBER(E7),$D7*E7,0)</f>
        <v>2.5</v>
      </c>
      <c r="G7" s="113" t="s">
        <v>673</v>
      </c>
      <c r="H7" s="114" t="s">
        <v>1222</v>
      </c>
    </row>
    <row r="8" spans="1:8">
      <c r="A8" s="113" t="s">
        <v>1221</v>
      </c>
      <c r="B8" s="114" t="s">
        <v>531</v>
      </c>
      <c r="C8" s="113" t="s">
        <v>359</v>
      </c>
      <c r="D8" s="113">
        <v>0.5</v>
      </c>
      <c r="E8" s="113">
        <f t="shared" ca="1" si="0"/>
        <v>4</v>
      </c>
      <c r="F8" s="113">
        <f t="shared" ca="1" si="1"/>
        <v>2</v>
      </c>
      <c r="G8" s="113" t="s">
        <v>673</v>
      </c>
      <c r="H8" s="114" t="s">
        <v>1222</v>
      </c>
    </row>
    <row r="9" spans="1:8">
      <c r="A9" s="113" t="s">
        <v>1221</v>
      </c>
      <c r="B9" s="114" t="s">
        <v>357</v>
      </c>
      <c r="C9" s="113" t="s">
        <v>359</v>
      </c>
      <c r="D9" s="113">
        <v>0.5</v>
      </c>
      <c r="E9" s="113">
        <f t="shared" ca="1" si="0"/>
        <v>3</v>
      </c>
      <c r="F9" s="113">
        <f t="shared" ca="1" si="1"/>
        <v>1.5</v>
      </c>
      <c r="G9" s="113" t="s">
        <v>673</v>
      </c>
      <c r="H9" s="114" t="s">
        <v>1223</v>
      </c>
    </row>
    <row r="10" spans="1:8">
      <c r="A10" s="113" t="s">
        <v>1224</v>
      </c>
      <c r="B10" s="114" t="s">
        <v>522</v>
      </c>
      <c r="C10" s="113" t="s">
        <v>359</v>
      </c>
      <c r="D10" s="113">
        <v>0.5</v>
      </c>
      <c r="E10" s="113">
        <f t="shared" ca="1" si="0"/>
        <v>3</v>
      </c>
      <c r="F10" s="113">
        <f t="shared" ca="1" si="1"/>
        <v>1.5</v>
      </c>
      <c r="G10" s="113" t="s">
        <v>673</v>
      </c>
      <c r="H10" s="114" t="s">
        <v>1222</v>
      </c>
    </row>
    <row r="11" spans="1:8">
      <c r="A11" s="113" t="s">
        <v>1225</v>
      </c>
      <c r="B11" s="114" t="s">
        <v>1138</v>
      </c>
      <c r="C11" s="113" t="s">
        <v>359</v>
      </c>
      <c r="D11" s="113">
        <v>0.5</v>
      </c>
      <c r="E11" s="113">
        <f t="shared" ca="1" si="0"/>
        <v>3</v>
      </c>
      <c r="F11" s="113">
        <f t="shared" ca="1" si="1"/>
        <v>1.5</v>
      </c>
      <c r="G11" s="113" t="s">
        <v>673</v>
      </c>
      <c r="H11" s="114" t="s">
        <v>1222</v>
      </c>
    </row>
    <row r="12" spans="1:8" ht="25.5">
      <c r="A12" s="113" t="s">
        <v>1226</v>
      </c>
      <c r="B12" s="114" t="s">
        <v>280</v>
      </c>
      <c r="C12" s="113" t="s">
        <v>283</v>
      </c>
      <c r="D12" s="113">
        <v>0.5</v>
      </c>
      <c r="E12" s="113">
        <f t="shared" ca="1" si="0"/>
        <v>4</v>
      </c>
      <c r="F12" s="113">
        <f t="shared" ca="1" si="1"/>
        <v>2</v>
      </c>
      <c r="G12" s="113" t="s">
        <v>673</v>
      </c>
      <c r="H12" s="114" t="s">
        <v>1227</v>
      </c>
    </row>
    <row r="13" spans="1:8" ht="25.5">
      <c r="A13" s="113" t="s">
        <v>1226</v>
      </c>
      <c r="B13" s="114" t="s">
        <v>1031</v>
      </c>
      <c r="C13" s="113" t="s">
        <v>283</v>
      </c>
      <c r="D13" s="113">
        <v>0.5</v>
      </c>
      <c r="E13" s="113">
        <f t="shared" ca="1" si="0"/>
        <v>3</v>
      </c>
      <c r="F13" s="113">
        <f t="shared" ca="1" si="1"/>
        <v>1.5</v>
      </c>
      <c r="G13" s="113" t="s">
        <v>673</v>
      </c>
      <c r="H13" s="114" t="s">
        <v>1228</v>
      </c>
    </row>
    <row r="14" spans="1:8" ht="25.5">
      <c r="A14" s="113" t="s">
        <v>1226</v>
      </c>
      <c r="B14" s="114" t="s">
        <v>1028</v>
      </c>
      <c r="C14" s="113" t="s">
        <v>283</v>
      </c>
      <c r="D14" s="113">
        <v>0.2</v>
      </c>
      <c r="E14" s="113">
        <f t="shared" ca="1" si="0"/>
        <v>4</v>
      </c>
      <c r="F14" s="113">
        <f t="shared" ca="1" si="1"/>
        <v>0.8</v>
      </c>
      <c r="G14" s="113" t="s">
        <v>673</v>
      </c>
      <c r="H14" s="114" t="s">
        <v>1229</v>
      </c>
    </row>
    <row r="15" spans="1:8" ht="25.5">
      <c r="A15" s="113" t="s">
        <v>1226</v>
      </c>
      <c r="B15" s="114" t="s">
        <v>486</v>
      </c>
      <c r="C15" s="113" t="s">
        <v>283</v>
      </c>
      <c r="D15" s="113">
        <v>0.33</v>
      </c>
      <c r="E15" s="113">
        <f t="shared" ca="1" si="0"/>
        <v>3</v>
      </c>
      <c r="F15" s="113">
        <f t="shared" ca="1" si="1"/>
        <v>0.99</v>
      </c>
      <c r="G15" s="113" t="s">
        <v>673</v>
      </c>
      <c r="H15" s="114" t="s">
        <v>1230</v>
      </c>
    </row>
    <row r="16" spans="1:8" ht="25.5">
      <c r="A16" s="113" t="s">
        <v>1231</v>
      </c>
      <c r="B16" s="114" t="s">
        <v>1184</v>
      </c>
      <c r="C16" s="113" t="s">
        <v>283</v>
      </c>
      <c r="D16" s="113">
        <v>0.2</v>
      </c>
      <c r="E16" s="113">
        <f t="shared" ca="1" si="0"/>
        <v>4</v>
      </c>
      <c r="F16" s="113">
        <f t="shared" ca="1" si="1"/>
        <v>0.8</v>
      </c>
      <c r="G16" s="113" t="s">
        <v>673</v>
      </c>
      <c r="H16" s="114" t="s">
        <v>1232</v>
      </c>
    </row>
    <row r="17" spans="1:8" ht="38.25">
      <c r="A17" s="113" t="s">
        <v>1231</v>
      </c>
      <c r="B17" s="114" t="s">
        <v>479</v>
      </c>
      <c r="C17" s="113" t="s">
        <v>283</v>
      </c>
      <c r="D17" s="113">
        <v>0.2</v>
      </c>
      <c r="E17" s="113">
        <f t="shared" ca="1" si="0"/>
        <v>3</v>
      </c>
      <c r="F17" s="113">
        <f t="shared" ca="1" si="1"/>
        <v>0.60000000000000009</v>
      </c>
      <c r="G17" s="113" t="s">
        <v>673</v>
      </c>
      <c r="H17" s="114" t="s">
        <v>1233</v>
      </c>
    </row>
    <row r="18" spans="1:8">
      <c r="A18" s="113" t="s">
        <v>1221</v>
      </c>
      <c r="B18" s="114" t="s">
        <v>97</v>
      </c>
      <c r="C18" s="113" t="s">
        <v>443</v>
      </c>
      <c r="D18" s="113">
        <v>0.5</v>
      </c>
      <c r="E18" s="113">
        <f t="shared" ca="1" si="0"/>
        <v>5</v>
      </c>
      <c r="F18" s="113">
        <f t="shared" ca="1" si="1"/>
        <v>2.5</v>
      </c>
      <c r="G18" s="113" t="s">
        <v>673</v>
      </c>
      <c r="H18" s="114" t="s">
        <v>1234</v>
      </c>
    </row>
    <row r="19" spans="1:8">
      <c r="A19" s="113" t="s">
        <v>1221</v>
      </c>
      <c r="B19" s="114" t="s">
        <v>531</v>
      </c>
      <c r="C19" s="113" t="s">
        <v>443</v>
      </c>
      <c r="D19" s="113">
        <v>0.5</v>
      </c>
      <c r="E19" s="113">
        <f t="shared" ca="1" si="0"/>
        <v>4</v>
      </c>
      <c r="F19" s="113">
        <f t="shared" ca="1" si="1"/>
        <v>2</v>
      </c>
      <c r="G19" s="113" t="s">
        <v>673</v>
      </c>
      <c r="H19" s="114" t="s">
        <v>1235</v>
      </c>
    </row>
    <row r="20" spans="1:8">
      <c r="A20" s="113" t="s">
        <v>1221</v>
      </c>
      <c r="B20" s="114" t="s">
        <v>357</v>
      </c>
      <c r="C20" s="113" t="s">
        <v>443</v>
      </c>
      <c r="D20" s="113">
        <v>0.2</v>
      </c>
      <c r="E20" s="113">
        <f t="shared" ca="1" si="0"/>
        <v>3</v>
      </c>
      <c r="F20" s="113">
        <f t="shared" ca="1" si="1"/>
        <v>0.60000000000000009</v>
      </c>
      <c r="G20" s="113" t="s">
        <v>673</v>
      </c>
      <c r="H20" s="114" t="s">
        <v>1236</v>
      </c>
    </row>
    <row r="21" spans="1:8">
      <c r="A21" s="113" t="s">
        <v>1221</v>
      </c>
      <c r="B21" s="114" t="s">
        <v>600</v>
      </c>
      <c r="C21" s="113" t="s">
        <v>443</v>
      </c>
      <c r="D21" s="113">
        <v>0.2</v>
      </c>
      <c r="E21" s="113">
        <f t="shared" ca="1" si="0"/>
        <v>4</v>
      </c>
      <c r="F21" s="113">
        <f t="shared" ca="1" si="1"/>
        <v>0.8</v>
      </c>
      <c r="G21" s="113" t="s">
        <v>673</v>
      </c>
      <c r="H21" s="114" t="s">
        <v>1237</v>
      </c>
    </row>
    <row r="22" spans="1:8">
      <c r="A22" s="113" t="s">
        <v>1231</v>
      </c>
      <c r="B22" s="114" t="s">
        <v>441</v>
      </c>
      <c r="C22" s="113" t="s">
        <v>443</v>
      </c>
      <c r="D22" s="113">
        <v>0.2</v>
      </c>
      <c r="E22" s="113">
        <f t="shared" ca="1" si="0"/>
        <v>4</v>
      </c>
      <c r="F22" s="113">
        <f t="shared" ca="1" si="1"/>
        <v>0.8</v>
      </c>
      <c r="G22" s="113" t="s">
        <v>673</v>
      </c>
      <c r="H22" s="114" t="s">
        <v>1238</v>
      </c>
    </row>
    <row r="23" spans="1:8">
      <c r="A23" s="113" t="s">
        <v>1225</v>
      </c>
      <c r="B23" s="114" t="s">
        <v>1138</v>
      </c>
      <c r="C23" s="113" t="s">
        <v>368</v>
      </c>
      <c r="D23" s="113">
        <v>0.5</v>
      </c>
      <c r="E23" s="113">
        <f t="shared" ca="1" si="0"/>
        <v>3</v>
      </c>
      <c r="F23" s="113">
        <f t="shared" ca="1" si="1"/>
        <v>1.5</v>
      </c>
      <c r="G23" s="113" t="s">
        <v>673</v>
      </c>
      <c r="H23" s="114" t="s">
        <v>1239</v>
      </c>
    </row>
    <row r="24" spans="1:8" ht="25.5">
      <c r="A24" s="113" t="s">
        <v>1225</v>
      </c>
      <c r="B24" s="114" t="s">
        <v>1133</v>
      </c>
      <c r="C24" s="113" t="s">
        <v>383</v>
      </c>
      <c r="D24" s="113">
        <v>0.33</v>
      </c>
      <c r="E24" s="113">
        <f t="shared" ca="1" si="0"/>
        <v>4</v>
      </c>
      <c r="F24" s="113">
        <f t="shared" ca="1" si="1"/>
        <v>1.32</v>
      </c>
      <c r="G24" s="113" t="s">
        <v>673</v>
      </c>
      <c r="H24" s="114" t="s">
        <v>1240</v>
      </c>
    </row>
    <row r="25" spans="1:8" ht="25.5">
      <c r="A25" s="113" t="s">
        <v>1231</v>
      </c>
      <c r="B25" s="114" t="s">
        <v>1184</v>
      </c>
      <c r="C25" s="113" t="s">
        <v>281</v>
      </c>
      <c r="D25" s="113">
        <v>0.5</v>
      </c>
      <c r="E25" s="113">
        <f t="shared" ca="1" si="0"/>
        <v>4</v>
      </c>
      <c r="F25" s="113">
        <f t="shared" ca="1" si="1"/>
        <v>2</v>
      </c>
      <c r="G25" s="113" t="s">
        <v>673</v>
      </c>
      <c r="H25" s="114" t="s">
        <v>1241</v>
      </c>
    </row>
    <row r="26" spans="1:8" ht="25.5">
      <c r="A26" s="113" t="s">
        <v>1231</v>
      </c>
      <c r="B26" s="114" t="s">
        <v>479</v>
      </c>
      <c r="C26" s="113" t="s">
        <v>281</v>
      </c>
      <c r="D26" s="113">
        <v>0.5</v>
      </c>
      <c r="E26" s="113">
        <f t="shared" ca="1" si="0"/>
        <v>3</v>
      </c>
      <c r="F26" s="113">
        <f t="shared" ca="1" si="1"/>
        <v>1.5</v>
      </c>
      <c r="G26" s="113" t="s">
        <v>673</v>
      </c>
      <c r="H26" s="114" t="s">
        <v>1241</v>
      </c>
    </row>
    <row r="27" spans="1:8">
      <c r="A27" s="113" t="s">
        <v>1225</v>
      </c>
      <c r="B27" s="114" t="s">
        <v>95</v>
      </c>
      <c r="C27" s="113" t="s">
        <v>281</v>
      </c>
      <c r="D27" s="113">
        <v>0</v>
      </c>
      <c r="E27" s="113">
        <f t="shared" ca="1" si="0"/>
        <v>1</v>
      </c>
      <c r="F27" s="113">
        <f t="shared" ca="1" si="1"/>
        <v>0</v>
      </c>
      <c r="G27" s="113" t="s">
        <v>673</v>
      </c>
      <c r="H27" s="114" t="s">
        <v>1242</v>
      </c>
    </row>
    <row r="28" spans="1:8">
      <c r="A28" s="113" t="s">
        <v>1225</v>
      </c>
      <c r="B28" s="114" t="s">
        <v>1138</v>
      </c>
      <c r="C28" s="113" t="s">
        <v>421</v>
      </c>
      <c r="D28" s="113">
        <v>0.2</v>
      </c>
      <c r="E28" s="113">
        <f t="shared" ca="1" si="0"/>
        <v>3</v>
      </c>
      <c r="F28" s="113">
        <f t="shared" ca="1" si="1"/>
        <v>0.60000000000000009</v>
      </c>
      <c r="G28" s="113" t="s">
        <v>673</v>
      </c>
      <c r="H28" s="114" t="s">
        <v>1243</v>
      </c>
    </row>
    <row r="29" spans="1:8">
      <c r="A29" s="113" t="s">
        <v>1231</v>
      </c>
      <c r="B29" s="114" t="s">
        <v>1184</v>
      </c>
      <c r="C29" s="113" t="s">
        <v>421</v>
      </c>
      <c r="D29" s="113">
        <v>0.2</v>
      </c>
      <c r="E29" s="113">
        <f t="shared" ca="1" si="0"/>
        <v>4</v>
      </c>
      <c r="F29" s="113">
        <f t="shared" ca="1" si="1"/>
        <v>0.8</v>
      </c>
      <c r="G29" s="113" t="s">
        <v>673</v>
      </c>
      <c r="H29" s="114" t="s">
        <v>1244</v>
      </c>
    </row>
    <row r="30" spans="1:8">
      <c r="A30" s="113" t="s">
        <v>1225</v>
      </c>
      <c r="B30" s="114" t="s">
        <v>95</v>
      </c>
      <c r="C30" s="113" t="s">
        <v>421</v>
      </c>
      <c r="D30" s="113">
        <v>0.2</v>
      </c>
      <c r="E30" s="113">
        <f t="shared" ca="1" si="0"/>
        <v>1</v>
      </c>
      <c r="F30" s="113">
        <f t="shared" ca="1" si="1"/>
        <v>0.2</v>
      </c>
      <c r="G30" s="113" t="s">
        <v>673</v>
      </c>
      <c r="H30" s="114" t="s">
        <v>1245</v>
      </c>
    </row>
    <row r="31" spans="1:8">
      <c r="A31" s="113" t="s">
        <v>1226</v>
      </c>
      <c r="B31" s="114" t="s">
        <v>280</v>
      </c>
      <c r="C31" s="113" t="s">
        <v>432</v>
      </c>
      <c r="D31" s="113">
        <v>0.2</v>
      </c>
      <c r="E31" s="113">
        <f t="shared" ca="1" si="0"/>
        <v>4</v>
      </c>
      <c r="F31" s="113">
        <f t="shared" ca="1" si="1"/>
        <v>0.8</v>
      </c>
      <c r="G31" s="113" t="s">
        <v>673</v>
      </c>
      <c r="H31" s="114" t="s">
        <v>1246</v>
      </c>
    </row>
    <row r="32" spans="1:8">
      <c r="A32" s="113" t="s">
        <v>1226</v>
      </c>
      <c r="B32" s="114" t="s">
        <v>1031</v>
      </c>
      <c r="C32" s="113" t="s">
        <v>432</v>
      </c>
      <c r="D32" s="113">
        <v>0.2</v>
      </c>
      <c r="E32" s="113">
        <f t="shared" ca="1" si="0"/>
        <v>3</v>
      </c>
      <c r="F32" s="113">
        <f t="shared" ca="1" si="1"/>
        <v>0.60000000000000009</v>
      </c>
      <c r="G32" s="113" t="s">
        <v>673</v>
      </c>
      <c r="H32" s="114" t="s">
        <v>1247</v>
      </c>
    </row>
    <row r="33" spans="1:8">
      <c r="A33" s="113" t="s">
        <v>1226</v>
      </c>
      <c r="B33" s="114" t="s">
        <v>1028</v>
      </c>
      <c r="C33" s="113" t="s">
        <v>432</v>
      </c>
      <c r="D33" s="113">
        <v>0.2</v>
      </c>
      <c r="E33" s="113">
        <f t="shared" ca="1" si="0"/>
        <v>4</v>
      </c>
      <c r="F33" s="113">
        <f t="shared" ca="1" si="1"/>
        <v>0.8</v>
      </c>
      <c r="G33" s="113" t="s">
        <v>673</v>
      </c>
      <c r="H33" s="114" t="s">
        <v>1248</v>
      </c>
    </row>
    <row r="34" spans="1:8">
      <c r="A34" s="113" t="s">
        <v>1221</v>
      </c>
      <c r="B34" s="114" t="s">
        <v>424</v>
      </c>
      <c r="C34" s="113" t="s">
        <v>296</v>
      </c>
      <c r="D34" s="113">
        <v>0.5</v>
      </c>
      <c r="E34" s="113">
        <f t="shared" ca="1" si="0"/>
        <v>3</v>
      </c>
      <c r="F34" s="113">
        <f t="shared" ca="1" si="1"/>
        <v>1.5</v>
      </c>
      <c r="G34" s="113" t="s">
        <v>673</v>
      </c>
      <c r="H34" s="114" t="s">
        <v>1249</v>
      </c>
    </row>
    <row r="35" spans="1:8">
      <c r="A35" s="113" t="s">
        <v>1225</v>
      </c>
      <c r="B35" s="114" t="s">
        <v>537</v>
      </c>
      <c r="C35" s="113" t="s">
        <v>296</v>
      </c>
      <c r="D35" s="113">
        <v>0.33</v>
      </c>
      <c r="E35" s="113">
        <f t="shared" ca="1" si="0"/>
        <v>3</v>
      </c>
      <c r="F35" s="113">
        <f t="shared" ca="1" si="1"/>
        <v>0.99</v>
      </c>
      <c r="G35" s="113" t="s">
        <v>673</v>
      </c>
      <c r="H35" s="114" t="s">
        <v>1250</v>
      </c>
    </row>
    <row r="36" spans="1:8">
      <c r="A36" s="113" t="s">
        <v>1224</v>
      </c>
      <c r="B36" s="114" t="s">
        <v>994</v>
      </c>
      <c r="C36" s="113" t="s">
        <v>296</v>
      </c>
      <c r="D36" s="113">
        <v>0.33</v>
      </c>
      <c r="E36" s="113">
        <f t="shared" ca="1" si="0"/>
        <v>4</v>
      </c>
      <c r="F36" s="113">
        <f t="shared" ca="1" si="1"/>
        <v>1.32</v>
      </c>
      <c r="G36" s="113" t="s">
        <v>673</v>
      </c>
      <c r="H36" s="114" t="s">
        <v>1250</v>
      </c>
    </row>
    <row r="37" spans="1:8">
      <c r="A37" s="113" t="s">
        <v>1226</v>
      </c>
      <c r="B37" s="114" t="s">
        <v>486</v>
      </c>
      <c r="C37" s="113" t="s">
        <v>296</v>
      </c>
      <c r="D37" s="113">
        <v>0.5</v>
      </c>
      <c r="E37" s="113">
        <f t="shared" ca="1" si="0"/>
        <v>3</v>
      </c>
      <c r="F37" s="113">
        <f t="shared" ca="1" si="1"/>
        <v>1.5</v>
      </c>
      <c r="G37" s="113" t="s">
        <v>673</v>
      </c>
      <c r="H37" s="114" t="s">
        <v>1251</v>
      </c>
    </row>
    <row r="38" spans="1:8">
      <c r="A38" s="113" t="s">
        <v>1224</v>
      </c>
      <c r="B38" s="114" t="s">
        <v>93</v>
      </c>
      <c r="C38" s="113" t="s">
        <v>327</v>
      </c>
      <c r="D38" s="113">
        <v>0.2</v>
      </c>
      <c r="E38" s="113">
        <f t="shared" ca="1" si="0"/>
        <v>5</v>
      </c>
      <c r="F38" s="113">
        <f t="shared" ca="1" si="1"/>
        <v>1</v>
      </c>
      <c r="G38" s="113" t="s">
        <v>673</v>
      </c>
      <c r="H38" s="114" t="s">
        <v>1252</v>
      </c>
    </row>
    <row r="39" spans="1:8">
      <c r="A39" s="113" t="s">
        <v>1231</v>
      </c>
      <c r="B39" s="114" t="s">
        <v>1184</v>
      </c>
      <c r="C39" s="113" t="s">
        <v>327</v>
      </c>
      <c r="D39" s="113">
        <v>0.2</v>
      </c>
      <c r="E39" s="113">
        <f t="shared" ref="E39:E64" ca="1" si="2">IFERROR(INDEX(INDIRECT("'"&amp;$A39&amp;"'!$E$1:$E$45"),MATCH($B39,INDIRECT("'"&amp;$A39&amp;"'!$B$1:$B$45"),0)),"?")</f>
        <v>4</v>
      </c>
      <c r="F39" s="113">
        <f t="shared" ref="F39:F70" ca="1" si="3">IF(ISNUMBER(E39),$D39*E39,0)</f>
        <v>0.8</v>
      </c>
      <c r="G39" s="113" t="s">
        <v>673</v>
      </c>
      <c r="H39" s="114" t="s">
        <v>1253</v>
      </c>
    </row>
    <row r="40" spans="1:8">
      <c r="A40" s="113" t="s">
        <v>1226</v>
      </c>
      <c r="B40" s="114" t="s">
        <v>431</v>
      </c>
      <c r="C40" s="113" t="s">
        <v>327</v>
      </c>
      <c r="D40" s="113">
        <v>0.2</v>
      </c>
      <c r="E40" s="113">
        <f t="shared" ca="1" si="2"/>
        <v>3</v>
      </c>
      <c r="F40" s="113">
        <f t="shared" ca="1" si="3"/>
        <v>0.60000000000000009</v>
      </c>
      <c r="G40" s="113" t="s">
        <v>673</v>
      </c>
      <c r="H40" s="114" t="s">
        <v>1254</v>
      </c>
    </row>
    <row r="41" spans="1:8">
      <c r="A41" s="113" t="s">
        <v>1225</v>
      </c>
      <c r="B41" s="114" t="s">
        <v>573</v>
      </c>
      <c r="C41" s="113" t="s">
        <v>327</v>
      </c>
      <c r="D41" s="113">
        <v>0.2</v>
      </c>
      <c r="E41" s="113">
        <f t="shared" ca="1" si="2"/>
        <v>3</v>
      </c>
      <c r="F41" s="113">
        <f t="shared" ca="1" si="3"/>
        <v>0.60000000000000009</v>
      </c>
      <c r="G41" s="113" t="s">
        <v>673</v>
      </c>
      <c r="H41" s="114" t="s">
        <v>1255</v>
      </c>
    </row>
    <row r="42" spans="1:8">
      <c r="A42" s="113" t="s">
        <v>1231</v>
      </c>
      <c r="B42" s="114" t="s">
        <v>498</v>
      </c>
      <c r="C42" s="113" t="s">
        <v>327</v>
      </c>
      <c r="D42" s="113">
        <v>0.2</v>
      </c>
      <c r="E42" s="113">
        <f t="shared" ca="1" si="2"/>
        <v>3</v>
      </c>
      <c r="F42" s="113">
        <f t="shared" ca="1" si="3"/>
        <v>0.60000000000000009</v>
      </c>
      <c r="G42" s="113" t="s">
        <v>673</v>
      </c>
      <c r="H42" s="114" t="s">
        <v>1256</v>
      </c>
    </row>
    <row r="43" spans="1:8">
      <c r="A43" s="113" t="s">
        <v>1224</v>
      </c>
      <c r="B43" s="114" t="s">
        <v>93</v>
      </c>
      <c r="C43" s="113" t="s">
        <v>389</v>
      </c>
      <c r="D43" s="113">
        <v>0.5</v>
      </c>
      <c r="E43" s="113">
        <f t="shared" ca="1" si="2"/>
        <v>5</v>
      </c>
      <c r="F43" s="113">
        <f t="shared" ca="1" si="3"/>
        <v>2.5</v>
      </c>
      <c r="G43" s="113" t="s">
        <v>673</v>
      </c>
      <c r="H43" s="114" t="s">
        <v>695</v>
      </c>
    </row>
    <row r="44" spans="1:8">
      <c r="A44" s="113" t="s">
        <v>1225</v>
      </c>
      <c r="B44" s="114" t="s">
        <v>95</v>
      </c>
      <c r="C44" s="113" t="s">
        <v>389</v>
      </c>
      <c r="D44" s="113">
        <v>0.5</v>
      </c>
      <c r="E44" s="113">
        <f t="shared" ca="1" si="2"/>
        <v>1</v>
      </c>
      <c r="F44" s="113">
        <f t="shared" ca="1" si="3"/>
        <v>0.5</v>
      </c>
      <c r="G44" s="113" t="s">
        <v>673</v>
      </c>
      <c r="H44" s="114" t="s">
        <v>1257</v>
      </c>
    </row>
    <row r="45" spans="1:8">
      <c r="A45" s="113" t="s">
        <v>1225</v>
      </c>
      <c r="B45" s="114" t="s">
        <v>1127</v>
      </c>
      <c r="C45" s="113" t="s">
        <v>389</v>
      </c>
      <c r="D45" s="113">
        <v>0.5</v>
      </c>
      <c r="E45" s="113">
        <f t="shared" ca="1" si="2"/>
        <v>2</v>
      </c>
      <c r="F45" s="113">
        <f t="shared" ca="1" si="3"/>
        <v>1</v>
      </c>
      <c r="G45" s="113" t="s">
        <v>673</v>
      </c>
      <c r="H45" s="114" t="s">
        <v>1258</v>
      </c>
    </row>
    <row r="46" spans="1:8">
      <c r="A46" s="113" t="s">
        <v>1224</v>
      </c>
      <c r="B46" s="114" t="s">
        <v>388</v>
      </c>
      <c r="C46" s="113" t="s">
        <v>389</v>
      </c>
      <c r="D46" s="113">
        <v>0.33</v>
      </c>
      <c r="E46" s="113">
        <f t="shared" ca="1" si="2"/>
        <v>4</v>
      </c>
      <c r="F46" s="113">
        <f t="shared" ca="1" si="3"/>
        <v>1.32</v>
      </c>
      <c r="G46" s="113" t="s">
        <v>673</v>
      </c>
      <c r="H46" s="114" t="s">
        <v>696</v>
      </c>
    </row>
    <row r="47" spans="1:8">
      <c r="A47" s="113" t="s">
        <v>1225</v>
      </c>
      <c r="B47" s="114" t="s">
        <v>573</v>
      </c>
      <c r="C47" s="113" t="s">
        <v>389</v>
      </c>
      <c r="D47" s="113">
        <v>0.5</v>
      </c>
      <c r="E47" s="113">
        <f t="shared" ca="1" si="2"/>
        <v>3</v>
      </c>
      <c r="F47" s="113">
        <f t="shared" ca="1" si="3"/>
        <v>1.5</v>
      </c>
      <c r="G47" s="113" t="s">
        <v>673</v>
      </c>
      <c r="H47" s="114" t="s">
        <v>1259</v>
      </c>
    </row>
    <row r="48" spans="1:8">
      <c r="A48" s="113" t="s">
        <v>1225</v>
      </c>
      <c r="B48" s="114" t="s">
        <v>570</v>
      </c>
      <c r="C48" s="113" t="s">
        <v>398</v>
      </c>
      <c r="D48" s="113">
        <v>0.5</v>
      </c>
      <c r="E48" s="113">
        <f t="shared" ca="1" si="2"/>
        <v>3</v>
      </c>
      <c r="F48" s="113">
        <f t="shared" ca="1" si="3"/>
        <v>1.5</v>
      </c>
      <c r="G48" s="113" t="s">
        <v>673</v>
      </c>
      <c r="H48" s="114" t="s">
        <v>1260</v>
      </c>
    </row>
    <row r="49" spans="1:8">
      <c r="A49" s="113" t="s">
        <v>1225</v>
      </c>
      <c r="B49" s="114" t="s">
        <v>95</v>
      </c>
      <c r="C49" s="113" t="s">
        <v>398</v>
      </c>
      <c r="D49" s="113">
        <v>0.5</v>
      </c>
      <c r="E49" s="113">
        <f t="shared" ca="1" si="2"/>
        <v>1</v>
      </c>
      <c r="F49" s="113">
        <f t="shared" ca="1" si="3"/>
        <v>0.5</v>
      </c>
      <c r="G49" s="113" t="s">
        <v>673</v>
      </c>
      <c r="H49" s="114" t="s">
        <v>1261</v>
      </c>
    </row>
    <row r="50" spans="1:8">
      <c r="A50" s="113" t="s">
        <v>1225</v>
      </c>
      <c r="B50" s="114" t="s">
        <v>1127</v>
      </c>
      <c r="C50" s="113" t="s">
        <v>398</v>
      </c>
      <c r="D50" s="113">
        <v>0.5</v>
      </c>
      <c r="E50" s="113">
        <f t="shared" ca="1" si="2"/>
        <v>2</v>
      </c>
      <c r="F50" s="113">
        <f t="shared" ca="1" si="3"/>
        <v>1</v>
      </c>
      <c r="G50" s="113" t="s">
        <v>673</v>
      </c>
      <c r="H50" s="114" t="s">
        <v>1262</v>
      </c>
    </row>
    <row r="51" spans="1:8" ht="51">
      <c r="A51" s="113" t="s">
        <v>1225</v>
      </c>
      <c r="B51" s="114" t="s">
        <v>1133</v>
      </c>
      <c r="C51" s="113" t="s">
        <v>398</v>
      </c>
      <c r="D51" s="113">
        <v>0.2</v>
      </c>
      <c r="E51" s="113">
        <f t="shared" ca="1" si="2"/>
        <v>4</v>
      </c>
      <c r="F51" s="113">
        <f t="shared" ca="1" si="3"/>
        <v>0.8</v>
      </c>
      <c r="G51" s="113" t="s">
        <v>673</v>
      </c>
      <c r="H51" s="114" t="s">
        <v>1263</v>
      </c>
    </row>
    <row r="52" spans="1:8">
      <c r="A52" s="113" t="s">
        <v>1224</v>
      </c>
      <c r="B52" s="114" t="s">
        <v>93</v>
      </c>
      <c r="C52" s="113" t="s">
        <v>402</v>
      </c>
      <c r="D52" s="113">
        <v>0.2</v>
      </c>
      <c r="E52" s="113">
        <f t="shared" ca="1" si="2"/>
        <v>5</v>
      </c>
      <c r="F52" s="113">
        <f t="shared" ca="1" si="3"/>
        <v>1</v>
      </c>
      <c r="G52" s="113" t="s">
        <v>673</v>
      </c>
      <c r="H52" s="114" t="s">
        <v>1264</v>
      </c>
    </row>
    <row r="53" spans="1:8">
      <c r="A53" s="113" t="s">
        <v>1224</v>
      </c>
      <c r="B53" s="114" t="s">
        <v>388</v>
      </c>
      <c r="C53" s="113" t="s">
        <v>402</v>
      </c>
      <c r="D53" s="113">
        <v>0.2</v>
      </c>
      <c r="E53" s="113">
        <f t="shared" ca="1" si="2"/>
        <v>4</v>
      </c>
      <c r="F53" s="113">
        <f t="shared" ca="1" si="3"/>
        <v>0.8</v>
      </c>
      <c r="G53" s="113" t="s">
        <v>673</v>
      </c>
      <c r="H53" s="114" t="s">
        <v>1264</v>
      </c>
    </row>
    <row r="54" spans="1:8" ht="25.5">
      <c r="A54" s="113" t="s">
        <v>1225</v>
      </c>
      <c r="B54" s="114" t="s">
        <v>1133</v>
      </c>
      <c r="C54" s="113" t="s">
        <v>402</v>
      </c>
      <c r="D54" s="113">
        <v>0.2</v>
      </c>
      <c r="E54" s="113">
        <f t="shared" ca="1" si="2"/>
        <v>4</v>
      </c>
      <c r="F54" s="113">
        <f t="shared" ca="1" si="3"/>
        <v>0.8</v>
      </c>
      <c r="G54" s="113" t="s">
        <v>673</v>
      </c>
      <c r="H54" s="114" t="s">
        <v>1265</v>
      </c>
    </row>
    <row r="55" spans="1:8">
      <c r="A55" s="113" t="s">
        <v>1226</v>
      </c>
      <c r="B55" s="114" t="s">
        <v>495</v>
      </c>
      <c r="C55" s="113" t="s">
        <v>309</v>
      </c>
      <c r="D55" s="113">
        <v>0.33</v>
      </c>
      <c r="E55" s="113">
        <f t="shared" ca="1" si="2"/>
        <v>3</v>
      </c>
      <c r="F55" s="113">
        <f t="shared" ca="1" si="3"/>
        <v>0.99</v>
      </c>
      <c r="G55" s="113" t="s">
        <v>673</v>
      </c>
      <c r="H55" s="114" t="s">
        <v>676</v>
      </c>
    </row>
    <row r="56" spans="1:8">
      <c r="A56" s="113" t="s">
        <v>1266</v>
      </c>
      <c r="B56" s="114" t="s">
        <v>605</v>
      </c>
      <c r="C56" s="113" t="s">
        <v>309</v>
      </c>
      <c r="D56" s="113">
        <v>0.33</v>
      </c>
      <c r="E56" s="113">
        <f t="shared" ca="1" si="2"/>
        <v>3</v>
      </c>
      <c r="F56" s="113">
        <f t="shared" ca="1" si="3"/>
        <v>0.99</v>
      </c>
      <c r="G56" s="113" t="s">
        <v>673</v>
      </c>
      <c r="H56" s="114" t="s">
        <v>676</v>
      </c>
    </row>
    <row r="57" spans="1:8">
      <c r="A57" s="113" t="s">
        <v>1231</v>
      </c>
      <c r="B57" s="114" t="s">
        <v>1200</v>
      </c>
      <c r="C57" s="113" t="s">
        <v>309</v>
      </c>
      <c r="D57" s="113">
        <v>0.33</v>
      </c>
      <c r="E57" s="113">
        <f t="shared" ca="1" si="2"/>
        <v>3</v>
      </c>
      <c r="F57" s="113">
        <f t="shared" ca="1" si="3"/>
        <v>0.99</v>
      </c>
      <c r="G57" s="113" t="s">
        <v>673</v>
      </c>
      <c r="H57" s="114" t="s">
        <v>1267</v>
      </c>
    </row>
    <row r="58" spans="1:8">
      <c r="A58" s="113" t="s">
        <v>1221</v>
      </c>
      <c r="B58" s="114" t="s">
        <v>97</v>
      </c>
      <c r="C58" s="113" t="s">
        <v>363</v>
      </c>
      <c r="D58" s="113">
        <v>0.2</v>
      </c>
      <c r="E58" s="113">
        <f t="shared" ca="1" si="2"/>
        <v>5</v>
      </c>
      <c r="F58" s="113">
        <f t="shared" ca="1" si="3"/>
        <v>1</v>
      </c>
      <c r="G58" s="113" t="s">
        <v>673</v>
      </c>
      <c r="H58" s="114" t="s">
        <v>1268</v>
      </c>
    </row>
    <row r="59" spans="1:8">
      <c r="A59" s="113" t="s">
        <v>1231</v>
      </c>
      <c r="B59" s="114" t="s">
        <v>441</v>
      </c>
      <c r="C59" s="113" t="s">
        <v>363</v>
      </c>
      <c r="D59" s="113">
        <v>0.2</v>
      </c>
      <c r="E59" s="113">
        <f t="shared" ca="1" si="2"/>
        <v>4</v>
      </c>
      <c r="F59" s="113">
        <f t="shared" ca="1" si="3"/>
        <v>0.8</v>
      </c>
      <c r="G59" s="113" t="s">
        <v>673</v>
      </c>
      <c r="H59" s="114" t="s">
        <v>1269</v>
      </c>
    </row>
    <row r="60" spans="1:8">
      <c r="A60" s="113" t="s">
        <v>1221</v>
      </c>
      <c r="B60" s="114" t="s">
        <v>531</v>
      </c>
      <c r="C60" s="113" t="s">
        <v>351</v>
      </c>
      <c r="D60" s="113">
        <v>0.2</v>
      </c>
      <c r="E60" s="113">
        <f t="shared" ca="1" si="2"/>
        <v>4</v>
      </c>
      <c r="F60" s="113">
        <f t="shared" ca="1" si="3"/>
        <v>0.8</v>
      </c>
      <c r="G60" s="113" t="s">
        <v>673</v>
      </c>
      <c r="H60" s="114" t="s">
        <v>1270</v>
      </c>
    </row>
    <row r="61" spans="1:8">
      <c r="A61" s="113" t="s">
        <v>1221</v>
      </c>
      <c r="B61" s="114" t="s">
        <v>600</v>
      </c>
      <c r="C61" s="113" t="s">
        <v>351</v>
      </c>
      <c r="D61" s="113">
        <v>0.2</v>
      </c>
      <c r="E61" s="113">
        <f t="shared" ca="1" si="2"/>
        <v>4</v>
      </c>
      <c r="F61" s="113">
        <f t="shared" ca="1" si="3"/>
        <v>0.8</v>
      </c>
      <c r="G61" s="113" t="s">
        <v>673</v>
      </c>
      <c r="H61" s="114" t="s">
        <v>1270</v>
      </c>
    </row>
    <row r="62" spans="1:8">
      <c r="A62" s="113" t="s">
        <v>1224</v>
      </c>
      <c r="B62" s="114" t="s">
        <v>93</v>
      </c>
      <c r="C62" s="113" t="s">
        <v>313</v>
      </c>
      <c r="D62" s="113">
        <v>0</v>
      </c>
      <c r="E62" s="113">
        <f t="shared" ca="1" si="2"/>
        <v>5</v>
      </c>
      <c r="F62" s="113">
        <f t="shared" ca="1" si="3"/>
        <v>0</v>
      </c>
      <c r="G62" s="113" t="s">
        <v>673</v>
      </c>
      <c r="H62" s="114" t="s">
        <v>1271</v>
      </c>
    </row>
    <row r="63" spans="1:8">
      <c r="A63" s="113" t="s">
        <v>1224</v>
      </c>
      <c r="B63" s="114" t="s">
        <v>502</v>
      </c>
      <c r="C63" s="113" t="s">
        <v>322</v>
      </c>
      <c r="D63" s="113">
        <v>0</v>
      </c>
      <c r="E63" s="113">
        <f t="shared" ca="1" si="2"/>
        <v>3</v>
      </c>
      <c r="F63" s="113">
        <f t="shared" ca="1" si="3"/>
        <v>0</v>
      </c>
      <c r="G63" s="113" t="s">
        <v>673</v>
      </c>
      <c r="H63" s="114" t="s">
        <v>1272</v>
      </c>
    </row>
    <row r="64" spans="1:8" ht="25.5">
      <c r="A64" s="113" t="s">
        <v>1266</v>
      </c>
      <c r="B64" s="114" t="s">
        <v>1099</v>
      </c>
      <c r="C64" s="113" t="s">
        <v>939</v>
      </c>
      <c r="D64" s="113">
        <v>0</v>
      </c>
      <c r="E64" s="113">
        <f t="shared" ca="1" si="2"/>
        <v>3</v>
      </c>
      <c r="F64" s="113">
        <f t="shared" ca="1" si="3"/>
        <v>0</v>
      </c>
      <c r="G64" s="113" t="s">
        <v>673</v>
      </c>
      <c r="H64" s="114" t="s">
        <v>1273</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56"/>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1274</v>
      </c>
    </row>
    <row r="2" spans="1:9">
      <c r="A2" s="119" t="s">
        <v>1275</v>
      </c>
    </row>
    <row r="4" spans="1:9">
      <c r="A4" s="110" t="s">
        <v>268</v>
      </c>
      <c r="B4" s="110" t="s">
        <v>746</v>
      </c>
      <c r="C4" s="110" t="s">
        <v>747</v>
      </c>
      <c r="D4" s="110" t="s">
        <v>748</v>
      </c>
      <c r="E4" s="110" t="s">
        <v>749</v>
      </c>
      <c r="F4" s="110" t="s">
        <v>750</v>
      </c>
    </row>
    <row r="5" spans="1:9" ht="30" customHeight="1">
      <c r="A5" s="113" t="s">
        <v>363</v>
      </c>
      <c r="B5" s="113">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3">
        <f ca="1">MROUND(SUMIFS(복귀_간접계수맵!$F$7:$F$70,복귀_간접계수맵!$C$7:$C$70,$A5),0.5)</f>
        <v>2</v>
      </c>
      <c r="D5" s="113">
        <f t="shared" ref="D5:D25" ca="1" si="0">B5+C5</f>
        <v>10</v>
      </c>
      <c r="E5" s="113" t="str">
        <f t="shared" ref="E5:E25" ca="1" si="1">IF(D5&gt;20,"과다 점검",IF(D5&gt;=10,"충분",IF(D5&gt;=8,"하한",IF(D5&gt;=1,"보완 필요","미배치"))))</f>
        <v>충분</v>
      </c>
      <c r="F5" s="114" t="s">
        <v>1276</v>
      </c>
      <c r="H5" s="124" t="s">
        <v>752</v>
      </c>
      <c r="I5" s="125">
        <f ca="1">SUM(D5:D6)</f>
        <v>27.5</v>
      </c>
    </row>
    <row r="6" spans="1:9" ht="30" customHeight="1">
      <c r="A6" s="113" t="s">
        <v>351</v>
      </c>
      <c r="B6" s="113">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3">
        <f ca="1">MROUND(SUMIFS(복귀_간접계수맵!$F$7:$F$70,복귀_간접계수맵!$C$7:$C$70,$A6),0.5)</f>
        <v>1.5</v>
      </c>
      <c r="D6" s="113">
        <f t="shared" ca="1" si="0"/>
        <v>17.5</v>
      </c>
      <c r="E6" s="113" t="str">
        <f t="shared" ca="1" si="1"/>
        <v>충분</v>
      </c>
      <c r="F6" s="114" t="s">
        <v>1277</v>
      </c>
    </row>
    <row r="7" spans="1:9" ht="30" customHeight="1">
      <c r="A7" s="113" t="s">
        <v>281</v>
      </c>
      <c r="B7" s="113">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3">
        <f ca="1">MROUND(SUMIFS(복귀_간접계수맵!$F$7:$F$70,복귀_간접계수맵!$C$7:$C$70,$A7),0.5)</f>
        <v>3.5</v>
      </c>
      <c r="D7" s="113">
        <f t="shared" ca="1" si="0"/>
        <v>17.5</v>
      </c>
      <c r="E7" s="113" t="str">
        <f t="shared" ca="1" si="1"/>
        <v>충분</v>
      </c>
      <c r="F7" s="114" t="s">
        <v>1278</v>
      </c>
      <c r="H7" s="124" t="s">
        <v>1279</v>
      </c>
      <c r="I7" s="125">
        <f ca="1">SUM(D7:D10)</f>
        <v>42.5</v>
      </c>
    </row>
    <row r="8" spans="1:9" ht="30" customHeight="1">
      <c r="A8" s="113" t="s">
        <v>421</v>
      </c>
      <c r="B8" s="113">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3">
        <f ca="1">MROUND(SUMIFS(복귀_간접계수맵!$F$7:$F$70,복귀_간접계수맵!$C$7:$C$70,$A8),0.5)</f>
        <v>1.5</v>
      </c>
      <c r="D8" s="113">
        <f t="shared" ca="1" si="0"/>
        <v>4.5</v>
      </c>
      <c r="E8" s="113" t="str">
        <f t="shared" ca="1" si="1"/>
        <v>보완 필요</v>
      </c>
      <c r="F8" s="114" t="s">
        <v>1280</v>
      </c>
    </row>
    <row r="9" spans="1:9" ht="30" customHeight="1">
      <c r="A9" s="113" t="s">
        <v>432</v>
      </c>
      <c r="B9" s="113">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3">
        <f ca="1">MROUND(SUMIFS(복귀_간접계수맵!$F$7:$F$70,복귀_간접계수맵!$C$7:$C$70,$A9),0.5)</f>
        <v>2</v>
      </c>
      <c r="D9" s="113">
        <f t="shared" ca="1" si="0"/>
        <v>5</v>
      </c>
      <c r="E9" s="113" t="str">
        <f t="shared" ca="1" si="1"/>
        <v>보완 필요</v>
      </c>
      <c r="F9" s="114" t="s">
        <v>1281</v>
      </c>
    </row>
    <row r="10" spans="1:9" ht="30" customHeight="1">
      <c r="A10" s="113" t="s">
        <v>296</v>
      </c>
      <c r="B10" s="113">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10</v>
      </c>
      <c r="C10" s="113">
        <f ca="1">MROUND(SUMIFS(복귀_간접계수맵!$F$7:$F$70,복귀_간접계수맵!$C$7:$C$70,$A10),0.5)</f>
        <v>5.5</v>
      </c>
      <c r="D10" s="113">
        <f t="shared" ca="1" si="0"/>
        <v>15.5</v>
      </c>
      <c r="E10" s="113" t="str">
        <f t="shared" ca="1" si="1"/>
        <v>충분</v>
      </c>
      <c r="F10" s="114" t="s">
        <v>1282</v>
      </c>
    </row>
    <row r="11" spans="1:9" ht="30" customHeight="1">
      <c r="A11" s="113" t="s">
        <v>327</v>
      </c>
      <c r="B11" s="113">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3">
        <f ca="1">MROUND(SUMIFS(복귀_간접계수맵!$F$7:$F$70,복귀_간접계수맵!$C$7:$C$70,$A11),0.5)</f>
        <v>3.5</v>
      </c>
      <c r="D11" s="113">
        <f t="shared" ca="1" si="0"/>
        <v>6.5</v>
      </c>
      <c r="E11" s="113" t="str">
        <f t="shared" ca="1" si="1"/>
        <v>보완 필요</v>
      </c>
      <c r="F11" s="114" t="s">
        <v>1283</v>
      </c>
    </row>
    <row r="12" spans="1:9" ht="30" customHeight="1">
      <c r="A12" s="113" t="s">
        <v>443</v>
      </c>
      <c r="B12" s="113">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3">
        <f ca="1">MROUND(SUMIFS(복귀_간접계수맵!$F$7:$F$70,복귀_간접계수맵!$C$7:$C$70,$A12),0.5)</f>
        <v>6.5</v>
      </c>
      <c r="D12" s="113">
        <f t="shared" ca="1" si="0"/>
        <v>12.5</v>
      </c>
      <c r="E12" s="113" t="str">
        <f t="shared" ca="1" si="1"/>
        <v>충분</v>
      </c>
      <c r="F12" s="114" t="s">
        <v>1284</v>
      </c>
    </row>
    <row r="13" spans="1:9" ht="30" customHeight="1">
      <c r="A13" s="113" t="s">
        <v>368</v>
      </c>
      <c r="B13" s="113">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3">
        <f ca="1">MROUND(SUMIFS(복귀_간접계수맵!$F$7:$F$70,복귀_간접계수맵!$C$7:$C$70,$A13),0.5)</f>
        <v>1.5</v>
      </c>
      <c r="D13" s="113">
        <f t="shared" ca="1" si="0"/>
        <v>11.5</v>
      </c>
      <c r="E13" s="113" t="str">
        <f t="shared" ca="1" si="1"/>
        <v>충분</v>
      </c>
      <c r="F13" s="114" t="s">
        <v>1285</v>
      </c>
    </row>
    <row r="14" spans="1:9" ht="30" customHeight="1">
      <c r="A14" s="113" t="s">
        <v>372</v>
      </c>
      <c r="B14" s="113">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3">
        <f>MROUND(SUMIFS(복귀_간접계수맵!$F$7:$F$70,복귀_간접계수맵!$C$7:$C$70,$A14),0.5)</f>
        <v>0</v>
      </c>
      <c r="D14" s="113">
        <f t="shared" si="0"/>
        <v>10</v>
      </c>
      <c r="E14" s="113" t="str">
        <f t="shared" si="1"/>
        <v>충분</v>
      </c>
      <c r="F14" s="114" t="s">
        <v>1286</v>
      </c>
    </row>
    <row r="15" spans="1:9" ht="30" customHeight="1">
      <c r="A15" s="113" t="s">
        <v>383</v>
      </c>
      <c r="B15" s="113">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3">
        <f ca="1">MROUND(SUMIFS(복귀_간접계수맵!$F$7:$F$70,복귀_간접계수맵!$C$7:$C$70,$A15),0.5)</f>
        <v>1.5</v>
      </c>
      <c r="D15" s="113">
        <f t="shared" ca="1" si="0"/>
        <v>13.5</v>
      </c>
      <c r="E15" s="113" t="str">
        <f t="shared" ca="1" si="1"/>
        <v>충분</v>
      </c>
      <c r="F15" s="114" t="s">
        <v>1287</v>
      </c>
      <c r="H15" s="124" t="s">
        <v>1288</v>
      </c>
      <c r="I15" s="125">
        <f ca="1">SUM(D15:D16,D19)</f>
        <v>33.5</v>
      </c>
    </row>
    <row r="16" spans="1:9" ht="30" customHeight="1">
      <c r="A16" s="113" t="s">
        <v>398</v>
      </c>
      <c r="B16" s="113">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3">
        <f ca="1">MROUND(SUMIFS(복귀_간접계수맵!$F$7:$F$70,복귀_간접계수맵!$C$7:$C$70,$A16),0.5)</f>
        <v>4</v>
      </c>
      <c r="D16" s="113">
        <f t="shared" ca="1" si="0"/>
        <v>14</v>
      </c>
      <c r="E16" s="113" t="str">
        <f t="shared" ca="1" si="1"/>
        <v>충분</v>
      </c>
      <c r="F16" s="114" t="s">
        <v>1289</v>
      </c>
    </row>
    <row r="17" spans="1:6" ht="30" customHeight="1">
      <c r="A17" s="113" t="s">
        <v>389</v>
      </c>
      <c r="B17" s="113">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7</v>
      </c>
      <c r="C17" s="113">
        <f ca="1">MROUND(SUMIFS(복귀_간접계수맵!$F$7:$F$70,복귀_간접계수맵!$C$7:$C$70,$A17),0.5)</f>
        <v>7</v>
      </c>
      <c r="D17" s="113">
        <f t="shared" ca="1" si="0"/>
        <v>14</v>
      </c>
      <c r="E17" s="113" t="str">
        <f t="shared" ca="1" si="1"/>
        <v>충분</v>
      </c>
      <c r="F17" s="114" t="s">
        <v>1290</v>
      </c>
    </row>
    <row r="18" spans="1:6" ht="30" customHeight="1">
      <c r="A18" s="113" t="s">
        <v>407</v>
      </c>
      <c r="B18" s="113">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11</v>
      </c>
      <c r="C18" s="113">
        <f>MROUND(SUMIFS(복귀_간접계수맵!$F$7:$F$70,복귀_간접계수맵!$C$7:$C$70,$A18),0.5)</f>
        <v>0</v>
      </c>
      <c r="D18" s="113">
        <f t="shared" si="0"/>
        <v>11</v>
      </c>
      <c r="E18" s="113" t="str">
        <f t="shared" si="1"/>
        <v>충분</v>
      </c>
      <c r="F18" s="114" t="s">
        <v>1291</v>
      </c>
    </row>
    <row r="19" spans="1:6" ht="30" customHeight="1">
      <c r="A19" s="113" t="s">
        <v>322</v>
      </c>
      <c r="B19" s="113">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3">
        <f ca="1">MROUND(SUMIFS(복귀_간접계수맵!$F$7:$F$70,복귀_간접계수맵!$C$7:$C$70,$A19),0.5)</f>
        <v>0</v>
      </c>
      <c r="D19" s="113">
        <f t="shared" ca="1" si="0"/>
        <v>6</v>
      </c>
      <c r="E19" s="113" t="str">
        <f t="shared" ca="1" si="1"/>
        <v>보완 필요</v>
      </c>
      <c r="F19" s="114" t="s">
        <v>1292</v>
      </c>
    </row>
    <row r="20" spans="1:6" ht="30" customHeight="1">
      <c r="A20" s="113" t="s">
        <v>283</v>
      </c>
      <c r="B20" s="113">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3">
        <f ca="1">MROUND(SUMIFS(복귀_간접계수맵!$F$7:$F$70,복귀_간접계수맵!$C$7:$C$70,$A20),0.5)</f>
        <v>6.5</v>
      </c>
      <c r="D20" s="113">
        <f t="shared" ca="1" si="0"/>
        <v>15.5</v>
      </c>
      <c r="E20" s="113" t="str">
        <f t="shared" ca="1" si="1"/>
        <v>충분</v>
      </c>
      <c r="F20" s="114" t="s">
        <v>1293</v>
      </c>
    </row>
    <row r="21" spans="1:6" ht="30" customHeight="1">
      <c r="A21" s="113" t="s">
        <v>359</v>
      </c>
      <c r="B21" s="113">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3">
        <f ca="1">MROUND(SUMIFS(복귀_간접계수맵!$F$7:$F$70,복귀_간접계수맵!$C$7:$C$70,$A21),0.5)</f>
        <v>9</v>
      </c>
      <c r="D21" s="113">
        <f t="shared" ca="1" si="0"/>
        <v>18</v>
      </c>
      <c r="E21" s="113" t="str">
        <f t="shared" ca="1" si="1"/>
        <v>충분</v>
      </c>
      <c r="F21" s="114" t="s">
        <v>1294</v>
      </c>
    </row>
    <row r="22" spans="1:6" ht="30" customHeight="1">
      <c r="A22" s="113" t="s">
        <v>309</v>
      </c>
      <c r="B22" s="113">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3">
        <f ca="1">MROUND(SUMIFS(복귀_간접계수맵!$F$7:$F$70,복귀_간접계수맵!$C$7:$C$70,$A22),0.5)</f>
        <v>3</v>
      </c>
      <c r="D22" s="113">
        <f t="shared" ca="1" si="0"/>
        <v>12</v>
      </c>
      <c r="E22" s="113" t="str">
        <f t="shared" ca="1" si="1"/>
        <v>충분</v>
      </c>
      <c r="F22" s="114" t="s">
        <v>1295</v>
      </c>
    </row>
    <row r="23" spans="1:6" ht="30" customHeight="1">
      <c r="A23" s="113" t="s">
        <v>313</v>
      </c>
      <c r="B23" s="113">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3">
        <f ca="1">MROUND(SUMIFS(복귀_간접계수맵!$F$7:$F$70,복귀_간접계수맵!$C$7:$C$70,$A23),0.5)</f>
        <v>0</v>
      </c>
      <c r="D23" s="113">
        <f t="shared" ca="1" si="0"/>
        <v>6</v>
      </c>
      <c r="E23" s="113" t="str">
        <f t="shared" ca="1" si="1"/>
        <v>보완 필요</v>
      </c>
      <c r="F23" s="114" t="s">
        <v>1296</v>
      </c>
    </row>
    <row r="24" spans="1:6" ht="30" customHeight="1">
      <c r="A24" s="113" t="s">
        <v>402</v>
      </c>
      <c r="B24" s="113">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8</v>
      </c>
      <c r="C24" s="113">
        <f ca="1">MROUND(SUMIFS(복귀_간접계수맵!$F$7:$F$70,복귀_간접계수맵!$C$7:$C$70,$A24),0.5)</f>
        <v>2.5</v>
      </c>
      <c r="D24" s="113">
        <f t="shared" ca="1" si="0"/>
        <v>10.5</v>
      </c>
      <c r="E24" s="113" t="str">
        <f t="shared" ca="1" si="1"/>
        <v>충분</v>
      </c>
      <c r="F24" s="114" t="s">
        <v>1297</v>
      </c>
    </row>
    <row r="25" spans="1:6" ht="30" customHeight="1">
      <c r="A25" s="113" t="s">
        <v>939</v>
      </c>
      <c r="B25" s="113">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3">
        <f ca="1">MROUND(SUMIFS(복귀_간접계수맵!$F$7:$F$70,복귀_간접계수맵!$C$7:$C$70,$A25),0.5)</f>
        <v>0</v>
      </c>
      <c r="D25" s="113">
        <f t="shared" ca="1" si="0"/>
        <v>6</v>
      </c>
      <c r="E25" s="113" t="str">
        <f t="shared" ca="1" si="1"/>
        <v>보완 필요</v>
      </c>
      <c r="F25" s="114" t="s">
        <v>1298</v>
      </c>
    </row>
    <row r="26" spans="1:6">
      <c r="A26" s="107" t="s">
        <v>773</v>
      </c>
      <c r="B26" s="115">
        <f>SUM(B5:B25)</f>
        <v>176</v>
      </c>
      <c r="D26" s="115">
        <f ca="1">SUM(D5:D25)</f>
        <v>237</v>
      </c>
    </row>
    <row r="28" spans="1:6">
      <c r="A28" s="107" t="s">
        <v>774</v>
      </c>
    </row>
    <row r="29" spans="1:6">
      <c r="A29" s="123" t="s">
        <v>1299</v>
      </c>
    </row>
    <row r="30" spans="1:6">
      <c r="A30" s="123" t="s">
        <v>1300</v>
      </c>
    </row>
    <row r="31" spans="1:6">
      <c r="A31" s="123" t="s">
        <v>1301</v>
      </c>
    </row>
    <row r="32" spans="1:6">
      <c r="A32" s="123" t="s">
        <v>1302</v>
      </c>
    </row>
    <row r="34" spans="1:1">
      <c r="A34" s="107" t="s">
        <v>1303</v>
      </c>
    </row>
    <row r="35" spans="1:1">
      <c r="A35" s="123" t="s">
        <v>1304</v>
      </c>
    </row>
    <row r="36" spans="1:1">
      <c r="A36" s="123" t="s">
        <v>1305</v>
      </c>
    </row>
    <row r="37" spans="1:1">
      <c r="A37" s="123" t="s">
        <v>1306</v>
      </c>
    </row>
    <row r="38" spans="1:1">
      <c r="A38" s="123" t="s">
        <v>1307</v>
      </c>
    </row>
    <row r="40" spans="1:1">
      <c r="A40" s="107" t="s">
        <v>1308</v>
      </c>
    </row>
    <row r="41" spans="1:1">
      <c r="A41" s="123" t="s">
        <v>1309</v>
      </c>
    </row>
    <row r="42" spans="1:1">
      <c r="A42" s="123" t="s">
        <v>1310</v>
      </c>
    </row>
    <row r="43" spans="1:1">
      <c r="A43" s="123" t="s">
        <v>1311</v>
      </c>
    </row>
    <row r="44" spans="1:1">
      <c r="A44" s="123" t="s">
        <v>1312</v>
      </c>
    </row>
    <row r="45" spans="1:1">
      <c r="A45" s="123" t="s">
        <v>1313</v>
      </c>
    </row>
    <row r="46" spans="1:1">
      <c r="A46" s="123" t="s">
        <v>1314</v>
      </c>
    </row>
    <row r="47" spans="1:1">
      <c r="A47" s="123" t="s">
        <v>1315</v>
      </c>
    </row>
    <row r="49" spans="1:1">
      <c r="A49" s="107" t="s">
        <v>1316</v>
      </c>
    </row>
    <row r="50" spans="1:1">
      <c r="A50" s="123" t="s">
        <v>1317</v>
      </c>
    </row>
    <row r="51" spans="1:1">
      <c r="A51" s="123" t="s">
        <v>1318</v>
      </c>
    </row>
    <row r="52" spans="1:1">
      <c r="A52" s="123" t="s">
        <v>1319</v>
      </c>
    </row>
    <row r="53" spans="1:1">
      <c r="A53" s="123" t="s">
        <v>1320</v>
      </c>
    </row>
    <row r="54" spans="1:1">
      <c r="A54" s="123" t="s">
        <v>1321</v>
      </c>
    </row>
    <row r="55" spans="1:1">
      <c r="A55" s="123" t="s">
        <v>1322</v>
      </c>
    </row>
    <row r="56" spans="1:1">
      <c r="A56" s="123" t="s">
        <v>1323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2026-10-01T21:20:43Z</dcterms:modified>
  <dc:language>en-US</dc:language>
</cp:coreProperties>
</file>