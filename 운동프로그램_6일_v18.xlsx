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42" documentId="13_ncr:1_{721FE110-B732-4B30-A8F5-2007FAAB75A3}" xr6:coauthVersionLast="47" xr6:coauthVersionMax="47" xr10:uidLastSave="{D53CC818-FA49-4ABF-873E-2A9C414FAF53}"/>
  <bookViews>
    <workbookView xWindow="-120" yWindow="-120" windowWidth="38640" windowHeight="21120" tabRatio="883" activeTab="6" xr2:uid="{00000000-000D-0000-FFFF-FFFF00000000}"/>
  </bookViews>
  <sheets>
    <sheet name="시작중량_설정" sheetId="1" r:id="rId1"/>
    <sheet name="주간계획" sheetId="2" r:id="rId2"/>
    <sheet name="월_당기기A" sheetId="3" r:id="rId3"/>
    <sheet name="화_밀기A" sheetId="4" r:id="rId4"/>
    <sheet name="수_하체A" sheetId="5" r:id="rId5"/>
    <sheet name="목_당기기B" sheetId="6" r:id="rId6"/>
    <sheet name="금_밀기B" sheetId="7" r:id="rId7"/>
    <sheet name="토_하체B" sheetId="8" r:id="rId8"/>
    <sheet name="간접계수맵" sheetId="9" r:id="rId9"/>
    <sheet name="세트검산" sheetId="10" r:id="rId10"/>
    <sheet name="증량기록" sheetId="11" r:id="rId11"/>
    <sheet name="9월이후조정" sheetId="12" r:id="rId12"/>
    <sheet name="복귀_주간계획" sheetId="13" r:id="rId13"/>
    <sheet name="복귀_화_상체밀기" sheetId="14" r:id="rId14"/>
    <sheet name="복귀_토_하체" sheetId="15" r:id="rId15"/>
    <sheet name="복귀_일_등" sheetId="16" r:id="rId16"/>
    <sheet name="복귀_증량원칙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" i="11" l="1"/>
  <c r="E13" i="16"/>
  <c r="E12" i="13" s="1"/>
  <c r="E12" i="15"/>
  <c r="E11" i="14"/>
  <c r="E11" i="13"/>
  <c r="E7" i="13"/>
  <c r="E13" i="13" s="1"/>
  <c r="B24" i="10"/>
  <c r="C23" i="10"/>
  <c r="B23" i="10"/>
  <c r="D23" i="10" s="1"/>
  <c r="E23" i="10" s="1"/>
  <c r="B22" i="10"/>
  <c r="B21" i="10"/>
  <c r="B20" i="10"/>
  <c r="C19" i="10"/>
  <c r="B19" i="10"/>
  <c r="D19" i="10" s="1"/>
  <c r="E19" i="10" s="1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E23" i="8"/>
  <c r="E10" i="2" s="1"/>
  <c r="E29" i="7"/>
  <c r="E9" i="2" s="1"/>
  <c r="E14" i="6"/>
  <c r="E8" i="2" s="1"/>
  <c r="E23" i="5"/>
  <c r="E7" i="2" s="1"/>
  <c r="A6" i="5"/>
  <c r="E26" i="4"/>
  <c r="E15" i="3"/>
  <c r="E6" i="2"/>
  <c r="E5" i="2"/>
  <c r="E40" i="1"/>
  <c r="C40" i="1"/>
  <c r="B40" i="1"/>
  <c r="E10" i="1"/>
  <c r="A7" i="7" s="1"/>
  <c r="C10" i="1"/>
  <c r="C9" i="1"/>
  <c r="C8" i="1"/>
  <c r="E7" i="1"/>
  <c r="D15" i="5" s="1"/>
  <c r="C7" i="1"/>
  <c r="C12" i="11"/>
  <c r="B42" i="1" s="1"/>
  <c r="I11" i="11"/>
  <c r="I12" i="11" s="1"/>
  <c r="G11" i="11"/>
  <c r="E9" i="1" s="1"/>
  <c r="C11" i="11"/>
  <c r="B41" i="1" s="1"/>
  <c r="I10" i="11"/>
  <c r="G10" i="11"/>
  <c r="D40" i="1" s="1"/>
  <c r="E10" i="11"/>
  <c r="E11" i="11" s="1"/>
  <c r="C10" i="11"/>
  <c r="E25" i="9"/>
  <c r="E14" i="9"/>
  <c r="E45" i="9"/>
  <c r="E23" i="9"/>
  <c r="E43" i="9"/>
  <c r="E19" i="9"/>
  <c r="E56" i="9"/>
  <c r="E11" i="9"/>
  <c r="E12" i="9"/>
  <c r="E32" i="9"/>
  <c r="E26" i="9"/>
  <c r="E16" i="9"/>
  <c r="E9" i="9"/>
  <c r="E52" i="9"/>
  <c r="E27" i="9"/>
  <c r="E15" i="9"/>
  <c r="E13" i="9"/>
  <c r="E47" i="9"/>
  <c r="E18" i="9"/>
  <c r="E30" i="9"/>
  <c r="E20" i="9"/>
  <c r="E34" i="9"/>
  <c r="E35" i="9"/>
  <c r="E37" i="9"/>
  <c r="E8" i="9"/>
  <c r="E55" i="9"/>
  <c r="E38" i="9"/>
  <c r="E28" i="9"/>
  <c r="E42" i="9"/>
  <c r="E54" i="9"/>
  <c r="E21" i="9"/>
  <c r="E44" i="9"/>
  <c r="E50" i="9"/>
  <c r="E41" i="9"/>
  <c r="E51" i="9"/>
  <c r="E40" i="9"/>
  <c r="E24" i="9"/>
  <c r="E39" i="9"/>
  <c r="E7" i="9"/>
  <c r="E17" i="9"/>
  <c r="E49" i="9"/>
  <c r="E22" i="9"/>
  <c r="E29" i="9"/>
  <c r="E10" i="9"/>
  <c r="E46" i="9"/>
  <c r="E31" i="9"/>
  <c r="E48" i="9"/>
  <c r="E33" i="9"/>
  <c r="E36" i="9"/>
  <c r="E57" i="9"/>
  <c r="E53" i="9"/>
  <c r="B25" i="10" l="1"/>
  <c r="E12" i="2"/>
  <c r="F42" i="9"/>
  <c r="F12" i="9"/>
  <c r="F24" i="9"/>
  <c r="F54" i="9"/>
  <c r="F14" i="9"/>
  <c r="F32" i="9"/>
  <c r="F50" i="9"/>
  <c r="F45" i="9"/>
  <c r="C6" i="10" s="1"/>
  <c r="D6" i="10" s="1"/>
  <c r="E6" i="10" s="1"/>
  <c r="F21" i="9"/>
  <c r="C13" i="10" s="1"/>
  <c r="D13" i="10" s="1"/>
  <c r="E13" i="10" s="1"/>
  <c r="F18" i="9"/>
  <c r="F30" i="9"/>
  <c r="F48" i="9"/>
  <c r="F13" i="9"/>
  <c r="F25" i="9"/>
  <c r="F49" i="9"/>
  <c r="C9" i="10" s="1"/>
  <c r="D9" i="10" s="1"/>
  <c r="E9" i="10" s="1"/>
  <c r="F9" i="9"/>
  <c r="F27" i="9"/>
  <c r="F51" i="9"/>
  <c r="F10" i="9"/>
  <c r="F16" i="9"/>
  <c r="F22" i="9"/>
  <c r="C14" i="10" s="1"/>
  <c r="D14" i="10" s="1"/>
  <c r="E14" i="10" s="1"/>
  <c r="F28" i="9"/>
  <c r="F34" i="9"/>
  <c r="F40" i="9"/>
  <c r="C7" i="10" s="1"/>
  <c r="D7" i="10" s="1"/>
  <c r="F46" i="9"/>
  <c r="F52" i="9"/>
  <c r="F36" i="9"/>
  <c r="F7" i="9"/>
  <c r="F19" i="9"/>
  <c r="F31" i="9"/>
  <c r="F37" i="9"/>
  <c r="F43" i="9"/>
  <c r="F55" i="9"/>
  <c r="F8" i="9"/>
  <c r="F20" i="9"/>
  <c r="F26" i="9"/>
  <c r="F38" i="9"/>
  <c r="C15" i="10" s="1"/>
  <c r="D15" i="10" s="1"/>
  <c r="F44" i="9"/>
  <c r="C5" i="10" s="1"/>
  <c r="D5" i="10" s="1"/>
  <c r="F56" i="9"/>
  <c r="F15" i="9"/>
  <c r="F33" i="9"/>
  <c r="F39" i="9"/>
  <c r="C18" i="10" s="1"/>
  <c r="D18" i="10" s="1"/>
  <c r="E18" i="10" s="1"/>
  <c r="F57" i="9"/>
  <c r="F11" i="9"/>
  <c r="F17" i="9"/>
  <c r="F23" i="9"/>
  <c r="F29" i="9"/>
  <c r="F35" i="9"/>
  <c r="F41" i="9"/>
  <c r="F47" i="9"/>
  <c r="F53" i="9"/>
  <c r="I13" i="11"/>
  <c r="E42" i="1"/>
  <c r="E8" i="1"/>
  <c r="C41" i="1"/>
  <c r="E12" i="11"/>
  <c r="A7" i="4"/>
  <c r="D20" i="4"/>
  <c r="A6" i="4"/>
  <c r="A10" i="4"/>
  <c r="D5" i="14"/>
  <c r="A9" i="4"/>
  <c r="A8" i="4"/>
  <c r="G12" i="11"/>
  <c r="A9" i="7"/>
  <c r="C13" i="11"/>
  <c r="A7" i="5"/>
  <c r="D20" i="7"/>
  <c r="A10" i="7"/>
  <c r="D5" i="15"/>
  <c r="D11" i="15"/>
  <c r="A8" i="7"/>
  <c r="A8" i="5"/>
  <c r="D41" i="1"/>
  <c r="A9" i="5"/>
  <c r="E41" i="1"/>
  <c r="A10" i="5"/>
  <c r="A6" i="7"/>
  <c r="C24" i="10" l="1"/>
  <c r="D24" i="10" s="1"/>
  <c r="E24" i="10" s="1"/>
  <c r="C11" i="10"/>
  <c r="D11" i="10" s="1"/>
  <c r="E11" i="10" s="1"/>
  <c r="C12" i="10"/>
  <c r="D12" i="10" s="1"/>
  <c r="E12" i="10" s="1"/>
  <c r="E7" i="10"/>
  <c r="E15" i="10"/>
  <c r="C17" i="10"/>
  <c r="D17" i="10" s="1"/>
  <c r="C21" i="10"/>
  <c r="D21" i="10" s="1"/>
  <c r="E21" i="10" s="1"/>
  <c r="C14" i="11"/>
  <c r="B43" i="1"/>
  <c r="C16" i="10"/>
  <c r="D16" i="10" s="1"/>
  <c r="E16" i="10" s="1"/>
  <c r="G13" i="11"/>
  <c r="D42" i="1"/>
  <c r="C42" i="1"/>
  <c r="E13" i="11"/>
  <c r="I14" i="11"/>
  <c r="E43" i="1"/>
  <c r="C22" i="10"/>
  <c r="D22" i="10" s="1"/>
  <c r="E22" i="10" s="1"/>
  <c r="F58" i="9"/>
  <c r="C20" i="10"/>
  <c r="D20" i="10" s="1"/>
  <c r="E20" i="10" s="1"/>
  <c r="C10" i="10"/>
  <c r="D10" i="10" s="1"/>
  <c r="E10" i="10" s="1"/>
  <c r="A9" i="8"/>
  <c r="D5" i="16"/>
  <c r="A8" i="8"/>
  <c r="A7" i="8"/>
  <c r="A6" i="8"/>
  <c r="D15" i="8"/>
  <c r="A10" i="8"/>
  <c r="H5" i="10"/>
  <c r="I5" i="10" s="1"/>
  <c r="E5" i="10"/>
  <c r="C8" i="10"/>
  <c r="D8" i="10" s="1"/>
  <c r="E8" i="10" s="1"/>
  <c r="H7" i="10" l="1"/>
  <c r="D43" i="1"/>
  <c r="G14" i="11"/>
  <c r="B44" i="1"/>
  <c r="C15" i="11"/>
  <c r="H17" i="10"/>
  <c r="E17" i="10"/>
  <c r="H15" i="10"/>
  <c r="D25" i="10"/>
  <c r="E44" i="1"/>
  <c r="I15" i="11"/>
  <c r="E14" i="11"/>
  <c r="C43" i="1"/>
  <c r="E15" i="11" l="1"/>
  <c r="C44" i="1"/>
  <c r="D44" i="1"/>
  <c r="G15" i="11"/>
  <c r="E45" i="1"/>
  <c r="I16" i="11"/>
  <c r="B45" i="1"/>
  <c r="C16" i="11"/>
  <c r="C17" i="11" l="1"/>
  <c r="B46" i="1"/>
  <c r="E46" i="1"/>
  <c r="I17" i="11"/>
  <c r="G16" i="11"/>
  <c r="D45" i="1"/>
  <c r="C45" i="1"/>
  <c r="E16" i="11"/>
  <c r="E17" i="11" l="1"/>
  <c r="C46" i="1"/>
  <c r="D46" i="1"/>
  <c r="G17" i="11"/>
  <c r="I18" i="11"/>
  <c r="E47" i="1"/>
  <c r="C18" i="11"/>
  <c r="B47" i="1"/>
  <c r="B48" i="1" l="1"/>
  <c r="C19" i="11"/>
  <c r="I19" i="11"/>
  <c r="E48" i="1"/>
  <c r="D47" i="1"/>
  <c r="G18" i="11"/>
  <c r="C47" i="1"/>
  <c r="E18" i="11"/>
  <c r="C48" i="1" l="1"/>
  <c r="E19" i="11"/>
  <c r="G19" i="11"/>
  <c r="D48" i="1"/>
  <c r="I20" i="11"/>
  <c r="E49" i="1"/>
  <c r="C20" i="11"/>
  <c r="B49" i="1"/>
  <c r="C21" i="11" l="1"/>
  <c r="B51" i="1" s="1"/>
  <c r="B50" i="1"/>
  <c r="E50" i="1"/>
  <c r="I21" i="11"/>
  <c r="E51" i="1" s="1"/>
  <c r="D49" i="1"/>
  <c r="G20" i="11"/>
  <c r="E20" i="11"/>
  <c r="C49" i="1"/>
  <c r="E21" i="11" l="1"/>
  <c r="C51" i="1" s="1"/>
  <c r="C50" i="1"/>
  <c r="D50" i="1"/>
  <c r="G21" i="11"/>
  <c r="D51" i="1" s="1"/>
</calcChain>
</file>

<file path=xl/sharedStrings.xml><?xml version="1.0" encoding="utf-8"?>
<sst xmlns="http://schemas.openxmlformats.org/spreadsheetml/2006/main" count="1216" uniqueCount="673">
  <si>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</si>
  <si>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</si>
  <si>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</si>
  <si>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</si>
  <si>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</si>
  <si>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</si>
  <si>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</si>
  <si>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</si>
  <si>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</si>
  <si>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</si>
  <si>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</si>
  <si>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</si>
  <si>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</si>
  <si>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</si>
  <si>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</si>
  <si>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</si>
  <si>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</si>
  <si>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</si>
  <si>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</si>
  <si>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</si>
  <si>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</si>
  <si>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</si>
  <si>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</si>
  <si>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</si>
  <si>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</si>
  <si>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</si>
  <si>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</si>
  <si>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</si>
  <si>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</si>
  <si>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</si>
  <si>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</si>
  <si>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</si>
  <si>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</si>
  <si>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</si>
  <si>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</si>
  <si>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</si>
  <si>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</si>
  <si>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</si>
  <si>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</si>
  <si>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</si>
  <si>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</si>
  <si>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</si>
  <si>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</si>
  <si>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</si>
  <si>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</si>
  <si>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</si>
  <si>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</si>
  <si>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</si>
  <si>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</si>
  <si>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</si>
  <si>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</si>
  <si>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</si>
  <si>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</si>
  <si>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운동 프로그램 — 주 6일 (당기기 · 밀기 · 하체 × 2)</t>
  </si>
  <si>
    <t>적용 시기: 재택 근무 기간 (~9월)  |  주 6일 / 1일 1세션  |  1주차부터 설계 볼륨 100% (볼륨램프 해제)</t>
  </si>
  <si>
    <t>요일</t>
  </si>
  <si>
    <t>내용</t>
  </si>
  <si>
    <t>메인 리프트</t>
  </si>
  <si>
    <t>주요 근육군</t>
  </si>
  <si>
    <t>세트</t>
  </si>
  <si>
    <t>예상 시간</t>
  </si>
  <si>
    <t>월</t>
  </si>
  <si>
    <t>당기기 A (수직)</t>
  </si>
  <si>
    <t>—</t>
  </si>
  <si>
    <t>광배 · 이두 · 전완 · 기립근</t>
  </si>
  <si>
    <t>약 65분</t>
  </si>
  <si>
    <t>화</t>
  </si>
  <si>
    <t>밀기 A (수평)</t>
  </si>
  <si>
    <t>벤치프레스 5×5</t>
  </si>
  <si>
    <t>흉근 · 삼두 · 측면삼각</t>
  </si>
  <si>
    <t>약 60분</t>
  </si>
  <si>
    <t>수</t>
  </si>
  <si>
    <t>하체 A (무릎)</t>
  </si>
  <si>
    <t>스쿼트 5×5</t>
  </si>
  <si>
    <t>대퇴사두 · 햄스트링 · 둔근</t>
  </si>
  <si>
    <t>약 70분</t>
  </si>
  <si>
    <t>목</t>
  </si>
  <si>
    <t>당기기 B (수평)</t>
  </si>
  <si>
    <t>광배 · 능형근 · 승모 · 이두</t>
  </si>
  <si>
    <t>금</t>
  </si>
  <si>
    <t>밀기 B (수직)</t>
  </si>
  <si>
    <t>밀리터리 5×3</t>
  </si>
  <si>
    <t>삼각근 · 흉근 상부 · 승모(하부)</t>
  </si>
  <si>
    <t>토</t>
  </si>
  <si>
    <t>하체 B (고관절)</t>
  </si>
  <si>
    <t>데드리프트 1×5</t>
  </si>
  <si>
    <t>둔근 · 햄스트링 · 대퇴사두</t>
  </si>
  <si>
    <t>일</t>
  </si>
  <si>
    <t>휴식</t>
  </si>
  <si>
    <t>합계</t>
  </si>
  <si>
    <t>배치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</si>
  <si>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스쿼트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수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데드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토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데드 다음날은 일요일 휴식 — 척추에 가장 안전한 자리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</si>
  <si>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화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밀리터리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일 버전의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전날 벤치 여파로 프레스 무게가 덜 나온다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대가가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</si>
  <si>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월요일은 당기기 — 월요일 벤치 자리 경쟁을 피한다는 원래 논리 그대로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</si>
  <si>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당기기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밀기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하체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무릎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고관절</t>
    </r>
    <r>
      <rPr>
        <sz val="11"/>
        <rFont val="Arial"/>
        <family val="2"/>
        <charset val="1"/>
      </rPr>
      <t>).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</si>
  <si>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같은 부위를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일 뒤에 다시 치되 각도를 바꾼다 — 같은 자극의 반복이 아니라 다른 축의 자극</t>
    </r>
    <r>
      <rPr>
        <sz val="11"/>
        <rFont val="Arial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</si>
  <si>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기립근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>데드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토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Noto Sans CJK SC"/>
        <family val="2"/>
      </rPr>
      <t xml:space="preserve">덤벨 </t>
    </r>
    <r>
      <rPr>
        <sz val="11"/>
        <color theme="1"/>
        <rFont val="Calibri"/>
        <family val="2"/>
        <charset val="1"/>
      </rPr>
      <t>RDL(</t>
    </r>
    <r>
      <rPr>
        <sz val="11"/>
        <color theme="1"/>
        <rFont val="Noto Sans CJK SC"/>
        <family val="2"/>
      </rPr>
      <t>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주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>. RDL</t>
    </r>
    <r>
      <rPr>
        <sz val="11"/>
        <color theme="1"/>
        <rFont val="Noto Sans CJK SC"/>
        <family val="2"/>
      </rPr>
      <t xml:space="preserve">은 </t>
    </r>
    <r>
      <rPr>
        <sz val="11"/>
        <color theme="1"/>
        <rFont val="Calibri"/>
        <family val="2"/>
        <charset val="1"/>
      </rPr>
      <t>20kg</t>
    </r>
    <r>
      <rPr>
        <sz val="11"/>
        <color theme="1"/>
        <rFont val="Noto Sans CJK SC"/>
        <family val="2"/>
      </rPr>
      <t>으로 가볍게 — 척추 부하가 아니라 자세 유지가 목적</t>
    </r>
    <r>
      <rPr>
        <sz val="11"/>
        <color theme="1"/>
        <rFont val="Calibri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</si>
  <si>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일 버전과의 차이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</si>
  <si>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총 세트 </t>
    </r>
    <r>
      <rPr>
        <sz val="11"/>
        <rFont val="Arial"/>
        <family val="2"/>
        <charset val="1"/>
      </rPr>
      <t>140 (v18). v17 143</t>
    </r>
    <r>
      <rPr>
        <sz val="11"/>
        <rFont val="Noto Sans CJK SC"/>
        <family val="2"/>
      </rPr>
      <t xml:space="preserve">에서 스캡 풀업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세트를 월 웜업으로 전환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카운트 제외</t>
    </r>
    <r>
      <rPr>
        <sz val="11"/>
        <rFont val="Arial"/>
        <family val="2"/>
        <charset val="1"/>
      </rPr>
      <t xml:space="preserve">). </t>
    </r>
    <r>
      <rPr>
        <sz val="11"/>
        <rFont val="Noto Sans CJK SC"/>
        <family val="2"/>
      </rPr>
      <t>세션 조정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라잉 트라이셉스 화→금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케이블 힙 외전 수→토 — 배치 사유가 소멸했던 두 종목만 이동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</si>
  <si>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세션당 세트 </t>
    </r>
    <r>
      <rPr>
        <sz val="11"/>
        <rFont val="Arial"/>
        <family val="2"/>
        <charset val="1"/>
      </rPr>
      <t>22~25 (5</t>
    </r>
    <r>
      <rPr>
        <sz val="11"/>
        <rFont val="Noto Sans CJK SC"/>
        <family val="2"/>
      </rPr>
      <t xml:space="preserve">일 버전은 </t>
    </r>
    <r>
      <rPr>
        <sz val="11"/>
        <rFont val="Arial"/>
        <family val="2"/>
        <charset val="1"/>
      </rPr>
      <t xml:space="preserve">23~43). </t>
    </r>
    <r>
      <rPr>
        <sz val="11"/>
        <rFont val="Noto Sans CJK SC"/>
        <family val="2"/>
      </rPr>
      <t xml:space="preserve">토요일 </t>
    </r>
    <r>
      <rPr>
        <sz val="11"/>
        <rFont val="Arial"/>
        <family val="2"/>
        <charset val="1"/>
      </rPr>
      <t>43</t>
    </r>
    <r>
      <rPr>
        <sz val="11"/>
        <rFont val="Noto Sans CJK SC"/>
        <family val="2"/>
      </rPr>
      <t>세트 문제가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</si>
  <si>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주요 부위 빈도 주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 → 주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한 세션 부위당 </t>
    </r>
    <r>
      <rPr>
        <sz val="11"/>
        <rFont val="Arial"/>
        <family val="2"/>
        <charset val="1"/>
      </rPr>
      <t>8~9</t>
    </r>
    <r>
      <rPr>
        <sz val="11"/>
        <rFont val="Noto Sans CJK SC"/>
        <family val="2"/>
      </rPr>
      <t xml:space="preserve">세트 상한 — 예외는 화요일 흉근 합산 </t>
    </r>
    <r>
      <rPr>
        <sz val="11"/>
        <rFont val="Arial"/>
        <family val="2"/>
        <charset val="1"/>
      </rPr>
      <t>12</t>
    </r>
    <r>
      <rPr>
        <sz val="11"/>
        <rFont val="Noto Sans CJK SC"/>
        <family val="2"/>
      </rPr>
      <t>세트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 xml:space="preserve">프레스 </t>
    </r>
    <r>
      <rPr>
        <sz val="11"/>
        <rFont val="Arial"/>
        <family val="2"/>
        <charset val="1"/>
      </rPr>
      <t xml:space="preserve">8 + </t>
    </r>
    <r>
      <rPr>
        <sz val="11"/>
        <rFont val="Noto Sans CJK SC"/>
        <family val="2"/>
      </rPr>
      <t xml:space="preserve">상부 편향 플라이 </t>
    </r>
    <r>
      <rPr>
        <sz val="11"/>
        <rFont val="Arial"/>
        <family val="2"/>
        <charset val="1"/>
      </rPr>
      <t>4)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고립 플라이는 프레스와 피로 중첩이 작아 허용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후반 세트 질이 떨어지면 플라이를 금요일로 옮긴다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</si>
  <si>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대가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휴식일이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일 →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>일</t>
    </r>
    <r>
      <rPr>
        <sz val="11"/>
        <rFont val="Arial"/>
        <family val="2"/>
        <charset val="1"/>
      </rPr>
      <t>. 6</t>
    </r>
    <r>
      <rPr>
        <sz val="11"/>
        <rFont val="Noto Sans CJK SC"/>
        <family val="2"/>
      </rPr>
      <t>일 연속 훈련은 회복이 따라오는지 직접 확인해야 한다</t>
    </r>
    <r>
      <rPr>
        <sz val="11"/>
        <rFont val="Arial"/>
        <family val="2"/>
        <charset val="1"/>
      </rPr>
      <t>.</t>
    </r>
  </si>
  <si>
    <t>빈도를 올린 이유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</si>
  <si>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한 세션에서 부위당 대략 </t>
    </r>
    <r>
      <rPr>
        <sz val="11"/>
        <rFont val="Arial"/>
        <family val="2"/>
        <charset val="1"/>
      </rPr>
      <t>8~10</t>
    </r>
    <r>
      <rPr>
        <sz val="11"/>
        <rFont val="Noto Sans CJK SC"/>
        <family val="2"/>
      </rPr>
      <t>세트를 넘어가면 뒤쪽 세트는 앞의 피로 위에 얹혀 자극당 값이 떨어진다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</si>
  <si>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 xml:space="preserve">일 버전의 흉근 </t>
    </r>
    <r>
      <rPr>
        <sz val="11"/>
        <rFont val="Arial"/>
        <family val="2"/>
        <charset val="1"/>
      </rPr>
      <t xml:space="preserve">20 / </t>
    </r>
    <r>
      <rPr>
        <sz val="11"/>
        <rFont val="Noto Sans CJK SC"/>
        <family val="2"/>
      </rPr>
      <t xml:space="preserve">삼각근 </t>
    </r>
    <r>
      <rPr>
        <sz val="11"/>
        <rFont val="Arial"/>
        <family val="2"/>
        <charset val="1"/>
      </rPr>
      <t xml:space="preserve">21 / </t>
    </r>
    <r>
      <rPr>
        <sz val="11"/>
        <rFont val="Noto Sans CJK SC"/>
        <family val="2"/>
      </rPr>
      <t xml:space="preserve">광배 </t>
    </r>
    <r>
      <rPr>
        <sz val="11"/>
        <rFont val="Arial"/>
        <family val="2"/>
        <charset val="1"/>
      </rPr>
      <t>14</t>
    </r>
    <r>
      <rPr>
        <sz val="11"/>
        <rFont val="Noto Sans CJK SC"/>
        <family val="2"/>
      </rPr>
      <t>는 그 구간을 넘어서 있었다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</si>
  <si>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다만 </t>
    </r>
    <r>
      <rPr>
        <sz val="11"/>
        <rFont val="Arial"/>
        <family val="2"/>
        <charset val="1"/>
      </rPr>
      <t>"20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회보다 </t>
    </r>
    <r>
      <rPr>
        <sz val="11"/>
        <rFont val="Arial"/>
        <family val="2"/>
        <charset val="1"/>
      </rPr>
      <t>10</t>
    </r>
    <r>
      <rPr>
        <sz val="11"/>
        <rFont val="Noto Sans CJK SC"/>
        <family val="2"/>
      </rPr>
      <t xml:space="preserve">세트씩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회가 낫다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직접 검증된 결과가 아니라 추론이다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견고한 것은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빈도를 올려도 손해는 없다</t>
    </r>
    <r>
      <rPr>
        <sz val="11"/>
        <rFont val="Arial"/>
        <family val="2"/>
        <charset val="1"/>
      </rPr>
      <t xml:space="preserve">" </t>
    </r>
    <r>
      <rPr>
        <sz val="11"/>
        <rFont val="Noto Sans CJK SC"/>
        <family val="2"/>
      </rPr>
      <t>정도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</si>
  <si>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>년 공백 구간에서는 동작 반복 횟수 자체가 중요하다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스쿼트 폼을 다시 배우는 시기이므로 빈도가 그 자체로 이득</t>
    </r>
    <r>
      <rPr>
        <sz val="11"/>
        <rFont val="Arial"/>
        <family val="2"/>
        <charset val="1"/>
      </rPr>
      <t>.</t>
    </r>
  </si>
  <si>
    <t>범례</t>
  </si>
  <si>
    <t>파란 글씨 = 직접 입력하는 값 · 검은 글씨 = 수식 (건드리지 말 것) · 노란 칸 = 매주 채워 넣는 칸</t>
  </si>
  <si>
    <t>E열 = 설계 세트 (100% 고정). 볼륨 램프 미사용 — 1주차부터 이 값 그대로 수행.</t>
  </si>
  <si>
    <t>주의</t>
  </si>
  <si>
    <r>
      <rPr>
        <sz val="11"/>
        <rFont val="Arial"/>
        <family val="2"/>
        <charset val="1"/>
      </rPr>
      <t>· 6</t>
    </r>
    <r>
      <rPr>
        <sz val="11"/>
        <rFont val="Noto Sans CJK SC"/>
        <family val="2"/>
      </rPr>
      <t xml:space="preserve">일 연속은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년 공백에서 회복이 미지수다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첫 </t>
    </r>
    <r>
      <rPr>
        <sz val="11"/>
        <rFont val="Arial"/>
        <family val="2"/>
        <charset val="1"/>
      </rPr>
      <t>3~4</t>
    </r>
    <r>
      <rPr>
        <sz val="11"/>
        <rFont val="Noto Sans CJK SC"/>
        <family val="2"/>
      </rPr>
      <t>주를 회복 확인 구간으로 쓸 것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</si>
  <si>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판단 기준</t>
    </r>
    <r>
      <rPr>
        <sz val="11"/>
        <rFont val="Arial"/>
        <family val="2"/>
        <charset val="1"/>
      </rPr>
      <t>: 3</t>
    </r>
    <r>
      <rPr>
        <sz val="11"/>
        <rFont val="Noto Sans CJK SC"/>
        <family val="2"/>
      </rPr>
      <t xml:space="preserve">주차에 접어들었는데 이전 세션의 근육통이 안 빠지거나 메인 리프트에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 xml:space="preserve">가 연속으로 뜨면 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일로 내린다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</si>
  <si>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 xml:space="preserve">일로 내릴 때는 하체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를 빼고 그 종목을 하체 </t>
    </r>
    <r>
      <rPr>
        <sz val="11"/>
        <rFont val="Arial"/>
        <family val="2"/>
        <charset val="1"/>
      </rPr>
      <t>A</t>
    </r>
    <r>
      <rPr>
        <sz val="11"/>
        <rFont val="Noto Sans CJK SC"/>
        <family val="2"/>
      </rPr>
      <t xml:space="preserve">와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에 나눠 붙인다 — 데드는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>.</t>
    </r>
  </si>
  <si>
    <t>월요일 — 당기기 A (수직)</t>
  </si>
  <si>
    <t>광배 위쪽 · 견갑골 하강 · 이두. 목요일 당기기 B(수평)와 각도를 나눈다.</t>
  </si>
  <si>
    <r>
      <rPr>
        <sz val="11"/>
        <color theme="1"/>
        <rFont val="Noto Sans CJK SC"/>
        <family val="2"/>
      </rPr>
      <t xml:space="preserve">웜업 — 스캡 풀업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 xml:space="preserve">세트 </t>
    </r>
    <r>
      <rPr>
        <sz val="11"/>
        <color theme="1"/>
        <rFont val="Calibri"/>
        <family val="2"/>
        <charset val="1"/>
      </rPr>
      <t>× 5~8 (</t>
    </r>
    <r>
      <rPr>
        <sz val="11"/>
        <color theme="1"/>
        <rFont val="Noto Sans CJK SC"/>
        <family val="2"/>
      </rPr>
      <t>세트 카운트 제외</t>
    </r>
    <r>
      <rPr>
        <sz val="11"/>
        <color theme="1"/>
        <rFont val="Calibri"/>
        <family val="2"/>
        <charset val="1"/>
      </rPr>
      <t xml:space="preserve">): </t>
    </r>
    <r>
      <rPr>
        <sz val="11"/>
        <color theme="1"/>
        <rFont val="Noto Sans CJK SC"/>
        <family val="2"/>
      </rPr>
      <t>팔은 편 채 견갑골만 하강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>여유 있게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 xml:space="preserve">실패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>전 종료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Noto Sans CJK SC"/>
        <family val="2"/>
      </rPr>
      <t>친업 직전 견갑 하강 프라이밍</t>
    </r>
    <r>
      <rPr>
        <sz val="11"/>
        <color theme="1"/>
        <rFont val="Calibri"/>
        <family val="2"/>
        <charset val="1"/>
      </rPr>
      <t>.</t>
    </r>
  </si>
  <si>
    <t>운동 구성</t>
  </si>
  <si>
    <t>#</t>
  </si>
  <si>
    <t>근육군</t>
  </si>
  <si>
    <t>중량(Kg)</t>
  </si>
  <si>
    <t>횟수</t>
  </si>
  <si>
    <t>간접 자극</t>
  </si>
  <si>
    <t>메모</t>
  </si>
  <si>
    <t>대체 종목</t>
  </si>
  <si>
    <t>친업 (어시스트 가능)</t>
  </si>
  <si>
    <t>광배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</si>
  <si>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</si>
  <si>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</si>
  <si>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</si>
  <si>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</si>
  <si>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</si>
  <si>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</si>
  <si>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</si>
  <si>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</si>
  <si>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</si>
  <si>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승모(하부)</t>
  </si>
  <si>
    <t>맨몸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</si>
  <si>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</si>
  <si>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</si>
  <si>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</si>
  <si>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</si>
  <si>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</t>
  </si>
  <si>
    <t>승모(중부)·능형근</t>
  </si>
  <si>
    <t>10~15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</si>
  <si>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</si>
  <si>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</si>
  <si>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목요일과 겹친다. 무게 욕심 내면 승모 상부가 다 가져간다. 수직 당기기 날이지만 승모 중부 주 2회(목요일과 3일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</si>
  <si>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</si>
  <si>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</si>
  <si>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</si>
  <si>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</si>
  <si>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당기기 뒤 이두. 반동 쓰지 말 것 [v17 제외 — 이두 간접 7세트로 충족, 인클라인·프리쳐 유지]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</si>
  <si>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손목이 편함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케이블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전 구간 장력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해머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상완요골근 동시</t>
    </r>
    <r>
      <rPr>
        <sz val="11"/>
        <rFont val="Arial"/>
        <family val="2"/>
        <charset val="1"/>
      </rPr>
      <t>)</t>
    </r>
  </si>
  <si>
    <t>인클라인 덤벨 컬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</si>
  <si>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</si>
  <si>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</si>
  <si>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</si>
  <si>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</si>
  <si>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</si>
  <si>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</si>
  <si>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</si>
  <si>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</si>
  <si>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</si>
  <si>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</si>
  <si>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</si>
  <si>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</si>
  <si>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</si>
  <si>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</si>
  <si>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</si>
  <si>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</si>
  <si>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</si>
  <si>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>화요일 — 밀기 A (수평)</t>
  </si>
  <si>
    <t>벤치 5×5가 이 프로그램의 최우선 종목. 금요일 밀기 B(수직)와 각도를 나눈다.</t>
  </si>
  <si>
    <t>메인: 벤치프레스</t>
  </si>
  <si>
    <t>반복</t>
  </si>
  <si>
    <r>
      <rPr>
        <sz val="11"/>
        <rFont val="Arial"/>
        <family val="2"/>
        <charset val="1"/>
      </rPr>
      <t>↑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과 자동 연동</t>
    </r>
    <r>
      <rPr>
        <sz val="11"/>
        <rFont val="Arial"/>
        <family val="2"/>
        <charset val="1"/>
      </rPr>
      <t xml:space="preserve">. 20 = </t>
    </r>
    <r>
      <rPr>
        <sz val="11"/>
        <rFont val="Noto Sans CJK SC"/>
        <family val="2"/>
      </rPr>
      <t>빈 봉</t>
    </r>
    <r>
      <rPr>
        <sz val="11"/>
        <rFont val="Arial"/>
        <family val="2"/>
        <charset val="1"/>
      </rPr>
      <t>. '</t>
    </r>
    <r>
      <rPr>
        <sz val="11"/>
        <rFont val="Noto Sans CJK SC"/>
        <family val="2"/>
      </rPr>
      <t>생략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은 앞 세트와 중량이 겹쳐 불필요하다는 뜻</t>
    </r>
    <r>
      <rPr>
        <sz val="11"/>
        <rFont val="Arial"/>
        <family val="2"/>
        <charset val="1"/>
      </rPr>
      <t>.</t>
    </r>
  </si>
  <si>
    <t>웜업 — 회전근개 (세트 카운트 제외)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</si>
  <si>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케이블 외회전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× 12~15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팔꿈치 </t>
    </r>
    <r>
      <rPr>
        <sz val="11"/>
        <rFont val="Arial"/>
        <family val="2"/>
        <charset val="1"/>
      </rPr>
      <t>90</t>
    </r>
    <r>
      <rPr>
        <sz val="11"/>
        <rFont val="Noto Sans CJK SC"/>
        <family val="2"/>
      </rPr>
      <t>도로 접어 옆구리에 붙이고 바깥으로만 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</si>
  <si>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매우 가볍게 — </t>
    </r>
    <r>
      <rPr>
        <sz val="11"/>
        <rFont val="Arial"/>
        <family val="2"/>
        <charset val="1"/>
      </rPr>
      <t xml:space="preserve">2.5~5kg. </t>
    </r>
    <r>
      <rPr>
        <sz val="11"/>
        <rFont val="Noto Sans CJK SC"/>
        <family val="2"/>
      </rPr>
      <t>무거우면 광배와 후면 삼각근이 대신 일하며 목적을 잃는다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</si>
  <si>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근비대 항목이 아니라 관절 준비 항목이므로 세트 합계에 넣지 않는다</t>
    </r>
    <r>
      <rPr>
        <sz val="11"/>
        <rFont val="Arial"/>
        <family val="2"/>
        <charset val="1"/>
      </rPr>
      <t>.</t>
    </r>
  </si>
  <si>
    <t>벤치프레스 (본세트)</t>
  </si>
  <si>
    <t>흉근(중하부)</t>
  </si>
  <si>
    <t>5</t>
  </si>
  <si>
    <t>삼두·전면삼각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</si>
  <si>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</si>
  <si>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</si>
  <si>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</si>
  <si>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t>삼두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</si>
  <si>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</si>
  <si>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</si>
  <si>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</si>
  <si>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흉근(상부)</t>
  </si>
  <si>
    <t>10~12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</si>
  <si>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</si>
  <si>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</si>
  <si>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</si>
  <si>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 [v18 금요일로 이동 — 푸쉬다운 제외로 화 배치 사유(각도 분담) 소멸]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</si>
  <si>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</si>
  <si>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</si>
  <si>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</si>
  <si>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</si>
  <si>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</si>
  <si>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리버스 펙덱플라이</t>
  </si>
  <si>
    <t>삼각근(후면)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</si>
  <si>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</si>
  <si>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</si>
  <si>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</si>
  <si>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</si>
  <si>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</si>
  <si>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</si>
  <si>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</si>
  <si>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</si>
  <si>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</si>
  <si>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</si>
  <si>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</si>
  <si>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</si>
  <si>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</si>
  <si>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r>
      <rPr>
        <sz val="11"/>
        <rFont val="Arial"/>
        <family val="2"/>
        <charset val="1"/>
      </rPr>
      <t>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</si>
  <si>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</si>
  <si>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</si>
  <si>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</si>
  <si>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</si>
  <si>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</si>
  <si>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</si>
  <si>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</si>
  <si>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</si>
  <si>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</si>
  <si>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</si>
  <si>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</si>
  <si>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</si>
  <si>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</si>
  <si>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r>
      <rPr>
        <sz val="11"/>
        <rFont val="Arial"/>
        <family val="2"/>
        <charset val="1"/>
      </rPr>
      <t>12~15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</si>
  <si>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관상면 외전. 토요일에서 이동. 앉는 시간이 길면 대둔근보다 중둔근이 먼저 잠든다 [v18 토요일로 이동 — 수요일 배치 사유(5일 버전 토 과부하) 소멸, 고관절 날로 복귀]</t>
  </si>
  <si>
    <t>밴드 몬스터 워크 / 사이드 라잉 힙 외전 / 힙 어브덕션 머신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</si>
  <si>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</si>
  <si>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</si>
  <si>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</si>
  <si>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</si>
  <si>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t>플랭크(중량)</t>
  </si>
  <si>
    <r>
      <rPr>
        <sz val="11"/>
        <rFont val="Arial"/>
        <family val="2"/>
        <charset val="1"/>
      </rPr>
      <t>30</t>
    </r>
    <r>
      <rPr>
        <sz val="11"/>
        <rFont val="Noto Sans CJK SC"/>
        <family val="2"/>
      </rPr>
      <t>초</t>
    </r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</si>
  <si>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</si>
  <si>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</si>
  <si>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</si>
  <si>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이두 · 전완. 월요일 당기기 A(수직)와 각도를 나눈다.</t>
  </si>
  <si>
    <r>
      <rPr>
        <sz val="11"/>
        <color theme="1"/>
        <rFont val="Noto Sans CJK SC"/>
        <family val="2"/>
      </rPr>
      <t xml:space="preserve">웜업 — 밴드 풀 어파트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 xml:space="preserve">세트 </t>
    </r>
    <r>
      <rPr>
        <sz val="11"/>
        <color theme="1"/>
        <rFont val="Calibri"/>
        <family val="2"/>
        <charset val="1"/>
      </rPr>
      <t>× 15 (</t>
    </r>
    <r>
      <rPr>
        <sz val="11"/>
        <color theme="1"/>
        <rFont val="Noto Sans CJK SC"/>
        <family val="2"/>
      </rPr>
      <t>세트 카운트 제외</t>
    </r>
    <r>
      <rPr>
        <sz val="11"/>
        <color theme="1"/>
        <rFont val="Calibri"/>
        <family val="2"/>
        <charset val="1"/>
      </rPr>
      <t xml:space="preserve">): </t>
    </r>
    <r>
      <rPr>
        <sz val="11"/>
        <color theme="1"/>
        <rFont val="Noto Sans CJK SC"/>
        <family val="2"/>
      </rPr>
      <t>가볍게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>견갑골 후인 프라이밍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대체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케이블 스캡 로우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>아주 가벼운 페이스풀</t>
    </r>
    <r>
      <rPr>
        <sz val="11"/>
        <color theme="1"/>
        <rFont val="Calibri"/>
        <family val="2"/>
        <charset val="1"/>
      </rPr>
      <t>.</t>
    </r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</si>
  <si>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</si>
  <si>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</si>
  <si>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</si>
  <si>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</si>
  <si>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</si>
  <si>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</si>
  <si>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</si>
  <si>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</si>
  <si>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</si>
  <si>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</si>
  <si>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</si>
  <si>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</si>
  <si>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</si>
  <si>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화 리버스 펙덱 4 · 금 벤트오버 3, 3일 간격 주 2회로 재편]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</si>
  <si>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</si>
  <si>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</si>
  <si>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</si>
  <si>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</si>
  <si>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 xml:space="preserve">머신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>컨센트레이션 컬</t>
    </r>
  </si>
  <si>
    <t>시티드 리스트 컬</t>
  </si>
  <si>
    <t>손목 굴근. 월요일 리버스와 대항쌍 [v17 감량 4→3 — 전완 실질 8로 자체 하한 유지]</t>
  </si>
  <si>
    <t>덤벨 리스트 컬 (한 손씩) / 케이블 리스트 컬 / 비하인드백 리스트 컬</t>
  </si>
  <si>
    <t>트랩바 슈러그</t>
  </si>
  <si>
    <t>승모(상부)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</si>
  <si>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</si>
  <si>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#7 자리인 이유: 앞의 로우 7세트 + 스캡 슈러그로 그립이 지쳐 있어 프리쳐 컬·리스트 컬보다 뒤에 와야 연쇄 피해가 없다. 금요일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</si>
  <si>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</si>
  <si>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</si>
  <si>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</si>
  <si>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</si>
  <si>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</si>
  <si>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</si>
  <si>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</si>
  <si>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</si>
  <si>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</si>
  <si>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</si>
  <si>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</si>
  <si>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</si>
  <si>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</si>
  <si>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</si>
  <si>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</si>
  <si>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</si>
  <si>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</si>
  <si>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</si>
  <si>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</si>
  <si>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</si>
  <si>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20~24</t>
  </si>
  <si>
    <t>좌우 독립 + 궤도 고정. 벤치(화)가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</si>
  <si>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</si>
  <si>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</si>
  <si>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40~45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</si>
  <si>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</si>
  <si>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</si>
  <si>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</si>
  <si>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</si>
  <si>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</si>
  <si>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</si>
  <si>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</si>
  <si>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</si>
  <si>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</si>
  <si>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</si>
  <si>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</si>
  <si>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</si>
  <si>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늘어난 구간 삼두 — 화요일에서 이동 (v18). 푸쉬다운 제외로 화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</si>
  <si>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</si>
  <si>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</si>
  <si>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승모의 일은 두 갈래다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견갑골 하강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그리고 팔이 올라갈 때의 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</si>
  <si>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스캡 풀업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월 웜업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순수 하강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프론 </t>
    </r>
    <r>
      <rPr>
        <sz val="11"/>
        <rFont val="Arial"/>
        <family val="2"/>
        <charset val="1"/>
      </rPr>
      <t>Y(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 xml:space="preserve">+ </t>
    </r>
    <r>
      <rPr>
        <sz val="11"/>
        <rFont val="Noto Sans CJK SC"/>
        <family val="2"/>
      </rPr>
      <t xml:space="preserve">후인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오버헤드 슈러그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>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</si>
  <si>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상방회전은 팔이 머리 위로 간 각도에서만 훈련된다 — 지금까지 프로그램에 통째로 비어 있던 패턴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</si>
  <si>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전거근이 함께 온다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전거근이 약하면 하부 승모를 키워도 견갑골이 제 위치로 안 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</si>
  <si>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가동범위가 아주 작다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견갑골만 </t>
    </r>
    <r>
      <rPr>
        <sz val="11"/>
        <rFont val="Arial"/>
        <family val="2"/>
        <charset val="1"/>
      </rPr>
      <t xml:space="preserve">2~3cm </t>
    </r>
    <r>
      <rPr>
        <sz val="11"/>
        <rFont val="Noto Sans CJK SC"/>
        <family val="2"/>
      </rPr>
      <t>올렸다 내리는 동작이고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 이상은 팔꿈치가 굽은 것이다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</si>
  <si>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무게는 오버헤드로 안정적으로 지지할 수 있는 것보다 가볍게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스미스나 머신 권장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</si>
  <si>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승모는 무게로 밀어붙일 수 없다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과부하는 정지 </t>
    </r>
    <r>
      <rPr>
        <sz val="11"/>
        <rFont val="Arial"/>
        <family val="2"/>
        <charset val="1"/>
      </rPr>
      <t>2~3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반복 수 확장으로</t>
    </r>
    <r>
      <rPr>
        <sz val="11"/>
        <rFont val="Arial"/>
        <family val="2"/>
        <charset val="1"/>
      </rPr>
      <t>.</t>
    </r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</si>
  <si>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</si>
  <si>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</si>
  <si>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</si>
  <si>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</si>
  <si>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</si>
  <si>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</si>
  <si>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</si>
  <si>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</si>
  <si>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</si>
  <si>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</si>
  <si>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</si>
  <si>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</si>
  <si>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</si>
  <si>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</si>
  <si>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</si>
  <si>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</si>
  <si>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</si>
  <si>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</si>
  <si>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</si>
  <si>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</si>
  <si>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</si>
  <si>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</si>
  <si>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</si>
  <si>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</si>
  <si>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</si>
  <si>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</si>
  <si>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관상면 외전 — 고관절 날로 복귀 (v18). 5일 버전 토요일 과부하 때문에 수요일로 갔던 종목이나 그 사유 소멸. 앉는 시간이 길면 대둔근보다 중둔근이 먼저 잠든다. (이 자리의 트렁크 로테이션은 v17 제외 — 복부 직접 8 유지)</t>
  </si>
  <si>
    <t>간접 세트 계수 맵 — 세트검산 간접 열(C)의 계산 원천</t>
  </si>
  <si>
    <t>각 줄 = "이 종목이 → 이 근육에 → 계수만큼 기여". 원천세트는 요일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</si>
  <si>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</si>
  <si>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원천요일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</si>
  <si>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</si>
  <si>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</si>
  <si>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</si>
  <si>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</si>
  <si>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</si>
  <si>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</si>
  <si>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</si>
  <si>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월_당기기A</t>
  </si>
  <si>
    <t>G</t>
  </si>
  <si>
    <t>당기기 중 이두 능동 굴곡 — 강한 협력</t>
  </si>
  <si>
    <t>당기기 중 이두 능동 굴곡</t>
  </si>
  <si>
    <t>목_당기기B</t>
  </si>
  <si>
    <t>로우 중 이두 능동 굴곡</t>
  </si>
  <si>
    <t>화_밀기A</t>
  </si>
  <si>
    <t>프레스 중 삼두 신전 — 강한 협력</t>
  </si>
  <si>
    <t>딥스는 삼두 스트레치+신전 강함</t>
  </si>
  <si>
    <t>금_밀기B</t>
  </si>
  <si>
    <t>오버헤드 프레스 삼두 신전</t>
  </si>
  <si>
    <t>프레스 중 삼두 신전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</si>
  <si>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</si>
  <si>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</si>
  <si>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</si>
  <si>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</si>
  <si>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</si>
  <si>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</si>
  <si>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</si>
  <si>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r>
      <rPr>
        <sz val="9"/>
        <color rgb="FF566573"/>
        <rFont val="Arial"/>
        <family val="2"/>
        <charset val="1"/>
      </rPr>
      <t>Y</t>
    </r>
    <r>
      <rPr>
        <sz val="9"/>
        <color rgb="FF566573"/>
        <rFont val="Noto Sans CJK SC"/>
        <family val="2"/>
      </rPr>
      <t>레이즈 후면삼각 능동 관여</t>
    </r>
  </si>
  <si>
    <t>견갑 후인 능동 수축</t>
  </si>
  <si>
    <t>토_하체B</t>
  </si>
  <si>
    <t>고관절 신전 협력</t>
  </si>
  <si>
    <t>힌지 — 햄스트링 준주동</t>
  </si>
  <si>
    <t>수_하체A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</si>
  <si>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</si>
  <si>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</si>
  <si>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</si>
  <si>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</si>
  <si>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</si>
  <si>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</si>
  <si>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</si>
  <si>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r>
      <rPr>
        <sz val="9"/>
        <color rgb="FF566573"/>
        <rFont val="Arial"/>
        <family val="2"/>
        <charset val="1"/>
      </rPr>
      <t>RDL</t>
    </r>
    <r>
      <rPr>
        <sz val="9"/>
        <color rgb="FF566573"/>
        <rFont val="Noto Sans CJK SC"/>
        <family val="2"/>
      </rPr>
      <t>은 기립근 동적 신전</t>
    </r>
    <r>
      <rPr>
        <sz val="9"/>
        <color rgb="FF566573"/>
        <rFont val="Arial"/>
        <family val="2"/>
        <charset val="1"/>
      </rPr>
      <t>·</t>
    </r>
    <r>
      <rPr>
        <sz val="9"/>
        <color rgb="FF566573"/>
        <rFont val="Noto Sans CJK SC"/>
        <family val="2"/>
      </rPr>
      <t>수축 — 등척성 아님</t>
    </r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</si>
  <si>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</si>
  <si>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</si>
  <si>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</si>
  <si>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</si>
  <si>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</si>
  <si>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</si>
  <si>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</si>
  <si>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</si>
  <si>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</si>
  <si>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</si>
  <si>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</si>
  <si>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</si>
  <si>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</si>
  <si>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</si>
  <si>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</si>
  <si>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(토요일 분할분)</t>
  </si>
  <si>
    <t>부분 관여 (토요일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</si>
  <si>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</si>
  <si>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</si>
  <si>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</si>
  <si>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벤치·인클라인 머신과 같은 0.5 등급</t>
  </si>
  <si>
    <t>간접 총합</t>
  </si>
  <si>
    <t>근육군별 주간 세트 — 검산</t>
  </si>
  <si>
    <t>세트는 근육군 단위로 센다. '하체 20세트'는 의미 없는 숫자 — 대퇴 18 / 햄스트링 2여도 하체 20이 된다. 집계는 E열(설계 세트) 기준이다. 간접·실질은 0.5 단위 반올림으로 표시한다 — 메모의 계산 원값과 ±0.25 이내 차이가 날 수 있다.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</si>
  <si>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</si>
  <si>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</si>
  <si>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</si>
  <si>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</si>
  <si>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</si>
  <si>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</si>
  <si>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흉근 합산(상+중하)</t>
  </si>
  <si>
    <t>인클라인 벤치프레스 머신 0.2×4=0.8 — 흉늑지 약관여</t>
  </si>
  <si>
    <t>데드리프트의 광배 등척성 유지 — 주 1세트뿐이라 0으로 하향(계수 0). 직접 14세트로 이미 충분.</t>
  </si>
  <si>
    <t>등</t>
  </si>
  <si>
    <t>직접: 트랩바 슈러그(목) 2세트. 간접: 해머 로우 0.2×4=0.8 · 밀리터리 0.2×3=0.6 · 데드 0.2×1=0.2 = 1.6. 실질 3.6 — 하한(8) 미만. 3~4주 뒤 자극 부족하면 화_밀기A에 2세트 추가해 주 2회로.</t>
  </si>
  <si>
    <t>친업 0.2×4=0.8 + 해머 로우 0.2×4=0.8 = 1.6 — 견갑 하강은 동작 개시 관여라 약계수</t>
  </si>
  <si>
    <t>해머 로우 0.5×4=2 + 시티드 케이블 로우 0.5×3=1.5 + 리버스 펙덱(화) 0.33×4=1.32 = 4.82 — 전부 견갑 후인 계열. (목 케이블 리버스 플라이는 v17 제외로 간접에서 빠짐)</t>
  </si>
  <si>
    <t>스쿼트 0.2×5=1(등척성) + RDL(토) 0.5×3=1.5(동적) + 트랩바 슈러그 0.2×2=0.4 = 2.9</t>
  </si>
  <si>
    <t>벤치 0.5×5=2.5 + 인클라인 머신 0.5×4=2 + 딥스 0.2×3=0.6 = 5.1 (머신 숄더·밀리터리는 직접 전면 분류 · 헤머 체스트는 v17 제외)</t>
  </si>
  <si>
    <t>밀리터리 프레스 0.5×3=1.5. (머신 숄더 프레스는 직접 전면삼각으로 분류 — 측면 간접엔 미포함.)</t>
  </si>
  <si>
    <t>페이스풀(월) 0.5×3=1.5 + 프론 Y(금) 0.5×2=1.0 = 2.5. 후면삼각은 프레스로 안 자라 직접 7세트(화 리버스 펙덱 4 · 금 벤트오버 3 — 3일 간격 주 2회)로 별도 확보. 목 케이블 리버스 플라이는 v17 제외.</t>
  </si>
  <si>
    <t>하체(대퇴·햄·종아리)</t>
  </si>
  <si>
    <t>힙 쓰러스트 0.5×4=2 + 데드 0.5×1=0.5 + 덤벨 RDL(월) 0.5×3=1.5 = 4</t>
  </si>
  <si>
    <t>스쿼트 0.5×5=2.5 + 데드 0.5×1=0.5 + RDL(토) 0.5×3=1.5 + 덤벨 RDL(월) 0.5×3=1.5 + 레그 프레스(수·토) 0.33×6=1.98 = 7.98</t>
  </si>
  <si>
    <t>불가리안 0.33×4=1.32 — 한 다리 지지 관상면 안정화. 스쿼트·레그프레스는 양측 지지라 계수 없음</t>
  </si>
  <si>
    <t>직접 세트 내역: 수 스탠딩 카프 3 (무릎 편 상태 — 비복근) · 토 시티드 카프 3 (무릎 굽힘 — 가자미근). 간접 출처는 없음 — 스쿼트·레그프레스의 발목 관여는 실패지점 근처까지 가지 않아 0으로 둔다.</t>
  </si>
  <si>
    <t>친업 0.5×4=2 + 랫풀다운 0.5×3=1.5 + 해머 로우 0.5×4=2 + 시티드 케이블 로우 0.5×3=1.5 = 7</t>
  </si>
  <si>
    <t>프레스 전 종목 0.5 — 벤치 2.5 · 딥스 1.5 · 밀리터리 1.5 · 머신 숄더 1.5 · 인클라인 머신 2 = 9 (헤머 체스트는 v17 제외)</t>
  </si>
  <si>
    <t>인클라인 덤벨 컬 · 프리쳐 컬 0.33×각3 = 1.98 (바벨 컬은 v17 제외). 순수 그립(데드·로우·친업·트랩바)은 규칙상 0 — 성장 자극 없음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</si>
  <si>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</si>
  <si>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</si>
  <si>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</si>
  <si>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</si>
  <si>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 xml:space="preserve">성장 구간 </t>
    </r>
    <r>
      <rPr>
        <i/>
        <sz val="9"/>
        <color rgb="FF595959"/>
        <rFont val="Arial"/>
        <family val="2"/>
        <charset val="1"/>
      </rPr>
      <t xml:space="preserve">(20 </t>
    </r>
    <r>
      <rPr>
        <i/>
        <sz val="9"/>
        <color rgb="FF595959"/>
        <rFont val="Noto Sans CJK SC"/>
        <family val="2"/>
      </rPr>
      <t xml:space="preserve">초과 시 판정에 </t>
    </r>
    <r>
      <rPr>
        <i/>
        <sz val="9"/>
        <color rgb="FF595959"/>
        <rFont val="Arial"/>
        <family val="2"/>
        <charset val="1"/>
      </rPr>
      <t>"</t>
    </r>
    <r>
      <rPr>
        <i/>
        <sz val="9"/>
        <color rgb="FF595959"/>
        <rFont val="Noto Sans CJK SC"/>
        <family val="2"/>
      </rPr>
      <t>과다 점검</t>
    </r>
    <r>
      <rPr>
        <i/>
        <sz val="9"/>
        <color rgb="FF595959"/>
        <rFont val="Arial"/>
        <family val="2"/>
        <charset val="1"/>
      </rPr>
      <t xml:space="preserve">" </t>
    </r>
    <r>
      <rPr>
        <i/>
        <sz val="9"/>
        <color rgb="FF595959"/>
        <rFont val="Noto Sans CJK SC"/>
        <family val="2"/>
      </rPr>
      <t>표시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</si>
  <si>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</si>
  <si>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</si>
  <si>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</si>
  <si>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</si>
  <si>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</si>
  <si>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판단한다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표의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분리 행은 분포 점검용이며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총량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상한 판단은 합산 기준으로 본다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흉근 합산은 </t>
    </r>
    <r>
      <rPr>
        <i/>
        <sz val="9"/>
        <color rgb="FF595959"/>
        <rFont val="Arial"/>
        <family val="2"/>
        <charset val="1"/>
      </rPr>
      <t>H5</t>
    </r>
    <r>
      <rPr>
        <i/>
        <sz val="9"/>
        <color rgb="FF595959"/>
        <rFont val="Noto Sans CJK SC"/>
        <family val="2"/>
      </rPr>
      <t xml:space="preserve">에 상시 표시 — 현재 직접 </t>
    </r>
    <r>
      <rPr>
        <i/>
        <sz val="9"/>
        <color rgb="FF595959"/>
        <rFont val="Arial"/>
        <family val="2"/>
        <charset val="1"/>
      </rPr>
      <t xml:space="preserve">16 ·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>18).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</si>
  <si>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</si>
  <si>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수 스탠딩 카프 </t>
    </r>
    <r>
      <rPr>
        <i/>
        <sz val="9"/>
        <color rgb="FF595959"/>
        <rFont val="Arial"/>
        <family val="2"/>
        <charset val="1"/>
      </rPr>
      <t xml:space="preserve">3 + </t>
    </r>
    <r>
      <rPr>
        <i/>
        <sz val="9"/>
        <color rgb="FF595959"/>
        <rFont val="Noto Sans CJK SC"/>
        <family val="2"/>
      </rPr>
      <t xml:space="preserve">토 시티드 카프 </t>
    </r>
    <r>
      <rPr>
        <i/>
        <sz val="9"/>
        <color rgb="FF595959"/>
        <rFont val="Arial"/>
        <family val="2"/>
        <charset val="1"/>
      </rPr>
      <t xml:space="preserve">3 =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 — 유지 하한</t>
    </r>
    <r>
      <rPr>
        <i/>
        <sz val="9"/>
        <color rgb="FF595959"/>
        <rFont val="Arial"/>
        <family val="2"/>
        <charset val="1"/>
      </rPr>
      <t xml:space="preserve">(8) </t>
    </r>
    <r>
      <rPr>
        <i/>
        <sz val="9"/>
        <color rgb="FF595959"/>
        <rFont val="Noto Sans CJK SC"/>
        <family val="2"/>
      </rPr>
      <t>미달</t>
    </r>
    <r>
      <rPr>
        <i/>
        <sz val="9"/>
        <color rgb="FF595959"/>
        <rFont val="Arial"/>
        <family val="2"/>
        <charset val="1"/>
      </rPr>
      <t>. 8</t>
    </r>
    <r>
      <rPr>
        <i/>
        <sz val="9"/>
        <color rgb="FF595959"/>
        <rFont val="Noto Sans CJK SC"/>
        <family val="2"/>
      </rPr>
      <t xml:space="preserve">로 올리려면 각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>세트로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</si>
  <si>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일 버전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당기기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× 2). 5</t>
    </r>
    <r>
      <rPr>
        <i/>
        <sz val="9"/>
        <color rgb="FF595959"/>
        <rFont val="Noto Sans CJK SC"/>
        <family val="2"/>
      </rPr>
      <t xml:space="preserve">일 </t>
    </r>
    <r>
      <rPr>
        <i/>
        <sz val="9"/>
        <color rgb="FF595959"/>
        <rFont val="Arial"/>
        <family val="2"/>
        <charset val="1"/>
      </rPr>
      <t xml:space="preserve">147 → </t>
    </r>
    <r>
      <rPr>
        <i/>
        <sz val="9"/>
        <color rgb="FF595959"/>
        <rFont val="Noto Sans CJK SC"/>
        <family val="2"/>
      </rPr>
      <t xml:space="preserve">재편 </t>
    </r>
    <r>
      <rPr>
        <i/>
        <sz val="9"/>
        <color rgb="FF595959"/>
        <rFont val="Arial"/>
        <family val="2"/>
        <charset val="1"/>
      </rPr>
      <t>159 → v17 143 → v18 140 (</t>
    </r>
    <r>
      <rPr>
        <i/>
        <sz val="9"/>
        <color rgb="FF595959"/>
        <rFont val="Noto Sans CJK SC"/>
        <family val="2"/>
      </rPr>
      <t>스캡 풀업 웜업 전환</t>
    </r>
    <r>
      <rPr>
        <i/>
        <sz val="9"/>
        <color rgb="FF595959"/>
        <rFont val="Arial"/>
        <family val="2"/>
        <charset val="1"/>
      </rPr>
      <t>).</t>
    </r>
  </si>
  <si>
    <t>· 하부 승모: 프론 Y(하강+후인) 2 + 오버헤드 슈러그(상방회전) 3 = 직접 5. 스캡 풀업(하강)은 v18에서 월 웜업으로 전환 — 패턴은 매주 유지되나 카운트 제외.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</si>
  <si>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중둔근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종아리는 하한</t>
    </r>
    <r>
      <rPr>
        <i/>
        <sz val="9"/>
        <color rgb="FF595959"/>
        <rFont val="Arial"/>
        <family val="2"/>
        <charset val="1"/>
      </rPr>
      <t xml:space="preserve">(8) </t>
    </r>
    <r>
      <rPr>
        <i/>
        <sz val="9"/>
        <color rgb="FF595959"/>
        <rFont val="Noto Sans CJK SC"/>
        <family val="2"/>
      </rPr>
      <t xml:space="preserve">미달이지만 성장이 아닌 유지 목적 — 계수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으로 둔 양측 지지 안정화 자극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레그프레스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까지 감안한 판단이다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내전근은 실질 </t>
    </r>
    <r>
      <rPr>
        <i/>
        <sz val="9"/>
        <color rgb="FF595959"/>
        <rFont val="Arial"/>
        <family val="2"/>
        <charset val="1"/>
      </rPr>
      <t>10</t>
    </r>
    <r>
      <rPr>
        <i/>
        <sz val="9"/>
        <color rgb="FF595959"/>
        <rFont val="Noto Sans CJK SC"/>
        <family val="2"/>
      </rPr>
      <t xml:space="preserve">으로 충분에 진입 </t>
    </r>
    <r>
      <rPr>
        <i/>
        <sz val="9"/>
        <color rgb="FF595959"/>
        <rFont val="Arial"/>
        <family val="2"/>
        <charset val="1"/>
      </rPr>
      <t>(v14).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</si>
  <si>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중부</t>
    </r>
    <r>
      <rPr>
        <i/>
        <sz val="9"/>
        <color rgb="FF595959"/>
        <rFont val="Arial"/>
        <family val="2"/>
        <charset val="1"/>
      </rPr>
      <t>)·</t>
    </r>
    <r>
      <rPr>
        <i/>
        <sz val="9"/>
        <color rgb="FF595959"/>
        <rFont val="Noto Sans CJK SC"/>
        <family val="2"/>
      </rPr>
      <t xml:space="preserve">능형근 보강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직접 종목이 목요일 켈소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세트뿐이라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켈소는 받침 벤치가 필요해 시티드 케이블 로우 스캡 슈러그로 교체하고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월요일에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세트를 추가해 직접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 확보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총 직접 세트 </t>
    </r>
    <r>
      <rPr>
        <i/>
        <sz val="9"/>
        <color rgb="FF595959"/>
        <rFont val="Arial"/>
        <family val="2"/>
        <charset val="1"/>
      </rPr>
      <t xml:space="preserve">140 (v18 — </t>
    </r>
    <r>
      <rPr>
        <i/>
        <sz val="9"/>
        <color rgb="FF595959"/>
        <rFont val="Noto Sans CJK SC"/>
        <family val="2"/>
      </rPr>
      <t>스캡 풀업 웜업 전환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</si>
  <si>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 xml:space="preserve">신설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>이전에는 항목 자체가 없었다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목요일 트랩바 슈러그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세트 —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금요일 오버헤드 슈러그는 승모 하부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상방회전이라 대체가 아니라 별개 근육이므로 그대로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 xml:space="preserve">3.6 — </t>
    </r>
    <r>
      <rPr>
        <i/>
        <sz val="9"/>
        <color rgb="FF595959"/>
        <rFont val="Noto Sans CJK SC"/>
        <family val="2"/>
      </rPr>
      <t xml:space="preserve">하한 미만 —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 뒤 자극이 부족하면 화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 추가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</si>
  <si>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</si>
  <si>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견갑 프라이밍 웜업 — 월 스캡 풀업 </t>
    </r>
    <r>
      <rPr>
        <i/>
        <sz val="9"/>
        <color rgb="FF595959"/>
        <rFont val="Arial"/>
        <family val="2"/>
        <charset val="1"/>
      </rPr>
      <t>2 (</t>
    </r>
    <r>
      <rPr>
        <i/>
        <sz val="9"/>
        <color rgb="FF595959"/>
        <rFont val="Noto Sans CJK SC"/>
        <family val="2"/>
      </rPr>
      <t>하강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금 케이블 외회전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씩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목 밴드 풀 어파트 </t>
    </r>
    <r>
      <rPr>
        <i/>
        <sz val="9"/>
        <color rgb="FF595959"/>
        <rFont val="Arial"/>
        <family val="2"/>
        <charset val="1"/>
      </rPr>
      <t>2 (</t>
    </r>
    <r>
      <rPr>
        <i/>
        <sz val="9"/>
        <color rgb="FF595959"/>
        <rFont val="Noto Sans CJK SC"/>
        <family val="2"/>
      </rPr>
      <t>후인</t>
    </r>
    <r>
      <rPr>
        <i/>
        <sz val="9"/>
        <color rgb="FF595959"/>
        <rFont val="Arial"/>
        <family val="2"/>
        <charset val="1"/>
      </rPr>
      <t xml:space="preserve">). </t>
    </r>
    <r>
      <rPr>
        <i/>
        <sz val="9"/>
        <color rgb="FF595959"/>
        <rFont val="Noto Sans CJK SC"/>
        <family val="2"/>
      </rPr>
      <t>네 상체일 전부 그날 패턴의 웜업 보유</t>
    </r>
    <r>
      <rPr>
        <i/>
        <sz val="9"/>
        <color rgb="FF595959"/>
        <rFont val="Arial"/>
        <family val="2"/>
        <charset val="1"/>
      </rPr>
      <t>. (</t>
    </r>
    <r>
      <rPr>
        <i/>
        <sz val="9"/>
        <color rgb="FF595959"/>
        <rFont val="Noto Sans CJK SC"/>
        <family val="2"/>
      </rPr>
      <t>월요일 페이스풀은 실제 부하 카운트 세트이므로 여기서 제외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</si>
  <si>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</si>
  <si>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부하가 걸린 외회전 종목은 월요일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세트가 유일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이전에는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</si>
  <si>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</si>
  <si>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</si>
  <si>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</si>
  <si>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</si>
  <si>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</si>
  <si>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</si>
  <si>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</si>
  <si>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</si>
  <si>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</si>
  <si>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</si>
  <si>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</si>
  <si>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</si>
  <si>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</si>
  <si>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</si>
  <si>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</si>
  <si>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</si>
  <si>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</si>
  <si>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</si>
  <si>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</si>
  <si>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</si>
  <si>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</si>
  <si>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</si>
  <si>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</si>
  <si>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</si>
  <si>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</si>
  <si>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</si>
  <si>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</si>
  <si>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</si>
  <si>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</si>
  <si>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</si>
  <si>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</si>
  <si>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</si>
  <si>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</si>
  <si>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</si>
  <si>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</si>
  <si>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</si>
  <si>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</si>
  <si>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</si>
  <si>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</si>
  <si>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</si>
  <si>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</si>
  <si>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</si>
  <si>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</si>
  <si>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</si>
  <si>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</si>
  <si>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</si>
  <si>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</si>
  <si>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</si>
  <si>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</si>
  <si>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</si>
  <si>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</si>
  <si>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</si>
  <si>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</si>
  <si>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</si>
  <si>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</si>
  <si>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</si>
  <si>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</si>
  <si>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</si>
  <si>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r>
      <rPr>
        <b/>
        <sz val="11"/>
        <rFont val="Arial"/>
        <family val="2"/>
        <charset val="1"/>
      </rPr>
      <t>9</t>
    </r>
    <r>
      <rPr>
        <b/>
        <sz val="11"/>
        <rFont val="Noto Sans CJK SC"/>
        <family val="2"/>
      </rPr>
      <t xml:space="preserve">월 전 완충 구간 </t>
    </r>
    <r>
      <rPr>
        <b/>
        <sz val="11"/>
        <rFont val="Arial"/>
        <family val="2"/>
        <charset val="1"/>
      </rPr>
      <t xml:space="preserve">(v15 </t>
    </r>
    <r>
      <rPr>
        <b/>
        <sz val="11"/>
        <rFont val="Noto Sans CJK SC"/>
        <family val="2"/>
      </rPr>
      <t>추가</t>
    </r>
    <r>
      <rPr>
        <b/>
        <sz val="11"/>
        <rFont val="Arial"/>
        <family val="2"/>
        <charset val="1"/>
      </rPr>
      <t>)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</si>
  <si>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재택 </t>
    </r>
    <r>
      <rPr>
        <sz val="11"/>
        <color theme="1"/>
        <rFont val="Calibri"/>
        <family val="2"/>
        <charset val="1"/>
      </rPr>
      <t>140</t>
    </r>
    <r>
      <rPr>
        <sz val="11"/>
        <color theme="1"/>
        <rFont val="Noto Sans CJK SC"/>
        <family val="2"/>
      </rPr>
      <t xml:space="preserve">세트 → 복귀 </t>
    </r>
    <r>
      <rPr>
        <sz val="11"/>
        <color theme="1"/>
        <rFont val="Calibri"/>
        <family val="2"/>
        <charset val="1"/>
      </rPr>
      <t>66</t>
    </r>
    <r>
      <rPr>
        <sz val="11"/>
        <color theme="1"/>
        <rFont val="Noto Sans CJK SC"/>
        <family val="2"/>
      </rPr>
      <t>세트 감축은 유지 하한 밴드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 xml:space="preserve">성장 볼륨의 </t>
    </r>
    <r>
      <rPr>
        <sz val="11"/>
        <color theme="1"/>
        <rFont val="Calibri"/>
        <family val="2"/>
        <charset val="1"/>
      </rPr>
      <t>1/3~1/2 = 47~70</t>
    </r>
    <r>
      <rPr>
        <sz val="11"/>
        <color theme="1"/>
        <rFont val="Noto Sans CJK SC"/>
        <family val="2"/>
      </rPr>
      <t>세트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>안이다 — 하한 아래로 떨어지는 구조가 아니다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그래도 급락보다 완충이 안전하다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</si>
  <si>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복귀 </t>
    </r>
    <r>
      <rPr>
        <sz val="11"/>
        <color theme="1"/>
        <rFont val="Calibri"/>
        <family val="2"/>
        <charset val="1"/>
      </rPr>
      <t>2~3</t>
    </r>
    <r>
      <rPr>
        <sz val="11"/>
        <color theme="1"/>
        <rFont val="Noto Sans CJK SC"/>
        <family val="2"/>
      </rPr>
      <t xml:space="preserve">주 전을 완충 구간으로 둘 것 — 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약 </t>
    </r>
    <r>
      <rPr>
        <sz val="11"/>
        <color theme="1"/>
        <rFont val="Calibri"/>
        <family val="2"/>
        <charset val="1"/>
      </rPr>
      <t>90</t>
    </r>
    <r>
      <rPr>
        <sz val="11"/>
        <color theme="1"/>
        <rFont val="Noto Sans CJK SC"/>
        <family val="2"/>
      </rPr>
      <t>세트로 한 단계 걸치고 내려간다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</si>
  <si>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감축 순서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팔 전용 → 전완 → 등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하체 보조 종목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메인 리프트와 프레싱은 마지막까지 유지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</si>
  <si>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완충 구간에서 중량은 내리지 않는다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볼륨만 줄이고 강도를 유지해야 근력이 남는다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</si>
  <si>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복귀</t>
    </r>
    <r>
      <rPr>
        <sz val="11"/>
        <color theme="1"/>
        <rFont val="Calibri"/>
        <family val="2"/>
        <charset val="1"/>
      </rPr>
      <t>_</t>
    </r>
    <r>
      <rPr>
        <sz val="11"/>
        <color theme="1"/>
        <rFont val="Noto Sans CJK SC"/>
        <family val="2"/>
      </rPr>
      <t>주간계획의 현재 수치</t>
    </r>
    <r>
      <rPr>
        <sz val="11"/>
        <color theme="1"/>
        <rFont val="Calibri"/>
        <family val="2"/>
        <charset val="1"/>
      </rPr>
      <t>: 140 → 66</t>
    </r>
    <r>
      <rPr>
        <sz val="11"/>
        <color theme="1"/>
        <rFont val="Noto Sans CJK SC"/>
        <family val="2"/>
      </rPr>
      <t xml:space="preserve">세트 </t>
    </r>
    <r>
      <rPr>
        <sz val="11"/>
        <color theme="1"/>
        <rFont val="Calibri"/>
        <family val="2"/>
        <charset val="1"/>
      </rPr>
      <t xml:space="preserve">(53% </t>
    </r>
    <r>
      <rPr>
        <sz val="11"/>
        <color theme="1"/>
        <rFont val="Noto Sans CJK SC"/>
        <family val="2"/>
      </rPr>
      <t>감축</t>
    </r>
    <r>
      <rPr>
        <sz val="11"/>
        <color theme="1"/>
        <rFont val="Calibri"/>
        <family val="2"/>
        <charset val="1"/>
      </rPr>
      <t>).</t>
    </r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</si>
  <si>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</si>
  <si>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</si>
  <si>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</si>
  <si>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</si>
  <si>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</si>
  <si>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</si>
  <si>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</si>
  <si>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</si>
  <si>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</si>
  <si>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</si>
  <si>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</si>
  <si>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</si>
  <si>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</si>
  <si>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</si>
  <si>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</si>
  <si>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</si>
  <si>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</si>
  <si>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</si>
  <si>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</si>
  <si>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</si>
  <si>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</si>
  <si>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</si>
  <si>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</si>
  <si>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</si>
  <si>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</si>
  <si>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</si>
  <si>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</si>
  <si>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</si>
  <si>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</si>
  <si>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</si>
  <si>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</si>
  <si>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140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66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(53%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). 9</t>
    </r>
    <r>
      <rPr>
        <i/>
        <sz val="9"/>
        <color rgb="FF595959"/>
        <rFont val="Noto Sans CJK SC"/>
        <family val="2"/>
      </rPr>
      <t xml:space="preserve">월 전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주는 주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회로 완충 — 당기기 </t>
    </r>
    <r>
      <rPr>
        <i/>
        <sz val="9"/>
        <color rgb="FF595959"/>
        <rFont val="Arial"/>
        <family val="2"/>
        <charset val="1"/>
      </rPr>
      <t>B·</t>
    </r>
    <r>
      <rPr>
        <i/>
        <sz val="9"/>
        <color rgb="FF595959"/>
        <rFont val="Noto Sans CJK SC"/>
        <family val="2"/>
      </rPr>
      <t xml:space="preserve">밀기 </t>
    </r>
    <r>
      <rPr>
        <i/>
        <sz val="9"/>
        <color rgb="FF595959"/>
        <rFont val="Arial"/>
        <family val="2"/>
        <charset val="1"/>
      </rPr>
      <t>B</t>
    </r>
    <r>
      <rPr>
        <i/>
        <sz val="9"/>
        <color rgb="FF595959"/>
        <rFont val="Noto Sans CJK SC"/>
        <family val="2"/>
      </rPr>
      <t xml:space="preserve">를 빼면 </t>
    </r>
    <r>
      <rPr>
        <i/>
        <sz val="9"/>
        <color rgb="FF595959"/>
        <rFont val="Arial"/>
        <family val="2"/>
        <charset val="1"/>
      </rPr>
      <t>93</t>
    </r>
    <r>
      <rPr>
        <i/>
        <sz val="9"/>
        <color rgb="FF595959"/>
        <rFont val="Noto Sans CJK SC"/>
        <family val="2"/>
      </rPr>
      <t>으로 완충 목표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약 </t>
    </r>
    <r>
      <rPr>
        <i/>
        <sz val="9"/>
        <color rgb="FF595959"/>
        <rFont val="Arial"/>
        <family val="2"/>
        <charset val="1"/>
      </rPr>
      <t>90)</t>
    </r>
    <r>
      <rPr>
        <i/>
        <sz val="9"/>
        <color rgb="FF595959"/>
        <rFont val="Noto Sans CJK SC"/>
        <family val="2"/>
      </rPr>
      <t>에 바로 닿는다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</si>
  <si>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</si>
  <si>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</si>
  <si>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전용 종목만 삭제 — 그립은 현장에서 온종일 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은 유지 목적으로 남겼다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재택 이두 </t>
    </r>
    <r>
      <rPr>
        <i/>
        <sz val="9"/>
        <color rgb="FF595959"/>
        <rFont val="Arial"/>
        <family val="2"/>
        <charset val="1"/>
      </rPr>
      <t xml:space="preserve">6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4 = 10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</si>
  <si>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종목은 재택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일 프로그램에 있는 것으로 구성했다 — 유일한 예외인 스미스 오버헤드 프레스도 밀리터리의 대체 목록에 있던 궤도 고정 버전이라 새로 익힐 동작이 없다</t>
    </r>
    <r>
      <rPr>
        <i/>
        <sz val="9"/>
        <color rgb="FF595959"/>
        <rFont val="Arial"/>
        <family val="2"/>
        <charset val="1"/>
      </rPr>
      <t>.</t>
    </r>
  </si>
  <si>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무거운 프리웨이트는 스쿼트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벤치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데드 셋뿐이다</t>
    </r>
    <r>
      <rPr>
        <sz val="9"/>
        <color rgb="FF595959"/>
        <rFont val="Arial"/>
        <family val="2"/>
        <charset val="1"/>
      </rPr>
      <t xml:space="preserve">. </t>
    </r>
    <r>
      <rPr>
        <sz val="9"/>
        <color rgb="FF595959"/>
        <rFont val="Noto Sans CJK SC"/>
        <family val="2"/>
      </rPr>
      <t>밀리터리는 스미스</t>
    </r>
    <r>
      <rPr>
        <sz val="9"/>
        <color rgb="FF595959"/>
        <rFont val="Arial"/>
        <family val="2"/>
        <charset val="1"/>
      </rPr>
      <t xml:space="preserve">, </t>
    </r>
    <r>
      <rPr>
        <sz val="9"/>
        <color rgb="FF595959"/>
        <rFont val="Noto Sans CJK SC"/>
        <family val="2"/>
      </rPr>
      <t xml:space="preserve">나머지는 전부 머신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케이블 — 현장 일이 안정화 근육을 이미 하루치 쓰고 온다</t>
    </r>
    <r>
      <rPr>
        <sz val="9"/>
        <color rgb="FF595959"/>
        <rFont val="Arial"/>
        <family val="2"/>
        <charset val="1"/>
      </rPr>
      <t>.</t>
    </r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</si>
  <si>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</si>
  <si>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</si>
  <si>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</si>
  <si>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</si>
  <si>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좌우 독립 + 궤도 고정. 재택 금요일과 같은 종목이라 새로 익힐 것이 없다</t>
  </si>
  <si>
    <t>케이블 체스트 프레스 (전 구간 장력) / 덤벨 프레스 (가동범위 ↑)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</si>
  <si>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</si>
  <si>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</si>
  <si>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</si>
  <si>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</si>
  <si>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</si>
  <si>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</si>
  <si>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</si>
  <si>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</si>
  <si>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</si>
  <si>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</si>
  <si>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</si>
  <si>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</si>
  <si>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</si>
  <si>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</si>
  <si>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</si>
  <si>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</si>
  <si>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</si>
  <si>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</si>
  <si>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</si>
  <si>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</si>
  <si>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</si>
  <si>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</si>
  <si>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</si>
  <si>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</si>
  <si>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</si>
  <si>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</si>
  <si>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</si>
  <si>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</si>
  <si>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</si>
  <si>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</si>
  <si>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</si>
  <si>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</si>
  <si>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</si>
  <si>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</si>
  <si>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</si>
  <si>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</si>
  <si>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</si>
  <si>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</si>
  <si>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</si>
  <si>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</si>
  <si>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</si>
  <si>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</si>
  <si>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</si>
  <si>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</si>
  <si>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</si>
  <si>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</si>
  <si>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</si>
  <si>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</si>
  <si>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</si>
  <si>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복귀판에 코어가 통째로 비어 있었다. 현장 일은 코어를 버티게만 하지 굴곡시키지 않는다</t>
  </si>
  <si>
    <t>케이블 크런치 (머신) / 앱스 머신 / 캡틴 체어 니 레이즈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</si>
  <si>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</si>
  <si>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무게는 재택에서 도달한 중량을 그대로 이어간다</t>
    </r>
    <r>
      <rPr>
        <i/>
        <sz val="9"/>
        <color rgb="FF595959"/>
        <rFont val="Arial"/>
        <family val="2"/>
        <charset val="1"/>
      </rPr>
      <t>. D5</t>
    </r>
    <r>
      <rPr>
        <i/>
        <sz val="9"/>
        <color rgb="FF595959"/>
        <rFont val="Noto Sans CJK SC"/>
        <family val="2"/>
      </rPr>
      <t>가 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설정의 현재 작업중량과 연동돼 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</si>
  <si>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</si>
  <si>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</si>
  <si>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</si>
  <si>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완전 휴무일이라 재택 </t>
    </r>
    <r>
      <rPr>
        <i/>
        <sz val="9"/>
        <color rgb="FF595959"/>
        <rFont val="Arial"/>
        <family val="2"/>
        <charset val="1"/>
      </rPr>
      <t>14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</si>
  <si>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</si>
  <si>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</si>
  <si>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</si>
  <si>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</si>
  <si>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</si>
  <si>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</si>
  <si>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</si>
  <si>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</si>
  <si>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</si>
  <si>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t>총 세트</t>
  </si>
  <si>
    <r>
      <rPr>
        <sz val="10"/>
        <rFont val="Arial"/>
        <family val="2"/>
        <charset val="1"/>
      </rPr>
      <t>153</t>
    </r>
    <r>
      <rPr>
        <sz val="10"/>
        <rFont val="Noto Sans CJK SC"/>
        <family val="2"/>
      </rPr>
      <t>세트</t>
    </r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</si>
  <si>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</si>
  <si>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</si>
  <si>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</si>
  <si>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</si>
  <si>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</si>
  <si>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</si>
  <si>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</si>
  <si>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</si>
  <si>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</si>
  <si>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</si>
  <si>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</si>
  <si>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</si>
  <si>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</si>
  <si>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</si>
  <si>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+5kg</t>
    </r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</si>
  <si>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+2.5kg</t>
    </r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</si>
  <si>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</si>
  <si>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</si>
  <si>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</si>
  <si>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</si>
  <si>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</si>
  <si>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25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</si>
  <si>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이두 </t>
    </r>
    <r>
      <rPr>
        <sz val="10"/>
        <rFont val="Arial"/>
        <family val="2"/>
        <charset val="1"/>
      </rPr>
      <t xml:space="preserve">3 · </t>
    </r>
    <r>
      <rPr>
        <sz val="10"/>
        <rFont val="Noto Sans CJK SC"/>
        <family val="2"/>
      </rPr>
      <t xml:space="preserve">삼두 </t>
    </r>
    <r>
      <rPr>
        <sz val="10"/>
        <rFont val="Arial"/>
        <family val="2"/>
        <charset val="1"/>
      </rPr>
      <t>3)</t>
    </r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</si>
  <si>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</si>
  <si>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</si>
  <si>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</si>
  <si>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</si>
  <si>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</si>
  <si>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</si>
  <si>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</si>
  <si>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</si>
  <si>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</si>
  <si>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</si>
  <si>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</si>
  <si>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</si>
  <si>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</si>
  <si>
    <r>
      <t>75 8개밖에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못함</t>
    </r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</si>
</sst>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5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566573"/>
      <name val="Noto Sans CJK SC"/>
      <family val="2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9"/>
      <color rgb="FF595959"/>
      <name val="Arial"/>
      <family val="2"/>
      <charset val="1"/>
    </font>
    <font>
      <sz val="9"/>
      <color rgb="FF595959"/>
      <name val="Noto Sans CJK SC"/>
      <family val="2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9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/>
    <xf numFmtId="0" fontId="18" fillId="0" borderId="0" xfId="0" applyFont="1" applyAlignment="1">
      <alignment horizontal="left" vertical="center" wrapText="1"/>
    </xf>
    <xf numFmtId="0" fontId="23" fillId="0" borderId="0" xfId="0" applyFont="1"/>
    <xf numFmtId="0" fontId="24" fillId="3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/>
    </xf>
    <xf numFmtId="2" fontId="13" fillId="4" borderId="1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2" fontId="20" fillId="4" borderId="1" xfId="0" applyNumberFormat="1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0" xfId="0" applyFont="1"/>
    <xf numFmtId="0" fontId="27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8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0" fontId="31" fillId="0" borderId="2" xfId="0" applyFont="1" applyBorder="1" applyAlignment="1">
      <alignment horizontal="center"/>
    </xf>
    <xf numFmtId="0" fontId="32" fillId="0" borderId="2" xfId="0" applyFont="1" applyBorder="1"/>
    <xf numFmtId="0" fontId="33" fillId="0" borderId="2" xfId="0" applyFont="1" applyBorder="1"/>
    <xf numFmtId="0" fontId="35" fillId="0" borderId="2" xfId="0" applyFont="1" applyBorder="1" applyAlignment="1">
      <alignment horizontal="center"/>
    </xf>
    <xf numFmtId="2" fontId="13" fillId="0" borderId="0" xfId="0" applyNumberFormat="1" applyFont="1"/>
    <xf numFmtId="0" fontId="8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36" fillId="0" borderId="0" xfId="0" applyFont="1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37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0" borderId="0" xfId="0" applyFont="1"/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0" fontId="39" fillId="0" borderId="0" xfId="0" applyFont="1"/>
    <xf numFmtId="2" fontId="8" fillId="4" borderId="1" xfId="0" applyNumberFormat="1" applyFont="1" applyFill="1" applyBorder="1" applyAlignment="1">
      <alignment horizontal="center" vertical="center"/>
    </xf>
    <xf numFmtId="0" fontId="21" fillId="0" borderId="0" xfId="0" applyFont="1"/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41" fillId="0" borderId="0" xfId="0" applyFont="1"/>
    <xf numFmtId="0" fontId="42" fillId="0" borderId="0" xfId="0" applyFont="1"/>
    <xf numFmtId="0" fontId="29" fillId="0" borderId="0" xfId="0" applyFont="1" applyAlignment="1">
      <alignment vertical="top" wrapText="1"/>
    </xf>
    <xf numFmtId="0" fontId="30" fillId="6" borderId="0" xfId="0" applyFont="1" applyFill="1" applyAlignment="1">
      <alignment vertical="top" wrapText="1"/>
    </xf>
    <xf numFmtId="0" fontId="36" fillId="0" borderId="3" xfId="0" applyFont="1" applyBorder="1" applyAlignment="1">
      <alignment horizontal="center" vertical="center"/>
    </xf>
  </cellXfs>
  <cellStyles count="1">
    <cellStyle name="표준" xfId="0" builtinId="0"/>
  </cellStyles>
  <dxfs count="6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F15" sqref="F1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2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42.5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47.5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24.75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21.25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53</v>
      </c>
    </row>
    <row r="2" spans="1:6" ht="15" customHeight="1">
      <c r="A2" s="18" t="s">
        <v>54</v>
      </c>
    </row>
    <row r="4" spans="1:6" ht="15" customHeight="1">
      <c r="A4" s="19" t="s">
        <v>55</v>
      </c>
      <c r="B4" s="19" t="s">
        <v>56</v>
      </c>
      <c r="C4" s="19" t="s">
        <v>57</v>
      </c>
      <c r="D4" s="19" t="s">
        <v>58</v>
      </c>
      <c r="E4" s="19" t="s">
        <v>59</v>
      </c>
      <c r="F4" s="19" t="s">
        <v>60</v>
      </c>
    </row>
    <row r="5" spans="1:6" ht="15" customHeight="1">
      <c r="A5" s="20" t="s">
        <v>61</v>
      </c>
      <c r="B5" s="21" t="s">
        <v>62</v>
      </c>
      <c r="C5" s="22" t="s">
        <v>63</v>
      </c>
      <c r="D5" s="21" t="s">
        <v>64</v>
      </c>
      <c r="E5" s="20">
        <f>월_당기기A!$E$15</f>
        <v>22</v>
      </c>
      <c r="F5" s="20" t="s">
        <v>65</v>
      </c>
    </row>
    <row r="6" spans="1:6" ht="15" customHeight="1">
      <c r="A6" s="20" t="s">
        <v>66</v>
      </c>
      <c r="B6" s="21" t="s">
        <v>67</v>
      </c>
      <c r="C6" s="21" t="s">
        <v>68</v>
      </c>
      <c r="D6" s="21" t="s">
        <v>69</v>
      </c>
      <c r="E6" s="20">
        <f>화_밀기A!$E$26</f>
        <v>22</v>
      </c>
      <c r="F6" s="20" t="s">
        <v>70</v>
      </c>
    </row>
    <row r="7" spans="1:6" ht="15" customHeight="1">
      <c r="A7" s="20" t="s">
        <v>71</v>
      </c>
      <c r="B7" s="21" t="s">
        <v>72</v>
      </c>
      <c r="C7" s="21" t="s">
        <v>73</v>
      </c>
      <c r="D7" s="21" t="s">
        <v>74</v>
      </c>
      <c r="E7" s="20">
        <f>수_하체A!$E$23</f>
        <v>25</v>
      </c>
      <c r="F7" s="20" t="s">
        <v>75</v>
      </c>
    </row>
    <row r="8" spans="1:6" ht="15" customHeight="1">
      <c r="A8" s="23" t="s">
        <v>76</v>
      </c>
      <c r="B8" s="24" t="s">
        <v>77</v>
      </c>
      <c r="C8" s="25" t="s">
        <v>63</v>
      </c>
      <c r="D8" s="24" t="s">
        <v>78</v>
      </c>
      <c r="E8" s="23">
        <f>목_당기기B!$E$14</f>
        <v>23</v>
      </c>
      <c r="F8" s="20" t="s">
        <v>65</v>
      </c>
    </row>
    <row r="9" spans="1:6" ht="15" customHeight="1">
      <c r="A9" s="20" t="s">
        <v>79</v>
      </c>
      <c r="B9" s="21" t="s">
        <v>80</v>
      </c>
      <c r="C9" s="21" t="s">
        <v>81</v>
      </c>
      <c r="D9" s="21" t="s">
        <v>82</v>
      </c>
      <c r="E9" s="20">
        <f>금_밀기B!$E$29</f>
        <v>25</v>
      </c>
      <c r="F9" s="20" t="s">
        <v>75</v>
      </c>
    </row>
    <row r="10" spans="1:6" ht="15" customHeight="1">
      <c r="A10" s="20" t="s">
        <v>83</v>
      </c>
      <c r="B10" s="21" t="s">
        <v>84</v>
      </c>
      <c r="C10" s="21" t="s">
        <v>85</v>
      </c>
      <c r="D10" s="21" t="s">
        <v>86</v>
      </c>
      <c r="E10" s="20">
        <f>토_하체B!$E$23</f>
        <v>24</v>
      </c>
      <c r="F10" s="20" t="s">
        <v>75</v>
      </c>
    </row>
    <row r="11" spans="1:6" ht="15" customHeight="1">
      <c r="A11" s="23" t="s">
        <v>87</v>
      </c>
      <c r="B11" s="24" t="s">
        <v>88</v>
      </c>
      <c r="C11" s="25" t="s">
        <v>63</v>
      </c>
      <c r="D11" s="25" t="s">
        <v>63</v>
      </c>
      <c r="E11" s="23">
        <v>0</v>
      </c>
      <c r="F11" s="26" t="s">
        <v>63</v>
      </c>
    </row>
    <row r="12" spans="1:6" ht="15" customHeight="1">
      <c r="A12" s="27" t="s">
        <v>89</v>
      </c>
      <c r="B12" s="28"/>
      <c r="C12" s="29"/>
      <c r="D12" s="28"/>
      <c r="E12" s="27">
        <f>SUM(E5:E11)</f>
        <v>141</v>
      </c>
    </row>
    <row r="14" spans="1:6" ht="16.5" customHeight="1">
      <c r="A14" s="13" t="s">
        <v>90</v>
      </c>
    </row>
    <row r="15" spans="1:6" ht="89.25" customHeight="1">
      <c r="A15" s="30" t="s">
        <v>91</v>
      </c>
    </row>
    <row r="16" spans="1:6" ht="76.5" customHeight="1">
      <c r="A16" s="30" t="s">
        <v>92</v>
      </c>
    </row>
    <row r="17" spans="1:1" ht="38.25" customHeight="1">
      <c r="A17" s="30" t="s">
        <v>93</v>
      </c>
    </row>
    <row r="18" spans="1:1" ht="114.75" customHeight="1">
      <c r="A18" s="30" t="s">
        <v>94</v>
      </c>
    </row>
    <row r="19" spans="1:1" ht="16.5" customHeight="1">
      <c r="A19" s="31" t="s">
        <v>95</v>
      </c>
    </row>
    <row r="20" spans="1:1" ht="16.5" customHeight="1">
      <c r="A20" t="s">
        <v>96</v>
      </c>
    </row>
    <row r="21" spans="1:1" ht="15" customHeight="1">
      <c r="A21" s="14" t="s">
        <v>97</v>
      </c>
    </row>
    <row r="22" spans="1:1" ht="15" customHeight="1">
      <c r="A22" s="31" t="s">
        <v>98</v>
      </c>
    </row>
    <row r="23" spans="1:1" ht="15" customHeight="1">
      <c r="A23" s="31" t="s">
        <v>99</v>
      </c>
    </row>
    <row r="24" spans="1:1" ht="15" customHeight="1">
      <c r="A24" s="31" t="s">
        <v>100</v>
      </c>
    </row>
    <row r="25" spans="1:1" ht="16.5" customHeight="1">
      <c r="A25" s="31" t="s">
        <v>101</v>
      </c>
    </row>
    <row r="26" spans="1:1" ht="15" customHeight="1">
      <c r="A26" s="2"/>
    </row>
    <row r="27" spans="1:1" ht="15" customHeight="1">
      <c r="A27" s="3" t="s">
        <v>102</v>
      </c>
    </row>
    <row r="28" spans="1:1" ht="79.5" customHeight="1">
      <c r="A28" s="30" t="s">
        <v>103</v>
      </c>
    </row>
    <row r="29" spans="1:1" ht="64.5" customHeight="1">
      <c r="A29" s="30" t="s">
        <v>104</v>
      </c>
    </row>
    <row r="30" spans="1:1" ht="90" customHeight="1">
      <c r="A30" s="30" t="s">
        <v>105</v>
      </c>
    </row>
    <row r="31" spans="1:1" ht="102.75" customHeight="1">
      <c r="A31" s="30" t="s">
        <v>106</v>
      </c>
    </row>
    <row r="32" spans="1:1" ht="100.5" customHeight="1">
      <c r="A32" s="11"/>
    </row>
    <row r="33" spans="1:1" ht="15" customHeight="1">
      <c r="A33" s="13" t="s">
        <v>107</v>
      </c>
    </row>
    <row r="34" spans="1:1" ht="90" customHeight="1">
      <c r="A34" s="32" t="s">
        <v>108</v>
      </c>
    </row>
    <row r="35" spans="1:1" ht="51.75" customHeight="1">
      <c r="A35" s="32" t="s">
        <v>109</v>
      </c>
    </row>
    <row r="36" spans="1:1" ht="77.25" customHeight="1">
      <c r="A36" s="11"/>
    </row>
    <row r="37" spans="1:1" ht="64.5" customHeight="1">
      <c r="A37" s="13" t="s">
        <v>110</v>
      </c>
    </row>
    <row r="38" spans="1:1" ht="16.5" customHeight="1">
      <c r="A38" s="31" t="s">
        <v>111</v>
      </c>
    </row>
    <row r="39" spans="1:1" ht="16.5" customHeight="1">
      <c r="A39" s="31" t="s">
        <v>112</v>
      </c>
    </row>
    <row r="40" spans="1:1" ht="16.5" customHeight="1">
      <c r="A40" s="31" t="s">
        <v>113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zoomScaleNormal="100" workbookViewId="0">
      <pane ySplit="5" topLeftCell="A6" activePane="bottomLeft" state="frozen"/>
      <selection pane="bottomLeft" activeCell="D6" sqref="D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114</v>
      </c>
    </row>
    <row r="2" spans="1:9" ht="16.5" customHeight="1">
      <c r="A2" s="18" t="s">
        <v>115</v>
      </c>
    </row>
    <row r="3" spans="1:9">
      <c r="A3" s="33" t="s">
        <v>116</v>
      </c>
    </row>
    <row r="4" spans="1:9" ht="15" customHeight="1">
      <c r="A4" s="3" t="s">
        <v>117</v>
      </c>
    </row>
    <row r="5" spans="1:9" ht="16.5" customHeight="1">
      <c r="A5" s="34" t="s">
        <v>118</v>
      </c>
      <c r="B5" s="35" t="s">
        <v>4</v>
      </c>
      <c r="C5" s="35" t="s">
        <v>119</v>
      </c>
      <c r="D5" s="35" t="s">
        <v>120</v>
      </c>
      <c r="E5" s="35" t="s">
        <v>59</v>
      </c>
      <c r="F5" s="35" t="s">
        <v>121</v>
      </c>
      <c r="G5" s="35" t="s">
        <v>122</v>
      </c>
      <c r="H5" s="35" t="s">
        <v>123</v>
      </c>
      <c r="I5" s="35" t="s">
        <v>124</v>
      </c>
    </row>
    <row r="6" spans="1:9" ht="16.5" customHeight="1">
      <c r="A6" s="20">
        <v>1</v>
      </c>
      <c r="B6" s="21" t="s">
        <v>125</v>
      </c>
      <c r="C6" s="20" t="s">
        <v>126</v>
      </c>
      <c r="D6" s="20">
        <v>60</v>
      </c>
      <c r="E6" s="20">
        <v>4</v>
      </c>
      <c r="F6" s="26" t="s">
        <v>127</v>
      </c>
      <c r="G6" s="21" t="s">
        <v>128</v>
      </c>
      <c r="H6" s="21" t="s">
        <v>129</v>
      </c>
      <c r="I6" s="21" t="s">
        <v>130</v>
      </c>
    </row>
    <row r="7" spans="1:9" ht="16.5" customHeight="1">
      <c r="A7" s="20">
        <v>2</v>
      </c>
      <c r="B7" s="21" t="s">
        <v>131</v>
      </c>
      <c r="C7" s="20" t="s">
        <v>126</v>
      </c>
      <c r="D7" s="26">
        <v>40</v>
      </c>
      <c r="E7" s="20">
        <v>3</v>
      </c>
      <c r="F7" s="26" t="s">
        <v>132</v>
      </c>
      <c r="G7" s="21" t="s">
        <v>128</v>
      </c>
      <c r="H7" s="21" t="s">
        <v>133</v>
      </c>
      <c r="I7" s="21" t="s">
        <v>134</v>
      </c>
    </row>
    <row r="8" spans="1:9" ht="16.5" customHeight="1">
      <c r="A8" s="20">
        <v>3</v>
      </c>
      <c r="B8" s="21" t="s">
        <v>135</v>
      </c>
      <c r="C8" s="20" t="s">
        <v>136</v>
      </c>
      <c r="D8" s="20" t="s">
        <v>137</v>
      </c>
      <c r="E8" s="20">
        <v>0</v>
      </c>
      <c r="F8" s="26" t="s">
        <v>138</v>
      </c>
      <c r="G8" s="21" t="s">
        <v>139</v>
      </c>
      <c r="H8" s="21" t="s">
        <v>140</v>
      </c>
      <c r="I8" s="21" t="s">
        <v>141</v>
      </c>
    </row>
    <row r="9" spans="1:9" ht="16.5" customHeight="1">
      <c r="A9" s="20">
        <v>4</v>
      </c>
      <c r="B9" s="21" t="s">
        <v>142</v>
      </c>
      <c r="C9" s="20" t="s">
        <v>143</v>
      </c>
      <c r="D9" s="20">
        <v>20</v>
      </c>
      <c r="E9" s="20">
        <v>3</v>
      </c>
      <c r="F9" s="26" t="s">
        <v>145</v>
      </c>
      <c r="G9" s="21" t="s">
        <v>146</v>
      </c>
      <c r="H9" s="21" t="s">
        <v>147</v>
      </c>
      <c r="I9" s="21" t="s">
        <v>148</v>
      </c>
    </row>
    <row r="10" spans="1:9" ht="16.5" customHeight="1">
      <c r="A10" s="20">
        <v>5</v>
      </c>
      <c r="B10" s="21" t="s">
        <v>149</v>
      </c>
      <c r="C10" s="20" t="s">
        <v>128</v>
      </c>
      <c r="D10" s="26" t="s">
        <v>150</v>
      </c>
      <c r="E10" s="20">
        <v>0</v>
      </c>
      <c r="F10" s="26" t="s">
        <v>132</v>
      </c>
      <c r="G10" s="21" t="s">
        <v>151</v>
      </c>
      <c r="H10" s="21" t="s">
        <v>152</v>
      </c>
      <c r="I10" s="22" t="s">
        <v>153</v>
      </c>
    </row>
    <row r="11" spans="1:9" ht="16.5" customHeight="1">
      <c r="A11" s="20">
        <v>6</v>
      </c>
      <c r="B11" s="21" t="s">
        <v>154</v>
      </c>
      <c r="C11" s="20" t="s">
        <v>128</v>
      </c>
      <c r="D11" s="26">
        <v>6</v>
      </c>
      <c r="E11" s="20">
        <v>3</v>
      </c>
      <c r="F11" s="26" t="s">
        <v>132</v>
      </c>
      <c r="G11" s="21" t="s">
        <v>151</v>
      </c>
      <c r="H11" s="21" t="s">
        <v>155</v>
      </c>
      <c r="I11" s="21" t="s">
        <v>156</v>
      </c>
    </row>
    <row r="12" spans="1:9" ht="16.5" customHeight="1">
      <c r="A12" s="20">
        <v>7</v>
      </c>
      <c r="B12" s="21" t="s">
        <v>157</v>
      </c>
      <c r="C12" s="20" t="s">
        <v>151</v>
      </c>
      <c r="D12" s="20">
        <v>10</v>
      </c>
      <c r="E12" s="20">
        <v>3</v>
      </c>
      <c r="F12" s="26" t="s">
        <v>158</v>
      </c>
      <c r="G12" s="21"/>
      <c r="H12" s="21" t="s">
        <v>159</v>
      </c>
      <c r="I12" s="21" t="s">
        <v>160</v>
      </c>
    </row>
    <row r="13" spans="1:9" ht="15" customHeight="1">
      <c r="A13" s="20">
        <v>8</v>
      </c>
      <c r="B13" s="21" t="s">
        <v>161</v>
      </c>
      <c r="C13" s="20" t="s">
        <v>162</v>
      </c>
      <c r="D13" s="20" t="s">
        <v>137</v>
      </c>
      <c r="E13" s="20">
        <v>3</v>
      </c>
      <c r="F13" s="26" t="s">
        <v>144</v>
      </c>
      <c r="G13" s="21"/>
      <c r="H13" s="21" t="s">
        <v>163</v>
      </c>
      <c r="I13" s="21" t="s">
        <v>164</v>
      </c>
    </row>
    <row r="14" spans="1:9" ht="15" customHeight="1">
      <c r="A14" s="20">
        <v>9</v>
      </c>
      <c r="B14" s="21" t="s">
        <v>165</v>
      </c>
      <c r="C14" s="20" t="s">
        <v>166</v>
      </c>
      <c r="D14" s="20">
        <v>20</v>
      </c>
      <c r="E14" s="20">
        <v>3</v>
      </c>
      <c r="F14" s="26" t="s">
        <v>167</v>
      </c>
      <c r="G14" s="21" t="s">
        <v>168</v>
      </c>
      <c r="H14" s="36" t="s">
        <v>169</v>
      </c>
      <c r="I14" s="36" t="s">
        <v>170</v>
      </c>
    </row>
    <row r="15" spans="1:9" ht="15" customHeight="1">
      <c r="D15" s="37" t="s">
        <v>171</v>
      </c>
      <c r="E15" s="38">
        <f>SUM(E6:E14)</f>
        <v>22</v>
      </c>
    </row>
  </sheetData>
  <phoneticPr fontId="43" type="noConversion"/>
  <conditionalFormatting sqref="A6:K14">
    <cfRule type="expression" dxfId="5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6"/>
  <sheetViews>
    <sheetView zoomScaleNormal="100" workbookViewId="0">
      <pane ySplit="19" topLeftCell="A20" activePane="bottomLeft" state="frozen"/>
      <selection pane="bottomLeft" activeCell="D25" sqref="D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172</v>
      </c>
    </row>
    <row r="2" spans="1:3" ht="16.5" customHeight="1">
      <c r="A2" s="18" t="s">
        <v>173</v>
      </c>
    </row>
    <row r="4" spans="1:3" ht="16.5" customHeight="1">
      <c r="A4" s="3" t="s">
        <v>174</v>
      </c>
    </row>
    <row r="5" spans="1:3" ht="16.5" customHeight="1">
      <c r="A5" s="19" t="s">
        <v>120</v>
      </c>
      <c r="B5" s="19" t="s">
        <v>175</v>
      </c>
      <c r="C5" s="19" t="s">
        <v>59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IF(MAX(20,MROUND(시작중량_설정!$E$9*0.75,2.5))&lt;=MAX(20,MROUND(시작중량_설정!$E$9*0.6,2.5)),"생략",MAX(20,MROUND(시작중량_설정!$E$9*0.75,2.5)))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22.5</v>
      </c>
      <c r="B9" s="20">
        <v>2</v>
      </c>
      <c r="C9" s="20">
        <v>1</v>
      </c>
    </row>
    <row r="10" spans="1:3" ht="15" customHeight="1">
      <c r="A10" s="39">
        <f>시작중량_설정!$E$9</f>
        <v>24.75</v>
      </c>
      <c r="B10" s="27">
        <v>5</v>
      </c>
      <c r="C10" s="27">
        <v>5</v>
      </c>
    </row>
    <row r="11" spans="1:3" ht="16.5" customHeight="1">
      <c r="A11" s="31" t="s">
        <v>176</v>
      </c>
    </row>
    <row r="13" spans="1:3" ht="16.5" customHeight="1">
      <c r="A13" s="3" t="s">
        <v>177</v>
      </c>
    </row>
    <row r="14" spans="1:3" ht="16.5" customHeight="1">
      <c r="A14" s="31" t="s">
        <v>178</v>
      </c>
    </row>
    <row r="15" spans="1:3" ht="16.5" customHeight="1">
      <c r="A15" s="31" t="s">
        <v>179</v>
      </c>
    </row>
    <row r="16" spans="1:3" ht="16.5" customHeight="1">
      <c r="A16" s="31" t="s">
        <v>180</v>
      </c>
    </row>
    <row r="18" spans="1:9" ht="15" customHeight="1">
      <c r="A18" s="3" t="s">
        <v>117</v>
      </c>
    </row>
    <row r="19" spans="1:9" ht="16.5" customHeight="1">
      <c r="A19" s="34" t="s">
        <v>118</v>
      </c>
      <c r="B19" s="35" t="s">
        <v>4</v>
      </c>
      <c r="C19" s="35" t="s">
        <v>119</v>
      </c>
      <c r="D19" s="35" t="s">
        <v>120</v>
      </c>
      <c r="E19" s="35" t="s">
        <v>59</v>
      </c>
      <c r="F19" s="35" t="s">
        <v>121</v>
      </c>
      <c r="G19" s="35" t="s">
        <v>122</v>
      </c>
      <c r="H19" s="35" t="s">
        <v>123</v>
      </c>
      <c r="I19" s="35" t="s">
        <v>124</v>
      </c>
    </row>
    <row r="20" spans="1:9" ht="16.5" customHeight="1">
      <c r="A20" s="40">
        <v>1</v>
      </c>
      <c r="B20" s="41" t="s">
        <v>181</v>
      </c>
      <c r="C20" s="42" t="s">
        <v>182</v>
      </c>
      <c r="D20" s="43">
        <f>시작중량_설정!$E$9</f>
        <v>24.75</v>
      </c>
      <c r="E20" s="42">
        <v>5</v>
      </c>
      <c r="F20" s="40" t="s">
        <v>183</v>
      </c>
      <c r="G20" s="41" t="s">
        <v>184</v>
      </c>
      <c r="H20" s="41" t="s">
        <v>185</v>
      </c>
      <c r="I20" s="41" t="s">
        <v>186</v>
      </c>
    </row>
    <row r="21" spans="1:9" ht="16.5" customHeight="1">
      <c r="A21" s="20">
        <v>2</v>
      </c>
      <c r="B21" s="21" t="s">
        <v>187</v>
      </c>
      <c r="C21" s="20" t="s">
        <v>182</v>
      </c>
      <c r="D21" s="44" t="s">
        <v>672</v>
      </c>
      <c r="E21" s="20">
        <v>3</v>
      </c>
      <c r="F21" s="26" t="s">
        <v>138</v>
      </c>
      <c r="G21" s="21" t="s">
        <v>188</v>
      </c>
      <c r="H21" s="21" t="s">
        <v>189</v>
      </c>
      <c r="I21" s="21" t="s">
        <v>190</v>
      </c>
    </row>
    <row r="22" spans="1:9" ht="16.5" customHeight="1">
      <c r="A22" s="20">
        <v>3</v>
      </c>
      <c r="B22" s="21" t="s">
        <v>191</v>
      </c>
      <c r="C22" s="20" t="s">
        <v>192</v>
      </c>
      <c r="D22" s="26">
        <v>6</v>
      </c>
      <c r="E22" s="20">
        <v>4</v>
      </c>
      <c r="F22" s="26" t="s">
        <v>193</v>
      </c>
      <c r="G22" s="21"/>
      <c r="H22" s="21" t="s">
        <v>194</v>
      </c>
      <c r="I22" s="21" t="s">
        <v>195</v>
      </c>
    </row>
    <row r="23" spans="1:9" ht="16.5" customHeight="1">
      <c r="A23" s="20">
        <v>4</v>
      </c>
      <c r="B23" s="21" t="s">
        <v>196</v>
      </c>
      <c r="C23" s="20" t="s">
        <v>188</v>
      </c>
      <c r="D23" s="26">
        <v>10</v>
      </c>
      <c r="E23" s="20">
        <v>0</v>
      </c>
      <c r="F23" s="26" t="s">
        <v>132</v>
      </c>
      <c r="G23" s="21"/>
      <c r="H23" s="21" t="s">
        <v>197</v>
      </c>
      <c r="I23" s="21" t="s">
        <v>198</v>
      </c>
    </row>
    <row r="24" spans="1:9" ht="16.5" customHeight="1">
      <c r="A24" s="20">
        <v>5</v>
      </c>
      <c r="B24" s="21" t="s">
        <v>199</v>
      </c>
      <c r="C24" s="20" t="s">
        <v>200</v>
      </c>
      <c r="D24" s="26">
        <v>6</v>
      </c>
      <c r="E24" s="20">
        <v>6</v>
      </c>
      <c r="F24" s="26" t="s">
        <v>145</v>
      </c>
      <c r="G24" s="21"/>
      <c r="H24" s="21" t="s">
        <v>201</v>
      </c>
      <c r="I24" s="21" t="s">
        <v>202</v>
      </c>
    </row>
    <row r="25" spans="1:9" ht="16.5" customHeight="1">
      <c r="A25" s="20">
        <v>6</v>
      </c>
      <c r="B25" s="21" t="s">
        <v>203</v>
      </c>
      <c r="C25" s="45" t="s">
        <v>204</v>
      </c>
      <c r="D25" s="26">
        <v>20</v>
      </c>
      <c r="E25" s="20">
        <v>4</v>
      </c>
      <c r="F25" s="26" t="s">
        <v>145</v>
      </c>
      <c r="G25" s="21"/>
      <c r="H25" s="21"/>
      <c r="I25" s="21"/>
    </row>
    <row r="26" spans="1:9" ht="15" customHeight="1">
      <c r="D26" s="3" t="s">
        <v>171</v>
      </c>
      <c r="E26" s="27">
        <f>SUM(E20:E25)</f>
        <v>22</v>
      </c>
    </row>
  </sheetData>
  <phoneticPr fontId="43" type="noConversion"/>
  <conditionalFormatting sqref="A20:K25">
    <cfRule type="expression" dxfId="4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3"/>
  <sheetViews>
    <sheetView zoomScaleNormal="100" workbookViewId="0">
      <pane ySplit="14" topLeftCell="A15" activePane="bottomLeft" state="frozen"/>
      <selection pane="bottomLeft" activeCell="D23" sqref="D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205</v>
      </c>
    </row>
    <row r="2" spans="1:9" ht="16.5" customHeight="1">
      <c r="A2" s="18" t="s">
        <v>206</v>
      </c>
    </row>
    <row r="4" spans="1:9" ht="16.5" customHeight="1">
      <c r="A4" s="3" t="s">
        <v>207</v>
      </c>
    </row>
    <row r="5" spans="1:9" ht="16.5" customHeight="1">
      <c r="A5" s="19" t="s">
        <v>120</v>
      </c>
      <c r="B5" s="19" t="s">
        <v>175</v>
      </c>
      <c r="C5" s="19" t="s">
        <v>59</v>
      </c>
    </row>
    <row r="6" spans="1:9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9" ht="15" customHeight="1">
      <c r="A7" s="20">
        <f>IF(MAX(20,MROUND(시작중량_설정!$E$7*0.6,2.5))&lt;=MAX(20,MROUND(시작중량_설정!$E$7*0.4,2.5)),"생략",MAX(20,MROUND(시작중량_설정!$E$7*0.6,2.5)))</f>
        <v>25</v>
      </c>
      <c r="B7" s="20">
        <v>5</v>
      </c>
      <c r="C7" s="20">
        <v>1</v>
      </c>
    </row>
    <row r="8" spans="1:9" ht="15" customHeight="1">
      <c r="A8" s="20">
        <f>IF(MAX(20,MROUND(시작중량_설정!$E$7*0.75,2.5))&lt;=MAX(20,MROUND(시작중량_설정!$E$7*0.6,2.5)),"생략",MAX(20,MROUND(시작중량_설정!$E$7*0.75,2.5)))</f>
        <v>32.5</v>
      </c>
      <c r="B8" s="20">
        <v>3</v>
      </c>
      <c r="C8" s="20">
        <v>1</v>
      </c>
    </row>
    <row r="9" spans="1:9" ht="15" customHeight="1">
      <c r="A9" s="20">
        <f>IF(MAX(20,MROUND(시작중량_설정!$E$7*0.9,2.5))&lt;=MAX(20,MROUND(시작중량_설정!$E$7*0.75,2.5)),"생략",MAX(20,MROUND(시작중량_설정!$E$7*0.9,2.5)))</f>
        <v>37.5</v>
      </c>
      <c r="B9" s="20">
        <v>2</v>
      </c>
      <c r="C9" s="20">
        <v>1</v>
      </c>
    </row>
    <row r="10" spans="1:9" ht="15" customHeight="1">
      <c r="A10" s="39">
        <f>시작중량_설정!$E$7</f>
        <v>42.5</v>
      </c>
      <c r="B10" s="27">
        <v>5</v>
      </c>
      <c r="C10" s="27">
        <v>5</v>
      </c>
    </row>
    <row r="11" spans="1:9" ht="16.5" customHeight="1">
      <c r="A11" s="31" t="s">
        <v>176</v>
      </c>
    </row>
    <row r="13" spans="1:9" ht="15" customHeight="1">
      <c r="A13" s="3" t="s">
        <v>117</v>
      </c>
    </row>
    <row r="14" spans="1:9" ht="16.5" customHeight="1">
      <c r="A14" s="34" t="s">
        <v>118</v>
      </c>
      <c r="B14" s="35" t="s">
        <v>4</v>
      </c>
      <c r="C14" s="35" t="s">
        <v>119</v>
      </c>
      <c r="D14" s="35" t="s">
        <v>120</v>
      </c>
      <c r="E14" s="35" t="s">
        <v>59</v>
      </c>
      <c r="F14" s="35" t="s">
        <v>121</v>
      </c>
      <c r="G14" s="35" t="s">
        <v>122</v>
      </c>
      <c r="H14" s="35" t="s">
        <v>123</v>
      </c>
      <c r="I14" s="35" t="s">
        <v>124</v>
      </c>
    </row>
    <row r="15" spans="1:9" ht="16.5" customHeight="1">
      <c r="A15" s="42">
        <v>1</v>
      </c>
      <c r="B15" s="41" t="s">
        <v>208</v>
      </c>
      <c r="C15" s="42" t="s">
        <v>209</v>
      </c>
      <c r="D15" s="43">
        <f>시작중량_설정!$E$7</f>
        <v>42.5</v>
      </c>
      <c r="E15" s="42">
        <v>5</v>
      </c>
      <c r="F15" s="40" t="s">
        <v>183</v>
      </c>
      <c r="G15" s="41" t="s">
        <v>210</v>
      </c>
      <c r="H15" s="41" t="s">
        <v>211</v>
      </c>
      <c r="I15" s="41" t="s">
        <v>212</v>
      </c>
    </row>
    <row r="16" spans="1:9" ht="16.5" customHeight="1">
      <c r="A16" s="20">
        <v>2</v>
      </c>
      <c r="B16" s="21" t="s">
        <v>213</v>
      </c>
      <c r="C16" s="20" t="s">
        <v>209</v>
      </c>
      <c r="D16" s="26">
        <v>100</v>
      </c>
      <c r="E16" s="20">
        <v>3</v>
      </c>
      <c r="F16" s="26" t="s">
        <v>132</v>
      </c>
      <c r="G16" s="21" t="s">
        <v>214</v>
      </c>
      <c r="H16" s="21" t="s">
        <v>215</v>
      </c>
      <c r="I16" s="21" t="s">
        <v>216</v>
      </c>
    </row>
    <row r="17" spans="1:9" ht="16.5" customHeight="1">
      <c r="A17" s="20">
        <v>3</v>
      </c>
      <c r="B17" s="21" t="s">
        <v>217</v>
      </c>
      <c r="C17" s="20" t="s">
        <v>214</v>
      </c>
      <c r="D17" s="20">
        <v>15</v>
      </c>
      <c r="E17" s="20">
        <v>4</v>
      </c>
      <c r="F17" s="26" t="s">
        <v>218</v>
      </c>
      <c r="G17" s="21" t="s">
        <v>219</v>
      </c>
      <c r="H17" s="21" t="s">
        <v>220</v>
      </c>
      <c r="I17" s="21" t="s">
        <v>221</v>
      </c>
    </row>
    <row r="18" spans="1:9" ht="16.5" customHeight="1">
      <c r="A18" s="20">
        <v>4</v>
      </c>
      <c r="B18" s="21" t="s">
        <v>222</v>
      </c>
      <c r="C18" s="20" t="s">
        <v>223</v>
      </c>
      <c r="D18" s="26">
        <v>35</v>
      </c>
      <c r="E18" s="20">
        <v>4</v>
      </c>
      <c r="F18" s="26" t="s">
        <v>193</v>
      </c>
      <c r="G18" s="21"/>
      <c r="H18" s="21" t="s">
        <v>224</v>
      </c>
      <c r="I18" s="21" t="s">
        <v>225</v>
      </c>
    </row>
    <row r="19" spans="1:9" ht="16.5" customHeight="1">
      <c r="A19" s="20">
        <v>5</v>
      </c>
      <c r="B19" s="21" t="s">
        <v>226</v>
      </c>
      <c r="C19" s="20" t="s">
        <v>227</v>
      </c>
      <c r="D19" s="26">
        <v>32</v>
      </c>
      <c r="E19" s="20">
        <v>4</v>
      </c>
      <c r="F19" s="26" t="s">
        <v>145</v>
      </c>
      <c r="G19" s="21"/>
      <c r="H19" s="21" t="s">
        <v>228</v>
      </c>
      <c r="I19" s="21" t="s">
        <v>229</v>
      </c>
    </row>
    <row r="20" spans="1:9" ht="16.5" customHeight="1">
      <c r="A20" s="20">
        <v>6</v>
      </c>
      <c r="B20" s="21" t="s">
        <v>230</v>
      </c>
      <c r="C20" s="20" t="s">
        <v>231</v>
      </c>
      <c r="D20" s="26" t="s">
        <v>63</v>
      </c>
      <c r="E20" s="20">
        <v>0</v>
      </c>
      <c r="F20" s="26" t="s">
        <v>232</v>
      </c>
      <c r="G20" s="21"/>
      <c r="H20" s="21" t="s">
        <v>233</v>
      </c>
      <c r="I20" s="21" t="s">
        <v>234</v>
      </c>
    </row>
    <row r="21" spans="1:9" ht="16.5" customHeight="1">
      <c r="A21" s="20">
        <v>7</v>
      </c>
      <c r="B21" s="21" t="s">
        <v>235</v>
      </c>
      <c r="C21" s="20" t="s">
        <v>236</v>
      </c>
      <c r="D21" s="26">
        <v>6</v>
      </c>
      <c r="E21" s="20">
        <v>3</v>
      </c>
      <c r="F21" s="26" t="s">
        <v>145</v>
      </c>
      <c r="G21" s="21"/>
      <c r="H21" s="21" t="s">
        <v>237</v>
      </c>
      <c r="I21" s="21" t="s">
        <v>238</v>
      </c>
    </row>
    <row r="22" spans="1:9" ht="15" customHeight="1">
      <c r="A22" s="20">
        <v>8</v>
      </c>
      <c r="B22" s="36" t="s">
        <v>239</v>
      </c>
      <c r="C22" s="20" t="s">
        <v>162</v>
      </c>
      <c r="D22" s="26">
        <v>10</v>
      </c>
      <c r="E22" s="20">
        <v>2</v>
      </c>
      <c r="F22" s="26" t="s">
        <v>240</v>
      </c>
      <c r="G22" s="21"/>
      <c r="H22" s="21" t="s">
        <v>241</v>
      </c>
      <c r="I22" s="21" t="s">
        <v>242</v>
      </c>
    </row>
    <row r="23" spans="1:9" ht="15" customHeight="1">
      <c r="D23" s="3" t="s">
        <v>171</v>
      </c>
      <c r="E23" s="27">
        <f>SUM(E15:E22)</f>
        <v>25</v>
      </c>
    </row>
  </sheetData>
  <phoneticPr fontId="43" type="noConversion"/>
  <conditionalFormatting sqref="A15:K22">
    <cfRule type="expression" dxfId="3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zoomScaleNormal="100" workbookViewId="0">
      <pane ySplit="5" topLeftCell="A6" activePane="bottomLeft" state="frozen"/>
      <selection pane="bottomLeft" activeCell="D14" sqref="D1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243</v>
      </c>
    </row>
    <row r="2" spans="1:9" ht="16.5" customHeight="1">
      <c r="A2" s="18" t="s">
        <v>244</v>
      </c>
    </row>
    <row r="3" spans="1:9">
      <c r="A3" s="33" t="s">
        <v>245</v>
      </c>
    </row>
    <row r="4" spans="1:9" ht="15" customHeight="1">
      <c r="A4" s="3" t="s">
        <v>117</v>
      </c>
    </row>
    <row r="5" spans="1:9" ht="16.5" customHeight="1">
      <c r="A5" s="34" t="s">
        <v>118</v>
      </c>
      <c r="B5" s="35" t="s">
        <v>4</v>
      </c>
      <c r="C5" s="35" t="s">
        <v>119</v>
      </c>
      <c r="D5" s="35" t="s">
        <v>120</v>
      </c>
      <c r="E5" s="35" t="s">
        <v>59</v>
      </c>
      <c r="F5" s="35" t="s">
        <v>121</v>
      </c>
      <c r="G5" s="35" t="s">
        <v>122</v>
      </c>
      <c r="H5" s="35" t="s">
        <v>123</v>
      </c>
      <c r="I5" s="35" t="s">
        <v>124</v>
      </c>
    </row>
    <row r="6" spans="1:9" ht="16.5" customHeight="1">
      <c r="A6" s="20">
        <v>1</v>
      </c>
      <c r="B6" s="21" t="s">
        <v>246</v>
      </c>
      <c r="C6" s="20" t="s">
        <v>126</v>
      </c>
      <c r="D6" s="26">
        <v>35</v>
      </c>
      <c r="E6" s="20">
        <v>4</v>
      </c>
      <c r="F6" s="26" t="s">
        <v>138</v>
      </c>
      <c r="G6" s="21" t="s">
        <v>247</v>
      </c>
      <c r="H6" s="21" t="s">
        <v>248</v>
      </c>
      <c r="I6" s="21" t="s">
        <v>249</v>
      </c>
    </row>
    <row r="7" spans="1:9" ht="16.5" customHeight="1">
      <c r="A7" s="20">
        <v>2</v>
      </c>
      <c r="B7" s="21" t="s">
        <v>250</v>
      </c>
      <c r="C7" s="20" t="s">
        <v>126</v>
      </c>
      <c r="D7" s="26">
        <v>32</v>
      </c>
      <c r="E7" s="20">
        <v>3</v>
      </c>
      <c r="F7" s="26" t="s">
        <v>132</v>
      </c>
      <c r="G7" s="21" t="s">
        <v>247</v>
      </c>
      <c r="H7" s="21" t="s">
        <v>251</v>
      </c>
      <c r="I7" s="21" t="s">
        <v>252</v>
      </c>
    </row>
    <row r="8" spans="1:9" ht="16.5" customHeight="1">
      <c r="A8" s="20">
        <v>3</v>
      </c>
      <c r="B8" s="21" t="s">
        <v>253</v>
      </c>
      <c r="C8" s="20" t="s">
        <v>143</v>
      </c>
      <c r="D8" s="20">
        <v>25</v>
      </c>
      <c r="E8" s="20">
        <v>4</v>
      </c>
      <c r="F8" s="26" t="s">
        <v>145</v>
      </c>
      <c r="G8" s="21" t="s">
        <v>254</v>
      </c>
      <c r="H8" s="21" t="s">
        <v>255</v>
      </c>
      <c r="I8" s="21" t="s">
        <v>256</v>
      </c>
    </row>
    <row r="9" spans="1:9" ht="16.5" customHeight="1">
      <c r="A9" s="20">
        <v>4</v>
      </c>
      <c r="B9" s="21" t="s">
        <v>257</v>
      </c>
      <c r="C9" s="20" t="s">
        <v>204</v>
      </c>
      <c r="D9" s="26" t="s">
        <v>145</v>
      </c>
      <c r="E9" s="20">
        <v>0</v>
      </c>
      <c r="F9" s="26" t="s">
        <v>167</v>
      </c>
      <c r="G9" s="21" t="s">
        <v>258</v>
      </c>
      <c r="H9" s="21" t="s">
        <v>259</v>
      </c>
      <c r="I9" s="21" t="s">
        <v>260</v>
      </c>
    </row>
    <row r="10" spans="1:9" ht="16.5" customHeight="1">
      <c r="A10" s="20">
        <v>5</v>
      </c>
      <c r="B10" s="21" t="s">
        <v>261</v>
      </c>
      <c r="C10" s="20" t="s">
        <v>128</v>
      </c>
      <c r="D10" s="26">
        <v>25</v>
      </c>
      <c r="E10" s="20">
        <v>3</v>
      </c>
      <c r="F10" s="26" t="s">
        <v>132</v>
      </c>
      <c r="G10" s="21" t="s">
        <v>151</v>
      </c>
      <c r="H10" s="21" t="s">
        <v>263</v>
      </c>
      <c r="I10" s="22" t="s">
        <v>264</v>
      </c>
    </row>
    <row r="11" spans="1:9" ht="16.5" customHeight="1">
      <c r="A11" s="20">
        <v>6</v>
      </c>
      <c r="B11" s="21" t="s">
        <v>265</v>
      </c>
      <c r="C11" s="20" t="s">
        <v>151</v>
      </c>
      <c r="D11" s="20">
        <v>15</v>
      </c>
      <c r="E11" s="20">
        <v>3</v>
      </c>
      <c r="F11" s="26" t="s">
        <v>158</v>
      </c>
      <c r="G11" s="21"/>
      <c r="H11" s="21" t="s">
        <v>266</v>
      </c>
      <c r="I11" s="21" t="s">
        <v>267</v>
      </c>
    </row>
    <row r="12" spans="1:9" ht="16.5" customHeight="1">
      <c r="A12" s="20">
        <v>7</v>
      </c>
      <c r="B12" s="21" t="s">
        <v>268</v>
      </c>
      <c r="C12" s="20" t="s">
        <v>269</v>
      </c>
      <c r="D12" s="20">
        <v>15</v>
      </c>
      <c r="E12" s="20">
        <v>3</v>
      </c>
      <c r="F12" s="26" t="s">
        <v>193</v>
      </c>
      <c r="G12" s="21" t="s">
        <v>270</v>
      </c>
      <c r="H12" s="21" t="s">
        <v>271</v>
      </c>
      <c r="I12" s="21" t="s">
        <v>272</v>
      </c>
    </row>
    <row r="13" spans="1:9" ht="15" customHeight="1">
      <c r="A13" s="20">
        <v>8</v>
      </c>
      <c r="B13" s="21" t="s">
        <v>273</v>
      </c>
      <c r="C13" s="20" t="s">
        <v>162</v>
      </c>
      <c r="D13" s="20">
        <v>10</v>
      </c>
      <c r="E13" s="20">
        <v>3</v>
      </c>
      <c r="F13" s="26" t="s">
        <v>167</v>
      </c>
      <c r="G13" s="21"/>
      <c r="H13" s="21" t="s">
        <v>274</v>
      </c>
      <c r="I13" s="21" t="s">
        <v>275</v>
      </c>
    </row>
    <row r="14" spans="1:9" ht="15" customHeight="1">
      <c r="D14" s="3" t="s">
        <v>171</v>
      </c>
      <c r="E14" s="27">
        <f>SUM(E6:E13)</f>
        <v>23</v>
      </c>
    </row>
  </sheetData>
  <phoneticPr fontId="43" type="noConversion"/>
  <conditionalFormatting sqref="A6:K13">
    <cfRule type="expression" dxfId="2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8"/>
  <sheetViews>
    <sheetView tabSelected="1" zoomScaleNormal="100" workbookViewId="0">
      <pane ySplit="19" topLeftCell="A20" activePane="bottomLeft" state="frozen"/>
      <selection pane="bottomLeft" activeCell="O32" sqref="O3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276</v>
      </c>
    </row>
    <row r="2" spans="1:3" ht="16.5" customHeight="1">
      <c r="A2" s="18" t="s">
        <v>277</v>
      </c>
    </row>
    <row r="4" spans="1:3" ht="16.5" customHeight="1">
      <c r="A4" s="3" t="s">
        <v>278</v>
      </c>
    </row>
    <row r="5" spans="1:3" ht="16.5" customHeight="1">
      <c r="A5" s="19" t="s">
        <v>120</v>
      </c>
      <c r="B5" s="19" t="s">
        <v>175</v>
      </c>
      <c r="C5" s="19" t="s">
        <v>59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 t="str">
        <f>IF(MAX(20,MROUND(시작중량_설정!$E$10*0.9,2.5))&lt;=MAX(20,MROUND(시작중량_설정!$E$10*0.75,2.5)),"생략",MAX(20,MROUND(시작중량_설정!$E$10*0.9,2.5)))</f>
        <v>생략</v>
      </c>
      <c r="B9" s="20">
        <v>2</v>
      </c>
      <c r="C9" s="20">
        <v>1</v>
      </c>
    </row>
    <row r="10" spans="1:3" ht="15" customHeight="1">
      <c r="A10" s="39">
        <f>시작중량_설정!$E$10</f>
        <v>21.25</v>
      </c>
      <c r="B10" s="27">
        <v>5</v>
      </c>
      <c r="C10" s="27">
        <v>3</v>
      </c>
    </row>
    <row r="11" spans="1:3" ht="16.5" customHeight="1">
      <c r="A11" s="31" t="s">
        <v>176</v>
      </c>
    </row>
    <row r="13" spans="1:3" ht="16.5" customHeight="1">
      <c r="A13" s="3" t="s">
        <v>177</v>
      </c>
    </row>
    <row r="14" spans="1:3" ht="16.5" customHeight="1">
      <c r="A14" s="31" t="s">
        <v>178</v>
      </c>
    </row>
    <row r="15" spans="1:3" ht="16.5" customHeight="1">
      <c r="A15" s="31" t="s">
        <v>179</v>
      </c>
    </row>
    <row r="16" spans="1:3" ht="16.5" customHeight="1">
      <c r="A16" s="31" t="s">
        <v>180</v>
      </c>
    </row>
    <row r="18" spans="1:9" ht="15" customHeight="1">
      <c r="A18" s="3" t="s">
        <v>117</v>
      </c>
    </row>
    <row r="19" spans="1:9" ht="16.5" customHeight="1">
      <c r="A19" s="34" t="s">
        <v>118</v>
      </c>
      <c r="B19" s="35" t="s">
        <v>4</v>
      </c>
      <c r="C19" s="35" t="s">
        <v>119</v>
      </c>
      <c r="D19" s="35" t="s">
        <v>120</v>
      </c>
      <c r="E19" s="35" t="s">
        <v>59</v>
      </c>
      <c r="F19" s="35" t="s">
        <v>121</v>
      </c>
      <c r="G19" s="35" t="s">
        <v>122</v>
      </c>
      <c r="H19" s="35" t="s">
        <v>123</v>
      </c>
      <c r="I19" s="35" t="s">
        <v>124</v>
      </c>
    </row>
    <row r="20" spans="1:9" ht="16.5" customHeight="1">
      <c r="A20" s="42">
        <v>1</v>
      </c>
      <c r="B20" s="41" t="s">
        <v>279</v>
      </c>
      <c r="C20" s="42" t="s">
        <v>280</v>
      </c>
      <c r="D20" s="43">
        <f>시작중량_설정!$E$10</f>
        <v>21.25</v>
      </c>
      <c r="E20" s="42">
        <v>3</v>
      </c>
      <c r="F20" s="40" t="s">
        <v>183</v>
      </c>
      <c r="G20" s="41" t="s">
        <v>281</v>
      </c>
      <c r="H20" s="41" t="s">
        <v>282</v>
      </c>
      <c r="I20" s="41" t="s">
        <v>283</v>
      </c>
    </row>
    <row r="21" spans="1:9" ht="16.5" customHeight="1">
      <c r="A21" s="20">
        <v>2</v>
      </c>
      <c r="B21" s="21" t="s">
        <v>284</v>
      </c>
      <c r="C21" s="20" t="s">
        <v>280</v>
      </c>
      <c r="D21" s="20">
        <v>15</v>
      </c>
      <c r="E21" s="20">
        <v>3</v>
      </c>
      <c r="F21" s="26" t="s">
        <v>167</v>
      </c>
      <c r="G21" s="21" t="s">
        <v>285</v>
      </c>
      <c r="H21" s="21" t="s">
        <v>286</v>
      </c>
      <c r="I21" s="21" t="s">
        <v>287</v>
      </c>
    </row>
    <row r="22" spans="1:9" ht="16.5" customHeight="1">
      <c r="A22" s="20">
        <v>3</v>
      </c>
      <c r="B22" s="36" t="s">
        <v>288</v>
      </c>
      <c r="C22" s="20" t="s">
        <v>136</v>
      </c>
      <c r="D22" s="20">
        <v>10</v>
      </c>
      <c r="E22" s="20">
        <v>3</v>
      </c>
      <c r="F22" s="26" t="s">
        <v>145</v>
      </c>
      <c r="G22" s="21" t="s">
        <v>139</v>
      </c>
      <c r="H22" s="21" t="s">
        <v>289</v>
      </c>
      <c r="I22" s="21" t="s">
        <v>290</v>
      </c>
    </row>
    <row r="23" spans="1:9" ht="16.5" customHeight="1">
      <c r="A23" s="20">
        <v>4</v>
      </c>
      <c r="B23" s="21" t="s">
        <v>291</v>
      </c>
      <c r="C23" s="20" t="s">
        <v>182</v>
      </c>
      <c r="D23" s="26">
        <v>15</v>
      </c>
      <c r="E23" s="20">
        <v>2</v>
      </c>
      <c r="F23" s="26" t="s">
        <v>132</v>
      </c>
      <c r="G23" s="21" t="s">
        <v>188</v>
      </c>
      <c r="H23" s="21" t="s">
        <v>293</v>
      </c>
      <c r="I23" s="21" t="s">
        <v>294</v>
      </c>
    </row>
    <row r="24" spans="1:9" ht="16.5" customHeight="1">
      <c r="A24" s="20">
        <v>5</v>
      </c>
      <c r="B24" s="21" t="s">
        <v>295</v>
      </c>
      <c r="C24" s="20" t="s">
        <v>192</v>
      </c>
      <c r="D24" s="26">
        <v>30</v>
      </c>
      <c r="E24" s="20">
        <v>4</v>
      </c>
      <c r="F24" s="26" t="s">
        <v>138</v>
      </c>
      <c r="G24" s="21" t="s">
        <v>184</v>
      </c>
      <c r="H24" s="21" t="s">
        <v>297</v>
      </c>
      <c r="I24" s="21" t="s">
        <v>298</v>
      </c>
    </row>
    <row r="25" spans="1:9" ht="16.5" customHeight="1">
      <c r="A25" s="20">
        <v>6</v>
      </c>
      <c r="B25" s="21" t="s">
        <v>299</v>
      </c>
      <c r="C25" s="20" t="s">
        <v>204</v>
      </c>
      <c r="D25" s="26">
        <v>10</v>
      </c>
      <c r="E25" s="20">
        <v>3</v>
      </c>
      <c r="F25" s="26" t="s">
        <v>145</v>
      </c>
      <c r="G25" s="21"/>
      <c r="H25" s="21" t="s">
        <v>300</v>
      </c>
      <c r="I25" s="21" t="s">
        <v>301</v>
      </c>
    </row>
    <row r="26" spans="1:9" ht="16.5" customHeight="1">
      <c r="A26" s="20">
        <v>7</v>
      </c>
      <c r="B26" s="21" t="s">
        <v>302</v>
      </c>
      <c r="C26" s="20" t="s">
        <v>200</v>
      </c>
      <c r="D26" s="26">
        <v>5</v>
      </c>
      <c r="E26" s="20">
        <v>3</v>
      </c>
      <c r="F26" s="26" t="s">
        <v>193</v>
      </c>
      <c r="G26" s="21"/>
      <c r="H26" s="21" t="s">
        <v>303</v>
      </c>
      <c r="I26" s="21" t="s">
        <v>304</v>
      </c>
    </row>
    <row r="27" spans="1:9" ht="16.5" customHeight="1">
      <c r="A27" s="20">
        <v>8</v>
      </c>
      <c r="B27" s="21" t="s">
        <v>305</v>
      </c>
      <c r="C27" s="20" t="s">
        <v>136</v>
      </c>
      <c r="D27" s="26" t="s">
        <v>306</v>
      </c>
      <c r="E27" s="20">
        <v>0</v>
      </c>
      <c r="F27" s="26" t="s">
        <v>145</v>
      </c>
      <c r="G27" s="21" t="s">
        <v>254</v>
      </c>
      <c r="H27" s="21" t="s">
        <v>307</v>
      </c>
      <c r="I27" s="21" t="s">
        <v>308</v>
      </c>
    </row>
    <row r="28" spans="1:9" ht="15" customHeight="1">
      <c r="A28" s="20">
        <v>9</v>
      </c>
      <c r="B28" s="21" t="s">
        <v>196</v>
      </c>
      <c r="C28" s="20" t="s">
        <v>188</v>
      </c>
      <c r="D28" s="26">
        <v>15</v>
      </c>
      <c r="E28" s="20">
        <v>4</v>
      </c>
      <c r="F28" s="26" t="s">
        <v>132</v>
      </c>
      <c r="G28" s="21"/>
      <c r="H28" s="21" t="s">
        <v>309</v>
      </c>
      <c r="I28" s="21" t="s">
        <v>310</v>
      </c>
    </row>
    <row r="29" spans="1:9" ht="15" customHeight="1">
      <c r="D29" s="46" t="s">
        <v>171</v>
      </c>
      <c r="E29" s="47">
        <f>SUM(E20:E28)</f>
        <v>25</v>
      </c>
    </row>
    <row r="31" spans="1:9" ht="16.5" customHeight="1">
      <c r="A31" s="3" t="s">
        <v>311</v>
      </c>
    </row>
    <row r="32" spans="1:9" ht="16.5" customHeight="1">
      <c r="A32" s="31" t="s">
        <v>312</v>
      </c>
    </row>
    <row r="33" spans="1:1" ht="16.5" customHeight="1">
      <c r="A33" s="31" t="s">
        <v>313</v>
      </c>
    </row>
    <row r="34" spans="1:1" ht="16.5" customHeight="1">
      <c r="A34" s="31" t="s">
        <v>314</v>
      </c>
    </row>
    <row r="35" spans="1:1" ht="16.5" customHeight="1">
      <c r="A35" s="31" t="s">
        <v>315</v>
      </c>
    </row>
    <row r="36" spans="1:1" ht="16.5" customHeight="1">
      <c r="A36" s="31" t="s">
        <v>316</v>
      </c>
    </row>
    <row r="37" spans="1:1" ht="16.5" customHeight="1">
      <c r="A37" s="31" t="s">
        <v>317</v>
      </c>
    </row>
    <row r="38" spans="1:1" ht="16.5" customHeight="1">
      <c r="A38" s="31" t="s">
        <v>318</v>
      </c>
    </row>
  </sheetData>
  <phoneticPr fontId="43" type="noConversion"/>
  <conditionalFormatting sqref="A20:K28">
    <cfRule type="expression" dxfId="1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4"/>
  <sheetViews>
    <sheetView zoomScaleNormal="100" workbookViewId="0">
      <pane ySplit="14" topLeftCell="A15" activePane="bottomLeft" state="frozen"/>
      <selection pane="bottomLeft" activeCell="G28" sqref="G28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319</v>
      </c>
    </row>
    <row r="2" spans="1:9" ht="16.5" customHeight="1">
      <c r="A2" s="18" t="s">
        <v>320</v>
      </c>
    </row>
    <row r="4" spans="1:9" ht="16.5" customHeight="1">
      <c r="A4" s="3" t="s">
        <v>321</v>
      </c>
    </row>
    <row r="5" spans="1:9" ht="16.5" customHeight="1">
      <c r="A5" s="19" t="s">
        <v>120</v>
      </c>
      <c r="B5" s="19" t="s">
        <v>175</v>
      </c>
      <c r="C5" s="19" t="s">
        <v>59</v>
      </c>
    </row>
    <row r="6" spans="1:9" ht="15" customHeight="1">
      <c r="A6" s="20">
        <f>MAX(20,MROUND(시작중량_설정!$E$8*0.4,2.5))</f>
        <v>20</v>
      </c>
      <c r="B6" s="20">
        <v>5</v>
      </c>
      <c r="C6" s="20">
        <v>2</v>
      </c>
    </row>
    <row r="7" spans="1:9" ht="15" customHeight="1">
      <c r="A7" s="20">
        <f>IF(MAX(20,MROUND(시작중량_설정!$E$8*0.6,2.5))&lt;=MAX(20,MROUND(시작중량_설정!$E$8*0.4,2.5)),"생략",MAX(20,MROUND(시작중량_설정!$E$8*0.6,2.5)))</f>
        <v>27.5</v>
      </c>
      <c r="B7" s="20">
        <v>5</v>
      </c>
      <c r="C7" s="20">
        <v>1</v>
      </c>
    </row>
    <row r="8" spans="1:9" ht="15" customHeight="1">
      <c r="A8" s="20">
        <f>IF(MAX(20,MROUND(시작중량_설정!$E$8*0.75,2.5))&lt;=MAX(20,MROUND(시작중량_설정!$E$8*0.6,2.5)),"생략",MAX(20,MROUND(시작중량_설정!$E$8*0.75,2.5)))</f>
        <v>35</v>
      </c>
      <c r="B8" s="20">
        <v>3</v>
      </c>
      <c r="C8" s="20">
        <v>1</v>
      </c>
    </row>
    <row r="9" spans="1:9" ht="15" customHeight="1">
      <c r="A9" s="20">
        <f>IF(MAX(20,MROUND(시작중량_설정!$E$8*0.9,2.5))&lt;=MAX(20,MROUND(시작중량_설정!$E$8*0.75,2.5)),"생략",MAX(20,MROUND(시작중량_설정!$E$8*0.9,2.5)))</f>
        <v>42.5</v>
      </c>
      <c r="B9" s="20">
        <v>2</v>
      </c>
      <c r="C9" s="20">
        <v>1</v>
      </c>
    </row>
    <row r="10" spans="1:9" ht="15" customHeight="1">
      <c r="A10" s="39">
        <f>시작중량_설정!$E$8</f>
        <v>47.5</v>
      </c>
      <c r="B10" s="27">
        <v>5</v>
      </c>
      <c r="C10" s="27">
        <v>1</v>
      </c>
    </row>
    <row r="11" spans="1:9" ht="16.5" customHeight="1">
      <c r="A11" s="31" t="s">
        <v>176</v>
      </c>
    </row>
    <row r="13" spans="1:9" ht="15" customHeight="1">
      <c r="A13" s="3" t="s">
        <v>117</v>
      </c>
    </row>
    <row r="14" spans="1:9" ht="16.5" customHeight="1">
      <c r="A14" s="34" t="s">
        <v>118</v>
      </c>
      <c r="B14" s="35" t="s">
        <v>4</v>
      </c>
      <c r="C14" s="35" t="s">
        <v>119</v>
      </c>
      <c r="D14" s="35" t="s">
        <v>120</v>
      </c>
      <c r="E14" s="35" t="s">
        <v>59</v>
      </c>
      <c r="F14" s="35" t="s">
        <v>121</v>
      </c>
      <c r="G14" s="35" t="s">
        <v>122</v>
      </c>
      <c r="H14" s="35" t="s">
        <v>123</v>
      </c>
      <c r="I14" s="35" t="s">
        <v>124</v>
      </c>
    </row>
    <row r="15" spans="1:9" ht="16.5" customHeight="1">
      <c r="A15" s="42">
        <v>1</v>
      </c>
      <c r="B15" s="41" t="s">
        <v>322</v>
      </c>
      <c r="C15" s="42" t="s">
        <v>166</v>
      </c>
      <c r="D15" s="43">
        <f>시작중량_설정!$E$8</f>
        <v>47.5</v>
      </c>
      <c r="E15" s="42">
        <v>1</v>
      </c>
      <c r="F15" s="40" t="s">
        <v>183</v>
      </c>
      <c r="G15" s="41" t="s">
        <v>323</v>
      </c>
      <c r="H15" s="41" t="s">
        <v>324</v>
      </c>
      <c r="I15" s="41" t="s">
        <v>325</v>
      </c>
    </row>
    <row r="16" spans="1:9" ht="16.5" customHeight="1">
      <c r="A16" s="20">
        <v>2</v>
      </c>
      <c r="B16" s="21" t="s">
        <v>326</v>
      </c>
      <c r="C16" s="20" t="s">
        <v>214</v>
      </c>
      <c r="D16" s="26">
        <v>25</v>
      </c>
      <c r="E16" s="20">
        <v>4</v>
      </c>
      <c r="F16" s="26" t="s">
        <v>132</v>
      </c>
      <c r="G16" s="21" t="s">
        <v>223</v>
      </c>
      <c r="H16" s="21" t="s">
        <v>327</v>
      </c>
      <c r="I16" s="21" t="s">
        <v>328</v>
      </c>
    </row>
    <row r="17" spans="1:9" ht="16.5" customHeight="1">
      <c r="A17" s="20">
        <v>3</v>
      </c>
      <c r="B17" s="21" t="s">
        <v>329</v>
      </c>
      <c r="C17" s="20" t="s">
        <v>223</v>
      </c>
      <c r="D17" s="20">
        <v>35</v>
      </c>
      <c r="E17" s="20">
        <v>3</v>
      </c>
      <c r="F17" s="26" t="s">
        <v>330</v>
      </c>
      <c r="G17" s="21" t="s">
        <v>210</v>
      </c>
      <c r="H17" s="21" t="s">
        <v>331</v>
      </c>
      <c r="I17" s="21" t="s">
        <v>332</v>
      </c>
    </row>
    <row r="18" spans="1:9" ht="16.5" customHeight="1">
      <c r="A18" s="20">
        <v>4</v>
      </c>
      <c r="B18" s="21" t="s">
        <v>333</v>
      </c>
      <c r="C18" s="20" t="s">
        <v>223</v>
      </c>
      <c r="D18" s="26">
        <v>15</v>
      </c>
      <c r="E18" s="20">
        <v>3</v>
      </c>
      <c r="F18" s="26" t="s">
        <v>334</v>
      </c>
      <c r="G18" s="21"/>
      <c r="H18" s="21" t="s">
        <v>335</v>
      </c>
      <c r="I18" s="21" t="s">
        <v>336</v>
      </c>
    </row>
    <row r="19" spans="1:9" ht="16.5" customHeight="1">
      <c r="A19" s="20">
        <v>5</v>
      </c>
      <c r="B19" s="21" t="s">
        <v>337</v>
      </c>
      <c r="C19" s="20" t="s">
        <v>209</v>
      </c>
      <c r="D19" s="26">
        <v>42</v>
      </c>
      <c r="E19" s="20">
        <v>4</v>
      </c>
      <c r="F19" s="26" t="s">
        <v>193</v>
      </c>
      <c r="G19" s="21"/>
      <c r="H19" s="21" t="s">
        <v>338</v>
      </c>
      <c r="I19" s="21" t="s">
        <v>339</v>
      </c>
    </row>
    <row r="20" spans="1:9" ht="16.5" customHeight="1">
      <c r="A20" s="20">
        <v>6</v>
      </c>
      <c r="B20" s="21" t="s">
        <v>213</v>
      </c>
      <c r="C20" s="20" t="s">
        <v>209</v>
      </c>
      <c r="D20" s="26">
        <v>90</v>
      </c>
      <c r="E20" s="20">
        <v>3</v>
      </c>
      <c r="F20" s="26" t="s">
        <v>132</v>
      </c>
      <c r="G20" s="21" t="s">
        <v>214</v>
      </c>
      <c r="H20" s="21" t="s">
        <v>340</v>
      </c>
      <c r="I20" s="21" t="s">
        <v>341</v>
      </c>
    </row>
    <row r="21" spans="1:9" ht="16.5" customHeight="1">
      <c r="A21" s="20">
        <v>7</v>
      </c>
      <c r="B21" s="21" t="s">
        <v>342</v>
      </c>
      <c r="C21" s="20" t="s">
        <v>236</v>
      </c>
      <c r="D21" s="26">
        <v>8</v>
      </c>
      <c r="E21" s="20">
        <v>3</v>
      </c>
      <c r="F21" s="26" t="s">
        <v>145</v>
      </c>
      <c r="G21" s="21"/>
      <c r="H21" s="21" t="s">
        <v>343</v>
      </c>
      <c r="I21" s="21" t="s">
        <v>344</v>
      </c>
    </row>
    <row r="22" spans="1:9" ht="16.5" customHeight="1">
      <c r="A22" s="20">
        <v>8</v>
      </c>
      <c r="B22" s="21" t="s">
        <v>230</v>
      </c>
      <c r="C22" s="20" t="s">
        <v>231</v>
      </c>
      <c r="D22" s="26">
        <v>15</v>
      </c>
      <c r="E22" s="20">
        <v>3</v>
      </c>
      <c r="F22" s="26" t="s">
        <v>232</v>
      </c>
      <c r="G22" s="21"/>
      <c r="H22" s="21" t="s">
        <v>345</v>
      </c>
      <c r="I22" s="21" t="s">
        <v>234</v>
      </c>
    </row>
    <row r="23" spans="1:9" ht="16.5" customHeight="1">
      <c r="D23" s="3" t="s">
        <v>171</v>
      </c>
      <c r="E23" s="27">
        <f>SUM(E15:E22)</f>
        <v>24</v>
      </c>
    </row>
    <row r="24" spans="1:9" ht="15" customHeight="1"/>
  </sheetData>
  <phoneticPr fontId="43" type="noConversion"/>
  <conditionalFormatting sqref="A15:K22">
    <cfRule type="expression" dxfId="0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8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346</v>
      </c>
    </row>
    <row r="2" spans="1:8" ht="30" customHeight="1">
      <c r="A2" s="86" t="s">
        <v>347</v>
      </c>
      <c r="B2" s="86"/>
      <c r="C2" s="86"/>
      <c r="D2" s="86"/>
      <c r="E2" s="86"/>
      <c r="F2" s="86"/>
      <c r="G2" s="86"/>
      <c r="H2" s="86"/>
    </row>
    <row r="4" spans="1:8" ht="39.75" customHeight="1">
      <c r="A4" s="87" t="s">
        <v>348</v>
      </c>
      <c r="B4" s="87"/>
      <c r="C4" s="87"/>
      <c r="D4" s="87"/>
      <c r="E4" s="87"/>
      <c r="F4" s="87"/>
      <c r="G4" s="87"/>
      <c r="H4" s="87"/>
    </row>
    <row r="6" spans="1:8" ht="15" customHeight="1">
      <c r="A6" s="48" t="s">
        <v>349</v>
      </c>
      <c r="B6" s="48" t="s">
        <v>350</v>
      </c>
      <c r="C6" s="48" t="s">
        <v>351</v>
      </c>
      <c r="D6" s="48" t="s">
        <v>352</v>
      </c>
      <c r="E6" s="48" t="s">
        <v>353</v>
      </c>
      <c r="F6" s="48" t="s">
        <v>354</v>
      </c>
      <c r="G6" s="48" t="s">
        <v>355</v>
      </c>
      <c r="H6" s="48" t="s">
        <v>356</v>
      </c>
    </row>
    <row r="7" spans="1:8" ht="15" customHeight="1">
      <c r="A7" s="49" t="s">
        <v>357</v>
      </c>
      <c r="B7" s="49" t="s">
        <v>125</v>
      </c>
      <c r="C7" s="49" t="s">
        <v>128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358</v>
      </c>
      <c r="H7" s="54" t="s">
        <v>359</v>
      </c>
    </row>
    <row r="8" spans="1:8" ht="15" customHeight="1">
      <c r="A8" s="49" t="s">
        <v>357</v>
      </c>
      <c r="B8" s="49" t="s">
        <v>131</v>
      </c>
      <c r="C8" s="49" t="s">
        <v>128</v>
      </c>
      <c r="D8" s="50">
        <v>0.5</v>
      </c>
      <c r="E8" s="51">
        <f t="shared" ca="1" si="0"/>
        <v>3</v>
      </c>
      <c r="F8" s="52">
        <f t="shared" ca="1" si="1"/>
        <v>1.5</v>
      </c>
      <c r="G8" s="53" t="s">
        <v>358</v>
      </c>
      <c r="H8" s="54" t="s">
        <v>360</v>
      </c>
    </row>
    <row r="9" spans="1:8" ht="15" customHeight="1">
      <c r="A9" s="49" t="s">
        <v>361</v>
      </c>
      <c r="B9" s="49" t="s">
        <v>246</v>
      </c>
      <c r="C9" s="49" t="s">
        <v>128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358</v>
      </c>
      <c r="H9" s="54" t="s">
        <v>362</v>
      </c>
    </row>
    <row r="10" spans="1:8" ht="15" customHeight="1">
      <c r="A10" s="49" t="s">
        <v>361</v>
      </c>
      <c r="B10" s="49" t="s">
        <v>250</v>
      </c>
      <c r="C10" s="49" t="s">
        <v>128</v>
      </c>
      <c r="D10" s="50">
        <v>0.5</v>
      </c>
      <c r="E10" s="51">
        <f t="shared" ca="1" si="0"/>
        <v>3</v>
      </c>
      <c r="F10" s="52">
        <f t="shared" ca="1" si="1"/>
        <v>1.5</v>
      </c>
      <c r="G10" s="53" t="s">
        <v>358</v>
      </c>
      <c r="H10" s="54" t="s">
        <v>362</v>
      </c>
    </row>
    <row r="11" spans="1:8" ht="15" customHeight="1">
      <c r="A11" s="49" t="s">
        <v>363</v>
      </c>
      <c r="B11" s="49" t="s">
        <v>181</v>
      </c>
      <c r="C11" s="49" t="s">
        <v>188</v>
      </c>
      <c r="D11" s="50">
        <v>0.5</v>
      </c>
      <c r="E11" s="51">
        <f t="shared" ca="1" si="0"/>
        <v>5</v>
      </c>
      <c r="F11" s="52">
        <f t="shared" ca="1" si="1"/>
        <v>2.5</v>
      </c>
      <c r="G11" s="53" t="s">
        <v>358</v>
      </c>
      <c r="H11" s="54" t="s">
        <v>364</v>
      </c>
    </row>
    <row r="12" spans="1:8" ht="15" customHeight="1">
      <c r="A12" s="49" t="s">
        <v>363</v>
      </c>
      <c r="B12" s="49" t="s">
        <v>187</v>
      </c>
      <c r="C12" s="49" t="s">
        <v>188</v>
      </c>
      <c r="D12" s="50">
        <v>0.5</v>
      </c>
      <c r="E12" s="51">
        <f t="shared" ca="1" si="0"/>
        <v>3</v>
      </c>
      <c r="F12" s="52">
        <f t="shared" ca="1" si="1"/>
        <v>1.5</v>
      </c>
      <c r="G12" s="53" t="s">
        <v>358</v>
      </c>
      <c r="H12" s="54" t="s">
        <v>365</v>
      </c>
    </row>
    <row r="13" spans="1:8" ht="15" customHeight="1">
      <c r="A13" s="49" t="s">
        <v>366</v>
      </c>
      <c r="B13" s="49" t="s">
        <v>279</v>
      </c>
      <c r="C13" s="49" t="s">
        <v>188</v>
      </c>
      <c r="D13" s="50">
        <v>0.5</v>
      </c>
      <c r="E13" s="51">
        <f t="shared" ca="1" si="0"/>
        <v>3</v>
      </c>
      <c r="F13" s="52">
        <f t="shared" ca="1" si="1"/>
        <v>1.5</v>
      </c>
      <c r="G13" s="53" t="s">
        <v>358</v>
      </c>
      <c r="H13" s="54" t="s">
        <v>367</v>
      </c>
    </row>
    <row r="14" spans="1:8" ht="15" customHeight="1">
      <c r="A14" s="49" t="s">
        <v>366</v>
      </c>
      <c r="B14" s="49" t="s">
        <v>295</v>
      </c>
      <c r="C14" s="49" t="s">
        <v>188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358</v>
      </c>
      <c r="H14" s="54" t="s">
        <v>368</v>
      </c>
    </row>
    <row r="15" spans="1:8" ht="15" customHeight="1">
      <c r="A15" s="49" t="s">
        <v>357</v>
      </c>
      <c r="B15" s="49" t="s">
        <v>154</v>
      </c>
      <c r="C15" s="49" t="s">
        <v>151</v>
      </c>
      <c r="D15" s="50">
        <v>0.33</v>
      </c>
      <c r="E15" s="51">
        <f t="shared" ca="1" si="0"/>
        <v>3</v>
      </c>
      <c r="F15" s="52">
        <f t="shared" ca="1" si="1"/>
        <v>0.99</v>
      </c>
      <c r="G15" s="53" t="s">
        <v>358</v>
      </c>
      <c r="H15" s="54" t="s">
        <v>369</v>
      </c>
    </row>
    <row r="16" spans="1:8" ht="15" customHeight="1">
      <c r="A16" s="49" t="s">
        <v>357</v>
      </c>
      <c r="B16" s="49" t="s">
        <v>149</v>
      </c>
      <c r="C16" s="49" t="s">
        <v>151</v>
      </c>
      <c r="D16" s="50">
        <v>0.33</v>
      </c>
      <c r="E16" s="51">
        <f t="shared" ca="1" si="0"/>
        <v>0</v>
      </c>
      <c r="F16" s="52">
        <f t="shared" ca="1" si="1"/>
        <v>0</v>
      </c>
      <c r="G16" s="53" t="s">
        <v>358</v>
      </c>
      <c r="H16" s="54" t="s">
        <v>370</v>
      </c>
    </row>
    <row r="17" spans="1:8" ht="15" customHeight="1">
      <c r="A17" s="49" t="s">
        <v>361</v>
      </c>
      <c r="B17" s="49" t="s">
        <v>261</v>
      </c>
      <c r="C17" s="49" t="s">
        <v>151</v>
      </c>
      <c r="D17" s="50">
        <v>0.33</v>
      </c>
      <c r="E17" s="51">
        <f t="shared" ca="1" si="0"/>
        <v>3</v>
      </c>
      <c r="F17" s="52">
        <f t="shared" ca="1" si="1"/>
        <v>0.99</v>
      </c>
      <c r="G17" s="53" t="s">
        <v>358</v>
      </c>
      <c r="H17" s="54" t="s">
        <v>370</v>
      </c>
    </row>
    <row r="18" spans="1:8" ht="15" customHeight="1">
      <c r="A18" s="49" t="s">
        <v>361</v>
      </c>
      <c r="B18" s="49" t="s">
        <v>268</v>
      </c>
      <c r="C18" s="49" t="s">
        <v>151</v>
      </c>
      <c r="D18" s="50">
        <v>0</v>
      </c>
      <c r="E18" s="51">
        <f t="shared" ca="1" si="0"/>
        <v>3</v>
      </c>
      <c r="F18" s="52">
        <f t="shared" ca="1" si="1"/>
        <v>0</v>
      </c>
      <c r="G18" s="53" t="s">
        <v>358</v>
      </c>
      <c r="H18" s="54" t="s">
        <v>371</v>
      </c>
    </row>
    <row r="19" spans="1:8" ht="15" customHeight="1">
      <c r="A19" s="49" t="s">
        <v>363</v>
      </c>
      <c r="B19" s="49" t="s">
        <v>181</v>
      </c>
      <c r="C19" s="49" t="s">
        <v>280</v>
      </c>
      <c r="D19" s="50">
        <v>0.5</v>
      </c>
      <c r="E19" s="51">
        <f t="shared" ca="1" si="0"/>
        <v>5</v>
      </c>
      <c r="F19" s="52">
        <f t="shared" ca="1" si="1"/>
        <v>2.5</v>
      </c>
      <c r="G19" s="53" t="s">
        <v>358</v>
      </c>
      <c r="H19" s="54" t="s">
        <v>372</v>
      </c>
    </row>
    <row r="20" spans="1:8" ht="15" customHeight="1">
      <c r="A20" s="49" t="s">
        <v>366</v>
      </c>
      <c r="B20" s="49" t="s">
        <v>295</v>
      </c>
      <c r="C20" s="49" t="s">
        <v>280</v>
      </c>
      <c r="D20" s="50">
        <v>0.5</v>
      </c>
      <c r="E20" s="51">
        <f t="shared" ca="1" si="0"/>
        <v>4</v>
      </c>
      <c r="F20" s="52">
        <f t="shared" ca="1" si="1"/>
        <v>2</v>
      </c>
      <c r="G20" s="53" t="s">
        <v>358</v>
      </c>
      <c r="H20" s="54" t="s">
        <v>373</v>
      </c>
    </row>
    <row r="21" spans="1:8" ht="15" customHeight="1">
      <c r="A21" s="49" t="s">
        <v>366</v>
      </c>
      <c r="B21" s="49" t="s">
        <v>279</v>
      </c>
      <c r="C21" s="49" t="s">
        <v>200</v>
      </c>
      <c r="D21" s="50">
        <v>0.5</v>
      </c>
      <c r="E21" s="51">
        <f t="shared" ca="1" si="0"/>
        <v>3</v>
      </c>
      <c r="F21" s="52">
        <f t="shared" ca="1" si="1"/>
        <v>1.5</v>
      </c>
      <c r="G21" s="53" t="s">
        <v>358</v>
      </c>
      <c r="H21" s="54" t="s">
        <v>374</v>
      </c>
    </row>
    <row r="22" spans="1:8" ht="15" customHeight="1">
      <c r="A22" s="49" t="s">
        <v>357</v>
      </c>
      <c r="B22" s="49" t="s">
        <v>142</v>
      </c>
      <c r="C22" s="49" t="s">
        <v>204</v>
      </c>
      <c r="D22" s="50">
        <v>0.5</v>
      </c>
      <c r="E22" s="51">
        <f t="shared" ca="1" si="0"/>
        <v>3</v>
      </c>
      <c r="F22" s="52">
        <f t="shared" ca="1" si="1"/>
        <v>1.5</v>
      </c>
      <c r="G22" s="53" t="s">
        <v>358</v>
      </c>
      <c r="H22" s="54" t="s">
        <v>375</v>
      </c>
    </row>
    <row r="23" spans="1:8" ht="15" customHeight="1">
      <c r="A23" s="49" t="s">
        <v>366</v>
      </c>
      <c r="B23" s="49" t="s">
        <v>305</v>
      </c>
      <c r="C23" s="49" t="s">
        <v>204</v>
      </c>
      <c r="D23" s="50">
        <v>0.5</v>
      </c>
      <c r="E23" s="51">
        <f t="shared" ca="1" si="0"/>
        <v>0</v>
      </c>
      <c r="F23" s="52">
        <f t="shared" ca="1" si="1"/>
        <v>0</v>
      </c>
      <c r="G23" s="53" t="s">
        <v>358</v>
      </c>
      <c r="H23" s="55" t="s">
        <v>376</v>
      </c>
    </row>
    <row r="24" spans="1:8" ht="15" customHeight="1">
      <c r="A24" s="49" t="s">
        <v>361</v>
      </c>
      <c r="B24" s="49" t="s">
        <v>246</v>
      </c>
      <c r="C24" s="49" t="s">
        <v>143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358</v>
      </c>
      <c r="H24" s="54" t="s">
        <v>377</v>
      </c>
    </row>
    <row r="25" spans="1:8" ht="15" customHeight="1">
      <c r="A25" s="49" t="s">
        <v>361</v>
      </c>
      <c r="B25" s="49" t="s">
        <v>250</v>
      </c>
      <c r="C25" s="49" t="s">
        <v>143</v>
      </c>
      <c r="D25" s="50">
        <v>0.5</v>
      </c>
      <c r="E25" s="51">
        <f t="shared" ca="1" si="0"/>
        <v>3</v>
      </c>
      <c r="F25" s="52">
        <f t="shared" ca="1" si="1"/>
        <v>1.5</v>
      </c>
      <c r="G25" s="53" t="s">
        <v>358</v>
      </c>
      <c r="H25" s="54" t="s">
        <v>377</v>
      </c>
    </row>
    <row r="26" spans="1:8" ht="15" customHeight="1">
      <c r="A26" s="49" t="s">
        <v>361</v>
      </c>
      <c r="B26" s="49" t="s">
        <v>257</v>
      </c>
      <c r="C26" s="49" t="s">
        <v>143</v>
      </c>
      <c r="D26" s="50">
        <v>0.5</v>
      </c>
      <c r="E26" s="51">
        <f t="shared" ca="1" si="0"/>
        <v>0</v>
      </c>
      <c r="F26" s="52">
        <f t="shared" ca="1" si="1"/>
        <v>0</v>
      </c>
      <c r="G26" s="53" t="s">
        <v>358</v>
      </c>
      <c r="H26" s="54" t="s">
        <v>377</v>
      </c>
    </row>
    <row r="27" spans="1:8" ht="15" customHeight="1">
      <c r="A27" s="49" t="s">
        <v>378</v>
      </c>
      <c r="B27" s="49" t="s">
        <v>326</v>
      </c>
      <c r="C27" s="49" t="s">
        <v>223</v>
      </c>
      <c r="D27" s="50">
        <v>0.5</v>
      </c>
      <c r="E27" s="51">
        <f t="shared" ca="1" si="0"/>
        <v>4</v>
      </c>
      <c r="F27" s="52">
        <f t="shared" ca="1" si="1"/>
        <v>2</v>
      </c>
      <c r="G27" s="53" t="s">
        <v>358</v>
      </c>
      <c r="H27" s="54" t="s">
        <v>379</v>
      </c>
    </row>
    <row r="28" spans="1:8" ht="15" customHeight="1">
      <c r="A28" s="49" t="s">
        <v>378</v>
      </c>
      <c r="B28" s="49" t="s">
        <v>322</v>
      </c>
      <c r="C28" s="49" t="s">
        <v>223</v>
      </c>
      <c r="D28" s="50">
        <v>0.5</v>
      </c>
      <c r="E28" s="51">
        <f t="shared" ca="1" si="0"/>
        <v>1</v>
      </c>
      <c r="F28" s="52">
        <f t="shared" ca="1" si="1"/>
        <v>0.5</v>
      </c>
      <c r="G28" s="53" t="s">
        <v>358</v>
      </c>
      <c r="H28" s="54" t="s">
        <v>380</v>
      </c>
    </row>
    <row r="29" spans="1:8" ht="15" customHeight="1">
      <c r="A29" s="49" t="s">
        <v>357</v>
      </c>
      <c r="B29" s="49" t="s">
        <v>165</v>
      </c>
      <c r="C29" s="49" t="s">
        <v>223</v>
      </c>
      <c r="D29" s="50">
        <v>0.5</v>
      </c>
      <c r="E29" s="51">
        <f t="shared" ca="1" si="0"/>
        <v>3</v>
      </c>
      <c r="F29" s="52">
        <f t="shared" ca="1" si="1"/>
        <v>1.5</v>
      </c>
      <c r="G29" s="53" t="s">
        <v>358</v>
      </c>
      <c r="H29" s="54" t="s">
        <v>380</v>
      </c>
    </row>
    <row r="30" spans="1:8" ht="15" customHeight="1">
      <c r="A30" s="49" t="s">
        <v>381</v>
      </c>
      <c r="B30" s="49" t="s">
        <v>208</v>
      </c>
      <c r="C30" s="49" t="s">
        <v>214</v>
      </c>
      <c r="D30" s="50">
        <v>0.5</v>
      </c>
      <c r="E30" s="51">
        <f t="shared" ca="1" si="0"/>
        <v>5</v>
      </c>
      <c r="F30" s="52">
        <f t="shared" ca="1" si="1"/>
        <v>2.5</v>
      </c>
      <c r="G30" s="53" t="s">
        <v>358</v>
      </c>
      <c r="H30" s="54" t="s">
        <v>382</v>
      </c>
    </row>
    <row r="31" spans="1:8" ht="15" customHeight="1">
      <c r="A31" s="49" t="s">
        <v>381</v>
      </c>
      <c r="B31" s="49" t="s">
        <v>213</v>
      </c>
      <c r="C31" s="49" t="s">
        <v>214</v>
      </c>
      <c r="D31" s="50">
        <v>0.33</v>
      </c>
      <c r="E31" s="51">
        <f t="shared" ca="1" si="0"/>
        <v>3</v>
      </c>
      <c r="F31" s="52">
        <f t="shared" ca="1" si="1"/>
        <v>0.99</v>
      </c>
      <c r="G31" s="53" t="s">
        <v>358</v>
      </c>
      <c r="H31" s="54" t="s">
        <v>383</v>
      </c>
    </row>
    <row r="32" spans="1:8" ht="15" customHeight="1">
      <c r="A32" s="49" t="s">
        <v>378</v>
      </c>
      <c r="B32" s="49" t="s">
        <v>322</v>
      </c>
      <c r="C32" s="49" t="s">
        <v>214</v>
      </c>
      <c r="D32" s="50">
        <v>0.5</v>
      </c>
      <c r="E32" s="51">
        <f t="shared" ca="1" si="0"/>
        <v>1</v>
      </c>
      <c r="F32" s="52">
        <f t="shared" ca="1" si="1"/>
        <v>0.5</v>
      </c>
      <c r="G32" s="53" t="s">
        <v>358</v>
      </c>
      <c r="H32" s="54" t="s">
        <v>384</v>
      </c>
    </row>
    <row r="33" spans="1:8" ht="15" customHeight="1">
      <c r="A33" s="49" t="s">
        <v>378</v>
      </c>
      <c r="B33" s="49" t="s">
        <v>329</v>
      </c>
      <c r="C33" s="49" t="s">
        <v>214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358</v>
      </c>
      <c r="H33" s="54" t="s">
        <v>385</v>
      </c>
    </row>
    <row r="34" spans="1:8" ht="15" customHeight="1">
      <c r="A34" s="49" t="s">
        <v>357</v>
      </c>
      <c r="B34" s="49" t="s">
        <v>165</v>
      </c>
      <c r="C34" s="49" t="s">
        <v>214</v>
      </c>
      <c r="D34" s="50">
        <v>0.5</v>
      </c>
      <c r="E34" s="51">
        <f t="shared" ca="1" si="0"/>
        <v>3</v>
      </c>
      <c r="F34" s="52">
        <f t="shared" ca="1" si="1"/>
        <v>1.5</v>
      </c>
      <c r="G34" s="53" t="s">
        <v>358</v>
      </c>
      <c r="H34" s="54" t="s">
        <v>386</v>
      </c>
    </row>
    <row r="35" spans="1:8" ht="15" customHeight="1">
      <c r="A35" s="49" t="s">
        <v>381</v>
      </c>
      <c r="B35" s="49" t="s">
        <v>208</v>
      </c>
      <c r="C35" s="49" t="s">
        <v>166</v>
      </c>
      <c r="D35" s="50">
        <v>0.2</v>
      </c>
      <c r="E35" s="51">
        <f t="shared" ca="1" si="0"/>
        <v>5</v>
      </c>
      <c r="F35" s="52">
        <f t="shared" ca="1" si="1"/>
        <v>1</v>
      </c>
      <c r="G35" s="53" t="s">
        <v>358</v>
      </c>
      <c r="H35" s="54" t="s">
        <v>387</v>
      </c>
    </row>
    <row r="36" spans="1:8" ht="15" customHeight="1">
      <c r="A36" s="49" t="s">
        <v>361</v>
      </c>
      <c r="B36" s="49" t="s">
        <v>268</v>
      </c>
      <c r="C36" s="49" t="s">
        <v>166</v>
      </c>
      <c r="D36" s="50">
        <v>0.2</v>
      </c>
      <c r="E36" s="51">
        <f t="shared" ca="1" si="0"/>
        <v>3</v>
      </c>
      <c r="F36" s="52">
        <f t="shared" ca="1" si="1"/>
        <v>0.60000000000000009</v>
      </c>
      <c r="G36" s="53" t="s">
        <v>358</v>
      </c>
      <c r="H36" s="54" t="s">
        <v>388</v>
      </c>
    </row>
    <row r="37" spans="1:8" ht="15" customHeight="1">
      <c r="A37" s="49" t="s">
        <v>378</v>
      </c>
      <c r="B37" s="49" t="s">
        <v>329</v>
      </c>
      <c r="C37" s="49" t="s">
        <v>166</v>
      </c>
      <c r="D37" s="50">
        <v>0.5</v>
      </c>
      <c r="E37" s="51">
        <f t="shared" ca="1" si="0"/>
        <v>3</v>
      </c>
      <c r="F37" s="52">
        <f t="shared" ca="1" si="1"/>
        <v>1.5</v>
      </c>
      <c r="G37" s="53" t="s">
        <v>358</v>
      </c>
      <c r="H37" s="55" t="s">
        <v>389</v>
      </c>
    </row>
    <row r="38" spans="1:8" ht="15" customHeight="1">
      <c r="A38" s="49" t="s">
        <v>381</v>
      </c>
      <c r="B38" s="49" t="s">
        <v>217</v>
      </c>
      <c r="C38" s="49" t="s">
        <v>209</v>
      </c>
      <c r="D38" s="50">
        <v>0.5</v>
      </c>
      <c r="E38" s="51">
        <f t="shared" ca="1" si="0"/>
        <v>4</v>
      </c>
      <c r="F38" s="52">
        <f t="shared" ca="1" si="1"/>
        <v>2</v>
      </c>
      <c r="G38" s="53" t="s">
        <v>358</v>
      </c>
      <c r="H38" s="54" t="s">
        <v>390</v>
      </c>
    </row>
    <row r="39" spans="1:8" ht="15" customHeight="1">
      <c r="A39" s="49" t="s">
        <v>381</v>
      </c>
      <c r="B39" s="49" t="s">
        <v>217</v>
      </c>
      <c r="C39" s="49" t="s">
        <v>231</v>
      </c>
      <c r="D39" s="50">
        <v>0.33</v>
      </c>
      <c r="E39" s="51">
        <f t="shared" ref="E39:E57" ca="1" si="2">IFERROR(INDEX(INDIRECT("'"&amp;$A39&amp;"'!$E$1:$E$45"),MATCH($B39,INDIRECT("'"&amp;$A39&amp;"'!$B$1:$B$45"),0)),"?")</f>
        <v>4</v>
      </c>
      <c r="F39" s="52">
        <f t="shared" ref="F39:F57" ca="1" si="3">IF(ISNUMBER(E39),$D39*E39,0)</f>
        <v>1.32</v>
      </c>
      <c r="G39" s="53" t="s">
        <v>358</v>
      </c>
      <c r="H39" s="54" t="s">
        <v>391</v>
      </c>
    </row>
    <row r="40" spans="1:8" ht="15" customHeight="1">
      <c r="A40" s="49" t="s">
        <v>378</v>
      </c>
      <c r="B40" s="49" t="s">
        <v>322</v>
      </c>
      <c r="C40" s="49" t="s">
        <v>126</v>
      </c>
      <c r="D40" s="50">
        <v>0</v>
      </c>
      <c r="E40" s="51">
        <f t="shared" ca="1" si="2"/>
        <v>1</v>
      </c>
      <c r="F40" s="52">
        <f t="shared" ca="1" si="3"/>
        <v>0</v>
      </c>
      <c r="G40" s="56" t="s">
        <v>392</v>
      </c>
      <c r="H40" s="54" t="s">
        <v>393</v>
      </c>
    </row>
    <row r="41" spans="1:8" ht="15" customHeight="1">
      <c r="A41" s="49" t="s">
        <v>381</v>
      </c>
      <c r="B41" s="49" t="s">
        <v>208</v>
      </c>
      <c r="C41" s="49" t="s">
        <v>227</v>
      </c>
      <c r="D41" s="50">
        <v>0.5</v>
      </c>
      <c r="E41" s="51">
        <f t="shared" ca="1" si="2"/>
        <v>5</v>
      </c>
      <c r="F41" s="52">
        <f t="shared" ca="1" si="3"/>
        <v>2.5</v>
      </c>
      <c r="G41" s="56" t="s">
        <v>392</v>
      </c>
      <c r="H41" s="54" t="s">
        <v>394</v>
      </c>
    </row>
    <row r="42" spans="1:8" ht="15" customHeight="1">
      <c r="A42" s="49" t="s">
        <v>381</v>
      </c>
      <c r="B42" s="49" t="s">
        <v>213</v>
      </c>
      <c r="C42" s="49" t="s">
        <v>227</v>
      </c>
      <c r="D42" s="50">
        <v>0.33</v>
      </c>
      <c r="E42" s="51">
        <f t="shared" ca="1" si="2"/>
        <v>3</v>
      </c>
      <c r="F42" s="52">
        <f t="shared" ca="1" si="3"/>
        <v>0.99</v>
      </c>
      <c r="G42" s="56" t="s">
        <v>392</v>
      </c>
      <c r="H42" s="54" t="s">
        <v>395</v>
      </c>
    </row>
    <row r="43" spans="1:8" ht="15" customHeight="1">
      <c r="A43" s="49" t="s">
        <v>381</v>
      </c>
      <c r="B43" s="49" t="s">
        <v>217</v>
      </c>
      <c r="C43" s="49" t="s">
        <v>227</v>
      </c>
      <c r="D43" s="50">
        <v>0.33</v>
      </c>
      <c r="E43" s="51">
        <f t="shared" ca="1" si="2"/>
        <v>4</v>
      </c>
      <c r="F43" s="52">
        <f t="shared" ca="1" si="3"/>
        <v>1.32</v>
      </c>
      <c r="G43" s="56" t="s">
        <v>392</v>
      </c>
      <c r="H43" s="54" t="s">
        <v>396</v>
      </c>
    </row>
    <row r="44" spans="1:8" ht="15" customHeight="1">
      <c r="A44" s="49" t="s">
        <v>363</v>
      </c>
      <c r="B44" s="49" t="s">
        <v>181</v>
      </c>
      <c r="C44" s="49" t="s">
        <v>192</v>
      </c>
      <c r="D44" s="50">
        <v>0.2</v>
      </c>
      <c r="E44" s="51">
        <f t="shared" ca="1" si="2"/>
        <v>5</v>
      </c>
      <c r="F44" s="52">
        <f t="shared" ca="1" si="3"/>
        <v>1</v>
      </c>
      <c r="G44" s="56" t="s">
        <v>392</v>
      </c>
      <c r="H44" s="54" t="s">
        <v>397</v>
      </c>
    </row>
    <row r="45" spans="1:8" ht="15" customHeight="1">
      <c r="A45" s="49" t="s">
        <v>366</v>
      </c>
      <c r="B45" s="49" t="s">
        <v>295</v>
      </c>
      <c r="C45" s="49" t="s">
        <v>182</v>
      </c>
      <c r="D45" s="50">
        <v>0.2</v>
      </c>
      <c r="E45" s="51">
        <f t="shared" ca="1" si="2"/>
        <v>4</v>
      </c>
      <c r="F45" s="52">
        <f t="shared" ca="1" si="3"/>
        <v>0.8</v>
      </c>
      <c r="G45" s="56" t="s">
        <v>392</v>
      </c>
      <c r="H45" s="54" t="s">
        <v>398</v>
      </c>
    </row>
    <row r="46" spans="1:8" ht="15" customHeight="1">
      <c r="A46" s="49" t="s">
        <v>361</v>
      </c>
      <c r="B46" s="49" t="s">
        <v>246</v>
      </c>
      <c r="C46" s="49" t="s">
        <v>269</v>
      </c>
      <c r="D46" s="50">
        <v>0.2</v>
      </c>
      <c r="E46" s="51">
        <f t="shared" ca="1" si="2"/>
        <v>4</v>
      </c>
      <c r="F46" s="52">
        <f t="shared" ca="1" si="3"/>
        <v>0.8</v>
      </c>
      <c r="G46" s="56" t="s">
        <v>392</v>
      </c>
      <c r="H46" s="54" t="s">
        <v>399</v>
      </c>
    </row>
    <row r="47" spans="1:8" ht="15" customHeight="1">
      <c r="A47" s="49" t="s">
        <v>366</v>
      </c>
      <c r="B47" s="49" t="s">
        <v>279</v>
      </c>
      <c r="C47" s="49" t="s">
        <v>269</v>
      </c>
      <c r="D47" s="50">
        <v>0.2</v>
      </c>
      <c r="E47" s="51">
        <f t="shared" ca="1" si="2"/>
        <v>3</v>
      </c>
      <c r="F47" s="52">
        <f t="shared" ca="1" si="3"/>
        <v>0.60000000000000009</v>
      </c>
      <c r="G47" s="56" t="s">
        <v>392</v>
      </c>
      <c r="H47" s="54" t="s">
        <v>400</v>
      </c>
    </row>
    <row r="48" spans="1:8" ht="15" customHeight="1">
      <c r="A48" s="49" t="s">
        <v>378</v>
      </c>
      <c r="B48" s="49" t="s">
        <v>322</v>
      </c>
      <c r="C48" s="49" t="s">
        <v>269</v>
      </c>
      <c r="D48" s="50">
        <v>0.2</v>
      </c>
      <c r="E48" s="51">
        <f t="shared" ca="1" si="2"/>
        <v>1</v>
      </c>
      <c r="F48" s="52">
        <f t="shared" ca="1" si="3"/>
        <v>0.2</v>
      </c>
      <c r="G48" s="56" t="s">
        <v>392</v>
      </c>
      <c r="H48" s="54" t="s">
        <v>401</v>
      </c>
    </row>
    <row r="49" spans="1:8" ht="15" customHeight="1">
      <c r="A49" s="49" t="s">
        <v>357</v>
      </c>
      <c r="B49" s="49" t="s">
        <v>125</v>
      </c>
      <c r="C49" s="49" t="s">
        <v>136</v>
      </c>
      <c r="D49" s="50">
        <v>0.2</v>
      </c>
      <c r="E49" s="51">
        <f t="shared" ca="1" si="2"/>
        <v>4</v>
      </c>
      <c r="F49" s="52">
        <f t="shared" ca="1" si="3"/>
        <v>0.8</v>
      </c>
      <c r="G49" s="56" t="s">
        <v>392</v>
      </c>
      <c r="H49" s="54" t="s">
        <v>402</v>
      </c>
    </row>
    <row r="50" spans="1:8" ht="15" customHeight="1">
      <c r="A50" s="49" t="s">
        <v>361</v>
      </c>
      <c r="B50" s="49" t="s">
        <v>246</v>
      </c>
      <c r="C50" s="49" t="s">
        <v>136</v>
      </c>
      <c r="D50" s="50">
        <v>0.2</v>
      </c>
      <c r="E50" s="51">
        <f t="shared" ca="1" si="2"/>
        <v>4</v>
      </c>
      <c r="F50" s="52">
        <f t="shared" ca="1" si="3"/>
        <v>0.8</v>
      </c>
      <c r="G50" s="56" t="s">
        <v>392</v>
      </c>
      <c r="H50" s="54" t="s">
        <v>403</v>
      </c>
    </row>
    <row r="51" spans="1:8" ht="15" customHeight="1">
      <c r="A51" s="49" t="s">
        <v>363</v>
      </c>
      <c r="B51" s="49" t="s">
        <v>203</v>
      </c>
      <c r="C51" s="49" t="s">
        <v>143</v>
      </c>
      <c r="D51" s="50">
        <v>0.33</v>
      </c>
      <c r="E51" s="51">
        <f t="shared" ca="1" si="2"/>
        <v>4</v>
      </c>
      <c r="F51" s="52">
        <f t="shared" ca="1" si="3"/>
        <v>1.32</v>
      </c>
      <c r="G51" s="56" t="s">
        <v>392</v>
      </c>
      <c r="H51" s="54" t="s">
        <v>404</v>
      </c>
    </row>
    <row r="52" spans="1:8" ht="15" customHeight="1">
      <c r="A52" s="49" t="s">
        <v>378</v>
      </c>
      <c r="B52" s="49" t="s">
        <v>213</v>
      </c>
      <c r="C52" s="49" t="s">
        <v>214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358</v>
      </c>
      <c r="H52" s="54" t="s">
        <v>405</v>
      </c>
    </row>
    <row r="53" spans="1:8" ht="15" customHeight="1">
      <c r="A53" s="49" t="s">
        <v>378</v>
      </c>
      <c r="B53" s="49" t="s">
        <v>213</v>
      </c>
      <c r="C53" s="49" t="s">
        <v>227</v>
      </c>
      <c r="D53" s="50">
        <v>0.33</v>
      </c>
      <c r="E53" s="51">
        <f t="shared" ca="1" si="2"/>
        <v>3</v>
      </c>
      <c r="F53" s="52">
        <f t="shared" ca="1" si="3"/>
        <v>0.99</v>
      </c>
      <c r="G53" s="56" t="s">
        <v>392</v>
      </c>
      <c r="H53" s="54" t="s">
        <v>406</v>
      </c>
    </row>
    <row r="54" spans="1:8" ht="15" customHeight="1">
      <c r="A54" s="49" t="s">
        <v>366</v>
      </c>
      <c r="B54" s="49" t="s">
        <v>284</v>
      </c>
      <c r="C54" s="49" t="s">
        <v>188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392</v>
      </c>
      <c r="H54" s="54" t="s">
        <v>407</v>
      </c>
    </row>
    <row r="55" spans="1:8" ht="15" customHeight="1">
      <c r="A55" s="49" t="s">
        <v>366</v>
      </c>
      <c r="B55" s="49" t="s">
        <v>291</v>
      </c>
      <c r="C55" s="49" t="s">
        <v>188</v>
      </c>
      <c r="D55" s="50">
        <v>0.5</v>
      </c>
      <c r="E55" s="51">
        <f t="shared" ca="1" si="2"/>
        <v>2</v>
      </c>
      <c r="F55" s="52">
        <f t="shared" ca="1" si="3"/>
        <v>1</v>
      </c>
      <c r="G55" s="56" t="s">
        <v>392</v>
      </c>
      <c r="H55" s="54" t="s">
        <v>408</v>
      </c>
    </row>
    <row r="56" spans="1:8" ht="15" customHeight="1">
      <c r="A56" s="49" t="s">
        <v>363</v>
      </c>
      <c r="B56" s="49" t="s">
        <v>187</v>
      </c>
      <c r="C56" s="49" t="s">
        <v>280</v>
      </c>
      <c r="D56" s="50">
        <v>0.2</v>
      </c>
      <c r="E56" s="51">
        <f t="shared" ca="1" si="2"/>
        <v>3</v>
      </c>
      <c r="F56" s="52">
        <f t="shared" ca="1" si="3"/>
        <v>0.60000000000000009</v>
      </c>
      <c r="G56" s="56" t="s">
        <v>392</v>
      </c>
      <c r="H56" s="54" t="s">
        <v>409</v>
      </c>
    </row>
    <row r="57" spans="1:8" ht="15" customHeight="1">
      <c r="A57" s="49" t="s">
        <v>366</v>
      </c>
      <c r="B57" s="49" t="s">
        <v>291</v>
      </c>
      <c r="C57" s="49" t="s">
        <v>280</v>
      </c>
      <c r="D57" s="50">
        <v>0.5</v>
      </c>
      <c r="E57" s="51">
        <f t="shared" ca="1" si="2"/>
        <v>2</v>
      </c>
      <c r="F57" s="52">
        <f t="shared" ca="1" si="3"/>
        <v>1</v>
      </c>
      <c r="G57" s="56" t="s">
        <v>392</v>
      </c>
      <c r="H57" s="54" t="s">
        <v>410</v>
      </c>
    </row>
    <row r="58" spans="1:8" ht="15" customHeight="1">
      <c r="E58" s="3" t="s">
        <v>411</v>
      </c>
      <c r="F58" s="57">
        <f ca="1">SUM(F7:F57)</f>
        <v>62.100000000000009</v>
      </c>
    </row>
  </sheetData>
  <mergeCells count="2">
    <mergeCell ref="A2:H2"/>
    <mergeCell ref="A4:H4"/>
  </mergeCells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7"/>
  <sheetViews>
    <sheetView zoomScaleNormal="100" workbookViewId="0">
      <selection activeCell="G28" sqref="G28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9" ht="18" customHeight="1">
      <c r="A1" s="1" t="s">
        <v>412</v>
      </c>
    </row>
    <row r="2" spans="1:9" ht="15" customHeight="1">
      <c r="A2" s="2" t="s">
        <v>413</v>
      </c>
    </row>
    <row r="4" spans="1:9" ht="15" customHeight="1">
      <c r="A4" s="5" t="s">
        <v>119</v>
      </c>
      <c r="B4" s="5" t="s">
        <v>414</v>
      </c>
      <c r="C4" s="5" t="s">
        <v>415</v>
      </c>
      <c r="D4" s="5" t="s">
        <v>416</v>
      </c>
      <c r="E4" s="5" t="s">
        <v>417</v>
      </c>
      <c r="F4" s="5" t="s">
        <v>418</v>
      </c>
    </row>
    <row r="5" spans="1:9" ht="15" customHeight="1">
      <c r="A5" s="58" t="s">
        <v>192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59">
        <f ca="1">MROUND(SUMIFS(간접계수맵!$F$7:$F$57,간접계수맵!$C$7:$C$57,$A5),0.5)</f>
        <v>1</v>
      </c>
      <c r="D5" s="60">
        <f t="shared" ref="D5:D24" ca="1" si="0">B5+C5</f>
        <v>9</v>
      </c>
      <c r="E5" s="7" t="str">
        <f t="shared" ref="E5:E24" ca="1" si="1">IF(D5&gt;20,"과다 점검",IF(D5&gt;=10,"충분",IF(D5&gt;=8,"하한",IF(D5&gt;=1,"보완 필요","미배치"))))</f>
        <v>하한</v>
      </c>
      <c r="F5" s="58" t="s">
        <v>419</v>
      </c>
      <c r="G5" s="88" t="s">
        <v>420</v>
      </c>
      <c r="H5" s="61">
        <f ca="1">SUM(D5:D6)</f>
        <v>20</v>
      </c>
      <c r="I5" t="str">
        <f ca="1">IF(H5&gt;20,"천장(20) 초과 — 화요일 예외 허용 · 세트 질 관찰","")</f>
        <v/>
      </c>
    </row>
    <row r="6" spans="1:9" ht="15" customHeight="1">
      <c r="A6" s="58" t="s">
        <v>182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10</v>
      </c>
      <c r="C6" s="59">
        <f ca="1">MROUND(SUMIFS(간접계수맵!$F$7:$F$57,간접계수맵!$C$7:$C$57,$A6),0.5)</f>
        <v>1</v>
      </c>
      <c r="D6" s="60">
        <f t="shared" ca="1" si="0"/>
        <v>11</v>
      </c>
      <c r="E6" s="7" t="str">
        <f t="shared" ca="1" si="1"/>
        <v>충분</v>
      </c>
      <c r="F6" s="58" t="s">
        <v>421</v>
      </c>
      <c r="G6" s="88"/>
    </row>
    <row r="7" spans="1:9" ht="15" customHeight="1">
      <c r="A7" s="58" t="s">
        <v>126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59">
        <f ca="1">MROUND(SUMIFS(간접계수맵!$F$7:$F$57,간접계수맵!$C$7:$C$57,$A7),0.5)</f>
        <v>0</v>
      </c>
      <c r="D7" s="60">
        <f t="shared" ca="1" si="0"/>
        <v>14</v>
      </c>
      <c r="E7" s="7" t="str">
        <f t="shared" ca="1" si="1"/>
        <v>충분</v>
      </c>
      <c r="F7" s="58" t="s">
        <v>422</v>
      </c>
      <c r="G7" s="88" t="s">
        <v>423</v>
      </c>
      <c r="H7" s="61">
        <f ca="1">SUM(D7:D10)</f>
        <v>35</v>
      </c>
    </row>
    <row r="8" spans="1:9" ht="15" customHeight="1">
      <c r="A8" s="58" t="s">
        <v>269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3</v>
      </c>
      <c r="C8" s="59">
        <f ca="1">MROUND(SUMIFS(간접계수맵!$F$7:$F$57,간접계수맵!$C$7:$C$57,$A8),0.5)</f>
        <v>1.5</v>
      </c>
      <c r="D8" s="60">
        <f t="shared" ca="1" si="0"/>
        <v>4.5</v>
      </c>
      <c r="E8" s="7" t="str">
        <f t="shared" ca="1" si="1"/>
        <v>보완 필요</v>
      </c>
      <c r="F8" s="58" t="s">
        <v>424</v>
      </c>
      <c r="G8" s="88"/>
    </row>
    <row r="9" spans="1:9" ht="15" customHeight="1">
      <c r="A9" s="58" t="s">
        <v>136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3</v>
      </c>
      <c r="C9" s="59">
        <f ca="1">MROUND(SUMIFS(간접계수맵!$F$7:$F$57,간접계수맵!$C$7:$C$57,$A9),0.5)</f>
        <v>1.5</v>
      </c>
      <c r="D9" s="60">
        <f t="shared" ca="1" si="0"/>
        <v>4.5</v>
      </c>
      <c r="E9" s="7" t="str">
        <f t="shared" ca="1" si="1"/>
        <v>보완 필요</v>
      </c>
      <c r="F9" s="58" t="s">
        <v>425</v>
      </c>
      <c r="G9" s="88"/>
    </row>
    <row r="10" spans="1:9" ht="15" customHeight="1">
      <c r="A10" s="58" t="s">
        <v>143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7</v>
      </c>
      <c r="C10" s="59">
        <f ca="1">MROUND(SUMIFS(간접계수맵!$F$7:$F$57,간접계수맵!$C$7:$C$57,$A10),0.5)</f>
        <v>5</v>
      </c>
      <c r="D10" s="60">
        <f t="shared" ca="1" si="0"/>
        <v>12</v>
      </c>
      <c r="E10" s="7" t="str">
        <f t="shared" ca="1" si="1"/>
        <v>충분</v>
      </c>
      <c r="F10" s="58" t="s">
        <v>426</v>
      </c>
      <c r="G10" s="88"/>
    </row>
    <row r="11" spans="1:9" ht="15" customHeight="1">
      <c r="A11" s="58" t="s">
        <v>166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4</v>
      </c>
      <c r="C11" s="59">
        <f ca="1">MROUND(SUMIFS(간접계수맵!$F$7:$F$57,간접계수맵!$C$7:$C$57,$A11),0.5)</f>
        <v>3</v>
      </c>
      <c r="D11" s="60">
        <f t="shared" ca="1" si="0"/>
        <v>7</v>
      </c>
      <c r="E11" s="7" t="str">
        <f t="shared" ca="1" si="1"/>
        <v>보완 필요</v>
      </c>
      <c r="F11" s="58" t="s">
        <v>427</v>
      </c>
      <c r="G11" s="62"/>
    </row>
    <row r="12" spans="1:9" ht="15" customHeight="1">
      <c r="A12" s="58" t="s">
        <v>280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6</v>
      </c>
      <c r="C12" s="59">
        <f ca="1">MROUND(SUMIFS(간접계수맵!$F$7:$F$57,간접계수맵!$C$7:$C$57,$A12),0.5)</f>
        <v>6</v>
      </c>
      <c r="D12" s="60">
        <f t="shared" ca="1" si="0"/>
        <v>12</v>
      </c>
      <c r="E12" s="7" t="str">
        <f t="shared" ca="1" si="1"/>
        <v>충분</v>
      </c>
      <c r="F12" s="58" t="s">
        <v>428</v>
      </c>
      <c r="G12" s="62"/>
    </row>
    <row r="13" spans="1:9" ht="15" customHeight="1">
      <c r="A13" s="58" t="s">
        <v>200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9</v>
      </c>
      <c r="C13" s="59">
        <f ca="1">MROUND(SUMIFS(간접계수맵!$F$7:$F$57,간접계수맵!$C$7:$C$57,$A13),0.5)</f>
        <v>1.5</v>
      </c>
      <c r="D13" s="60">
        <f t="shared" ca="1" si="0"/>
        <v>10.5</v>
      </c>
      <c r="E13" s="7" t="str">
        <f t="shared" ca="1" si="1"/>
        <v>충분</v>
      </c>
      <c r="F13" s="58" t="s">
        <v>429</v>
      </c>
      <c r="G13" s="62"/>
    </row>
    <row r="14" spans="1:9" ht="15" customHeight="1">
      <c r="A14" s="58" t="s">
        <v>204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7</v>
      </c>
      <c r="C14" s="59">
        <f ca="1">MROUND(SUMIFS(간접계수맵!$F$7:$F$57,간접계수맵!$C$7:$C$57,$A14),0.5)</f>
        <v>1.5</v>
      </c>
      <c r="D14" s="60">
        <f t="shared" ca="1" si="0"/>
        <v>8.5</v>
      </c>
      <c r="E14" s="7" t="str">
        <f t="shared" ca="1" si="1"/>
        <v>하한</v>
      </c>
      <c r="F14" s="58" t="s">
        <v>430</v>
      </c>
      <c r="G14" s="62"/>
      <c r="H14" s="61"/>
    </row>
    <row r="15" spans="1:9" ht="15" customHeight="1">
      <c r="A15" s="58" t="s">
        <v>209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15</v>
      </c>
      <c r="C15" s="59">
        <f ca="1">MROUND(SUMIFS(간접계수맵!$F$7:$F$57,간접계수맵!$C$7:$C$57,$A15),0.5)</f>
        <v>2</v>
      </c>
      <c r="D15" s="60">
        <f t="shared" ca="1" si="0"/>
        <v>17</v>
      </c>
      <c r="E15" s="7" t="str">
        <f t="shared" ca="1" si="1"/>
        <v>충분</v>
      </c>
      <c r="F15" s="58" t="s">
        <v>217</v>
      </c>
      <c r="G15" s="63" t="s">
        <v>431</v>
      </c>
      <c r="H15" s="61">
        <f ca="1">SUM(D15:D16,D19)</f>
        <v>37</v>
      </c>
    </row>
    <row r="16" spans="1:9" ht="15" customHeight="1">
      <c r="A16" s="58" t="s">
        <v>223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10</v>
      </c>
      <c r="C16" s="59">
        <f ca="1">MROUND(SUMIFS(간접계수맵!$F$7:$F$57,간접계수맵!$C$7:$C$57,$A16),0.5)</f>
        <v>4</v>
      </c>
      <c r="D16" s="60">
        <f t="shared" ca="1" si="0"/>
        <v>14</v>
      </c>
      <c r="E16" s="7" t="str">
        <f t="shared" ca="1" si="1"/>
        <v>충분</v>
      </c>
      <c r="F16" s="58" t="s">
        <v>432</v>
      </c>
      <c r="G16" s="62"/>
    </row>
    <row r="17" spans="1:8" ht="15" customHeight="1">
      <c r="A17" s="58" t="s">
        <v>214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8</v>
      </c>
      <c r="C17" s="59">
        <f ca="1">MROUND(SUMIFS(간접계수맵!$F$7:$F$57,간접계수맵!$C$7:$C$57,$A17),0.5)</f>
        <v>8</v>
      </c>
      <c r="D17" s="60">
        <f t="shared" ca="1" si="0"/>
        <v>16</v>
      </c>
      <c r="E17" s="7" t="str">
        <f t="shared" ca="1" si="1"/>
        <v>충분</v>
      </c>
      <c r="F17" s="58" t="s">
        <v>433</v>
      </c>
      <c r="G17" s="88" t="s">
        <v>214</v>
      </c>
      <c r="H17" s="61">
        <f ca="1">SUM(D17:D18)</f>
        <v>20.5</v>
      </c>
    </row>
    <row r="18" spans="1:8" ht="15" customHeight="1">
      <c r="A18" s="58" t="s">
        <v>231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3</v>
      </c>
      <c r="C18" s="59">
        <f ca="1">MROUND(SUMIFS(간접계수맵!$F$7:$F$57,간접계수맵!$C$7:$C$57,$A18),0.5)</f>
        <v>1.5</v>
      </c>
      <c r="D18" s="60">
        <f t="shared" ca="1" si="0"/>
        <v>4.5</v>
      </c>
      <c r="E18" s="7" t="str">
        <f t="shared" ca="1" si="1"/>
        <v>보완 필요</v>
      </c>
      <c r="F18" s="58" t="s">
        <v>434</v>
      </c>
      <c r="G18" s="88"/>
    </row>
    <row r="19" spans="1:8" ht="15" customHeight="1">
      <c r="A19" s="58" t="s">
        <v>236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6</v>
      </c>
      <c r="C19" s="59">
        <f>MROUND(SUMIFS(간접계수맵!$F$7:$F$57,간접계수맵!$C$7:$C$57,$A19),0.5)</f>
        <v>0</v>
      </c>
      <c r="D19" s="60">
        <f t="shared" si="0"/>
        <v>6</v>
      </c>
      <c r="E19" s="7" t="str">
        <f t="shared" si="1"/>
        <v>보완 필요</v>
      </c>
      <c r="F19" s="58" t="s">
        <v>435</v>
      </c>
      <c r="G19" s="62"/>
    </row>
    <row r="20" spans="1:8" ht="15" customHeight="1">
      <c r="A20" s="58" t="s">
        <v>128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6</v>
      </c>
      <c r="C20" s="59">
        <f ca="1">MROUND(SUMIFS(간접계수맵!$F$7:$F$57,간접계수맵!$C$7:$C$57,$A20),0.5)</f>
        <v>7</v>
      </c>
      <c r="D20" s="60">
        <f t="shared" ca="1" si="0"/>
        <v>13</v>
      </c>
      <c r="E20" s="7" t="str">
        <f t="shared" ca="1" si="1"/>
        <v>충분</v>
      </c>
      <c r="F20" s="58" t="s">
        <v>436</v>
      </c>
      <c r="G20" s="62"/>
    </row>
    <row r="21" spans="1:8" ht="15" customHeight="1">
      <c r="A21" s="58" t="s">
        <v>188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4</v>
      </c>
      <c r="C21" s="59">
        <f ca="1">MROUND(SUMIFS(간접계수맵!$F$7:$F$57,간접계수맵!$C$7:$C$57,$A21),0.5)</f>
        <v>10</v>
      </c>
      <c r="D21" s="60">
        <f t="shared" ca="1" si="0"/>
        <v>14</v>
      </c>
      <c r="E21" s="7" t="str">
        <f t="shared" ca="1" si="1"/>
        <v>충분</v>
      </c>
      <c r="F21" s="58" t="s">
        <v>437</v>
      </c>
      <c r="G21" s="62"/>
    </row>
    <row r="22" spans="1:8" ht="16.5" customHeight="1">
      <c r="A22" s="58" t="s">
        <v>151</v>
      </c>
      <c r="B22" s="7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6</v>
      </c>
      <c r="C22" s="59">
        <f ca="1">MROUND(SUMIFS(간접계수맵!$F$7:$F$57,간접계수맵!$C$7:$C$57,$A22),0.5)</f>
        <v>2</v>
      </c>
      <c r="D22" s="60">
        <f t="shared" ca="1" si="0"/>
        <v>8</v>
      </c>
      <c r="E22" s="7" t="str">
        <f t="shared" ca="1" si="1"/>
        <v>하한</v>
      </c>
      <c r="F22" s="58" t="s">
        <v>438</v>
      </c>
      <c r="G22" s="62"/>
    </row>
    <row r="23" spans="1:8" ht="24" customHeight="1">
      <c r="A23" s="58" t="s">
        <v>162</v>
      </c>
      <c r="B23" s="64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8</v>
      </c>
      <c r="C23" s="59">
        <f>MROUND(SUMIFS(간접계수맵!$F$7:$F$57,간접계수맵!$C$7:$C$57,$A23),0.5)</f>
        <v>0</v>
      </c>
      <c r="D23" s="60">
        <f t="shared" si="0"/>
        <v>8</v>
      </c>
      <c r="E23" s="7" t="str">
        <f t="shared" si="1"/>
        <v>하한</v>
      </c>
      <c r="F23" s="58" t="s">
        <v>439</v>
      </c>
      <c r="G23" s="62"/>
    </row>
    <row r="24" spans="1:8" ht="15" customHeight="1">
      <c r="A24" s="58" t="s">
        <v>227</v>
      </c>
      <c r="B24" s="64">
        <f>SUMIFS(월_당기기A!$E:$E,월_당기기A!$C:$C,$A24)+SUMIFS(화_밀기A!$E:$E,화_밀기A!$C:$C,$A24)+SUMIFS(수_하체A!$E:$E,수_하체A!$C:$C,$A24)+SUMIFS(목_당기기B!$E:$E,목_당기기B!$C:$C,$A24)+SUMIFS(금_밀기B!$E:$E,금_밀기B!$C:$C,$A24)+SUMIFS(토_하체B!$E:$E,토_하체B!$C:$C,$A24)</f>
        <v>4</v>
      </c>
      <c r="C24" s="59">
        <f ca="1">MROUND(SUMIFS(간접계수맵!$F$7:$F$57,간접계수맵!$C$7:$C$57,$A24),0.5)</f>
        <v>6</v>
      </c>
      <c r="D24" s="60">
        <f t="shared" ca="1" si="0"/>
        <v>10</v>
      </c>
      <c r="E24" s="7" t="str">
        <f t="shared" ca="1" si="1"/>
        <v>충분</v>
      </c>
      <c r="F24" s="58" t="s">
        <v>440</v>
      </c>
      <c r="G24" s="62"/>
    </row>
    <row r="25" spans="1:8" ht="36" customHeight="1">
      <c r="A25" s="65" t="s">
        <v>441</v>
      </c>
      <c r="B25" s="15">
        <f>SUM(B5:B24)</f>
        <v>141</v>
      </c>
      <c r="C25" s="66"/>
      <c r="D25" s="67">
        <f ca="1">SUM(D5:D24)</f>
        <v>203.5</v>
      </c>
      <c r="E25" s="66"/>
      <c r="F25" s="66"/>
    </row>
    <row r="26" spans="1:8" ht="15" customHeight="1">
      <c r="A26" s="13" t="s">
        <v>442</v>
      </c>
    </row>
    <row r="27" spans="1:8" ht="16.5" customHeight="1">
      <c r="A27" s="11" t="s">
        <v>443</v>
      </c>
    </row>
    <row r="28" spans="1:8" ht="36" customHeight="1">
      <c r="A28" s="11" t="s">
        <v>444</v>
      </c>
    </row>
    <row r="29" spans="1:8" ht="48" customHeight="1">
      <c r="A29" s="11" t="s">
        <v>445</v>
      </c>
    </row>
    <row r="30" spans="1:8" ht="48" customHeight="1">
      <c r="A30" s="68"/>
    </row>
    <row r="31" spans="1:8" ht="15" customHeight="1">
      <c r="A31" s="13" t="s">
        <v>446</v>
      </c>
    </row>
    <row r="32" spans="1:8" ht="16.5" customHeight="1">
      <c r="A32" s="11" t="s">
        <v>447</v>
      </c>
    </row>
    <row r="33" spans="1:1" ht="48" customHeight="1">
      <c r="A33" s="11" t="s">
        <v>448</v>
      </c>
    </row>
    <row r="34" spans="1:1" ht="48" customHeight="1">
      <c r="A34" s="11" t="s">
        <v>449</v>
      </c>
    </row>
    <row r="35" spans="1:1" ht="15" customHeight="1">
      <c r="A35" s="68"/>
    </row>
    <row r="36" spans="1:1" ht="48" customHeight="1">
      <c r="A36" s="13" t="s">
        <v>450</v>
      </c>
    </row>
    <row r="37" spans="1:1" ht="77.25" customHeight="1">
      <c r="A37" s="11" t="s">
        <v>451</v>
      </c>
    </row>
    <row r="38" spans="1:1" ht="48" customHeight="1">
      <c r="A38" s="11" t="s">
        <v>452</v>
      </c>
    </row>
    <row r="39" spans="1:1" ht="39" customHeight="1">
      <c r="A39" s="68" t="s">
        <v>453</v>
      </c>
    </row>
    <row r="40" spans="1:1" ht="45" customHeight="1">
      <c r="A40" s="11" t="s">
        <v>454</v>
      </c>
    </row>
    <row r="41" spans="1:1" ht="48" customHeight="1">
      <c r="A41" s="11" t="s">
        <v>455</v>
      </c>
    </row>
    <row r="42" spans="1:1" ht="48" customHeight="1">
      <c r="A42" s="11" t="s">
        <v>456</v>
      </c>
    </row>
    <row r="43" spans="1:1" ht="60" customHeight="1">
      <c r="A43" s="13" t="s">
        <v>457</v>
      </c>
    </row>
    <row r="44" spans="1:1" ht="48" customHeight="1">
      <c r="A44" s="11" t="s">
        <v>458</v>
      </c>
    </row>
    <row r="45" spans="1:1" ht="51.75" customHeight="1">
      <c r="A45" s="11" t="s">
        <v>459</v>
      </c>
    </row>
    <row r="46" spans="1:1" ht="90" customHeight="1">
      <c r="A46" s="11" t="s">
        <v>460</v>
      </c>
    </row>
    <row r="47" spans="1:1" ht="51.75" customHeight="1">
      <c r="A47" s="11" t="s">
        <v>461</v>
      </c>
    </row>
  </sheetData>
  <mergeCells count="3">
    <mergeCell ref="G5:G6"/>
    <mergeCell ref="G7:G10"/>
    <mergeCell ref="G17:G18"/>
  </mergeCells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462</v>
      </c>
    </row>
    <row r="2" spans="1:11" ht="15" customHeight="1">
      <c r="A2" s="2" t="s">
        <v>463</v>
      </c>
    </row>
    <row r="4" spans="1:11" ht="15" customHeight="1">
      <c r="A4" s="3" t="s">
        <v>464</v>
      </c>
    </row>
    <row r="5" spans="1:11" ht="15" customHeight="1">
      <c r="A5" s="69" t="s">
        <v>465</v>
      </c>
      <c r="C5" s="4">
        <v>5</v>
      </c>
      <c r="D5" s="68" t="s">
        <v>466</v>
      </c>
    </row>
    <row r="6" spans="1:11" ht="15" customHeight="1">
      <c r="A6" s="69" t="s">
        <v>467</v>
      </c>
      <c r="C6" s="4">
        <v>5</v>
      </c>
      <c r="D6" s="68" t="s">
        <v>468</v>
      </c>
    </row>
    <row r="7" spans="1:11" ht="15" customHeight="1">
      <c r="A7" s="69" t="s">
        <v>469</v>
      </c>
      <c r="C7" s="4">
        <v>2.25</v>
      </c>
      <c r="D7" s="68" t="s">
        <v>470</v>
      </c>
      <c r="H7">
        <f>SUM(D7:D10)</f>
        <v>0</v>
      </c>
    </row>
    <row r="8" spans="1:11" ht="84" customHeight="1">
      <c r="A8" s="69" t="s">
        <v>471</v>
      </c>
      <c r="C8" s="4">
        <v>1.25</v>
      </c>
      <c r="D8" s="68" t="s">
        <v>472</v>
      </c>
    </row>
    <row r="9" spans="1:11" ht="15" customHeight="1">
      <c r="A9" s="5" t="s">
        <v>39</v>
      </c>
      <c r="B9" s="5" t="s">
        <v>473</v>
      </c>
      <c r="C9" s="5" t="s">
        <v>474</v>
      </c>
      <c r="D9" s="5" t="s">
        <v>475</v>
      </c>
      <c r="E9" s="5" t="s">
        <v>476</v>
      </c>
      <c r="F9" s="5" t="s">
        <v>475</v>
      </c>
      <c r="G9" s="5" t="s">
        <v>477</v>
      </c>
      <c r="H9" s="5" t="s">
        <v>475</v>
      </c>
      <c r="I9" s="5" t="s">
        <v>478</v>
      </c>
      <c r="J9" s="5" t="s">
        <v>475</v>
      </c>
      <c r="K9" s="5" t="s">
        <v>123</v>
      </c>
    </row>
    <row r="10" spans="1:11" ht="15" customHeight="1">
      <c r="A10" s="8" t="s">
        <v>479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0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0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0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0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0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0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0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0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0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0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0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0"/>
    </row>
    <row r="23" spans="1:11" ht="108" customHeight="1">
      <c r="A23" s="11" t="s">
        <v>480</v>
      </c>
    </row>
    <row r="24" spans="1:11" ht="84" customHeight="1">
      <c r="A24" s="11" t="s">
        <v>481</v>
      </c>
    </row>
    <row r="25" spans="1:11" ht="84" customHeight="1">
      <c r="A25" s="11" t="s">
        <v>482</v>
      </c>
    </row>
    <row r="26" spans="1:11" ht="120" customHeight="1">
      <c r="A26" s="11"/>
    </row>
    <row r="27" spans="1:11" ht="96" customHeight="1">
      <c r="A27" s="11" t="s">
        <v>483</v>
      </c>
    </row>
    <row r="28" spans="1:11" ht="108" customHeight="1">
      <c r="A28" s="11" t="s">
        <v>484</v>
      </c>
    </row>
    <row r="29" spans="1:11" ht="108" customHeight="1">
      <c r="A29" s="11" t="s">
        <v>485</v>
      </c>
    </row>
    <row r="30" spans="1:11" ht="156" customHeight="1">
      <c r="A30" s="11" t="s">
        <v>486</v>
      </c>
    </row>
    <row r="31" spans="1:11" ht="96" customHeight="1">
      <c r="A31" s="11" t="s">
        <v>487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1" t="s">
        <v>488</v>
      </c>
    </row>
    <row r="2" spans="1:3" ht="15" customHeight="1">
      <c r="A2" s="2" t="s">
        <v>489</v>
      </c>
    </row>
    <row r="4" spans="1:3" ht="15" customHeight="1">
      <c r="A4" s="5" t="s">
        <v>490</v>
      </c>
      <c r="B4" s="5" t="s">
        <v>491</v>
      </c>
      <c r="C4" s="5" t="s">
        <v>492</v>
      </c>
    </row>
    <row r="5" spans="1:3" ht="15" customHeight="1">
      <c r="A5" s="7" t="s">
        <v>423</v>
      </c>
      <c r="B5" s="7" t="s">
        <v>493</v>
      </c>
      <c r="C5" s="58" t="s">
        <v>494</v>
      </c>
    </row>
    <row r="6" spans="1:3" ht="15" customHeight="1">
      <c r="A6" s="7" t="s">
        <v>495</v>
      </c>
      <c r="B6" s="7" t="s">
        <v>493</v>
      </c>
      <c r="C6" s="58" t="s">
        <v>496</v>
      </c>
    </row>
    <row r="7" spans="1:3" ht="15" customHeight="1">
      <c r="A7" s="7" t="s">
        <v>166</v>
      </c>
      <c r="B7" s="7" t="s">
        <v>497</v>
      </c>
      <c r="C7" s="58" t="s">
        <v>498</v>
      </c>
    </row>
    <row r="8" spans="1:3" ht="15" customHeight="1">
      <c r="A8" s="72" t="s">
        <v>499</v>
      </c>
      <c r="B8" s="72" t="s">
        <v>500</v>
      </c>
      <c r="C8" s="73" t="s">
        <v>501</v>
      </c>
    </row>
    <row r="9" spans="1:3" ht="15" customHeight="1">
      <c r="A9" s="72" t="s">
        <v>502</v>
      </c>
      <c r="B9" s="72" t="s">
        <v>500</v>
      </c>
      <c r="C9" s="73" t="s">
        <v>503</v>
      </c>
    </row>
    <row r="10" spans="1:3" ht="15" customHeight="1">
      <c r="A10" s="7" t="s">
        <v>504</v>
      </c>
      <c r="B10" s="7" t="s">
        <v>505</v>
      </c>
      <c r="C10" s="74" t="s">
        <v>506</v>
      </c>
    </row>
    <row r="11" spans="1:3" ht="15" customHeight="1">
      <c r="A11" s="7" t="s">
        <v>507</v>
      </c>
      <c r="B11" s="8" t="s">
        <v>508</v>
      </c>
      <c r="C11" s="58" t="s">
        <v>509</v>
      </c>
    </row>
    <row r="12" spans="1:3" ht="15" customHeight="1">
      <c r="A12" s="7" t="s">
        <v>510</v>
      </c>
      <c r="B12" s="7" t="s">
        <v>511</v>
      </c>
      <c r="C12" s="58" t="s">
        <v>512</v>
      </c>
    </row>
    <row r="15" spans="1:3" ht="24" customHeight="1">
      <c r="A15" s="11" t="s">
        <v>513</v>
      </c>
    </row>
    <row r="16" spans="1:3" ht="24" customHeight="1">
      <c r="A16" s="11" t="s">
        <v>514</v>
      </c>
    </row>
    <row r="17" spans="1:1" ht="36" customHeight="1">
      <c r="A17" s="11" t="s">
        <v>515</v>
      </c>
    </row>
    <row r="18" spans="1:1" ht="15" customHeight="1">
      <c r="A18" s="68"/>
    </row>
    <row r="19" spans="1:1" ht="36" customHeight="1">
      <c r="A19" s="11" t="s">
        <v>516</v>
      </c>
    </row>
    <row r="20" spans="1:1" ht="36" customHeight="1">
      <c r="A20" s="11" t="s">
        <v>517</v>
      </c>
    </row>
    <row r="22" spans="1:1" ht="48" customHeight="1">
      <c r="A22" s="13" t="s">
        <v>518</v>
      </c>
    </row>
    <row r="24" spans="1:1" ht="16.5" customHeight="1">
      <c r="A24" s="14" t="s">
        <v>519</v>
      </c>
    </row>
    <row r="25" spans="1:1" ht="16.5" customHeight="1">
      <c r="A25" t="s">
        <v>520</v>
      </c>
    </row>
    <row r="26" spans="1:1" ht="16.5" customHeight="1">
      <c r="A26" t="s">
        <v>521</v>
      </c>
    </row>
    <row r="27" spans="1:1" ht="16.5" customHeight="1">
      <c r="A27" t="s">
        <v>522</v>
      </c>
    </row>
    <row r="28" spans="1:1" ht="16.5" customHeight="1">
      <c r="A28" t="s">
        <v>523</v>
      </c>
    </row>
    <row r="30" spans="1:1" ht="16.5" customHeight="1">
      <c r="A30" t="s">
        <v>524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525</v>
      </c>
    </row>
    <row r="2" spans="1:6" ht="15" customHeight="1">
      <c r="A2" s="75" t="s">
        <v>526</v>
      </c>
    </row>
    <row r="3" spans="1:6" ht="16.5" customHeight="1">
      <c r="A3" s="3" t="s">
        <v>527</v>
      </c>
    </row>
    <row r="5" spans="1:6" ht="15" customHeight="1">
      <c r="A5" s="5" t="s">
        <v>55</v>
      </c>
      <c r="B5" s="5" t="s">
        <v>528</v>
      </c>
      <c r="C5" s="5" t="s">
        <v>529</v>
      </c>
      <c r="D5" s="5" t="s">
        <v>530</v>
      </c>
      <c r="E5" s="5" t="s">
        <v>59</v>
      </c>
      <c r="F5" s="5" t="s">
        <v>531</v>
      </c>
    </row>
    <row r="6" spans="1:6" ht="15" customHeight="1">
      <c r="A6" s="76" t="s">
        <v>61</v>
      </c>
      <c r="B6" s="77" t="s">
        <v>532</v>
      </c>
      <c r="C6" s="77" t="s">
        <v>532</v>
      </c>
      <c r="D6" s="76" t="s">
        <v>88</v>
      </c>
      <c r="E6" s="76">
        <v>0</v>
      </c>
      <c r="F6" s="78" t="s">
        <v>533</v>
      </c>
    </row>
    <row r="7" spans="1:6" ht="15" customHeight="1">
      <c r="A7" s="7" t="s">
        <v>66</v>
      </c>
      <c r="B7" s="8" t="s">
        <v>532</v>
      </c>
      <c r="C7" s="8" t="s">
        <v>532</v>
      </c>
      <c r="D7" s="72" t="s">
        <v>534</v>
      </c>
      <c r="E7" s="7">
        <f>복귀_화_상체밀기!$E$11</f>
        <v>22</v>
      </c>
      <c r="F7" s="74" t="s">
        <v>535</v>
      </c>
    </row>
    <row r="8" spans="1:6" ht="15" customHeight="1">
      <c r="A8" s="76" t="s">
        <v>71</v>
      </c>
      <c r="B8" s="77" t="s">
        <v>536</v>
      </c>
      <c r="C8" s="77" t="s">
        <v>532</v>
      </c>
      <c r="D8" s="76" t="s">
        <v>88</v>
      </c>
      <c r="E8" s="76">
        <v>0</v>
      </c>
      <c r="F8" s="78" t="s">
        <v>537</v>
      </c>
    </row>
    <row r="9" spans="1:6" ht="15" customHeight="1">
      <c r="A9" s="76" t="s">
        <v>76</v>
      </c>
      <c r="B9" s="77" t="s">
        <v>536</v>
      </c>
      <c r="C9" s="77" t="s">
        <v>536</v>
      </c>
      <c r="D9" s="76" t="s">
        <v>88</v>
      </c>
      <c r="E9" s="76">
        <v>0</v>
      </c>
      <c r="F9" s="78" t="s">
        <v>538</v>
      </c>
    </row>
    <row r="10" spans="1:6" ht="15" customHeight="1">
      <c r="A10" s="76" t="s">
        <v>79</v>
      </c>
      <c r="B10" s="77" t="s">
        <v>532</v>
      </c>
      <c r="C10" s="77" t="s">
        <v>536</v>
      </c>
      <c r="D10" s="76" t="s">
        <v>88</v>
      </c>
      <c r="E10" s="76">
        <v>0</v>
      </c>
      <c r="F10" s="78" t="s">
        <v>539</v>
      </c>
    </row>
    <row r="11" spans="1:6" ht="15" customHeight="1">
      <c r="A11" s="7" t="s">
        <v>83</v>
      </c>
      <c r="B11" s="7" t="s">
        <v>540</v>
      </c>
      <c r="C11" s="7" t="s">
        <v>540</v>
      </c>
      <c r="D11" s="72" t="s">
        <v>495</v>
      </c>
      <c r="E11" s="7">
        <f>복귀_토_하체!$E$12</f>
        <v>22</v>
      </c>
      <c r="F11" s="58" t="s">
        <v>541</v>
      </c>
    </row>
    <row r="12" spans="1:6" ht="15" customHeight="1">
      <c r="A12" s="7" t="s">
        <v>87</v>
      </c>
      <c r="B12" s="7" t="s">
        <v>542</v>
      </c>
      <c r="C12" s="7" t="s">
        <v>542</v>
      </c>
      <c r="D12" s="72" t="s">
        <v>423</v>
      </c>
      <c r="E12" s="7">
        <f>복귀_일_등!$E$13</f>
        <v>22</v>
      </c>
      <c r="F12" s="58" t="s">
        <v>543</v>
      </c>
    </row>
    <row r="13" spans="1:6" ht="15" customHeight="1">
      <c r="A13" s="28" t="s">
        <v>89</v>
      </c>
      <c r="B13" s="28"/>
      <c r="C13" s="28"/>
      <c r="D13" s="28"/>
      <c r="E13" s="28">
        <f>SUM(E6:E12)</f>
        <v>66</v>
      </c>
      <c r="F13" s="29"/>
    </row>
    <row r="15" spans="1:6" ht="48" customHeight="1">
      <c r="A15" s="13" t="s">
        <v>544</v>
      </c>
    </row>
    <row r="16" spans="1:6" ht="141" customHeight="1">
      <c r="A16" s="11" t="s">
        <v>545</v>
      </c>
    </row>
    <row r="17" spans="1:1" ht="126" customHeight="1">
      <c r="A17" s="11" t="s">
        <v>546</v>
      </c>
    </row>
    <row r="18" spans="1:1" ht="77.25" customHeight="1">
      <c r="A18" s="11" t="s">
        <v>547</v>
      </c>
    </row>
    <row r="19" spans="1:1" ht="115.5" customHeight="1">
      <c r="A19" s="11" t="s">
        <v>548</v>
      </c>
    </row>
    <row r="20" spans="1:1" ht="15" customHeight="1">
      <c r="A20" s="68"/>
    </row>
    <row r="21" spans="1:1" ht="48" customHeight="1">
      <c r="A21" s="13" t="s">
        <v>549</v>
      </c>
    </row>
    <row r="22" spans="1:1" ht="141" customHeight="1">
      <c r="A22" s="11" t="s">
        <v>550</v>
      </c>
    </row>
    <row r="23" spans="1:1" ht="77.25" customHeight="1">
      <c r="A23" s="11" t="s">
        <v>551</v>
      </c>
    </row>
    <row r="24" spans="1:1" ht="90" customHeight="1">
      <c r="A24" s="11" t="s">
        <v>552</v>
      </c>
    </row>
    <row r="25" spans="1:1" ht="128.25" customHeight="1">
      <c r="A25" s="11" t="s">
        <v>553</v>
      </c>
    </row>
    <row r="26" spans="1:1" ht="128.25" customHeight="1">
      <c r="A26" s="11" t="s">
        <v>554</v>
      </c>
    </row>
    <row r="27" spans="1:1" ht="15" customHeight="1">
      <c r="A27" s="68"/>
    </row>
    <row r="28" spans="1:1" ht="48" customHeight="1">
      <c r="A28" s="13" t="s">
        <v>555</v>
      </c>
    </row>
    <row r="29" spans="1:1" ht="75" customHeight="1">
      <c r="A29" s="11" t="s">
        <v>556</v>
      </c>
    </row>
    <row r="30" spans="1:1" ht="102.75" customHeight="1">
      <c r="A30" s="11" t="s">
        <v>557</v>
      </c>
    </row>
    <row r="31" spans="1:1" ht="90" customHeight="1">
      <c r="A31" s="11" t="s">
        <v>558</v>
      </c>
    </row>
    <row r="32" spans="1:1" ht="128.25" customHeight="1">
      <c r="A32" s="11" t="s">
        <v>559</v>
      </c>
    </row>
    <row r="33" spans="1:1" ht="144" customHeight="1">
      <c r="A33" s="11" t="s">
        <v>560</v>
      </c>
    </row>
    <row r="34" spans="1:1" ht="15" customHeight="1">
      <c r="A34" s="79" t="s">
        <v>561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562</v>
      </c>
    </row>
    <row r="2" spans="1:8" ht="15" customHeight="1">
      <c r="A2" s="2" t="s">
        <v>563</v>
      </c>
    </row>
    <row r="4" spans="1:8" ht="15" customHeight="1">
      <c r="A4" s="6" t="s">
        <v>118</v>
      </c>
      <c r="B4" s="5" t="s">
        <v>4</v>
      </c>
      <c r="C4" s="5" t="s">
        <v>119</v>
      </c>
      <c r="D4" s="5" t="s">
        <v>120</v>
      </c>
      <c r="E4" s="5" t="s">
        <v>59</v>
      </c>
      <c r="F4" s="5" t="s">
        <v>121</v>
      </c>
      <c r="G4" s="5" t="s">
        <v>123</v>
      </c>
      <c r="H4" s="5" t="s">
        <v>124</v>
      </c>
    </row>
    <row r="5" spans="1:8" ht="15" customHeight="1">
      <c r="A5" s="72">
        <v>1</v>
      </c>
      <c r="B5" s="73" t="s">
        <v>14</v>
      </c>
      <c r="C5" s="72" t="s">
        <v>182</v>
      </c>
      <c r="D5" s="80">
        <f>시작중량_설정!$E$9</f>
        <v>24.75</v>
      </c>
      <c r="E5" s="72">
        <v>5</v>
      </c>
      <c r="F5" s="64" t="s">
        <v>183</v>
      </c>
      <c r="G5" s="73" t="s">
        <v>564</v>
      </c>
      <c r="H5" s="73" t="s">
        <v>565</v>
      </c>
    </row>
    <row r="6" spans="1:8" ht="15" customHeight="1">
      <c r="A6" s="7">
        <v>2</v>
      </c>
      <c r="B6" s="58" t="s">
        <v>291</v>
      </c>
      <c r="C6" s="7" t="s">
        <v>182</v>
      </c>
      <c r="D6" s="8" t="s">
        <v>292</v>
      </c>
      <c r="E6" s="7">
        <v>3</v>
      </c>
      <c r="F6" s="8" t="s">
        <v>132</v>
      </c>
      <c r="G6" s="58" t="s">
        <v>566</v>
      </c>
      <c r="H6" s="58" t="s">
        <v>567</v>
      </c>
    </row>
    <row r="7" spans="1:8" ht="15" customHeight="1">
      <c r="A7" s="7">
        <v>3</v>
      </c>
      <c r="B7" s="58" t="s">
        <v>295</v>
      </c>
      <c r="C7" s="7" t="s">
        <v>192</v>
      </c>
      <c r="D7" s="8" t="s">
        <v>296</v>
      </c>
      <c r="E7" s="7">
        <v>3</v>
      </c>
      <c r="F7" s="8" t="s">
        <v>138</v>
      </c>
      <c r="G7" s="58" t="s">
        <v>568</v>
      </c>
      <c r="H7" s="58" t="s">
        <v>569</v>
      </c>
    </row>
    <row r="8" spans="1:8" ht="15" customHeight="1">
      <c r="A8" s="7">
        <v>4</v>
      </c>
      <c r="B8" s="58" t="s">
        <v>196</v>
      </c>
      <c r="C8" s="7" t="s">
        <v>188</v>
      </c>
      <c r="D8" s="8" t="s">
        <v>150</v>
      </c>
      <c r="E8" s="7">
        <v>3</v>
      </c>
      <c r="F8" s="8" t="s">
        <v>132</v>
      </c>
      <c r="G8" s="58" t="s">
        <v>570</v>
      </c>
      <c r="H8" s="58" t="s">
        <v>571</v>
      </c>
    </row>
    <row r="9" spans="1:8" ht="15" customHeight="1">
      <c r="A9" s="7">
        <v>5</v>
      </c>
      <c r="B9" s="58" t="s">
        <v>199</v>
      </c>
      <c r="C9" s="7" t="s">
        <v>200</v>
      </c>
      <c r="D9" s="8" t="s">
        <v>138</v>
      </c>
      <c r="E9" s="7">
        <v>4</v>
      </c>
      <c r="F9" s="8" t="s">
        <v>145</v>
      </c>
      <c r="G9" s="58" t="s">
        <v>572</v>
      </c>
      <c r="H9" s="58" t="s">
        <v>573</v>
      </c>
    </row>
    <row r="10" spans="1:8" ht="15" customHeight="1">
      <c r="A10" s="7">
        <v>6</v>
      </c>
      <c r="B10" s="58" t="s">
        <v>299</v>
      </c>
      <c r="C10" s="7" t="s">
        <v>204</v>
      </c>
      <c r="D10" s="8" t="s">
        <v>138</v>
      </c>
      <c r="E10" s="7">
        <v>4</v>
      </c>
      <c r="F10" s="8" t="s">
        <v>145</v>
      </c>
      <c r="G10" s="58" t="s">
        <v>574</v>
      </c>
      <c r="H10" s="58" t="s">
        <v>575</v>
      </c>
    </row>
    <row r="11" spans="1:8" ht="15" customHeight="1">
      <c r="D11" s="81" t="s">
        <v>171</v>
      </c>
      <c r="E11" s="28">
        <f>SUM(E5:E10)</f>
        <v>22</v>
      </c>
    </row>
    <row r="13" spans="1:8" ht="32.25" customHeight="1">
      <c r="A13" s="12" t="s">
        <v>576</v>
      </c>
    </row>
    <row r="14" spans="1:8" ht="278.25" customHeight="1">
      <c r="A14" s="11" t="s">
        <v>577</v>
      </c>
    </row>
    <row r="15" spans="1:8" ht="237.75" customHeight="1">
      <c r="A15" s="11" t="s">
        <v>578</v>
      </c>
    </row>
    <row r="16" spans="1:8" ht="237.75" customHeight="1">
      <c r="A16" s="11" t="s">
        <v>579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580</v>
      </c>
    </row>
    <row r="2" spans="1:8" ht="15" customHeight="1">
      <c r="A2" s="2" t="s">
        <v>581</v>
      </c>
    </row>
    <row r="4" spans="1:8" ht="15" customHeight="1">
      <c r="A4" s="6" t="s">
        <v>118</v>
      </c>
      <c r="B4" s="5" t="s">
        <v>4</v>
      </c>
      <c r="C4" s="5" t="s">
        <v>119</v>
      </c>
      <c r="D4" s="5" t="s">
        <v>120</v>
      </c>
      <c r="E4" s="5" t="s">
        <v>59</v>
      </c>
      <c r="F4" s="5" t="s">
        <v>121</v>
      </c>
      <c r="G4" s="5" t="s">
        <v>123</v>
      </c>
      <c r="H4" s="5" t="s">
        <v>124</v>
      </c>
    </row>
    <row r="5" spans="1:8" ht="29.25" customHeight="1">
      <c r="A5" s="72">
        <v>1</v>
      </c>
      <c r="B5" s="73" t="s">
        <v>10</v>
      </c>
      <c r="C5" s="72" t="s">
        <v>209</v>
      </c>
      <c r="D5" s="80">
        <f>시작중량_설정!$E$7</f>
        <v>42.5</v>
      </c>
      <c r="E5" s="72">
        <v>3</v>
      </c>
      <c r="F5" s="64">
        <v>5</v>
      </c>
      <c r="G5" s="73" t="s">
        <v>582</v>
      </c>
      <c r="H5" s="73" t="s">
        <v>583</v>
      </c>
    </row>
    <row r="6" spans="1:8" ht="29.25" customHeight="1">
      <c r="A6" s="72">
        <v>2</v>
      </c>
      <c r="B6" s="73" t="s">
        <v>213</v>
      </c>
      <c r="C6" s="72" t="s">
        <v>209</v>
      </c>
      <c r="D6" s="80" t="s">
        <v>63</v>
      </c>
      <c r="E6" s="72">
        <v>4</v>
      </c>
      <c r="F6" s="64" t="s">
        <v>132</v>
      </c>
      <c r="G6" s="73" t="s">
        <v>584</v>
      </c>
      <c r="H6" s="73" t="s">
        <v>585</v>
      </c>
    </row>
    <row r="7" spans="1:8" ht="15" customHeight="1">
      <c r="A7" s="7">
        <v>3</v>
      </c>
      <c r="B7" s="58" t="s">
        <v>337</v>
      </c>
      <c r="C7" s="7" t="s">
        <v>209</v>
      </c>
      <c r="D7" s="8" t="s">
        <v>63</v>
      </c>
      <c r="E7" s="7">
        <v>3</v>
      </c>
      <c r="F7" s="8" t="s">
        <v>193</v>
      </c>
      <c r="G7" s="58" t="s">
        <v>586</v>
      </c>
      <c r="H7" s="58" t="s">
        <v>587</v>
      </c>
    </row>
    <row r="8" spans="1:8" ht="15" customHeight="1">
      <c r="A8" s="7">
        <v>4</v>
      </c>
      <c r="B8" s="58" t="s">
        <v>222</v>
      </c>
      <c r="C8" s="7" t="s">
        <v>223</v>
      </c>
      <c r="D8" s="8" t="s">
        <v>63</v>
      </c>
      <c r="E8" s="7">
        <v>3</v>
      </c>
      <c r="F8" s="8" t="s">
        <v>193</v>
      </c>
      <c r="G8" s="58" t="s">
        <v>588</v>
      </c>
      <c r="H8" s="58" t="s">
        <v>589</v>
      </c>
    </row>
    <row r="9" spans="1:8" ht="15" customHeight="1">
      <c r="A9" s="7">
        <v>5</v>
      </c>
      <c r="B9" s="58" t="s">
        <v>333</v>
      </c>
      <c r="C9" s="7" t="s">
        <v>223</v>
      </c>
      <c r="D9" s="8" t="s">
        <v>63</v>
      </c>
      <c r="E9" s="7">
        <v>3</v>
      </c>
      <c r="F9" s="8">
        <v>10</v>
      </c>
      <c r="G9" s="58" t="s">
        <v>590</v>
      </c>
      <c r="H9" s="58" t="s">
        <v>591</v>
      </c>
    </row>
    <row r="10" spans="1:8" ht="15" customHeight="1">
      <c r="A10" s="7">
        <v>6</v>
      </c>
      <c r="B10" s="58" t="s">
        <v>342</v>
      </c>
      <c r="C10" s="7" t="s">
        <v>236</v>
      </c>
      <c r="D10" s="8" t="s">
        <v>63</v>
      </c>
      <c r="E10" s="7">
        <v>3</v>
      </c>
      <c r="F10" s="8" t="s">
        <v>145</v>
      </c>
      <c r="G10" s="58" t="s">
        <v>592</v>
      </c>
      <c r="H10" s="58" t="s">
        <v>593</v>
      </c>
    </row>
    <row r="11" spans="1:8" ht="15" customHeight="1">
      <c r="A11" s="7">
        <v>7</v>
      </c>
      <c r="B11" s="58" t="s">
        <v>594</v>
      </c>
      <c r="C11" s="7" t="s">
        <v>280</v>
      </c>
      <c r="D11" s="82">
        <f>시작중량_설정!$E$10</f>
        <v>21.25</v>
      </c>
      <c r="E11" s="7">
        <v>3</v>
      </c>
      <c r="F11" s="8">
        <v>5</v>
      </c>
      <c r="G11" s="58" t="s">
        <v>595</v>
      </c>
      <c r="H11" s="58" t="s">
        <v>596</v>
      </c>
    </row>
    <row r="12" spans="1:8" ht="15" customHeight="1">
      <c r="D12" s="81" t="s">
        <v>171</v>
      </c>
      <c r="E12" s="28">
        <f>SUM(E5:E11)</f>
        <v>22</v>
      </c>
    </row>
    <row r="14" spans="1:8" ht="76.5" customHeight="1">
      <c r="A14" s="12" t="s">
        <v>597</v>
      </c>
    </row>
    <row r="15" spans="1:8" ht="265.5" customHeight="1">
      <c r="A15" s="11" t="s">
        <v>598</v>
      </c>
    </row>
    <row r="16" spans="1:8" ht="293.25" customHeight="1">
      <c r="A16" s="11" t="s">
        <v>599</v>
      </c>
    </row>
    <row r="17" spans="1:1" ht="276" customHeight="1">
      <c r="A17" s="11" t="s">
        <v>600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601</v>
      </c>
    </row>
    <row r="2" spans="1:8" ht="15" customHeight="1">
      <c r="A2" s="2" t="s">
        <v>602</v>
      </c>
    </row>
    <row r="4" spans="1:8" ht="15" customHeight="1">
      <c r="A4" s="6" t="s">
        <v>118</v>
      </c>
      <c r="B4" s="5" t="s">
        <v>4</v>
      </c>
      <c r="C4" s="5" t="s">
        <v>119</v>
      </c>
      <c r="D4" s="5" t="s">
        <v>120</v>
      </c>
      <c r="E4" s="5" t="s">
        <v>59</v>
      </c>
      <c r="F4" s="5" t="s">
        <v>121</v>
      </c>
      <c r="G4" s="5" t="s">
        <v>123</v>
      </c>
      <c r="H4" s="5" t="s">
        <v>124</v>
      </c>
    </row>
    <row r="5" spans="1:8" ht="29.25" customHeight="1">
      <c r="A5" s="72">
        <v>1</v>
      </c>
      <c r="B5" s="73" t="s">
        <v>12</v>
      </c>
      <c r="C5" s="72" t="s">
        <v>166</v>
      </c>
      <c r="D5" s="83">
        <f>시작중량_설정!$E$8</f>
        <v>47.5</v>
      </c>
      <c r="E5" s="72">
        <v>1</v>
      </c>
      <c r="F5" s="64">
        <v>5</v>
      </c>
      <c r="G5" s="73" t="s">
        <v>603</v>
      </c>
      <c r="H5" s="73" t="s">
        <v>604</v>
      </c>
    </row>
    <row r="6" spans="1:8" ht="15" customHeight="1">
      <c r="A6" s="7">
        <v>2</v>
      </c>
      <c r="B6" s="58" t="s">
        <v>246</v>
      </c>
      <c r="C6" s="7" t="s">
        <v>126</v>
      </c>
      <c r="D6" s="8" t="s">
        <v>63</v>
      </c>
      <c r="E6" s="7">
        <v>3</v>
      </c>
      <c r="F6" s="8" t="s">
        <v>138</v>
      </c>
      <c r="G6" s="58" t="s">
        <v>605</v>
      </c>
      <c r="H6" s="58" t="s">
        <v>606</v>
      </c>
    </row>
    <row r="7" spans="1:8" ht="15" customHeight="1">
      <c r="A7" s="7">
        <v>3</v>
      </c>
      <c r="B7" s="58" t="s">
        <v>250</v>
      </c>
      <c r="C7" s="7" t="s">
        <v>126</v>
      </c>
      <c r="D7" s="7" t="s">
        <v>63</v>
      </c>
      <c r="E7" s="7">
        <v>3</v>
      </c>
      <c r="F7" s="8" t="s">
        <v>132</v>
      </c>
      <c r="G7" s="58" t="s">
        <v>607</v>
      </c>
      <c r="H7" s="58" t="s">
        <v>608</v>
      </c>
    </row>
    <row r="8" spans="1:8" ht="15" customHeight="1">
      <c r="A8" s="7">
        <v>4</v>
      </c>
      <c r="B8" s="58" t="s">
        <v>125</v>
      </c>
      <c r="C8" s="7" t="s">
        <v>126</v>
      </c>
      <c r="D8" s="7" t="s">
        <v>137</v>
      </c>
      <c r="E8" s="7">
        <v>3</v>
      </c>
      <c r="F8" s="8" t="s">
        <v>127</v>
      </c>
      <c r="G8" s="58" t="s">
        <v>609</v>
      </c>
      <c r="H8" s="58" t="s">
        <v>610</v>
      </c>
    </row>
    <row r="9" spans="1:8" ht="15" customHeight="1">
      <c r="A9" s="7">
        <v>5</v>
      </c>
      <c r="B9" s="58" t="s">
        <v>131</v>
      </c>
      <c r="C9" s="7" t="s">
        <v>126</v>
      </c>
      <c r="D9" s="8" t="s">
        <v>63</v>
      </c>
      <c r="E9" s="7">
        <v>3</v>
      </c>
      <c r="F9" s="8" t="s">
        <v>132</v>
      </c>
      <c r="G9" s="58" t="s">
        <v>611</v>
      </c>
      <c r="H9" s="58" t="s">
        <v>612</v>
      </c>
    </row>
    <row r="10" spans="1:8" ht="15" customHeight="1">
      <c r="A10" s="7">
        <v>6</v>
      </c>
      <c r="B10" s="58" t="s">
        <v>305</v>
      </c>
      <c r="C10" s="7" t="s">
        <v>136</v>
      </c>
      <c r="D10" s="8" t="s">
        <v>306</v>
      </c>
      <c r="E10" s="7">
        <v>3</v>
      </c>
      <c r="F10" s="8" t="s">
        <v>145</v>
      </c>
      <c r="G10" s="58" t="s">
        <v>613</v>
      </c>
      <c r="H10" s="58" t="s">
        <v>614</v>
      </c>
    </row>
    <row r="11" spans="1:8" ht="15" customHeight="1">
      <c r="A11" s="7">
        <v>7</v>
      </c>
      <c r="B11" s="58" t="s">
        <v>261</v>
      </c>
      <c r="C11" s="7" t="s">
        <v>128</v>
      </c>
      <c r="D11" s="8" t="s">
        <v>262</v>
      </c>
      <c r="E11" s="7">
        <v>3</v>
      </c>
      <c r="F11" s="8" t="s">
        <v>132</v>
      </c>
      <c r="G11" s="58" t="s">
        <v>615</v>
      </c>
      <c r="H11" s="58" t="s">
        <v>616</v>
      </c>
    </row>
    <row r="12" spans="1:8" ht="15" customHeight="1">
      <c r="A12" s="7">
        <v>8</v>
      </c>
      <c r="B12" s="58" t="s">
        <v>273</v>
      </c>
      <c r="C12" s="7" t="s">
        <v>162</v>
      </c>
      <c r="D12" s="7">
        <v>2.5</v>
      </c>
      <c r="E12" s="7">
        <v>3</v>
      </c>
      <c r="F12" s="7">
        <v>12</v>
      </c>
      <c r="G12" s="58" t="s">
        <v>617</v>
      </c>
      <c r="H12" s="58" t="s">
        <v>618</v>
      </c>
    </row>
    <row r="13" spans="1:8" ht="15" customHeight="1">
      <c r="D13" s="81" t="s">
        <v>171</v>
      </c>
      <c r="E13" s="28">
        <f>SUM(E5:E12)</f>
        <v>22</v>
      </c>
    </row>
    <row r="15" spans="1:8" ht="92.25" customHeight="1">
      <c r="A15" s="12" t="s">
        <v>619</v>
      </c>
    </row>
    <row r="16" spans="1:8" ht="233.25" customHeight="1">
      <c r="A16" s="11" t="s">
        <v>620</v>
      </c>
    </row>
    <row r="17" spans="1:1" ht="240" customHeight="1">
      <c r="A17" s="11" t="s">
        <v>621</v>
      </c>
    </row>
    <row r="18" spans="1:1" ht="278.25" customHeight="1">
      <c r="A18" s="11" t="s">
        <v>622</v>
      </c>
    </row>
    <row r="19" spans="1:1" ht="15" customHeight="1">
      <c r="A19" s="68"/>
    </row>
    <row r="20" spans="1:1" ht="95.25" customHeight="1">
      <c r="A20" s="12" t="s">
        <v>623</v>
      </c>
    </row>
    <row r="21" spans="1:1" ht="252.75" customHeight="1">
      <c r="A21" s="11" t="s">
        <v>624</v>
      </c>
    </row>
    <row r="22" spans="1:1" ht="237.75" customHeight="1">
      <c r="A22" s="11"/>
    </row>
    <row r="23" spans="1:1" ht="265.5" customHeight="1">
      <c r="A23" s="11" t="s">
        <v>625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626</v>
      </c>
    </row>
    <row r="2" spans="1:4" ht="15" customHeight="1">
      <c r="A2" s="2" t="s">
        <v>627</v>
      </c>
    </row>
    <row r="4" spans="1:4" ht="15" customHeight="1">
      <c r="A4" s="5" t="s">
        <v>628</v>
      </c>
      <c r="B4" s="5" t="s">
        <v>629</v>
      </c>
      <c r="C4" s="5" t="s">
        <v>630</v>
      </c>
      <c r="D4" s="5" t="s">
        <v>492</v>
      </c>
    </row>
    <row r="5" spans="1:4" ht="15" customHeight="1">
      <c r="A5" s="7" t="s">
        <v>504</v>
      </c>
      <c r="B5" s="7" t="s">
        <v>631</v>
      </c>
      <c r="C5" s="7" t="s">
        <v>632</v>
      </c>
      <c r="D5" s="74" t="s">
        <v>633</v>
      </c>
    </row>
    <row r="6" spans="1:4" ht="15" customHeight="1">
      <c r="A6" s="7" t="s">
        <v>634</v>
      </c>
      <c r="B6" s="8" t="s">
        <v>635</v>
      </c>
      <c r="C6" s="7" t="s">
        <v>636</v>
      </c>
      <c r="D6" s="58" t="s">
        <v>637</v>
      </c>
    </row>
    <row r="7" spans="1:4" ht="15" customHeight="1">
      <c r="A7" s="7" t="s">
        <v>638</v>
      </c>
      <c r="B7" s="7" t="s">
        <v>639</v>
      </c>
      <c r="C7" s="7" t="s">
        <v>640</v>
      </c>
      <c r="D7" s="58" t="s">
        <v>641</v>
      </c>
    </row>
    <row r="8" spans="1:4" ht="15" customHeight="1">
      <c r="A8" s="7" t="s">
        <v>642</v>
      </c>
      <c r="B8" s="7" t="s">
        <v>643</v>
      </c>
      <c r="C8" s="7" t="s">
        <v>644</v>
      </c>
      <c r="D8" s="58" t="s">
        <v>645</v>
      </c>
    </row>
    <row r="9" spans="1:4" ht="15" customHeight="1">
      <c r="A9" s="7" t="s">
        <v>646</v>
      </c>
      <c r="B9" s="8" t="s">
        <v>647</v>
      </c>
      <c r="C9" s="8" t="s">
        <v>648</v>
      </c>
      <c r="D9" s="58" t="s">
        <v>649</v>
      </c>
    </row>
    <row r="10" spans="1:4" ht="15" customHeight="1">
      <c r="A10" s="7" t="s">
        <v>12</v>
      </c>
      <c r="B10" s="8" t="s">
        <v>650</v>
      </c>
      <c r="C10" s="8" t="s">
        <v>651</v>
      </c>
      <c r="D10" s="58" t="s">
        <v>652</v>
      </c>
    </row>
    <row r="11" spans="1:4" ht="15" customHeight="1">
      <c r="A11" s="7" t="s">
        <v>10</v>
      </c>
      <c r="B11" s="8" t="s">
        <v>653</v>
      </c>
      <c r="C11" s="8" t="s">
        <v>654</v>
      </c>
      <c r="D11" s="58" t="s">
        <v>655</v>
      </c>
    </row>
    <row r="12" spans="1:4" ht="15" customHeight="1">
      <c r="A12" s="7" t="s">
        <v>656</v>
      </c>
      <c r="B12" s="8" t="s">
        <v>657</v>
      </c>
      <c r="C12" s="8" t="s">
        <v>658</v>
      </c>
      <c r="D12" s="58" t="s">
        <v>659</v>
      </c>
    </row>
    <row r="13" spans="1:4" ht="15" customHeight="1">
      <c r="A13" s="84" t="s">
        <v>660</v>
      </c>
      <c r="B13" s="85" t="s">
        <v>661</v>
      </c>
      <c r="C13" s="85" t="s">
        <v>662</v>
      </c>
      <c r="D13" s="84" t="s">
        <v>663</v>
      </c>
    </row>
    <row r="15" spans="1:4" ht="15" customHeight="1">
      <c r="A15" s="3" t="s">
        <v>510</v>
      </c>
    </row>
    <row r="16" spans="1:4" ht="39" customHeight="1">
      <c r="A16" s="11" t="s">
        <v>664</v>
      </c>
    </row>
    <row r="17" spans="1:1" ht="51.75" customHeight="1">
      <c r="A17" s="11" t="s">
        <v>665</v>
      </c>
    </row>
    <row r="18" spans="1:1" ht="39" customHeight="1">
      <c r="A18" s="11" t="s">
        <v>666</v>
      </c>
    </row>
    <row r="19" spans="1:1" ht="39" customHeight="1">
      <c r="A19" s="11" t="s">
        <v>667</v>
      </c>
    </row>
    <row r="20" spans="1:1" ht="15" customHeight="1">
      <c r="A20" s="68"/>
    </row>
    <row r="21" spans="1:1" ht="51.75" customHeight="1">
      <c r="A21" s="11" t="s">
        <v>668</v>
      </c>
    </row>
    <row r="22" spans="1:1" ht="39" customHeight="1">
      <c r="A22" s="11" t="s">
        <v>669</v>
      </c>
    </row>
    <row r="23" spans="1:1" ht="15" customHeight="1">
      <c r="A23" s="68"/>
    </row>
    <row r="24" spans="1:1" ht="51.75" customHeight="1">
      <c r="A24" s="11" t="s">
        <v>670</v>
      </c>
    </row>
    <row r="25" spans="1:1" ht="39" customHeight="1">
      <c r="A25" s="11" t="s">
        <v>671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시작중량_설정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2026-08-20T17:45:34Z</dcterms:modified>
  <dc:language>en-US</dc:language>
</cp:coreProperties>
</file>