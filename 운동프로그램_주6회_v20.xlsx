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50" documentId="11_6AF0B42629B6F5CFF7DAC05DB27E968F34409905" xr6:coauthVersionLast="47" xr6:coauthVersionMax="47" xr10:uidLastSave="{69D616B1-114C-4AF7-8215-C652501396A0}"/>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6" i="1" s="1"/>
  <c r="C45" i="1"/>
  <c r="C13" i="13"/>
  <c r="B45" i="1"/>
  <c r="I14" i="13"/>
  <c r="E46" i="1"/>
  <c r="G14" i="13"/>
  <c r="D46" i="1"/>
  <c r="E14" i="13"/>
  <c r="H3" i="12"/>
  <c r="J3" i="12"/>
  <c r="B46" i="1" l="1"/>
  <c r="C14" i="13"/>
  <c r="B47" i="1" s="1"/>
  <c r="I15" i="13"/>
  <c r="E10" i="1" s="1"/>
  <c r="E47" i="1"/>
  <c r="G15" i="13"/>
  <c r="E9" i="1" s="1"/>
  <c r="D47" i="1"/>
  <c r="E15" i="13"/>
  <c r="E8" i="1" s="1"/>
  <c r="C47" i="1"/>
  <c r="C15" i="13"/>
  <c r="E7" i="1" s="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<sst xmlns="http://schemas.openxmlformats.org/spreadsheetml/2006/main" count="2944" uniqueCount="1574">
  <si>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</si>
  <si>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</si>
  <si>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</si>
  <si>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</si>
  <si>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</si>
  <si>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</si>
  <si>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</si>
  <si>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</si>
  <si>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</si>
  <si>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</si>
  <si>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</si>
  <si>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</si>
  <si>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</si>
  <si>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</si>
  <si>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</si>
  <si>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</si>
  <si>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</si>
  <si>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</si>
  <si>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</si>
  <si>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</si>
  <si>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</si>
  <si>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</si>
  <si>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</si>
  <si>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</si>
  <si>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</si>
  <si>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</si>
  <si>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</si>
  <si>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</si>
  <si>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</si>
  <si>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</si>
  <si>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</si>
  <si>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</si>
  <si>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</si>
  <si>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</si>
  <si>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</si>
  <si>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</si>
  <si>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</si>
  <si>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</si>
  <si>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</si>
  <si>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</si>
  <si>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</si>
  <si>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</si>
  <si>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</si>
  <si>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</si>
  <si>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</si>
  <si>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</si>
  <si>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</si>
  <si>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</si>
  <si>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</si>
  <si>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</si>
  <si>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</si>
  <si>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</si>
  <si>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</si>
  <si>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</si>
  <si>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</si>
  <si>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</si>
  <si>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</si>
  <si>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</si>
  <si>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</si>
  <si>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</si>
  <si>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</si>
  <si>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</si>
  <si>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</si>
  <si>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</si>
  <si>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</si>
  <si>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</si>
  <si>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</si>
  <si>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</si>
  <si>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</si>
  <si>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</si>
  <si>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</si>
  <si>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</si>
  <si>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</si>
  <si>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</si>
  <si>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</si>
  <si>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</si>
  <si>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</si>
  <si>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</si>
  <si>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</si>
  <si>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</si>
  <si>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</si>
  <si>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</si>
  <si>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</si>
  <si>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</si>
  <si>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</si>
  <si>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</si>
  <si>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</si>
  <si>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</si>
  <si>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</si>
  <si>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</si>
  <si>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</si>
  <si>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</si>
  <si>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</si>
  <si>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</si>
  <si>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</si>
  <si>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</si>
  <si>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</si>
  <si>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</si>
  <si>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</si>
  <si>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</si>
  <si>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</si>
  <si>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</si>
  <si>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</si>
  <si>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</si>
  <si>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</si>
  <si>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</si>
  <si>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</si>
  <si>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</si>
  <si>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</si>
  <si>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</si>
  <si>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</si>
  <si>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</si>
  <si>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</si>
  <si>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</si>
  <si>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</si>
  <si>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</si>
  <si>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</si>
  <si>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</si>
  <si>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</si>
  <si>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</si>
  <si>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</si>
  <si>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</si>
  <si>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</si>
  <si>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</si>
  <si>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</si>
  <si>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</si>
  <si>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</si>
  <si>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</si>
  <si>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</si>
  <si>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</si>
  <si>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</si>
  <si>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</si>
  <si>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</si>
  <si>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</si>
  <si>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</si>
  <si>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</si>
  <si>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</si>
  <si>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</si>
  <si>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</si>
  <si>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</si>
  <si>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</si>
  <si>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</si>
  <si>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</si>
  <si>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</si>
  <si>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</si>
  <si>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</si>
  <si>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</si>
  <si>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</si>
  <si>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</si>
  <si>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</si>
  <si>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</si>
  <si>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</si>
  <si>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</si>
  <si>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</si>
  <si>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</si>
  <si>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</si>
  <si>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</si>
  <si>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</si>
  <si>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</si>
  <si>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</si>
  <si>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</si>
  <si>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</si>
  <si>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</si>
  <si>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</si>
  <si>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</si>
  <si>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</si>
  <si>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</si>
  <si>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</si>
  <si>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</si>
  <si>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</si>
  <si>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</si>
  <si>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</si>
  <si>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</si>
  <si>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</si>
  <si>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</si>
  <si>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</si>
  <si>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</si>
  <si>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</si>
  <si>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</si>
  <si>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</si>
  <si>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</si>
  <si>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</si>
  <si>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</si>
  <si>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</si>
  <si>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</si>
  <si>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</si>
  <si>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</si>
  <si>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</si>
  <si>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</si>
  <si>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</si>
  <si>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</si>
  <si>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</si>
  <si>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</si>
  <si>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</si>
  <si>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</si>
  <si>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</si>
  <si>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</si>
  <si>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</si>
  <si>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</si>
  <si>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</si>
  <si>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</si>
  <si>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</si>
  <si>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</si>
  <si>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</si>
  <si>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</si>
  <si>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</si>
  <si>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</si>
  <si>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</si>
  <si>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</si>
  <si>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</si>
  <si>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</si>
  <si>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</si>
  <si>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</si>
  <si>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</si>
  <si>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</si>
  <si>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</si>
  <si>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</si>
  <si>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</si>
  <si>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</si>
  <si>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</si>
  <si>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</si>
  <si>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</si>
  <si>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</si>
  <si>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</si>
  <si>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</si>
  <si>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</si>
  <si>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</si>
  <si>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</si>
  <si>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</si>
  <si>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</si>
  <si>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</si>
  <si>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</si>
  <si>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</si>
  <si>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</si>
  <si>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</si>
  <si>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</si>
  <si>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</si>
  <si>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</si>
  <si>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</si>
  <si>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</si>
  <si>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</si>
  <si>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</si>
  <si>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</si>
  <si>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</si>
  <si>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</si>
  <si>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</si>
  <si>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</si>
  <si>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</si>
  <si>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</si>
  <si>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</si>
  <si>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</si>
  <si>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</si>
  <si>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</si>
  <si>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</si>
  <si>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</si>
  <si>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</si>
  <si>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</si>
  <si>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</si>
  <si>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</si>
  <si>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</si>
  <si>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</si>
  <si>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</si>
  <si>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</si>
  <si>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</si>
  <si>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</si>
  <si>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</si>
  <si>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</si>
  <si>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</si>
  <si>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</si>
  <si>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</si>
  <si>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</si>
  <si>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</si>
  <si>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</si>
  <si>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</si>
  <si>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</si>
  <si>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</si>
  <si>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</si>
  <si>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</si>
  <si>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</si>
  <si>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</si>
  <si>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</si>
  <si>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</si>
  <si>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</si>
  <si>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</si>
  <si>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</si>
  <si>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</si>
  <si>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</si>
  <si>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</si>
  <si>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</si>
  <si>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</si>
  <si>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</si>
  <si>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</si>
  <si>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</si>
  <si>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</si>
  <si>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</si>
  <si>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</si>
  <si>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</si>
  <si>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</si>
  <si>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</si>
  <si>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</si>
  <si>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</si>
  <si>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</si>
  <si>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</si>
  <si>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</si>
  <si>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</si>
  <si>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</si>
  <si>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</si>
  <si>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</si>
  <si>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</si>
  <si>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</si>
  <si>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</si>
  <si>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</si>
  <si>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</si>
  <si>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</si>
  <si>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</si>
  <si>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</si>
  <si>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</si>
  <si>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</si>
  <si>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</si>
  <si>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</si>
  <si>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</si>
  <si>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</si>
  <si>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</si>
  <si>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</si>
  <si>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</si>
  <si>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</si>
  <si>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</si>
  <si>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</si>
  <si>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</si>
  <si>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</si>
  <si>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</si>
  <si>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</si>
  <si>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</si>
  <si>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</si>
  <si>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</si>
  <si>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</si>
  <si>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</si>
  <si>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</si>
  <si>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</si>
  <si>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</si>
  <si>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</si>
  <si>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</si>
  <si>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</si>
  <si>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</si>
  <si>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</si>
  <si>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</si>
  <si>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</si>
  <si>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</si>
  <si>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</si>
  <si>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</si>
  <si>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</si>
  <si>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</si>
  <si>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</si>
  <si>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</si>
  <si>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</si>
  <si>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</si>
  <si>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</si>
  <si>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</si>
  <si>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</si>
  <si>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</si>
  <si>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</si>
  <si>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</si>
  <si>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</si>
  <si>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</si>
  <si>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</si>
  <si>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</si>
  <si>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</si>
  <si>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</si>
  <si>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</si>
  <si>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</si>
  <si>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</si>
  <si>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</si>
  <si>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</si>
  <si>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</si>
  <si>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</si>
  <si>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</si>
  <si>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</si>
  <si>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</si>
  <si>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</si>
  <si>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</si>
  <si>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</si>
  <si>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</si>
  <si>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</si>
  <si>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</si>
  <si>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</si>
  <si>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</si>
  <si>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</si>
  <si>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</si>
  <si>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</si>
  <si>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</si>
  <si>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</si>
  <si>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</si>
  <si>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</si>
  <si>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</si>
  <si>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</si>
  <si>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</si>
  <si>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</si>
  <si>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</si>
  <si>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</si>
  <si>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</si>
  <si>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</si>
  <si>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</si>
  <si>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</si>
  <si>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</si>
  <si>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</si>
  <si>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</si>
  <si>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</si>
  <si>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</si>
  <si>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</si>
  <si>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</si>
  <si>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</si>
  <si>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</si>
  <si>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</si>
  <si>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</si>
  <si>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</si>
  <si>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</si>
  <si>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</si>
  <si>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</si>
  <si>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</si>
  <si>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</si>
  <si>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</si>
  <si>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</si>
  <si>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</si>
  <si>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</si>
  <si>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</si>
  <si>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</si>
  <si>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</si>
  <si>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</si>
  <si>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</si>
  <si>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</si>
  <si>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</si>
  <si>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</si>
  <si>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</si>
  <si>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</si>
  <si>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</si>
  <si>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</si>
  <si>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</si>
  <si>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</si>
  <si>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</si>
  <si>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</si>
  <si>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</si>
  <si>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</si>
  <si>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</si>
  <si>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</si>
  <si>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</si>
  <si>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</si>
  <si>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</si>
  <si>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</si>
  <si>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</si>
  <si>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</si>
  <si>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</si>
  <si>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</si>
  <si>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</si>
  <si>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</si>
  <si>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</si>
  <si>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</si>
  <si>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</si>
  <si>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</si>
  <si>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</si>
  <si>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</si>
  <si>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</si>
  <si>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</si>
  <si>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</si>
  <si>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</si>
  <si>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</si>
  <si>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</si>
  <si>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</si>
  <si>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</si>
  <si>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</si>
  <si>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</si>
  <si>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</si>
  <si>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</si>
  <si>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</si>
  <si>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</si>
  <si>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</si>
  <si>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</si>
  <si>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</si>
  <si>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</si>
  <si>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</si>
  <si>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</si>
  <si>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</si>
  <si>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</si>
  <si>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</si>
  <si>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</si>
  <si>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</si>
  <si>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</si>
  <si>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</si>
  <si>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</si>
  <si>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</si>
  <si>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</si>
  <si>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</si>
  <si>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</si>
  <si>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</si>
  <si>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</si>
  <si>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</si>
  <si>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</si>
  <si>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</si>
  <si>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</si>
  <si>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</si>
  <si>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</si>
  <si>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</si>
  <si>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</si>
  <si>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</si>
  <si>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</si>
  <si>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</si>
  <si>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</si>
  <si>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</si>
  <si>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</si>
  <si>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</si>
  <si>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</si>
  <si>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</si>
  <si>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</si>
  <si>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</si>
  <si>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</si>
  <si>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</si>
  <si>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</si>
  <si>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</si>
  <si>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</si>
  <si>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</si>
  <si>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</si>
  <si>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</si>
  <si>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</si>
  <si>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</si>
  <si>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</si>
  <si>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</si>
  <si>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</si>
  <si>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</si>
  <si>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</si>
  <si>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</si>
  <si>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</si>
  <si>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</si>
  <si>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</si>
  <si>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</si>
  <si>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</si>
  <si>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</si>
  <si>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</si>
  <si>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</si>
  <si>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</si>
  <si>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</si>
  <si>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</si>
  <si>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</si>
  <si>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</si>
  <si>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</si>
  <si>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</si>
  <si>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</si>
  <si>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</si>
  <si>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</si>
  <si>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</si>
  <si>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</si>
  <si>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</si>
  <si>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</si>
  <si>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</si>
  <si>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</si>
  <si>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</si>
  <si>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</si>
  <si>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</si>
  <si>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</si>
  <si>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</si>
  <si>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</si>
  <si>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</si>
  <si>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</si>
  <si>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</si>
  <si>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</si>
  <si>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</si>
  <si>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</si>
  <si>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</si>
  <si>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</si>
  <si>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</si>
  <si>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</si>
  <si>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</si>
  <si>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</si>
  <si>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</si>
  <si>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</si>
  <si>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</si>
  <si>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</si>
  <si>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</si>
  <si>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</si>
  <si>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</si>
  <si>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</si>
  <si>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</si>
  <si>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</si>
  <si>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</si>
  <si>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</si>
  <si>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</si>
  <si>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</si>
  <si>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</si>
  <si>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</si>
  <si>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</si>
  <si>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</si>
  <si>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</si>
  <si>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</si>
  <si>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</si>
  <si>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</si>
  <si>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</si>
  <si>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</si>
  <si>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</si>
  <si>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</si>
  <si>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</si>
  <si>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</si>
  <si>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</si>
  <si>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</si>
  <si>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</si>
  <si>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</si>
  <si>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</si>
  <si>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</si>
  <si>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</si>
  <si>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</si>
  <si>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</si>
  <si>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</si>
  <si>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</si>
  <si>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</si>
  <si>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</si>
  <si>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</si>
  <si>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</si>
  <si>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</si>
  <si>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</si>
  <si>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</si>
  <si>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</si>
  <si>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</si>
  <si>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</si>
  <si>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</si>
  <si>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</si>
  <si>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</si>
  <si>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</si>
  <si>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</si>
  <si>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</si>
  <si>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</si>
  <si>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</si>
  <si>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</si>
  <si>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</si>
  <si>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</si>
  <si>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</si>
  <si>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</si>
  <si>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</si>
  <si>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</si>
  <si>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</si>
  <si>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</si>
  <si>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</si>
  <si>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</si>
  <si>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</si>
  <si>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</si>
  <si>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</si>
  <si>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</si>
  <si>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</si>
  <si>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</si>
  <si>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</si>
  <si>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</si>
  <si>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</si>
  <si>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</si>
  <si>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</si>
  <si>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</si>
  <si>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</si>
  <si>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</si>
  <si>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</si>
  <si>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</si>
  <si>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</si>
  <si>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</si>
  <si>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</si>
  <si>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</si>
  <si>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</si>
  <si>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</si>
  <si>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</si>
  <si>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</si>
  <si>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</si>
  <si>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</si>
  <si>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</si>
  <si>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</si>
  <si>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</si>
  <si>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</si>
  <si>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</si>
  <si>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</si>
  <si>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</si>
  <si>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</si>
  <si>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</si>
  <si>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</si>
  <si>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</si>
  <si>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</si>
  <si>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</si>
  <si>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</si>
  <si>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</si>
  <si>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</si>
  <si>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</si>
  <si>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</si>
  <si>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</si>
  <si>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</si>
  <si>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</si>
  <si>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</si>
  <si>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</si>
  <si>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</si>
  <si>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</si>
  <si>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</si>
  <si>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</si>
  <si>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</si>
  <si>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</si>
  <si>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</si>
  <si>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</si>
  <si>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</si>
  <si>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</si>
  <si>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</si>
  <si>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</si>
  <si>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</si>
  <si>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</si>
  <si>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</si>
  <si>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</si>
  <si>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</si>
  <si>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</si>
  <si>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</si>
  <si>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</si>
  <si>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</si>
  <si>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</si>
  <si>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</si>
  <si>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</si>
  <si>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</si>
  <si>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</si>
  <si>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</si>
  <si>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</si>
  <si>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</si>
  <si>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</si>
  <si>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</si>
  <si>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</si>
  <si>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</si>
  <si>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</si>
  <si>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</si>
  <si>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</si>
  <si>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</si>
  <si>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</si>
  <si>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</si>
  <si>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</si>
  <si>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</si>
  <si>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</si>
  <si>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</si>
  <si>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</si>
  <si>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</si>
  <si>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</si>
  <si>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</si>
  <si>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</si>
  <si>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</si>
  <si>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</si>
  <si>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</si>
  <si>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</si>
  <si>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</si>
  <si>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</si>
  <si>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</si>
  <si>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</si>
  <si>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</si>
  <si>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</si>
  <si>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</si>
  <si>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</si>
  <si>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</si>
  <si>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</si>
  <si>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</si>
  <si>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</si>
  <si>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</si>
  <si>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</si>
  <si>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</si>
  <si>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</si>
  <si>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</si>
  <si>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</si>
  <si>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</si>
  <si>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</si>
  <si>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</si>
  <si>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</si>
  <si>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</si>
  <si>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</si>
  <si>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</si>
  <si>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</si>
  <si>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</si>
  <si>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</si>
  <si>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</si>
  <si>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</si>
  <si>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</si>
  <si>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</si>
  <si>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</si>
  <si>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</si>
  <si>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</si>
  <si>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</si>
  <si>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</si>
  <si>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</si>
  <si>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</si>
  <si>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</si>
  <si>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</si>
  <si>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</si>
  <si>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</si>
  <si>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</si>
  <si>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</si>
  <si>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</si>
  <si>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</si>
  <si>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</si>
  <si>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</si>
  <si>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</si>
  <si>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</si>
  <si>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</si>
  <si>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</si>
  <si>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</si>
  <si>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</si>
  <si>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</si>
  <si>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</si>
  <si>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</si>
  <si>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</si>
  <si>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</si>
  <si>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</si>
  <si>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</si>
  <si>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</si>
  <si>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</si>
  <si>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</si>
  <si>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</si>
  <si>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</si>
  <si>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</si>
  <si>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</si>
  <si>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</si>
  <si>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</si>
  <si>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</si>
  <si>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</si>
  <si>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</si>
  <si>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</si>
  <si>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</si>
  <si>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</si>
  <si>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</si>
  <si>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</si>
  <si>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</si>
  <si>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</si>
  <si>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</si>
  <si>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</si>
  <si>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</si>
  <si>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</si>
  <si>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</si>
  <si>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</si>
  <si>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</si>
  <si>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</si>
  <si>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</si>
  <si>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</si>
  <si>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</si>
  <si>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</si>
  <si>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</si>
  <si>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</si>
  <si>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</si>
  <si>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</si>
  <si>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</si>
  <si>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</si>
  <si>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</si>
  <si>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</si>
  <si>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</si>
  <si>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</si>
  <si>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</si>
  <si>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</si>
  <si>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</si>
  <si>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</si>
  <si>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</si>
  <si>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</si>
  <si>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</si>
  <si>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</si>
  <si>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</si>
  <si>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</si>
  <si>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</si>
  <si>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</si>
  <si>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</si>
  <si>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</si>
  <si>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</si>
  <si>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</si>
  <si>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</si>
  <si>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</si>
  <si>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</si>
  <si>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</si>
  <si>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</si>
  <si>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</si>
  <si>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</si>
  <si>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</si>
  <si>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</si>
  <si>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</si>
  <si>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</si>
  <si>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</si>
  <si>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</si>
  <si>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</si>
  <si>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</si>
  <si>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</si>
  <si>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</si>
  <si>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</si>
  <si>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</si>
  <si>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</si>
  <si>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</si>
  <si>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</si>
  <si>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</si>
  <si>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</si>
  <si>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</si>
  <si>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</si>
  <si>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</si>
  <si>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</si>
  <si>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</si>
  <si>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</si>
  <si>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</si>
  <si>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</si>
  <si>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</si>
  <si>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</si>
  <si>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</si>
  <si>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</si>
  <si>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</si>
  <si>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</si>
  <si>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</si>
  <si>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</si>
  <si>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</si>
  <si>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</si>
  <si>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</si>
  <si>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</si>
  <si>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</si>
  <si>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</si>
  <si>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</si>
  <si>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</si>
  <si>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</si>
  <si>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</si>
  <si>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</si>
  <si>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</si>
  <si>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</si>
  <si>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</si>
  <si>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</si>
  <si>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</si>
  <si>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</si>
  <si>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</si>
  <si>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</si>
  <si>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</si>
  <si>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</si>
  <si>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</si>
  <si>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</si>
  <si>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</si>
  <si>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</si>
  <si>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</si>
  <si>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</si>
  <si>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</si>
  <si>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</si>
  <si>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</si>
  <si>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</si>
  <si>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</si>
  <si>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</si>
  <si>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</si>
  <si>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</si>
  <si>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</si>
  <si>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</si>
  <si>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</si>
  <si>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</si>
  <si>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</si>
  <si>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</si>
  <si>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</si>
  <si>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</si>
  <si>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</si>
  <si>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</si>
  <si>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</si>
  <si>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</si>
  <si>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</si>
  <si>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</si>
  <si>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</si>
  <si>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</si>
  <si>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</si>
  <si>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</si>
  <si>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</si>
  <si>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</si>
  <si>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</si>
  <si>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</si>
  <si>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</si>
  <si>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</si>
  <si>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</si>
  <si>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</si>
  <si>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</si>
  <si>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</si>
  <si>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</si>
  <si>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</si>
  <si>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</si>
  <si>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</si>
  <si>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</si>
  <si>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</si>
  <si>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</si>
  <si>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</si>
  <si>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</si>
  <si>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</si>
  <si>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</si>
  <si>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</si>
  <si>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</si>
  <si>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</si>
  <si>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</si>
  <si>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</si>
  <si>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</si>
  <si>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</si>
  <si>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</si>
  <si>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</si>
  <si>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</si>
  <si>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</si>
  <si>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</si>
  <si>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</si>
  <si>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</si>
  <si>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</si>
  <si>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</si>
  <si>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</si>
  <si>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</si>
  <si>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</si>
  <si>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</si>
  <si>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</si>
  <si>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</si>
  <si>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</si>
  <si>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</si>
  <si>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</si>
  <si>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</si>
  <si>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</si>
  <si>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</si>
  <si>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</si>
  <si>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</si>
  <si>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</si>
  <si>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</si>
  <si>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</si>
  <si>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</si>
  <si>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</si>
  <si>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</si>
  <si>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</si>
  <si>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</si>
  <si>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</si>
  <si>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</si>
  <si>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</si>
  <si>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</si>
  <si>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</si>
  <si>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</si>
  <si>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</si>
  <si>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</si>
  <si>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</si>
  <si>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</si>
  <si>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</si>
  <si>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</si>
  <si>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</si>
  <si>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</si>
  <si>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</si>
  <si>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</si>
  <si>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</si>
  <si>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</si>
  <si>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</si>
  <si>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</si>
  <si>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</si>
  <si>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</si>
  <si>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</si>
  <si>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</si>
  <si>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</si>
  <si>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</si>
  <si>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</si>
  <si>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</si>
  <si>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</si>
  <si>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</si>
  <si>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</si>
  <si>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</si>
  <si>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</si>
  <si>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</si>
  <si>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</si>
  <si>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</si>
  <si>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</si>
  <si>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</si>
  <si>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</si>
  <si>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</si>
  <si>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</si>
  <si>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</si>
  <si>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</si>
  <si>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</si>
  <si>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</si>
  <si>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</si>
  <si>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</si>
  <si>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</si>
  <si>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</si>
  <si>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</si>
  <si>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</si>
  <si>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</si>
  <si>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</si>
  <si>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</si>
  <si>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</si>
  <si>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</si>
  <si>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</si>
  <si>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</si>
  <si>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</si>
  <si>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</si>
  <si>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</si>
  <si>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</si>
  <si>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</si>
  <si>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</si>
  <si>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</si>
  <si>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</si>
  <si>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</si>
  <si>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</si>
  <si>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</si>
  <si>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</si>
  <si>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</si>
  <si>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</si>
  <si>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</si>
  <si>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</si>
  <si>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</si>
  <si>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</si>
  <si>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</si>
  <si>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</si>
  <si>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</si>
  <si>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</si>
  <si>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</si>
  <si>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</si>
  <si>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</si>
  <si>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</si>
  <si>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</si>
  <si>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</si>
  <si>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</si>
  <si>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</si>
  <si>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</si>
  <si>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</si>
  <si>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</si>
  <si>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</si>
  <si>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</si>
  <si>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</si>
  <si>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</si>
  <si>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</si>
  <si>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</si>
  <si>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</si>
  <si>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</si>
  <si>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</si>
  <si>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</si>
  <si>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</si>
  <si>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</si>
  <si>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</si>
  <si>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</si>
  <si>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</si>
  <si>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</si>
  <si>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</si>
  <si>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</si>
  <si>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</si>
  <si>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</si>
  <si>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</si>
  <si>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</si>
  <si>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</si>
  <si>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</si>
  <si>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</si>
  <si>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</si>
  <si>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</si>
  <si>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</si>
  <si>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</si>
  <si>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</si>
  <si>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</si>
  <si>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</si>
  <si>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</si>
  <si>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</si>
  <si>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</si>
  <si>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</si>
  <si>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</si>
  <si>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</si>
  <si>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</si>
  <si>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</si>
  <si>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</si>
  <si>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</si>
  <si>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</si>
  <si>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</si>
  <si>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</si>
  <si>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</si>
  <si>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</si>
  <si>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</si>
  <si>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</si>
  <si>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</si>
  <si>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</si>
  <si>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</si>
  <si>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</si>
  <si>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</si>
  <si>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</si>
  <si>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</si>
  <si>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</si>
  <si>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</si>
  <si>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</si>
  <si>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</si>
  <si>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</si>
  <si>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</si>
  <si>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</si>
  <si>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</si>
  <si>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</si>
  <si>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</si>
  <si>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</si>
  <si>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</si>
  <si>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</si>
  <si>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</si>
  <si>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</si>
  <si>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</si>
  <si>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</si>
  <si>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</si>
  <si>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</si>
  <si>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</si>
  <si>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</si>
  <si>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</si>
  <si>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</si>
  <si>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</si>
  <si>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</si>
  <si>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</si>
  <si>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</si>
  <si>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</si>
  <si>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</si>
  <si>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</si>
  <si>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</si>
  <si>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</si>
  <si>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</si>
  <si>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</si>
  <si>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</si>
  <si>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</si>
  <si>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</si>
  <si>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</si>
  <si>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</si>
  <si>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</si>
  <si>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</si>
  <si>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</si>
  <si>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</si>
  <si>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</si>
  <si>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</si>
  <si>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</si>
  <si>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</si>
  <si>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</si>
  <si>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</si>
  <si>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</si>
  <si>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</si>
  <si>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</si>
  <si>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</si>
  <si>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</si>
  <si>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</si>
  <si>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</si>
  <si>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</si>
  <si>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</si>
  <si>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</si>
  <si>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</si>
  <si>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</si>
  <si>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</si>
  <si>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</si>
  <si>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</si>
  <si>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</si>
  <si>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</si>
  <si>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</si>
  <si>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</si>
  <si>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</si>
  <si>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</si>
  <si>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</si>
  <si>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</si>
  <si>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</si>
  <si>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</si>
  <si>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</si>
  <si>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</si>
  <si>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</si>
  <si>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</si>
  <si>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</si>
  <si>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</si>
  <si>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</si>
  <si>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</si>
  <si>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</si>
  <si>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</si>
  <si>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</si>
  <si>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</si>
  <si>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</si>
  <si>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</si>
  <si>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</si>
  <si>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</si>
  <si>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</si>
  <si>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</si>
  <si>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</si>
  <si>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</si>
  <si>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</si>
  <si>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</si>
  <si>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</si>
  <si>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</si>
  <si>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</si>
  <si>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</si>
  <si>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</si>
  <si>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</si>
  <si>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</si>
  <si>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</si>
  <si>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</si>
  <si>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</si>
  <si>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</si>
  <si>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</si>
  <si>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</si>
  <si>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</si>
  <si>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</si>
  <si>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</si>
  <si>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</si>
  <si>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</si>
  <si>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</si>
  <si>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</si>
  <si>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</si>
  <si>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</si>
  <si>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</si>
  <si>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</si>
  <si>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</si>
  <si>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</si>
  <si>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</si>
  <si>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</si>
  <si>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</si>
  <si>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</si>
  <si>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</si>
  <si>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</si>
  <si>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</si>
  <si>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</si>
  <si>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</si>
  <si>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</si>
  <si>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</si>
  <si>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</si>
  <si>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</si>
  <si>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</si>
  <si>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</si>
  <si>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</si>
  <si>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</si>
  <si>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</si>
  <si>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</si>
  <si>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</si>
  <si>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</si>
  <si>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</si>
  <si>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</si>
  <si>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</si>
  <si>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</si>
  <si>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</si>
  <si>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</si>
  <si>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</si>
  <si>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</si>
  <si>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</si>
  <si>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</si>
  <si>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</si>
  <si>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</si>
  <si>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</si>
  <si>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</si>
  <si>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</si>
  <si>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</si>
  <si>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</si>
  <si>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</si>
  <si>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</si>
  <si>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</si>
  <si>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</si>
  <si>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</si>
  <si>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</si>
  <si>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</si>
  <si>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</si>
  <si>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</si>
  <si>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</si>
  <si>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</si>
  <si>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</si>
  <si>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</si>
  <si>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</si>
  <si>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</si>
  <si>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</si>
  <si>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</si>
  <si>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</si>
  <si>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</si>
  <si>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</si>
  <si>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</si>
  <si>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</si>
  <si>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</si>
  <si>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</si>
  <si>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</si>
  <si>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</si>
  <si>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</si>
  <si>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</si>
  <si>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</si>
  <si>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</si>
  <si>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</si>
  <si>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</si>
  <si>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</si>
  <si>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</si>
  <si>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</si>
  <si>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</si>
  <si>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</si>
  <si>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</si>
  <si>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</si>
  <si>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</si>
  <si>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</si>
  <si>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</si>
  <si>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</si>
  <si>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</si>
  <si>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</si>
  <si>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</si>
  <si>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</si>
  <si>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</si>
  <si>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</si>
  <si>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</si>
  <si>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</si>
  <si>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</si>
  <si>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</si>
  <si>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</si>
  <si>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</si>
  <si>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</si>
  <si>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</si>
  <si>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</si>
  <si>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</si>
  <si>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</si>
  <si>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</si>
  <si>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</si>
  <si>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</si>
  <si>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</si>
  <si>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</si>
  <si>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</si>
  <si>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</si>
  <si>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</si>
  <si>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</si>
  <si>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</si>
  <si>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</si>
  <si>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</si>
  <si>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</si>
  <si>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</si>
  <si>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</si>
  <si>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</si>
  <si>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</si>
  <si>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</si>
  <si>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</si>
  <si>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</si>
  <si>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</si>
  <si>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</si>
  <si>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</si>
  <si>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</si>
  <si>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</si>
  <si>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</si>
  <si>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</si>
  <si>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</si>
  <si>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</si>
  <si>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</si>
  <si>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</si>
  <si>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</si>
  <si>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</si>
  <si>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</si>
  <si>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</si>
  <si>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</si>
  <si>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</si>
  <si>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</si>
  <si>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</si>
  <si>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</si>
  <si>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</si>
  <si>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</si>
  <si>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</si>
  <si>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</si>
  <si>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</si>
  <si>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</si>
  <si>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</si>
  <si>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</si>
  <si>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</si>
  <si>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</si>
  <si>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</si>
  <si>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</si>
  <si>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</si>
  <si>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</si>
  <si>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</si>
  <si>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</si>
  <si>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</si>
  <si>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</si>
  <si>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</si>
  <si>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</si>
  <si>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</si>
  <si>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</si>
  <si>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</si>
  <si>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</si>
  <si>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</si>
  <si>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</si>
  <si>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</si>
  <si>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</si>
  <si>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</si>
  <si>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</si>
  <si>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</si>
  <si>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</si>
  <si>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</si>
  <si>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</si>
  <si>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</si>
  <si>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</si>
  <si>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</si>
  <si>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</si>
  <si>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</si>
  <si>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</si>
  <si>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</si>
  <si>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</si>
  <si>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</si>
  <si>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</si>
  <si>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</si>
  <si>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</si>
  <si>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</si>
  <si>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</si>
  <si>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</si>
  <si>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</si>
  <si>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</si>
  <si>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</si>
  <si>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</si>
  <si>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</si>
  <si>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</si>
  <si>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</si>
  <si>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</si>
  <si>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</si>
  <si>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</si>
  <si>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</si>
  <si>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</si>
  <si>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</si>
  <si>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</si>
  <si>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</si>
  <si>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</si>
  <si>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</si>
  <si>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</si>
  <si>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</si>
  <si>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</si>
  <si>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</si>
  <si>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</si>
  <si>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</si>
  <si>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</si>
  <si>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</si>
  <si>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</si>
  <si>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</si>
  <si>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</si>
  <si>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</si>
  <si>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</si>
  <si>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</si>
  <si>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</si>
  <si>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</si>
  <si>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</si>
  <si>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</si>
  <si>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</si>
  <si>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</si>
  <si>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</si>
  <si>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</si>
  <si>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</si>
  <si>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</si>
  <si>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</si>
  <si>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</si>
  <si>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</si>
  <si>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</si>
  <si>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</si>
  <si>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</si>
  <si>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</si>
  <si>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</si>
  <si>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</si>
  <si>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</si>
  <si>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</si>
  <si>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</si>
  <si>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</si>
  <si>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</si>
  <si>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</si>
  <si>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</si>
  <si>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</si>
  <si>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</si>
  <si>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</si>
  <si>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</si>
  <si>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</si>
  <si>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</si>
  <si>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</si>
  <si>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</si>
  <si>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</si>
  <si>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</si>
  <si>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</si>
  <si>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</si>
  <si>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</si>
  <si>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</si>
  <si>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</si>
  <si>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</si>
  <si>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</si>
  <si>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</si>
  <si>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</si>
  <si>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</si>
  <si>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</si>
  <si>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</si>
  <si>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</si>
  <si>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</si>
  <si>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</si>
  <si>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</si>
  <si>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</si>
  <si>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</si>
  <si>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</si>
  <si>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</si>
  <si>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</si>
  <si>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</si>
  <si>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</si>
  <si>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[2026-10-11 사용자 결정] 스미스 바벨 로우(오버그립) → 인클라인 덤벨 로우(오버그립). 벤치 30~45°에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8~10회로 맞춘다. 덤벨은 한 손 2kg씩 뛰므로 고정 증량 대신 10회를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</si>
  <si>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스미스 바벨 로우(오버그립) / 티바 로우 머신 (넓은 오버그립 핸들 · 엉덩이 뒤가 정리된 뒤) / 체스트 서포티드 로우 머신</t>
    <phoneticPr fontId="29" type="noConversion"/>
  </si>
  <si>
    <t>· 이 날은 증량을 추적하는 메인 리프트가 없다. 첫 종목(인클라인 덤벨 로우) 한 손 작업중량의 50%로 10회 · 75%로 5회, 두 세트면 램프가 끝난다.</t>
    <phoneticPr fontId="29" type="noConversion"/>
  </si>
  <si>
    <t>· 그래서 무거운 로우 7세트(인클라인 덤벨 4 · 해머 3)가 데드 다음날에서 완전히 빠졌다. 목요일에 남은 당기기는 수직(친업 · 랫풀다운)이고 척추 부하가 거의 0이다.</t>
    <phoneticPr fontId="29" type="noConversion"/>
  </si>
  <si>
    <t>· 그립이 이 날의 제약이다. 인클라인 덤벨(서포티드) → 해머(서포티드) → 시티드(양팔) → 원암 → 스캡 슈러그 순으로 그립 부담이 줄어드는 순서다.</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</si>
  <si>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</si>
  <si>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</si>
  <si>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</si>
  <si>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</si>
  <si>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인클라인 덤벨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</si>
  <si>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</si>
  <si>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직접 13세트: 일요일(수평) 인클라인 덤벨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</si>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</sst>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1272</v>
      </c>
    </row>
    <row r="60" spans="1:5">
      <c r="A60" t="s">
        <v>133</v>
      </c>
      <c r="C60" s="100">
        <v>46298</v>
      </c>
      <c r="D60" t="s">
        <v>1273</v>
      </c>
    </row>
    <row r="61" spans="1:5">
      <c r="A61" t="s">
        <v>134</v>
      </c>
      <c r="C61">
        <v>11</v>
      </c>
      <c r="D61" t="s">
        <v>135</v>
      </c>
    </row>
    <row r="62" spans="1:5">
      <c r="A62" t="s">
        <v>136</v>
      </c>
      <c r="C62">
        <v>1</v>
      </c>
      <c r="D62" t="s">
        <v>137</v>
      </c>
    </row>
    <row r="63" spans="1:5">
      <c r="A63" t="s">
        <v>1324</v>
      </c>
      <c r="C63" s="100">
        <v>46312</v>
      </c>
      <c r="D63" t="s">
        <v>1329</v>
      </c>
    </row>
    <row r="64" spans="1:5">
      <c r="A64" t="s">
        <v>1327</v>
      </c>
      <c r="C64" s="133">
        <v>7</v>
      </c>
      <c r="D64" t="s">
        <v>1328</v>
      </c>
    </row>
    <row r="65" spans="1:4">
      <c r="A65" t="s">
        <v>138</v>
      </c>
      <c r="C65" s="100">
        <v>46266</v>
      </c>
      <c r="D65" t="s">
        <v>139</v>
      </c>
    </row>
    <row r="66" spans="1:4">
      <c r="A66" t="s">
        <v>140</v>
      </c>
    </row>
    <row r="67" spans="1:4">
      <c r="A67" t="s">
        <v>141</v>
      </c>
    </row>
    <row r="68" spans="1:4">
      <c r="A68" t="s">
        <v>142</v>
      </c>
    </row>
    <row r="69" spans="1:4">
      <c r="A69" t="s">
        <v>1325</v>
      </c>
    </row>
    <row r="70" spans="1:4">
      <c r="A70" t="s">
        <v>143</v>
      </c>
    </row>
    <row r="71" spans="1:4">
      <c r="A71" t="s">
        <v>144</v>
      </c>
    </row>
    <row r="72" spans="1:4">
      <c r="A72" t="s">
        <v>1274</v>
      </c>
    </row>
    <row r="73" spans="1:4">
      <c r="A73" t="s">
        <v>1276</v>
      </c>
    </row>
    <row r="74" spans="1:4">
      <c r="A74" t="s">
        <v>1492</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1275</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5"/>
  <sheetViews>
    <sheetView topLeftCell="A25" workbookViewId="0">
      <selection activeCell="A69" sqref="A69:XFD69"/>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1524</v>
      </c>
      <c r="G6" s="115" t="s">
        <v>1429</v>
      </c>
    </row>
    <row r="7" spans="1:7" ht="30" customHeight="1">
      <c r="A7" s="114" t="s">
        <v>905</v>
      </c>
      <c r="B7" s="120" t="s">
        <v>906</v>
      </c>
      <c r="C7" s="114" t="s">
        <v>899</v>
      </c>
      <c r="D7" s="115" t="s">
        <v>907</v>
      </c>
      <c r="E7" s="121">
        <f>복귀_일_수평당기기!$E$22</f>
        <v>34</v>
      </c>
      <c r="F7" s="114" t="s">
        <v>1496</v>
      </c>
      <c r="G7" s="115" t="s">
        <v>1497</v>
      </c>
    </row>
    <row r="8" spans="1:7" ht="30" customHeight="1">
      <c r="A8" s="114" t="s">
        <v>908</v>
      </c>
      <c r="B8" s="120" t="s">
        <v>909</v>
      </c>
      <c r="C8" s="114" t="s">
        <v>899</v>
      </c>
      <c r="D8" s="115" t="s">
        <v>1536</v>
      </c>
      <c r="E8" s="121">
        <f>복귀_월_가슴!$E$28</f>
        <v>33</v>
      </c>
      <c r="F8" s="114" t="s">
        <v>1537</v>
      </c>
      <c r="G8" s="115" t="s">
        <v>1538</v>
      </c>
    </row>
    <row r="9" spans="1:7" ht="30" customHeight="1">
      <c r="A9" s="114" t="s">
        <v>910</v>
      </c>
      <c r="B9" s="120" t="s">
        <v>911</v>
      </c>
      <c r="C9" s="114" t="s">
        <v>899</v>
      </c>
      <c r="D9" s="115" t="s">
        <v>1539</v>
      </c>
      <c r="E9" s="121">
        <f>복귀_화_팔!$E$24</f>
        <v>40</v>
      </c>
      <c r="F9" s="114" t="s">
        <v>1460</v>
      </c>
      <c r="G9" s="115" t="s">
        <v>1540</v>
      </c>
    </row>
    <row r="10" spans="1:7" ht="30" customHeight="1">
      <c r="A10" s="114" t="s">
        <v>912</v>
      </c>
      <c r="B10" s="120" t="s">
        <v>913</v>
      </c>
      <c r="C10" s="114" t="s">
        <v>899</v>
      </c>
      <c r="D10" s="115" t="s">
        <v>914</v>
      </c>
      <c r="E10" s="121">
        <f>복귀_수_하체후면!$E$38</f>
        <v>31</v>
      </c>
      <c r="F10" s="114" t="s">
        <v>1460</v>
      </c>
      <c r="G10" s="115" t="s">
        <v>1489</v>
      </c>
    </row>
    <row r="11" spans="1:7" ht="30" customHeight="1">
      <c r="A11" s="114" t="s">
        <v>915</v>
      </c>
      <c r="B11" s="120" t="s">
        <v>916</v>
      </c>
      <c r="C11" s="114" t="s">
        <v>899</v>
      </c>
      <c r="D11" s="115" t="s">
        <v>917</v>
      </c>
      <c r="E11" s="121">
        <f>복귀_목_수직당기기!$E$25</f>
        <v>42</v>
      </c>
      <c r="F11" s="114" t="s">
        <v>1515</v>
      </c>
      <c r="G11" s="115" t="s">
        <v>1553</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1525</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1571</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1271</v>
      </c>
    </row>
    <row r="44" spans="1:1">
      <c r="A44" s="126" t="s">
        <v>1285</v>
      </c>
    </row>
    <row r="45" spans="1:1">
      <c r="A45" s="126" t="s">
        <v>1319</v>
      </c>
    </row>
    <row r="46" spans="1:1">
      <c r="A46" s="126" t="s">
        <v>1322</v>
      </c>
    </row>
    <row r="47" spans="1:1">
      <c r="A47" s="126" t="s">
        <v>1341</v>
      </c>
    </row>
    <row r="48" spans="1:1">
      <c r="A48" s="126" t="s">
        <v>1352</v>
      </c>
    </row>
    <row r="49" spans="1:1">
      <c r="A49" s="126" t="s">
        <v>1365</v>
      </c>
    </row>
    <row r="50" spans="1:1">
      <c r="A50" s="126" t="s">
        <v>1375</v>
      </c>
    </row>
    <row r="51" spans="1:1">
      <c r="A51" s="126" t="s">
        <v>1385</v>
      </c>
    </row>
    <row r="52" spans="1:1">
      <c r="A52" s="126" t="s">
        <v>1394</v>
      </c>
    </row>
    <row r="53" spans="1:1">
      <c r="A53" s="126" t="s">
        <v>1396</v>
      </c>
    </row>
    <row r="54" spans="1:1">
      <c r="A54" s="126" t="s">
        <v>1418</v>
      </c>
    </row>
    <row r="55" spans="1:1">
      <c r="A55" s="126" t="s">
        <v>1419</v>
      </c>
    </row>
    <row r="56" spans="1:1">
      <c r="A56" s="126" t="s">
        <v>1430</v>
      </c>
    </row>
    <row r="57" spans="1:1">
      <c r="A57" s="126" t="s">
        <v>1433</v>
      </c>
    </row>
    <row r="58" spans="1:1">
      <c r="A58" s="126" t="s">
        <v>1440</v>
      </c>
    </row>
    <row r="59" spans="1:1">
      <c r="A59" s="126" t="s">
        <v>1473</v>
      </c>
    </row>
    <row r="60" spans="1:1">
      <c r="A60" s="126" t="s">
        <v>1478</v>
      </c>
    </row>
    <row r="61" spans="1:1">
      <c r="A61" s="126" t="s">
        <v>1490</v>
      </c>
    </row>
    <row r="62" spans="1:1">
      <c r="A62" s="126" t="s">
        <v>1499</v>
      </c>
    </row>
    <row r="63" spans="1:1">
      <c r="A63" s="126" t="s">
        <v>1507</v>
      </c>
    </row>
    <row r="64" spans="1:1">
      <c r="A64" s="126" t="s">
        <v>1510</v>
      </c>
    </row>
    <row r="65" spans="1:1">
      <c r="A65" s="126" t="s">
        <v>1516</v>
      </c>
    </row>
    <row r="66" spans="1:1">
      <c r="A66" s="126" t="s">
        <v>1526</v>
      </c>
    </row>
    <row r="67" spans="1:1">
      <c r="A67" s="126" t="s">
        <v>1545</v>
      </c>
    </row>
    <row r="68" spans="1:1">
      <c r="A68" s="126" t="s">
        <v>1554</v>
      </c>
    </row>
    <row r="69" spans="1:1">
      <c r="A69" s="126" t="s">
        <v>1573</v>
      </c>
    </row>
    <row r="70" spans="1:1">
      <c r="A70" s="107" t="s">
        <v>946</v>
      </c>
    </row>
    <row r="71" spans="1:1">
      <c r="A71" s="123" t="s">
        <v>947</v>
      </c>
    </row>
    <row r="72" spans="1:1">
      <c r="A72" s="123" t="s">
        <v>948</v>
      </c>
    </row>
    <row r="73" spans="1:1">
      <c r="A73" s="123" t="s">
        <v>949</v>
      </c>
    </row>
    <row r="74" spans="1:1">
      <c r="A74" s="123" t="s">
        <v>950</v>
      </c>
    </row>
    <row r="76" spans="1:1">
      <c r="A76" s="107" t="s">
        <v>951</v>
      </c>
    </row>
    <row r="77" spans="1:1">
      <c r="A77" s="123" t="s">
        <v>952</v>
      </c>
    </row>
    <row r="78" spans="1:1">
      <c r="A78" s="123" t="s">
        <v>953</v>
      </c>
    </row>
    <row r="79" spans="1:1">
      <c r="A79" s="123" t="s">
        <v>954</v>
      </c>
    </row>
    <row r="80" spans="1:1">
      <c r="A80" s="123" t="s">
        <v>955</v>
      </c>
    </row>
    <row r="81" spans="1:1">
      <c r="A81" s="123" t="s">
        <v>956</v>
      </c>
    </row>
    <row r="83" spans="1:1">
      <c r="A83" s="107" t="s">
        <v>957</v>
      </c>
    </row>
    <row r="84" spans="1:1">
      <c r="A84" s="123" t="s">
        <v>1546</v>
      </c>
    </row>
    <row r="85" spans="1:1">
      <c r="A85" s="123" t="s">
        <v>1541</v>
      </c>
    </row>
    <row r="86" spans="1:1">
      <c r="A86" s="123" t="s">
        <v>958</v>
      </c>
    </row>
    <row r="87" spans="1:1">
      <c r="A87" s="123" t="s">
        <v>1498</v>
      </c>
    </row>
    <row r="88" spans="1:1">
      <c r="A88" s="123" t="s">
        <v>1351</v>
      </c>
    </row>
    <row r="89" spans="1:1">
      <c r="A89" s="123" t="s">
        <v>1461</v>
      </c>
    </row>
    <row r="91" spans="1:1">
      <c r="A91" s="107" t="s">
        <v>959</v>
      </c>
    </row>
    <row r="92" spans="1:1">
      <c r="A92" s="123" t="s">
        <v>1462</v>
      </c>
    </row>
    <row r="93" spans="1:1">
      <c r="A93" s="123" t="s">
        <v>960</v>
      </c>
    </row>
    <row r="94" spans="1:1">
      <c r="A94" s="123" t="s">
        <v>961</v>
      </c>
    </row>
    <row r="95" spans="1:1">
      <c r="A95"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150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1488</v>
      </c>
      <c r="K22" s="115" t="s">
        <v>586</v>
      </c>
      <c r="L22" s="114"/>
      <c r="M22" s="114"/>
      <c r="N22" s="114"/>
    </row>
    <row r="23" spans="1:14" ht="30" customHeight="1">
      <c r="A23" s="114">
        <v>4</v>
      </c>
      <c r="B23" s="115" t="s">
        <v>1420</v>
      </c>
      <c r="C23" s="114" t="s">
        <v>357</v>
      </c>
      <c r="D23" s="114">
        <v>20</v>
      </c>
      <c r="E23" s="114">
        <v>3</v>
      </c>
      <c r="F23" s="114" t="s">
        <v>353</v>
      </c>
      <c r="G23" s="114">
        <v>40</v>
      </c>
      <c r="H23" s="114">
        <v>90</v>
      </c>
      <c r="I23" s="114">
        <f t="shared" si="0"/>
        <v>6.5</v>
      </c>
      <c r="J23" s="115" t="s">
        <v>1481</v>
      </c>
      <c r="K23" s="115" t="s">
        <v>1421</v>
      </c>
      <c r="L23" s="114"/>
      <c r="M23" s="114"/>
      <c r="N23" s="114"/>
    </row>
    <row r="24" spans="1:14" ht="30" customHeight="1">
      <c r="A24" s="114">
        <v>5</v>
      </c>
      <c r="B24" s="135" t="s">
        <v>1493</v>
      </c>
      <c r="C24" s="114" t="s">
        <v>357</v>
      </c>
      <c r="D24" s="114">
        <v>8</v>
      </c>
      <c r="E24" s="114">
        <v>3</v>
      </c>
      <c r="F24" s="114" t="s">
        <v>292</v>
      </c>
      <c r="G24" s="114">
        <v>40</v>
      </c>
      <c r="H24" s="114">
        <v>60</v>
      </c>
      <c r="I24" s="114">
        <f t="shared" si="0"/>
        <v>6</v>
      </c>
      <c r="J24" s="115" t="s">
        <v>1422</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1432</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40</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55</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1518</v>
      </c>
    </row>
    <row r="35" spans="1:1">
      <c r="A35" s="117" t="s">
        <v>1427</v>
      </c>
    </row>
    <row r="36" spans="1:1">
      <c r="A36" s="117" t="s">
        <v>986</v>
      </c>
    </row>
    <row r="37" spans="1:1">
      <c r="A37" s="117" t="s">
        <v>987</v>
      </c>
    </row>
    <row r="38" spans="1:1">
      <c r="A38" s="117" t="s">
        <v>988</v>
      </c>
    </row>
    <row r="40" spans="1:1">
      <c r="A40" s="107" t="s">
        <v>957</v>
      </c>
    </row>
    <row r="41" spans="1:1">
      <c r="A41" s="117" t="s">
        <v>1519</v>
      </c>
    </row>
    <row r="42" spans="1:1">
      <c r="A42" s="117" t="s">
        <v>989</v>
      </c>
    </row>
    <row r="43" spans="1:1">
      <c r="A43" s="117" t="s">
        <v>990</v>
      </c>
    </row>
    <row r="45" spans="1:1">
      <c r="A45" s="107" t="s">
        <v>991</v>
      </c>
    </row>
    <row r="46" spans="1:1">
      <c r="A46" s="117" t="s">
        <v>1520</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1559</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1556</v>
      </c>
      <c r="C11" s="114" t="s">
        <v>285</v>
      </c>
      <c r="D11" s="114">
        <v>16</v>
      </c>
      <c r="E11" s="114">
        <v>4</v>
      </c>
      <c r="F11" s="114" t="s">
        <v>287</v>
      </c>
      <c r="G11" s="114">
        <v>40</v>
      </c>
      <c r="H11" s="114">
        <v>150</v>
      </c>
      <c r="I11" s="114">
        <f t="shared" ref="I11:I21" si="0">IF(E11=0,0,ROUND((E11*(G11+H11)+N11)/60,1))</f>
        <v>12.7</v>
      </c>
      <c r="J11" s="115" t="s">
        <v>1557</v>
      </c>
      <c r="K11" s="115" t="s">
        <v>1558</v>
      </c>
      <c r="L11" s="114" t="s">
        <v>998</v>
      </c>
      <c r="M11" s="114"/>
      <c r="N11" s="114"/>
    </row>
    <row r="12" spans="1:14" ht="30" customHeight="1">
      <c r="A12" s="114">
        <v>2</v>
      </c>
      <c r="B12" s="115" t="s">
        <v>468</v>
      </c>
      <c r="C12" s="114" t="s">
        <v>285</v>
      </c>
      <c r="D12" s="114">
        <v>60</v>
      </c>
      <c r="E12" s="114">
        <v>3</v>
      </c>
      <c r="F12" s="114" t="s">
        <v>287</v>
      </c>
      <c r="G12" s="114">
        <v>40</v>
      </c>
      <c r="H12" s="114">
        <v>150</v>
      </c>
      <c r="I12" s="114">
        <f t="shared" si="0"/>
        <v>9.5</v>
      </c>
      <c r="J12" s="134" t="s">
        <v>1331</v>
      </c>
      <c r="K12" s="115" t="s">
        <v>999</v>
      </c>
      <c r="L12" s="114" t="s">
        <v>1000</v>
      </c>
      <c r="M12" s="114"/>
      <c r="N12" s="114"/>
    </row>
    <row r="13" spans="1:14" ht="30" customHeight="1">
      <c r="A13" s="114">
        <v>3</v>
      </c>
      <c r="B13" s="115" t="s">
        <v>1277</v>
      </c>
      <c r="C13" s="114" t="s">
        <v>1278</v>
      </c>
      <c r="D13" s="114">
        <v>50</v>
      </c>
      <c r="E13" s="114">
        <v>2</v>
      </c>
      <c r="F13" s="114" t="s">
        <v>1279</v>
      </c>
      <c r="G13" s="114">
        <v>40</v>
      </c>
      <c r="H13" s="114">
        <v>120</v>
      </c>
      <c r="I13" s="114">
        <f t="shared" ref="I13" si="1">IF(E13=0,0,ROUND((E13*(G13+H13)+N13)/60,1))</f>
        <v>5.3</v>
      </c>
      <c r="J13" s="115" t="s">
        <v>1555</v>
      </c>
      <c r="K13" s="115" t="s">
        <v>1280</v>
      </c>
      <c r="L13" s="114"/>
      <c r="M13" s="114"/>
      <c r="N13" s="114"/>
    </row>
    <row r="14" spans="1:14" ht="30" customHeight="1">
      <c r="A14" s="114">
        <v>4</v>
      </c>
      <c r="B14" s="115" t="s">
        <v>475</v>
      </c>
      <c r="C14" s="114" t="s">
        <v>270</v>
      </c>
      <c r="D14" s="114">
        <v>25</v>
      </c>
      <c r="E14" s="114">
        <v>4</v>
      </c>
      <c r="F14" s="114" t="s">
        <v>281</v>
      </c>
      <c r="G14" s="114">
        <v>60</v>
      </c>
      <c r="H14" s="114">
        <v>120</v>
      </c>
      <c r="I14" s="114">
        <f t="shared" si="0"/>
        <v>12</v>
      </c>
      <c r="J14" s="115" t="s">
        <v>1494</v>
      </c>
      <c r="K14" s="115" t="s">
        <v>1001</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1002</v>
      </c>
      <c r="K15" s="115" t="s">
        <v>1003</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1004</v>
      </c>
      <c r="K16" s="115" t="s">
        <v>1005</v>
      </c>
      <c r="L16" s="114"/>
      <c r="M16" s="114"/>
      <c r="N16" s="114"/>
    </row>
    <row r="17" spans="1:14" ht="30" customHeight="1">
      <c r="A17" s="114">
        <v>7</v>
      </c>
      <c r="B17" s="115" t="s">
        <v>1501</v>
      </c>
      <c r="C17" s="114" t="s">
        <v>348</v>
      </c>
      <c r="D17" s="114">
        <v>20</v>
      </c>
      <c r="E17" s="114">
        <v>3</v>
      </c>
      <c r="F17" s="114" t="s">
        <v>277</v>
      </c>
      <c r="G17" s="114">
        <v>40</v>
      </c>
      <c r="H17" s="114">
        <v>75</v>
      </c>
      <c r="I17" s="114">
        <f t="shared" si="0"/>
        <v>6.8</v>
      </c>
      <c r="J17" s="115" t="s">
        <v>1512</v>
      </c>
      <c r="K17" s="115" t="s">
        <v>1502</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1006</v>
      </c>
      <c r="K18" s="115" t="s">
        <v>1007</v>
      </c>
      <c r="L18" s="114"/>
      <c r="M18" s="114"/>
      <c r="N18" s="114">
        <v>60</v>
      </c>
    </row>
    <row r="19" spans="1:14" ht="30" customHeight="1">
      <c r="A19" s="114">
        <v>9</v>
      </c>
      <c r="B19" s="115" t="s">
        <v>1008</v>
      </c>
      <c r="C19" s="114" t="s">
        <v>298</v>
      </c>
      <c r="D19" s="114">
        <v>15</v>
      </c>
      <c r="E19" s="114">
        <v>3</v>
      </c>
      <c r="F19" s="114">
        <v>15</v>
      </c>
      <c r="G19" s="114">
        <v>40</v>
      </c>
      <c r="H19" s="114">
        <v>10</v>
      </c>
      <c r="I19" s="114">
        <f t="shared" si="0"/>
        <v>2.5</v>
      </c>
      <c r="J19" s="115" t="s">
        <v>1362</v>
      </c>
      <c r="K19" s="115" t="s">
        <v>1009</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1010</v>
      </c>
      <c r="K20" s="115" t="s">
        <v>1011</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1563</v>
      </c>
      <c r="K21" s="115" t="s">
        <v>1012</v>
      </c>
      <c r="L21" s="114"/>
      <c r="M21" s="114"/>
      <c r="N21" s="114"/>
    </row>
    <row r="22" spans="1:14">
      <c r="A22" s="116"/>
      <c r="B22" s="116"/>
      <c r="C22" s="116"/>
      <c r="D22" s="116" t="s">
        <v>324</v>
      </c>
      <c r="E22" s="116">
        <f>SUM(E11:E21)</f>
        <v>34</v>
      </c>
      <c r="F22" s="116"/>
      <c r="G22" s="116"/>
      <c r="H22" s="116"/>
      <c r="I22" s="116">
        <f>ROUND(SUM(I11:I21),0)</f>
        <v>79</v>
      </c>
    </row>
    <row r="24" spans="1:14">
      <c r="A24" s="107" t="s">
        <v>1013</v>
      </c>
    </row>
    <row r="25" spans="1:14">
      <c r="A25" s="117" t="s">
        <v>1014</v>
      </c>
    </row>
    <row r="26" spans="1:14">
      <c r="A26" s="117" t="s">
        <v>1015</v>
      </c>
    </row>
    <row r="27" spans="1:14">
      <c r="A27" s="117" t="s">
        <v>1016</v>
      </c>
    </row>
    <row r="28" spans="1:14">
      <c r="A28" s="117" t="s">
        <v>1560</v>
      </c>
    </row>
    <row r="29" spans="1:14">
      <c r="A29" s="117" t="s">
        <v>1017</v>
      </c>
    </row>
    <row r="31" spans="1:14">
      <c r="A31" s="107" t="s">
        <v>1018</v>
      </c>
    </row>
    <row r="32" spans="1:14">
      <c r="A32" s="117" t="s">
        <v>1019</v>
      </c>
    </row>
    <row r="33" spans="1:1">
      <c r="A33" s="117" t="s">
        <v>1281</v>
      </c>
    </row>
    <row r="34" spans="1:1">
      <c r="A34" s="117" t="s">
        <v>1020</v>
      </c>
    </row>
    <row r="36" spans="1:1">
      <c r="A36" s="107" t="s">
        <v>957</v>
      </c>
    </row>
    <row r="37" spans="1:1">
      <c r="A37" s="117" t="s">
        <v>1495</v>
      </c>
    </row>
    <row r="38" spans="1:1">
      <c r="A38" s="117" t="s">
        <v>1021</v>
      </c>
    </row>
    <row r="39" spans="1:1">
      <c r="A39" s="117" t="s">
        <v>1561</v>
      </c>
    </row>
    <row r="41" spans="1:1">
      <c r="A41" s="107" t="s">
        <v>991</v>
      </c>
    </row>
    <row r="42" spans="1:1">
      <c r="A42" s="117" t="s">
        <v>1509</v>
      </c>
    </row>
    <row r="43" spans="1:1">
      <c r="A43" s="117" t="s">
        <v>1022</v>
      </c>
    </row>
    <row r="44" spans="1:1">
      <c r="A44" s="117" t="s">
        <v>1562</v>
      </c>
    </row>
    <row r="45" spans="1:1">
      <c r="A45" s="117" t="s">
        <v>1282</v>
      </c>
    </row>
    <row r="46" spans="1:1">
      <c r="A46" s="117" t="s">
        <v>1023</v>
      </c>
    </row>
    <row r="47" spans="1:1">
      <c r="A47" s="117" t="s">
        <v>993</v>
      </c>
    </row>
    <row r="49" spans="3:3">
      <c r="C49" s="118" t="s">
        <v>1024</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1416</v>
      </c>
    </row>
    <row r="2" spans="1:5">
      <c r="A2" t="s">
        <v>1397</v>
      </c>
    </row>
    <row r="4" spans="1:5">
      <c r="A4" s="99" t="s">
        <v>1417</v>
      </c>
    </row>
    <row r="5" spans="1:5">
      <c r="A5" s="140" t="s">
        <v>1398</v>
      </c>
      <c r="B5" s="140" t="s">
        <v>1399</v>
      </c>
      <c r="C5" s="140" t="s">
        <v>1400</v>
      </c>
      <c r="D5" s="140" t="s">
        <v>1401</v>
      </c>
      <c r="E5" s="140" t="s">
        <v>1293</v>
      </c>
    </row>
    <row r="6" spans="1:5">
      <c r="A6" s="139">
        <v>46301</v>
      </c>
      <c r="B6" t="s">
        <v>1402</v>
      </c>
      <c r="C6" t="s">
        <v>1403</v>
      </c>
      <c r="D6" t="s">
        <v>29</v>
      </c>
      <c r="E6" t="s">
        <v>1404</v>
      </c>
    </row>
    <row r="7" spans="1:5">
      <c r="A7" s="139">
        <v>46307</v>
      </c>
      <c r="B7" t="s">
        <v>1405</v>
      </c>
      <c r="C7" t="s">
        <v>1403</v>
      </c>
      <c r="D7" t="s">
        <v>29</v>
      </c>
      <c r="E7" t="s">
        <v>1404</v>
      </c>
    </row>
    <row r="8" spans="1:5">
      <c r="A8" s="139">
        <v>46319</v>
      </c>
      <c r="B8" t="s">
        <v>1405</v>
      </c>
      <c r="C8" t="s">
        <v>1403</v>
      </c>
      <c r="D8" t="s">
        <v>1406</v>
      </c>
      <c r="E8" t="s">
        <v>1404</v>
      </c>
    </row>
    <row r="10" spans="1:5">
      <c r="A10" s="99" t="s">
        <v>1288</v>
      </c>
    </row>
    <row r="11" spans="1:5">
      <c r="A11" t="s">
        <v>1407</v>
      </c>
    </row>
    <row r="12" spans="1:5">
      <c r="A12" t="s">
        <v>1408</v>
      </c>
    </row>
    <row r="13" spans="1:5">
      <c r="A13" t="s">
        <v>1409</v>
      </c>
    </row>
    <row r="14" spans="1:5">
      <c r="A14" t="s">
        <v>1410</v>
      </c>
    </row>
    <row r="15" spans="1:5">
      <c r="A15" t="s">
        <v>1411</v>
      </c>
    </row>
    <row r="16" spans="1:5">
      <c r="A16" t="s">
        <v>1412</v>
      </c>
    </row>
    <row r="17" spans="1:1">
      <c r="A17" t="s">
        <v>1413</v>
      </c>
    </row>
    <row r="18" spans="1:1">
      <c r="A18" t="s">
        <v>1414</v>
      </c>
    </row>
    <row r="19" spans="1:1">
      <c r="A19" t="s">
        <v>1415</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1529</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1025</v>
      </c>
      <c r="K18" s="113" t="s">
        <v>1026</v>
      </c>
      <c r="L18" s="112" t="s">
        <v>1027</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1028</v>
      </c>
      <c r="K19" s="115" t="s">
        <v>1029</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1030</v>
      </c>
      <c r="K20" s="115" t="s">
        <v>1031</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1032</v>
      </c>
      <c r="K21" s="115" t="s">
        <v>1033</v>
      </c>
      <c r="L21" s="114" t="s">
        <v>1034</v>
      </c>
      <c r="M21" s="114"/>
      <c r="N21" s="114"/>
    </row>
    <row r="22" spans="1:14" ht="30" customHeight="1">
      <c r="A22" s="114">
        <v>5</v>
      </c>
      <c r="B22" s="115" t="s">
        <v>1035</v>
      </c>
      <c r="C22" s="114" t="s">
        <v>357</v>
      </c>
      <c r="D22" s="114">
        <v>10</v>
      </c>
      <c r="E22" s="114">
        <v>4</v>
      </c>
      <c r="F22" s="114" t="s">
        <v>307</v>
      </c>
      <c r="G22" s="114">
        <v>60</v>
      </c>
      <c r="H22" s="114">
        <v>60</v>
      </c>
      <c r="I22" s="114">
        <f t="shared" si="0"/>
        <v>8</v>
      </c>
      <c r="J22" s="115" t="s">
        <v>1254</v>
      </c>
      <c r="K22" s="115" t="s">
        <v>1036</v>
      </c>
      <c r="L22" s="114"/>
      <c r="M22" s="114"/>
      <c r="N22" s="114"/>
    </row>
    <row r="23" spans="1:14" ht="30" customHeight="1">
      <c r="A23" s="114">
        <v>6</v>
      </c>
      <c r="B23" s="115" t="s">
        <v>1259</v>
      </c>
      <c r="C23" s="114" t="s">
        <v>1264</v>
      </c>
      <c r="D23" s="114">
        <v>10</v>
      </c>
      <c r="E23" s="114">
        <v>3</v>
      </c>
      <c r="F23" s="114" t="s">
        <v>1260</v>
      </c>
      <c r="G23" s="114">
        <v>60</v>
      </c>
      <c r="H23" s="114">
        <v>60</v>
      </c>
      <c r="I23" s="114">
        <f>IF(E23=0,0,ROUND((E23*(G23+H23)+N23)/60,1))</f>
        <v>6</v>
      </c>
      <c r="J23" s="115" t="s">
        <v>1261</v>
      </c>
      <c r="K23" s="115" t="s">
        <v>1265</v>
      </c>
      <c r="L23" s="114"/>
      <c r="M23" s="114"/>
      <c r="N23" s="114"/>
    </row>
    <row r="24" spans="1:14" ht="30" customHeight="1">
      <c r="A24" s="114">
        <v>7</v>
      </c>
      <c r="B24" s="135" t="s">
        <v>1366</v>
      </c>
      <c r="C24" s="114" t="s">
        <v>1255</v>
      </c>
      <c r="D24" s="114">
        <v>8</v>
      </c>
      <c r="E24" s="114">
        <v>3</v>
      </c>
      <c r="F24" s="114" t="s">
        <v>1256</v>
      </c>
      <c r="G24" s="114">
        <v>40</v>
      </c>
      <c r="H24" s="114">
        <v>60</v>
      </c>
      <c r="I24" s="114">
        <f>IF(E24=0,0,ROUND((E24*(G24+H24)+N24)/60,1))</f>
        <v>6</v>
      </c>
      <c r="J24" s="115" t="s">
        <v>1257</v>
      </c>
      <c r="K24" s="115" t="s">
        <v>1258</v>
      </c>
      <c r="L24" s="114"/>
      <c r="M24" s="114"/>
      <c r="N24" s="114">
        <v>60</v>
      </c>
    </row>
    <row r="25" spans="1:14" ht="30" customHeight="1">
      <c r="A25" s="114">
        <v>8</v>
      </c>
      <c r="B25" s="115" t="s">
        <v>1266</v>
      </c>
      <c r="C25" s="114" t="s">
        <v>1264</v>
      </c>
      <c r="D25" s="114">
        <v>35</v>
      </c>
      <c r="E25" s="114">
        <v>4</v>
      </c>
      <c r="F25" s="114" t="s">
        <v>1256</v>
      </c>
      <c r="G25" s="114">
        <v>40</v>
      </c>
      <c r="H25" s="114">
        <v>60</v>
      </c>
      <c r="I25" s="114">
        <f>IF(E25=0,0,ROUND((E25*(G25+H25)+N25)/60,1))</f>
        <v>6.7</v>
      </c>
      <c r="J25" s="115" t="s">
        <v>1349</v>
      </c>
      <c r="K25" s="115" t="s">
        <v>1267</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1527</v>
      </c>
      <c r="K26" s="115" t="s">
        <v>1056</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1528</v>
      </c>
      <c r="K27" s="115" t="s">
        <v>1057</v>
      </c>
      <c r="L27" s="114"/>
      <c r="M27" s="114"/>
      <c r="N27" s="114"/>
    </row>
    <row r="28" spans="1:14">
      <c r="A28" s="116"/>
      <c r="B28" s="116"/>
      <c r="C28" s="116"/>
      <c r="D28" s="116" t="s">
        <v>324</v>
      </c>
      <c r="E28" s="116">
        <f>SUM(E18:E27)</f>
        <v>33</v>
      </c>
      <c r="F28" s="116"/>
      <c r="G28" s="116"/>
      <c r="H28" s="116"/>
      <c r="I28" s="116">
        <f>ROUND(SUM(I18:I27),0)</f>
        <v>77</v>
      </c>
    </row>
    <row r="30" spans="1:14">
      <c r="A30" s="107" t="s">
        <v>1037</v>
      </c>
    </row>
    <row r="31" spans="1:14">
      <c r="A31" s="117" t="s">
        <v>985</v>
      </c>
    </row>
    <row r="32" spans="1:14">
      <c r="A32" s="117" t="s">
        <v>1038</v>
      </c>
    </row>
    <row r="33" spans="1:1">
      <c r="A33" s="117" t="s">
        <v>1039</v>
      </c>
    </row>
    <row r="34" spans="1:1">
      <c r="A34" s="117" t="s">
        <v>1040</v>
      </c>
    </row>
    <row r="36" spans="1:1">
      <c r="A36" s="107" t="s">
        <v>1041</v>
      </c>
    </row>
    <row r="37" spans="1:1">
      <c r="A37" s="117" t="s">
        <v>1042</v>
      </c>
    </row>
    <row r="38" spans="1:1">
      <c r="A38" s="117" t="s">
        <v>1043</v>
      </c>
    </row>
    <row r="40" spans="1:1">
      <c r="A40" s="107" t="s">
        <v>957</v>
      </c>
    </row>
    <row r="41" spans="1:1">
      <c r="A41" s="117" t="s">
        <v>1544</v>
      </c>
    </row>
    <row r="42" spans="1:1">
      <c r="A42" s="117" t="s">
        <v>1044</v>
      </c>
    </row>
    <row r="43" spans="1:1">
      <c r="A43" s="117" t="s">
        <v>1530</v>
      </c>
    </row>
    <row r="45" spans="1:1">
      <c r="A45" s="107" t="s">
        <v>1262</v>
      </c>
    </row>
    <row r="46" spans="1:1">
      <c r="A46" s="117" t="s">
        <v>1263</v>
      </c>
    </row>
    <row r="47" spans="1:1">
      <c r="A47" s="117" t="s">
        <v>1045</v>
      </c>
    </row>
    <row r="49" spans="3:3">
      <c r="C49" s="118" t="s">
        <v>1268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1531</v>
      </c>
    </row>
    <row r="4" spans="1:14">
      <c r="A4" s="107" t="s">
        <v>996</v>
      </c>
    </row>
    <row r="5" spans="1:14">
      <c r="A5" s="110" t="s">
        <v>1468</v>
      </c>
    </row>
    <row r="6" spans="1:14">
      <c r="A6" s="110" t="s">
        <v>1469</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1474</v>
      </c>
      <c r="K11" s="115" t="s">
        <v>1092</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1445</v>
      </c>
      <c r="K12" s="115" t="s">
        <v>1093</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1446</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1467</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1517</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1508</v>
      </c>
      <c r="K16" s="115" t="s">
        <v>1511</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1350</v>
      </c>
      <c r="K17" s="115" t="s">
        <v>1046</v>
      </c>
      <c r="L17" s="114"/>
      <c r="M17" s="114"/>
      <c r="N17" s="114"/>
    </row>
    <row r="18" spans="1:14" ht="30" customHeight="1">
      <c r="A18" s="114">
        <v>8</v>
      </c>
      <c r="B18" s="115" t="s">
        <v>1436</v>
      </c>
      <c r="C18" s="114" t="s">
        <v>272</v>
      </c>
      <c r="D18" s="114">
        <v>10</v>
      </c>
      <c r="E18" s="114">
        <v>3</v>
      </c>
      <c r="F18" s="114" t="s">
        <v>277</v>
      </c>
      <c r="G18" s="114">
        <v>40</v>
      </c>
      <c r="H18" s="114">
        <v>75</v>
      </c>
      <c r="I18" s="114">
        <f t="shared" si="1"/>
        <v>5.8</v>
      </c>
      <c r="J18" s="115" t="s">
        <v>1438</v>
      </c>
      <c r="K18" s="115" t="s">
        <v>1437</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1047</v>
      </c>
      <c r="K19" s="115" t="s">
        <v>1048</v>
      </c>
      <c r="L19" s="114"/>
      <c r="M19" s="114"/>
      <c r="N19" s="114"/>
    </row>
    <row r="20" spans="1:14" ht="30" customHeight="1">
      <c r="A20" s="114">
        <v>10</v>
      </c>
      <c r="B20" s="115" t="s">
        <v>1008</v>
      </c>
      <c r="C20" s="114" t="s">
        <v>298</v>
      </c>
      <c r="D20" s="114">
        <v>10</v>
      </c>
      <c r="E20" s="114">
        <v>0</v>
      </c>
      <c r="F20" s="114">
        <v>15</v>
      </c>
      <c r="G20" s="114">
        <v>40</v>
      </c>
      <c r="H20" s="114">
        <v>10</v>
      </c>
      <c r="I20" s="114">
        <f t="shared" si="1"/>
        <v>0</v>
      </c>
      <c r="J20" s="115" t="s">
        <v>1363</v>
      </c>
      <c r="K20" s="115" t="s">
        <v>1009</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1049</v>
      </c>
      <c r="K21" s="115" t="s">
        <v>1011</v>
      </c>
      <c r="L21" s="114"/>
      <c r="M21" s="114" t="s">
        <v>394</v>
      </c>
      <c r="N21" s="114"/>
    </row>
    <row r="22" spans="1:14" ht="30" customHeight="1">
      <c r="A22" s="114">
        <v>12</v>
      </c>
      <c r="B22" s="115" t="s">
        <v>1050</v>
      </c>
      <c r="C22" s="114" t="s">
        <v>915</v>
      </c>
      <c r="D22" s="114">
        <v>2.5</v>
      </c>
      <c r="E22" s="114">
        <v>3</v>
      </c>
      <c r="F22" s="114" t="s">
        <v>292</v>
      </c>
      <c r="G22" s="114">
        <v>40</v>
      </c>
      <c r="H22" s="114">
        <v>60</v>
      </c>
      <c r="I22" s="114">
        <f t="shared" si="1"/>
        <v>5</v>
      </c>
      <c r="J22" s="115" t="s">
        <v>1051</v>
      </c>
      <c r="K22" s="115" t="s">
        <v>1052</v>
      </c>
      <c r="L22" s="114"/>
      <c r="M22" s="114"/>
      <c r="N22" s="114"/>
    </row>
    <row r="23" spans="1:14" ht="30" customHeight="1">
      <c r="A23" s="114">
        <v>13</v>
      </c>
      <c r="B23" s="115" t="s">
        <v>1053</v>
      </c>
      <c r="C23" s="114" t="s">
        <v>915</v>
      </c>
      <c r="D23" s="114">
        <v>2.5</v>
      </c>
      <c r="E23" s="114">
        <v>3</v>
      </c>
      <c r="F23" s="114" t="s">
        <v>292</v>
      </c>
      <c r="G23" s="114">
        <v>40</v>
      </c>
      <c r="H23" s="114">
        <v>60</v>
      </c>
      <c r="I23" s="114">
        <f t="shared" si="1"/>
        <v>5</v>
      </c>
      <c r="J23" s="115" t="s">
        <v>1054</v>
      </c>
      <c r="K23" s="115" t="s">
        <v>1055</v>
      </c>
      <c r="L23" s="114"/>
      <c r="M23" s="114"/>
      <c r="N23" s="114"/>
    </row>
    <row r="24" spans="1:14">
      <c r="A24" s="116"/>
      <c r="B24" s="116"/>
      <c r="C24" s="116"/>
      <c r="D24" s="116" t="s">
        <v>324</v>
      </c>
      <c r="E24" s="116">
        <f>SUM(E11:E23)</f>
        <v>40</v>
      </c>
      <c r="F24" s="116"/>
      <c r="G24" s="116"/>
      <c r="H24" s="116"/>
      <c r="I24" s="116">
        <f>ROUND(SUM(I11:I23),0)</f>
        <v>80</v>
      </c>
    </row>
    <row r="26" spans="1:14">
      <c r="A26" s="107" t="s">
        <v>1448</v>
      </c>
    </row>
    <row r="27" spans="1:14">
      <c r="A27" s="117" t="s">
        <v>1532</v>
      </c>
    </row>
    <row r="28" spans="1:14">
      <c r="A28" s="117" t="s">
        <v>1058</v>
      </c>
    </row>
    <row r="29" spans="1:14">
      <c r="A29" s="117" t="s">
        <v>1059</v>
      </c>
    </row>
    <row r="31" spans="1:14">
      <c r="A31" s="107" t="s">
        <v>1533</v>
      </c>
    </row>
    <row r="32" spans="1:14">
      <c r="A32" s="117" t="s">
        <v>1060</v>
      </c>
    </row>
    <row r="33" spans="1:1">
      <c r="A33" s="117" t="s">
        <v>1061</v>
      </c>
    </row>
    <row r="34" spans="1:1">
      <c r="A34" s="117" t="s">
        <v>1062</v>
      </c>
    </row>
    <row r="35" spans="1:1">
      <c r="A35" s="117" t="s">
        <v>1063</v>
      </c>
    </row>
    <row r="36" spans="1:1">
      <c r="A36" s="117" t="s">
        <v>1064</v>
      </c>
    </row>
    <row r="38" spans="1:1">
      <c r="A38" s="107" t="s">
        <v>957</v>
      </c>
    </row>
    <row r="39" spans="1:1">
      <c r="A39" s="117" t="s">
        <v>1534</v>
      </c>
    </row>
    <row r="40" spans="1:1">
      <c r="A40" s="117" t="s">
        <v>1535</v>
      </c>
    </row>
    <row r="42" spans="1:1">
      <c r="A42" s="107" t="s">
        <v>1065</v>
      </c>
    </row>
    <row r="43" spans="1:1">
      <c r="A43" s="117" t="s">
        <v>1470</v>
      </c>
    </row>
    <row r="44" spans="1:1">
      <c r="A44" s="117" t="s">
        <v>1066</v>
      </c>
    </row>
    <row r="45" spans="1:1">
      <c r="A45" s="117" t="s">
        <v>1067</v>
      </c>
    </row>
    <row r="47" spans="1:1">
      <c r="A47" s="107" t="s">
        <v>991</v>
      </c>
    </row>
    <row r="48" spans="1:1">
      <c r="A48" s="117" t="s">
        <v>1068</v>
      </c>
    </row>
    <row r="49" spans="1:3">
      <c r="A49" s="117" t="s">
        <v>1069</v>
      </c>
    </row>
    <row r="50" spans="1:3">
      <c r="A50" s="117" t="s">
        <v>1070</v>
      </c>
    </row>
    <row r="51" spans="1:3">
      <c r="A51" s="117" t="s">
        <v>1071</v>
      </c>
    </row>
    <row r="52" spans="1:3">
      <c r="A52" s="117" t="s">
        <v>993</v>
      </c>
    </row>
    <row r="54" spans="1:3">
      <c r="C54" s="118" t="s">
        <v>1072</v>
      </c>
    </row>
    <row r="56" spans="1:3">
      <c r="A56" s="131" t="s">
        <v>1452</v>
      </c>
    </row>
    <row r="57" spans="1:3">
      <c r="A57" t="s">
        <v>1475</v>
      </c>
    </row>
    <row r="58" spans="1:3">
      <c r="A58" t="s">
        <v>1449</v>
      </c>
    </row>
    <row r="59" spans="1:3">
      <c r="A59" t="s">
        <v>1450</v>
      </c>
    </row>
    <row r="60" spans="1:3">
      <c r="A60" t="s">
        <v>1471</v>
      </c>
    </row>
    <row r="61" spans="1:3">
      <c r="A61" t="s">
        <v>1472</v>
      </c>
    </row>
    <row r="62" spans="1:3">
      <c r="A62" t="s">
        <v>1476</v>
      </c>
    </row>
    <row r="63" spans="1:3">
      <c r="A63" t="s">
        <v>1521</v>
      </c>
    </row>
    <row r="64" spans="1:3">
      <c r="C64" t="s">
        <v>1451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1073</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1482</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1074</v>
      </c>
    </row>
    <row r="21" spans="1:14">
      <c r="A21" s="110" t="s">
        <v>1075</v>
      </c>
    </row>
    <row r="22" spans="1:14">
      <c r="A22" s="110" t="s">
        <v>966</v>
      </c>
    </row>
    <row r="23" spans="1:14">
      <c r="A23" s="110" t="s">
        <v>1076</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1077</v>
      </c>
      <c r="K28" s="113" t="s">
        <v>1078</v>
      </c>
      <c r="L28" s="112"/>
      <c r="M28" s="112"/>
      <c r="N28" s="112"/>
    </row>
    <row r="29" spans="1:14" ht="30" customHeight="1">
      <c r="A29" s="114">
        <v>2</v>
      </c>
      <c r="B29" s="115" t="s">
        <v>1079</v>
      </c>
      <c r="C29" s="114" t="s">
        <v>316</v>
      </c>
      <c r="D29" s="114">
        <f>시작중량_설정!$E$8-5</f>
        <v>75</v>
      </c>
      <c r="E29" s="114">
        <v>2</v>
      </c>
      <c r="F29" s="114">
        <v>5</v>
      </c>
      <c r="G29" s="114">
        <v>30</v>
      </c>
      <c r="H29" s="114">
        <v>180</v>
      </c>
      <c r="I29" s="114">
        <f t="shared" si="0"/>
        <v>7</v>
      </c>
      <c r="J29" s="115" t="s">
        <v>1080</v>
      </c>
      <c r="K29" s="115" t="s">
        <v>1081</v>
      </c>
      <c r="L29" s="114"/>
      <c r="M29" s="114"/>
      <c r="N29" s="114"/>
    </row>
    <row r="30" spans="1:14" ht="30" customHeight="1">
      <c r="A30" s="114">
        <v>3</v>
      </c>
      <c r="B30" s="115" t="s">
        <v>562</v>
      </c>
      <c r="C30" s="114" t="s">
        <v>387</v>
      </c>
      <c r="D30" s="114" t="s">
        <v>1082</v>
      </c>
      <c r="E30" s="114">
        <v>3</v>
      </c>
      <c r="F30" s="114" t="s">
        <v>277</v>
      </c>
      <c r="G30" s="114">
        <v>45</v>
      </c>
      <c r="H30" s="114">
        <v>150</v>
      </c>
      <c r="I30" s="114">
        <f t="shared" si="0"/>
        <v>9.8000000000000007</v>
      </c>
      <c r="J30" s="115" t="s">
        <v>1083</v>
      </c>
      <c r="K30" s="115" t="s">
        <v>1084</v>
      </c>
      <c r="L30" s="114"/>
      <c r="M30" s="114"/>
      <c r="N30" s="114"/>
    </row>
    <row r="31" spans="1:14" ht="30" customHeight="1">
      <c r="A31" s="114">
        <v>4</v>
      </c>
      <c r="B31" s="115" t="s">
        <v>1085</v>
      </c>
      <c r="C31" s="114" t="s">
        <v>378</v>
      </c>
      <c r="D31" s="114">
        <v>110</v>
      </c>
      <c r="E31" s="114">
        <v>4</v>
      </c>
      <c r="F31" s="114" t="s">
        <v>277</v>
      </c>
      <c r="G31" s="114">
        <v>45</v>
      </c>
      <c r="H31" s="114">
        <v>150</v>
      </c>
      <c r="I31" s="114">
        <f t="shared" si="0"/>
        <v>13</v>
      </c>
      <c r="J31" s="115" t="s">
        <v>1086</v>
      </c>
      <c r="K31" s="115" t="s">
        <v>1087</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1088</v>
      </c>
      <c r="K32" s="115" t="s">
        <v>1089</v>
      </c>
      <c r="L32" s="114"/>
      <c r="M32" s="114"/>
      <c r="N32" s="114"/>
    </row>
    <row r="33" spans="1:14" ht="30" customHeight="1">
      <c r="A33" s="112">
        <v>6</v>
      </c>
      <c r="B33" s="113" t="s">
        <v>1483</v>
      </c>
      <c r="C33" s="112" t="s">
        <v>432</v>
      </c>
      <c r="D33" s="112">
        <f>시작중량_설정!$E$10</f>
        <v>27</v>
      </c>
      <c r="E33" s="112">
        <v>3</v>
      </c>
      <c r="F33" s="112">
        <v>5</v>
      </c>
      <c r="G33" s="112">
        <v>30</v>
      </c>
      <c r="H33" s="112">
        <v>180</v>
      </c>
      <c r="I33" s="112">
        <f t="shared" si="0"/>
        <v>10.5</v>
      </c>
      <c r="J33" s="113" t="s">
        <v>1484</v>
      </c>
      <c r="K33" s="113" t="s">
        <v>1485</v>
      </c>
      <c r="L33" s="112" t="s">
        <v>510</v>
      </c>
      <c r="M33" s="112"/>
      <c r="N33" s="112"/>
    </row>
    <row r="34" spans="1:14" ht="30" customHeight="1">
      <c r="A34" s="114">
        <v>7</v>
      </c>
      <c r="B34" s="135" t="s">
        <v>1493</v>
      </c>
      <c r="C34" s="114" t="s">
        <v>357</v>
      </c>
      <c r="D34" s="114">
        <v>8</v>
      </c>
      <c r="E34" s="114">
        <v>3</v>
      </c>
      <c r="F34" s="114" t="s">
        <v>292</v>
      </c>
      <c r="G34" s="114">
        <v>40</v>
      </c>
      <c r="H34" s="114">
        <v>60</v>
      </c>
      <c r="I34" s="114">
        <f t="shared" si="0"/>
        <v>5</v>
      </c>
      <c r="J34" s="115" t="s">
        <v>1425</v>
      </c>
      <c r="K34" s="115" t="s">
        <v>973</v>
      </c>
      <c r="L34" s="114"/>
      <c r="M34" s="114"/>
      <c r="N34" s="114"/>
    </row>
    <row r="35" spans="1:14" ht="30" customHeight="1">
      <c r="A35" s="114">
        <v>8</v>
      </c>
      <c r="B35" s="115" t="s">
        <v>1423</v>
      </c>
      <c r="C35" s="114" t="s">
        <v>357</v>
      </c>
      <c r="D35" s="114">
        <v>5</v>
      </c>
      <c r="E35" s="114">
        <v>3</v>
      </c>
      <c r="F35" s="114" t="s">
        <v>292</v>
      </c>
      <c r="G35" s="114">
        <v>40</v>
      </c>
      <c r="H35" s="114">
        <v>60</v>
      </c>
      <c r="I35" s="114">
        <f t="shared" si="0"/>
        <v>6</v>
      </c>
      <c r="J35" s="115" t="s">
        <v>1480</v>
      </c>
      <c r="K35" s="115" t="s">
        <v>1424</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1090</v>
      </c>
      <c r="K36" s="115" t="s">
        <v>1091</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1094</v>
      </c>
      <c r="K37" s="115" t="s">
        <v>1095</v>
      </c>
      <c r="L37" s="114"/>
      <c r="M37" s="114"/>
      <c r="N37" s="114"/>
    </row>
    <row r="38" spans="1:14">
      <c r="A38" s="116"/>
      <c r="B38" s="116"/>
      <c r="C38" s="116"/>
      <c r="D38" s="116" t="s">
        <v>324</v>
      </c>
      <c r="E38" s="116">
        <f>SUM(E28:E37)</f>
        <v>31</v>
      </c>
      <c r="F38" s="116"/>
      <c r="G38" s="116"/>
      <c r="H38" s="116"/>
      <c r="I38" s="116">
        <f>ROUND(SUM(I28:I37),0)</f>
        <v>80</v>
      </c>
    </row>
    <row r="40" spans="1:14">
      <c r="A40" s="107" t="s">
        <v>1096</v>
      </c>
    </row>
    <row r="41" spans="1:14">
      <c r="A41" s="117" t="s">
        <v>1097</v>
      </c>
    </row>
    <row r="42" spans="1:14">
      <c r="A42" s="117" t="s">
        <v>1098</v>
      </c>
    </row>
    <row r="43" spans="1:14">
      <c r="A43" s="117" t="s">
        <v>1099</v>
      </c>
    </row>
    <row r="44" spans="1:14">
      <c r="A44" s="117" t="s">
        <v>1486</v>
      </c>
    </row>
    <row r="45" spans="1:14">
      <c r="A45" s="117" t="s">
        <v>1487</v>
      </c>
    </row>
    <row r="46" spans="1:14">
      <c r="A46" s="117" t="s">
        <v>1453</v>
      </c>
    </row>
    <row r="48" spans="1:14">
      <c r="A48" s="107" t="s">
        <v>1100</v>
      </c>
    </row>
    <row r="49" spans="1:1">
      <c r="A49" s="117" t="s">
        <v>1101</v>
      </c>
    </row>
    <row r="50" spans="1:1">
      <c r="A50" s="117" t="s">
        <v>1454</v>
      </c>
    </row>
    <row r="51" spans="1:1">
      <c r="A51" s="117" t="s">
        <v>1102</v>
      </c>
    </row>
    <row r="52" spans="1:1">
      <c r="A52" s="117" t="s">
        <v>1455</v>
      </c>
    </row>
    <row r="53" spans="1:1">
      <c r="A53" s="117" t="s">
        <v>1456</v>
      </c>
    </row>
    <row r="55" spans="1:1">
      <c r="A55" s="107" t="s">
        <v>1103</v>
      </c>
    </row>
    <row r="56" spans="1:1">
      <c r="A56" s="117" t="s">
        <v>1104</v>
      </c>
    </row>
    <row r="57" spans="1:1">
      <c r="A57" s="117" t="s">
        <v>1105</v>
      </c>
    </row>
    <row r="58" spans="1:1">
      <c r="A58" s="117" t="s">
        <v>1106</v>
      </c>
    </row>
    <row r="59" spans="1:1">
      <c r="A59" s="117" t="s">
        <v>1107</v>
      </c>
    </row>
    <row r="60" spans="1:1">
      <c r="A60" s="117" t="s">
        <v>1522</v>
      </c>
    </row>
    <row r="62" spans="1:1">
      <c r="A62" s="107" t="s">
        <v>1108</v>
      </c>
    </row>
    <row r="63" spans="1:1">
      <c r="A63" s="117" t="s">
        <v>1109</v>
      </c>
    </row>
    <row r="64" spans="1:1">
      <c r="A64" s="117" t="s">
        <v>1110</v>
      </c>
    </row>
    <row r="65" spans="1:3">
      <c r="A65" s="117" t="s">
        <v>1111</v>
      </c>
    </row>
    <row r="67" spans="1:3">
      <c r="A67" s="107" t="s">
        <v>957</v>
      </c>
    </row>
    <row r="68" spans="1:3">
      <c r="A68" s="117" t="s">
        <v>1457</v>
      </c>
    </row>
    <row r="69" spans="1:3">
      <c r="A69" s="117" t="s">
        <v>1458</v>
      </c>
    </row>
    <row r="71" spans="1:3">
      <c r="A71" s="107" t="s">
        <v>991</v>
      </c>
    </row>
    <row r="72" spans="1:3">
      <c r="A72" s="117" t="s">
        <v>1428</v>
      </c>
    </row>
    <row r="73" spans="1:3">
      <c r="A73" s="117" t="s">
        <v>1112</v>
      </c>
    </row>
    <row r="74" spans="1:3">
      <c r="A74" s="117" t="s">
        <v>1113</v>
      </c>
    </row>
    <row r="75" spans="1:3">
      <c r="A75" s="117" t="s">
        <v>1459</v>
      </c>
    </row>
    <row r="76" spans="1:3">
      <c r="A76" s="117" t="s">
        <v>993</v>
      </c>
    </row>
    <row r="78" spans="1:3">
      <c r="C78" s="118" t="s">
        <v>1114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1115</v>
      </c>
    </row>
    <row r="4" spans="1:14">
      <c r="A4" s="107" t="s">
        <v>996</v>
      </c>
    </row>
    <row r="5" spans="1:14">
      <c r="A5" s="110" t="s">
        <v>1116</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1117</v>
      </c>
      <c r="K11" s="115" t="s">
        <v>1118</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1547</v>
      </c>
      <c r="K12" s="115" t="s">
        <v>1127</v>
      </c>
      <c r="L12" s="114"/>
      <c r="M12" s="114"/>
      <c r="N12" s="114"/>
    </row>
    <row r="13" spans="1:14" ht="30" customHeight="1">
      <c r="A13" s="114">
        <v>3</v>
      </c>
      <c r="B13" s="115" t="s">
        <v>1119</v>
      </c>
      <c r="C13" s="114" t="s">
        <v>270</v>
      </c>
      <c r="D13" s="114" t="s">
        <v>28</v>
      </c>
      <c r="E13" s="114">
        <v>3</v>
      </c>
      <c r="F13" s="114" t="s">
        <v>277</v>
      </c>
      <c r="G13" s="114">
        <v>40</v>
      </c>
      <c r="H13" s="114">
        <v>120</v>
      </c>
      <c r="I13" s="114">
        <f t="shared" si="0"/>
        <v>8</v>
      </c>
      <c r="J13" s="115" t="s">
        <v>1332</v>
      </c>
      <c r="K13" s="115" t="s">
        <v>1120</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1548</v>
      </c>
      <c r="K14" s="115" t="s">
        <v>1128</v>
      </c>
      <c r="L14" s="114"/>
      <c r="M14" s="114"/>
      <c r="N14" s="114"/>
    </row>
    <row r="15" spans="1:14" ht="30" customHeight="1">
      <c r="A15" s="114">
        <v>5</v>
      </c>
      <c r="B15" s="115" t="s">
        <v>1121</v>
      </c>
      <c r="C15" s="114" t="s">
        <v>270</v>
      </c>
      <c r="D15" s="114" t="s">
        <v>28</v>
      </c>
      <c r="E15" s="114">
        <v>3</v>
      </c>
      <c r="F15" s="114" t="s">
        <v>277</v>
      </c>
      <c r="G15" s="114">
        <v>40</v>
      </c>
      <c r="H15" s="114">
        <v>120</v>
      </c>
      <c r="I15" s="114">
        <f t="shared" si="0"/>
        <v>9</v>
      </c>
      <c r="J15" s="115" t="s">
        <v>1333</v>
      </c>
      <c r="K15" s="115" t="s">
        <v>1122</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1549</v>
      </c>
      <c r="K16" s="115" t="s">
        <v>1129</v>
      </c>
      <c r="L16" s="114"/>
      <c r="M16" s="114"/>
      <c r="N16" s="114">
        <v>60</v>
      </c>
    </row>
    <row r="17" spans="1:14" ht="30" customHeight="1">
      <c r="A17" s="114">
        <v>7</v>
      </c>
      <c r="B17" s="115" t="s">
        <v>1334</v>
      </c>
      <c r="C17" s="114" t="s">
        <v>1278</v>
      </c>
      <c r="D17" s="114" t="s">
        <v>1335</v>
      </c>
      <c r="E17" s="114">
        <v>2</v>
      </c>
      <c r="F17" s="114" t="s">
        <v>1256</v>
      </c>
      <c r="G17" s="114">
        <v>40</v>
      </c>
      <c r="H17" s="114">
        <v>75</v>
      </c>
      <c r="I17" s="114">
        <f t="shared" ref="I17" si="1">IF(E17=0,0,ROUND((E17*(G17+H17)+N17)/60,1))</f>
        <v>3.8</v>
      </c>
      <c r="J17" s="115" t="s">
        <v>1336</v>
      </c>
      <c r="K17" s="115" t="s">
        <v>1337</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1123</v>
      </c>
      <c r="K18" s="115" t="s">
        <v>1124</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1125</v>
      </c>
      <c r="K19" s="115" t="s">
        <v>1126</v>
      </c>
      <c r="L19" s="114"/>
      <c r="M19" s="114"/>
      <c r="N19" s="114"/>
    </row>
    <row r="20" spans="1:14" ht="30" customHeight="1">
      <c r="A20" s="114">
        <v>10</v>
      </c>
      <c r="B20" s="115" t="s">
        <v>1130</v>
      </c>
      <c r="C20" s="114" t="s">
        <v>348</v>
      </c>
      <c r="D20" s="114">
        <v>22</v>
      </c>
      <c r="E20" s="114">
        <v>3</v>
      </c>
      <c r="F20" s="114" t="s">
        <v>306</v>
      </c>
      <c r="G20" s="114">
        <v>40</v>
      </c>
      <c r="H20" s="114">
        <v>70</v>
      </c>
      <c r="I20" s="114">
        <f t="shared" si="0"/>
        <v>5.5</v>
      </c>
      <c r="J20" s="115" t="s">
        <v>1503</v>
      </c>
      <c r="K20" s="115" t="s">
        <v>1131</v>
      </c>
      <c r="L20" s="114"/>
      <c r="M20" s="114"/>
      <c r="N20" s="114"/>
    </row>
    <row r="21" spans="1:14" ht="30" customHeight="1">
      <c r="A21" s="114">
        <v>11</v>
      </c>
      <c r="B21" s="115" t="s">
        <v>1132</v>
      </c>
      <c r="C21" s="114" t="s">
        <v>272</v>
      </c>
      <c r="D21" s="114">
        <v>15</v>
      </c>
      <c r="E21" s="114">
        <v>3</v>
      </c>
      <c r="F21" s="114" t="s">
        <v>277</v>
      </c>
      <c r="G21" s="114">
        <v>40</v>
      </c>
      <c r="H21" s="114">
        <v>75</v>
      </c>
      <c r="I21" s="114">
        <f t="shared" si="0"/>
        <v>5.8</v>
      </c>
      <c r="J21" s="75" t="s">
        <v>1286</v>
      </c>
      <c r="K21" s="115" t="s">
        <v>1133</v>
      </c>
      <c r="L21" s="114"/>
      <c r="M21" s="114"/>
      <c r="N21" s="114"/>
    </row>
    <row r="22" spans="1:14" ht="30" customHeight="1">
      <c r="A22" s="114">
        <v>12</v>
      </c>
      <c r="B22" s="115" t="s">
        <v>1008</v>
      </c>
      <c r="C22" s="114" t="s">
        <v>298</v>
      </c>
      <c r="D22" s="114">
        <v>7.5</v>
      </c>
      <c r="E22" s="114">
        <v>2</v>
      </c>
      <c r="F22" s="114">
        <v>15</v>
      </c>
      <c r="G22" s="114">
        <v>40</v>
      </c>
      <c r="H22" s="114">
        <v>10</v>
      </c>
      <c r="I22" s="114">
        <f t="shared" si="0"/>
        <v>1.7</v>
      </c>
      <c r="J22" s="115" t="s">
        <v>1364</v>
      </c>
      <c r="K22" s="115" t="s">
        <v>1009</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1010</v>
      </c>
      <c r="K23" s="115" t="s">
        <v>1011</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1134</v>
      </c>
      <c r="K24" s="115" t="s">
        <v>1135</v>
      </c>
      <c r="L24" s="114"/>
      <c r="M24" s="114"/>
      <c r="N24" s="114"/>
    </row>
    <row r="25" spans="1:14">
      <c r="A25" s="116"/>
      <c r="B25" s="116"/>
      <c r="C25" s="116"/>
      <c r="D25" s="116" t="s">
        <v>324</v>
      </c>
      <c r="E25" s="116">
        <f>SUM(E11:E24)</f>
        <v>42</v>
      </c>
      <c r="F25" s="116"/>
      <c r="G25" s="116"/>
      <c r="H25" s="116"/>
      <c r="I25" s="116">
        <f>ROUND(SUM(I11:I24),0)</f>
        <v>95</v>
      </c>
    </row>
    <row r="27" spans="1:14">
      <c r="A27" s="107" t="s">
        <v>1136</v>
      </c>
    </row>
    <row r="28" spans="1:14">
      <c r="A28" s="117" t="s">
        <v>1137</v>
      </c>
    </row>
    <row r="29" spans="1:14">
      <c r="A29" s="117" t="s">
        <v>1138</v>
      </c>
    </row>
    <row r="30" spans="1:14">
      <c r="A30" s="117" t="s">
        <v>1139</v>
      </c>
    </row>
    <row r="31" spans="1:14">
      <c r="A31" s="117" t="s">
        <v>1572</v>
      </c>
    </row>
    <row r="32" spans="1:14">
      <c r="A32" s="117" t="s">
        <v>1140</v>
      </c>
    </row>
    <row r="34" spans="1:1">
      <c r="A34" s="107" t="s">
        <v>1141</v>
      </c>
    </row>
    <row r="35" spans="1:1">
      <c r="A35" s="117" t="s">
        <v>1550</v>
      </c>
    </row>
    <row r="36" spans="1:1">
      <c r="A36" s="117" t="s">
        <v>1142</v>
      </c>
    </row>
    <row r="37" spans="1:1">
      <c r="A37" s="117" t="s">
        <v>1551</v>
      </c>
    </row>
    <row r="38" spans="1:1">
      <c r="A38" s="117" t="s">
        <v>1143</v>
      </c>
    </row>
    <row r="40" spans="1:1">
      <c r="A40" s="107" t="s">
        <v>957</v>
      </c>
    </row>
    <row r="41" spans="1:1">
      <c r="A41" s="117" t="s">
        <v>1513</v>
      </c>
    </row>
    <row r="42" spans="1:1">
      <c r="A42" s="117" t="s">
        <v>1342</v>
      </c>
    </row>
    <row r="43" spans="1:1">
      <c r="A43" s="117" t="s">
        <v>1343</v>
      </c>
    </row>
    <row r="45" spans="1:1">
      <c r="A45" s="107" t="s">
        <v>991</v>
      </c>
    </row>
    <row r="46" spans="1:1">
      <c r="A46" s="117" t="s">
        <v>1144</v>
      </c>
    </row>
    <row r="47" spans="1:1">
      <c r="A47" s="117" t="s">
        <v>1145</v>
      </c>
    </row>
    <row r="48" spans="1:1">
      <c r="A48" s="117" t="s">
        <v>1146</v>
      </c>
    </row>
    <row r="49" spans="1:3">
      <c r="A49" s="117" t="s">
        <v>1552</v>
      </c>
    </row>
    <row r="50" spans="1:3">
      <c r="A50" s="117" t="s">
        <v>1147</v>
      </c>
    </row>
    <row r="51" spans="1:3">
      <c r="A51" s="117" t="s">
        <v>1148</v>
      </c>
    </row>
    <row r="52" spans="1:3">
      <c r="A52" s="117" t="s">
        <v>993</v>
      </c>
    </row>
    <row r="54" spans="1:3">
      <c r="C54" s="118" t="s">
        <v>1338</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1367</v>
      </c>
    </row>
    <row r="2" spans="1:6">
      <c r="A2" s="127" t="s">
        <v>1287</v>
      </c>
    </row>
    <row r="4" spans="1:6" ht="15">
      <c r="A4" s="99" t="s">
        <v>1288</v>
      </c>
    </row>
    <row r="5" spans="1:6">
      <c r="A5" s="129" t="s">
        <v>2</v>
      </c>
      <c r="B5" s="129" t="s">
        <v>148</v>
      </c>
      <c r="C5" s="130"/>
      <c r="D5" s="130"/>
      <c r="E5" s="130"/>
      <c r="F5" s="129" t="s">
        <v>5</v>
      </c>
    </row>
    <row r="6" spans="1:6">
      <c r="A6" s="127" t="s">
        <v>897</v>
      </c>
      <c r="B6" s="146" t="s">
        <v>1289</v>
      </c>
      <c r="C6" s="146"/>
      <c r="D6" s="146"/>
      <c r="E6" s="146"/>
      <c r="F6" s="127" t="s">
        <v>1290</v>
      </c>
    </row>
    <row r="7" spans="1:6">
      <c r="A7" s="127" t="s">
        <v>78</v>
      </c>
      <c r="B7" s="146" t="s">
        <v>1291</v>
      </c>
      <c r="C7" s="146"/>
      <c r="D7" s="146"/>
      <c r="E7" s="146"/>
      <c r="F7" s="127" t="s">
        <v>1292</v>
      </c>
    </row>
    <row r="8" spans="1:6">
      <c r="A8" s="127" t="s">
        <v>1293</v>
      </c>
      <c r="B8" s="146" t="s">
        <v>1294</v>
      </c>
      <c r="C8" s="146"/>
      <c r="D8" s="146"/>
      <c r="E8" s="146"/>
      <c r="F8" s="127" t="s">
        <v>1295</v>
      </c>
    </row>
    <row r="9" spans="1:6">
      <c r="A9" s="127" t="s">
        <v>1296</v>
      </c>
      <c r="B9" s="146" t="s">
        <v>1297</v>
      </c>
      <c r="C9" s="146"/>
      <c r="D9" s="146"/>
      <c r="E9" s="146"/>
      <c r="F9" s="127" t="s">
        <v>1298</v>
      </c>
    </row>
    <row r="10" spans="1:6">
      <c r="A10" s="127" t="s">
        <v>1299</v>
      </c>
      <c r="B10" s="146" t="s">
        <v>1368</v>
      </c>
      <c r="C10" s="146"/>
      <c r="D10" s="146"/>
      <c r="E10" s="146"/>
      <c r="F10" s="127" t="s">
        <v>1369</v>
      </c>
    </row>
    <row r="11" spans="1:6">
      <c r="A11" s="127" t="s">
        <v>1300</v>
      </c>
      <c r="B11" s="146" t="s">
        <v>1301</v>
      </c>
      <c r="C11" s="146"/>
      <c r="D11" s="146"/>
      <c r="E11" s="146"/>
      <c r="F11" s="127" t="s">
        <v>1359</v>
      </c>
    </row>
    <row r="12" spans="1:6">
      <c r="A12" s="127" t="s">
        <v>9</v>
      </c>
      <c r="B12" s="146" t="s">
        <v>1302</v>
      </c>
      <c r="C12" s="146"/>
      <c r="D12" s="146"/>
      <c r="E12" s="146"/>
      <c r="F12" s="127" t="s">
        <v>1360</v>
      </c>
    </row>
    <row r="13" spans="1:6">
      <c r="A13" s="127" t="s">
        <v>1303</v>
      </c>
      <c r="B13" s="146" t="s">
        <v>1370</v>
      </c>
      <c r="C13" s="146"/>
      <c r="D13" s="146"/>
      <c r="E13" s="146"/>
      <c r="F13" s="127" t="s">
        <v>1323</v>
      </c>
    </row>
    <row r="14" spans="1:6">
      <c r="A14" s="127" t="s">
        <v>1304</v>
      </c>
      <c r="B14" s="146" t="s">
        <v>1361</v>
      </c>
      <c r="C14" s="146"/>
      <c r="D14" s="146"/>
      <c r="E14" s="146"/>
      <c r="F14" s="127" t="s">
        <v>1305</v>
      </c>
    </row>
    <row r="16" spans="1:6" ht="15">
      <c r="A16" s="131" t="s">
        <v>1371</v>
      </c>
    </row>
    <row r="17" spans="1:6">
      <c r="A17" s="129" t="s">
        <v>1372</v>
      </c>
      <c r="B17" s="129" t="s">
        <v>1373</v>
      </c>
      <c r="C17" s="129" t="s">
        <v>1306</v>
      </c>
      <c r="D17" s="129" t="s">
        <v>1307</v>
      </c>
      <c r="E17" s="129" t="s">
        <v>1308</v>
      </c>
      <c r="F17" s="129" t="s">
        <v>1309</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1374</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1386</v>
      </c>
    </row>
    <row r="2" spans="1:10">
      <c r="A2" s="127" t="s">
        <v>1387</v>
      </c>
    </row>
    <row r="4" spans="1:10" ht="15">
      <c r="A4" s="99" t="s">
        <v>897</v>
      </c>
    </row>
    <row r="5" spans="1:10">
      <c r="A5" s="129" t="s">
        <v>897</v>
      </c>
      <c r="B5" s="129" t="s">
        <v>1310</v>
      </c>
      <c r="C5" s="130"/>
      <c r="D5" s="130"/>
      <c r="E5" s="130"/>
      <c r="F5" s="130"/>
      <c r="G5" s="130"/>
      <c r="H5" s="130"/>
      <c r="I5" s="129" t="s">
        <v>5</v>
      </c>
    </row>
    <row r="6" spans="1:10">
      <c r="A6" s="127" t="s">
        <v>902</v>
      </c>
      <c r="B6" s="146" t="s">
        <v>1311</v>
      </c>
      <c r="C6" s="146"/>
      <c r="D6" s="146"/>
      <c r="E6" s="146"/>
      <c r="F6" s="146"/>
      <c r="G6" s="146"/>
      <c r="H6" s="146"/>
      <c r="I6" s="127" t="s">
        <v>1312</v>
      </c>
    </row>
    <row r="7" spans="1:10">
      <c r="A7" s="127" t="s">
        <v>905</v>
      </c>
      <c r="B7" s="146" t="s">
        <v>1313</v>
      </c>
      <c r="C7" s="146"/>
      <c r="D7" s="146"/>
      <c r="E7" s="146"/>
      <c r="F7" s="146"/>
      <c r="G7" s="146"/>
      <c r="H7" s="146"/>
      <c r="I7" s="127" t="s">
        <v>1314</v>
      </c>
    </row>
    <row r="8" spans="1:10">
      <c r="A8" s="127" t="s">
        <v>908</v>
      </c>
      <c r="B8" s="146" t="s">
        <v>1313</v>
      </c>
      <c r="C8" s="146"/>
      <c r="D8" s="146"/>
      <c r="E8" s="146"/>
      <c r="F8" s="146"/>
      <c r="G8" s="146"/>
      <c r="H8" s="146"/>
      <c r="I8" s="127" t="s">
        <v>1314</v>
      </c>
    </row>
    <row r="9" spans="1:10">
      <c r="A9" s="127" t="s">
        <v>910</v>
      </c>
      <c r="B9" s="146" t="s">
        <v>29</v>
      </c>
      <c r="C9" s="146"/>
      <c r="D9" s="146"/>
      <c r="E9" s="146"/>
      <c r="F9" s="146"/>
      <c r="G9" s="146"/>
      <c r="H9" s="146"/>
      <c r="I9" s="127" t="s">
        <v>1315</v>
      </c>
    </row>
    <row r="10" spans="1:10">
      <c r="A10" s="127" t="s">
        <v>912</v>
      </c>
      <c r="B10" s="146" t="s">
        <v>1311</v>
      </c>
      <c r="C10" s="146"/>
      <c r="D10" s="146"/>
      <c r="E10" s="146"/>
      <c r="F10" s="146"/>
      <c r="G10" s="146"/>
      <c r="H10" s="146"/>
      <c r="I10" s="127" t="s">
        <v>1316</v>
      </c>
    </row>
    <row r="11" spans="1:10">
      <c r="A11" s="127" t="s">
        <v>915</v>
      </c>
      <c r="B11" s="146" t="s">
        <v>1313</v>
      </c>
      <c r="C11" s="146"/>
      <c r="D11" s="146"/>
      <c r="E11" s="146"/>
      <c r="F11" s="146"/>
      <c r="G11" s="146"/>
      <c r="H11" s="146"/>
      <c r="I11" s="127" t="s">
        <v>1314</v>
      </c>
    </row>
    <row r="12" spans="1:10">
      <c r="A12" s="127" t="s">
        <v>918</v>
      </c>
      <c r="B12" s="146" t="s">
        <v>1317</v>
      </c>
      <c r="C12" s="146"/>
      <c r="D12" s="146"/>
      <c r="E12" s="146"/>
      <c r="F12" s="146"/>
      <c r="G12" s="146"/>
      <c r="H12" s="146"/>
      <c r="I12" s="127" t="s">
        <v>1318</v>
      </c>
    </row>
    <row r="14" spans="1:10" ht="15">
      <c r="A14" s="131" t="s">
        <v>1376</v>
      </c>
    </row>
    <row r="15" spans="1:10">
      <c r="A15" s="129" t="s">
        <v>1377</v>
      </c>
      <c r="B15" s="129" t="s">
        <v>792</v>
      </c>
      <c r="C15" s="129" t="s">
        <v>1378</v>
      </c>
      <c r="D15" s="129" t="s">
        <v>1379</v>
      </c>
      <c r="E15" s="129" t="s">
        <v>1380</v>
      </c>
      <c r="F15" s="129" t="s">
        <v>1381</v>
      </c>
      <c r="G15" s="129" t="s">
        <v>1382</v>
      </c>
      <c r="H15" s="129" t="s">
        <v>1383</v>
      </c>
      <c r="I15" s="129" t="s">
        <v>1388</v>
      </c>
    </row>
    <row r="16" spans="1:10" ht="15">
      <c r="A16" s="137">
        <v>1</v>
      </c>
      <c r="B16" s="138">
        <v>46302</v>
      </c>
      <c r="C16" s="137">
        <v>16</v>
      </c>
      <c r="D16" s="137">
        <v>2</v>
      </c>
      <c r="E16" s="137">
        <v>2</v>
      </c>
      <c r="F16" s="137">
        <v>16</v>
      </c>
      <c r="G16" s="137">
        <v>3</v>
      </c>
      <c r="H16" s="137">
        <v>2</v>
      </c>
      <c r="I16" s="137" t="s">
        <v>1300</v>
      </c>
      <c r="J16"/>
    </row>
    <row r="17" spans="1:10" ht="15">
      <c r="A17" s="137">
        <v>2</v>
      </c>
      <c r="B17" s="138">
        <v>46305</v>
      </c>
      <c r="C17" s="137">
        <v>18</v>
      </c>
      <c r="D17" s="137">
        <v>2</v>
      </c>
      <c r="E17" s="137">
        <v>2</v>
      </c>
      <c r="F17" s="137">
        <v>18</v>
      </c>
      <c r="G17" s="137">
        <v>3</v>
      </c>
      <c r="H17" s="137">
        <v>2</v>
      </c>
      <c r="I17" s="137" t="s">
        <v>1300</v>
      </c>
      <c r="J17"/>
    </row>
    <row r="18" spans="1:10" ht="15">
      <c r="A18" s="137">
        <v>3</v>
      </c>
      <c r="B18" s="138">
        <v>46309</v>
      </c>
      <c r="C18" s="137">
        <v>20</v>
      </c>
      <c r="D18" s="137">
        <v>2</v>
      </c>
      <c r="E18" s="137">
        <v>2</v>
      </c>
      <c r="F18" s="137">
        <v>20</v>
      </c>
      <c r="G18" s="137">
        <v>3</v>
      </c>
      <c r="H18" s="137">
        <v>2</v>
      </c>
      <c r="I18" s="137" t="s">
        <v>1300</v>
      </c>
      <c r="J18"/>
    </row>
    <row r="19" spans="1:10" ht="15">
      <c r="A19" s="137">
        <v>4</v>
      </c>
      <c r="B19" s="138">
        <v>46312</v>
      </c>
      <c r="C19" s="137">
        <v>20</v>
      </c>
      <c r="D19" s="137">
        <v>2</v>
      </c>
      <c r="E19" s="137">
        <v>2</v>
      </c>
      <c r="F19" s="137">
        <v>20</v>
      </c>
      <c r="G19" s="137">
        <v>3</v>
      </c>
      <c r="H19" s="137">
        <v>2</v>
      </c>
      <c r="I19" s="137" t="s">
        <v>1300</v>
      </c>
      <c r="J19"/>
    </row>
    <row r="20" spans="1:10" ht="15">
      <c r="A20" s="137">
        <v>5</v>
      </c>
      <c r="B20" s="138">
        <v>46316</v>
      </c>
      <c r="C20" s="137">
        <v>20</v>
      </c>
      <c r="D20" s="137">
        <v>2</v>
      </c>
      <c r="E20" s="137">
        <v>2</v>
      </c>
      <c r="F20" s="137">
        <v>20</v>
      </c>
      <c r="G20" s="137">
        <v>3</v>
      </c>
      <c r="H20" s="137">
        <v>2</v>
      </c>
      <c r="I20" s="137" t="s">
        <v>1300</v>
      </c>
      <c r="J20"/>
    </row>
    <row r="21" spans="1:10" ht="15">
      <c r="A21" s="137">
        <v>6</v>
      </c>
      <c r="B21" s="138">
        <v>46319</v>
      </c>
      <c r="C21" s="137">
        <v>22</v>
      </c>
      <c r="D21" s="137">
        <v>2</v>
      </c>
      <c r="E21" s="137">
        <v>2</v>
      </c>
      <c r="F21" s="137">
        <v>22</v>
      </c>
      <c r="G21" s="137">
        <v>4</v>
      </c>
      <c r="H21" s="137">
        <v>2</v>
      </c>
      <c r="I21" s="137" t="s">
        <v>1300</v>
      </c>
      <c r="J21"/>
    </row>
    <row r="22" spans="1:10" ht="15">
      <c r="A22" s="137">
        <v>7</v>
      </c>
      <c r="B22" s="138">
        <v>46323</v>
      </c>
      <c r="C22" s="137">
        <v>24</v>
      </c>
      <c r="D22" s="137">
        <v>2</v>
      </c>
      <c r="E22" s="137">
        <v>2</v>
      </c>
      <c r="F22" s="137">
        <v>24</v>
      </c>
      <c r="G22" s="137">
        <v>4</v>
      </c>
      <c r="H22" s="137">
        <v>2</v>
      </c>
      <c r="I22" s="137" t="s">
        <v>1300</v>
      </c>
      <c r="J22"/>
    </row>
    <row r="23" spans="1:10" ht="15">
      <c r="A23" s="137">
        <v>8</v>
      </c>
      <c r="B23" s="138">
        <v>46326</v>
      </c>
      <c r="C23" s="137">
        <v>26</v>
      </c>
      <c r="D23" s="137">
        <v>2</v>
      </c>
      <c r="E23" s="137">
        <v>2</v>
      </c>
      <c r="F23" s="137">
        <v>26</v>
      </c>
      <c r="G23" s="137">
        <v>5</v>
      </c>
      <c r="H23" s="137">
        <v>2</v>
      </c>
      <c r="I23" s="137" t="s">
        <v>1300</v>
      </c>
      <c r="J23"/>
    </row>
    <row r="24" spans="1:10" ht="15">
      <c r="A24" s="137">
        <v>9</v>
      </c>
      <c r="B24" s="138">
        <v>46330</v>
      </c>
      <c r="C24" s="137">
        <v>28</v>
      </c>
      <c r="D24" s="137">
        <v>2</v>
      </c>
      <c r="E24" s="137">
        <v>2</v>
      </c>
      <c r="F24" s="137">
        <v>28</v>
      </c>
      <c r="G24" s="137">
        <v>5</v>
      </c>
      <c r="H24" s="137">
        <v>2</v>
      </c>
      <c r="I24" s="137" t="s">
        <v>1300</v>
      </c>
      <c r="J24"/>
    </row>
    <row r="25" spans="1:10" ht="15">
      <c r="A25" s="137">
        <v>10</v>
      </c>
      <c r="B25" s="138">
        <v>46333</v>
      </c>
      <c r="C25" s="137">
        <v>30</v>
      </c>
      <c r="D25" s="137">
        <v>2</v>
      </c>
      <c r="E25" s="137">
        <v>2</v>
      </c>
      <c r="F25" s="137">
        <v>30</v>
      </c>
      <c r="G25" s="137">
        <v>5</v>
      </c>
      <c r="H25" s="137">
        <v>2</v>
      </c>
      <c r="I25" s="137" t="s">
        <v>1300</v>
      </c>
      <c r="J25"/>
    </row>
    <row r="26" spans="1:10" ht="15">
      <c r="A26" s="137">
        <v>11</v>
      </c>
      <c r="B26" s="138">
        <v>46337</v>
      </c>
      <c r="C26" s="137">
        <v>32</v>
      </c>
      <c r="D26" s="137">
        <v>2</v>
      </c>
      <c r="E26" s="137">
        <v>2</v>
      </c>
      <c r="F26" s="137">
        <v>32</v>
      </c>
      <c r="G26" s="137">
        <v>5</v>
      </c>
      <c r="H26" s="137">
        <v>2</v>
      </c>
      <c r="I26" s="137" t="s">
        <v>1300</v>
      </c>
      <c r="J26"/>
    </row>
    <row r="27" spans="1:10" ht="15">
      <c r="A27" s="137">
        <v>12</v>
      </c>
      <c r="B27" s="138">
        <v>46340</v>
      </c>
      <c r="C27" s="137">
        <v>34</v>
      </c>
      <c r="D27" s="137">
        <v>2</v>
      </c>
      <c r="E27" s="137">
        <v>2</v>
      </c>
      <c r="F27" s="137">
        <v>34</v>
      </c>
      <c r="G27" s="137">
        <v>5</v>
      </c>
      <c r="H27" s="137">
        <v>2</v>
      </c>
      <c r="I27" s="137" t="s">
        <v>1300</v>
      </c>
      <c r="J27"/>
    </row>
    <row r="28" spans="1:10" ht="15">
      <c r="A28" s="137">
        <v>13</v>
      </c>
      <c r="B28" s="138">
        <v>46344</v>
      </c>
      <c r="C28" s="137">
        <v>36</v>
      </c>
      <c r="D28" s="137">
        <v>2</v>
      </c>
      <c r="E28" s="137">
        <v>2</v>
      </c>
      <c r="F28" s="137">
        <v>36</v>
      </c>
      <c r="G28" s="137">
        <v>5</v>
      </c>
      <c r="H28" s="137">
        <v>2</v>
      </c>
      <c r="I28" s="137" t="s">
        <v>1300</v>
      </c>
      <c r="J28"/>
    </row>
    <row r="29" spans="1:10" ht="15">
      <c r="A29" s="137">
        <v>14</v>
      </c>
      <c r="B29" s="138">
        <v>46347</v>
      </c>
      <c r="C29" s="137">
        <v>36</v>
      </c>
      <c r="D29" s="137">
        <v>3</v>
      </c>
      <c r="E29" s="137">
        <v>2</v>
      </c>
      <c r="F29" s="137">
        <v>36</v>
      </c>
      <c r="G29" s="137">
        <v>5</v>
      </c>
      <c r="H29" s="137">
        <v>2</v>
      </c>
      <c r="I29" s="137" t="s">
        <v>1300</v>
      </c>
      <c r="J29"/>
    </row>
    <row r="30" spans="1:10" ht="15">
      <c r="A30" s="137">
        <v>15</v>
      </c>
      <c r="B30" s="138">
        <v>46351</v>
      </c>
      <c r="C30" s="137">
        <v>36</v>
      </c>
      <c r="D30" s="137">
        <v>4</v>
      </c>
      <c r="E30" s="137">
        <v>2</v>
      </c>
      <c r="F30" s="137">
        <v>36</v>
      </c>
      <c r="G30" s="137">
        <v>5</v>
      </c>
      <c r="H30" s="137">
        <v>2</v>
      </c>
      <c r="I30" s="137" t="s">
        <v>1300</v>
      </c>
      <c r="J30"/>
    </row>
    <row r="31" spans="1:10" ht="15">
      <c r="A31" s="137">
        <v>16</v>
      </c>
      <c r="B31" s="138">
        <v>46354</v>
      </c>
      <c r="C31" s="137">
        <v>36</v>
      </c>
      <c r="D31" s="137">
        <v>5</v>
      </c>
      <c r="E31" s="137">
        <v>2</v>
      </c>
      <c r="F31" s="137">
        <v>36</v>
      </c>
      <c r="G31" s="137">
        <v>5</v>
      </c>
      <c r="H31" s="137">
        <v>2</v>
      </c>
      <c r="I31" s="137" t="s">
        <v>1300</v>
      </c>
      <c r="J31"/>
    </row>
    <row r="32" spans="1:10" ht="15">
      <c r="A32" s="137">
        <v>17</v>
      </c>
      <c r="B32" s="138">
        <v>46358</v>
      </c>
      <c r="C32" s="137">
        <v>36</v>
      </c>
      <c r="D32" s="137">
        <v>5</v>
      </c>
      <c r="E32" s="137">
        <v>2</v>
      </c>
      <c r="F32" s="137">
        <v>36</v>
      </c>
      <c r="G32" s="137">
        <v>5</v>
      </c>
      <c r="H32" s="137">
        <v>2</v>
      </c>
      <c r="I32" s="137" t="s">
        <v>1300</v>
      </c>
      <c r="J32"/>
    </row>
    <row r="33" spans="1:10" ht="15">
      <c r="A33" t="s">
        <v>1389</v>
      </c>
      <c r="B33"/>
      <c r="C33"/>
      <c r="D33"/>
      <c r="E33"/>
      <c r="F33"/>
      <c r="G33"/>
      <c r="H33"/>
      <c r="I33"/>
      <c r="J33"/>
    </row>
    <row r="34" spans="1:10" ht="15">
      <c r="A34"/>
      <c r="B34"/>
      <c r="C34"/>
      <c r="D34"/>
      <c r="E34"/>
      <c r="F34"/>
      <c r="G34"/>
      <c r="H34"/>
      <c r="I34"/>
      <c r="J34"/>
    </row>
    <row r="35" spans="1:10" ht="15">
      <c r="A35" t="s">
        <v>1288</v>
      </c>
      <c r="B35"/>
      <c r="C35"/>
      <c r="D35"/>
      <c r="E35"/>
      <c r="F35"/>
      <c r="G35"/>
      <c r="H35"/>
      <c r="I35"/>
      <c r="J35"/>
    </row>
    <row r="36" spans="1:10" ht="15">
      <c r="A36" t="s">
        <v>1390</v>
      </c>
      <c r="B36"/>
      <c r="C36"/>
      <c r="D36"/>
      <c r="E36"/>
      <c r="F36"/>
      <c r="G36"/>
      <c r="H36"/>
      <c r="I36"/>
      <c r="J36"/>
    </row>
    <row r="37" spans="1:10" ht="15">
      <c r="A37" t="s">
        <v>1395</v>
      </c>
      <c r="B37"/>
      <c r="C37"/>
      <c r="D37"/>
      <c r="E37"/>
      <c r="F37"/>
      <c r="G37"/>
      <c r="H37"/>
      <c r="I37"/>
      <c r="J37"/>
    </row>
    <row r="38" spans="1:10" ht="15">
      <c r="A38" t="s">
        <v>1391</v>
      </c>
      <c r="B38"/>
      <c r="C38"/>
      <c r="D38"/>
      <c r="E38"/>
      <c r="F38"/>
      <c r="G38"/>
      <c r="H38"/>
      <c r="I38"/>
      <c r="J38"/>
    </row>
    <row r="39" spans="1:10" ht="15">
      <c r="A39" t="s">
        <v>1392</v>
      </c>
      <c r="B39"/>
      <c r="C39"/>
      <c r="D39"/>
      <c r="E39"/>
      <c r="F39"/>
      <c r="G39"/>
      <c r="H39"/>
      <c r="I39"/>
      <c r="J39"/>
    </row>
    <row r="40" spans="1:10" ht="15">
      <c r="A40" t="s">
        <v>1354</v>
      </c>
      <c r="B40"/>
      <c r="C40"/>
      <c r="D40"/>
      <c r="E40"/>
      <c r="F40"/>
      <c r="G40"/>
      <c r="H40"/>
      <c r="I40"/>
      <c r="J40"/>
    </row>
    <row r="41" spans="1:10" ht="15">
      <c r="A41" t="s">
        <v>1355</v>
      </c>
      <c r="B41"/>
      <c r="C41"/>
      <c r="D41"/>
      <c r="E41"/>
      <c r="F41"/>
      <c r="G41"/>
      <c r="H41"/>
      <c r="I41"/>
      <c r="J41"/>
    </row>
    <row r="42" spans="1:10" ht="15">
      <c r="A42" t="s">
        <v>1356</v>
      </c>
      <c r="B42"/>
      <c r="C42"/>
      <c r="D42"/>
      <c r="E42"/>
      <c r="F42"/>
      <c r="G42"/>
      <c r="H42"/>
      <c r="I42"/>
      <c r="J42"/>
    </row>
    <row r="43" spans="1:10" ht="15">
      <c r="A43" t="s">
        <v>1357</v>
      </c>
      <c r="B43"/>
      <c r="C43"/>
      <c r="D43"/>
      <c r="E43"/>
      <c r="F43"/>
      <c r="G43"/>
      <c r="H43"/>
      <c r="I43"/>
      <c r="J43"/>
    </row>
    <row r="44" spans="1:10" ht="15">
      <c r="A44" t="s">
        <v>1358</v>
      </c>
      <c r="B44"/>
      <c r="C44"/>
      <c r="D44"/>
      <c r="E44"/>
      <c r="F44"/>
      <c r="G44"/>
      <c r="H44"/>
      <c r="I44"/>
      <c r="J44"/>
    </row>
    <row r="45" spans="1:10" ht="15">
      <c r="A45" t="s">
        <v>1393</v>
      </c>
      <c r="B45"/>
      <c r="C45"/>
      <c r="D45"/>
      <c r="E45"/>
      <c r="F45"/>
      <c r="G45"/>
      <c r="H45"/>
      <c r="I45"/>
      <c r="J45"/>
    </row>
    <row r="46" spans="1:10" ht="15">
      <c r="A46" t="s">
        <v>1384</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1443</v>
      </c>
      <c r="D7" s="115" t="s">
        <v>1444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1320</v>
      </c>
      <c r="D13" s="115" t="s">
        <v>1543</v>
      </c>
    </row>
    <row r="14" spans="1:4" ht="30" customHeight="1">
      <c r="A14" s="114" t="s">
        <v>36</v>
      </c>
      <c r="B14" s="120" t="s">
        <v>37</v>
      </c>
      <c r="C14" s="115" t="s">
        <v>38</v>
      </c>
      <c r="D14" s="115" t="s">
        <v>1570</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1466</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1330</v>
      </c>
    </row>
    <row r="47" spans="1:1">
      <c r="A47" s="123" t="s">
        <v>1326</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1569</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1149</v>
      </c>
    </row>
    <row r="2" spans="1:8">
      <c r="A2" s="119" t="s">
        <v>1150</v>
      </c>
    </row>
    <row r="3" spans="1:8">
      <c r="A3" s="119" t="s">
        <v>638</v>
      </c>
      <c r="F3" s="107">
        <f ca="1">COUNTIF($E$7:$E$98,"?")</f>
        <v>0</v>
      </c>
    </row>
    <row r="4" spans="1:8">
      <c r="A4" s="119" t="s">
        <v>1151</v>
      </c>
    </row>
    <row r="6" spans="1:8">
      <c r="A6" s="111" t="s">
        <v>1152</v>
      </c>
      <c r="B6" s="111" t="s">
        <v>641</v>
      </c>
      <c r="C6" s="111" t="s">
        <v>642</v>
      </c>
      <c r="D6" s="111" t="s">
        <v>643</v>
      </c>
      <c r="E6" s="111" t="s">
        <v>644</v>
      </c>
      <c r="F6" s="111" t="s">
        <v>645</v>
      </c>
      <c r="G6" s="111" t="s">
        <v>646</v>
      </c>
      <c r="H6" s="111" t="s">
        <v>647</v>
      </c>
    </row>
    <row r="7" spans="1:8" ht="51">
      <c r="A7" s="114" t="s">
        <v>1153</v>
      </c>
      <c r="B7" s="115" t="s">
        <v>88</v>
      </c>
      <c r="C7" s="114" t="s">
        <v>348</v>
      </c>
      <c r="D7" s="114">
        <v>0.5</v>
      </c>
      <c r="E7" s="114">
        <f t="shared" ref="E7:E44" ca="1" si="0">IFERROR(INDEX(INDIRECT("'"&amp;$A7&amp;"'!$E$1:$E$60"),MATCH($B7,INDIRECT("'"&amp;$A7&amp;"'!$B$1:$B$60"),0)),"?")</f>
        <v>4</v>
      </c>
      <c r="F7" s="114">
        <f t="shared" ref="F7:F43" ca="1" si="1">IF(ISNUMBER(E7),$D7*E7,0)</f>
        <v>2</v>
      </c>
      <c r="G7" s="114" t="s">
        <v>662</v>
      </c>
      <c r="H7" s="115" t="s">
        <v>1504</v>
      </c>
    </row>
    <row r="8" spans="1:8">
      <c r="A8" s="114" t="s">
        <v>1153</v>
      </c>
      <c r="B8" s="115" t="s">
        <v>520</v>
      </c>
      <c r="C8" s="114" t="s">
        <v>348</v>
      </c>
      <c r="D8" s="114">
        <v>0.5</v>
      </c>
      <c r="E8" s="114">
        <f t="shared" ca="1" si="0"/>
        <v>3</v>
      </c>
      <c r="F8" s="114">
        <f t="shared" ca="1" si="1"/>
        <v>1.5</v>
      </c>
      <c r="G8" s="114" t="s">
        <v>662</v>
      </c>
      <c r="H8" s="115" t="s">
        <v>1154</v>
      </c>
    </row>
    <row r="9" spans="1:8">
      <c r="A9" s="114" t="s">
        <v>1153</v>
      </c>
      <c r="B9" s="115" t="s">
        <v>346</v>
      </c>
      <c r="C9" s="114" t="s">
        <v>348</v>
      </c>
      <c r="D9" s="114">
        <v>0.5</v>
      </c>
      <c r="E9" s="114">
        <f t="shared" ca="1" si="0"/>
        <v>3</v>
      </c>
      <c r="F9" s="114">
        <f t="shared" ca="1" si="1"/>
        <v>1.5</v>
      </c>
      <c r="G9" s="114" t="s">
        <v>662</v>
      </c>
      <c r="H9" s="115" t="s">
        <v>1155</v>
      </c>
    </row>
    <row r="10" spans="1:8">
      <c r="A10" s="114" t="s">
        <v>1156</v>
      </c>
      <c r="B10" s="115" t="s">
        <v>511</v>
      </c>
      <c r="C10" s="114" t="s">
        <v>348</v>
      </c>
      <c r="D10" s="114">
        <v>0.5</v>
      </c>
      <c r="E10" s="114">
        <f t="shared" ca="1" si="0"/>
        <v>4</v>
      </c>
      <c r="F10" s="114">
        <f t="shared" ca="1" si="1"/>
        <v>2</v>
      </c>
      <c r="G10" s="114" t="s">
        <v>662</v>
      </c>
      <c r="H10" s="115" t="s">
        <v>1154</v>
      </c>
    </row>
    <row r="11" spans="1:8" ht="38.25">
      <c r="A11" s="114" t="s">
        <v>1157</v>
      </c>
      <c r="B11" s="115" t="s">
        <v>1483</v>
      </c>
      <c r="C11" s="114" t="s">
        <v>348</v>
      </c>
      <c r="D11" s="114">
        <v>0.33</v>
      </c>
      <c r="E11" s="114">
        <f t="shared" ca="1" si="0"/>
        <v>3</v>
      </c>
      <c r="F11" s="114">
        <f t="shared" ca="1" si="1"/>
        <v>0.99</v>
      </c>
      <c r="G11" s="114" t="s">
        <v>662</v>
      </c>
      <c r="H11" s="115" t="s">
        <v>1158</v>
      </c>
    </row>
    <row r="12" spans="1:8" ht="25.5">
      <c r="A12" s="114" t="s">
        <v>1159</v>
      </c>
      <c r="B12" s="115" t="s">
        <v>269</v>
      </c>
      <c r="C12" s="114" t="s">
        <v>272</v>
      </c>
      <c r="D12" s="114">
        <v>0.5</v>
      </c>
      <c r="E12" s="114">
        <f t="shared" ca="1" si="0"/>
        <v>4</v>
      </c>
      <c r="F12" s="114">
        <f t="shared" ca="1" si="1"/>
        <v>2</v>
      </c>
      <c r="G12" s="114" t="s">
        <v>662</v>
      </c>
      <c r="H12" s="115" t="s">
        <v>1160</v>
      </c>
    </row>
    <row r="13" spans="1:8" ht="25.5">
      <c r="A13" s="114" t="s">
        <v>1159</v>
      </c>
      <c r="B13" s="115" t="s">
        <v>1121</v>
      </c>
      <c r="C13" s="114" t="s">
        <v>272</v>
      </c>
      <c r="D13" s="114">
        <v>0.5</v>
      </c>
      <c r="E13" s="114">
        <f t="shared" ca="1" si="0"/>
        <v>3</v>
      </c>
      <c r="F13" s="114">
        <f t="shared" ca="1" si="1"/>
        <v>1.5</v>
      </c>
      <c r="G13" s="114" t="s">
        <v>662</v>
      </c>
      <c r="H13" s="115" t="s">
        <v>1161</v>
      </c>
    </row>
    <row r="14" spans="1:8" ht="25.5">
      <c r="A14" s="114" t="s">
        <v>1159</v>
      </c>
      <c r="B14" s="115" t="s">
        <v>1119</v>
      </c>
      <c r="C14" s="114" t="s">
        <v>272</v>
      </c>
      <c r="D14" s="114">
        <v>0.2</v>
      </c>
      <c r="E14" s="114">
        <f t="shared" ca="1" si="0"/>
        <v>3</v>
      </c>
      <c r="F14" s="114">
        <f t="shared" ca="1" si="1"/>
        <v>0.60000000000000009</v>
      </c>
      <c r="G14" s="114" t="s">
        <v>662</v>
      </c>
      <c r="H14" s="115" t="s">
        <v>1162</v>
      </c>
    </row>
    <row r="15" spans="1:8" ht="25.5">
      <c r="A15" s="114" t="s">
        <v>1163</v>
      </c>
      <c r="B15" s="115" t="s">
        <v>475</v>
      </c>
      <c r="C15" s="114" t="s">
        <v>272</v>
      </c>
      <c r="D15" s="114">
        <v>0.33</v>
      </c>
      <c r="E15" s="114">
        <f t="shared" ca="1" si="0"/>
        <v>4</v>
      </c>
      <c r="F15" s="114">
        <f t="shared" ca="1" si="1"/>
        <v>1.32</v>
      </c>
      <c r="G15" s="114" t="s">
        <v>662</v>
      </c>
      <c r="H15" s="115" t="s">
        <v>1164</v>
      </c>
    </row>
    <row r="16" spans="1:8" ht="51">
      <c r="A16" s="114" t="s">
        <v>1163</v>
      </c>
      <c r="B16" s="115" t="s">
        <v>1277</v>
      </c>
      <c r="C16" s="114" t="s">
        <v>272</v>
      </c>
      <c r="D16" s="114">
        <v>0.33</v>
      </c>
      <c r="E16" s="114">
        <f t="shared" ca="1" si="0"/>
        <v>2</v>
      </c>
      <c r="F16" s="114">
        <f t="shared" ref="F16" ca="1" si="2">IF(ISNUMBER(E16),$D16*E16,0)</f>
        <v>0.66</v>
      </c>
      <c r="G16" s="114" t="s">
        <v>662</v>
      </c>
      <c r="H16" s="115" t="s">
        <v>1283</v>
      </c>
    </row>
    <row r="17" spans="1:8" ht="25.5">
      <c r="A17" s="114" t="s">
        <v>1163</v>
      </c>
      <c r="B17" s="115" t="s">
        <v>1556</v>
      </c>
      <c r="C17" s="114" t="s">
        <v>272</v>
      </c>
      <c r="D17" s="114">
        <v>0.2</v>
      </c>
      <c r="E17" s="114">
        <f t="shared" ca="1" si="0"/>
        <v>4</v>
      </c>
      <c r="F17" s="114">
        <f t="shared" ca="1" si="1"/>
        <v>0.8</v>
      </c>
      <c r="G17" s="114" t="s">
        <v>662</v>
      </c>
      <c r="H17" s="115" t="s">
        <v>1165</v>
      </c>
    </row>
    <row r="18" spans="1:8" ht="38.25">
      <c r="A18" s="114" t="s">
        <v>1163</v>
      </c>
      <c r="B18" s="115" t="s">
        <v>468</v>
      </c>
      <c r="C18" s="114" t="s">
        <v>272</v>
      </c>
      <c r="D18" s="114">
        <v>0.2</v>
      </c>
      <c r="E18" s="114">
        <f t="shared" ca="1" si="0"/>
        <v>3</v>
      </c>
      <c r="F18" s="114">
        <f t="shared" ca="1" si="1"/>
        <v>0.60000000000000009</v>
      </c>
      <c r="G18" s="114" t="s">
        <v>662</v>
      </c>
      <c r="H18" s="115" t="s">
        <v>1166</v>
      </c>
    </row>
    <row r="19" spans="1:8" ht="25.5">
      <c r="A19" s="114" t="s">
        <v>1167</v>
      </c>
      <c r="B19" s="115" t="s">
        <v>442</v>
      </c>
      <c r="C19" s="114" t="s">
        <v>272</v>
      </c>
      <c r="D19" s="114">
        <v>0.2</v>
      </c>
      <c r="E19" s="114">
        <f t="shared" ca="1" si="0"/>
        <v>3</v>
      </c>
      <c r="F19" s="114">
        <f t="shared" ca="1" si="1"/>
        <v>0.60000000000000009</v>
      </c>
      <c r="G19" s="114" t="s">
        <v>662</v>
      </c>
      <c r="H19" s="115" t="s">
        <v>1168</v>
      </c>
    </row>
    <row r="20" spans="1:8" ht="38.25">
      <c r="A20" s="114" t="s">
        <v>1167</v>
      </c>
      <c r="B20" s="115" t="s">
        <v>1436</v>
      </c>
      <c r="C20" s="114" t="s">
        <v>298</v>
      </c>
      <c r="D20" s="114">
        <v>0.5</v>
      </c>
      <c r="E20" s="114">
        <f t="shared" ca="1" si="0"/>
        <v>3</v>
      </c>
      <c r="F20" s="114">
        <f t="shared" ca="1" si="1"/>
        <v>1.5</v>
      </c>
      <c r="G20" s="114" t="s">
        <v>662</v>
      </c>
      <c r="H20" s="115" t="s">
        <v>1439</v>
      </c>
    </row>
    <row r="21" spans="1:8" ht="25.5">
      <c r="A21" s="114" t="s">
        <v>1153</v>
      </c>
      <c r="B21" s="115" t="s">
        <v>88</v>
      </c>
      <c r="C21" s="114" t="s">
        <v>432</v>
      </c>
      <c r="D21" s="114">
        <v>0.33</v>
      </c>
      <c r="E21" s="114">
        <f t="shared" ca="1" si="0"/>
        <v>4</v>
      </c>
      <c r="F21" s="114">
        <f t="shared" ca="1" si="1"/>
        <v>1.32</v>
      </c>
      <c r="G21" s="114" t="s">
        <v>662</v>
      </c>
      <c r="H21" s="115" t="s">
        <v>1169</v>
      </c>
    </row>
    <row r="22" spans="1:8">
      <c r="A22" s="114" t="s">
        <v>1153</v>
      </c>
      <c r="B22" s="115" t="s">
        <v>520</v>
      </c>
      <c r="C22" s="114" t="s">
        <v>432</v>
      </c>
      <c r="D22" s="114">
        <v>0.5</v>
      </c>
      <c r="E22" s="114">
        <f t="shared" ca="1" si="0"/>
        <v>3</v>
      </c>
      <c r="F22" s="114">
        <f t="shared" ca="1" si="1"/>
        <v>1.5</v>
      </c>
      <c r="G22" s="114" t="s">
        <v>662</v>
      </c>
      <c r="H22" s="115" t="s">
        <v>1170</v>
      </c>
    </row>
    <row r="23" spans="1:8">
      <c r="A23" s="114" t="s">
        <v>1153</v>
      </c>
      <c r="B23" s="115" t="s">
        <v>346</v>
      </c>
      <c r="C23" s="114" t="s">
        <v>432</v>
      </c>
      <c r="D23" s="114">
        <v>0.2</v>
      </c>
      <c r="E23" s="114">
        <f t="shared" ca="1" si="0"/>
        <v>3</v>
      </c>
      <c r="F23" s="114">
        <f t="shared" ca="1" si="1"/>
        <v>0.60000000000000009</v>
      </c>
      <c r="G23" s="114" t="s">
        <v>662</v>
      </c>
      <c r="H23" s="115" t="s">
        <v>1171</v>
      </c>
    </row>
    <row r="24" spans="1:8">
      <c r="A24" s="114" t="s">
        <v>1153</v>
      </c>
      <c r="B24" s="115" t="s">
        <v>589</v>
      </c>
      <c r="C24" s="114" t="s">
        <v>432</v>
      </c>
      <c r="D24" s="114">
        <v>0.2</v>
      </c>
      <c r="E24" s="114">
        <f t="shared" ca="1" si="0"/>
        <v>3</v>
      </c>
      <c r="F24" s="114">
        <f t="shared" ca="1" si="1"/>
        <v>0.60000000000000009</v>
      </c>
      <c r="G24" s="114" t="s">
        <v>662</v>
      </c>
      <c r="H24" s="115" t="s">
        <v>1172</v>
      </c>
    </row>
    <row r="25" spans="1:8">
      <c r="A25" s="114" t="s">
        <v>1159</v>
      </c>
      <c r="B25" s="115" t="s">
        <v>430</v>
      </c>
      <c r="C25" s="114" t="s">
        <v>432</v>
      </c>
      <c r="D25" s="114">
        <v>0.2</v>
      </c>
      <c r="E25" s="114">
        <f t="shared" ca="1" si="0"/>
        <v>4</v>
      </c>
      <c r="F25" s="114">
        <f t="shared" ca="1" si="1"/>
        <v>0.8</v>
      </c>
      <c r="G25" s="114" t="s">
        <v>662</v>
      </c>
      <c r="H25" s="115" t="s">
        <v>1173</v>
      </c>
    </row>
    <row r="26" spans="1:8" ht="25.5">
      <c r="A26" s="114" t="s">
        <v>1159</v>
      </c>
      <c r="B26" s="115" t="s">
        <v>425</v>
      </c>
      <c r="C26" s="114" t="s">
        <v>432</v>
      </c>
      <c r="D26" s="114">
        <v>0.5</v>
      </c>
      <c r="E26" s="114">
        <f t="shared" ca="1" si="0"/>
        <v>3</v>
      </c>
      <c r="F26" s="114">
        <f t="shared" ca="1" si="1"/>
        <v>1.5</v>
      </c>
      <c r="G26" s="114" t="s">
        <v>662</v>
      </c>
      <c r="H26" s="115" t="s">
        <v>1174</v>
      </c>
    </row>
    <row r="27" spans="1:8" ht="25.5">
      <c r="A27" s="114" t="s">
        <v>1159</v>
      </c>
      <c r="B27" s="115" t="s">
        <v>425</v>
      </c>
      <c r="C27" s="114" t="s">
        <v>348</v>
      </c>
      <c r="D27" s="114">
        <v>0.5</v>
      </c>
      <c r="E27" s="114">
        <f t="shared" ca="1" si="0"/>
        <v>3</v>
      </c>
      <c r="F27" s="114">
        <f t="shared" ca="1" si="1"/>
        <v>1.5</v>
      </c>
      <c r="G27" s="114" t="s">
        <v>662</v>
      </c>
      <c r="H27" s="115" t="s">
        <v>1175</v>
      </c>
    </row>
    <row r="28" spans="1:8" ht="25.5">
      <c r="A28" s="114" t="s">
        <v>1159</v>
      </c>
      <c r="B28" s="115" t="s">
        <v>291</v>
      </c>
      <c r="C28" s="114" t="s">
        <v>361</v>
      </c>
      <c r="D28" s="114">
        <v>0.5</v>
      </c>
      <c r="E28" s="114">
        <f t="shared" ca="1" si="0"/>
        <v>3</v>
      </c>
      <c r="F28" s="114">
        <f t="shared" ca="1" si="1"/>
        <v>1.5</v>
      </c>
      <c r="G28" s="114" t="s">
        <v>662</v>
      </c>
      <c r="H28" s="115" t="s">
        <v>1176</v>
      </c>
    </row>
    <row r="29" spans="1:8" ht="51">
      <c r="A29" s="114" t="s">
        <v>1346</v>
      </c>
      <c r="B29" s="115" t="s">
        <v>1556</v>
      </c>
      <c r="C29" s="114" t="s">
        <v>361</v>
      </c>
      <c r="D29" s="114">
        <v>0.33</v>
      </c>
      <c r="E29" s="114">
        <f t="shared" ca="1" si="0"/>
        <v>4</v>
      </c>
      <c r="F29" s="114">
        <f t="shared" ref="F29:F30" ca="1" si="3">IF(ISNUMBER(E29),$D29*E29,0)</f>
        <v>1.32</v>
      </c>
      <c r="G29" s="114" t="s">
        <v>662</v>
      </c>
      <c r="H29" s="115" t="s">
        <v>1347</v>
      </c>
    </row>
    <row r="30" spans="1:8" ht="25.5">
      <c r="A30" s="114" t="s">
        <v>1346</v>
      </c>
      <c r="B30" s="115" t="s">
        <v>1348</v>
      </c>
      <c r="C30" s="114" t="s">
        <v>361</v>
      </c>
      <c r="D30" s="114">
        <v>0.33</v>
      </c>
      <c r="E30" s="114">
        <f t="shared" ca="1" si="0"/>
        <v>3</v>
      </c>
      <c r="F30" s="114">
        <f t="shared" ca="1" si="3"/>
        <v>0.99</v>
      </c>
      <c r="G30" s="114" t="s">
        <v>662</v>
      </c>
      <c r="H30" s="115" t="s">
        <v>1565</v>
      </c>
    </row>
    <row r="31" spans="1:8" ht="38.25">
      <c r="A31" s="114" t="s">
        <v>1157</v>
      </c>
      <c r="B31" s="115" t="s">
        <v>1483</v>
      </c>
      <c r="C31" s="114" t="s">
        <v>357</v>
      </c>
      <c r="D31" s="114">
        <v>0.33</v>
      </c>
      <c r="E31" s="114">
        <f t="shared" ca="1" si="0"/>
        <v>3</v>
      </c>
      <c r="F31" s="114">
        <f t="shared" ca="1" si="1"/>
        <v>0.99</v>
      </c>
      <c r="G31" s="114" t="s">
        <v>662</v>
      </c>
      <c r="H31" s="115" t="s">
        <v>1177</v>
      </c>
    </row>
    <row r="32" spans="1:8" ht="38.25">
      <c r="A32" s="114" t="s">
        <v>1156</v>
      </c>
      <c r="B32" s="115" t="s">
        <v>511</v>
      </c>
      <c r="C32" s="114" t="s">
        <v>357</v>
      </c>
      <c r="D32" s="114">
        <v>0.33</v>
      </c>
      <c r="E32" s="114">
        <f t="shared" ca="1" si="0"/>
        <v>4</v>
      </c>
      <c r="F32" s="114">
        <f t="shared" ca="1" si="1"/>
        <v>1.32</v>
      </c>
      <c r="G32" s="114" t="s">
        <v>662</v>
      </c>
      <c r="H32" s="115" t="s">
        <v>1178</v>
      </c>
    </row>
    <row r="33" spans="1:8" ht="38.25">
      <c r="A33" s="114" t="s">
        <v>1156</v>
      </c>
      <c r="B33" s="115" t="s">
        <v>1420</v>
      </c>
      <c r="C33" s="114" t="s">
        <v>410</v>
      </c>
      <c r="D33" s="114">
        <v>0.33</v>
      </c>
      <c r="E33" s="114">
        <f t="shared" ca="1" si="0"/>
        <v>3</v>
      </c>
      <c r="F33" s="114">
        <f t="shared" ca="1" si="1"/>
        <v>0.99</v>
      </c>
      <c r="G33" s="114" t="s">
        <v>662</v>
      </c>
      <c r="H33" s="115" t="s">
        <v>1426</v>
      </c>
    </row>
    <row r="34" spans="1:8" ht="25.5">
      <c r="A34" s="114" t="s">
        <v>1157</v>
      </c>
      <c r="B34" s="115" t="s">
        <v>1085</v>
      </c>
      <c r="C34" s="114" t="s">
        <v>372</v>
      </c>
      <c r="D34" s="114">
        <v>0.33</v>
      </c>
      <c r="E34" s="114">
        <f t="shared" ca="1" si="0"/>
        <v>4</v>
      </c>
      <c r="F34" s="114">
        <f t="shared" ca="1" si="1"/>
        <v>1.32</v>
      </c>
      <c r="G34" s="114" t="s">
        <v>662</v>
      </c>
      <c r="H34" s="115" t="s">
        <v>1179</v>
      </c>
    </row>
    <row r="35" spans="1:8" ht="25.5">
      <c r="A35" s="114" t="s">
        <v>1163</v>
      </c>
      <c r="B35" s="115" t="s">
        <v>1556</v>
      </c>
      <c r="C35" s="114" t="s">
        <v>270</v>
      </c>
      <c r="D35" s="114">
        <v>0.5</v>
      </c>
      <c r="E35" s="114">
        <f t="shared" ca="1" si="0"/>
        <v>4</v>
      </c>
      <c r="F35" s="114">
        <f t="shared" ca="1" si="1"/>
        <v>2</v>
      </c>
      <c r="G35" s="114" t="s">
        <v>662</v>
      </c>
      <c r="H35" s="115" t="s">
        <v>1180</v>
      </c>
    </row>
    <row r="36" spans="1:8" ht="25.5">
      <c r="A36" s="114" t="s">
        <v>1163</v>
      </c>
      <c r="B36" s="115" t="s">
        <v>468</v>
      </c>
      <c r="C36" s="114" t="s">
        <v>270</v>
      </c>
      <c r="D36" s="114">
        <v>0.5</v>
      </c>
      <c r="E36" s="114">
        <f t="shared" ca="1" si="0"/>
        <v>3</v>
      </c>
      <c r="F36" s="114">
        <f t="shared" ca="1" si="1"/>
        <v>1.5</v>
      </c>
      <c r="G36" s="114" t="s">
        <v>662</v>
      </c>
      <c r="H36" s="115" t="s">
        <v>1180</v>
      </c>
    </row>
    <row r="37" spans="1:8" ht="38.25">
      <c r="A37" s="114" t="s">
        <v>1157</v>
      </c>
      <c r="B37" s="115" t="s">
        <v>86</v>
      </c>
      <c r="C37" s="114" t="s">
        <v>270</v>
      </c>
      <c r="D37" s="114">
        <v>0</v>
      </c>
      <c r="E37" s="114">
        <f t="shared" ca="1" si="0"/>
        <v>1</v>
      </c>
      <c r="F37" s="114">
        <f t="shared" ca="1" si="1"/>
        <v>0</v>
      </c>
      <c r="G37" s="114" t="s">
        <v>662</v>
      </c>
      <c r="H37" s="115" t="s">
        <v>1345</v>
      </c>
    </row>
    <row r="38" spans="1:8">
      <c r="A38" s="114" t="s">
        <v>1157</v>
      </c>
      <c r="B38" s="115" t="s">
        <v>1483</v>
      </c>
      <c r="C38" s="114" t="s">
        <v>410</v>
      </c>
      <c r="D38" s="114">
        <v>0.2</v>
      </c>
      <c r="E38" s="114">
        <f t="shared" ca="1" si="0"/>
        <v>3</v>
      </c>
      <c r="F38" s="114">
        <f t="shared" ca="1" si="1"/>
        <v>0.60000000000000009</v>
      </c>
      <c r="G38" s="114" t="s">
        <v>662</v>
      </c>
      <c r="H38" s="115" t="s">
        <v>1181</v>
      </c>
    </row>
    <row r="39" spans="1:8">
      <c r="A39" s="114" t="s">
        <v>1163</v>
      </c>
      <c r="B39" s="115" t="s">
        <v>1556</v>
      </c>
      <c r="C39" s="114" t="s">
        <v>410</v>
      </c>
      <c r="D39" s="114">
        <v>0.2</v>
      </c>
      <c r="E39" s="114">
        <f t="shared" ca="1" si="0"/>
        <v>4</v>
      </c>
      <c r="F39" s="114">
        <f t="shared" ca="1" si="1"/>
        <v>0.8</v>
      </c>
      <c r="G39" s="114" t="s">
        <v>662</v>
      </c>
      <c r="H39" s="115" t="s">
        <v>1182</v>
      </c>
    </row>
    <row r="40" spans="1:8" ht="25.5">
      <c r="A40" s="114" t="s">
        <v>1157</v>
      </c>
      <c r="B40" s="115" t="s">
        <v>86</v>
      </c>
      <c r="C40" s="114" t="s">
        <v>410</v>
      </c>
      <c r="D40" s="114">
        <v>0</v>
      </c>
      <c r="E40" s="114">
        <f t="shared" ca="1" si="0"/>
        <v>1</v>
      </c>
      <c r="F40" s="114">
        <f t="shared" ca="1" si="1"/>
        <v>0</v>
      </c>
      <c r="G40" s="114" t="s">
        <v>662</v>
      </c>
      <c r="H40" s="115" t="s">
        <v>1183</v>
      </c>
    </row>
    <row r="41" spans="1:8">
      <c r="A41" s="114" t="s">
        <v>1159</v>
      </c>
      <c r="B41" s="115" t="s">
        <v>269</v>
      </c>
      <c r="C41" s="114" t="s">
        <v>421</v>
      </c>
      <c r="D41" s="114">
        <v>0.2</v>
      </c>
      <c r="E41" s="114">
        <f t="shared" ca="1" si="0"/>
        <v>4</v>
      </c>
      <c r="F41" s="114">
        <f t="shared" ca="1" si="1"/>
        <v>0.8</v>
      </c>
      <c r="G41" s="114" t="s">
        <v>662</v>
      </c>
      <c r="H41" s="115" t="s">
        <v>1184</v>
      </c>
    </row>
    <row r="42" spans="1:8">
      <c r="A42" s="114" t="s">
        <v>1159</v>
      </c>
      <c r="B42" s="115" t="s">
        <v>1121</v>
      </c>
      <c r="C42" s="114" t="s">
        <v>421</v>
      </c>
      <c r="D42" s="114">
        <v>0.2</v>
      </c>
      <c r="E42" s="114">
        <f t="shared" ca="1" si="0"/>
        <v>3</v>
      </c>
      <c r="F42" s="114">
        <f t="shared" ca="1" si="1"/>
        <v>0.60000000000000009</v>
      </c>
      <c r="G42" s="114" t="s">
        <v>662</v>
      </c>
      <c r="H42" s="115" t="s">
        <v>1185</v>
      </c>
    </row>
    <row r="43" spans="1:8">
      <c r="A43" s="114" t="s">
        <v>1159</v>
      </c>
      <c r="B43" s="115" t="s">
        <v>1119</v>
      </c>
      <c r="C43" s="114" t="s">
        <v>421</v>
      </c>
      <c r="D43" s="114">
        <v>0.2</v>
      </c>
      <c r="E43" s="114">
        <f t="shared" ca="1" si="0"/>
        <v>3</v>
      </c>
      <c r="F43" s="114">
        <f t="shared" ca="1" si="1"/>
        <v>0.60000000000000009</v>
      </c>
      <c r="G43" s="114" t="s">
        <v>662</v>
      </c>
      <c r="H43" s="115" t="s">
        <v>1186</v>
      </c>
    </row>
    <row r="44" spans="1:8" ht="25.5">
      <c r="A44" s="114" t="s">
        <v>1159</v>
      </c>
      <c r="B44" s="115" t="s">
        <v>1334</v>
      </c>
      <c r="C44" s="114" t="s">
        <v>421</v>
      </c>
      <c r="D44" s="114">
        <v>0.2</v>
      </c>
      <c r="E44" s="114">
        <f t="shared" ca="1" si="0"/>
        <v>2</v>
      </c>
      <c r="F44" s="114">
        <f t="shared" ref="F44" ca="1" si="4">IF(ISNUMBER(E44),$D44*E44,0)</f>
        <v>0.4</v>
      </c>
      <c r="G44" s="114" t="s">
        <v>662</v>
      </c>
      <c r="H44" s="115" t="s">
        <v>1339</v>
      </c>
    </row>
    <row r="45" spans="1:8" ht="25.5">
      <c r="A45" s="114" t="s">
        <v>1163</v>
      </c>
      <c r="B45" s="115" t="s">
        <v>468</v>
      </c>
      <c r="C45" s="114" t="s">
        <v>421</v>
      </c>
      <c r="D45" s="114">
        <v>0.2</v>
      </c>
      <c r="E45" s="114">
        <f t="shared" ref="E45:E78" ca="1" si="5">IFERROR(INDEX(INDIRECT("'"&amp;$A45&amp;"'!$E$1:$E$60"),MATCH($B45,INDIRECT("'"&amp;$A45&amp;"'!$B$1:$B$60"),0)),"?")</f>
        <v>3</v>
      </c>
      <c r="F45" s="114">
        <f t="shared" ref="F45:F78" ca="1" si="6">IF(ISNUMBER(E45),$D45*E45,0)</f>
        <v>0.60000000000000009</v>
      </c>
      <c r="G45" s="114" t="s">
        <v>662</v>
      </c>
      <c r="H45" s="115" t="s">
        <v>1187</v>
      </c>
    </row>
    <row r="46" spans="1:8" ht="38.25">
      <c r="A46" s="114" t="s">
        <v>1153</v>
      </c>
      <c r="B46" s="115" t="s">
        <v>1259</v>
      </c>
      <c r="C46" s="114" t="s">
        <v>285</v>
      </c>
      <c r="D46" s="114">
        <v>0.33</v>
      </c>
      <c r="E46" s="114">
        <f t="shared" ca="1" si="5"/>
        <v>3</v>
      </c>
      <c r="F46" s="114">
        <f t="shared" ca="1" si="6"/>
        <v>0.99</v>
      </c>
      <c r="G46" s="114" t="s">
        <v>662</v>
      </c>
      <c r="H46" s="115" t="s">
        <v>1188</v>
      </c>
    </row>
    <row r="47" spans="1:8">
      <c r="A47" s="114" t="s">
        <v>1157</v>
      </c>
      <c r="B47" s="115" t="s">
        <v>526</v>
      </c>
      <c r="C47" s="114" t="s">
        <v>285</v>
      </c>
      <c r="D47" s="114">
        <v>0.33</v>
      </c>
      <c r="E47" s="114">
        <f t="shared" ca="1" si="5"/>
        <v>3</v>
      </c>
      <c r="F47" s="114">
        <f t="shared" ca="1" si="6"/>
        <v>0.99</v>
      </c>
      <c r="G47" s="114" t="s">
        <v>662</v>
      </c>
      <c r="H47" s="115" t="s">
        <v>1189</v>
      </c>
    </row>
    <row r="48" spans="1:8">
      <c r="A48" s="114" t="s">
        <v>1156</v>
      </c>
      <c r="B48" s="115" t="s">
        <v>974</v>
      </c>
      <c r="C48" s="114" t="s">
        <v>285</v>
      </c>
      <c r="D48" s="114">
        <v>0.33</v>
      </c>
      <c r="E48" s="114">
        <f t="shared" ca="1" si="5"/>
        <v>6</v>
      </c>
      <c r="F48" s="114">
        <f t="shared" ca="1" si="6"/>
        <v>1.98</v>
      </c>
      <c r="G48" s="114" t="s">
        <v>662</v>
      </c>
      <c r="H48" s="115" t="s">
        <v>1189</v>
      </c>
    </row>
    <row r="49" spans="1:8" ht="25.5">
      <c r="A49" s="114" t="s">
        <v>1269</v>
      </c>
      <c r="B49" s="115" t="s">
        <v>974</v>
      </c>
      <c r="C49" s="114" t="s">
        <v>285</v>
      </c>
      <c r="D49" s="114">
        <v>0.33</v>
      </c>
      <c r="E49" s="114">
        <f t="shared" ca="1" si="5"/>
        <v>4</v>
      </c>
      <c r="F49" s="114">
        <f t="shared" ref="F49" ca="1" si="7">IF(ISNUMBER(E49),$D49*E49,0)</f>
        <v>1.32</v>
      </c>
      <c r="G49" s="114" t="s">
        <v>662</v>
      </c>
      <c r="H49" s="115" t="s">
        <v>1270</v>
      </c>
    </row>
    <row r="50" spans="1:8">
      <c r="A50" s="114" t="s">
        <v>1163</v>
      </c>
      <c r="B50" s="115" t="s">
        <v>475</v>
      </c>
      <c r="C50" s="114" t="s">
        <v>285</v>
      </c>
      <c r="D50" s="114">
        <v>0.5</v>
      </c>
      <c r="E50" s="114">
        <f t="shared" ca="1" si="5"/>
        <v>4</v>
      </c>
      <c r="F50" s="114">
        <f t="shared" ca="1" si="6"/>
        <v>2</v>
      </c>
      <c r="G50" s="114" t="s">
        <v>662</v>
      </c>
      <c r="H50" s="115" t="s">
        <v>1190</v>
      </c>
    </row>
    <row r="51" spans="1:8" ht="25.5">
      <c r="A51" s="114" t="s">
        <v>1163</v>
      </c>
      <c r="B51" s="115" t="s">
        <v>1277</v>
      </c>
      <c r="C51" s="114" t="s">
        <v>285</v>
      </c>
      <c r="D51" s="114">
        <v>0.5</v>
      </c>
      <c r="E51" s="114">
        <f t="shared" ca="1" si="5"/>
        <v>2</v>
      </c>
      <c r="F51" s="114">
        <f t="shared" ref="F51" ca="1" si="8">IF(ISNUMBER(E51),$D51*E51,0)</f>
        <v>1</v>
      </c>
      <c r="G51" s="114" t="s">
        <v>662</v>
      </c>
      <c r="H51" s="115" t="s">
        <v>1284</v>
      </c>
    </row>
    <row r="52" spans="1:8" ht="38.25">
      <c r="A52" s="114" t="s">
        <v>1156</v>
      </c>
      <c r="B52" s="115" t="s">
        <v>84</v>
      </c>
      <c r="C52" s="114" t="s">
        <v>316</v>
      </c>
      <c r="D52" s="114">
        <v>0</v>
      </c>
      <c r="E52" s="114">
        <f t="shared" ca="1" si="5"/>
        <v>5</v>
      </c>
      <c r="F52" s="114">
        <f t="shared" ca="1" si="6"/>
        <v>0</v>
      </c>
      <c r="G52" s="114" t="s">
        <v>662</v>
      </c>
      <c r="H52" s="115" t="s">
        <v>1191</v>
      </c>
    </row>
    <row r="53" spans="1:8" ht="38.25">
      <c r="A53" s="114" t="s">
        <v>1163</v>
      </c>
      <c r="B53" s="115" t="s">
        <v>1556</v>
      </c>
      <c r="C53" s="114" t="s">
        <v>316</v>
      </c>
      <c r="D53" s="114">
        <v>0</v>
      </c>
      <c r="E53" s="114">
        <f t="shared" ca="1" si="5"/>
        <v>4</v>
      </c>
      <c r="F53" s="114">
        <f t="shared" ca="1" si="6"/>
        <v>0</v>
      </c>
      <c r="G53" s="114" t="s">
        <v>662</v>
      </c>
      <c r="H53" s="115" t="s">
        <v>1564</v>
      </c>
    </row>
    <row r="54" spans="1:8" ht="25.5">
      <c r="A54" s="114" t="s">
        <v>1159</v>
      </c>
      <c r="B54" s="115" t="s">
        <v>420</v>
      </c>
      <c r="C54" s="114" t="s">
        <v>316</v>
      </c>
      <c r="D54" s="114">
        <v>0</v>
      </c>
      <c r="E54" s="114">
        <f t="shared" ca="1" si="5"/>
        <v>3</v>
      </c>
      <c r="F54" s="114">
        <f t="shared" ca="1" si="6"/>
        <v>0</v>
      </c>
      <c r="G54" s="114" t="s">
        <v>662</v>
      </c>
      <c r="H54" s="115" t="s">
        <v>1344</v>
      </c>
    </row>
    <row r="55" spans="1:8" ht="51">
      <c r="A55" s="114" t="s">
        <v>1157</v>
      </c>
      <c r="B55" s="115" t="s">
        <v>562</v>
      </c>
      <c r="C55" s="114" t="s">
        <v>316</v>
      </c>
      <c r="D55" s="114">
        <v>0.5</v>
      </c>
      <c r="E55" s="114">
        <f t="shared" ca="1" si="5"/>
        <v>3</v>
      </c>
      <c r="F55" s="114">
        <f t="shared" ca="1" si="6"/>
        <v>1.5</v>
      </c>
      <c r="G55" s="114" t="s">
        <v>662</v>
      </c>
      <c r="H55" s="115" t="s">
        <v>1192</v>
      </c>
    </row>
    <row r="56" spans="1:8" ht="25.5">
      <c r="A56" s="114" t="s">
        <v>1163</v>
      </c>
      <c r="B56" s="115" t="s">
        <v>487</v>
      </c>
      <c r="C56" s="114" t="s">
        <v>316</v>
      </c>
      <c r="D56" s="114">
        <v>0</v>
      </c>
      <c r="E56" s="114">
        <f t="shared" ca="1" si="5"/>
        <v>3</v>
      </c>
      <c r="F56" s="114">
        <f t="shared" ca="1" si="6"/>
        <v>0</v>
      </c>
      <c r="G56" s="114" t="s">
        <v>662</v>
      </c>
      <c r="H56" s="115" t="s">
        <v>1193</v>
      </c>
    </row>
    <row r="57" spans="1:8">
      <c r="A57" s="114" t="s">
        <v>1156</v>
      </c>
      <c r="B57" s="115" t="s">
        <v>84</v>
      </c>
      <c r="C57" s="114" t="s">
        <v>378</v>
      </c>
      <c r="D57" s="114">
        <v>0.5</v>
      </c>
      <c r="E57" s="114">
        <f t="shared" ca="1" si="5"/>
        <v>5</v>
      </c>
      <c r="F57" s="114">
        <f t="shared" ca="1" si="6"/>
        <v>2.5</v>
      </c>
      <c r="G57" s="114" t="s">
        <v>662</v>
      </c>
      <c r="H57" s="115" t="s">
        <v>684</v>
      </c>
    </row>
    <row r="58" spans="1:8">
      <c r="A58" s="114" t="s">
        <v>1157</v>
      </c>
      <c r="B58" s="115" t="s">
        <v>86</v>
      </c>
      <c r="C58" s="114" t="s">
        <v>378</v>
      </c>
      <c r="D58" s="114">
        <v>0.5</v>
      </c>
      <c r="E58" s="114">
        <f t="shared" ca="1" si="5"/>
        <v>1</v>
      </c>
      <c r="F58" s="114">
        <f t="shared" ca="1" si="6"/>
        <v>0.5</v>
      </c>
      <c r="G58" s="114" t="s">
        <v>662</v>
      </c>
      <c r="H58" s="115" t="s">
        <v>1194</v>
      </c>
    </row>
    <row r="59" spans="1:8">
      <c r="A59" s="114" t="s">
        <v>1157</v>
      </c>
      <c r="B59" s="115" t="s">
        <v>1079</v>
      </c>
      <c r="C59" s="114" t="s">
        <v>378</v>
      </c>
      <c r="D59" s="114">
        <v>0.5</v>
      </c>
      <c r="E59" s="114">
        <f t="shared" ca="1" si="5"/>
        <v>2</v>
      </c>
      <c r="F59" s="114">
        <f t="shared" ca="1" si="6"/>
        <v>1</v>
      </c>
      <c r="G59" s="114" t="s">
        <v>662</v>
      </c>
      <c r="H59" s="115" t="s">
        <v>1195</v>
      </c>
    </row>
    <row r="60" spans="1:8">
      <c r="A60" s="114" t="s">
        <v>1156</v>
      </c>
      <c r="B60" s="115" t="s">
        <v>377</v>
      </c>
      <c r="C60" s="114" t="s">
        <v>378</v>
      </c>
      <c r="D60" s="114">
        <v>0.33</v>
      </c>
      <c r="E60" s="114">
        <f t="shared" ca="1" si="5"/>
        <v>4</v>
      </c>
      <c r="F60" s="114">
        <f t="shared" ca="1" si="6"/>
        <v>1.32</v>
      </c>
      <c r="G60" s="114" t="s">
        <v>662</v>
      </c>
      <c r="H60" s="115" t="s">
        <v>685</v>
      </c>
    </row>
    <row r="61" spans="1:8">
      <c r="A61" s="114" t="s">
        <v>1157</v>
      </c>
      <c r="B61" s="115" t="s">
        <v>562</v>
      </c>
      <c r="C61" s="114" t="s">
        <v>378</v>
      </c>
      <c r="D61" s="114">
        <v>0.5</v>
      </c>
      <c r="E61" s="114">
        <f t="shared" ca="1" si="5"/>
        <v>3</v>
      </c>
      <c r="F61" s="114">
        <f t="shared" ca="1" si="6"/>
        <v>1.5</v>
      </c>
      <c r="G61" s="114" t="s">
        <v>662</v>
      </c>
      <c r="H61" s="115" t="s">
        <v>1196</v>
      </c>
    </row>
    <row r="62" spans="1:8" ht="38.25">
      <c r="A62" s="114" t="s">
        <v>1447</v>
      </c>
      <c r="B62" s="115" t="s">
        <v>559</v>
      </c>
      <c r="C62" s="114" t="s">
        <v>387</v>
      </c>
      <c r="D62" s="114">
        <v>0.2</v>
      </c>
      <c r="E62" s="114">
        <f t="shared" ca="1" si="5"/>
        <v>4</v>
      </c>
      <c r="F62" s="114">
        <f t="shared" ca="1" si="6"/>
        <v>0.8</v>
      </c>
      <c r="G62" s="114" t="s">
        <v>662</v>
      </c>
      <c r="H62" s="115" t="s">
        <v>1197</v>
      </c>
    </row>
    <row r="63" spans="1:8" ht="38.25">
      <c r="A63" s="114" t="s">
        <v>1157</v>
      </c>
      <c r="B63" s="115" t="s">
        <v>86</v>
      </c>
      <c r="C63" s="114" t="s">
        <v>387</v>
      </c>
      <c r="D63" s="114">
        <v>0.33</v>
      </c>
      <c r="E63" s="114">
        <f t="shared" ca="1" si="5"/>
        <v>1</v>
      </c>
      <c r="F63" s="114">
        <f t="shared" ca="1" si="6"/>
        <v>0.33</v>
      </c>
      <c r="G63" s="114" t="s">
        <v>662</v>
      </c>
      <c r="H63" s="115" t="s">
        <v>1198</v>
      </c>
    </row>
    <row r="64" spans="1:8" ht="25.5">
      <c r="A64" s="114" t="s">
        <v>1157</v>
      </c>
      <c r="B64" s="115" t="s">
        <v>1079</v>
      </c>
      <c r="C64" s="114" t="s">
        <v>387</v>
      </c>
      <c r="D64" s="114">
        <v>0.33</v>
      </c>
      <c r="E64" s="114">
        <f t="shared" ca="1" si="5"/>
        <v>2</v>
      </c>
      <c r="F64" s="114">
        <f t="shared" ca="1" si="6"/>
        <v>0.66</v>
      </c>
      <c r="G64" s="114" t="s">
        <v>662</v>
      </c>
      <c r="H64" s="115" t="s">
        <v>1199</v>
      </c>
    </row>
    <row r="65" spans="1:8" ht="51">
      <c r="A65" s="114" t="s">
        <v>1157</v>
      </c>
      <c r="B65" s="115" t="s">
        <v>1085</v>
      </c>
      <c r="C65" s="114" t="s">
        <v>387</v>
      </c>
      <c r="D65" s="114">
        <v>0.2</v>
      </c>
      <c r="E65" s="114">
        <f t="shared" ca="1" si="5"/>
        <v>4</v>
      </c>
      <c r="F65" s="114">
        <f t="shared" ca="1" si="6"/>
        <v>0.8</v>
      </c>
      <c r="G65" s="114" t="s">
        <v>662</v>
      </c>
      <c r="H65" s="115" t="s">
        <v>1200</v>
      </c>
    </row>
    <row r="66" spans="1:8" ht="38.25">
      <c r="A66" s="114" t="s">
        <v>1156</v>
      </c>
      <c r="B66" s="115" t="s">
        <v>84</v>
      </c>
      <c r="C66" s="114" t="s">
        <v>391</v>
      </c>
      <c r="D66" s="114">
        <v>0.33</v>
      </c>
      <c r="E66" s="114">
        <f t="shared" ca="1" si="5"/>
        <v>5</v>
      </c>
      <c r="F66" s="114">
        <f t="shared" ca="1" si="6"/>
        <v>1.6500000000000001</v>
      </c>
      <c r="G66" s="114" t="s">
        <v>662</v>
      </c>
      <c r="H66" s="115" t="s">
        <v>1201</v>
      </c>
    </row>
    <row r="67" spans="1:8" ht="25.5">
      <c r="A67" s="114" t="s">
        <v>1156</v>
      </c>
      <c r="B67" s="115" t="s">
        <v>377</v>
      </c>
      <c r="C67" s="114" t="s">
        <v>391</v>
      </c>
      <c r="D67" s="114">
        <v>0.33</v>
      </c>
      <c r="E67" s="114">
        <f t="shared" ca="1" si="5"/>
        <v>4</v>
      </c>
      <c r="F67" s="114">
        <f t="shared" ca="1" si="6"/>
        <v>1.32</v>
      </c>
      <c r="G67" s="114" t="s">
        <v>662</v>
      </c>
      <c r="H67" s="115" t="s">
        <v>1202</v>
      </c>
    </row>
    <row r="68" spans="1:8" ht="25.5">
      <c r="A68" s="114" t="s">
        <v>1157</v>
      </c>
      <c r="B68" s="115" t="s">
        <v>1085</v>
      </c>
      <c r="C68" s="114" t="s">
        <v>391</v>
      </c>
      <c r="D68" s="114">
        <v>0.33</v>
      </c>
      <c r="E68" s="114">
        <f t="shared" ca="1" si="5"/>
        <v>4</v>
      </c>
      <c r="F68" s="114">
        <f t="shared" ca="1" si="6"/>
        <v>1.32</v>
      </c>
      <c r="G68" s="114" t="s">
        <v>662</v>
      </c>
      <c r="H68" s="115" t="s">
        <v>1203</v>
      </c>
    </row>
    <row r="69" spans="1:8">
      <c r="A69" s="114" t="s">
        <v>1163</v>
      </c>
      <c r="B69" s="115" t="s">
        <v>484</v>
      </c>
      <c r="C69" s="114" t="s">
        <v>298</v>
      </c>
      <c r="D69" s="114">
        <v>0.33</v>
      </c>
      <c r="E69" s="114">
        <f t="shared" ca="1" si="5"/>
        <v>3</v>
      </c>
      <c r="F69" s="114">
        <f t="shared" ca="1" si="6"/>
        <v>0.99</v>
      </c>
      <c r="G69" s="114" t="s">
        <v>662</v>
      </c>
      <c r="H69" s="115" t="s">
        <v>665</v>
      </c>
    </row>
    <row r="70" spans="1:8">
      <c r="A70" s="114" t="s">
        <v>1167</v>
      </c>
      <c r="B70" s="115" t="s">
        <v>594</v>
      </c>
      <c r="C70" s="114" t="s">
        <v>298</v>
      </c>
      <c r="D70" s="114">
        <v>0.33</v>
      </c>
      <c r="E70" s="114">
        <f t="shared" ca="1" si="5"/>
        <v>4</v>
      </c>
      <c r="F70" s="114">
        <f t="shared" ca="1" si="6"/>
        <v>1.32</v>
      </c>
      <c r="G70" s="114" t="s">
        <v>662</v>
      </c>
      <c r="H70" s="115" t="s">
        <v>665</v>
      </c>
    </row>
    <row r="71" spans="1:8">
      <c r="A71" s="114" t="s">
        <v>1159</v>
      </c>
      <c r="B71" s="115" t="s">
        <v>1132</v>
      </c>
      <c r="C71" s="114" t="s">
        <v>298</v>
      </c>
      <c r="D71" s="114">
        <v>0.33</v>
      </c>
      <c r="E71" s="114">
        <f t="shared" ca="1" si="5"/>
        <v>3</v>
      </c>
      <c r="F71" s="114">
        <f t="shared" ca="1" si="6"/>
        <v>0.99</v>
      </c>
      <c r="G71" s="114" t="s">
        <v>662</v>
      </c>
      <c r="H71" s="115" t="s">
        <v>1204</v>
      </c>
    </row>
    <row r="72" spans="1:8" ht="38.25">
      <c r="A72" s="114" t="s">
        <v>1153</v>
      </c>
      <c r="B72" s="115" t="s">
        <v>88</v>
      </c>
      <c r="C72" s="114" t="s">
        <v>352</v>
      </c>
      <c r="D72" s="114">
        <v>0</v>
      </c>
      <c r="E72" s="114">
        <f t="shared" ca="1" si="5"/>
        <v>4</v>
      </c>
      <c r="F72" s="114">
        <f t="shared" ca="1" si="6"/>
        <v>0</v>
      </c>
      <c r="G72" s="114" t="s">
        <v>662</v>
      </c>
      <c r="H72" s="115" t="s">
        <v>1205</v>
      </c>
    </row>
    <row r="73" spans="1:8" ht="25.5">
      <c r="A73" s="114" t="s">
        <v>1159</v>
      </c>
      <c r="B73" s="115" t="s">
        <v>430</v>
      </c>
      <c r="C73" s="114" t="s">
        <v>352</v>
      </c>
      <c r="D73" s="114">
        <v>0</v>
      </c>
      <c r="E73" s="114">
        <f t="shared" ca="1" si="5"/>
        <v>4</v>
      </c>
      <c r="F73" s="114">
        <f t="shared" ca="1" si="6"/>
        <v>0</v>
      </c>
      <c r="G73" s="114" t="s">
        <v>662</v>
      </c>
      <c r="H73" s="115" t="s">
        <v>1206</v>
      </c>
    </row>
    <row r="74" spans="1:8" ht="25.5">
      <c r="A74" s="114" t="s">
        <v>1153</v>
      </c>
      <c r="B74" s="115" t="s">
        <v>520</v>
      </c>
      <c r="C74" s="114" t="s">
        <v>340</v>
      </c>
      <c r="D74" s="114">
        <v>0</v>
      </c>
      <c r="E74" s="114">
        <f t="shared" ca="1" si="5"/>
        <v>3</v>
      </c>
      <c r="F74" s="114">
        <f t="shared" ca="1" si="6"/>
        <v>0</v>
      </c>
      <c r="G74" s="114" t="s">
        <v>662</v>
      </c>
      <c r="H74" s="115" t="s">
        <v>1207</v>
      </c>
    </row>
    <row r="75" spans="1:8">
      <c r="A75" s="114" t="s">
        <v>1153</v>
      </c>
      <c r="B75" s="115" t="s">
        <v>589</v>
      </c>
      <c r="C75" s="114" t="s">
        <v>340</v>
      </c>
      <c r="D75" s="114">
        <v>0.2</v>
      </c>
      <c r="E75" s="114">
        <f t="shared" ca="1" si="5"/>
        <v>3</v>
      </c>
      <c r="F75" s="114">
        <f t="shared" ca="1" si="6"/>
        <v>0.60000000000000009</v>
      </c>
      <c r="G75" s="114" t="s">
        <v>662</v>
      </c>
      <c r="H75" s="115" t="s">
        <v>1208</v>
      </c>
    </row>
    <row r="76" spans="1:8">
      <c r="A76" s="114" t="s">
        <v>1156</v>
      </c>
      <c r="B76" s="115" t="s">
        <v>84</v>
      </c>
      <c r="C76" s="114" t="s">
        <v>302</v>
      </c>
      <c r="D76" s="114">
        <v>0</v>
      </c>
      <c r="E76" s="114">
        <f t="shared" ca="1" si="5"/>
        <v>5</v>
      </c>
      <c r="F76" s="114">
        <f t="shared" ca="1" si="6"/>
        <v>0</v>
      </c>
      <c r="G76" s="114" t="s">
        <v>662</v>
      </c>
      <c r="H76" s="115" t="s">
        <v>1209</v>
      </c>
    </row>
    <row r="77" spans="1:8">
      <c r="A77" s="114" t="s">
        <v>1156</v>
      </c>
      <c r="B77" s="115" t="s">
        <v>491</v>
      </c>
      <c r="C77" s="114" t="s">
        <v>311</v>
      </c>
      <c r="D77" s="114">
        <v>0</v>
      </c>
      <c r="E77" s="114">
        <f t="shared" ca="1" si="5"/>
        <v>6</v>
      </c>
      <c r="F77" s="114">
        <f t="shared" ca="1" si="6"/>
        <v>0</v>
      </c>
      <c r="G77" s="114" t="s">
        <v>662</v>
      </c>
      <c r="H77" s="115" t="s">
        <v>1210</v>
      </c>
    </row>
    <row r="78" spans="1:8" ht="25.5">
      <c r="A78" s="114" t="s">
        <v>1167</v>
      </c>
      <c r="B78" s="115" t="s">
        <v>1050</v>
      </c>
      <c r="C78" s="114" t="s">
        <v>915</v>
      </c>
      <c r="D78" s="114">
        <v>0</v>
      </c>
      <c r="E78" s="114">
        <f t="shared" ca="1" si="5"/>
        <v>3</v>
      </c>
      <c r="F78" s="114">
        <f t="shared" ca="1" si="6"/>
        <v>0</v>
      </c>
      <c r="G78" s="114" t="s">
        <v>662</v>
      </c>
      <c r="H78" s="115" t="s">
        <v>1211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1212</v>
      </c>
    </row>
    <row r="2" spans="1:9">
      <c r="A2" s="119" t="s">
        <v>1213</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1214</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1215</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1566</v>
      </c>
      <c r="H7" s="124" t="s">
        <v>1216</v>
      </c>
      <c r="I7" s="125">
        <f ca="1">SUM(D7:D10)</f>
        <v>54.5</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1567</v>
      </c>
      <c r="H8" s="124" t="s">
        <v>1217</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1340</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1568</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1514</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1491</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1431</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1434</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1523</v>
      </c>
      <c r="H15" s="124" t="s">
        <v>1218</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1479</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1477</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1463</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1219</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1441</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1505</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1442</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1542</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1464</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1220</v>
      </c>
    </row>
    <row r="26" spans="1:6">
      <c r="A26" s="107" t="s">
        <v>762</v>
      </c>
      <c r="B26" s="116">
        <f>SUM(B5:B25)</f>
        <v>223</v>
      </c>
      <c r="D26" s="116">
        <f ca="1">SUM(D5:D25)</f>
        <v>293.5</v>
      </c>
    </row>
    <row r="28" spans="1:6">
      <c r="A28" s="107" t="s">
        <v>763</v>
      </c>
    </row>
    <row r="29" spans="1:6">
      <c r="A29" s="123" t="s">
        <v>1221</v>
      </c>
    </row>
    <row r="30" spans="1:6">
      <c r="A30" s="123" t="s">
        <v>1222</v>
      </c>
    </row>
    <row r="31" spans="1:6">
      <c r="A31" s="123" t="s">
        <v>1223</v>
      </c>
    </row>
    <row r="32" spans="1:6">
      <c r="A32" s="123" t="s">
        <v>1224</v>
      </c>
    </row>
    <row r="34" spans="1:1">
      <c r="A34" s="107" t="s">
        <v>1225</v>
      </c>
    </row>
    <row r="35" spans="1:1">
      <c r="A35" s="123" t="s">
        <v>1226</v>
      </c>
    </row>
    <row r="36" spans="1:1">
      <c r="A36" s="123" t="s">
        <v>1227</v>
      </c>
    </row>
    <row r="37" spans="1:1">
      <c r="A37" s="123" t="s">
        <v>1228</v>
      </c>
    </row>
    <row r="38" spans="1:1">
      <c r="A38" s="123" t="s">
        <v>1229</v>
      </c>
    </row>
    <row r="39" spans="1:1">
      <c r="A39" s="123" t="s">
        <v>1230</v>
      </c>
    </row>
    <row r="40" spans="1:1">
      <c r="A40" s="123" t="s">
        <v>1231</v>
      </c>
    </row>
    <row r="41" spans="1:1">
      <c r="A41" s="123" t="s">
        <v>1232</v>
      </c>
    </row>
    <row r="42" spans="1:1">
      <c r="A42" s="123" t="s">
        <v>1233</v>
      </c>
    </row>
    <row r="43" spans="1:1">
      <c r="A43" s="123" t="s">
        <v>1234</v>
      </c>
    </row>
    <row r="44" spans="1:1">
      <c r="A44" s="123" t="s">
        <v>1353</v>
      </c>
    </row>
    <row r="46" spans="1:1">
      <c r="A46" s="107" t="s">
        <v>1235</v>
      </c>
    </row>
    <row r="47" spans="1:1">
      <c r="A47" s="123" t="s">
        <v>1236</v>
      </c>
    </row>
    <row r="48" spans="1:1">
      <c r="A48" s="123" t="s">
        <v>1237</v>
      </c>
    </row>
    <row r="49" spans="1:1">
      <c r="A49" s="123" t="s">
        <v>1238</v>
      </c>
    </row>
    <row r="50" spans="1:1">
      <c r="A50" s="123" t="s">
        <v>1239</v>
      </c>
    </row>
    <row r="52" spans="1:1">
      <c r="A52" s="107" t="s">
        <v>1240</v>
      </c>
    </row>
    <row r="53" spans="1:1">
      <c r="A53" s="123" t="s">
        <v>1241</v>
      </c>
    </row>
    <row r="54" spans="1:1">
      <c r="A54" s="123" t="s">
        <v>1506</v>
      </c>
    </row>
    <row r="55" spans="1:1">
      <c r="A55" s="123" t="s">
        <v>1242</v>
      </c>
    </row>
    <row r="56" spans="1:1">
      <c r="A56" s="123" t="s">
        <v>1243</v>
      </c>
    </row>
    <row r="57" spans="1:1">
      <c r="A57" s="123" t="s">
        <v>1244</v>
      </c>
    </row>
    <row r="58" spans="1:1">
      <c r="A58" s="123" t="s">
        <v>1245</v>
      </c>
    </row>
    <row r="59" spans="1:1">
      <c r="A59" s="123" t="s">
        <v>1321</v>
      </c>
    </row>
    <row r="60" spans="1:1">
      <c r="A60" s="123" t="s">
        <v>1246</v>
      </c>
    </row>
    <row r="61" spans="1:1">
      <c r="A61" s="123" t="s">
        <v>1435</v>
      </c>
    </row>
    <row r="62" spans="1:1">
      <c r="A62" s="123" t="s">
        <v>1500</v>
      </c>
    </row>
    <row r="64" spans="1:1">
      <c r="A64" s="107" t="s">
        <v>1247</v>
      </c>
    </row>
    <row r="65" spans="1:1">
      <c r="A65" s="123" t="s">
        <v>1248</v>
      </c>
    </row>
    <row r="66" spans="1:1">
      <c r="A66" s="123" t="s">
        <v>1249</v>
      </c>
    </row>
    <row r="67" spans="1:1">
      <c r="A67" s="123" t="s">
        <v>1250</v>
      </c>
    </row>
    <row r="68" spans="1:1">
      <c r="A68" s="123" t="s">
        <v>1251</v>
      </c>
    </row>
    <row r="69" spans="1:1">
      <c r="A69" s="123" t="s">
        <v>1252</v>
      </c>
    </row>
    <row r="70" spans="1:1">
      <c r="A70" s="123" t="s">
        <v>1465</v>
      </c>
    </row>
    <row r="71" spans="1:1">
      <c r="A71" s="123" t="s">
        <v>1253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2026-10-11T10:31:43Z</dcterms:modified>
  <dc:language>en-US</dc:language>
</cp:coreProperties>
</file>