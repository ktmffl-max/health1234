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58" documentId="13_ncr:1_{9AF4581A-2CFF-4DDE-9A83-DA592B8C9F61}" xr6:coauthVersionLast="47" xr6:coauthVersionMax="47" xr10:uidLastSave="{B0B58166-7E64-4AD7-95A9-E8FF2EFE7879}"/>
  <bookViews>
    <workbookView xWindow="-120" yWindow="-120" windowWidth="38640" windowHeight="21120" tabRatio="500" activeTab="8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화_상체밀기" sheetId="15" r:id="rId15"/>
    <sheet name="복귀_토_하체" sheetId="16" r:id="rId16"/>
    <sheet name="복귀_일_등" sheetId="17" r:id="rId17"/>
    <sheet name="복귀_증량원칙" sheetId="18" r:id="rId1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7" l="1"/>
  <c r="E12" i="14" s="1"/>
  <c r="E12" i="16"/>
  <c r="E11" i="14" s="1"/>
  <c r="E11" i="15"/>
  <c r="E7" i="14"/>
  <c r="E13" i="14" s="1"/>
  <c r="G11" i="12"/>
  <c r="G12" i="12" s="1"/>
  <c r="E11" i="12"/>
  <c r="E12" i="12" s="1"/>
  <c r="I10" i="12"/>
  <c r="I11" i="12" s="1"/>
  <c r="G10" i="12"/>
  <c r="E10" i="12"/>
  <c r="C10" i="12"/>
  <c r="C11" i="12" s="1"/>
  <c r="B24" i="11"/>
  <c r="C23" i="11"/>
  <c r="B23" i="11"/>
  <c r="D23" i="11" s="1"/>
  <c r="E23" i="11" s="1"/>
  <c r="B22" i="11"/>
  <c r="B21" i="11"/>
  <c r="B20" i="11"/>
  <c r="C19" i="11"/>
  <c r="B19" i="11"/>
  <c r="D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23" i="9"/>
  <c r="J22" i="9"/>
  <c r="J21" i="9"/>
  <c r="J19" i="9"/>
  <c r="J18" i="9"/>
  <c r="J17" i="9"/>
  <c r="J16" i="9"/>
  <c r="J15" i="9"/>
  <c r="E29" i="8"/>
  <c r="E9" i="3" s="1"/>
  <c r="J28" i="8"/>
  <c r="J27" i="8"/>
  <c r="J26" i="8"/>
  <c r="J25" i="8"/>
  <c r="J23" i="8"/>
  <c r="J22" i="8"/>
  <c r="J21" i="8"/>
  <c r="J20" i="8"/>
  <c r="E23" i="6"/>
  <c r="J22" i="6"/>
  <c r="J21" i="6"/>
  <c r="J20" i="6"/>
  <c r="J19" i="6"/>
  <c r="J18" i="6"/>
  <c r="J16" i="6"/>
  <c r="J15" i="6"/>
  <c r="E26" i="5"/>
  <c r="J25" i="5"/>
  <c r="J23" i="5"/>
  <c r="J22" i="5"/>
  <c r="J21" i="5"/>
  <c r="J20" i="5"/>
  <c r="A8" i="5"/>
  <c r="E15" i="4"/>
  <c r="J14" i="4"/>
  <c r="J13" i="4"/>
  <c r="J12" i="4"/>
  <c r="J11" i="4"/>
  <c r="J10" i="4"/>
  <c r="J8" i="4"/>
  <c r="J7" i="4"/>
  <c r="J6" i="4"/>
  <c r="E10" i="3"/>
  <c r="E8" i="3"/>
  <c r="E7" i="3"/>
  <c r="E6" i="3"/>
  <c r="E5" i="3"/>
  <c r="E12" i="3" s="1"/>
  <c r="C4" i="2"/>
  <c r="J20" i="9" s="1"/>
  <c r="D41" i="1"/>
  <c r="C41" i="1"/>
  <c r="E40" i="1"/>
  <c r="D40" i="1"/>
  <c r="C40" i="1"/>
  <c r="B40" i="1"/>
  <c r="C10" i="1"/>
  <c r="E9" i="1"/>
  <c r="A7" i="5" s="1"/>
  <c r="C9" i="1"/>
  <c r="E8" i="1"/>
  <c r="D5" i="17" s="1"/>
  <c r="C8" i="1"/>
  <c r="C7" i="1"/>
  <c r="E14" i="7"/>
  <c r="J13" i="7"/>
  <c r="J12" i="7"/>
  <c r="J11" i="7"/>
  <c r="J10" i="7"/>
  <c r="J9" i="7"/>
  <c r="J8" i="7"/>
  <c r="J7" i="7"/>
  <c r="E41" i="10"/>
  <c r="E10" i="10"/>
  <c r="E38" i="10"/>
  <c r="E20" i="10"/>
  <c r="E35" i="10"/>
  <c r="E51" i="10"/>
  <c r="E32" i="10"/>
  <c r="E23" i="10"/>
  <c r="E33" i="10"/>
  <c r="E29" i="10"/>
  <c r="E45" i="10"/>
  <c r="E26" i="10"/>
  <c r="E48" i="10"/>
  <c r="E42" i="10"/>
  <c r="E36" i="10"/>
  <c r="E11" i="10"/>
  <c r="E27" i="10"/>
  <c r="E8" i="10"/>
  <c r="E34" i="10"/>
  <c r="E28" i="10"/>
  <c r="E30" i="10"/>
  <c r="E52" i="10"/>
  <c r="E21" i="10"/>
  <c r="E49" i="10"/>
  <c r="E12" i="10"/>
  <c r="E50" i="10"/>
  <c r="E14" i="10"/>
  <c r="E24" i="10"/>
  <c r="E46" i="10"/>
  <c r="E15" i="10"/>
  <c r="E43" i="10"/>
  <c r="E22" i="10"/>
  <c r="E25" i="10"/>
  <c r="E18" i="10"/>
  <c r="E40" i="10"/>
  <c r="E9" i="10"/>
  <c r="E37" i="10"/>
  <c r="E31" i="10"/>
  <c r="E53" i="10"/>
  <c r="E47" i="10"/>
  <c r="E16" i="10"/>
  <c r="E44" i="10"/>
  <c r="E19" i="10"/>
  <c r="E13" i="10"/>
  <c r="E7" i="10"/>
  <c r="E39" i="10"/>
  <c r="E17" i="10"/>
  <c r="J23" i="9" l="1"/>
  <c r="B25" i="11"/>
  <c r="F7" i="10"/>
  <c r="F13" i="10"/>
  <c r="F19" i="10"/>
  <c r="F25" i="10"/>
  <c r="F31" i="10"/>
  <c r="F37" i="10"/>
  <c r="F43" i="10"/>
  <c r="F49" i="10"/>
  <c r="C9" i="11" s="1"/>
  <c r="D9" i="11" s="1"/>
  <c r="E9" i="11" s="1"/>
  <c r="F8" i="10"/>
  <c r="F14" i="10"/>
  <c r="F20" i="10"/>
  <c r="F26" i="10"/>
  <c r="F32" i="10"/>
  <c r="F38" i="10"/>
  <c r="C15" i="11" s="1"/>
  <c r="D15" i="11" s="1"/>
  <c r="F44" i="10"/>
  <c r="C5" i="11" s="1"/>
  <c r="D5" i="11" s="1"/>
  <c r="F50" i="10"/>
  <c r="F22" i="10"/>
  <c r="F9" i="10"/>
  <c r="F15" i="10"/>
  <c r="F21" i="10"/>
  <c r="C13" i="11" s="1"/>
  <c r="D13" i="11" s="1"/>
  <c r="E13" i="11" s="1"/>
  <c r="F27" i="10"/>
  <c r="F33" i="10"/>
  <c r="F39" i="10"/>
  <c r="C18" i="11" s="1"/>
  <c r="D18" i="11" s="1"/>
  <c r="E18" i="11" s="1"/>
  <c r="F45" i="10"/>
  <c r="C6" i="11" s="1"/>
  <c r="D6" i="11" s="1"/>
  <c r="E6" i="11" s="1"/>
  <c r="F51" i="10"/>
  <c r="F10" i="10"/>
  <c r="F16" i="10"/>
  <c r="F28" i="10"/>
  <c r="F34" i="10"/>
  <c r="F40" i="10"/>
  <c r="C7" i="11" s="1"/>
  <c r="D7" i="11" s="1"/>
  <c r="F46" i="10"/>
  <c r="F52" i="10"/>
  <c r="F11" i="10"/>
  <c r="C21" i="11" s="1"/>
  <c r="D21" i="11" s="1"/>
  <c r="E21" i="11" s="1"/>
  <c r="F17" i="10"/>
  <c r="F23" i="10"/>
  <c r="F29" i="10"/>
  <c r="F35" i="10"/>
  <c r="F41" i="10"/>
  <c r="F47" i="10"/>
  <c r="F53" i="10"/>
  <c r="F12" i="10"/>
  <c r="F18" i="10"/>
  <c r="F24" i="10"/>
  <c r="F30" i="10"/>
  <c r="F36" i="10"/>
  <c r="F42" i="10"/>
  <c r="F48" i="10"/>
  <c r="E41" i="1"/>
  <c r="I12" i="12"/>
  <c r="E10" i="1"/>
  <c r="C42" i="1"/>
  <c r="E13" i="12"/>
  <c r="G13" i="12"/>
  <c r="D42" i="1"/>
  <c r="C12" i="12"/>
  <c r="E7" i="1"/>
  <c r="B41" i="1"/>
  <c r="A9" i="5"/>
  <c r="A10" i="9"/>
  <c r="J9" i="4"/>
  <c r="J15" i="4" s="1"/>
  <c r="A10" i="5"/>
  <c r="J24" i="8"/>
  <c r="J29" i="8" s="1"/>
  <c r="D15" i="9"/>
  <c r="A9" i="9"/>
  <c r="D20" i="5"/>
  <c r="D5" i="15"/>
  <c r="J6" i="7"/>
  <c r="J14" i="7" s="1"/>
  <c r="J24" i="5"/>
  <c r="J26" i="5" s="1"/>
  <c r="J17" i="6"/>
  <c r="J23" i="6" s="1"/>
  <c r="A6" i="5"/>
  <c r="A7" i="9"/>
  <c r="A6" i="9"/>
  <c r="A8" i="9"/>
  <c r="C17" i="11" l="1"/>
  <c r="D17" i="11" s="1"/>
  <c r="H17" i="11" s="1"/>
  <c r="C24" i="11"/>
  <c r="D24" i="11" s="1"/>
  <c r="E24" i="11" s="1"/>
  <c r="C16" i="11"/>
  <c r="D16" i="11" s="1"/>
  <c r="E16" i="11" s="1"/>
  <c r="H5" i="11"/>
  <c r="E5" i="11"/>
  <c r="E15" i="11"/>
  <c r="C8" i="11"/>
  <c r="D8" i="11" s="1"/>
  <c r="E8" i="11" s="1"/>
  <c r="C22" i="11"/>
  <c r="D22" i="11" s="1"/>
  <c r="E22" i="11" s="1"/>
  <c r="C5" i="2"/>
  <c r="D5" i="16"/>
  <c r="D15" i="6"/>
  <c r="A10" i="6"/>
  <c r="A6" i="6"/>
  <c r="A9" i="6"/>
  <c r="A8" i="6"/>
  <c r="A7" i="6"/>
  <c r="G14" i="12"/>
  <c r="D43" i="1"/>
  <c r="C14" i="11"/>
  <c r="D14" i="11" s="1"/>
  <c r="E14" i="11" s="1"/>
  <c r="C10" i="11"/>
  <c r="D10" i="11" s="1"/>
  <c r="E10" i="11" s="1"/>
  <c r="B42" i="1"/>
  <c r="C13" i="12"/>
  <c r="E14" i="12"/>
  <c r="C43" i="1"/>
  <c r="D20" i="8"/>
  <c r="D11" i="16"/>
  <c r="A10" i="8"/>
  <c r="A9" i="8"/>
  <c r="A7" i="8"/>
  <c r="A8" i="8"/>
  <c r="A6" i="8"/>
  <c r="C12" i="11"/>
  <c r="D12" i="11" s="1"/>
  <c r="E12" i="11" s="1"/>
  <c r="I13" i="12"/>
  <c r="E42" i="1"/>
  <c r="E7" i="11"/>
  <c r="C11" i="11"/>
  <c r="D11" i="11" s="1"/>
  <c r="E11" i="11" s="1"/>
  <c r="F54" i="10"/>
  <c r="C20" i="11"/>
  <c r="D20" i="11" s="1"/>
  <c r="E20" i="11" s="1"/>
  <c r="E17" i="11" l="1"/>
  <c r="H15" i="11"/>
  <c r="C14" i="12"/>
  <c r="B43" i="1"/>
  <c r="G15" i="12"/>
  <c r="D44" i="1"/>
  <c r="E15" i="12"/>
  <c r="C44" i="1"/>
  <c r="I14" i="12"/>
  <c r="E43" i="1"/>
  <c r="H7" i="11"/>
  <c r="D25" i="11"/>
  <c r="E25" i="11" s="1"/>
  <c r="C45" i="1" l="1"/>
  <c r="E16" i="12"/>
  <c r="E44" i="1"/>
  <c r="I15" i="12"/>
  <c r="G16" i="12"/>
  <c r="D45" i="1"/>
  <c r="C15" i="12"/>
  <c r="B44" i="1"/>
  <c r="G17" i="12" l="1"/>
  <c r="D46" i="1"/>
  <c r="E17" i="12"/>
  <c r="C46" i="1"/>
  <c r="B45" i="1"/>
  <c r="C16" i="12"/>
  <c r="I16" i="12"/>
  <c r="E45" i="1"/>
  <c r="I17" i="12" l="1"/>
  <c r="E46" i="1"/>
  <c r="E18" i="12"/>
  <c r="C47" i="1"/>
  <c r="C17" i="12"/>
  <c r="B46" i="1"/>
  <c r="G18" i="12"/>
  <c r="D47" i="1"/>
  <c r="G19" i="12" l="1"/>
  <c r="D48" i="1"/>
  <c r="C18" i="12"/>
  <c r="B47" i="1"/>
  <c r="C48" i="1"/>
  <c r="E19" i="12"/>
  <c r="E47" i="1"/>
  <c r="I18" i="12"/>
  <c r="E20" i="12" l="1"/>
  <c r="C49" i="1"/>
  <c r="I19" i="12"/>
  <c r="E48" i="1"/>
  <c r="B48" i="1"/>
  <c r="C19" i="12"/>
  <c r="G20" i="12"/>
  <c r="D49" i="1"/>
  <c r="G21" i="12" l="1"/>
  <c r="D51" i="1" s="1"/>
  <c r="D50" i="1"/>
  <c r="C20" i="12"/>
  <c r="B49" i="1"/>
  <c r="I20" i="12"/>
  <c r="E49" i="1"/>
  <c r="E21" i="12"/>
  <c r="C51" i="1" s="1"/>
  <c r="C50" i="1"/>
  <c r="E50" i="1" l="1"/>
  <c r="I21" i="12"/>
  <c r="E51" i="1" s="1"/>
  <c r="C21" i="12"/>
  <c r="B51" i="1" s="1"/>
  <c r="B50" i="1"/>
</calcChain>
</file>

<file path=xl/sharedStrings.xml><?xml version="1.0" encoding="utf-8"?>
<sst xmlns="http://schemas.openxmlformats.org/spreadsheetml/2006/main" count="1268" uniqueCount="715">
  <si>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</si>
  <si>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</si>
  <si>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</si>
  <si>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</si>
  <si>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</si>
  <si>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</si>
  <si>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</si>
  <si>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</si>
  <si>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</si>
  <si>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</si>
  <si>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</si>
  <si>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</si>
  <si>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</si>
  <si>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</si>
  <si>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</si>
  <si>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</si>
  <si>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</si>
  <si>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</si>
  <si>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</si>
  <si>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</si>
  <si>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</si>
  <si>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</si>
  <si>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</si>
  <si>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</si>
  <si>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</si>
  <si>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</si>
  <si>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</si>
  <si>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</si>
  <si>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</si>
  <si>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</si>
  <si>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</si>
  <si>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</si>
  <si>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</si>
  <si>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</si>
  <si>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</si>
  <si>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</si>
  <si>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</si>
  <si>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</si>
  <si>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</si>
  <si>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</si>
  <si>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</si>
  <si>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</si>
  <si>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</si>
  <si>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</si>
  <si>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</si>
  <si>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</si>
  <si>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</si>
  <si>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</si>
  <si>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</si>
  <si>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</si>
  <si>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</si>
  <si>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</si>
  <si>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</si>
  <si>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볼륨 램프 — 종목 복귀 방식</t>
  </si>
  <si>
    <t>계수(비율) 방식에서 종목 복귀 방식으로 전환 (2026-08-10). 계수 방식은 J열의 ROUND 때문에 실현 가능한 총량이 93/111/113/115/116/139/158/159로 띄엄띄엄해 중간 계단을 만들 수 없었다.</t>
  </si>
  <si>
    <r>
      <rPr>
        <sz val="11"/>
        <rFont val="Arial"/>
        <family val="2"/>
        <charset val="1"/>
      </rPr>
      <t>←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 C4</t>
    </r>
    <r>
      <rPr>
        <sz val="11"/>
        <rFont val="Noto Sans CJK SC"/>
        <family val="2"/>
      </rPr>
      <t>와 자동 연동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여기서 고치지 말 것</t>
    </r>
  </si>
  <si>
    <t>이번 주 총 세트</t>
  </si>
  <si>
    <t>← 각 요일 시트 J열의 합. J = IF(현재 주차 &gt;= 복귀 주차, 설계 세트, 0)</t>
  </si>
  <si>
    <t>총 세트</t>
  </si>
  <si>
    <t>증가폭</t>
  </si>
  <si>
    <t>이 주차에 복귀하는 종목</t>
  </si>
  <si>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</t>
    </r>
  </si>
  <si>
    <t>—</t>
  </si>
  <si>
    <t>계수 0.7 방식으로 수행됨 (전 종목 축소)</t>
  </si>
  <si>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현재</t>
    </r>
    <r>
      <rPr>
        <sz val="11"/>
        <rFont val="Arial"/>
        <family val="2"/>
        <charset val="1"/>
      </rPr>
      <t>)</t>
    </r>
  </si>
  <si>
    <t>+3%</t>
  </si>
  <si>
    <t>메인 리프트 · 프레싱 · 등 · 하체 주종목 · 페이스풀 · 복부 2종. 팔 전용 · 전완 · 종아리(토) · 내전근 · 중둔근은 대기</t>
  </si>
  <si>
    <t>3주</t>
  </si>
  <si>
    <t>+19%</t>
  </si>
  <si>
    <t>전완 2종(월·목) · 바벨 컬 · 프리쳐 컬 · 라잉 트라이셉스 익스텐션 · 시티드 카프 레이즈</t>
  </si>
  <si>
    <t>4주~</t>
  </si>
  <si>
    <t>+15%</t>
  </si>
  <si>
    <t>인클라인 덤벨 컬 · 케이블 푸쉬다운 · 이너 타이 · 케이블 힙 외전 · 프론 Y · 플랭크 · 트렁크 로테이션 — 설계 볼륨 100%</t>
  </si>
  <si>
    <t>설계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</si>
  <si>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방식은 모든 종목을 동시에 줄인다</t>
    </r>
    <r>
      <rPr>
        <sz val="11"/>
        <rFont val="Arial"/>
        <family val="2"/>
        <charset val="1"/>
      </rPr>
      <t>. 12</t>
    </r>
    <r>
      <rPr>
        <sz val="11"/>
        <rFont val="Noto Sans CJK SC"/>
        <family val="2"/>
      </rPr>
      <t>종목을 전부 어설픈 세트수로 하게 되어 폼 학습에도 불리했다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</si>
  <si>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종목 방식은 하는 종목은 설계 세트를 온전히 하고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안 하는 종목은 아예 뺀다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년 공백 구간에서는 이쪽이 낫다 — </t>
    </r>
    <r>
      <rPr>
        <sz val="11"/>
        <rFont val="Arial"/>
        <family val="2"/>
        <charset val="1"/>
      </rPr>
      <t>6</t>
    </r>
    <r>
      <rPr>
        <sz val="11"/>
        <rFont val="Noto Sans CJK SC"/>
        <family val="2"/>
      </rPr>
      <t>종목을 제대로 배우는 쪽이 남는다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</si>
  <si>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감축 순서는 </t>
    </r>
    <r>
      <rPr>
        <sz val="11"/>
        <rFont val="Arial"/>
        <family val="2"/>
        <charset val="1"/>
      </rPr>
      <t>9</t>
    </r>
    <r>
      <rPr>
        <sz val="11"/>
        <rFont val="Noto Sans CJK SC"/>
        <family val="2"/>
      </rPr>
      <t>월이후조정 시트와 동일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팔 전용 → 전완 → 등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하체 보조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메인 리프트와 프레싱은 어떤 주차에도 빠지지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</si>
  <si>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각 요일 시트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 xml:space="preserve">열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복귀 주차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 xml:space="preserve">에 </t>
    </r>
    <r>
      <rPr>
        <sz val="11"/>
        <rFont val="Arial"/>
        <family val="2"/>
        <charset val="1"/>
      </rPr>
      <t>2 / 3 / 4</t>
    </r>
    <r>
      <rPr>
        <sz val="11"/>
        <rFont val="Noto Sans CJK SC"/>
        <family val="2"/>
      </rPr>
      <t>를 입력한다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파란 글씨 </t>
    </r>
    <r>
      <rPr>
        <sz val="11"/>
        <rFont val="Arial"/>
        <family val="2"/>
        <charset val="1"/>
      </rPr>
      <t xml:space="preserve">= </t>
    </r>
    <r>
      <rPr>
        <sz val="11"/>
        <rFont val="Noto Sans CJK SC"/>
        <family val="2"/>
      </rPr>
      <t>직접 입력하는 값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</si>
  <si>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 xml:space="preserve">설정 </t>
    </r>
    <r>
      <rPr>
        <sz val="11"/>
        <rFont val="Arial"/>
        <family val="2"/>
        <charset val="1"/>
      </rPr>
      <t>C4</t>
    </r>
    <r>
      <rPr>
        <sz val="11"/>
        <rFont val="Noto Sans CJK SC"/>
        <family val="2"/>
      </rPr>
      <t xml:space="preserve">의 현재 주차가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값 이상이면 그 종목이 이번 주에 포함되고</t>
    </r>
    <r>
      <rPr>
        <sz val="11"/>
        <rFont val="Arial"/>
        <family val="2"/>
        <charset val="1"/>
      </rPr>
      <t>, J</t>
    </r>
    <r>
      <rPr>
        <sz val="11"/>
        <rFont val="Noto Sans CJK SC"/>
        <family val="2"/>
      </rPr>
      <t>열에 설계 세트가 그대로 뜬다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미만이면 </t>
    </r>
    <r>
      <rPr>
        <sz val="11"/>
        <rFont val="Arial"/>
        <family val="2"/>
        <charset val="1"/>
      </rPr>
      <t xml:space="preserve">0 — </t>
    </r>
    <r>
      <rPr>
        <sz val="11"/>
        <rFont val="Noto Sans CJK SC"/>
        <family val="2"/>
      </rPr>
      <t>이번 주는 건너뛴다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</si>
  <si>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세트수를 조절하고 싶으면 계수가 아니라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숫자를 옮긴다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종목 단위</t>
    </r>
    <r>
      <rPr>
        <sz val="11"/>
        <rFont val="Arial"/>
        <family val="2"/>
        <charset val="1"/>
      </rPr>
      <t>(2~4</t>
    </r>
    <r>
      <rPr>
        <sz val="11"/>
        <rFont val="Noto Sans CJK SC"/>
        <family val="2"/>
      </rPr>
      <t>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로 정밀하게 움직인다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</si>
  <si>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E</t>
    </r>
    <r>
      <rPr>
        <sz val="11"/>
        <rFont val="Noto Sans CJK SC"/>
        <family val="2"/>
      </rPr>
      <t>열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설계 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은 건드리지 않는다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검산 시트는 </t>
    </r>
    <r>
      <rPr>
        <sz val="11"/>
        <rFont val="Arial"/>
        <family val="2"/>
        <charset val="1"/>
      </rPr>
      <t>E</t>
    </r>
    <r>
      <rPr>
        <sz val="11"/>
        <rFont val="Noto Sans CJK SC"/>
        <family val="2"/>
      </rPr>
      <t>열 기준이므로 목표 볼륨을 그대로 보여준다</t>
    </r>
    <r>
      <rPr>
        <sz val="11"/>
        <rFont val="Arial"/>
        <family val="2"/>
        <charset val="1"/>
      </rPr>
      <t>.</t>
    </r>
  </si>
  <si>
    <t>계수를 내려야 하는 신호</t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</si>
  <si>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>주차에 접어들었는데 이전 세션의 근육통이 안 빠질 때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</si>
  <si>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메인 리프트에서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>가 연속으로 뜰 때 — 중량이 아니라 볼륨이 원인일 수 있다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</si>
  <si>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이때는 해당 종목의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열을 한 주 뒤로 민다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예</t>
    </r>
    <r>
      <rPr>
        <sz val="11"/>
        <rFont val="Arial"/>
        <family val="2"/>
        <charset val="1"/>
      </rPr>
      <t xml:space="preserve">: 2 → 3. </t>
    </r>
    <r>
      <rPr>
        <sz val="11"/>
        <rFont val="Noto Sans CJK SC"/>
        <family val="2"/>
      </rPr>
      <t>또는 통증 부위 종목만 선택적으로 미룬다 — 계수 방식에는 없던 이점이다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</si>
  <si>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2</t>
    </r>
    <r>
      <rPr>
        <sz val="11"/>
        <rFont val="Noto Sans CJK SC"/>
        <family val="2"/>
      </rPr>
      <t xml:space="preserve">주차에 직접 세트가 </t>
    </r>
    <r>
      <rPr>
        <sz val="11"/>
        <rFont val="Arial"/>
        <family val="2"/>
        <charset val="1"/>
      </rPr>
      <t>0</t>
    </r>
    <r>
      <rPr>
        <sz val="11"/>
        <rFont val="Noto Sans CJK SC"/>
        <family val="2"/>
      </rPr>
      <t>이 되는 부위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이두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삼두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전완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내전근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중둔근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전부 간접 자극이 있거나 유지 목적 부위이며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주간의 공백은 문제가 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</si>
  <si>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종아리는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수요일 스탠딩 카프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세트만 남는다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 xml:space="preserve">유지 하한 </t>
    </r>
    <r>
      <rPr>
        <sz val="11"/>
        <rFont val="Arial"/>
        <family val="2"/>
        <charset val="1"/>
      </rPr>
      <t xml:space="preserve">8 </t>
    </r>
    <r>
      <rPr>
        <sz val="11"/>
        <rFont val="Noto Sans CJK SC"/>
        <family val="2"/>
      </rPr>
      <t>미달</t>
    </r>
    <r>
      <rPr>
        <sz val="11"/>
        <rFont val="Arial"/>
        <family val="2"/>
        <charset val="1"/>
      </rPr>
      <t>). 3</t>
    </r>
    <r>
      <rPr>
        <sz val="11"/>
        <rFont val="Noto Sans CJK SC"/>
        <family val="2"/>
      </rPr>
      <t xml:space="preserve">주차에 시티드 카프가 복귀하면서 </t>
    </r>
    <r>
      <rPr>
        <sz val="11"/>
        <rFont val="Arial"/>
        <family val="2"/>
        <charset val="1"/>
      </rPr>
      <t>8</t>
    </r>
    <r>
      <rPr>
        <sz val="11"/>
        <rFont val="Noto Sans CJK SC"/>
        <family val="2"/>
      </rPr>
      <t>로 회복된다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</si>
  <si>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복부는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월 </t>
    </r>
    <r>
      <rPr>
        <sz val="11"/>
        <rFont val="Arial"/>
        <family val="2"/>
        <charset val="1"/>
      </rPr>
      <t xml:space="preserve">3 + </t>
    </r>
    <r>
      <rPr>
        <sz val="11"/>
        <rFont val="Noto Sans CJK SC"/>
        <family val="2"/>
      </rPr>
      <t xml:space="preserve">목 </t>
    </r>
    <r>
      <rPr>
        <sz val="11"/>
        <rFont val="Arial"/>
        <family val="2"/>
        <charset val="1"/>
      </rPr>
      <t>3 = 6</t>
    </r>
    <r>
      <rPr>
        <sz val="11"/>
        <rFont val="Noto Sans CJK SC"/>
        <family val="2"/>
      </rPr>
      <t>세트로 유지된다</t>
    </r>
    <r>
      <rPr>
        <sz val="11"/>
        <rFont val="Arial"/>
        <family val="2"/>
        <charset val="1"/>
      </rPr>
      <t>.</t>
    </r>
  </si>
  <si>
    <t>현재 상태 (2026-08-10) — 종목 복귀 방식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</si>
  <si>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진행</t>
    </r>
    <r>
      <rPr>
        <sz val="11"/>
        <rFont val="Arial"/>
        <family val="2"/>
        <charset val="1"/>
      </rPr>
      <t>: 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113(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 → 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116 → 3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138 → 4</t>
    </r>
    <r>
      <rPr>
        <sz val="11"/>
        <rFont val="Noto Sans CJK SC"/>
        <family val="2"/>
      </rPr>
      <t>주</t>
    </r>
    <r>
      <rPr>
        <sz val="11"/>
        <rFont val="Arial"/>
        <family val="2"/>
        <charset val="1"/>
      </rPr>
      <t xml:space="preserve">~ 159. </t>
    </r>
    <r>
      <rPr>
        <sz val="11"/>
        <rFont val="Noto Sans CJK SC"/>
        <family val="2"/>
      </rPr>
      <t xml:space="preserve">주당 증가폭 </t>
    </r>
    <r>
      <rPr>
        <sz val="11"/>
        <rFont val="Arial"/>
        <family val="2"/>
        <charset val="1"/>
      </rPr>
      <t>+3% / +19% / +15%.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</si>
  <si>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방식으로는 이 계단을 만들 수 없었다</t>
    </r>
    <r>
      <rPr>
        <sz val="11"/>
        <rFont val="Arial"/>
        <family val="2"/>
        <charset val="1"/>
      </rPr>
      <t>. 0.75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0.8</t>
    </r>
    <r>
      <rPr>
        <sz val="11"/>
        <rFont val="Noto Sans CJK SC"/>
        <family val="2"/>
      </rPr>
      <t xml:space="preserve">이 </t>
    </r>
    <r>
      <rPr>
        <sz val="11"/>
        <rFont val="Arial"/>
        <family val="2"/>
        <charset val="1"/>
      </rPr>
      <t>115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116</t>
    </r>
    <r>
      <rPr>
        <sz val="11"/>
        <rFont val="Noto Sans CJK SC"/>
        <family val="2"/>
      </rPr>
      <t xml:space="preserve">으로 붙어버리고 그 위는 곧바로 </t>
    </r>
    <r>
      <rPr>
        <sz val="11"/>
        <rFont val="Arial"/>
        <family val="2"/>
        <charset val="1"/>
      </rPr>
      <t>139</t>
    </r>
    <r>
      <rPr>
        <sz val="11"/>
        <rFont val="Noto Sans CJK SC"/>
        <family val="2"/>
      </rPr>
      <t>였다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</si>
  <si>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 xml:space="preserve">주차 상향 판단은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주차 종료 시점에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신호가 뜨면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주차 복귀 종목 중 해당 부위만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주로 미룬다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</si>
  <si>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판정 기준은 세션 완주가 아니라 다음날 아침의 팔꿈치 내측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어깨 앞쪽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무릎 힘줄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근육통은 무관</t>
    </r>
    <r>
      <rPr>
        <sz val="11"/>
        <rFont val="Arial"/>
        <family val="2"/>
        <charset val="1"/>
      </rPr>
      <t>.</t>
    </r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</si>
  <si>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</si>
  <si>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</si>
  <si>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</si>
  <si>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</si>
  <si>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</si>
  <si>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</si>
  <si>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세트</t>
  </si>
  <si>
    <t>예상 시간</t>
  </si>
  <si>
    <t>월</t>
  </si>
  <si>
    <t>당기기 A (수직)</t>
  </si>
  <si>
    <t>광배 · 이두 · 전완 · 기립근</t>
  </si>
  <si>
    <t>약 75분</t>
  </si>
  <si>
    <t>화</t>
  </si>
  <si>
    <t>밀기 A (수평)</t>
  </si>
  <si>
    <t>벤치프레스 5×5</t>
  </si>
  <si>
    <t>흉근 · 삼두 · 측면삼각</t>
  </si>
  <si>
    <t>약 65분</t>
  </si>
  <si>
    <t>수</t>
  </si>
  <si>
    <t>하체 A (무릎)</t>
  </si>
  <si>
    <t>스쿼트 5×5</t>
  </si>
  <si>
    <t>대퇴사두 · 햄스트링</t>
  </si>
  <si>
    <t>목</t>
  </si>
  <si>
    <t>당기기 B (수평)</t>
  </si>
  <si>
    <t>광배 · 능형근 · 승모 · 후면삼각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</si>
  <si>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</si>
  <si>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</si>
  <si>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</si>
  <si>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</si>
  <si>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</si>
  <si>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</si>
  <si>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</si>
  <si>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</si>
  <si>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</si>
  <si>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</si>
  <si>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</si>
  <si>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</si>
  <si>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</si>
  <si>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스쿼트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데드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토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데드 다음날은 일요일 휴식 — 척추에 가장 안전한 자리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</si>
  <si>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밀리터리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전날 벤치 여파로 프레스 무게가 덜 나온다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대가가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</si>
  <si>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월요일은 당기기 — 월요일 벤치 자리 경쟁을 피한다는 원래 논리 그대로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</si>
  <si>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무릎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고관절</t>
    </r>
    <r>
      <rPr>
        <sz val="11"/>
        <rFont val="Arial"/>
        <family val="2"/>
        <charset val="1"/>
      </rPr>
      <t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</si>
  <si>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일 뒤에 다시 치되 각도를 바꾼다 — 같은 자극의 반복이 아니라 다른 축의 자극</t>
    </r>
    <r>
      <rPr>
        <sz val="11"/>
        <rFont val="Arial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</si>
  <si>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데드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>RDL(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>20kg</t>
    </r>
    <r>
      <rPr>
        <sz val="11"/>
        <color theme="1"/>
        <rFont val="Noto Sans CJK SC"/>
        <family val="2"/>
      </rPr>
      <t>으로 가볍게 — 척추 부하가 아니라 자세 유지가 목적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</si>
  <si>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</si>
  <si>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 xml:space="preserve">147 → 159. </t>
    </r>
    <r>
      <rPr>
        <sz val="11"/>
        <rFont val="Noto Sans CJK SC"/>
        <family val="2"/>
      </rPr>
      <t>총량은 거의 그대로 두고 빈도만 올렸다</t>
    </r>
    <r>
      <rPr>
        <sz val="11"/>
        <rFont val="Arial"/>
        <family val="2"/>
        <charset val="1"/>
      </rPr>
      <t xml:space="preserve">. (2026-08 </t>
    </r>
    <r>
      <rPr>
        <sz val="11"/>
        <rFont val="Noto Sans CJK SC"/>
        <family val="2"/>
      </rPr>
      <t xml:space="preserve">승모 중부 </t>
    </r>
    <r>
      <rPr>
        <sz val="11"/>
        <rFont val="Arial"/>
        <family val="2"/>
        <charset val="1"/>
      </rPr>
      <t xml:space="preserve">+3 · </t>
    </r>
    <r>
      <rPr>
        <sz val="11"/>
        <rFont val="Noto Sans CJK SC"/>
        <family val="2"/>
      </rPr>
      <t xml:space="preserve">승모 상부 </t>
    </r>
    <r>
      <rPr>
        <sz val="11"/>
        <rFont val="Arial"/>
        <family val="2"/>
        <charset val="1"/>
      </rPr>
      <t>+3)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</si>
  <si>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>24~29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>43</t>
    </r>
    <r>
      <rPr>
        <sz val="11"/>
        <rFont val="Noto Sans CJK SC"/>
        <family val="2"/>
      </rPr>
      <t>세트 문제가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</si>
  <si>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세션에 부위당 </t>
    </r>
    <r>
      <rPr>
        <sz val="11"/>
        <rFont val="Arial"/>
        <family val="2"/>
        <charset val="1"/>
      </rPr>
      <t>8~9</t>
    </r>
    <r>
      <rPr>
        <sz val="11"/>
        <rFont val="Noto Sans CJK SC"/>
        <family val="2"/>
      </rPr>
      <t>세트를 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</si>
  <si>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>일</t>
    </r>
    <r>
      <rPr>
        <sz val="11"/>
        <rFont val="Arial"/>
        <family val="2"/>
        <charset val="1"/>
      </rPr>
      <t>. 6</t>
    </r>
    <r>
      <rPr>
        <sz val="11"/>
        <rFont val="Noto Sans CJK SC"/>
        <family val="2"/>
      </rPr>
      <t>일 연속 훈련은 회복이 따라오는지 직접 확인해야 한다</t>
    </r>
    <r>
      <rPr>
        <sz val="11"/>
        <rFont val="Arial"/>
        <family val="2"/>
        <charset val="1"/>
      </rPr>
      <t>.</t>
    </r>
  </si>
  <si>
    <t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</si>
  <si>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>8~10</t>
    </r>
    <r>
      <rPr>
        <sz val="11"/>
        <rFont val="Noto Sans CJK SC"/>
        <family val="2"/>
      </rPr>
      <t>세트를 넘어가면 뒤쪽 세트는 앞의 피로 위에 얹혀 자극당 값이 떨어진다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</si>
  <si>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>14</t>
    </r>
    <r>
      <rPr>
        <sz val="11"/>
        <rFont val="Noto Sans CJK SC"/>
        <family val="2"/>
      </rPr>
      <t>는 그 구간을 넘어서 있었다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</si>
  <si>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회가 낫다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>정도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</si>
  <si>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스쿼트 폼을 다시 배우는 시기이므로 빈도가 그 자체로 이득</t>
    </r>
    <r>
      <rPr>
        <sz val="11"/>
        <rFont val="Arial"/>
        <family val="2"/>
        <charset val="1"/>
      </rPr>
      <t>.</t>
    </r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</si>
  <si>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</si>
  <si>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</si>
  <si>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</si>
  <si>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</si>
  <si>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r>
      <rPr>
        <sz val="11"/>
        <rFont val="Arial"/>
        <family val="2"/>
        <charset val="1"/>
      </rPr>
      <t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볼륨램프 </t>
    </r>
    <r>
      <rPr>
        <sz val="11"/>
        <rFont val="Arial"/>
        <family val="2"/>
        <charset val="1"/>
      </rPr>
      <t>1~4</t>
    </r>
    <r>
      <rPr>
        <sz val="11"/>
        <rFont val="Noto Sans CJK SC"/>
        <family val="2"/>
      </rPr>
      <t>주를 그 판단 구간으로 쓸 것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</si>
  <si>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판단 기준</t>
    </r>
    <r>
      <rPr>
        <sz val="11"/>
        <rFont val="Arial"/>
        <family val="2"/>
        <charset val="1"/>
      </rPr>
      <t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일로 내린다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</si>
  <si>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>.</t>
    </r>
  </si>
  <si>
    <t>월요일 — 당기기 A (수직)</t>
  </si>
  <si>
    <t>광배 위쪽 · 견갑골 하강 · 이두. 목요일 당기기 B(수평)와 각도를 나눈다.</t>
  </si>
  <si>
    <t>운동 구성</t>
  </si>
  <si>
    <t>#</t>
  </si>
  <si>
    <t>근육군</t>
  </si>
  <si>
    <t>중량(Kg)</t>
  </si>
  <si>
    <t>횟수</t>
  </si>
  <si>
    <t>간접 자극</t>
  </si>
  <si>
    <t>메모</t>
  </si>
  <si>
    <t>대체 종목</t>
  </si>
  <si>
    <t>이번 주 세트</t>
  </si>
  <si>
    <t>복귀 주차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</si>
  <si>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</si>
  <si>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</si>
  <si>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</si>
  <si>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</si>
  <si>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</si>
  <si>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</si>
  <si>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</si>
  <si>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</si>
  <si>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</si>
  <si>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</si>
  <si>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</si>
  <si>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</si>
  <si>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</si>
  <si>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</si>
  <si>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</si>
  <si>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</si>
  <si>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</si>
  <si>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페이스풀</t>
  </si>
  <si>
    <t>승모(중부)·능형근</t>
  </si>
  <si>
    <t>10~15</t>
  </si>
  <si>
    <t>12~15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</si>
  <si>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</si>
  <si>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</si>
  <si>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</si>
  <si>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</si>
  <si>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</si>
  <si>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</si>
  <si>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</si>
  <si>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상완요골근 동시</t>
    </r>
    <r>
      <rPr>
        <sz val="11"/>
        <rFont val="Arial"/>
        <family val="2"/>
        <charset val="1"/>
      </rPr>
      <t>)</t>
    </r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</si>
  <si>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</si>
  <si>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</si>
  <si>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</si>
  <si>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</si>
  <si>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</si>
  <si>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</si>
  <si>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</si>
  <si>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</si>
  <si>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</si>
  <si>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</si>
  <si>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</si>
  <si>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</si>
  <si>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</si>
  <si>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</si>
  <si>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</si>
  <si>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</si>
  <si>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</si>
  <si>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</si>
  <si>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</si>
  <si>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</si>
  <si>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</si>
  <si>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</si>
  <si>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</si>
  <si>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r>
      <rPr>
        <sz val="11"/>
        <rFont val="Arial"/>
        <family val="2"/>
        <charset val="1"/>
      </rPr>
      <t>↑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>빈 봉</t>
    </r>
    <r>
      <rPr>
        <sz val="11"/>
        <rFont val="Arial"/>
        <family val="2"/>
        <charset val="1"/>
      </rPr>
      <t>. '</t>
    </r>
    <r>
      <rPr>
        <sz val="11"/>
        <rFont val="Noto Sans CJK SC"/>
        <family val="2"/>
      </rPr>
      <t>생략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은 앞 세트와 중량이 겹쳐 불필요하다는 뜻</t>
    </r>
    <r>
      <rPr>
        <sz val="11"/>
        <rFont val="Arial"/>
        <family val="2"/>
        <charset val="1"/>
      </rPr>
      <t>.</t>
    </r>
  </si>
  <si>
    <t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</si>
  <si>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× 12~15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>90</t>
    </r>
    <r>
      <rPr>
        <sz val="11"/>
        <rFont val="Noto Sans CJK SC"/>
        <family val="2"/>
      </rPr>
      <t>도로 접어 옆구리에 붙이고 바깥으로만 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</si>
  <si>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>무거우면 광배와 후면 삼각근이 대신 일하며 목적을 잃는다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</si>
  <si>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근비대 항목이 아니라 관절 준비 항목이므로 세트 합계에 넣지 않는다</t>
    </r>
    <r>
      <rPr>
        <sz val="11"/>
        <rFont val="Arial"/>
        <family val="2"/>
        <charset val="1"/>
      </rPr>
      <t>.</t>
    </r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</si>
  <si>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</si>
  <si>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</si>
  <si>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</si>
  <si>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</si>
  <si>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</si>
  <si>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</si>
  <si>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</si>
  <si>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</si>
  <si>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</si>
  <si>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</si>
  <si>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</si>
  <si>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</si>
  <si>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</si>
  <si>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</si>
  <si>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</si>
  <si>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</si>
  <si>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</si>
  <si>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</si>
  <si>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</si>
  <si>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</si>
  <si>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</si>
  <si>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</si>
  <si>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</si>
  <si>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</si>
  <si>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</si>
  <si>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</si>
  <si>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</si>
  <si>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</si>
  <si>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</si>
  <si>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</si>
  <si>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</si>
  <si>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</si>
  <si>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</si>
  <si>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수/토 3+3 분할. 궤도 고정이라 대퇴사두가 확실히 한계까지 간다. 발판 위치는 중간</t>
  </si>
  <si>
    <t>핵 스쿼트 / 레그 익스텐션 (완전 고립) / 프론트 스쿼트</t>
  </si>
  <si>
    <t>불가리안 스플릿 스쿼트</t>
  </si>
  <si>
    <r>
      <rPr>
        <sz val="11"/>
        <rFont val="Arial"/>
        <family val="2"/>
        <charset val="1"/>
      </rPr>
      <t>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</si>
  <si>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</si>
  <si>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</si>
  <si>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</si>
  <si>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</si>
  <si>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</si>
  <si>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</si>
  <si>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</si>
  <si>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</si>
  <si>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</si>
  <si>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</si>
  <si>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</si>
  <si>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케이블 힙 외전</t>
  </si>
  <si>
    <t>중둔근</t>
  </si>
  <si>
    <r>
      <rPr>
        <sz val="11"/>
        <rFont val="Arial"/>
        <family val="2"/>
        <charset val="1"/>
      </rPr>
      <t>12~15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</si>
  <si>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관상면 외전. 토요일에서 이동. 앉는 시간이 길면 대둔근보다 중둔근이 먼저 잠든다</t>
  </si>
  <si>
    <t>밴드 몬스터 워크 / 사이드 라잉 힙 외전 / 힙 어브덕션 머신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</si>
  <si>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</si>
  <si>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</si>
  <si>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</si>
  <si>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</si>
  <si>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r>
      <rPr>
        <sz val="11"/>
        <rFont val="Arial"/>
        <family val="2"/>
        <charset val="1"/>
      </rPr>
      <t>30</t>
    </r>
    <r>
      <rPr>
        <sz val="11"/>
        <rFont val="Noto Sans CJK SC"/>
        <family val="2"/>
      </rPr>
      <t>초</t>
    </r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</si>
  <si>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</si>
  <si>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</si>
  <si>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</si>
  <si>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</si>
  <si>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</si>
  <si>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</si>
  <si>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</si>
  <si>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</si>
  <si>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</si>
  <si>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</si>
  <si>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</si>
  <si>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</si>
  <si>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로우의 40~50%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</si>
  <si>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</si>
  <si>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</si>
  <si>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</si>
  <si>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</si>
  <si>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</si>
  <si>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</si>
  <si>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</si>
  <si>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</si>
  <si>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</si>
  <si>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</si>
  <si>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>컨센트레이션 컬</t>
    </r>
  </si>
  <si>
    <t>시티드 리스트 컬</t>
  </si>
  <si>
    <t>손목 굴근. 월요일 리버스와 대항쌍</t>
  </si>
  <si>
    <t>덤벨 리스트 컬 (한 손씩) / 케이블 리스트 컬 / 비하인드백 리스트 컬</t>
  </si>
  <si>
    <t>트랩바 슈러그</t>
  </si>
  <si>
    <t>승모(상부)</t>
  </si>
  <si>
    <t>40~60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</si>
  <si>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</si>
  <si>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8세트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</si>
  <si>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</si>
  <si>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</si>
  <si>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</si>
  <si>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</si>
  <si>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</si>
  <si>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</si>
  <si>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</si>
  <si>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</si>
  <si>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</si>
  <si>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</si>
  <si>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</si>
  <si>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</si>
  <si>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</si>
  <si>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</si>
  <si>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</si>
  <si>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</si>
  <si>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</si>
  <si>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</si>
  <si>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</si>
  <si>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</si>
  <si>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</si>
  <si>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</si>
  <si>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</si>
  <si>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</si>
  <si>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</si>
  <si>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</si>
  <si>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</si>
  <si>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</si>
  <si>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</si>
  <si>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</si>
  <si>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</si>
  <si>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</si>
  <si>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</si>
  <si>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</si>
  <si>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</si>
  <si>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</si>
  <si>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</si>
  <si>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</si>
  <si>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</si>
  <si>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</si>
  <si>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</si>
  <si>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</si>
  <si>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그리고 팔이 올라갈 때의 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</si>
  <si>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스캡 풀업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월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>Y(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오버헤드 슈러그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>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</si>
  <si>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</si>
  <si>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전거근이 약하면 하부 승모를 키워도 견갑골이 제 위치로 안 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</si>
  <si>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 이상은 팔꿈치가 굽은 것이다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</si>
  <si>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스미스나 머신 권장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</si>
  <si>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반복 수 확장으로</t>
    </r>
    <r>
      <rPr>
        <sz val="11"/>
        <rFont val="Arial"/>
        <family val="2"/>
        <charset val="1"/>
      </rPr>
      <t>.</t>
    </r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</si>
  <si>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</si>
  <si>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</si>
  <si>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</si>
  <si>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</si>
  <si>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</si>
  <si>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</si>
  <si>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</si>
  <si>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</si>
  <si>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</si>
  <si>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</si>
  <si>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</si>
  <si>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</si>
  <si>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</si>
  <si>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</si>
  <si>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</si>
  <si>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</si>
  <si>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</si>
  <si>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</si>
  <si>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</si>
  <si>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</si>
  <si>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</si>
  <si>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</si>
  <si>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수/토 3+3 분할. 데드·힙 이후라 대퇴가 예열된 상태에서 궤도 고정으로 확실히 간다</t>
  </si>
  <si>
    <t>핵 스쿼트 / 레그 익스텐션 / 프론트 스쿼트 / 45도 레그 프레스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</si>
  <si>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</si>
  <si>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</si>
  <si>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</si>
  <si>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</si>
  <si>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r>
      <rPr>
        <sz val="11"/>
        <rFont val="Arial"/>
        <family val="2"/>
        <charset val="1"/>
      </rPr>
      <t>8~10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</si>
  <si>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복사근·회전. 다음날 휴식이라 항회전 피로가 다음 세션에 안 걸린다</t>
  </si>
  <si>
    <t>케이블 우드촙 / 러시안 트위스트 / 팔로프 프레스 / 덤벨 사이드 밴드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</si>
  <si>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</si>
  <si>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</si>
  <si>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</si>
  <si>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</si>
  <si>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</si>
  <si>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</si>
  <si>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</si>
  <si>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</si>
  <si>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</si>
  <si>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</si>
  <si>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</si>
  <si>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</si>
  <si>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</si>
  <si>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</si>
  <si>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</si>
  <si>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</si>
  <si>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</si>
  <si>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</si>
  <si>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</si>
  <si>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</si>
  <si>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</si>
  <si>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</si>
  <si>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</si>
  <si>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</si>
  <si>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</si>
  <si>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</si>
  <si>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</si>
  <si>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</si>
  <si>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</si>
  <si>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</si>
  <si>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r>
      <rPr>
        <sz val="9"/>
        <color rgb="FF566573"/>
        <rFont val="Arial"/>
        <family val="2"/>
        <charset val="1"/>
      </rPr>
      <t>Y</t>
    </r>
    <r>
      <rPr>
        <sz val="9"/>
        <color rgb="FF566573"/>
        <rFont val="Noto Sans CJK SC"/>
        <family val="2"/>
      </rPr>
      <t>레이즈 후면삼각 능동 관여</t>
    </r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</si>
  <si>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</si>
  <si>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</si>
  <si>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</si>
  <si>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</si>
  <si>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</si>
  <si>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</si>
  <si>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</si>
  <si>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</si>
  <si>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</si>
  <si>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</si>
  <si>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</si>
  <si>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</si>
  <si>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r>
      <rPr>
        <sz val="9"/>
        <color rgb="FF566573"/>
        <rFont val="Arial"/>
        <family val="2"/>
        <charset val="1"/>
      </rPr>
      <t>RDL</t>
    </r>
    <r>
      <rPr>
        <sz val="9"/>
        <color rgb="FF566573"/>
        <rFont val="Noto Sans CJK SC"/>
        <family val="2"/>
      </rPr>
      <t>은 기립근 동적 신전</t>
    </r>
    <r>
      <rPr>
        <sz val="9"/>
        <color rgb="FF566573"/>
        <rFont val="Arial"/>
        <family val="2"/>
        <charset val="1"/>
      </rPr>
      <t>·</t>
    </r>
    <r>
      <rPr>
        <sz val="9"/>
        <color rgb="FF566573"/>
        <rFont val="Noto Sans CJK SC"/>
        <family val="2"/>
      </rPr>
      <t>수축 — 등척성 아님</t>
    </r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</si>
  <si>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</si>
  <si>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</si>
  <si>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</si>
  <si>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</si>
  <si>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</si>
  <si>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</si>
  <si>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</si>
  <si>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</si>
  <si>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</si>
  <si>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</si>
  <si>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</si>
  <si>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</si>
  <si>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</si>
  <si>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</si>
  <si>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t>리버스 펙덱 견갑 후인 — 능형·중부승모 부분 협력</t>
  </si>
  <si>
    <t>둔근 관여하나 스쿼트보다 부분적 (토요일 분할분)</t>
  </si>
  <si>
    <t>부분 관여 (토요일 분할분)</t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</si>
  <si>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</si>
  <si>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</si>
  <si>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</si>
  <si>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</si>
  <si>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</si>
  <si>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</si>
  <si>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</si>
  <si>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</si>
  <si>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</si>
  <si>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가슴</t>
  </si>
  <si>
    <t>인클라인 6세트가 흉늑지에도 일부 기여</t>
  </si>
  <si>
    <t>데드리프트의 광배 등척성 유지 — 주 1세트뿐이라 0으로 하향. 직접 14세트로 이미 충분하므로 간접을 세는 실익이 없다.</t>
  </si>
  <si>
    <t>등</t>
  </si>
  <si>
    <t>오버헤드 슈러그 3 (상방회전 주도이나 상부도 관여) · 로우류 7세트의 등척성 유지 → 2로 하향 · 오버헤드 프레싱 6세트 → 1로 하향. 직접 종목은 목요일 트랩바 슈러그 3세트뿐 — 주 1회. 3~4주 뒤 자극이 부족하면 화_밀기A에 2세트를 붙여 주 2회로 (2026-08 신설).</t>
  </si>
  <si>
    <t>친업 · 랫풀다운의 견갑골 하강 — 동작 개시에만 관여하므로 하향 (5 → 3)</t>
  </si>
  <si>
    <t>해머 로우 4 · 케이블 리버스 플라이 4 · 벤트오버 레터럴 4 — 전부 견갑골 후인. 직접 종목이 잡히면서 간접은 11 → 8로 하향 (v15). 2026-08: 켈소 슈러그(받침 벤치 필요) → 시티드 케이블 로우 스캡 슈러그로 교체, 월요일 페이스풀 3세트 추가. 직접 3 → 6, 빈도 주 1회 → 주 2회.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</si>
  <si>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</si>
  <si>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</si>
  <si>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</si>
  <si>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시티드 케이블 로우 스캡 슈러그 · 페이스풀(월) — 페이스풀은 외회전 비중이 커 후면삼각 간접 추정은 3 유지 (직접 8세트로 이미 충족)</t>
  </si>
  <si>
    <t>데드리프트 · 힙 쓰러스트</t>
  </si>
  <si>
    <t>스쿼트 · RDL · 데드</t>
  </si>
  <si>
    <t>불가리안 스플릿 스쿼트 · 스쿼트 · 런지의 관상면 안정화 (한 다리 지지 구간)</t>
  </si>
  <si>
    <t>직접 세트 내역: 수 스탠딩 카프 4 (무릎 편 상태 — 비복근) · 토 시티드 카프 4 (무릎 굽힘 — 가자미근). 간접 출처는 없음 — 스쿼트·레그프레스의 발목 관여는 실패지점 근처까지 가지 않아 0으로 둔다. (2026-08 보강 / 요일 표기 정정: 금 → 수)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</si>
  <si>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</si>
  <si>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</si>
  <si>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</si>
  <si>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</si>
  <si>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</si>
  <si>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</si>
  <si>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</si>
  <si>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</si>
  <si>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</si>
  <si>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</si>
  <si>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</si>
  <si>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</si>
  <si>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</si>
  <si>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</si>
  <si>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</si>
  <si>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종아리 보강 완료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금 카프 </t>
    </r>
    <r>
      <rPr>
        <i/>
        <sz val="9"/>
        <color rgb="FF595959"/>
        <rFont val="Arial"/>
        <family val="2"/>
        <charset val="1"/>
      </rPr>
      <t xml:space="preserve">4 + </t>
    </r>
    <r>
      <rPr>
        <i/>
        <sz val="9"/>
        <color rgb="FF595959"/>
        <rFont val="Noto Sans CJK SC"/>
        <family val="2"/>
      </rPr>
      <t xml:space="preserve">토 시티드 카프 </t>
    </r>
    <r>
      <rPr>
        <i/>
        <sz val="9"/>
        <color rgb="FF595959"/>
        <rFont val="Arial"/>
        <family val="2"/>
        <charset val="1"/>
      </rPr>
      <t xml:space="preserve">4 =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세트 — 유지 하한 충족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더 키우려면 </t>
    </r>
    <r>
      <rPr>
        <i/>
        <sz val="9"/>
        <color rgb="FF595959"/>
        <rFont val="Arial"/>
        <family val="2"/>
        <charset val="1"/>
      </rPr>
      <t>10</t>
    </r>
    <r>
      <rPr>
        <i/>
        <sz val="9"/>
        <color rgb="FF595959"/>
        <rFont val="Noto Sans CJK SC"/>
        <family val="2"/>
      </rPr>
      <t>세트부터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</si>
  <si>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일 버전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당기기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× 2). </t>
    </r>
    <r>
      <rPr>
        <i/>
        <sz val="9"/>
        <color rgb="FF595959"/>
        <rFont val="Noto Sans CJK SC"/>
        <family val="2"/>
      </rPr>
      <t xml:space="preserve">총량은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일 버전과 같고 빈도만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회로 올렸다</t>
    </r>
    <r>
      <rPr>
        <i/>
        <sz val="9"/>
        <color rgb="FF595959"/>
        <rFont val="Arial"/>
        <family val="2"/>
        <charset val="1"/>
      </rPr>
      <t>.</t>
    </r>
  </si>
  <si>
    <t>· 하부 승모: 스캡 풀업(하강) 3 + 프론 Y(하강+후인) 2 + 오버헤드 슈러그(상방회전) 3 = 직접 8. 패턴 셋을 나눠 배치.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</si>
  <si>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나머지 하한선 부위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중둔근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내전근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종아리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성장이 아니라 유지 목적이므로 현재로선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</si>
  <si>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중부</t>
    </r>
    <r>
      <rPr>
        <i/>
        <sz val="9"/>
        <color rgb="FF595959"/>
        <rFont val="Arial"/>
        <family val="2"/>
        <charset val="1"/>
      </rPr>
      <t>)·</t>
    </r>
    <r>
      <rPr>
        <i/>
        <sz val="9"/>
        <color rgb="FF595959"/>
        <rFont val="Noto Sans CJK SC"/>
        <family val="2"/>
      </rPr>
      <t xml:space="preserve">능형근 보강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직접 종목이 목요일 켈소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세트뿐이라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켈소는 받침 벤치가 필요해 시티드 케이블 로우 스캡 슈러그로 교체하고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월요일에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세트를 추가해 직접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 확보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총 직접 세트 </t>
    </r>
    <r>
      <rPr>
        <i/>
        <sz val="9"/>
        <color rgb="FF595959"/>
        <rFont val="Arial"/>
        <family val="2"/>
        <charset val="1"/>
      </rPr>
      <t>153 → 156.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</si>
  <si>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 xml:space="preserve">신설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>이전에는 항목 자체가 없었다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목요일 트랩바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 —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금요일 오버헤드 슈러그는 승모 하부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상방회전이라 대체가 아니라 별개 근육이므로 그대로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세트로 하한 —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 뒤 자극이 부족하면 화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 추가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</si>
  <si>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</si>
  <si>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</t>
    </r>
    <r>
      <rPr>
        <i/>
        <sz val="9"/>
        <color rgb="FF595959"/>
        <rFont val="Arial"/>
        <family val="2"/>
        <charset val="1"/>
      </rPr>
      <t>. (</t>
    </r>
    <r>
      <rPr>
        <i/>
        <sz val="9"/>
        <color rgb="FF595959"/>
        <rFont val="Noto Sans CJK SC"/>
        <family val="2"/>
      </rPr>
      <t>월요일 페이스풀은 실제 부하로 실패지점 근처까지 가는 카운트 세트이므로 여기서 제외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</si>
  <si>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</si>
  <si>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세트가 유일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이전에는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</si>
  <si>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</si>
  <si>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</si>
  <si>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</si>
  <si>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</si>
  <si>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</si>
  <si>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</si>
  <si>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</si>
  <si>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</si>
  <si>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</si>
  <si>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</si>
  <si>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</si>
  <si>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</si>
  <si>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</si>
  <si>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</si>
  <si>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</si>
  <si>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</si>
  <si>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</si>
  <si>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</si>
  <si>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</si>
  <si>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</si>
  <si>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</si>
  <si>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</si>
  <si>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</si>
  <si>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</si>
  <si>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</si>
  <si>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</si>
  <si>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</si>
  <si>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</si>
  <si>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</si>
  <si>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</si>
  <si>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</si>
  <si>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</si>
  <si>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</si>
  <si>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</si>
  <si>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</si>
  <si>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</si>
  <si>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</si>
  <si>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</si>
  <si>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</si>
  <si>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</si>
  <si>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</si>
  <si>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</si>
  <si>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</si>
  <si>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</si>
  <si>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</si>
  <si>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</si>
  <si>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</si>
  <si>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</si>
  <si>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</si>
  <si>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</si>
  <si>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</si>
  <si>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</si>
  <si>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</si>
  <si>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</si>
  <si>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</si>
  <si>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</si>
  <si>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</si>
  <si>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</si>
  <si>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r>
      <rPr>
        <b/>
        <sz val="11"/>
        <rFont val="Arial"/>
        <family val="2"/>
        <charset val="1"/>
      </rPr>
      <t>9</t>
    </r>
    <r>
      <rPr>
        <b/>
        <sz val="11"/>
        <rFont val="Noto Sans CJK SC"/>
        <family val="2"/>
      </rPr>
      <t xml:space="preserve">월 전 완충 구간 </t>
    </r>
    <r>
      <rPr>
        <b/>
        <sz val="11"/>
        <rFont val="Arial"/>
        <family val="2"/>
        <charset val="1"/>
      </rPr>
      <t xml:space="preserve">(v15 </t>
    </r>
    <r>
      <rPr>
        <b/>
        <sz val="11"/>
        <rFont val="Noto Sans CJK SC"/>
        <family val="2"/>
      </rPr>
      <t>추가</t>
    </r>
    <r>
      <rPr>
        <b/>
        <sz val="11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</si>
  <si>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· 146</t>
    </r>
    <r>
      <rPr>
        <sz val="11"/>
        <color theme="1"/>
        <rFont val="Noto Sans CJK SC"/>
        <family val="2"/>
      </rPr>
      <t xml:space="preserve">세트를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개월 하다가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세트로 떨어뜨리면 근육량이 빠진다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유지 하한은 대개 성장 볼륨의 </t>
    </r>
    <r>
      <rPr>
        <sz val="11"/>
        <color theme="1"/>
        <rFont val="Calibri"/>
        <family val="2"/>
        <charset val="1"/>
      </rPr>
      <t>1/3~1/2</t>
    </r>
    <r>
      <rPr>
        <sz val="11"/>
        <color theme="1"/>
        <rFont val="Noto Sans CJK SC"/>
        <family val="2"/>
      </rPr>
      <t xml:space="preserve">인데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은 그 아래다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</si>
  <si>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세트로 한 단계 걸치고 내려간다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</si>
  <si>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메인 리프트와 프레싱은 마지막까지 유지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</si>
  <si>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볼륨만 줄이고 강도를 유지해야 근력이 남는다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</si>
  <si>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복귀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 xml:space="preserve">주간계획 시트의 </t>
    </r>
    <r>
      <rPr>
        <sz val="11"/>
        <color theme="1"/>
        <rFont val="Calibri"/>
        <family val="2"/>
        <charset val="1"/>
      </rPr>
      <t>"108</t>
    </r>
    <r>
      <rPr>
        <sz val="11"/>
        <color theme="1"/>
        <rFont val="Noto Sans CJK SC"/>
        <family val="2"/>
      </rPr>
      <t xml:space="preserve">세트 →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Noto Sans CJK SC"/>
        <family val="2"/>
      </rPr>
      <t>는 낡은 수치다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현재 재택 버전은 </t>
    </r>
    <r>
      <rPr>
        <sz val="11"/>
        <color theme="1"/>
        <rFont val="Calibri"/>
        <family val="2"/>
        <charset val="1"/>
      </rPr>
      <t>146</t>
    </r>
    <r>
      <rPr>
        <sz val="11"/>
        <color theme="1"/>
        <rFont val="Noto Sans CJK SC"/>
        <family val="2"/>
      </rPr>
      <t xml:space="preserve">세트이므로 실제 감축률은 </t>
    </r>
    <r>
      <rPr>
        <sz val="11"/>
        <color theme="1"/>
        <rFont val="Calibri"/>
        <family val="2"/>
        <charset val="1"/>
      </rPr>
      <t>68%.</t>
    </r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</si>
  <si>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</si>
  <si>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</si>
  <si>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</si>
  <si>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</si>
  <si>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</si>
  <si>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</si>
  <si>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</si>
  <si>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</si>
  <si>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</si>
  <si>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</si>
  <si>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</si>
  <si>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</si>
  <si>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</si>
  <si>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</si>
  <si>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</si>
  <si>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</si>
  <si>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</si>
  <si>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</si>
  <si>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</si>
  <si>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</si>
  <si>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</si>
  <si>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</si>
  <si>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</si>
  <si>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</si>
  <si>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</si>
  <si>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</si>
  <si>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</si>
  <si>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</si>
  <si>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</si>
  <si>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</si>
  <si>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</si>
  <si>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153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66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(57%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). 9</t>
    </r>
    <r>
      <rPr>
        <i/>
        <sz val="9"/>
        <color rgb="FF595959"/>
        <rFont val="Noto Sans CJK SC"/>
        <family val="2"/>
      </rPr>
      <t xml:space="preserve">월 전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주는 주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 xml:space="preserve">세트로 완충할 것 — 당기기 </t>
    </r>
    <r>
      <rPr>
        <i/>
        <sz val="9"/>
        <color rgb="FF595959"/>
        <rFont val="Arial"/>
        <family val="2"/>
        <charset val="1"/>
      </rPr>
      <t xml:space="preserve">B · </t>
    </r>
    <r>
      <rPr>
        <i/>
        <sz val="9"/>
        <color rgb="FF595959"/>
        <rFont val="Noto Sans CJK SC"/>
        <family val="2"/>
      </rPr>
      <t xml:space="preserve">밀기 </t>
    </r>
    <r>
      <rPr>
        <i/>
        <sz val="9"/>
        <color rgb="FF595959"/>
        <rFont val="Arial"/>
        <family val="2"/>
        <charset val="1"/>
      </rPr>
      <t>B</t>
    </r>
    <r>
      <rPr>
        <i/>
        <sz val="9"/>
        <color rgb="FF595959"/>
        <rFont val="Noto Sans CJK SC"/>
        <family val="2"/>
      </rPr>
      <t>를 빼면 그 언저리가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</si>
  <si>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</si>
  <si>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</si>
  <si>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전용 종목만 삭제 — 그립은 현장에서 온종일 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은 유지 목적으로 남겼다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재택 </t>
    </r>
    <r>
      <rPr>
        <i/>
        <sz val="9"/>
        <color rgb="FF595959"/>
        <rFont val="Arial"/>
        <family val="2"/>
        <charset val="1"/>
      </rPr>
      <t>25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</si>
  <si>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종목은 전부 재택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일 프로그램에 있는 것으로만 구성했다 — 복귀하면서 새로 익힐 동작이 없다</t>
    </r>
    <r>
      <rPr>
        <i/>
        <sz val="9"/>
        <color rgb="FF595959"/>
        <rFont val="Arial"/>
        <family val="2"/>
        <charset val="1"/>
      </rPr>
      <t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</si>
  <si>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케이블 — 현장 일이 안정화 근육을 이미 하루치 쓰고 온다</t>
    </r>
    <r>
      <rPr>
        <sz val="9"/>
        <color rgb="FF595959"/>
        <rFont val="Arial"/>
        <family val="2"/>
        <charset val="1"/>
      </rPr>
      <t>.</t>
    </r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</si>
  <si>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</si>
  <si>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</si>
  <si>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</si>
  <si>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</si>
  <si>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</si>
  <si>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</si>
  <si>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</si>
  <si>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</si>
  <si>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</si>
  <si>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</si>
  <si>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</si>
  <si>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</si>
  <si>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</si>
  <si>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</si>
  <si>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</si>
  <si>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</si>
  <si>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</si>
  <si>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</si>
  <si>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</si>
  <si>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</si>
  <si>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</si>
  <si>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</si>
  <si>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</si>
  <si>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</si>
  <si>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</si>
  <si>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</si>
  <si>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</si>
  <si>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</si>
  <si>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</si>
  <si>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</si>
  <si>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</si>
  <si>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</si>
  <si>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</si>
  <si>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</si>
  <si>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</si>
  <si>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</si>
  <si>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</si>
  <si>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</si>
  <si>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</si>
  <si>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</si>
  <si>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</si>
  <si>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</si>
  <si>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</si>
  <si>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</si>
  <si>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</si>
  <si>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</si>
  <si>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</si>
  <si>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</si>
  <si>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</si>
  <si>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</si>
  <si>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</si>
  <si>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</si>
  <si>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</si>
  <si>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</si>
  <si>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</si>
  <si>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복귀판에 코어가 통째로 비어 있었다. 현장 일은 코어를 버티게만 하지 굴곡시키지 않는다</t>
  </si>
  <si>
    <t>케이블 크런치 (머신) / 앱스 머신 / 캡틴 체어 니 레이즈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</si>
  <si>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</si>
  <si>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무게는 재택에서 도달한 중량을 그대로 이어간다</t>
    </r>
    <r>
      <rPr>
        <i/>
        <sz val="9"/>
        <color rgb="FF595959"/>
        <rFont val="Arial"/>
        <family val="2"/>
        <charset val="1"/>
      </rPr>
      <t>. D5</t>
    </r>
    <r>
      <rPr>
        <i/>
        <sz val="9"/>
        <color rgb="FF595959"/>
        <rFont val="Noto Sans CJK SC"/>
        <family val="2"/>
      </rPr>
      <t>가 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설정의 현재 작업중량과 연동돼 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</si>
  <si>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</si>
  <si>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</si>
  <si>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</si>
  <si>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완전 휴무일이라 재택 </t>
    </r>
    <r>
      <rPr>
        <i/>
        <sz val="9"/>
        <color rgb="FF595959"/>
        <rFont val="Arial"/>
        <family val="2"/>
        <charset val="1"/>
      </rPr>
      <t>14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</si>
  <si>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</si>
  <si>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</si>
  <si>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</si>
  <si>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</si>
  <si>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</si>
  <si>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</si>
  <si>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</si>
  <si>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</si>
  <si>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</si>
  <si>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</si>
  <si>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r>
      <rPr>
        <sz val="10"/>
        <rFont val="Arial"/>
        <family val="2"/>
        <charset val="1"/>
      </rPr>
      <t>153</t>
    </r>
    <r>
      <rPr>
        <sz val="10"/>
        <rFont val="Noto Sans CJK SC"/>
        <family val="2"/>
      </rPr>
      <t>세트</t>
    </r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</si>
  <si>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</si>
  <si>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</si>
  <si>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</si>
  <si>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</si>
  <si>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</si>
  <si>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</si>
  <si>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</si>
  <si>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</si>
  <si>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</si>
  <si>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</si>
  <si>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</si>
  <si>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</si>
  <si>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</si>
  <si>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</si>
  <si>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</si>
  <si>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+2.5kg</t>
    </r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</si>
  <si>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</si>
  <si>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</si>
  <si>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</si>
  <si>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</si>
  <si>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</si>
  <si>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25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</si>
  <si>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>3)</t>
    </r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</si>
  <si>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</si>
  <si>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</si>
  <si>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</si>
  <si>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</si>
  <si>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</si>
  <si>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</si>
  <si>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</si>
  <si>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</si>
  <si>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</si>
  <si>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</si>
  <si>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</si>
  <si>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</si>
  <si>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</si>
  <si>
    <t>75 6개밖에 못함</t>
    <phoneticPr fontId="45" type="noConversion"/>
  </si>
  <si>
    <r>
      <rPr>
        <sz val="11"/>
        <rFont val="맑은 고딕"/>
        <family val="3"/>
        <charset val="129"/>
      </rPr>
      <t>플랭크</t>
    </r>
    <r>
      <rPr>
        <sz val="11"/>
        <rFont val="Noto Sans CJK SC"/>
        <family val="2"/>
        <charset val="1"/>
      </rPr>
      <t>(중량)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</si>
</sst>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7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name val="Noto Sans CJK SC"/>
      <family val="2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566573"/>
      <name val="Noto Sans CJK SC"/>
      <family val="2"/>
    </font>
    <font>
      <sz val="9"/>
      <color rgb="FFB9770E"/>
      <name val="Arial"/>
      <family val="2"/>
      <charset val="1"/>
    </font>
    <font>
      <b/>
      <sz val="11"/>
      <name val="Arial"/>
      <family val="2"/>
    </font>
    <font>
      <sz val="11"/>
      <color theme="1"/>
      <name val="Noto Sans CJK SC"/>
      <family val="2"/>
      <charset val="1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EF9E7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/>
    </xf>
    <xf numFmtId="0" fontId="19" fillId="0" borderId="0" xfId="0" applyFont="1"/>
    <xf numFmtId="2" fontId="13" fillId="0" borderId="0" xfId="0" applyNumberFormat="1" applyFont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0" borderId="1" xfId="0" applyFont="1" applyBorder="1"/>
    <xf numFmtId="2" fontId="22" fillId="5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21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3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8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/>
    <xf numFmtId="0" fontId="34" fillId="0" borderId="2" xfId="0" applyFont="1" applyBorder="1"/>
    <xf numFmtId="0" fontId="36" fillId="0" borderId="2" xfId="0" applyFont="1" applyBorder="1" applyAlignment="1">
      <alignment horizontal="center"/>
    </xf>
    <xf numFmtId="0" fontId="14" fillId="0" borderId="0" xfId="0" applyFont="1"/>
    <xf numFmtId="2" fontId="37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39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41" fillId="0" borderId="0" xfId="0" applyFont="1"/>
    <xf numFmtId="2" fontId="8" fillId="4" borderId="1" xfId="0" applyNumberFormat="1" applyFont="1" applyFill="1" applyBorder="1" applyAlignment="1">
      <alignment horizontal="center" vertical="center"/>
    </xf>
    <xf numFmtId="0" fontId="23" fillId="0" borderId="0" xfId="0" applyFont="1"/>
    <xf numFmtId="2" fontId="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6" fillId="0" borderId="1" xfId="0" applyFont="1" applyBorder="1" applyAlignment="1">
      <alignment horizontal="center" vertical="center"/>
    </xf>
    <xf numFmtId="0" fontId="30" fillId="0" borderId="0" xfId="0" applyFont="1" applyAlignment="1">
      <alignment vertical="top" wrapText="1"/>
    </xf>
    <xf numFmtId="0" fontId="31" fillId="7" borderId="0" xfId="0" applyFont="1" applyFill="1" applyAlignment="1">
      <alignment vertical="top" wrapText="1"/>
    </xf>
    <xf numFmtId="0" fontId="38" fillId="0" borderId="3" xfId="0" applyFont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FF2CC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9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F15" sqref="F1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2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42.5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47.5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24.75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21.25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53</v>
      </c>
    </row>
    <row r="2" spans="1:4" ht="16.5" customHeight="1">
      <c r="A2" s="18" t="s">
        <v>54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2</v>
      </c>
      <c r="B4" s="18"/>
      <c r="C4" s="19">
        <f>시작중량_설정!$C$4</f>
        <v>2</v>
      </c>
      <c r="D4" s="20" t="s">
        <v>55</v>
      </c>
    </row>
    <row r="5" spans="1:4" ht="16.5" customHeight="1">
      <c r="A5" s="3" t="s">
        <v>56</v>
      </c>
      <c r="B5" s="18"/>
      <c r="C5" s="21">
        <f>월_당기기A!$J$15+화_밀기A!$J$26+수_하체A!$J$23+목_당기기B!$J$14+금_밀기B!$J$29+토_하체B!$J$23</f>
        <v>151</v>
      </c>
      <c r="D5" s="18" t="s">
        <v>57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39</v>
      </c>
      <c r="B7" s="22" t="s">
        <v>58</v>
      </c>
      <c r="C7" s="22" t="s">
        <v>59</v>
      </c>
      <c r="D7" s="22" t="s">
        <v>60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61</v>
      </c>
      <c r="B9" s="23">
        <v>113</v>
      </c>
      <c r="C9" s="24" t="s">
        <v>62</v>
      </c>
      <c r="D9" s="25" t="s">
        <v>63</v>
      </c>
    </row>
    <row r="10" spans="1:4" ht="16.5" customHeight="1">
      <c r="A10" s="23" t="s">
        <v>64</v>
      </c>
      <c r="B10" s="23">
        <v>116</v>
      </c>
      <c r="C10" s="24" t="s">
        <v>65</v>
      </c>
      <c r="D10" s="25" t="s">
        <v>66</v>
      </c>
    </row>
    <row r="11" spans="1:4" ht="16.5" customHeight="1">
      <c r="A11" s="25" t="s">
        <v>67</v>
      </c>
      <c r="B11" s="23">
        <v>138</v>
      </c>
      <c r="C11" s="24" t="s">
        <v>68</v>
      </c>
      <c r="D11" s="25" t="s">
        <v>69</v>
      </c>
    </row>
    <row r="12" spans="1:4" ht="15" customHeight="1">
      <c r="A12" s="25" t="s">
        <v>70</v>
      </c>
      <c r="B12" s="23">
        <v>159</v>
      </c>
      <c r="C12" s="24" t="s">
        <v>71</v>
      </c>
      <c r="D12" s="25" t="s">
        <v>72</v>
      </c>
    </row>
    <row r="13" spans="1:4" ht="15" customHeight="1">
      <c r="A13" s="3"/>
      <c r="B13" s="18"/>
      <c r="C13" s="18"/>
      <c r="D13" s="18"/>
    </row>
    <row r="14" spans="1:4" ht="16.5" customHeight="1">
      <c r="A14" s="18" t="s">
        <v>73</v>
      </c>
      <c r="B14" s="18"/>
      <c r="C14" s="18"/>
      <c r="D14" s="18"/>
    </row>
    <row r="15" spans="1:4" ht="16.5" customHeight="1">
      <c r="A15" s="20" t="s">
        <v>74</v>
      </c>
      <c r="B15" s="18"/>
      <c r="C15" s="18"/>
      <c r="D15" s="18"/>
    </row>
    <row r="16" spans="1:4" ht="16.5" customHeight="1">
      <c r="A16" s="20" t="s">
        <v>75</v>
      </c>
      <c r="B16" s="18"/>
      <c r="C16" s="18"/>
      <c r="D16" s="18"/>
    </row>
    <row r="17" spans="1:4" ht="16.5" customHeight="1">
      <c r="A17" s="20" t="s">
        <v>76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31</v>
      </c>
      <c r="B19" s="18"/>
      <c r="C19" s="18"/>
      <c r="D19" s="18"/>
    </row>
    <row r="20" spans="1:4" ht="16.5" customHeight="1">
      <c r="A20" s="20" t="s">
        <v>77</v>
      </c>
      <c r="B20" s="18"/>
      <c r="C20" s="18"/>
      <c r="D20" s="18"/>
    </row>
    <row r="21" spans="1:4" ht="16.5" customHeight="1">
      <c r="A21" s="20" t="s">
        <v>78</v>
      </c>
      <c r="B21" s="18"/>
      <c r="C21" s="18"/>
      <c r="D21" s="18"/>
    </row>
    <row r="22" spans="1:4" ht="16.5" customHeight="1">
      <c r="A22" s="20" t="s">
        <v>79</v>
      </c>
      <c r="B22" s="18"/>
      <c r="C22" s="18"/>
      <c r="D22" s="18"/>
    </row>
    <row r="23" spans="1:4" ht="16.5" customHeight="1">
      <c r="A23" s="20" t="s">
        <v>80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/>
      <c r="B25" s="18"/>
      <c r="C25" s="18"/>
      <c r="D25" s="18"/>
    </row>
    <row r="26" spans="1:4" ht="16.5" customHeight="1">
      <c r="A26" s="18" t="s">
        <v>81</v>
      </c>
      <c r="B26" s="18"/>
      <c r="C26" s="18"/>
      <c r="D26" s="18"/>
    </row>
    <row r="27" spans="1:4" ht="16.5" customHeight="1">
      <c r="A27" s="20" t="s">
        <v>82</v>
      </c>
      <c r="B27" s="18"/>
      <c r="C27" s="18"/>
      <c r="D27" s="18"/>
    </row>
    <row r="28" spans="1:4" ht="16.5" customHeight="1">
      <c r="A28" s="20" t="s">
        <v>83</v>
      </c>
      <c r="B28" s="18"/>
      <c r="C28" s="18"/>
      <c r="D28" s="18"/>
    </row>
    <row r="29" spans="1:4" ht="16.5" customHeight="1">
      <c r="A29" s="20" t="s">
        <v>84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85</v>
      </c>
      <c r="B31" s="18"/>
      <c r="C31" s="18"/>
      <c r="D31" s="18"/>
    </row>
    <row r="32" spans="1:4" ht="16.5" customHeight="1">
      <c r="A32" s="20" t="s">
        <v>86</v>
      </c>
      <c r="B32" s="18"/>
      <c r="C32" s="18"/>
      <c r="D32" s="18"/>
    </row>
    <row r="33" spans="1:4" ht="16.5" customHeight="1">
      <c r="A33" s="20" t="s">
        <v>87</v>
      </c>
      <c r="B33" s="18"/>
      <c r="C33" s="18"/>
      <c r="D33" s="18"/>
    </row>
    <row r="35" spans="1:4" ht="16.5" customHeight="1">
      <c r="A35" s="3" t="s">
        <v>88</v>
      </c>
    </row>
    <row r="36" spans="1:4" ht="16.5" customHeight="1">
      <c r="A36" s="20" t="s">
        <v>89</v>
      </c>
    </row>
    <row r="37" spans="1:4" ht="16.5" customHeight="1">
      <c r="A37" s="20" t="s">
        <v>90</v>
      </c>
    </row>
    <row r="38" spans="1:4" ht="16.5" customHeight="1">
      <c r="A38" s="20" t="s">
        <v>91</v>
      </c>
    </row>
    <row r="39" spans="1:4" ht="16.5" customHeight="1">
      <c r="A39" s="20" t="s">
        <v>92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93</v>
      </c>
    </row>
    <row r="2" spans="1:6" ht="15" customHeight="1">
      <c r="A2" s="18" t="s">
        <v>94</v>
      </c>
    </row>
    <row r="4" spans="1:6" ht="15" customHeight="1">
      <c r="A4" s="26" t="s">
        <v>95</v>
      </c>
      <c r="B4" s="26" t="s">
        <v>96</v>
      </c>
      <c r="C4" s="26" t="s">
        <v>97</v>
      </c>
      <c r="D4" s="26" t="s">
        <v>98</v>
      </c>
      <c r="E4" s="26" t="s">
        <v>99</v>
      </c>
      <c r="F4" s="26" t="s">
        <v>100</v>
      </c>
    </row>
    <row r="5" spans="1:6" ht="15" customHeight="1">
      <c r="A5" s="27" t="s">
        <v>101</v>
      </c>
      <c r="B5" s="28" t="s">
        <v>102</v>
      </c>
      <c r="C5" s="29" t="s">
        <v>62</v>
      </c>
      <c r="D5" s="28" t="s">
        <v>103</v>
      </c>
      <c r="E5" s="27">
        <f>월_당기기A!$E$15</f>
        <v>27</v>
      </c>
      <c r="F5" s="27" t="s">
        <v>104</v>
      </c>
    </row>
    <row r="6" spans="1:6" ht="15" customHeight="1">
      <c r="A6" s="27" t="s">
        <v>105</v>
      </c>
      <c r="B6" s="28" t="s">
        <v>106</v>
      </c>
      <c r="C6" s="28" t="s">
        <v>107</v>
      </c>
      <c r="D6" s="28" t="s">
        <v>108</v>
      </c>
      <c r="E6" s="27">
        <f>화_밀기A!$E$26</f>
        <v>26</v>
      </c>
      <c r="F6" s="27" t="s">
        <v>109</v>
      </c>
    </row>
    <row r="7" spans="1:6" ht="15" customHeight="1">
      <c r="A7" s="27" t="s">
        <v>110</v>
      </c>
      <c r="B7" s="28" t="s">
        <v>111</v>
      </c>
      <c r="C7" s="28" t="s">
        <v>112</v>
      </c>
      <c r="D7" s="28" t="s">
        <v>113</v>
      </c>
      <c r="E7" s="27">
        <f>수_하체A!$E$23</f>
        <v>24</v>
      </c>
      <c r="F7" s="27" t="s">
        <v>104</v>
      </c>
    </row>
    <row r="8" spans="1:6" ht="15" customHeight="1">
      <c r="A8" s="30" t="s">
        <v>114</v>
      </c>
      <c r="B8" s="31" t="s">
        <v>115</v>
      </c>
      <c r="C8" s="32" t="s">
        <v>62</v>
      </c>
      <c r="D8" s="31" t="s">
        <v>116</v>
      </c>
      <c r="E8" s="30">
        <f>목_당기기B!$E$14</f>
        <v>26</v>
      </c>
      <c r="F8" s="27" t="s">
        <v>104</v>
      </c>
    </row>
    <row r="9" spans="1:6" ht="15" customHeight="1">
      <c r="A9" s="27" t="s">
        <v>117</v>
      </c>
      <c r="B9" s="28" t="s">
        <v>118</v>
      </c>
      <c r="C9" s="28" t="s">
        <v>119</v>
      </c>
      <c r="D9" s="28" t="s">
        <v>120</v>
      </c>
      <c r="E9" s="27">
        <f>금_밀기B!$E$29</f>
        <v>25</v>
      </c>
      <c r="F9" s="27" t="s">
        <v>104</v>
      </c>
    </row>
    <row r="10" spans="1:6" ht="15" customHeight="1">
      <c r="A10" s="27" t="s">
        <v>121</v>
      </c>
      <c r="B10" s="28" t="s">
        <v>122</v>
      </c>
      <c r="C10" s="28" t="s">
        <v>123</v>
      </c>
      <c r="D10" s="28" t="s">
        <v>124</v>
      </c>
      <c r="E10" s="27">
        <f>토_하체B!$E$23</f>
        <v>23</v>
      </c>
      <c r="F10" s="27" t="s">
        <v>125</v>
      </c>
    </row>
    <row r="11" spans="1:6" ht="15" customHeight="1">
      <c r="A11" s="30" t="s">
        <v>126</v>
      </c>
      <c r="B11" s="31" t="s">
        <v>127</v>
      </c>
      <c r="C11" s="32" t="s">
        <v>62</v>
      </c>
      <c r="D11" s="32" t="s">
        <v>62</v>
      </c>
      <c r="E11" s="30">
        <v>0</v>
      </c>
      <c r="F11" s="33" t="s">
        <v>62</v>
      </c>
    </row>
    <row r="12" spans="1:6" ht="15" customHeight="1">
      <c r="A12" s="34" t="s">
        <v>128</v>
      </c>
      <c r="B12" s="35"/>
      <c r="C12" s="36"/>
      <c r="D12" s="35"/>
      <c r="E12" s="34">
        <f>SUM(E5:E11)</f>
        <v>151</v>
      </c>
    </row>
    <row r="14" spans="1:6" ht="16.5" customHeight="1">
      <c r="A14" s="13" t="s">
        <v>129</v>
      </c>
    </row>
    <row r="15" spans="1:6" ht="89.25" customHeight="1">
      <c r="A15" s="37" t="s">
        <v>130</v>
      </c>
    </row>
    <row r="16" spans="1:6" ht="76.5" customHeight="1">
      <c r="A16" s="37" t="s">
        <v>131</v>
      </c>
    </row>
    <row r="17" spans="1:1" ht="38.25" customHeight="1">
      <c r="A17" s="37" t="s">
        <v>132</v>
      </c>
    </row>
    <row r="18" spans="1:1" ht="114.75" customHeight="1">
      <c r="A18" s="37" t="s">
        <v>133</v>
      </c>
    </row>
    <row r="19" spans="1:1" ht="16.5" customHeight="1">
      <c r="A19" s="20" t="s">
        <v>134</v>
      </c>
    </row>
    <row r="20" spans="1:1" ht="16.5" customHeight="1">
      <c r="A20" t="s">
        <v>135</v>
      </c>
    </row>
    <row r="21" spans="1:1" ht="15" customHeight="1">
      <c r="A21" s="14" t="s">
        <v>136</v>
      </c>
    </row>
    <row r="22" spans="1:1" ht="15" customHeight="1">
      <c r="A22" s="20" t="s">
        <v>137</v>
      </c>
    </row>
    <row r="23" spans="1:1" ht="15" customHeight="1">
      <c r="A23" s="20" t="s">
        <v>138</v>
      </c>
    </row>
    <row r="24" spans="1:1" ht="15" customHeight="1">
      <c r="A24" s="20" t="s">
        <v>139</v>
      </c>
    </row>
    <row r="25" spans="1:1" ht="16.5" customHeight="1">
      <c r="A25" s="20" t="s">
        <v>140</v>
      </c>
    </row>
    <row r="26" spans="1:1" ht="15" customHeight="1">
      <c r="A26" s="2"/>
    </row>
    <row r="27" spans="1:1" ht="15" customHeight="1">
      <c r="A27" s="3" t="s">
        <v>141</v>
      </c>
    </row>
    <row r="28" spans="1:1" ht="79.5" customHeight="1">
      <c r="A28" s="37" t="s">
        <v>142</v>
      </c>
    </row>
    <row r="29" spans="1:1" ht="64.5" customHeight="1">
      <c r="A29" s="37" t="s">
        <v>143</v>
      </c>
    </row>
    <row r="30" spans="1:1" ht="90" customHeight="1">
      <c r="A30" s="37" t="s">
        <v>144</v>
      </c>
    </row>
    <row r="31" spans="1:1" ht="102.75" customHeight="1">
      <c r="A31" s="37" t="s">
        <v>145</v>
      </c>
    </row>
    <row r="32" spans="1:1" ht="100.5" customHeight="1">
      <c r="A32" s="11"/>
    </row>
    <row r="33" spans="1:1" ht="15" customHeight="1">
      <c r="A33" s="13" t="s">
        <v>146</v>
      </c>
    </row>
    <row r="34" spans="1:1" ht="90" customHeight="1">
      <c r="A34" s="38" t="s">
        <v>147</v>
      </c>
    </row>
    <row r="35" spans="1:1" ht="51.75" customHeight="1">
      <c r="A35" s="38" t="s">
        <v>148</v>
      </c>
    </row>
    <row r="36" spans="1:1" ht="77.25" customHeight="1">
      <c r="A36" s="11"/>
    </row>
    <row r="37" spans="1:1" ht="64.5" customHeight="1">
      <c r="A37" s="13" t="s">
        <v>149</v>
      </c>
    </row>
    <row r="38" spans="1:1" ht="16.5" customHeight="1">
      <c r="A38" s="20" t="s">
        <v>150</v>
      </c>
    </row>
    <row r="39" spans="1:1" ht="16.5" customHeight="1">
      <c r="A39" s="20" t="s">
        <v>151</v>
      </c>
    </row>
    <row r="40" spans="1:1" ht="16.5" customHeight="1">
      <c r="A40" s="20" t="s">
        <v>152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pane ySplit="5" topLeftCell="A6" activePane="bottomLeft" state="frozen"/>
      <selection pane="bottomLeft" activeCell="E19" sqref="E19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153</v>
      </c>
    </row>
    <row r="2" spans="1:11" ht="16.5" customHeight="1">
      <c r="A2" s="18" t="s">
        <v>154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165</v>
      </c>
      <c r="C6" s="27" t="s">
        <v>166</v>
      </c>
      <c r="D6" s="27">
        <v>65</v>
      </c>
      <c r="E6" s="27">
        <v>4</v>
      </c>
      <c r="F6" s="33" t="s">
        <v>168</v>
      </c>
      <c r="G6" s="28" t="s">
        <v>169</v>
      </c>
      <c r="H6" s="28" t="s">
        <v>170</v>
      </c>
      <c r="I6" s="28" t="s">
        <v>171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172</v>
      </c>
      <c r="C7" s="27" t="s">
        <v>166</v>
      </c>
      <c r="D7" s="33">
        <v>32</v>
      </c>
      <c r="E7" s="27">
        <v>3</v>
      </c>
      <c r="F7" s="33" t="s">
        <v>173</v>
      </c>
      <c r="G7" s="28" t="s">
        <v>169</v>
      </c>
      <c r="H7" s="28" t="s">
        <v>174</v>
      </c>
      <c r="I7" s="28" t="s">
        <v>175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176</v>
      </c>
      <c r="C8" s="27" t="s">
        <v>177</v>
      </c>
      <c r="D8" s="27" t="s">
        <v>167</v>
      </c>
      <c r="E8" s="27">
        <v>3</v>
      </c>
      <c r="F8" s="33" t="s">
        <v>178</v>
      </c>
      <c r="G8" s="28" t="s">
        <v>179</v>
      </c>
      <c r="H8" s="28" t="s">
        <v>180</v>
      </c>
      <c r="I8" s="28" t="s">
        <v>181</v>
      </c>
      <c r="J8" s="41">
        <f>IF(볼륨램프!$C$4&gt;=$K8,$E8,0)</f>
        <v>3</v>
      </c>
      <c r="K8" s="42">
        <v>1</v>
      </c>
    </row>
    <row r="9" spans="1:11" ht="16.5" customHeight="1">
      <c r="A9" s="27">
        <v>4</v>
      </c>
      <c r="B9" s="28" t="s">
        <v>182</v>
      </c>
      <c r="C9" s="27" t="s">
        <v>183</v>
      </c>
      <c r="D9" s="27" t="s">
        <v>184</v>
      </c>
      <c r="E9" s="27">
        <v>3</v>
      </c>
      <c r="F9" s="33" t="s">
        <v>185</v>
      </c>
      <c r="G9" s="28" t="s">
        <v>186</v>
      </c>
      <c r="H9" s="28" t="s">
        <v>187</v>
      </c>
      <c r="I9" s="28" t="s">
        <v>188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189</v>
      </c>
      <c r="C10" s="27" t="s">
        <v>169</v>
      </c>
      <c r="D10" s="33" t="s">
        <v>190</v>
      </c>
      <c r="E10" s="27">
        <v>0</v>
      </c>
      <c r="F10" s="33" t="s">
        <v>173</v>
      </c>
      <c r="G10" s="28" t="s">
        <v>191</v>
      </c>
      <c r="H10" s="28" t="s">
        <v>192</v>
      </c>
      <c r="I10" s="29" t="s">
        <v>193</v>
      </c>
      <c r="J10" s="41">
        <f>IF(볼륨램프!$C$4&gt;=$K10,$E10,0)</f>
        <v>0</v>
      </c>
      <c r="K10" s="42">
        <v>1</v>
      </c>
    </row>
    <row r="11" spans="1:11" ht="16.5" customHeight="1">
      <c r="A11" s="27">
        <v>6</v>
      </c>
      <c r="B11" s="28" t="s">
        <v>194</v>
      </c>
      <c r="C11" s="27" t="s">
        <v>169</v>
      </c>
      <c r="D11" s="33">
        <v>5</v>
      </c>
      <c r="E11" s="27">
        <v>4</v>
      </c>
      <c r="F11" s="33" t="s">
        <v>173</v>
      </c>
      <c r="G11" s="28" t="s">
        <v>191</v>
      </c>
      <c r="H11" s="28" t="s">
        <v>196</v>
      </c>
      <c r="I11" s="28" t="s">
        <v>197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198</v>
      </c>
      <c r="C12" s="27" t="s">
        <v>191</v>
      </c>
      <c r="D12" s="27">
        <v>10</v>
      </c>
      <c r="E12" s="27">
        <v>4</v>
      </c>
      <c r="F12" s="33" t="s">
        <v>199</v>
      </c>
      <c r="G12" s="28"/>
      <c r="H12" s="28" t="s">
        <v>200</v>
      </c>
      <c r="I12" s="28" t="s">
        <v>201</v>
      </c>
      <c r="J12" s="41">
        <f>IF(볼륨램프!$C$4&gt;=$K12,$E12,0)</f>
        <v>4</v>
      </c>
      <c r="K12" s="42">
        <v>1</v>
      </c>
    </row>
    <row r="13" spans="1:11" ht="15" customHeight="1">
      <c r="A13" s="27">
        <v>8</v>
      </c>
      <c r="B13" s="28" t="s">
        <v>202</v>
      </c>
      <c r="C13" s="27" t="s">
        <v>203</v>
      </c>
      <c r="D13" s="27" t="s">
        <v>167</v>
      </c>
      <c r="E13" s="27">
        <v>3</v>
      </c>
      <c r="F13" s="33" t="s">
        <v>184</v>
      </c>
      <c r="G13" s="28"/>
      <c r="H13" s="28" t="s">
        <v>204</v>
      </c>
      <c r="I13" s="28" t="s">
        <v>205</v>
      </c>
      <c r="J13" s="41">
        <f>IF(볼륨램프!$C$4&gt;=$K13,$E13,0)</f>
        <v>3</v>
      </c>
      <c r="K13" s="42">
        <v>1</v>
      </c>
    </row>
    <row r="14" spans="1:11" ht="15" customHeight="1">
      <c r="A14" s="27">
        <v>9</v>
      </c>
      <c r="B14" s="28" t="s">
        <v>206</v>
      </c>
      <c r="C14" s="27" t="s">
        <v>207</v>
      </c>
      <c r="D14" s="27">
        <v>20</v>
      </c>
      <c r="E14" s="27">
        <v>3</v>
      </c>
      <c r="F14" s="33" t="s">
        <v>208</v>
      </c>
      <c r="G14" s="28" t="s">
        <v>209</v>
      </c>
      <c r="H14" s="43" t="s">
        <v>210</v>
      </c>
      <c r="I14" s="43" t="s">
        <v>211</v>
      </c>
      <c r="J14" s="41">
        <f>IF(볼륨램프!$C$4&gt;=$K14,$E14,0)</f>
        <v>3</v>
      </c>
      <c r="K14" s="42">
        <v>1</v>
      </c>
    </row>
    <row r="15" spans="1:11" ht="15" customHeight="1">
      <c r="D15" s="44" t="s">
        <v>212</v>
      </c>
      <c r="E15" s="45">
        <f>SUM(E6:E14)</f>
        <v>27</v>
      </c>
      <c r="J15" s="46">
        <f>SUM(J6:J14)</f>
        <v>27</v>
      </c>
    </row>
  </sheetData>
  <phoneticPr fontId="45" type="noConversion"/>
  <conditionalFormatting sqref="A6:K14">
    <cfRule type="expression" dxfId="5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Normal="100" workbookViewId="0">
      <pane ySplit="19" topLeftCell="A20" activePane="bottomLeft" state="frozen"/>
      <selection pane="bottomLeft" activeCell="D26" sqref="D26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213</v>
      </c>
    </row>
    <row r="2" spans="1:3" ht="16.5" customHeight="1">
      <c r="A2" s="18" t="s">
        <v>214</v>
      </c>
    </row>
    <row r="4" spans="1:3" ht="16.5" customHeight="1">
      <c r="A4" s="3" t="s">
        <v>215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>
        <f>IF(MAX(20,MROUND(시작중량_설정!$E$9*0.9,2.5))&lt;=MAX(20,MROUND(시작중량_설정!$E$9*0.75,2.5)),"생략",MAX(20,MROUND(시작중량_설정!$E$9*0.9,2.5)))</f>
        <v>22.5</v>
      </c>
      <c r="B9" s="27">
        <v>2</v>
      </c>
      <c r="C9" s="27">
        <v>1</v>
      </c>
    </row>
    <row r="10" spans="1:3" ht="15" customHeight="1">
      <c r="A10" s="47">
        <f>시작중량_설정!$E$9</f>
        <v>24.75</v>
      </c>
      <c r="B10" s="34">
        <v>5</v>
      </c>
      <c r="C10" s="34">
        <v>5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48">
        <v>1</v>
      </c>
      <c r="B20" s="49" t="s">
        <v>222</v>
      </c>
      <c r="C20" s="50" t="s">
        <v>223</v>
      </c>
      <c r="D20" s="51">
        <f>시작중량_설정!$E$9</f>
        <v>24.75</v>
      </c>
      <c r="E20" s="50">
        <v>5</v>
      </c>
      <c r="F20" s="48" t="s">
        <v>224</v>
      </c>
      <c r="G20" s="49" t="s">
        <v>225</v>
      </c>
      <c r="H20" s="49" t="s">
        <v>226</v>
      </c>
      <c r="I20" s="49" t="s">
        <v>227</v>
      </c>
      <c r="J20" s="52">
        <f>IF(볼륨램프!$C$4&gt;=$K20,$E20,0)</f>
        <v>5</v>
      </c>
      <c r="K20" s="42">
        <v>1</v>
      </c>
    </row>
    <row r="21" spans="1:11" ht="16.5" customHeight="1">
      <c r="A21" s="27">
        <v>2</v>
      </c>
      <c r="B21" s="28" t="s">
        <v>228</v>
      </c>
      <c r="C21" s="27" t="s">
        <v>223</v>
      </c>
      <c r="D21" s="94" t="s">
        <v>713</v>
      </c>
      <c r="E21" s="27">
        <v>3</v>
      </c>
      <c r="F21" s="33" t="s">
        <v>178</v>
      </c>
      <c r="G21" s="28" t="s">
        <v>229</v>
      </c>
      <c r="H21" s="28" t="s">
        <v>230</v>
      </c>
      <c r="I21" s="28" t="s">
        <v>231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28" t="s">
        <v>232</v>
      </c>
      <c r="C22" s="27" t="s">
        <v>233</v>
      </c>
      <c r="D22" s="33">
        <v>6</v>
      </c>
      <c r="E22" s="27">
        <v>4</v>
      </c>
      <c r="F22" s="33" t="s">
        <v>195</v>
      </c>
      <c r="G22" s="28"/>
      <c r="H22" s="28" t="s">
        <v>234</v>
      </c>
      <c r="I22" s="28" t="s">
        <v>235</v>
      </c>
      <c r="J22" s="41">
        <f>IF(볼륨램프!$C$4&gt;=$K22,$E22,0)</f>
        <v>4</v>
      </c>
      <c r="K22" s="42">
        <v>1</v>
      </c>
    </row>
    <row r="23" spans="1:11" ht="16.5" customHeight="1">
      <c r="A23" s="27">
        <v>4</v>
      </c>
      <c r="B23" s="28" t="s">
        <v>236</v>
      </c>
      <c r="C23" s="27" t="s">
        <v>229</v>
      </c>
      <c r="D23" s="33">
        <v>10</v>
      </c>
      <c r="E23" s="27">
        <v>4</v>
      </c>
      <c r="F23" s="33" t="s">
        <v>173</v>
      </c>
      <c r="G23" s="28"/>
      <c r="H23" s="28" t="s">
        <v>237</v>
      </c>
      <c r="I23" s="28" t="s">
        <v>238</v>
      </c>
      <c r="J23" s="41">
        <f>IF(볼륨램프!$C$4&gt;=$K23,$E23,0)</f>
        <v>4</v>
      </c>
      <c r="K23" s="42">
        <v>1</v>
      </c>
    </row>
    <row r="24" spans="1:11" ht="16.5" customHeight="1">
      <c r="A24" s="27">
        <v>5</v>
      </c>
      <c r="B24" s="28" t="s">
        <v>239</v>
      </c>
      <c r="C24" s="27" t="s">
        <v>240</v>
      </c>
      <c r="D24" s="33">
        <v>5</v>
      </c>
      <c r="E24" s="27">
        <v>6</v>
      </c>
      <c r="F24" s="33" t="s">
        <v>185</v>
      </c>
      <c r="G24" s="28"/>
      <c r="H24" s="28" t="s">
        <v>241</v>
      </c>
      <c r="I24" s="28" t="s">
        <v>242</v>
      </c>
      <c r="J24" s="41">
        <f>IF(볼륨램프!$C$4&gt;=$K24,$E24,0)</f>
        <v>6</v>
      </c>
      <c r="K24" s="42">
        <v>1</v>
      </c>
    </row>
    <row r="25" spans="1:11" ht="16.5" customHeight="1">
      <c r="A25" s="27">
        <v>6</v>
      </c>
      <c r="B25" s="28" t="s">
        <v>243</v>
      </c>
      <c r="C25" s="53" t="s">
        <v>244</v>
      </c>
      <c r="D25" s="33">
        <v>20</v>
      </c>
      <c r="E25" s="27">
        <v>4</v>
      </c>
      <c r="F25" s="33" t="s">
        <v>185</v>
      </c>
      <c r="G25" s="28"/>
      <c r="H25" s="28"/>
      <c r="I25" s="28"/>
      <c r="J25" s="41">
        <f>IF(볼륨램프!$C$4&gt;=$K25,$E25,0)</f>
        <v>4</v>
      </c>
      <c r="K25" s="42">
        <v>1</v>
      </c>
    </row>
    <row r="26" spans="1:11" ht="15" customHeight="1">
      <c r="D26" s="3" t="s">
        <v>212</v>
      </c>
      <c r="E26" s="34">
        <f>SUM(E20:E25)</f>
        <v>26</v>
      </c>
      <c r="J26" s="41">
        <f>SUM(J20:J25)</f>
        <v>26</v>
      </c>
    </row>
  </sheetData>
  <phoneticPr fontId="45" type="noConversion"/>
  <conditionalFormatting sqref="A20:K25">
    <cfRule type="expression" dxfId="4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zoomScaleNormal="100" workbookViewId="0">
      <pane ySplit="14" topLeftCell="A15" activePane="bottomLeft" state="frozen"/>
      <selection pane="bottomLeft" activeCell="K22" sqref="K2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245</v>
      </c>
    </row>
    <row r="2" spans="1:11" ht="16.5" customHeight="1">
      <c r="A2" s="18" t="s">
        <v>246</v>
      </c>
    </row>
    <row r="4" spans="1:11" ht="16.5" customHeight="1">
      <c r="A4" s="3" t="s">
        <v>247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IF(MAX(20,MROUND(시작중량_설정!$E$7*0.6,2.5))&lt;=MAX(20,MROUND(시작중량_설정!$E$7*0.4,2.5)),"생략",MAX(20,MROUND(시작중량_설정!$E$7*0.6,2.5)))</f>
        <v>25</v>
      </c>
      <c r="B7" s="27">
        <v>5</v>
      </c>
      <c r="C7" s="27">
        <v>1</v>
      </c>
    </row>
    <row r="8" spans="1:11" ht="15" customHeight="1">
      <c r="A8" s="27">
        <f>IF(MAX(20,MROUND(시작중량_설정!$E$7*0.75,2.5))&lt;=MAX(20,MROUND(시작중량_설정!$E$7*0.6,2.5)),"생략",MAX(20,MROUND(시작중량_설정!$E$7*0.75,2.5)))</f>
        <v>32.5</v>
      </c>
      <c r="B8" s="27">
        <v>3</v>
      </c>
      <c r="C8" s="27">
        <v>1</v>
      </c>
    </row>
    <row r="9" spans="1:11" ht="15" customHeight="1">
      <c r="A9" s="27">
        <f>IF(MAX(20,MROUND(시작중량_설정!$E$7*0.9,2.5))&lt;=MAX(20,MROUND(시작중량_설정!$E$7*0.75,2.5)),"생략",MAX(20,MROUND(시작중량_설정!$E$7*0.9,2.5)))</f>
        <v>37.5</v>
      </c>
      <c r="B9" s="27">
        <v>2</v>
      </c>
      <c r="C9" s="27">
        <v>1</v>
      </c>
    </row>
    <row r="10" spans="1:11" ht="15" customHeight="1">
      <c r="A10" s="47">
        <f>시작중량_설정!$E$7</f>
        <v>42.5</v>
      </c>
      <c r="B10" s="34">
        <v>5</v>
      </c>
      <c r="C10" s="34">
        <v>5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248</v>
      </c>
      <c r="C15" s="50" t="s">
        <v>249</v>
      </c>
      <c r="D15" s="51">
        <f>시작중량_설정!$E$7</f>
        <v>42.5</v>
      </c>
      <c r="E15" s="50">
        <v>5</v>
      </c>
      <c r="F15" s="48" t="s">
        <v>224</v>
      </c>
      <c r="G15" s="49" t="s">
        <v>250</v>
      </c>
      <c r="H15" s="49" t="s">
        <v>251</v>
      </c>
      <c r="I15" s="49" t="s">
        <v>252</v>
      </c>
      <c r="J15" s="52">
        <f>IF(볼륨램프!$C$4&gt;=$K15,$E15,0)</f>
        <v>5</v>
      </c>
      <c r="K15" s="42">
        <v>1</v>
      </c>
    </row>
    <row r="16" spans="1:11" ht="16.5" customHeight="1">
      <c r="A16" s="27">
        <v>2</v>
      </c>
      <c r="B16" s="28" t="s">
        <v>253</v>
      </c>
      <c r="C16" s="27" t="s">
        <v>249</v>
      </c>
      <c r="D16" s="33">
        <v>90</v>
      </c>
      <c r="E16" s="27">
        <v>3</v>
      </c>
      <c r="F16" s="33" t="s">
        <v>173</v>
      </c>
      <c r="G16" s="28" t="s">
        <v>254</v>
      </c>
      <c r="H16" s="28" t="s">
        <v>255</v>
      </c>
      <c r="I16" s="28" t="s">
        <v>256</v>
      </c>
      <c r="J16" s="41">
        <f>IF(볼륨램프!$C$4&gt;=$K16,$E16,0)</f>
        <v>3</v>
      </c>
      <c r="K16" s="42">
        <v>1</v>
      </c>
    </row>
    <row r="17" spans="1:11" ht="16.5" customHeight="1">
      <c r="A17" s="27">
        <v>3</v>
      </c>
      <c r="B17" s="28" t="s">
        <v>257</v>
      </c>
      <c r="C17" s="27" t="s">
        <v>254</v>
      </c>
      <c r="D17" s="27">
        <v>15</v>
      </c>
      <c r="E17" s="27">
        <v>0</v>
      </c>
      <c r="F17" s="33" t="s">
        <v>258</v>
      </c>
      <c r="G17" s="28" t="s">
        <v>259</v>
      </c>
      <c r="H17" s="28" t="s">
        <v>260</v>
      </c>
      <c r="I17" s="28" t="s">
        <v>261</v>
      </c>
      <c r="J17" s="41">
        <f>IF(볼륨램프!$C$4&gt;=$K17,$E17,0)</f>
        <v>0</v>
      </c>
      <c r="K17" s="42">
        <v>1</v>
      </c>
    </row>
    <row r="18" spans="1:11" ht="16.5" customHeight="1">
      <c r="A18" s="27">
        <v>4</v>
      </c>
      <c r="B18" s="28" t="s">
        <v>262</v>
      </c>
      <c r="C18" s="27" t="s">
        <v>263</v>
      </c>
      <c r="D18" s="33">
        <v>35</v>
      </c>
      <c r="E18" s="27">
        <v>4</v>
      </c>
      <c r="F18" s="33" t="s">
        <v>195</v>
      </c>
      <c r="G18" s="28"/>
      <c r="H18" s="28" t="s">
        <v>264</v>
      </c>
      <c r="I18" s="28" t="s">
        <v>265</v>
      </c>
      <c r="J18" s="41">
        <f>IF(볼륨램프!$C$4&gt;=$K18,$E18,0)</f>
        <v>4</v>
      </c>
      <c r="K18" s="42">
        <v>1</v>
      </c>
    </row>
    <row r="19" spans="1:11" ht="16.5" customHeight="1">
      <c r="A19" s="27">
        <v>5</v>
      </c>
      <c r="B19" s="28" t="s">
        <v>266</v>
      </c>
      <c r="C19" s="27" t="s">
        <v>267</v>
      </c>
      <c r="D19" s="33">
        <v>32</v>
      </c>
      <c r="E19" s="27">
        <v>4</v>
      </c>
      <c r="F19" s="33" t="s">
        <v>185</v>
      </c>
      <c r="G19" s="28"/>
      <c r="H19" s="28" t="s">
        <v>268</v>
      </c>
      <c r="I19" s="28" t="s">
        <v>269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270</v>
      </c>
      <c r="C20" s="27" t="s">
        <v>271</v>
      </c>
      <c r="D20" s="33" t="s">
        <v>62</v>
      </c>
      <c r="E20" s="27">
        <v>3</v>
      </c>
      <c r="F20" s="33" t="s">
        <v>272</v>
      </c>
      <c r="G20" s="28"/>
      <c r="H20" s="28" t="s">
        <v>273</v>
      </c>
      <c r="I20" s="28" t="s">
        <v>274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275</v>
      </c>
      <c r="C21" s="27" t="s">
        <v>276</v>
      </c>
      <c r="D21" s="33" t="s">
        <v>62</v>
      </c>
      <c r="E21" s="27">
        <v>3</v>
      </c>
      <c r="F21" s="33" t="s">
        <v>185</v>
      </c>
      <c r="G21" s="28"/>
      <c r="H21" s="28" t="s">
        <v>277</v>
      </c>
      <c r="I21" s="28" t="s">
        <v>278</v>
      </c>
      <c r="J21" s="41">
        <f>IF(볼륨램프!$C$4&gt;=$K21,$E21,0)</f>
        <v>3</v>
      </c>
      <c r="K21" s="42">
        <v>1</v>
      </c>
    </row>
    <row r="22" spans="1:11" ht="15" customHeight="1">
      <c r="A22" s="27">
        <v>8</v>
      </c>
      <c r="B22" s="43" t="s">
        <v>714</v>
      </c>
      <c r="C22" s="27" t="s">
        <v>203</v>
      </c>
      <c r="D22" s="33">
        <v>5</v>
      </c>
      <c r="E22" s="27">
        <v>2</v>
      </c>
      <c r="F22" s="33" t="s">
        <v>279</v>
      </c>
      <c r="G22" s="28"/>
      <c r="H22" s="28" t="s">
        <v>280</v>
      </c>
      <c r="I22" s="28" t="s">
        <v>281</v>
      </c>
      <c r="J22" s="41">
        <f>IF(볼륨램프!$C$4&gt;=$K22,$E22,0)</f>
        <v>2</v>
      </c>
      <c r="K22" s="42">
        <v>1</v>
      </c>
    </row>
    <row r="23" spans="1:11">
      <c r="D23" s="3" t="s">
        <v>212</v>
      </c>
      <c r="E23" s="34">
        <f>SUM(E15:E22)</f>
        <v>24</v>
      </c>
      <c r="J23" s="41">
        <f>SUM(J15:J22)</f>
        <v>24</v>
      </c>
    </row>
  </sheetData>
  <phoneticPr fontId="45" type="noConversion"/>
  <conditionalFormatting sqref="A15:K22">
    <cfRule type="expression" dxfId="3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zoomScaleNormal="100" workbookViewId="0">
      <pane ySplit="5" topLeftCell="A6" activePane="bottomLeft" state="frozen"/>
      <selection pane="bottomLeft" activeCell="K13" sqref="K13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282</v>
      </c>
    </row>
    <row r="2" spans="1:11" ht="16.5" customHeight="1">
      <c r="A2" s="18" t="s">
        <v>283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284</v>
      </c>
      <c r="C6" s="27" t="s">
        <v>166</v>
      </c>
      <c r="D6" s="33" t="s">
        <v>62</v>
      </c>
      <c r="E6" s="27">
        <v>4</v>
      </c>
      <c r="F6" s="33" t="s">
        <v>178</v>
      </c>
      <c r="G6" s="28" t="s">
        <v>285</v>
      </c>
      <c r="H6" s="28" t="s">
        <v>286</v>
      </c>
      <c r="I6" s="28" t="s">
        <v>287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288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285</v>
      </c>
      <c r="H7" s="28" t="s">
        <v>289</v>
      </c>
      <c r="I7" s="28" t="s">
        <v>290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291</v>
      </c>
      <c r="C8" s="27" t="s">
        <v>183</v>
      </c>
      <c r="D8" s="27" t="s">
        <v>292</v>
      </c>
      <c r="E8" s="27">
        <v>4</v>
      </c>
      <c r="F8" s="33" t="s">
        <v>185</v>
      </c>
      <c r="G8" s="28" t="s">
        <v>293</v>
      </c>
      <c r="H8" s="28" t="s">
        <v>294</v>
      </c>
      <c r="I8" s="28" t="s">
        <v>295</v>
      </c>
      <c r="J8" s="41">
        <f>IF(볼륨램프!$C$4&gt;=$K8,$E8,0)</f>
        <v>4</v>
      </c>
      <c r="K8" s="42">
        <v>1</v>
      </c>
    </row>
    <row r="9" spans="1:11" ht="16.5" customHeight="1">
      <c r="A9" s="27">
        <v>4</v>
      </c>
      <c r="B9" s="28" t="s">
        <v>296</v>
      </c>
      <c r="C9" s="27" t="s">
        <v>244</v>
      </c>
      <c r="D9" s="33" t="s">
        <v>185</v>
      </c>
      <c r="E9" s="27">
        <v>3</v>
      </c>
      <c r="F9" s="33" t="s">
        <v>208</v>
      </c>
      <c r="G9" s="28" t="s">
        <v>297</v>
      </c>
      <c r="H9" s="28" t="s">
        <v>298</v>
      </c>
      <c r="I9" s="28" t="s">
        <v>299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300</v>
      </c>
      <c r="C10" s="27" t="s">
        <v>169</v>
      </c>
      <c r="D10" s="33" t="s">
        <v>301</v>
      </c>
      <c r="E10" s="27">
        <v>3</v>
      </c>
      <c r="F10" s="33" t="s">
        <v>173</v>
      </c>
      <c r="G10" s="28" t="s">
        <v>191</v>
      </c>
      <c r="H10" s="28" t="s">
        <v>302</v>
      </c>
      <c r="I10" s="29" t="s">
        <v>303</v>
      </c>
      <c r="J10" s="41">
        <f>IF(볼륨램프!$C$4&gt;=$K10,$E10,0)</f>
        <v>3</v>
      </c>
      <c r="K10" s="42">
        <v>1</v>
      </c>
    </row>
    <row r="11" spans="1:11" ht="16.5" customHeight="1">
      <c r="A11" s="27">
        <v>6</v>
      </c>
      <c r="B11" s="28" t="s">
        <v>304</v>
      </c>
      <c r="C11" s="27" t="s">
        <v>191</v>
      </c>
      <c r="D11" s="27">
        <v>10</v>
      </c>
      <c r="E11" s="27">
        <v>4</v>
      </c>
      <c r="F11" s="33" t="s">
        <v>199</v>
      </c>
      <c r="G11" s="28"/>
      <c r="H11" s="28" t="s">
        <v>305</v>
      </c>
      <c r="I11" s="28" t="s">
        <v>306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307</v>
      </c>
      <c r="C12" s="27" t="s">
        <v>308</v>
      </c>
      <c r="D12" s="27" t="s">
        <v>309</v>
      </c>
      <c r="E12" s="27">
        <v>2</v>
      </c>
      <c r="F12" s="33" t="s">
        <v>195</v>
      </c>
      <c r="G12" s="28" t="s">
        <v>310</v>
      </c>
      <c r="H12" s="28" t="s">
        <v>311</v>
      </c>
      <c r="I12" s="28" t="s">
        <v>312</v>
      </c>
      <c r="J12" s="41">
        <f>IF(볼륨램프!$C$4&gt;=$K12,$E12,0)</f>
        <v>2</v>
      </c>
      <c r="K12" s="42">
        <v>1</v>
      </c>
    </row>
    <row r="13" spans="1:11" ht="15" customHeight="1">
      <c r="A13" s="27">
        <v>8</v>
      </c>
      <c r="B13" s="28" t="s">
        <v>313</v>
      </c>
      <c r="C13" s="27" t="s">
        <v>203</v>
      </c>
      <c r="D13" s="27">
        <v>2.5</v>
      </c>
      <c r="E13" s="27">
        <v>3</v>
      </c>
      <c r="F13" s="33" t="s">
        <v>208</v>
      </c>
      <c r="G13" s="28"/>
      <c r="H13" s="28" t="s">
        <v>314</v>
      </c>
      <c r="I13" s="28" t="s">
        <v>315</v>
      </c>
      <c r="J13" s="41">
        <f>IF(볼륨램프!$C$4&gt;=$K13,$E13,0)</f>
        <v>3</v>
      </c>
      <c r="K13" s="42">
        <v>1</v>
      </c>
    </row>
    <row r="14" spans="1:11" ht="15" customHeight="1">
      <c r="D14" s="3" t="s">
        <v>212</v>
      </c>
      <c r="E14" s="34">
        <f>SUM(E6:E13)</f>
        <v>26</v>
      </c>
      <c r="J14" s="41">
        <f>SUM(J6:J13)</f>
        <v>26</v>
      </c>
    </row>
  </sheetData>
  <phoneticPr fontId="45" type="noConversion"/>
  <conditionalFormatting sqref="A6:K13">
    <cfRule type="expression" dxfId="2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zoomScaleNormal="100" workbookViewId="0">
      <pane ySplit="19" topLeftCell="A20" activePane="bottomLeft" state="frozen"/>
      <selection pane="bottomLeft" activeCell="K20" sqref="K2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316</v>
      </c>
    </row>
    <row r="2" spans="1:3" ht="16.5" customHeight="1">
      <c r="A2" s="18" t="s">
        <v>317</v>
      </c>
    </row>
    <row r="4" spans="1:3" ht="16.5" customHeight="1">
      <c r="A4" s="3" t="s">
        <v>318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21.25</v>
      </c>
      <c r="B10" s="34">
        <v>5</v>
      </c>
      <c r="C10" s="34">
        <v>3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50">
        <v>1</v>
      </c>
      <c r="B20" s="49" t="s">
        <v>319</v>
      </c>
      <c r="C20" s="50" t="s">
        <v>320</v>
      </c>
      <c r="D20" s="51">
        <f>시작중량_설정!$E$10</f>
        <v>21.25</v>
      </c>
      <c r="E20" s="50">
        <v>3</v>
      </c>
      <c r="F20" s="48" t="s">
        <v>224</v>
      </c>
      <c r="G20" s="49" t="s">
        <v>321</v>
      </c>
      <c r="H20" s="49" t="s">
        <v>322</v>
      </c>
      <c r="I20" s="49" t="s">
        <v>323</v>
      </c>
      <c r="J20" s="52">
        <f>IF(볼륨램프!$C$4&gt;=$K20,$E20,0)</f>
        <v>3</v>
      </c>
      <c r="K20" s="42">
        <v>1</v>
      </c>
    </row>
    <row r="21" spans="1:11" ht="16.5" customHeight="1">
      <c r="A21" s="27">
        <v>2</v>
      </c>
      <c r="B21" s="28" t="s">
        <v>324</v>
      </c>
      <c r="C21" s="27" t="s">
        <v>320</v>
      </c>
      <c r="D21" s="27">
        <v>15</v>
      </c>
      <c r="E21" s="27">
        <v>3</v>
      </c>
      <c r="F21" s="33" t="s">
        <v>208</v>
      </c>
      <c r="G21" s="28" t="s">
        <v>325</v>
      </c>
      <c r="H21" s="28" t="s">
        <v>326</v>
      </c>
      <c r="I21" s="28" t="s">
        <v>327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43" t="s">
        <v>328</v>
      </c>
      <c r="C22" s="27" t="s">
        <v>177</v>
      </c>
      <c r="D22" s="27" t="s">
        <v>329</v>
      </c>
      <c r="E22" s="27">
        <v>3</v>
      </c>
      <c r="F22" s="33" t="s">
        <v>185</v>
      </c>
      <c r="G22" s="28" t="s">
        <v>179</v>
      </c>
      <c r="H22" s="28" t="s">
        <v>330</v>
      </c>
      <c r="I22" s="28" t="s">
        <v>331</v>
      </c>
      <c r="J22" s="41">
        <f>IF(볼륨램프!$C$4&gt;=$K22,$E22,0)</f>
        <v>3</v>
      </c>
      <c r="K22" s="42">
        <v>1</v>
      </c>
    </row>
    <row r="23" spans="1:11" ht="16.5" customHeight="1">
      <c r="A23" s="27">
        <v>4</v>
      </c>
      <c r="B23" s="28" t="s">
        <v>332</v>
      </c>
      <c r="C23" s="27" t="s">
        <v>223</v>
      </c>
      <c r="D23" s="33" t="s">
        <v>333</v>
      </c>
      <c r="E23" s="27">
        <v>3</v>
      </c>
      <c r="F23" s="33" t="s">
        <v>173</v>
      </c>
      <c r="G23" s="28" t="s">
        <v>229</v>
      </c>
      <c r="H23" s="28" t="s">
        <v>334</v>
      </c>
      <c r="I23" s="28" t="s">
        <v>335</v>
      </c>
      <c r="J23" s="41">
        <f>IF(볼륨램프!$C$4&gt;=$K23,$E23,0)</f>
        <v>3</v>
      </c>
      <c r="K23" s="42">
        <v>1</v>
      </c>
    </row>
    <row r="24" spans="1:11" ht="16.5" customHeight="1">
      <c r="A24" s="27">
        <v>5</v>
      </c>
      <c r="B24" s="28" t="s">
        <v>336</v>
      </c>
      <c r="C24" s="27" t="s">
        <v>233</v>
      </c>
      <c r="D24" s="33" t="s">
        <v>337</v>
      </c>
      <c r="E24" s="27">
        <v>4</v>
      </c>
      <c r="F24" s="33" t="s">
        <v>178</v>
      </c>
      <c r="G24" s="28" t="s">
        <v>225</v>
      </c>
      <c r="H24" s="28" t="s">
        <v>338</v>
      </c>
      <c r="I24" s="28" t="s">
        <v>339</v>
      </c>
      <c r="J24" s="41">
        <f>IF(볼륨램프!$C$4&gt;=$K24,$E24,0)</f>
        <v>4</v>
      </c>
      <c r="K24" s="42">
        <v>1</v>
      </c>
    </row>
    <row r="25" spans="1:11" ht="16.5" customHeight="1">
      <c r="A25" s="27">
        <v>6</v>
      </c>
      <c r="B25" s="28" t="s">
        <v>340</v>
      </c>
      <c r="C25" s="27" t="s">
        <v>244</v>
      </c>
      <c r="D25" s="33" t="s">
        <v>178</v>
      </c>
      <c r="E25" s="27">
        <v>3</v>
      </c>
      <c r="F25" s="33" t="s">
        <v>185</v>
      </c>
      <c r="G25" s="28"/>
      <c r="H25" s="28" t="s">
        <v>341</v>
      </c>
      <c r="I25" s="28" t="s">
        <v>342</v>
      </c>
      <c r="J25" s="41">
        <f>IF(볼륨램프!$C$4&gt;=$K25,$E25,0)</f>
        <v>3</v>
      </c>
      <c r="K25" s="42">
        <v>1</v>
      </c>
    </row>
    <row r="26" spans="1:11" ht="16.5" customHeight="1">
      <c r="A26" s="27">
        <v>7</v>
      </c>
      <c r="B26" s="28" t="s">
        <v>343</v>
      </c>
      <c r="C26" s="27" t="s">
        <v>240</v>
      </c>
      <c r="D26" s="33" t="s">
        <v>178</v>
      </c>
      <c r="E26" s="27">
        <v>3</v>
      </c>
      <c r="F26" s="33" t="s">
        <v>195</v>
      </c>
      <c r="G26" s="28"/>
      <c r="H26" s="28" t="s">
        <v>344</v>
      </c>
      <c r="I26" s="28" t="s">
        <v>345</v>
      </c>
      <c r="J26" s="41">
        <f>IF(볼륨램프!$C$4&gt;=$K26,$E26,0)</f>
        <v>3</v>
      </c>
      <c r="K26" s="42">
        <v>1</v>
      </c>
    </row>
    <row r="27" spans="1:11" ht="16.5" customHeight="1">
      <c r="A27" s="27">
        <v>8</v>
      </c>
      <c r="B27" s="28" t="s">
        <v>346</v>
      </c>
      <c r="C27" s="27" t="s">
        <v>177</v>
      </c>
      <c r="D27" s="33" t="s">
        <v>347</v>
      </c>
      <c r="E27" s="27">
        <v>0</v>
      </c>
      <c r="F27" s="33" t="s">
        <v>185</v>
      </c>
      <c r="G27" s="28" t="s">
        <v>293</v>
      </c>
      <c r="H27" s="28" t="s">
        <v>348</v>
      </c>
      <c r="I27" s="28" t="s">
        <v>349</v>
      </c>
      <c r="J27" s="41">
        <f>IF(볼륨램프!$C$4&gt;=$K27,$E27,0)</f>
        <v>0</v>
      </c>
      <c r="K27" s="42">
        <v>1</v>
      </c>
    </row>
    <row r="28" spans="1:11" ht="15" customHeight="1">
      <c r="A28" s="27">
        <v>9</v>
      </c>
      <c r="B28" s="28" t="s">
        <v>350</v>
      </c>
      <c r="C28" s="27" t="s">
        <v>229</v>
      </c>
      <c r="D28" s="33" t="s">
        <v>62</v>
      </c>
      <c r="E28" s="27">
        <v>3</v>
      </c>
      <c r="F28" s="33" t="s">
        <v>173</v>
      </c>
      <c r="G28" s="28"/>
      <c r="H28" s="28" t="s">
        <v>351</v>
      </c>
      <c r="I28" s="28" t="s">
        <v>352</v>
      </c>
      <c r="J28" s="41">
        <f>IF(볼륨램프!$C$4&gt;=$K28,$E28,0)</f>
        <v>3</v>
      </c>
      <c r="K28" s="42">
        <v>1</v>
      </c>
    </row>
    <row r="29" spans="1:11" ht="15" customHeight="1">
      <c r="D29" s="54" t="s">
        <v>212</v>
      </c>
      <c r="E29" s="55">
        <f>SUM(E20:E28)</f>
        <v>25</v>
      </c>
      <c r="J29" s="46">
        <f>SUM(J20:J28)</f>
        <v>25</v>
      </c>
    </row>
    <row r="31" spans="1:11" ht="16.5" customHeight="1">
      <c r="A31" s="3" t="s">
        <v>353</v>
      </c>
    </row>
    <row r="32" spans="1:11" ht="16.5" customHeight="1">
      <c r="A32" s="20" t="s">
        <v>354</v>
      </c>
    </row>
    <row r="33" spans="1:1" ht="16.5" customHeight="1">
      <c r="A33" s="20" t="s">
        <v>355</v>
      </c>
    </row>
    <row r="34" spans="1:1" ht="16.5" customHeight="1">
      <c r="A34" s="20" t="s">
        <v>356</v>
      </c>
    </row>
    <row r="35" spans="1:1" ht="16.5" customHeight="1">
      <c r="A35" s="20" t="s">
        <v>357</v>
      </c>
    </row>
    <row r="36" spans="1:1" ht="16.5" customHeight="1">
      <c r="A36" s="20" t="s">
        <v>358</v>
      </c>
    </row>
    <row r="37" spans="1:1" ht="16.5" customHeight="1">
      <c r="A37" s="20" t="s">
        <v>359</v>
      </c>
    </row>
    <row r="38" spans="1:1" ht="16.5" customHeight="1">
      <c r="A38" s="20" t="s">
        <v>360</v>
      </c>
    </row>
  </sheetData>
  <phoneticPr fontId="45" type="noConversion"/>
  <conditionalFormatting sqref="A20:K28">
    <cfRule type="expression" dxfId="1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tabSelected="1" zoomScaleNormal="100" workbookViewId="0">
      <pane ySplit="14" topLeftCell="A15" activePane="bottomLeft" state="frozen"/>
      <selection pane="bottomLeft" activeCell="N22" sqref="N22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361</v>
      </c>
    </row>
    <row r="2" spans="1:11" ht="16.5" customHeight="1">
      <c r="A2" s="18" t="s">
        <v>362</v>
      </c>
    </row>
    <row r="4" spans="1:11" ht="16.5" customHeight="1">
      <c r="A4" s="3" t="s">
        <v>363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IF(MAX(20,MROUND(시작중량_설정!$E$8*0.6,2.5))&lt;=MAX(20,MROUND(시작중량_설정!$E$8*0.4,2.5)),"생략",MAX(20,MROUND(시작중량_설정!$E$8*0.6,2.5)))</f>
        <v>27.5</v>
      </c>
      <c r="B7" s="27">
        <v>5</v>
      </c>
      <c r="C7" s="27">
        <v>1</v>
      </c>
    </row>
    <row r="8" spans="1:11" ht="15" customHeight="1">
      <c r="A8" s="27">
        <f>IF(MAX(20,MROUND(시작중량_설정!$E$8*0.75,2.5))&lt;=MAX(20,MROUND(시작중량_설정!$E$8*0.6,2.5)),"생략",MAX(20,MROUND(시작중량_설정!$E$8*0.75,2.5)))</f>
        <v>35</v>
      </c>
      <c r="B8" s="27">
        <v>3</v>
      </c>
      <c r="C8" s="27">
        <v>1</v>
      </c>
    </row>
    <row r="9" spans="1:11" ht="15" customHeight="1">
      <c r="A9" s="27">
        <f>IF(MAX(20,MROUND(시작중량_설정!$E$8*0.9,2.5))&lt;=MAX(20,MROUND(시작중량_설정!$E$8*0.75,2.5)),"생략",MAX(20,MROUND(시작중량_설정!$E$8*0.9,2.5)))</f>
        <v>42.5</v>
      </c>
      <c r="B9" s="27">
        <v>2</v>
      </c>
      <c r="C9" s="27">
        <v>1</v>
      </c>
    </row>
    <row r="10" spans="1:11" ht="15" customHeight="1">
      <c r="A10" s="47">
        <f>시작중량_설정!$E$8</f>
        <v>47.5</v>
      </c>
      <c r="B10" s="34">
        <v>5</v>
      </c>
      <c r="C10" s="34">
        <v>1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364</v>
      </c>
      <c r="C15" s="50" t="s">
        <v>207</v>
      </c>
      <c r="D15" s="51">
        <f>시작중량_설정!$E$8</f>
        <v>47.5</v>
      </c>
      <c r="E15" s="50">
        <v>1</v>
      </c>
      <c r="F15" s="48" t="s">
        <v>224</v>
      </c>
      <c r="G15" s="49" t="s">
        <v>365</v>
      </c>
      <c r="H15" s="49" t="s">
        <v>366</v>
      </c>
      <c r="I15" s="49" t="s">
        <v>367</v>
      </c>
      <c r="J15" s="52">
        <f>IF(볼륨램프!$C$4&gt;=$K15,$E15,0)</f>
        <v>1</v>
      </c>
      <c r="K15" s="42">
        <v>1</v>
      </c>
    </row>
    <row r="16" spans="1:11" ht="16.5" customHeight="1">
      <c r="A16" s="27">
        <v>2</v>
      </c>
      <c r="B16" s="28" t="s">
        <v>368</v>
      </c>
      <c r="C16" s="27" t="s">
        <v>254</v>
      </c>
      <c r="D16" s="33" t="s">
        <v>369</v>
      </c>
      <c r="E16" s="27">
        <v>4</v>
      </c>
      <c r="F16" s="33" t="s">
        <v>173</v>
      </c>
      <c r="G16" s="28" t="s">
        <v>263</v>
      </c>
      <c r="H16" s="28" t="s">
        <v>370</v>
      </c>
      <c r="I16" s="28" t="s">
        <v>371</v>
      </c>
      <c r="J16" s="41">
        <f>IF(볼륨램프!$C$4&gt;=$K16,$E16,0)</f>
        <v>4</v>
      </c>
      <c r="K16" s="42">
        <v>1</v>
      </c>
    </row>
    <row r="17" spans="1:11" ht="16.5" customHeight="1">
      <c r="A17" s="27">
        <v>3</v>
      </c>
      <c r="B17" s="28" t="s">
        <v>372</v>
      </c>
      <c r="C17" s="27" t="s">
        <v>263</v>
      </c>
      <c r="D17" s="27">
        <v>70</v>
      </c>
      <c r="E17" s="27">
        <v>3</v>
      </c>
      <c r="F17" s="33" t="s">
        <v>373</v>
      </c>
      <c r="G17" s="28" t="s">
        <v>250</v>
      </c>
      <c r="H17" s="28" t="s">
        <v>374</v>
      </c>
      <c r="I17" s="28" t="s">
        <v>375</v>
      </c>
      <c r="J17" s="41">
        <f>IF(볼륨램프!$C$4&gt;=$K17,$E17,0)</f>
        <v>3</v>
      </c>
      <c r="K17" s="42">
        <v>1</v>
      </c>
    </row>
    <row r="18" spans="1:11" ht="16.5" customHeight="1">
      <c r="A18" s="27">
        <v>4</v>
      </c>
      <c r="B18" s="28" t="s">
        <v>376</v>
      </c>
      <c r="C18" s="27" t="s">
        <v>263</v>
      </c>
      <c r="D18" s="33" t="s">
        <v>62</v>
      </c>
      <c r="E18" s="27">
        <v>3</v>
      </c>
      <c r="F18" s="33" t="s">
        <v>377</v>
      </c>
      <c r="G18" s="28"/>
      <c r="H18" s="28" t="s">
        <v>378</v>
      </c>
      <c r="I18" s="28" t="s">
        <v>379</v>
      </c>
      <c r="J18" s="41">
        <f>IF(볼륨램프!$C$4&gt;=$K18,$E18,0)</f>
        <v>3</v>
      </c>
      <c r="K18" s="42">
        <v>1</v>
      </c>
    </row>
    <row r="19" spans="1:11" ht="16.5" customHeight="1">
      <c r="A19" s="27">
        <v>5</v>
      </c>
      <c r="B19" s="28" t="s">
        <v>380</v>
      </c>
      <c r="C19" s="27" t="s">
        <v>249</v>
      </c>
      <c r="D19" s="33" t="s">
        <v>62</v>
      </c>
      <c r="E19" s="27">
        <v>4</v>
      </c>
      <c r="F19" s="33" t="s">
        <v>195</v>
      </c>
      <c r="G19" s="28"/>
      <c r="H19" s="28" t="s">
        <v>381</v>
      </c>
      <c r="I19" s="28" t="s">
        <v>382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253</v>
      </c>
      <c r="C20" s="27" t="s">
        <v>249</v>
      </c>
      <c r="D20" s="33" t="s">
        <v>62</v>
      </c>
      <c r="E20" s="27">
        <v>3</v>
      </c>
      <c r="F20" s="33" t="s">
        <v>173</v>
      </c>
      <c r="G20" s="28" t="s">
        <v>254</v>
      </c>
      <c r="H20" s="28" t="s">
        <v>383</v>
      </c>
      <c r="I20" s="28" t="s">
        <v>384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385</v>
      </c>
      <c r="C21" s="27" t="s">
        <v>276</v>
      </c>
      <c r="D21" s="33" t="s">
        <v>62</v>
      </c>
      <c r="E21" s="27">
        <v>3</v>
      </c>
      <c r="F21" s="33" t="s">
        <v>185</v>
      </c>
      <c r="G21" s="28"/>
      <c r="H21" s="28" t="s">
        <v>386</v>
      </c>
      <c r="I21" s="28" t="s">
        <v>387</v>
      </c>
      <c r="J21" s="41">
        <f>IF(볼륨램프!$C$4&gt;=$K21,$E21,0)</f>
        <v>3</v>
      </c>
      <c r="K21" s="42">
        <v>1</v>
      </c>
    </row>
    <row r="22" spans="1:11" ht="16.5" customHeight="1">
      <c r="A22" s="27">
        <v>8</v>
      </c>
      <c r="B22" s="28" t="s">
        <v>388</v>
      </c>
      <c r="C22" s="27" t="s">
        <v>203</v>
      </c>
      <c r="D22" s="33" t="s">
        <v>62</v>
      </c>
      <c r="E22" s="27">
        <v>2</v>
      </c>
      <c r="F22" s="33" t="s">
        <v>389</v>
      </c>
      <c r="G22" s="28"/>
      <c r="H22" s="28" t="s">
        <v>390</v>
      </c>
      <c r="I22" s="28" t="s">
        <v>391</v>
      </c>
      <c r="J22" s="41">
        <f>IF(볼륨램프!$C$4&gt;=$K22,$E22,0)</f>
        <v>2</v>
      </c>
      <c r="K22" s="42">
        <v>1</v>
      </c>
    </row>
    <row r="23" spans="1:11" ht="16.5" customHeight="1">
      <c r="D23" s="3" t="s">
        <v>212</v>
      </c>
      <c r="E23" s="34">
        <f>SUM(E15:E22)</f>
        <v>23</v>
      </c>
      <c r="J23" s="41">
        <f>SUM(J15:J22)</f>
        <v>23</v>
      </c>
    </row>
    <row r="24" spans="1:11" ht="15" customHeight="1"/>
  </sheetData>
  <phoneticPr fontId="45" type="noConversion"/>
  <conditionalFormatting sqref="A15:K22">
    <cfRule type="expression" dxfId="0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topLeftCell="A8" zoomScaleNormal="100" workbookViewId="0"/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392</v>
      </c>
    </row>
    <row r="2" spans="1:8" ht="30" customHeight="1">
      <c r="A2" s="95" t="s">
        <v>393</v>
      </c>
      <c r="B2" s="95"/>
      <c r="C2" s="95"/>
      <c r="D2" s="95"/>
      <c r="E2" s="95"/>
      <c r="F2" s="95"/>
      <c r="G2" s="95"/>
      <c r="H2" s="95"/>
    </row>
    <row r="4" spans="1:8" ht="39.75" customHeight="1">
      <c r="A4" s="96" t="s">
        <v>394</v>
      </c>
      <c r="B4" s="96"/>
      <c r="C4" s="96"/>
      <c r="D4" s="96"/>
      <c r="E4" s="96"/>
      <c r="F4" s="96"/>
      <c r="G4" s="96"/>
      <c r="H4" s="96"/>
    </row>
    <row r="6" spans="1:8" ht="15" customHeight="1">
      <c r="A6" s="56" t="s">
        <v>395</v>
      </c>
      <c r="B6" s="56" t="s">
        <v>396</v>
      </c>
      <c r="C6" s="56" t="s">
        <v>397</v>
      </c>
      <c r="D6" s="56" t="s">
        <v>398</v>
      </c>
      <c r="E6" s="56" t="s">
        <v>399</v>
      </c>
      <c r="F6" s="56" t="s">
        <v>400</v>
      </c>
      <c r="G6" s="56" t="s">
        <v>401</v>
      </c>
      <c r="H6" s="56" t="s">
        <v>402</v>
      </c>
    </row>
    <row r="7" spans="1:8" ht="15" customHeight="1">
      <c r="A7" s="57" t="s">
        <v>403</v>
      </c>
      <c r="B7" s="57" t="s">
        <v>165</v>
      </c>
      <c r="C7" s="57" t="s">
        <v>169</v>
      </c>
      <c r="D7" s="58">
        <v>0.5</v>
      </c>
      <c r="E7" s="59">
        <f t="shared" ref="E7:E53" ca="1" si="0">IFERROR(INDEX(INDIRECT("'"&amp;$A7&amp;"'!$E$1:$E$45"),MATCH($B7,INDIRECT("'"&amp;$A7&amp;"'!$B$1:$B$45"),0)),"?")</f>
        <v>4</v>
      </c>
      <c r="F7" s="60">
        <f t="shared" ref="F7:F53" ca="1" si="1">IF(ISNUMBER(E7),$D7*E7,0)</f>
        <v>2</v>
      </c>
      <c r="G7" s="61" t="s">
        <v>404</v>
      </c>
      <c r="H7" s="62" t="s">
        <v>405</v>
      </c>
    </row>
    <row r="8" spans="1:8" ht="15" customHeight="1">
      <c r="A8" s="57" t="s">
        <v>403</v>
      </c>
      <c r="B8" s="57" t="s">
        <v>172</v>
      </c>
      <c r="C8" s="57" t="s">
        <v>169</v>
      </c>
      <c r="D8" s="58">
        <v>0.5</v>
      </c>
      <c r="E8" s="59">
        <f t="shared" ca="1" si="0"/>
        <v>3</v>
      </c>
      <c r="F8" s="60">
        <f t="shared" ca="1" si="1"/>
        <v>1.5</v>
      </c>
      <c r="G8" s="61" t="s">
        <v>404</v>
      </c>
      <c r="H8" s="62" t="s">
        <v>406</v>
      </c>
    </row>
    <row r="9" spans="1:8" ht="15" customHeight="1">
      <c r="A9" s="57" t="s">
        <v>407</v>
      </c>
      <c r="B9" s="57" t="s">
        <v>284</v>
      </c>
      <c r="C9" s="57" t="s">
        <v>169</v>
      </c>
      <c r="D9" s="58">
        <v>0.5</v>
      </c>
      <c r="E9" s="59">
        <f t="shared" ca="1" si="0"/>
        <v>4</v>
      </c>
      <c r="F9" s="60">
        <f t="shared" ca="1" si="1"/>
        <v>2</v>
      </c>
      <c r="G9" s="61" t="s">
        <v>404</v>
      </c>
      <c r="H9" s="62" t="s">
        <v>408</v>
      </c>
    </row>
    <row r="10" spans="1:8" ht="15" customHeight="1">
      <c r="A10" s="57" t="s">
        <v>407</v>
      </c>
      <c r="B10" s="57" t="s">
        <v>288</v>
      </c>
      <c r="C10" s="57" t="s">
        <v>169</v>
      </c>
      <c r="D10" s="58">
        <v>0.5</v>
      </c>
      <c r="E10" s="59">
        <f t="shared" ca="1" si="0"/>
        <v>3</v>
      </c>
      <c r="F10" s="60">
        <f t="shared" ca="1" si="1"/>
        <v>1.5</v>
      </c>
      <c r="G10" s="61" t="s">
        <v>404</v>
      </c>
      <c r="H10" s="62" t="s">
        <v>408</v>
      </c>
    </row>
    <row r="11" spans="1:8" ht="15" customHeight="1">
      <c r="A11" s="57" t="s">
        <v>409</v>
      </c>
      <c r="B11" s="57" t="s">
        <v>222</v>
      </c>
      <c r="C11" s="57" t="s">
        <v>229</v>
      </c>
      <c r="D11" s="58">
        <v>0.5</v>
      </c>
      <c r="E11" s="59">
        <f t="shared" ca="1" si="0"/>
        <v>5</v>
      </c>
      <c r="F11" s="60">
        <f t="shared" ca="1" si="1"/>
        <v>2.5</v>
      </c>
      <c r="G11" s="61" t="s">
        <v>404</v>
      </c>
      <c r="H11" s="62" t="s">
        <v>410</v>
      </c>
    </row>
    <row r="12" spans="1:8" ht="15" customHeight="1">
      <c r="A12" s="57" t="s">
        <v>409</v>
      </c>
      <c r="B12" s="57" t="s">
        <v>228</v>
      </c>
      <c r="C12" s="57" t="s">
        <v>229</v>
      </c>
      <c r="D12" s="58">
        <v>0.5</v>
      </c>
      <c r="E12" s="59">
        <f t="shared" ca="1" si="0"/>
        <v>3</v>
      </c>
      <c r="F12" s="60">
        <f t="shared" ca="1" si="1"/>
        <v>1.5</v>
      </c>
      <c r="G12" s="61" t="s">
        <v>404</v>
      </c>
      <c r="H12" s="62" t="s">
        <v>411</v>
      </c>
    </row>
    <row r="13" spans="1:8" ht="15" customHeight="1">
      <c r="A13" s="57" t="s">
        <v>412</v>
      </c>
      <c r="B13" s="57" t="s">
        <v>319</v>
      </c>
      <c r="C13" s="57" t="s">
        <v>229</v>
      </c>
      <c r="D13" s="58">
        <v>0.5</v>
      </c>
      <c r="E13" s="59">
        <f t="shared" ca="1" si="0"/>
        <v>3</v>
      </c>
      <c r="F13" s="60">
        <f t="shared" ca="1" si="1"/>
        <v>1.5</v>
      </c>
      <c r="G13" s="61" t="s">
        <v>404</v>
      </c>
      <c r="H13" s="62" t="s">
        <v>413</v>
      </c>
    </row>
    <row r="14" spans="1:8" ht="15" customHeight="1">
      <c r="A14" s="57" t="s">
        <v>412</v>
      </c>
      <c r="B14" s="57" t="s">
        <v>336</v>
      </c>
      <c r="C14" s="57" t="s">
        <v>229</v>
      </c>
      <c r="D14" s="58">
        <v>0.5</v>
      </c>
      <c r="E14" s="59">
        <f t="shared" ca="1" si="0"/>
        <v>4</v>
      </c>
      <c r="F14" s="60">
        <f t="shared" ca="1" si="1"/>
        <v>2</v>
      </c>
      <c r="G14" s="61" t="s">
        <v>404</v>
      </c>
      <c r="H14" s="62" t="s">
        <v>414</v>
      </c>
    </row>
    <row r="15" spans="1:8" ht="15" customHeight="1">
      <c r="A15" s="57" t="s">
        <v>403</v>
      </c>
      <c r="B15" s="57" t="s">
        <v>194</v>
      </c>
      <c r="C15" s="57" t="s">
        <v>191</v>
      </c>
      <c r="D15" s="58">
        <v>0.33</v>
      </c>
      <c r="E15" s="59">
        <f t="shared" ca="1" si="0"/>
        <v>4</v>
      </c>
      <c r="F15" s="60">
        <f t="shared" ca="1" si="1"/>
        <v>1.32</v>
      </c>
      <c r="G15" s="61" t="s">
        <v>404</v>
      </c>
      <c r="H15" s="62" t="s">
        <v>415</v>
      </c>
    </row>
    <row r="16" spans="1:8" ht="15" customHeight="1">
      <c r="A16" s="57" t="s">
        <v>403</v>
      </c>
      <c r="B16" s="57" t="s">
        <v>189</v>
      </c>
      <c r="C16" s="57" t="s">
        <v>191</v>
      </c>
      <c r="D16" s="58">
        <v>0.33</v>
      </c>
      <c r="E16" s="59">
        <f t="shared" ca="1" si="0"/>
        <v>0</v>
      </c>
      <c r="F16" s="60">
        <f t="shared" ca="1" si="1"/>
        <v>0</v>
      </c>
      <c r="G16" s="61" t="s">
        <v>404</v>
      </c>
      <c r="H16" s="62" t="s">
        <v>416</v>
      </c>
    </row>
    <row r="17" spans="1:8" ht="15" customHeight="1">
      <c r="A17" s="57" t="s">
        <v>407</v>
      </c>
      <c r="B17" s="57" t="s">
        <v>300</v>
      </c>
      <c r="C17" s="57" t="s">
        <v>191</v>
      </c>
      <c r="D17" s="58">
        <v>0.33</v>
      </c>
      <c r="E17" s="59">
        <f t="shared" ca="1" si="0"/>
        <v>3</v>
      </c>
      <c r="F17" s="60">
        <f t="shared" ca="1" si="1"/>
        <v>0.99</v>
      </c>
      <c r="G17" s="61" t="s">
        <v>404</v>
      </c>
      <c r="H17" s="62" t="s">
        <v>416</v>
      </c>
    </row>
    <row r="18" spans="1:8" ht="15" customHeight="1">
      <c r="A18" s="57" t="s">
        <v>407</v>
      </c>
      <c r="B18" s="57" t="s">
        <v>307</v>
      </c>
      <c r="C18" s="57" t="s">
        <v>191</v>
      </c>
      <c r="D18" s="58">
        <v>0</v>
      </c>
      <c r="E18" s="59">
        <f t="shared" ca="1" si="0"/>
        <v>2</v>
      </c>
      <c r="F18" s="60">
        <f t="shared" ca="1" si="1"/>
        <v>0</v>
      </c>
      <c r="G18" s="61" t="s">
        <v>404</v>
      </c>
      <c r="H18" s="62" t="s">
        <v>417</v>
      </c>
    </row>
    <row r="19" spans="1:8" ht="15" customHeight="1">
      <c r="A19" s="57" t="s">
        <v>409</v>
      </c>
      <c r="B19" s="57" t="s">
        <v>222</v>
      </c>
      <c r="C19" s="57" t="s">
        <v>320</v>
      </c>
      <c r="D19" s="58">
        <v>0.5</v>
      </c>
      <c r="E19" s="59">
        <f t="shared" ca="1" si="0"/>
        <v>5</v>
      </c>
      <c r="F19" s="60">
        <f t="shared" ca="1" si="1"/>
        <v>2.5</v>
      </c>
      <c r="G19" s="61" t="s">
        <v>404</v>
      </c>
      <c r="H19" s="62" t="s">
        <v>418</v>
      </c>
    </row>
    <row r="20" spans="1:8" ht="15" customHeight="1">
      <c r="A20" s="57" t="s">
        <v>412</v>
      </c>
      <c r="B20" s="57" t="s">
        <v>336</v>
      </c>
      <c r="C20" s="57" t="s">
        <v>320</v>
      </c>
      <c r="D20" s="58">
        <v>0.5</v>
      </c>
      <c r="E20" s="59">
        <f t="shared" ca="1" si="0"/>
        <v>4</v>
      </c>
      <c r="F20" s="60">
        <f t="shared" ca="1" si="1"/>
        <v>2</v>
      </c>
      <c r="G20" s="61" t="s">
        <v>404</v>
      </c>
      <c r="H20" s="62" t="s">
        <v>419</v>
      </c>
    </row>
    <row r="21" spans="1:8" ht="15" customHeight="1">
      <c r="A21" s="57" t="s">
        <v>412</v>
      </c>
      <c r="B21" s="57" t="s">
        <v>319</v>
      </c>
      <c r="C21" s="57" t="s">
        <v>240</v>
      </c>
      <c r="D21" s="58">
        <v>0.5</v>
      </c>
      <c r="E21" s="59">
        <f t="shared" ca="1" si="0"/>
        <v>3</v>
      </c>
      <c r="F21" s="60">
        <f t="shared" ca="1" si="1"/>
        <v>1.5</v>
      </c>
      <c r="G21" s="61" t="s">
        <v>404</v>
      </c>
      <c r="H21" s="62" t="s">
        <v>420</v>
      </c>
    </row>
    <row r="22" spans="1:8" ht="15" customHeight="1">
      <c r="A22" s="57" t="s">
        <v>403</v>
      </c>
      <c r="B22" s="57" t="s">
        <v>182</v>
      </c>
      <c r="C22" s="57" t="s">
        <v>244</v>
      </c>
      <c r="D22" s="58">
        <v>0.5</v>
      </c>
      <c r="E22" s="59">
        <f t="shared" ca="1" si="0"/>
        <v>3</v>
      </c>
      <c r="F22" s="60">
        <f t="shared" ca="1" si="1"/>
        <v>1.5</v>
      </c>
      <c r="G22" s="61" t="s">
        <v>404</v>
      </c>
      <c r="H22" s="62" t="s">
        <v>421</v>
      </c>
    </row>
    <row r="23" spans="1:8" ht="15" customHeight="1">
      <c r="A23" s="57" t="s">
        <v>412</v>
      </c>
      <c r="B23" s="57" t="s">
        <v>346</v>
      </c>
      <c r="C23" s="57" t="s">
        <v>244</v>
      </c>
      <c r="D23" s="58">
        <v>0.5</v>
      </c>
      <c r="E23" s="59">
        <f t="shared" ca="1" si="0"/>
        <v>0</v>
      </c>
      <c r="F23" s="60">
        <f t="shared" ca="1" si="1"/>
        <v>0</v>
      </c>
      <c r="G23" s="61" t="s">
        <v>404</v>
      </c>
      <c r="H23" s="63" t="s">
        <v>422</v>
      </c>
    </row>
    <row r="24" spans="1:8" ht="15" customHeight="1">
      <c r="A24" s="57" t="s">
        <v>407</v>
      </c>
      <c r="B24" s="57" t="s">
        <v>284</v>
      </c>
      <c r="C24" s="57" t="s">
        <v>183</v>
      </c>
      <c r="D24" s="58">
        <v>0.5</v>
      </c>
      <c r="E24" s="59">
        <f t="shared" ca="1" si="0"/>
        <v>4</v>
      </c>
      <c r="F24" s="60">
        <f t="shared" ca="1" si="1"/>
        <v>2</v>
      </c>
      <c r="G24" s="61" t="s">
        <v>404</v>
      </c>
      <c r="H24" s="62" t="s">
        <v>423</v>
      </c>
    </row>
    <row r="25" spans="1:8" ht="15" customHeight="1">
      <c r="A25" s="57" t="s">
        <v>407</v>
      </c>
      <c r="B25" s="57" t="s">
        <v>288</v>
      </c>
      <c r="C25" s="57" t="s">
        <v>183</v>
      </c>
      <c r="D25" s="58">
        <v>0.5</v>
      </c>
      <c r="E25" s="59">
        <f t="shared" ca="1" si="0"/>
        <v>3</v>
      </c>
      <c r="F25" s="60">
        <f t="shared" ca="1" si="1"/>
        <v>1.5</v>
      </c>
      <c r="G25" s="61" t="s">
        <v>404</v>
      </c>
      <c r="H25" s="62" t="s">
        <v>423</v>
      </c>
    </row>
    <row r="26" spans="1:8" ht="15" customHeight="1">
      <c r="A26" s="57" t="s">
        <v>407</v>
      </c>
      <c r="B26" s="57" t="s">
        <v>296</v>
      </c>
      <c r="C26" s="57" t="s">
        <v>183</v>
      </c>
      <c r="D26" s="58">
        <v>0.5</v>
      </c>
      <c r="E26" s="59">
        <f t="shared" ca="1" si="0"/>
        <v>3</v>
      </c>
      <c r="F26" s="60">
        <f t="shared" ca="1" si="1"/>
        <v>1.5</v>
      </c>
      <c r="G26" s="61" t="s">
        <v>404</v>
      </c>
      <c r="H26" s="62" t="s">
        <v>423</v>
      </c>
    </row>
    <row r="27" spans="1:8" ht="15" customHeight="1">
      <c r="A27" s="57" t="s">
        <v>424</v>
      </c>
      <c r="B27" s="57" t="s">
        <v>368</v>
      </c>
      <c r="C27" s="57" t="s">
        <v>263</v>
      </c>
      <c r="D27" s="58">
        <v>0.5</v>
      </c>
      <c r="E27" s="59">
        <f t="shared" ca="1" si="0"/>
        <v>4</v>
      </c>
      <c r="F27" s="60">
        <f t="shared" ca="1" si="1"/>
        <v>2</v>
      </c>
      <c r="G27" s="61" t="s">
        <v>404</v>
      </c>
      <c r="H27" s="62" t="s">
        <v>425</v>
      </c>
    </row>
    <row r="28" spans="1:8" ht="15" customHeight="1">
      <c r="A28" s="57" t="s">
        <v>424</v>
      </c>
      <c r="B28" s="57" t="s">
        <v>364</v>
      </c>
      <c r="C28" s="57" t="s">
        <v>263</v>
      </c>
      <c r="D28" s="58">
        <v>0.5</v>
      </c>
      <c r="E28" s="59">
        <f t="shared" ca="1" si="0"/>
        <v>1</v>
      </c>
      <c r="F28" s="60">
        <f t="shared" ca="1" si="1"/>
        <v>0.5</v>
      </c>
      <c r="G28" s="61" t="s">
        <v>404</v>
      </c>
      <c r="H28" s="62" t="s">
        <v>426</v>
      </c>
    </row>
    <row r="29" spans="1:8" ht="15" customHeight="1">
      <c r="A29" s="57" t="s">
        <v>403</v>
      </c>
      <c r="B29" s="57" t="s">
        <v>206</v>
      </c>
      <c r="C29" s="57" t="s">
        <v>263</v>
      </c>
      <c r="D29" s="58">
        <v>0.5</v>
      </c>
      <c r="E29" s="59">
        <f t="shared" ca="1" si="0"/>
        <v>3</v>
      </c>
      <c r="F29" s="60">
        <f t="shared" ca="1" si="1"/>
        <v>1.5</v>
      </c>
      <c r="G29" s="61" t="s">
        <v>404</v>
      </c>
      <c r="H29" s="62" t="s">
        <v>426</v>
      </c>
    </row>
    <row r="30" spans="1:8" ht="15" customHeight="1">
      <c r="A30" s="57" t="s">
        <v>427</v>
      </c>
      <c r="B30" s="57" t="s">
        <v>248</v>
      </c>
      <c r="C30" s="57" t="s">
        <v>254</v>
      </c>
      <c r="D30" s="58">
        <v>0.5</v>
      </c>
      <c r="E30" s="59">
        <f t="shared" ca="1" si="0"/>
        <v>5</v>
      </c>
      <c r="F30" s="60">
        <f t="shared" ca="1" si="1"/>
        <v>2.5</v>
      </c>
      <c r="G30" s="61" t="s">
        <v>404</v>
      </c>
      <c r="H30" s="62" t="s">
        <v>428</v>
      </c>
    </row>
    <row r="31" spans="1:8" ht="15" customHeight="1">
      <c r="A31" s="57" t="s">
        <v>427</v>
      </c>
      <c r="B31" s="57" t="s">
        <v>253</v>
      </c>
      <c r="C31" s="57" t="s">
        <v>254</v>
      </c>
      <c r="D31" s="58">
        <v>0.33</v>
      </c>
      <c r="E31" s="59">
        <f t="shared" ca="1" si="0"/>
        <v>3</v>
      </c>
      <c r="F31" s="60">
        <f t="shared" ca="1" si="1"/>
        <v>0.99</v>
      </c>
      <c r="G31" s="61" t="s">
        <v>404</v>
      </c>
      <c r="H31" s="62" t="s">
        <v>429</v>
      </c>
    </row>
    <row r="32" spans="1:8" ht="15" customHeight="1">
      <c r="A32" s="57" t="s">
        <v>424</v>
      </c>
      <c r="B32" s="57" t="s">
        <v>364</v>
      </c>
      <c r="C32" s="57" t="s">
        <v>254</v>
      </c>
      <c r="D32" s="58">
        <v>0.5</v>
      </c>
      <c r="E32" s="59">
        <f t="shared" ca="1" si="0"/>
        <v>1</v>
      </c>
      <c r="F32" s="60">
        <f t="shared" ca="1" si="1"/>
        <v>0.5</v>
      </c>
      <c r="G32" s="61" t="s">
        <v>404</v>
      </c>
      <c r="H32" s="62" t="s">
        <v>430</v>
      </c>
    </row>
    <row r="33" spans="1:8" ht="15" customHeight="1">
      <c r="A33" s="57" t="s">
        <v>424</v>
      </c>
      <c r="B33" s="57" t="s">
        <v>372</v>
      </c>
      <c r="C33" s="57" t="s">
        <v>254</v>
      </c>
      <c r="D33" s="58">
        <v>0.5</v>
      </c>
      <c r="E33" s="59">
        <f t="shared" ca="1" si="0"/>
        <v>3</v>
      </c>
      <c r="F33" s="60">
        <f t="shared" ca="1" si="1"/>
        <v>1.5</v>
      </c>
      <c r="G33" s="61" t="s">
        <v>404</v>
      </c>
      <c r="H33" s="62" t="s">
        <v>431</v>
      </c>
    </row>
    <row r="34" spans="1:8" ht="15" customHeight="1">
      <c r="A34" s="57" t="s">
        <v>403</v>
      </c>
      <c r="B34" s="57" t="s">
        <v>206</v>
      </c>
      <c r="C34" s="57" t="s">
        <v>254</v>
      </c>
      <c r="D34" s="58">
        <v>0.5</v>
      </c>
      <c r="E34" s="59">
        <f t="shared" ca="1" si="0"/>
        <v>3</v>
      </c>
      <c r="F34" s="60">
        <f t="shared" ca="1" si="1"/>
        <v>1.5</v>
      </c>
      <c r="G34" s="61" t="s">
        <v>404</v>
      </c>
      <c r="H34" s="62" t="s">
        <v>432</v>
      </c>
    </row>
    <row r="35" spans="1:8" ht="15" customHeight="1">
      <c r="A35" s="57" t="s">
        <v>427</v>
      </c>
      <c r="B35" s="57" t="s">
        <v>248</v>
      </c>
      <c r="C35" s="57" t="s">
        <v>207</v>
      </c>
      <c r="D35" s="58">
        <v>0.2</v>
      </c>
      <c r="E35" s="59">
        <f t="shared" ca="1" si="0"/>
        <v>5</v>
      </c>
      <c r="F35" s="60">
        <f t="shared" ca="1" si="1"/>
        <v>1</v>
      </c>
      <c r="G35" s="61" t="s">
        <v>404</v>
      </c>
      <c r="H35" s="62" t="s">
        <v>433</v>
      </c>
    </row>
    <row r="36" spans="1:8" ht="15" customHeight="1">
      <c r="A36" s="57" t="s">
        <v>407</v>
      </c>
      <c r="B36" s="57" t="s">
        <v>307</v>
      </c>
      <c r="C36" s="57" t="s">
        <v>207</v>
      </c>
      <c r="D36" s="58">
        <v>0.2</v>
      </c>
      <c r="E36" s="59">
        <f t="shared" ca="1" si="0"/>
        <v>2</v>
      </c>
      <c r="F36" s="60">
        <f t="shared" ca="1" si="1"/>
        <v>0.4</v>
      </c>
      <c r="G36" s="61" t="s">
        <v>404</v>
      </c>
      <c r="H36" s="62" t="s">
        <v>434</v>
      </c>
    </row>
    <row r="37" spans="1:8" ht="15" customHeight="1">
      <c r="A37" s="57" t="s">
        <v>424</v>
      </c>
      <c r="B37" s="57" t="s">
        <v>372</v>
      </c>
      <c r="C37" s="57" t="s">
        <v>207</v>
      </c>
      <c r="D37" s="58">
        <v>0.5</v>
      </c>
      <c r="E37" s="59">
        <f t="shared" ca="1" si="0"/>
        <v>3</v>
      </c>
      <c r="F37" s="60">
        <f t="shared" ca="1" si="1"/>
        <v>1.5</v>
      </c>
      <c r="G37" s="61" t="s">
        <v>404</v>
      </c>
      <c r="H37" s="63" t="s">
        <v>435</v>
      </c>
    </row>
    <row r="38" spans="1:8" ht="15" customHeight="1">
      <c r="A38" s="57" t="s">
        <v>427</v>
      </c>
      <c r="B38" s="57" t="s">
        <v>257</v>
      </c>
      <c r="C38" s="57" t="s">
        <v>249</v>
      </c>
      <c r="D38" s="58">
        <v>0.5</v>
      </c>
      <c r="E38" s="59">
        <f t="shared" ca="1" si="0"/>
        <v>0</v>
      </c>
      <c r="F38" s="60">
        <f t="shared" ca="1" si="1"/>
        <v>0</v>
      </c>
      <c r="G38" s="61" t="s">
        <v>404</v>
      </c>
      <c r="H38" s="62" t="s">
        <v>436</v>
      </c>
    </row>
    <row r="39" spans="1:8" ht="15" customHeight="1">
      <c r="A39" s="57" t="s">
        <v>427</v>
      </c>
      <c r="B39" s="57" t="s">
        <v>257</v>
      </c>
      <c r="C39" s="57" t="s">
        <v>271</v>
      </c>
      <c r="D39" s="58">
        <v>0.33</v>
      </c>
      <c r="E39" s="59">
        <f t="shared" ca="1" si="0"/>
        <v>0</v>
      </c>
      <c r="F39" s="60">
        <f t="shared" ca="1" si="1"/>
        <v>0</v>
      </c>
      <c r="G39" s="61" t="s">
        <v>404</v>
      </c>
      <c r="H39" s="62" t="s">
        <v>437</v>
      </c>
    </row>
    <row r="40" spans="1:8" ht="15" customHeight="1">
      <c r="A40" s="57" t="s">
        <v>424</v>
      </c>
      <c r="B40" s="57" t="s">
        <v>364</v>
      </c>
      <c r="C40" s="57" t="s">
        <v>166</v>
      </c>
      <c r="D40" s="58">
        <v>0.2</v>
      </c>
      <c r="E40" s="59">
        <f t="shared" ca="1" si="0"/>
        <v>1</v>
      </c>
      <c r="F40" s="60">
        <f t="shared" ca="1" si="1"/>
        <v>0.2</v>
      </c>
      <c r="G40" s="64" t="s">
        <v>438</v>
      </c>
      <c r="H40" s="62" t="s">
        <v>439</v>
      </c>
    </row>
    <row r="41" spans="1:8" ht="15" customHeight="1">
      <c r="A41" s="57" t="s">
        <v>427</v>
      </c>
      <c r="B41" s="57" t="s">
        <v>248</v>
      </c>
      <c r="C41" s="57" t="s">
        <v>267</v>
      </c>
      <c r="D41" s="58">
        <v>0.5</v>
      </c>
      <c r="E41" s="59">
        <f t="shared" ca="1" si="0"/>
        <v>5</v>
      </c>
      <c r="F41" s="60">
        <f t="shared" ca="1" si="1"/>
        <v>2.5</v>
      </c>
      <c r="G41" s="64" t="s">
        <v>438</v>
      </c>
      <c r="H41" s="62" t="s">
        <v>440</v>
      </c>
    </row>
    <row r="42" spans="1:8" ht="15" customHeight="1">
      <c r="A42" s="57" t="s">
        <v>427</v>
      </c>
      <c r="B42" s="57" t="s">
        <v>253</v>
      </c>
      <c r="C42" s="57" t="s">
        <v>267</v>
      </c>
      <c r="D42" s="58">
        <v>0.33</v>
      </c>
      <c r="E42" s="59">
        <f t="shared" ca="1" si="0"/>
        <v>3</v>
      </c>
      <c r="F42" s="60">
        <f t="shared" ca="1" si="1"/>
        <v>0.99</v>
      </c>
      <c r="G42" s="64" t="s">
        <v>438</v>
      </c>
      <c r="H42" s="62" t="s">
        <v>441</v>
      </c>
    </row>
    <row r="43" spans="1:8" ht="15" customHeight="1">
      <c r="A43" s="57" t="s">
        <v>427</v>
      </c>
      <c r="B43" s="57" t="s">
        <v>257</v>
      </c>
      <c r="C43" s="57" t="s">
        <v>267</v>
      </c>
      <c r="D43" s="58">
        <v>0.33</v>
      </c>
      <c r="E43" s="59">
        <f t="shared" ca="1" si="0"/>
        <v>0</v>
      </c>
      <c r="F43" s="60">
        <f t="shared" ca="1" si="1"/>
        <v>0</v>
      </c>
      <c r="G43" s="64" t="s">
        <v>438</v>
      </c>
      <c r="H43" s="62" t="s">
        <v>442</v>
      </c>
    </row>
    <row r="44" spans="1:8" ht="15" customHeight="1">
      <c r="A44" s="57" t="s">
        <v>409</v>
      </c>
      <c r="B44" s="57" t="s">
        <v>222</v>
      </c>
      <c r="C44" s="57" t="s">
        <v>233</v>
      </c>
      <c r="D44" s="58">
        <v>0.2</v>
      </c>
      <c r="E44" s="59">
        <f t="shared" ca="1" si="0"/>
        <v>5</v>
      </c>
      <c r="F44" s="60">
        <f t="shared" ca="1" si="1"/>
        <v>1</v>
      </c>
      <c r="G44" s="64" t="s">
        <v>438</v>
      </c>
      <c r="H44" s="62" t="s">
        <v>443</v>
      </c>
    </row>
    <row r="45" spans="1:8" ht="15" customHeight="1">
      <c r="A45" s="57" t="s">
        <v>412</v>
      </c>
      <c r="B45" s="57" t="s">
        <v>336</v>
      </c>
      <c r="C45" s="57" t="s">
        <v>223</v>
      </c>
      <c r="D45" s="58">
        <v>0.2</v>
      </c>
      <c r="E45" s="59">
        <f t="shared" ca="1" si="0"/>
        <v>4</v>
      </c>
      <c r="F45" s="60">
        <f t="shared" ca="1" si="1"/>
        <v>0.8</v>
      </c>
      <c r="G45" s="64" t="s">
        <v>438</v>
      </c>
      <c r="H45" s="62" t="s">
        <v>444</v>
      </c>
    </row>
    <row r="46" spans="1:8" ht="15" customHeight="1">
      <c r="A46" s="57" t="s">
        <v>407</v>
      </c>
      <c r="B46" s="57" t="s">
        <v>284</v>
      </c>
      <c r="C46" s="57" t="s">
        <v>308</v>
      </c>
      <c r="D46" s="58">
        <v>0.2</v>
      </c>
      <c r="E46" s="59">
        <f t="shared" ca="1" si="0"/>
        <v>4</v>
      </c>
      <c r="F46" s="60">
        <f t="shared" ca="1" si="1"/>
        <v>0.8</v>
      </c>
      <c r="G46" s="64" t="s">
        <v>438</v>
      </c>
      <c r="H46" s="62" t="s">
        <v>445</v>
      </c>
    </row>
    <row r="47" spans="1:8" ht="15" customHeight="1">
      <c r="A47" s="57" t="s">
        <v>412</v>
      </c>
      <c r="B47" s="57" t="s">
        <v>319</v>
      </c>
      <c r="C47" s="57" t="s">
        <v>308</v>
      </c>
      <c r="D47" s="58">
        <v>0.2</v>
      </c>
      <c r="E47" s="59">
        <f t="shared" ca="1" si="0"/>
        <v>3</v>
      </c>
      <c r="F47" s="60">
        <f t="shared" ca="1" si="1"/>
        <v>0.60000000000000009</v>
      </c>
      <c r="G47" s="64" t="s">
        <v>438</v>
      </c>
      <c r="H47" s="62" t="s">
        <v>446</v>
      </c>
    </row>
    <row r="48" spans="1:8" ht="15" customHeight="1">
      <c r="A48" s="57" t="s">
        <v>424</v>
      </c>
      <c r="B48" s="57" t="s">
        <v>364</v>
      </c>
      <c r="C48" s="57" t="s">
        <v>308</v>
      </c>
      <c r="D48" s="58">
        <v>0.2</v>
      </c>
      <c r="E48" s="59">
        <f t="shared" ca="1" si="0"/>
        <v>1</v>
      </c>
      <c r="F48" s="60">
        <f t="shared" ca="1" si="1"/>
        <v>0.2</v>
      </c>
      <c r="G48" s="64" t="s">
        <v>438</v>
      </c>
      <c r="H48" s="62" t="s">
        <v>447</v>
      </c>
    </row>
    <row r="49" spans="1:8" ht="15" customHeight="1">
      <c r="A49" s="57" t="s">
        <v>403</v>
      </c>
      <c r="B49" s="57" t="s">
        <v>165</v>
      </c>
      <c r="C49" s="57" t="s">
        <v>177</v>
      </c>
      <c r="D49" s="58">
        <v>0.2</v>
      </c>
      <c r="E49" s="59">
        <f t="shared" ca="1" si="0"/>
        <v>4</v>
      </c>
      <c r="F49" s="60">
        <f t="shared" ca="1" si="1"/>
        <v>0.8</v>
      </c>
      <c r="G49" s="64" t="s">
        <v>438</v>
      </c>
      <c r="H49" s="62" t="s">
        <v>448</v>
      </c>
    </row>
    <row r="50" spans="1:8" ht="15" customHeight="1">
      <c r="A50" s="57" t="s">
        <v>407</v>
      </c>
      <c r="B50" s="57" t="s">
        <v>284</v>
      </c>
      <c r="C50" s="57" t="s">
        <v>177</v>
      </c>
      <c r="D50" s="58">
        <v>0.2</v>
      </c>
      <c r="E50" s="59">
        <f t="shared" ca="1" si="0"/>
        <v>4</v>
      </c>
      <c r="F50" s="60">
        <f t="shared" ca="1" si="1"/>
        <v>0.8</v>
      </c>
      <c r="G50" s="64" t="s">
        <v>438</v>
      </c>
      <c r="H50" s="62" t="s">
        <v>449</v>
      </c>
    </row>
    <row r="51" spans="1:8">
      <c r="A51" s="57" t="s">
        <v>409</v>
      </c>
      <c r="B51" s="57" t="s">
        <v>243</v>
      </c>
      <c r="C51" s="57" t="s">
        <v>183</v>
      </c>
      <c r="D51" s="58">
        <v>0.33</v>
      </c>
      <c r="E51" s="59">
        <f t="shared" ca="1" si="0"/>
        <v>4</v>
      </c>
      <c r="F51" s="60">
        <f t="shared" ca="1" si="1"/>
        <v>1.32</v>
      </c>
      <c r="G51" s="64" t="s">
        <v>438</v>
      </c>
      <c r="H51" s="62" t="s">
        <v>450</v>
      </c>
    </row>
    <row r="52" spans="1:8" ht="15" customHeight="1">
      <c r="A52" s="57" t="s">
        <v>424</v>
      </c>
      <c r="B52" s="57" t="s">
        <v>253</v>
      </c>
      <c r="C52" s="57" t="s">
        <v>254</v>
      </c>
      <c r="D52" s="58">
        <v>0.33</v>
      </c>
      <c r="E52" s="59">
        <f t="shared" ca="1" si="0"/>
        <v>3</v>
      </c>
      <c r="F52" s="60">
        <f t="shared" ca="1" si="1"/>
        <v>0.99</v>
      </c>
      <c r="G52" s="64" t="s">
        <v>404</v>
      </c>
      <c r="H52" s="62" t="s">
        <v>451</v>
      </c>
    </row>
    <row r="53" spans="1:8">
      <c r="A53" s="57" t="s">
        <v>424</v>
      </c>
      <c r="B53" s="57" t="s">
        <v>253</v>
      </c>
      <c r="C53" s="57" t="s">
        <v>267</v>
      </c>
      <c r="D53" s="58">
        <v>0.33</v>
      </c>
      <c r="E53" s="59">
        <f t="shared" ca="1" si="0"/>
        <v>3</v>
      </c>
      <c r="F53" s="60">
        <f t="shared" ca="1" si="1"/>
        <v>0.99</v>
      </c>
      <c r="G53" s="64" t="s">
        <v>438</v>
      </c>
      <c r="H53" s="62" t="s">
        <v>452</v>
      </c>
    </row>
    <row r="54" spans="1:8">
      <c r="E54" s="65" t="s">
        <v>453</v>
      </c>
      <c r="F54" s="66">
        <f ca="1">SUM(F7:F53)</f>
        <v>55.190000000000005</v>
      </c>
    </row>
  </sheetData>
  <mergeCells count="2">
    <mergeCell ref="A2:H2"/>
    <mergeCell ref="A4:H4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"/>
  <sheetViews>
    <sheetView zoomScaleNormal="100" workbookViewId="0">
      <selection activeCell="E10" sqref="E10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8" ht="18" customHeight="1">
      <c r="A1" s="1" t="s">
        <v>454</v>
      </c>
    </row>
    <row r="2" spans="1:8" ht="15" customHeight="1">
      <c r="A2" s="2" t="s">
        <v>455</v>
      </c>
    </row>
    <row r="4" spans="1:8" ht="15" customHeight="1">
      <c r="A4" s="5" t="s">
        <v>157</v>
      </c>
      <c r="B4" s="5" t="s">
        <v>456</v>
      </c>
      <c r="C4" s="5" t="s">
        <v>457</v>
      </c>
      <c r="D4" s="5" t="s">
        <v>458</v>
      </c>
      <c r="E4" s="5" t="s">
        <v>459</v>
      </c>
      <c r="F4" s="5" t="s">
        <v>460</v>
      </c>
    </row>
    <row r="5" spans="1:8" ht="15" customHeight="1">
      <c r="A5" s="67" t="s">
        <v>233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68">
        <f ca="1">SUMIFS(간접계수맵!$F$7:$F$53,간접계수맵!$C$7:$C$53,$A5)</f>
        <v>1</v>
      </c>
      <c r="D5" s="69">
        <f t="shared" ref="D5:D24" ca="1" si="0">B5+C5</f>
        <v>9</v>
      </c>
      <c r="E5" s="7" t="str">
        <f t="shared" ref="E5:E25" ca="1" si="1">IF(D5&gt;=10,"충분",IF(D5&gt;=8,"하한",IF(D5&gt;=1,"보완 필요","미배치")))</f>
        <v>하한</v>
      </c>
      <c r="F5" s="67" t="s">
        <v>461</v>
      </c>
      <c r="G5" s="97" t="s">
        <v>462</v>
      </c>
      <c r="H5" s="70">
        <f ca="1">SUM(D5:D6)</f>
        <v>20.8</v>
      </c>
    </row>
    <row r="6" spans="1:8" ht="15" customHeight="1">
      <c r="A6" s="67" t="s">
        <v>223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11</v>
      </c>
      <c r="C6" s="68">
        <f ca="1">SUMIFS(간접계수맵!$F$7:$F$53,간접계수맵!$C$7:$C$53,$A6)</f>
        <v>0.8</v>
      </c>
      <c r="D6" s="69">
        <f t="shared" ca="1" si="0"/>
        <v>11.8</v>
      </c>
      <c r="E6" s="7" t="str">
        <f t="shared" ca="1" si="1"/>
        <v>충분</v>
      </c>
      <c r="F6" s="67" t="s">
        <v>463</v>
      </c>
      <c r="G6" s="97"/>
    </row>
    <row r="7" spans="1:8" ht="15" customHeight="1">
      <c r="A7" s="67" t="s">
        <v>166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68">
        <f ca="1">SUMIFS(간접계수맵!$F$7:$F$53,간접계수맵!$C$7:$C$53,$A7)</f>
        <v>0.2</v>
      </c>
      <c r="D7" s="69">
        <f t="shared" ca="1" si="0"/>
        <v>14.2</v>
      </c>
      <c r="E7" s="7" t="str">
        <f t="shared" ca="1" si="1"/>
        <v>충분</v>
      </c>
      <c r="F7" s="67" t="s">
        <v>464</v>
      </c>
      <c r="G7" s="97" t="s">
        <v>465</v>
      </c>
      <c r="H7" s="70">
        <f ca="1">SUM(D7:D10)</f>
        <v>38.72</v>
      </c>
    </row>
    <row r="8" spans="1:8" ht="15" customHeight="1">
      <c r="A8" s="67" t="s">
        <v>308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2</v>
      </c>
      <c r="C8" s="68">
        <f ca="1">SUMIFS(간접계수맵!$F$7:$F$53,간접계수맵!$C$7:$C$53,$A8)</f>
        <v>1.6</v>
      </c>
      <c r="D8" s="69">
        <f t="shared" ca="1" si="0"/>
        <v>3.6</v>
      </c>
      <c r="E8" s="7" t="str">
        <f t="shared" ca="1" si="1"/>
        <v>보완 필요</v>
      </c>
      <c r="F8" s="67" t="s">
        <v>466</v>
      </c>
      <c r="G8" s="97"/>
    </row>
    <row r="9" spans="1:8" ht="15" customHeight="1">
      <c r="A9" s="67" t="s">
        <v>177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6</v>
      </c>
      <c r="C9" s="68">
        <f ca="1">SUMIFS(간접계수맵!$F$7:$F$53,간접계수맵!$C$7:$C$53,$A9)</f>
        <v>1.6</v>
      </c>
      <c r="D9" s="69">
        <f t="shared" ca="1" si="0"/>
        <v>7.6</v>
      </c>
      <c r="E9" s="7" t="str">
        <f t="shared" ca="1" si="1"/>
        <v>보완 필요</v>
      </c>
      <c r="F9" s="67" t="s">
        <v>467</v>
      </c>
      <c r="G9" s="97"/>
    </row>
    <row r="10" spans="1:8" ht="15" customHeight="1">
      <c r="A10" s="67" t="s">
        <v>183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7</v>
      </c>
      <c r="C10" s="68">
        <f ca="1">SUMIFS(간접계수맵!$F$7:$F$53,간접계수맵!$C$7:$C$53,$A10)</f>
        <v>6.32</v>
      </c>
      <c r="D10" s="69">
        <f t="shared" ca="1" si="0"/>
        <v>13.32</v>
      </c>
      <c r="E10" s="7" t="str">
        <f t="shared" ca="1" si="1"/>
        <v>충분</v>
      </c>
      <c r="F10" s="67" t="s">
        <v>468</v>
      </c>
      <c r="G10" s="97"/>
    </row>
    <row r="11" spans="1:8" ht="15" customHeight="1">
      <c r="A11" s="67" t="s">
        <v>207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68">
        <f ca="1">SUMIFS(간접계수맵!$F$7:$F$53,간접계수맵!$C$7:$C$53,$A11)</f>
        <v>2.9</v>
      </c>
      <c r="D11" s="69">
        <f t="shared" ca="1" si="0"/>
        <v>6.9</v>
      </c>
      <c r="E11" s="7" t="str">
        <f t="shared" ca="1" si="1"/>
        <v>보완 필요</v>
      </c>
      <c r="F11" s="67" t="s">
        <v>469</v>
      </c>
      <c r="G11" s="71"/>
    </row>
    <row r="12" spans="1:8" ht="15" customHeight="1">
      <c r="A12" s="67" t="s">
        <v>320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68">
        <f ca="1">SUMIFS(간접계수맵!$F$7:$F$53,간접계수맵!$C$7:$C$53,$A12)</f>
        <v>4.5</v>
      </c>
      <c r="D12" s="69">
        <f t="shared" ca="1" si="0"/>
        <v>10.5</v>
      </c>
      <c r="E12" s="7" t="str">
        <f t="shared" ca="1" si="1"/>
        <v>충분</v>
      </c>
      <c r="F12" s="67" t="s">
        <v>470</v>
      </c>
      <c r="G12" s="71"/>
    </row>
    <row r="13" spans="1:8" ht="15" customHeight="1">
      <c r="A13" s="67" t="s">
        <v>240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9</v>
      </c>
      <c r="C13" s="68">
        <f ca="1">SUMIFS(간접계수맵!$F$7:$F$53,간접계수맵!$C$7:$C$53,$A13)</f>
        <v>1.5</v>
      </c>
      <c r="D13" s="69">
        <f t="shared" ca="1" si="0"/>
        <v>10.5</v>
      </c>
      <c r="E13" s="7" t="str">
        <f t="shared" ca="1" si="1"/>
        <v>충분</v>
      </c>
      <c r="F13" s="67" t="s">
        <v>471</v>
      </c>
      <c r="G13" s="71"/>
    </row>
    <row r="14" spans="1:8" ht="15" customHeight="1">
      <c r="A14" s="67" t="s">
        <v>244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10</v>
      </c>
      <c r="C14" s="68">
        <f ca="1">SUMIFS(간접계수맵!$F$7:$F$53,간접계수맵!$C$7:$C$53,$A14)</f>
        <v>1.5</v>
      </c>
      <c r="D14" s="69">
        <f t="shared" ca="1" si="0"/>
        <v>11.5</v>
      </c>
      <c r="E14" s="7" t="str">
        <f t="shared" ca="1" si="1"/>
        <v>충분</v>
      </c>
      <c r="F14" s="67" t="s">
        <v>472</v>
      </c>
      <c r="G14" s="71"/>
      <c r="H14" s="70"/>
    </row>
    <row r="15" spans="1:8" ht="15" customHeight="1">
      <c r="A15" s="67" t="s">
        <v>249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15</v>
      </c>
      <c r="C15" s="68">
        <f ca="1">SUMIFS(간접계수맵!$F$7:$F$53,간접계수맵!$C$7:$C$53,$A15)</f>
        <v>0</v>
      </c>
      <c r="D15" s="69">
        <f t="shared" ca="1" si="0"/>
        <v>15</v>
      </c>
      <c r="E15" s="7" t="str">
        <f t="shared" ca="1" si="1"/>
        <v>충분</v>
      </c>
      <c r="F15" s="67" t="s">
        <v>257</v>
      </c>
      <c r="G15" s="71"/>
      <c r="H15" s="70">
        <f ca="1">SUM(D15:D16,D19)</f>
        <v>35</v>
      </c>
    </row>
    <row r="16" spans="1:8" ht="15" customHeight="1">
      <c r="A16" s="67" t="s">
        <v>263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68">
        <f ca="1">SUMIFS(간접계수맵!$F$7:$F$53,간접계수맵!$C$7:$C$53,$A16)</f>
        <v>4</v>
      </c>
      <c r="D16" s="69">
        <f t="shared" ca="1" si="0"/>
        <v>14</v>
      </c>
      <c r="E16" s="7" t="str">
        <f t="shared" ca="1" si="1"/>
        <v>충분</v>
      </c>
      <c r="F16" s="67" t="s">
        <v>473</v>
      </c>
      <c r="G16" s="71"/>
    </row>
    <row r="17" spans="1:8" ht="15" customHeight="1">
      <c r="A17" s="67" t="s">
        <v>254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4</v>
      </c>
      <c r="C17" s="68">
        <f ca="1">SUMIFS(간접계수맵!$F$7:$F$53,간접계수맵!$C$7:$C$53,$A17)</f>
        <v>7.98</v>
      </c>
      <c r="D17" s="69">
        <f t="shared" ca="1" si="0"/>
        <v>11.98</v>
      </c>
      <c r="E17" s="7" t="str">
        <f t="shared" ca="1" si="1"/>
        <v>충분</v>
      </c>
      <c r="F17" s="67" t="s">
        <v>474</v>
      </c>
      <c r="G17" s="97" t="s">
        <v>254</v>
      </c>
      <c r="H17" s="70">
        <f ca="1">SUM(D17:D18)</f>
        <v>14.98</v>
      </c>
    </row>
    <row r="18" spans="1:8" ht="15" customHeight="1">
      <c r="A18" s="67" t="s">
        <v>271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68">
        <f ca="1">SUMIFS(간접계수맵!$F$7:$F$53,간접계수맵!$C$7:$C$53,$A18)</f>
        <v>0</v>
      </c>
      <c r="D18" s="69">
        <f t="shared" ca="1" si="0"/>
        <v>3</v>
      </c>
      <c r="E18" s="7" t="str">
        <f t="shared" ca="1" si="1"/>
        <v>보완 필요</v>
      </c>
      <c r="F18" s="67" t="s">
        <v>475</v>
      </c>
      <c r="G18" s="97"/>
    </row>
    <row r="19" spans="1:8" ht="15" customHeight="1">
      <c r="A19" s="67" t="s">
        <v>276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6</v>
      </c>
      <c r="C19" s="68">
        <f>SUMIFS(간접계수맵!$F$7:$F$53,간접계수맵!$C$7:$C$53,$A19)</f>
        <v>0</v>
      </c>
      <c r="D19" s="69">
        <f t="shared" si="0"/>
        <v>6</v>
      </c>
      <c r="E19" s="7" t="str">
        <f t="shared" si="1"/>
        <v>보완 필요</v>
      </c>
      <c r="F19" s="67" t="s">
        <v>476</v>
      </c>
      <c r="G19" s="71"/>
    </row>
    <row r="20" spans="1:8" ht="15" customHeight="1">
      <c r="A20" s="67" t="s">
        <v>169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7</v>
      </c>
      <c r="C20" s="68">
        <f ca="1">SUMIFS(간접계수맵!$F$7:$F$53,간접계수맵!$C$7:$C$53,$A20)</f>
        <v>7</v>
      </c>
      <c r="D20" s="69">
        <f t="shared" ca="1" si="0"/>
        <v>14</v>
      </c>
      <c r="E20" s="7" t="str">
        <f t="shared" ca="1" si="1"/>
        <v>충분</v>
      </c>
      <c r="F20" s="67" t="s">
        <v>477</v>
      </c>
      <c r="G20" s="71"/>
    </row>
    <row r="21" spans="1:8" ht="15" customHeight="1">
      <c r="A21" s="67" t="s">
        <v>229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7</v>
      </c>
      <c r="C21" s="68">
        <f ca="1">SUMIFS(간접계수맵!$F$7:$F$53,간접계수맵!$C$7:$C$53,$A21)</f>
        <v>7.5</v>
      </c>
      <c r="D21" s="69">
        <f t="shared" ca="1" si="0"/>
        <v>14.5</v>
      </c>
      <c r="E21" s="7" t="str">
        <f t="shared" ca="1" si="1"/>
        <v>충분</v>
      </c>
      <c r="F21" s="67" t="s">
        <v>478</v>
      </c>
      <c r="G21" s="71"/>
    </row>
    <row r="22" spans="1:8" ht="16.5" customHeight="1">
      <c r="A22" s="67" t="s">
        <v>191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8</v>
      </c>
      <c r="C22" s="68">
        <f ca="1">SUMIFS(간접계수맵!$F$7:$F$53,간접계수맵!$C$7:$C$53,$A22)</f>
        <v>2.31</v>
      </c>
      <c r="D22" s="69">
        <f t="shared" ca="1" si="0"/>
        <v>10.31</v>
      </c>
      <c r="E22" s="7" t="str">
        <f t="shared" ca="1" si="1"/>
        <v>충분</v>
      </c>
      <c r="F22" s="67" t="s">
        <v>479</v>
      </c>
      <c r="G22" s="71"/>
    </row>
    <row r="23" spans="1:8" ht="24" customHeight="1">
      <c r="A23" s="67" t="s">
        <v>203</v>
      </c>
      <c r="B23" s="72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10</v>
      </c>
      <c r="C23" s="68">
        <f>SUMIFS(간접계수맵!$F$7:$F$53,간접계수맵!$C$7:$C$53,$A23)</f>
        <v>0</v>
      </c>
      <c r="D23" s="69">
        <f t="shared" si="0"/>
        <v>10</v>
      </c>
      <c r="E23" s="7" t="str">
        <f t="shared" si="1"/>
        <v>충분</v>
      </c>
      <c r="F23" s="67" t="s">
        <v>480</v>
      </c>
      <c r="G23" s="71"/>
    </row>
    <row r="24" spans="1:8" ht="15" customHeight="1">
      <c r="A24" s="67" t="s">
        <v>267</v>
      </c>
      <c r="B24" s="72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68">
        <f ca="1">SUMIFS(간접계수맵!$F$7:$F$53,간접계수맵!$C$7:$C$53,$A24)</f>
        <v>4.4800000000000004</v>
      </c>
      <c r="D24" s="69">
        <f t="shared" ca="1" si="0"/>
        <v>8.48</v>
      </c>
      <c r="E24" s="7" t="str">
        <f t="shared" ca="1" si="1"/>
        <v>하한</v>
      </c>
      <c r="F24" s="67" t="s">
        <v>481</v>
      </c>
      <c r="G24" s="71"/>
    </row>
    <row r="25" spans="1:8" ht="36" customHeight="1">
      <c r="A25" s="73" t="s">
        <v>482</v>
      </c>
      <c r="B25" s="15">
        <f>SUM(B5:B24)</f>
        <v>151</v>
      </c>
      <c r="C25" s="74"/>
      <c r="D25" s="75">
        <f ca="1">SUM(D5:D24)</f>
        <v>206.19</v>
      </c>
      <c r="E25" s="74" t="str">
        <f t="shared" ca="1" si="1"/>
        <v>충분</v>
      </c>
      <c r="F25" s="74"/>
    </row>
    <row r="26" spans="1:8" ht="15" customHeight="1">
      <c r="A26" s="13" t="s">
        <v>483</v>
      </c>
    </row>
    <row r="27" spans="1:8" ht="16.5" customHeight="1">
      <c r="A27" s="11" t="s">
        <v>484</v>
      </c>
    </row>
    <row r="28" spans="1:8" ht="36" customHeight="1">
      <c r="A28" s="11" t="s">
        <v>485</v>
      </c>
    </row>
    <row r="29" spans="1:8" ht="48" customHeight="1">
      <c r="A29" s="11" t="s">
        <v>486</v>
      </c>
    </row>
    <row r="30" spans="1:8" ht="48" customHeight="1">
      <c r="A30" s="76"/>
    </row>
    <row r="31" spans="1:8" ht="15" customHeight="1">
      <c r="A31" s="13" t="s">
        <v>487</v>
      </c>
    </row>
    <row r="32" spans="1:8" ht="16.5" customHeight="1">
      <c r="A32" s="11" t="s">
        <v>488</v>
      </c>
    </row>
    <row r="33" spans="1:1" ht="48" customHeight="1">
      <c r="A33" s="11" t="s">
        <v>489</v>
      </c>
    </row>
    <row r="34" spans="1:1" ht="48" customHeight="1">
      <c r="A34" s="11" t="s">
        <v>490</v>
      </c>
    </row>
    <row r="35" spans="1:1" ht="15" customHeight="1">
      <c r="A35" s="76"/>
    </row>
    <row r="36" spans="1:1" ht="48" customHeight="1">
      <c r="A36" s="13" t="s">
        <v>491</v>
      </c>
    </row>
    <row r="37" spans="1:1" ht="77.25" customHeight="1">
      <c r="A37" s="11" t="s">
        <v>492</v>
      </c>
    </row>
    <row r="38" spans="1:1" ht="48" customHeight="1">
      <c r="A38" s="11" t="s">
        <v>493</v>
      </c>
    </row>
    <row r="39" spans="1:1" ht="39" customHeight="1">
      <c r="A39" s="76" t="s">
        <v>494</v>
      </c>
    </row>
    <row r="40" spans="1:1" ht="45" customHeight="1">
      <c r="A40" s="11" t="s">
        <v>495</v>
      </c>
    </row>
    <row r="41" spans="1:1" ht="48" customHeight="1">
      <c r="A41" s="11" t="s">
        <v>496</v>
      </c>
    </row>
    <row r="42" spans="1:1" ht="48" customHeight="1">
      <c r="A42" s="11" t="s">
        <v>497</v>
      </c>
    </row>
    <row r="43" spans="1:1" ht="60" customHeight="1">
      <c r="A43" s="13" t="s">
        <v>498</v>
      </c>
    </row>
    <row r="44" spans="1:1" ht="48" customHeight="1">
      <c r="A44" s="11" t="s">
        <v>499</v>
      </c>
    </row>
    <row r="45" spans="1:1" ht="51.75" customHeight="1">
      <c r="A45" s="11" t="s">
        <v>500</v>
      </c>
    </row>
    <row r="46" spans="1:1" ht="90" customHeight="1">
      <c r="A46" s="11" t="s">
        <v>501</v>
      </c>
    </row>
    <row r="47" spans="1:1" ht="51.75" customHeight="1">
      <c r="A47" s="11" t="s">
        <v>502</v>
      </c>
    </row>
  </sheetData>
  <mergeCells count="3">
    <mergeCell ref="G5:G6"/>
    <mergeCell ref="G7:G10"/>
    <mergeCell ref="G17:G18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503</v>
      </c>
    </row>
    <row r="2" spans="1:11" ht="15" customHeight="1">
      <c r="A2" s="2" t="s">
        <v>504</v>
      </c>
    </row>
    <row r="4" spans="1:11" ht="15" customHeight="1">
      <c r="A4" s="3" t="s">
        <v>505</v>
      </c>
    </row>
    <row r="5" spans="1:11" ht="15" customHeight="1">
      <c r="A5" s="77" t="s">
        <v>506</v>
      </c>
      <c r="C5" s="4">
        <v>5</v>
      </c>
      <c r="D5" s="76" t="s">
        <v>507</v>
      </c>
    </row>
    <row r="6" spans="1:11" ht="15" customHeight="1">
      <c r="A6" s="77" t="s">
        <v>508</v>
      </c>
      <c r="C6" s="4">
        <v>5</v>
      </c>
      <c r="D6" s="76" t="s">
        <v>509</v>
      </c>
    </row>
    <row r="7" spans="1:11" ht="15" customHeight="1">
      <c r="A7" s="77" t="s">
        <v>510</v>
      </c>
      <c r="C7" s="4">
        <v>2.25</v>
      </c>
      <c r="D7" s="76" t="s">
        <v>511</v>
      </c>
    </row>
    <row r="8" spans="1:11" ht="84" customHeight="1">
      <c r="A8" s="77" t="s">
        <v>512</v>
      </c>
      <c r="C8" s="4">
        <v>1.25</v>
      </c>
      <c r="D8" s="76" t="s">
        <v>513</v>
      </c>
    </row>
    <row r="9" spans="1:11" ht="15" customHeight="1">
      <c r="A9" s="5" t="s">
        <v>39</v>
      </c>
      <c r="B9" s="5" t="s">
        <v>514</v>
      </c>
      <c r="C9" s="5" t="s">
        <v>515</v>
      </c>
      <c r="D9" s="5" t="s">
        <v>516</v>
      </c>
      <c r="E9" s="5" t="s">
        <v>517</v>
      </c>
      <c r="F9" s="5" t="s">
        <v>516</v>
      </c>
      <c r="G9" s="5" t="s">
        <v>518</v>
      </c>
      <c r="H9" s="5" t="s">
        <v>516</v>
      </c>
      <c r="I9" s="5" t="s">
        <v>519</v>
      </c>
      <c r="J9" s="5" t="s">
        <v>516</v>
      </c>
      <c r="K9" s="5" t="s">
        <v>161</v>
      </c>
    </row>
    <row r="10" spans="1:11" ht="15" customHeight="1">
      <c r="A10" s="8" t="s">
        <v>520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78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78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78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78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78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78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78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78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78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78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78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78"/>
    </row>
    <row r="23" spans="1:11" ht="108" customHeight="1">
      <c r="A23" s="11" t="s">
        <v>521</v>
      </c>
    </row>
    <row r="24" spans="1:11" ht="84" customHeight="1">
      <c r="A24" s="11" t="s">
        <v>522</v>
      </c>
    </row>
    <row r="25" spans="1:11" ht="84" customHeight="1">
      <c r="A25" s="11" t="s">
        <v>523</v>
      </c>
    </row>
    <row r="26" spans="1:11" ht="120" customHeight="1">
      <c r="A26" s="11"/>
    </row>
    <row r="27" spans="1:11" ht="96" customHeight="1">
      <c r="A27" s="11" t="s">
        <v>524</v>
      </c>
    </row>
    <row r="28" spans="1:11" ht="108" customHeight="1">
      <c r="A28" s="11" t="s">
        <v>525</v>
      </c>
    </row>
    <row r="29" spans="1:11" ht="108" customHeight="1">
      <c r="A29" s="11" t="s">
        <v>526</v>
      </c>
    </row>
    <row r="30" spans="1:11" ht="156" customHeight="1">
      <c r="A30" s="11" t="s">
        <v>527</v>
      </c>
    </row>
    <row r="31" spans="1:11" ht="96" customHeight="1">
      <c r="A31" s="11" t="s">
        <v>528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79" t="s">
        <v>529</v>
      </c>
    </row>
    <row r="2" spans="1:3" ht="15" customHeight="1">
      <c r="A2" s="2" t="s">
        <v>530</v>
      </c>
    </row>
    <row r="4" spans="1:3" ht="15" customHeight="1">
      <c r="A4" s="5" t="s">
        <v>531</v>
      </c>
      <c r="B4" s="5" t="s">
        <v>532</v>
      </c>
      <c r="C4" s="5" t="s">
        <v>533</v>
      </c>
    </row>
    <row r="5" spans="1:3" ht="15" customHeight="1">
      <c r="A5" s="7" t="s">
        <v>465</v>
      </c>
      <c r="B5" s="7" t="s">
        <v>534</v>
      </c>
      <c r="C5" s="67" t="s">
        <v>535</v>
      </c>
    </row>
    <row r="6" spans="1:3" ht="15" customHeight="1">
      <c r="A6" s="7" t="s">
        <v>536</v>
      </c>
      <c r="B6" s="7" t="s">
        <v>534</v>
      </c>
      <c r="C6" s="67" t="s">
        <v>537</v>
      </c>
    </row>
    <row r="7" spans="1:3" ht="15" customHeight="1">
      <c r="A7" s="7" t="s">
        <v>207</v>
      </c>
      <c r="B7" s="7" t="s">
        <v>538</v>
      </c>
      <c r="C7" s="67" t="s">
        <v>539</v>
      </c>
    </row>
    <row r="8" spans="1:3" ht="15" customHeight="1">
      <c r="A8" s="80" t="s">
        <v>540</v>
      </c>
      <c r="B8" s="80" t="s">
        <v>541</v>
      </c>
      <c r="C8" s="81" t="s">
        <v>542</v>
      </c>
    </row>
    <row r="9" spans="1:3" ht="15" customHeight="1">
      <c r="A9" s="80" t="s">
        <v>543</v>
      </c>
      <c r="B9" s="80" t="s">
        <v>541</v>
      </c>
      <c r="C9" s="81" t="s">
        <v>544</v>
      </c>
    </row>
    <row r="10" spans="1:3" ht="15" customHeight="1">
      <c r="A10" s="7" t="s">
        <v>545</v>
      </c>
      <c r="B10" s="7" t="s">
        <v>546</v>
      </c>
      <c r="C10" s="82" t="s">
        <v>547</v>
      </c>
    </row>
    <row r="11" spans="1:3" ht="15" customHeight="1">
      <c r="A11" s="7" t="s">
        <v>548</v>
      </c>
      <c r="B11" s="8" t="s">
        <v>549</v>
      </c>
      <c r="C11" s="67" t="s">
        <v>550</v>
      </c>
    </row>
    <row r="12" spans="1:3" ht="15" customHeight="1">
      <c r="A12" s="7" t="s">
        <v>551</v>
      </c>
      <c r="B12" s="7" t="s">
        <v>552</v>
      </c>
      <c r="C12" s="67" t="s">
        <v>553</v>
      </c>
    </row>
    <row r="15" spans="1:3" ht="24" customHeight="1">
      <c r="A15" s="11" t="s">
        <v>554</v>
      </c>
    </row>
    <row r="16" spans="1:3" ht="24" customHeight="1">
      <c r="A16" s="11" t="s">
        <v>555</v>
      </c>
    </row>
    <row r="17" spans="1:1" ht="36" customHeight="1">
      <c r="A17" s="11" t="s">
        <v>556</v>
      </c>
    </row>
    <row r="18" spans="1:1" ht="15" customHeight="1">
      <c r="A18" s="76"/>
    </row>
    <row r="19" spans="1:1" ht="36" customHeight="1">
      <c r="A19" s="11" t="s">
        <v>557</v>
      </c>
    </row>
    <row r="20" spans="1:1" ht="36" customHeight="1">
      <c r="A20" s="11" t="s">
        <v>558</v>
      </c>
    </row>
    <row r="22" spans="1:1" ht="48" customHeight="1">
      <c r="A22" s="13" t="s">
        <v>559</v>
      </c>
    </row>
    <row r="24" spans="1:1" ht="16.5" customHeight="1">
      <c r="A24" s="14" t="s">
        <v>560</v>
      </c>
    </row>
    <row r="25" spans="1:1" ht="16.5" customHeight="1">
      <c r="A25" t="s">
        <v>561</v>
      </c>
    </row>
    <row r="26" spans="1:1" ht="16.5" customHeight="1">
      <c r="A26" t="s">
        <v>562</v>
      </c>
    </row>
    <row r="27" spans="1:1" ht="16.5" customHeight="1">
      <c r="A27" t="s">
        <v>563</v>
      </c>
    </row>
    <row r="28" spans="1:1" ht="16.5" customHeight="1">
      <c r="A28" t="s">
        <v>564</v>
      </c>
    </row>
    <row r="30" spans="1:1" ht="16.5" customHeight="1">
      <c r="A30" t="s">
        <v>565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566</v>
      </c>
    </row>
    <row r="2" spans="1:6" ht="15" customHeight="1">
      <c r="A2" s="83" t="s">
        <v>567</v>
      </c>
    </row>
    <row r="3" spans="1:6" ht="16.5" customHeight="1">
      <c r="A3" s="3" t="s">
        <v>568</v>
      </c>
    </row>
    <row r="5" spans="1:6" ht="15" customHeight="1">
      <c r="A5" s="5" t="s">
        <v>95</v>
      </c>
      <c r="B5" s="5" t="s">
        <v>569</v>
      </c>
      <c r="C5" s="5" t="s">
        <v>570</v>
      </c>
      <c r="D5" s="5" t="s">
        <v>571</v>
      </c>
      <c r="E5" s="5" t="s">
        <v>99</v>
      </c>
      <c r="F5" s="5" t="s">
        <v>572</v>
      </c>
    </row>
    <row r="6" spans="1:6" ht="15" customHeight="1">
      <c r="A6" s="84" t="s">
        <v>101</v>
      </c>
      <c r="B6" s="85" t="s">
        <v>573</v>
      </c>
      <c r="C6" s="85" t="s">
        <v>573</v>
      </c>
      <c r="D6" s="84" t="s">
        <v>127</v>
      </c>
      <c r="E6" s="84">
        <v>0</v>
      </c>
      <c r="F6" s="86" t="s">
        <v>574</v>
      </c>
    </row>
    <row r="7" spans="1:6" ht="15" customHeight="1">
      <c r="A7" s="7" t="s">
        <v>105</v>
      </c>
      <c r="B7" s="8" t="s">
        <v>573</v>
      </c>
      <c r="C7" s="8" t="s">
        <v>573</v>
      </c>
      <c r="D7" s="80" t="s">
        <v>575</v>
      </c>
      <c r="E7" s="7">
        <f>복귀_화_상체밀기!$E$11</f>
        <v>22</v>
      </c>
      <c r="F7" s="82" t="s">
        <v>576</v>
      </c>
    </row>
    <row r="8" spans="1:6" ht="15" customHeight="1">
      <c r="A8" s="84" t="s">
        <v>110</v>
      </c>
      <c r="B8" s="85" t="s">
        <v>577</v>
      </c>
      <c r="C8" s="85" t="s">
        <v>573</v>
      </c>
      <c r="D8" s="84" t="s">
        <v>127</v>
      </c>
      <c r="E8" s="84">
        <v>0</v>
      </c>
      <c r="F8" s="86" t="s">
        <v>578</v>
      </c>
    </row>
    <row r="9" spans="1:6" ht="15" customHeight="1">
      <c r="A9" s="84" t="s">
        <v>114</v>
      </c>
      <c r="B9" s="85" t="s">
        <v>577</v>
      </c>
      <c r="C9" s="85" t="s">
        <v>577</v>
      </c>
      <c r="D9" s="84" t="s">
        <v>127</v>
      </c>
      <c r="E9" s="84">
        <v>0</v>
      </c>
      <c r="F9" s="86" t="s">
        <v>579</v>
      </c>
    </row>
    <row r="10" spans="1:6" ht="15" customHeight="1">
      <c r="A10" s="84" t="s">
        <v>117</v>
      </c>
      <c r="B10" s="85" t="s">
        <v>573</v>
      </c>
      <c r="C10" s="85" t="s">
        <v>577</v>
      </c>
      <c r="D10" s="84" t="s">
        <v>127</v>
      </c>
      <c r="E10" s="84">
        <v>0</v>
      </c>
      <c r="F10" s="86" t="s">
        <v>580</v>
      </c>
    </row>
    <row r="11" spans="1:6" ht="15" customHeight="1">
      <c r="A11" s="7" t="s">
        <v>121</v>
      </c>
      <c r="B11" s="7" t="s">
        <v>581</v>
      </c>
      <c r="C11" s="7" t="s">
        <v>581</v>
      </c>
      <c r="D11" s="80" t="s">
        <v>536</v>
      </c>
      <c r="E11" s="7">
        <f>복귀_토_하체!$E$12</f>
        <v>22</v>
      </c>
      <c r="F11" s="67" t="s">
        <v>582</v>
      </c>
    </row>
    <row r="12" spans="1:6" ht="15" customHeight="1">
      <c r="A12" s="7" t="s">
        <v>126</v>
      </c>
      <c r="B12" s="7" t="s">
        <v>583</v>
      </c>
      <c r="C12" s="7" t="s">
        <v>583</v>
      </c>
      <c r="D12" s="80" t="s">
        <v>465</v>
      </c>
      <c r="E12" s="7">
        <f>복귀_일_등!$E$13</f>
        <v>22</v>
      </c>
      <c r="F12" s="67" t="s">
        <v>584</v>
      </c>
    </row>
    <row r="13" spans="1:6" ht="15" customHeight="1">
      <c r="A13" s="35" t="s">
        <v>128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585</v>
      </c>
    </row>
    <row r="16" spans="1:6" ht="141" customHeight="1">
      <c r="A16" s="11" t="s">
        <v>586</v>
      </c>
    </row>
    <row r="17" spans="1:1" ht="126" customHeight="1">
      <c r="A17" s="11" t="s">
        <v>587</v>
      </c>
    </row>
    <row r="18" spans="1:1" ht="77.25" customHeight="1">
      <c r="A18" s="11" t="s">
        <v>588</v>
      </c>
    </row>
    <row r="19" spans="1:1" ht="115.5" customHeight="1">
      <c r="A19" s="11" t="s">
        <v>589</v>
      </c>
    </row>
    <row r="20" spans="1:1" ht="15" customHeight="1">
      <c r="A20" s="76"/>
    </row>
    <row r="21" spans="1:1" ht="48" customHeight="1">
      <c r="A21" s="13" t="s">
        <v>590</v>
      </c>
    </row>
    <row r="22" spans="1:1" ht="141" customHeight="1">
      <c r="A22" s="11" t="s">
        <v>591</v>
      </c>
    </row>
    <row r="23" spans="1:1" ht="77.25" customHeight="1">
      <c r="A23" s="11" t="s">
        <v>592</v>
      </c>
    </row>
    <row r="24" spans="1:1" ht="90" customHeight="1">
      <c r="A24" s="11" t="s">
        <v>593</v>
      </c>
    </row>
    <row r="25" spans="1:1" ht="128.25" customHeight="1">
      <c r="A25" s="11" t="s">
        <v>594</v>
      </c>
    </row>
    <row r="26" spans="1:1" ht="128.25" customHeight="1">
      <c r="A26" s="11" t="s">
        <v>595</v>
      </c>
    </row>
    <row r="27" spans="1:1" ht="15" customHeight="1">
      <c r="A27" s="76"/>
    </row>
    <row r="28" spans="1:1" ht="48" customHeight="1">
      <c r="A28" s="13" t="s">
        <v>596</v>
      </c>
    </row>
    <row r="29" spans="1:1" ht="75" customHeight="1">
      <c r="A29" s="11" t="s">
        <v>597</v>
      </c>
    </row>
    <row r="30" spans="1:1" ht="102.75" customHeight="1">
      <c r="A30" s="11" t="s">
        <v>598</v>
      </c>
    </row>
    <row r="31" spans="1:1" ht="90" customHeight="1">
      <c r="A31" s="11" t="s">
        <v>599</v>
      </c>
    </row>
    <row r="32" spans="1:1" ht="128.25" customHeight="1">
      <c r="A32" s="11" t="s">
        <v>600</v>
      </c>
    </row>
    <row r="33" spans="1:1" ht="144" customHeight="1">
      <c r="A33" s="11" t="s">
        <v>601</v>
      </c>
    </row>
    <row r="34" spans="1:1" ht="15" customHeight="1">
      <c r="A34" s="87" t="s">
        <v>602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603</v>
      </c>
    </row>
    <row r="2" spans="1:8" ht="15" customHeight="1">
      <c r="A2" s="2" t="s">
        <v>604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15" customHeight="1">
      <c r="A5" s="80">
        <v>1</v>
      </c>
      <c r="B5" s="81" t="s">
        <v>14</v>
      </c>
      <c r="C5" s="80" t="s">
        <v>223</v>
      </c>
      <c r="D5" s="88">
        <f>시작중량_설정!$E$9</f>
        <v>24.75</v>
      </c>
      <c r="E5" s="80">
        <v>5</v>
      </c>
      <c r="F5" s="72" t="s">
        <v>224</v>
      </c>
      <c r="G5" s="81" t="s">
        <v>605</v>
      </c>
      <c r="H5" s="81" t="s">
        <v>606</v>
      </c>
    </row>
    <row r="6" spans="1:8" ht="15" customHeight="1">
      <c r="A6" s="7">
        <v>2</v>
      </c>
      <c r="B6" s="67" t="s">
        <v>332</v>
      </c>
      <c r="C6" s="7" t="s">
        <v>223</v>
      </c>
      <c r="D6" s="8" t="s">
        <v>333</v>
      </c>
      <c r="E6" s="7">
        <v>3</v>
      </c>
      <c r="F6" s="8" t="s">
        <v>173</v>
      </c>
      <c r="G6" s="67" t="s">
        <v>607</v>
      </c>
      <c r="H6" s="67" t="s">
        <v>608</v>
      </c>
    </row>
    <row r="7" spans="1:8" ht="15" customHeight="1">
      <c r="A7" s="7">
        <v>3</v>
      </c>
      <c r="B7" s="67" t="s">
        <v>336</v>
      </c>
      <c r="C7" s="7" t="s">
        <v>233</v>
      </c>
      <c r="D7" s="8" t="s">
        <v>337</v>
      </c>
      <c r="E7" s="7">
        <v>3</v>
      </c>
      <c r="F7" s="8" t="s">
        <v>178</v>
      </c>
      <c r="G7" s="67" t="s">
        <v>609</v>
      </c>
      <c r="H7" s="67" t="s">
        <v>610</v>
      </c>
    </row>
    <row r="8" spans="1:8" ht="15" customHeight="1">
      <c r="A8" s="7">
        <v>4</v>
      </c>
      <c r="B8" s="67" t="s">
        <v>236</v>
      </c>
      <c r="C8" s="7" t="s">
        <v>229</v>
      </c>
      <c r="D8" s="8" t="s">
        <v>190</v>
      </c>
      <c r="E8" s="7">
        <v>3</v>
      </c>
      <c r="F8" s="8" t="s">
        <v>173</v>
      </c>
      <c r="G8" s="67" t="s">
        <v>611</v>
      </c>
      <c r="H8" s="67" t="s">
        <v>612</v>
      </c>
    </row>
    <row r="9" spans="1:8" ht="15" customHeight="1">
      <c r="A9" s="7">
        <v>5</v>
      </c>
      <c r="B9" s="67" t="s">
        <v>239</v>
      </c>
      <c r="C9" s="7" t="s">
        <v>240</v>
      </c>
      <c r="D9" s="8" t="s">
        <v>178</v>
      </c>
      <c r="E9" s="7">
        <v>4</v>
      </c>
      <c r="F9" s="8" t="s">
        <v>185</v>
      </c>
      <c r="G9" s="67" t="s">
        <v>613</v>
      </c>
      <c r="H9" s="67" t="s">
        <v>614</v>
      </c>
    </row>
    <row r="10" spans="1:8" ht="15" customHeight="1">
      <c r="A10" s="7">
        <v>6</v>
      </c>
      <c r="B10" s="67" t="s">
        <v>340</v>
      </c>
      <c r="C10" s="7" t="s">
        <v>244</v>
      </c>
      <c r="D10" s="8" t="s">
        <v>178</v>
      </c>
      <c r="E10" s="7">
        <v>4</v>
      </c>
      <c r="F10" s="8" t="s">
        <v>185</v>
      </c>
      <c r="G10" s="67" t="s">
        <v>615</v>
      </c>
      <c r="H10" s="67" t="s">
        <v>616</v>
      </c>
    </row>
    <row r="11" spans="1:8" ht="15" customHeight="1">
      <c r="D11" s="89" t="s">
        <v>212</v>
      </c>
      <c r="E11" s="35">
        <f>SUM(E5:E10)</f>
        <v>22</v>
      </c>
    </row>
    <row r="13" spans="1:8" ht="32.25" customHeight="1">
      <c r="A13" s="12" t="s">
        <v>617</v>
      </c>
    </row>
    <row r="14" spans="1:8" ht="278.25" customHeight="1">
      <c r="A14" s="11" t="s">
        <v>618</v>
      </c>
    </row>
    <row r="15" spans="1:8" ht="237.75" customHeight="1">
      <c r="A15" s="11" t="s">
        <v>619</v>
      </c>
    </row>
    <row r="16" spans="1:8" ht="237.75" customHeight="1">
      <c r="A16" s="11" t="s">
        <v>620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621</v>
      </c>
    </row>
    <row r="2" spans="1:8" ht="15" customHeight="1">
      <c r="A2" s="2" t="s">
        <v>622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0">
        <v>1</v>
      </c>
      <c r="B5" s="81" t="s">
        <v>10</v>
      </c>
      <c r="C5" s="80" t="s">
        <v>249</v>
      </c>
      <c r="D5" s="88">
        <f>시작중량_설정!$E$7</f>
        <v>42.5</v>
      </c>
      <c r="E5" s="80">
        <v>3</v>
      </c>
      <c r="F5" s="72">
        <v>5</v>
      </c>
      <c r="G5" s="81" t="s">
        <v>623</v>
      </c>
      <c r="H5" s="81" t="s">
        <v>624</v>
      </c>
    </row>
    <row r="6" spans="1:8" ht="29.25" customHeight="1">
      <c r="A6" s="80">
        <v>2</v>
      </c>
      <c r="B6" s="81" t="s">
        <v>253</v>
      </c>
      <c r="C6" s="80" t="s">
        <v>249</v>
      </c>
      <c r="D6" s="88" t="s">
        <v>62</v>
      </c>
      <c r="E6" s="80">
        <v>4</v>
      </c>
      <c r="F6" s="72" t="s">
        <v>173</v>
      </c>
      <c r="G6" s="81" t="s">
        <v>625</v>
      </c>
      <c r="H6" s="81" t="s">
        <v>626</v>
      </c>
    </row>
    <row r="7" spans="1:8" ht="15" customHeight="1">
      <c r="A7" s="7">
        <v>3</v>
      </c>
      <c r="B7" s="67" t="s">
        <v>380</v>
      </c>
      <c r="C7" s="7" t="s">
        <v>249</v>
      </c>
      <c r="D7" s="8" t="s">
        <v>62</v>
      </c>
      <c r="E7" s="7">
        <v>3</v>
      </c>
      <c r="F7" s="8" t="s">
        <v>195</v>
      </c>
      <c r="G7" s="67" t="s">
        <v>627</v>
      </c>
      <c r="H7" s="67" t="s">
        <v>628</v>
      </c>
    </row>
    <row r="8" spans="1:8" ht="15" customHeight="1">
      <c r="A8" s="7">
        <v>4</v>
      </c>
      <c r="B8" s="67" t="s">
        <v>262</v>
      </c>
      <c r="C8" s="7" t="s">
        <v>263</v>
      </c>
      <c r="D8" s="8" t="s">
        <v>62</v>
      </c>
      <c r="E8" s="7">
        <v>3</v>
      </c>
      <c r="F8" s="8" t="s">
        <v>195</v>
      </c>
      <c r="G8" s="67" t="s">
        <v>629</v>
      </c>
      <c r="H8" s="67" t="s">
        <v>630</v>
      </c>
    </row>
    <row r="9" spans="1:8" ht="15" customHeight="1">
      <c r="A9" s="7">
        <v>5</v>
      </c>
      <c r="B9" s="67" t="s">
        <v>376</v>
      </c>
      <c r="C9" s="7" t="s">
        <v>263</v>
      </c>
      <c r="D9" s="8" t="s">
        <v>62</v>
      </c>
      <c r="E9" s="7">
        <v>3</v>
      </c>
      <c r="F9" s="8">
        <v>10</v>
      </c>
      <c r="G9" s="67" t="s">
        <v>631</v>
      </c>
      <c r="H9" s="67" t="s">
        <v>632</v>
      </c>
    </row>
    <row r="10" spans="1:8" ht="15" customHeight="1">
      <c r="A10" s="7">
        <v>6</v>
      </c>
      <c r="B10" s="67" t="s">
        <v>385</v>
      </c>
      <c r="C10" s="7" t="s">
        <v>276</v>
      </c>
      <c r="D10" s="8" t="s">
        <v>62</v>
      </c>
      <c r="E10" s="7">
        <v>3</v>
      </c>
      <c r="F10" s="8" t="s">
        <v>185</v>
      </c>
      <c r="G10" s="67" t="s">
        <v>633</v>
      </c>
      <c r="H10" s="67" t="s">
        <v>634</v>
      </c>
    </row>
    <row r="11" spans="1:8" ht="15" customHeight="1">
      <c r="A11" s="7">
        <v>7</v>
      </c>
      <c r="B11" s="67" t="s">
        <v>635</v>
      </c>
      <c r="C11" s="7" t="s">
        <v>320</v>
      </c>
      <c r="D11" s="90">
        <f>시작중량_설정!$E$10</f>
        <v>21.25</v>
      </c>
      <c r="E11" s="7">
        <v>3</v>
      </c>
      <c r="F11" s="8">
        <v>5</v>
      </c>
      <c r="G11" s="67" t="s">
        <v>636</v>
      </c>
      <c r="H11" s="67" t="s">
        <v>637</v>
      </c>
    </row>
    <row r="12" spans="1:8" ht="15" customHeight="1">
      <c r="D12" s="89" t="s">
        <v>212</v>
      </c>
      <c r="E12" s="35">
        <f>SUM(E5:E11)</f>
        <v>22</v>
      </c>
    </row>
    <row r="14" spans="1:8" ht="76.5" customHeight="1">
      <c r="A14" s="12" t="s">
        <v>638</v>
      </c>
    </row>
    <row r="15" spans="1:8" ht="265.5" customHeight="1">
      <c r="A15" s="11" t="s">
        <v>639</v>
      </c>
    </row>
    <row r="16" spans="1:8" ht="293.25" customHeight="1">
      <c r="A16" s="11" t="s">
        <v>640</v>
      </c>
    </row>
    <row r="17" spans="1:1" ht="276" customHeight="1">
      <c r="A17" s="11" t="s">
        <v>641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642</v>
      </c>
    </row>
    <row r="2" spans="1:8" ht="15" customHeight="1">
      <c r="A2" s="2" t="s">
        <v>643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0">
        <v>1</v>
      </c>
      <c r="B5" s="81" t="s">
        <v>12</v>
      </c>
      <c r="C5" s="80" t="s">
        <v>207</v>
      </c>
      <c r="D5" s="91">
        <f>시작중량_설정!$E$8</f>
        <v>47.5</v>
      </c>
      <c r="E5" s="80">
        <v>1</v>
      </c>
      <c r="F5" s="72">
        <v>5</v>
      </c>
      <c r="G5" s="81" t="s">
        <v>644</v>
      </c>
      <c r="H5" s="81" t="s">
        <v>645</v>
      </c>
    </row>
    <row r="6" spans="1:8" ht="15" customHeight="1">
      <c r="A6" s="7">
        <v>2</v>
      </c>
      <c r="B6" s="67" t="s">
        <v>284</v>
      </c>
      <c r="C6" s="7" t="s">
        <v>166</v>
      </c>
      <c r="D6" s="8" t="s">
        <v>62</v>
      </c>
      <c r="E6" s="7">
        <v>3</v>
      </c>
      <c r="F6" s="8" t="s">
        <v>178</v>
      </c>
      <c r="G6" s="67" t="s">
        <v>646</v>
      </c>
      <c r="H6" s="67" t="s">
        <v>647</v>
      </c>
    </row>
    <row r="7" spans="1:8" ht="15" customHeight="1">
      <c r="A7" s="7">
        <v>3</v>
      </c>
      <c r="B7" s="67" t="s">
        <v>288</v>
      </c>
      <c r="C7" s="7" t="s">
        <v>166</v>
      </c>
      <c r="D7" s="7" t="s">
        <v>62</v>
      </c>
      <c r="E7" s="7">
        <v>3</v>
      </c>
      <c r="F7" s="8" t="s">
        <v>173</v>
      </c>
      <c r="G7" s="67" t="s">
        <v>648</v>
      </c>
      <c r="H7" s="67" t="s">
        <v>649</v>
      </c>
    </row>
    <row r="8" spans="1:8" ht="15" customHeight="1">
      <c r="A8" s="7">
        <v>4</v>
      </c>
      <c r="B8" s="67" t="s">
        <v>165</v>
      </c>
      <c r="C8" s="7" t="s">
        <v>166</v>
      </c>
      <c r="D8" s="7" t="s">
        <v>167</v>
      </c>
      <c r="E8" s="7">
        <v>3</v>
      </c>
      <c r="F8" s="8" t="s">
        <v>168</v>
      </c>
      <c r="G8" s="67" t="s">
        <v>650</v>
      </c>
      <c r="H8" s="67" t="s">
        <v>651</v>
      </c>
    </row>
    <row r="9" spans="1:8" ht="15" customHeight="1">
      <c r="A9" s="7">
        <v>5</v>
      </c>
      <c r="B9" s="67" t="s">
        <v>172</v>
      </c>
      <c r="C9" s="7" t="s">
        <v>166</v>
      </c>
      <c r="D9" s="8" t="s">
        <v>62</v>
      </c>
      <c r="E9" s="7">
        <v>3</v>
      </c>
      <c r="F9" s="8" t="s">
        <v>173</v>
      </c>
      <c r="G9" s="67" t="s">
        <v>652</v>
      </c>
      <c r="H9" s="67" t="s">
        <v>653</v>
      </c>
    </row>
    <row r="10" spans="1:8" ht="15" customHeight="1">
      <c r="A10" s="7">
        <v>6</v>
      </c>
      <c r="B10" s="67" t="s">
        <v>346</v>
      </c>
      <c r="C10" s="7" t="s">
        <v>177</v>
      </c>
      <c r="D10" s="8" t="s">
        <v>347</v>
      </c>
      <c r="E10" s="7">
        <v>3</v>
      </c>
      <c r="F10" s="8" t="s">
        <v>185</v>
      </c>
      <c r="G10" s="67" t="s">
        <v>654</v>
      </c>
      <c r="H10" s="67" t="s">
        <v>655</v>
      </c>
    </row>
    <row r="11" spans="1:8" ht="15" customHeight="1">
      <c r="A11" s="7">
        <v>7</v>
      </c>
      <c r="B11" s="67" t="s">
        <v>300</v>
      </c>
      <c r="C11" s="7" t="s">
        <v>169</v>
      </c>
      <c r="D11" s="8" t="s">
        <v>301</v>
      </c>
      <c r="E11" s="7">
        <v>3</v>
      </c>
      <c r="F11" s="8" t="s">
        <v>173</v>
      </c>
      <c r="G11" s="67" t="s">
        <v>656</v>
      </c>
      <c r="H11" s="67" t="s">
        <v>657</v>
      </c>
    </row>
    <row r="12" spans="1:8" ht="15" customHeight="1">
      <c r="A12" s="7">
        <v>8</v>
      </c>
      <c r="B12" s="67" t="s">
        <v>313</v>
      </c>
      <c r="C12" s="7" t="s">
        <v>203</v>
      </c>
      <c r="D12" s="7">
        <v>2.5</v>
      </c>
      <c r="E12" s="7">
        <v>3</v>
      </c>
      <c r="F12" s="7">
        <v>12</v>
      </c>
      <c r="G12" s="67" t="s">
        <v>658</v>
      </c>
      <c r="H12" s="67" t="s">
        <v>659</v>
      </c>
    </row>
    <row r="13" spans="1:8" ht="15" customHeight="1">
      <c r="D13" s="89" t="s">
        <v>212</v>
      </c>
      <c r="E13" s="35">
        <f>SUM(E5:E12)</f>
        <v>22</v>
      </c>
    </row>
    <row r="15" spans="1:8" ht="92.25" customHeight="1">
      <c r="A15" s="12" t="s">
        <v>660</v>
      </c>
    </row>
    <row r="16" spans="1:8" ht="233.25" customHeight="1">
      <c r="A16" s="11" t="s">
        <v>661</v>
      </c>
    </row>
    <row r="17" spans="1:1" ht="240" customHeight="1">
      <c r="A17" s="11" t="s">
        <v>662</v>
      </c>
    </row>
    <row r="18" spans="1:1" ht="278.25" customHeight="1">
      <c r="A18" s="11" t="s">
        <v>663</v>
      </c>
    </row>
    <row r="19" spans="1:1" ht="15" customHeight="1">
      <c r="A19" s="76"/>
    </row>
    <row r="20" spans="1:1" ht="95.25" customHeight="1">
      <c r="A20" s="12" t="s">
        <v>664</v>
      </c>
    </row>
    <row r="21" spans="1:1" ht="252.75" customHeight="1">
      <c r="A21" s="11" t="s">
        <v>665</v>
      </c>
    </row>
    <row r="22" spans="1:1" ht="237.75" customHeight="1">
      <c r="A22" s="11" t="s">
        <v>666</v>
      </c>
    </row>
    <row r="23" spans="1:1" ht="265.5" customHeight="1">
      <c r="A23" s="11" t="s">
        <v>667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668</v>
      </c>
    </row>
    <row r="2" spans="1:4" ht="15" customHeight="1">
      <c r="A2" s="2" t="s">
        <v>669</v>
      </c>
    </row>
    <row r="4" spans="1:4" ht="15" customHeight="1">
      <c r="A4" s="5" t="s">
        <v>670</v>
      </c>
      <c r="B4" s="5" t="s">
        <v>671</v>
      </c>
      <c r="C4" s="5" t="s">
        <v>672</v>
      </c>
      <c r="D4" s="5" t="s">
        <v>533</v>
      </c>
    </row>
    <row r="5" spans="1:4" ht="15" customHeight="1">
      <c r="A5" s="7" t="s">
        <v>545</v>
      </c>
      <c r="B5" s="7" t="s">
        <v>673</v>
      </c>
      <c r="C5" s="7" t="s">
        <v>674</v>
      </c>
      <c r="D5" s="82" t="s">
        <v>675</v>
      </c>
    </row>
    <row r="6" spans="1:4" ht="15" customHeight="1">
      <c r="A6" s="7" t="s">
        <v>58</v>
      </c>
      <c r="B6" s="8" t="s">
        <v>676</v>
      </c>
      <c r="C6" s="7" t="s">
        <v>677</v>
      </c>
      <c r="D6" s="67" t="s">
        <v>678</v>
      </c>
    </row>
    <row r="7" spans="1:4" ht="15" customHeight="1">
      <c r="A7" s="7" t="s">
        <v>679</v>
      </c>
      <c r="B7" s="7" t="s">
        <v>680</v>
      </c>
      <c r="C7" s="7" t="s">
        <v>681</v>
      </c>
      <c r="D7" s="67" t="s">
        <v>682</v>
      </c>
    </row>
    <row r="8" spans="1:4" ht="15" customHeight="1">
      <c r="A8" s="7" t="s">
        <v>683</v>
      </c>
      <c r="B8" s="7" t="s">
        <v>684</v>
      </c>
      <c r="C8" s="7" t="s">
        <v>685</v>
      </c>
      <c r="D8" s="67" t="s">
        <v>686</v>
      </c>
    </row>
    <row r="9" spans="1:4" ht="15" customHeight="1">
      <c r="A9" s="7" t="s">
        <v>687</v>
      </c>
      <c r="B9" s="8" t="s">
        <v>688</v>
      </c>
      <c r="C9" s="8" t="s">
        <v>689</v>
      </c>
      <c r="D9" s="67" t="s">
        <v>690</v>
      </c>
    </row>
    <row r="10" spans="1:4" ht="15" customHeight="1">
      <c r="A10" s="7" t="s">
        <v>12</v>
      </c>
      <c r="B10" s="8" t="s">
        <v>691</v>
      </c>
      <c r="C10" s="8" t="s">
        <v>692</v>
      </c>
      <c r="D10" s="67" t="s">
        <v>693</v>
      </c>
    </row>
    <row r="11" spans="1:4" ht="15" customHeight="1">
      <c r="A11" s="7" t="s">
        <v>10</v>
      </c>
      <c r="B11" s="8" t="s">
        <v>694</v>
      </c>
      <c r="C11" s="8" t="s">
        <v>695</v>
      </c>
      <c r="D11" s="67" t="s">
        <v>696</v>
      </c>
    </row>
    <row r="12" spans="1:4" ht="15" customHeight="1">
      <c r="A12" s="7" t="s">
        <v>697</v>
      </c>
      <c r="B12" s="8" t="s">
        <v>698</v>
      </c>
      <c r="C12" s="8" t="s">
        <v>699</v>
      </c>
      <c r="D12" s="67" t="s">
        <v>700</v>
      </c>
    </row>
    <row r="13" spans="1:4" ht="15" customHeight="1">
      <c r="A13" s="92" t="s">
        <v>701</v>
      </c>
      <c r="B13" s="93" t="s">
        <v>702</v>
      </c>
      <c r="C13" s="93" t="s">
        <v>703</v>
      </c>
      <c r="D13" s="92" t="s">
        <v>704</v>
      </c>
    </row>
    <row r="15" spans="1:4" ht="15" customHeight="1">
      <c r="A15" s="3" t="s">
        <v>551</v>
      </c>
    </row>
    <row r="16" spans="1:4" ht="39" customHeight="1">
      <c r="A16" s="11" t="s">
        <v>705</v>
      </c>
    </row>
    <row r="17" spans="1:1" ht="51.75" customHeight="1">
      <c r="A17" s="11" t="s">
        <v>706</v>
      </c>
    </row>
    <row r="18" spans="1:1" ht="39" customHeight="1">
      <c r="A18" s="11" t="s">
        <v>707</v>
      </c>
    </row>
    <row r="19" spans="1:1" ht="39" customHeight="1">
      <c r="A19" s="11" t="s">
        <v>708</v>
      </c>
    </row>
    <row r="20" spans="1:1" ht="15" customHeight="1">
      <c r="A20" s="76"/>
    </row>
    <row r="21" spans="1:1" ht="51.75" customHeight="1">
      <c r="A21" s="11" t="s">
        <v>709</v>
      </c>
    </row>
    <row r="22" spans="1:1" ht="39" customHeight="1">
      <c r="A22" s="11" t="s">
        <v>710</v>
      </c>
    </row>
    <row r="23" spans="1:1" ht="15" customHeight="1">
      <c r="A23" s="76"/>
    </row>
    <row r="24" spans="1:1" ht="51.75" customHeight="1">
      <c r="A24" s="11" t="s">
        <v>711</v>
      </c>
    </row>
    <row r="25" spans="1:1" ht="39" customHeight="1">
      <c r="A25" s="11" t="s">
        <v>712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2026-08-12T03:39:00Z</dcterms:modified>
  <dc:language>en-US</dc:language>
</cp:coreProperties>
</file>