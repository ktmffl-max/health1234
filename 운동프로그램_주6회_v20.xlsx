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b2bc197408547891/Desktop/운동/"/>
    </mc:Choice>
  </mc:AlternateContent>
  <xr:revisionPtr revIDLastSave="2793" documentId="11_6AF0B42629B6F5CFF7DAC05DB27E968F34409905" xr6:coauthVersionLast="47" xr6:coauthVersionMax="47" xr10:uidLastSave="{B6165A38-C0C7-4845-8F3F-C960B75BBCC0}"/>
  <bookViews>
    <workbookView xWindow="-120" yWindow="-120" windowWidth="38640" windowHeight="21120" tabRatio="976" firstSheet="7" activeTab="16" xr2:uid="{00000000-000D-0000-FFFF-FFFF00000000}"/>
  </bookViews>
  <sheets>
    <sheet name="시작중량_설정" sheetId="1" r:id="rId1"/>
    <sheet name="주간계획" sheetId="2" r:id="rId2"/>
    <sheet name="D1_당기기A" sheetId="3" r:id="rId3"/>
    <sheet name="D2_밀기A" sheetId="4" r:id="rId4"/>
    <sheet name="D3_하체A" sheetId="5" r:id="rId5"/>
    <sheet name="D4_어깨팔A" sheetId="6" r:id="rId6"/>
    <sheet name="D6_당기기B" sheetId="7" r:id="rId7"/>
    <sheet name="D7_밀기B" sheetId="8" r:id="rId8"/>
    <sheet name="D8_하체B" sheetId="9" r:id="rId9"/>
    <sheet name="D9_어깨팔B" sheetId="10" r:id="rId10"/>
    <sheet name="간접계수맵" sheetId="11" r:id="rId11"/>
    <sheet name="세트검산" sheetId="12" r:id="rId12"/>
    <sheet name="증량기록" sheetId="13" r:id="rId13"/>
    <sheet name="9월이후조정" sheetId="14" r:id="rId14"/>
    <sheet name="복귀_주간계획" sheetId="15" r:id="rId15"/>
    <sheet name="복귀_토_하체전면" sheetId="16" r:id="rId16"/>
    <sheet name="복귀_일_수평당기기" sheetId="17" r:id="rId17"/>
    <sheet name="복귀_집계단" sheetId="27" r:id="rId18"/>
    <sheet name="복귀_월_가슴" sheetId="18" r:id="rId19"/>
    <sheet name="복귀_화_팔" sheetId="19" r:id="rId20"/>
    <sheet name="복귀_수_하체후면" sheetId="20" r:id="rId21"/>
    <sheet name="복귀_목_수직당기기" sheetId="21" r:id="rId22"/>
    <sheet name="복귀_캐리" sheetId="25" r:id="rId23"/>
    <sheet name="복귀_스텝박스" sheetId="26" r:id="rId24"/>
    <sheet name="복귀_증량원칙" sheetId="22" r:id="rId25"/>
    <sheet name="복귀_간접계수맵" sheetId="23" r:id="rId26"/>
    <sheet name="복귀_세트검산" sheetId="24" r:id="rId27"/>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1" i="16" l="1"/>
  <c r="E47" i="23"/>
  <c r="F47" i="23" s="1"/>
  <c r="E19" i="23"/>
  <c r="F19" i="23" s="1"/>
  <c r="I16" i="17"/>
  <c r="E22" i="1"/>
  <c r="D12" i="21" s="1"/>
  <c r="AJ29" i="13"/>
  <c r="AJ30" i="13" s="1"/>
  <c r="AJ31" i="13" s="1"/>
  <c r="AJ32" i="13" s="1"/>
  <c r="AJ33" i="13" s="1"/>
  <c r="AJ34" i="13" s="1"/>
  <c r="AJ35" i="13" s="1"/>
  <c r="AJ36" i="13" s="1"/>
  <c r="AJ37" i="13" s="1"/>
  <c r="AJ38" i="13" s="1"/>
  <c r="AJ39" i="13" s="1"/>
  <c r="AJ40" i="13" s="1"/>
  <c r="AJ41" i="13" s="1"/>
  <c r="AJ42" i="13" s="1"/>
  <c r="AJ43" i="13" s="1"/>
  <c r="AJ44" i="13" s="1"/>
  <c r="AJ45" i="13" s="1"/>
  <c r="AJ46" i="13" s="1"/>
  <c r="AJ47" i="13" s="1"/>
  <c r="AJ48" i="13" s="1"/>
  <c r="AJ49" i="13" s="1"/>
  <c r="AJ50" i="13" s="1"/>
  <c r="AJ51" i="13" s="1"/>
  <c r="E21" i="1"/>
  <c r="D19" i="19" s="1"/>
  <c r="AH29" i="13"/>
  <c r="AH30" i="13" s="1"/>
  <c r="AH31" i="13" s="1"/>
  <c r="AH32" i="13" s="1"/>
  <c r="AH33" i="13" s="1"/>
  <c r="AH34" i="13" s="1"/>
  <c r="AH35" i="13" s="1"/>
  <c r="AH36" i="13" s="1"/>
  <c r="AH37" i="13" s="1"/>
  <c r="AH38" i="13" s="1"/>
  <c r="AH39" i="13" s="1"/>
  <c r="AH40" i="13" s="1"/>
  <c r="AH41" i="13" s="1"/>
  <c r="AH42" i="13" s="1"/>
  <c r="AH43" i="13" s="1"/>
  <c r="AH44" i="13" s="1"/>
  <c r="AH45" i="13" s="1"/>
  <c r="AH46" i="13" s="1"/>
  <c r="AH47" i="13" s="1"/>
  <c r="AH48" i="13" s="1"/>
  <c r="AH49" i="13" s="1"/>
  <c r="AH50" i="13" s="1"/>
  <c r="AH51" i="13" s="1"/>
  <c r="E20" i="1"/>
  <c r="D16" i="19" s="1"/>
  <c r="AF29" i="13"/>
  <c r="AF30" i="13" s="1"/>
  <c r="AF31" i="13" s="1"/>
  <c r="AF32" i="13" s="1"/>
  <c r="AF33" i="13" s="1"/>
  <c r="AF34" i="13" s="1"/>
  <c r="AF35" i="13" s="1"/>
  <c r="AF36" i="13" s="1"/>
  <c r="AF37" i="13" s="1"/>
  <c r="AF38" i="13" s="1"/>
  <c r="AF39" i="13" s="1"/>
  <c r="AF40" i="13" s="1"/>
  <c r="AF41" i="13" s="1"/>
  <c r="AF42" i="13" s="1"/>
  <c r="AF43" i="13" s="1"/>
  <c r="AF44" i="13" s="1"/>
  <c r="AF45" i="13" s="1"/>
  <c r="AF46" i="13" s="1"/>
  <c r="AF47" i="13" s="1"/>
  <c r="AF48" i="13" s="1"/>
  <c r="AF49" i="13" s="1"/>
  <c r="AF50" i="13" s="1"/>
  <c r="AF51" i="13" s="1"/>
  <c r="E19" i="1"/>
  <c r="AD29" i="13"/>
  <c r="AD30" i="13" s="1"/>
  <c r="AD31" i="13" s="1"/>
  <c r="AD32" i="13" s="1"/>
  <c r="AD33" i="13" s="1"/>
  <c r="AD34" i="13" s="1"/>
  <c r="AD35" i="13" s="1"/>
  <c r="AD36" i="13" s="1"/>
  <c r="AD37" i="13" s="1"/>
  <c r="AD38" i="13" s="1"/>
  <c r="AD39" i="13" s="1"/>
  <c r="AD40" i="13" s="1"/>
  <c r="AD41" i="13" s="1"/>
  <c r="AD42" i="13" s="1"/>
  <c r="AD43" i="13" s="1"/>
  <c r="AD44" i="13" s="1"/>
  <c r="AD45" i="13" s="1"/>
  <c r="AD46" i="13" s="1"/>
  <c r="AD47" i="13" s="1"/>
  <c r="AD48" i="13" s="1"/>
  <c r="AD49" i="13" s="1"/>
  <c r="AD50" i="13" s="1"/>
  <c r="AD51" i="13" s="1"/>
  <c r="E18" i="1"/>
  <c r="D15" i="17" s="1"/>
  <c r="AB29" i="13"/>
  <c r="AB30" i="13" s="1"/>
  <c r="AB31" i="13" s="1"/>
  <c r="AB32" i="13" s="1"/>
  <c r="AB33" i="13" s="1"/>
  <c r="AB34" i="13" s="1"/>
  <c r="AB35" i="13" s="1"/>
  <c r="AB36" i="13" s="1"/>
  <c r="AB37" i="13" s="1"/>
  <c r="AB38" i="13" s="1"/>
  <c r="AB39" i="13" s="1"/>
  <c r="AB40" i="13" s="1"/>
  <c r="AB41" i="13" s="1"/>
  <c r="AB42" i="13" s="1"/>
  <c r="AB43" i="13" s="1"/>
  <c r="AB44" i="13" s="1"/>
  <c r="AB45" i="13" s="1"/>
  <c r="AB46" i="13" s="1"/>
  <c r="AB47" i="13" s="1"/>
  <c r="AB48" i="13" s="1"/>
  <c r="AB49" i="13" s="1"/>
  <c r="AB50" i="13" s="1"/>
  <c r="AB51" i="13" s="1"/>
  <c r="E17" i="1"/>
  <c r="D18" i="21" s="1"/>
  <c r="Z29" i="13"/>
  <c r="Z30" i="13" s="1"/>
  <c r="Z31" i="13" s="1"/>
  <c r="Z32" i="13" s="1"/>
  <c r="Z33" i="13" s="1"/>
  <c r="Z34" i="13" s="1"/>
  <c r="Z35" i="13" s="1"/>
  <c r="Z36" i="13" s="1"/>
  <c r="Z37" i="13" s="1"/>
  <c r="Z38" i="13" s="1"/>
  <c r="Z39" i="13" s="1"/>
  <c r="Z40" i="13" s="1"/>
  <c r="Z41" i="13" s="1"/>
  <c r="Z42" i="13" s="1"/>
  <c r="Z43" i="13" s="1"/>
  <c r="Z44" i="13" s="1"/>
  <c r="Z45" i="13" s="1"/>
  <c r="Z46" i="13" s="1"/>
  <c r="Z47" i="13" s="1"/>
  <c r="Z48" i="13" s="1"/>
  <c r="Z49" i="13" s="1"/>
  <c r="Z50" i="13" s="1"/>
  <c r="Z51" i="13" s="1"/>
  <c r="E16" i="1"/>
  <c r="D11" i="19" s="1"/>
  <c r="X29" i="13"/>
  <c r="X30" i="13" s="1"/>
  <c r="X31" i="13" s="1"/>
  <c r="X32" i="13" s="1"/>
  <c r="X33" i="13" s="1"/>
  <c r="X34" i="13" s="1"/>
  <c r="X35" i="13" s="1"/>
  <c r="X36" i="13" s="1"/>
  <c r="X37" i="13" s="1"/>
  <c r="X38" i="13" s="1"/>
  <c r="X39" i="13" s="1"/>
  <c r="X40" i="13" s="1"/>
  <c r="X41" i="13" s="1"/>
  <c r="X42" i="13" s="1"/>
  <c r="X43" i="13" s="1"/>
  <c r="X44" i="13" s="1"/>
  <c r="X45" i="13" s="1"/>
  <c r="X46" i="13" s="1"/>
  <c r="X47" i="13" s="1"/>
  <c r="X48" i="13" s="1"/>
  <c r="X49" i="13" s="1"/>
  <c r="X50" i="13" s="1"/>
  <c r="X51" i="13" s="1"/>
  <c r="E15" i="1"/>
  <c r="D30" i="20" s="1"/>
  <c r="V29" i="13"/>
  <c r="V30" i="13" s="1"/>
  <c r="V31" i="13" s="1"/>
  <c r="V32" i="13" s="1"/>
  <c r="V33" i="13" s="1"/>
  <c r="V34" i="13" s="1"/>
  <c r="V35" i="13" s="1"/>
  <c r="V36" i="13" s="1"/>
  <c r="V37" i="13" s="1"/>
  <c r="V38" i="13" s="1"/>
  <c r="V39" i="13" s="1"/>
  <c r="V40" i="13" s="1"/>
  <c r="V41" i="13" s="1"/>
  <c r="V42" i="13" s="1"/>
  <c r="V43" i="13" s="1"/>
  <c r="V44" i="13" s="1"/>
  <c r="V45" i="13" s="1"/>
  <c r="V46" i="13" s="1"/>
  <c r="V47" i="13" s="1"/>
  <c r="V48" i="13" s="1"/>
  <c r="V49" i="13" s="1"/>
  <c r="V50" i="13" s="1"/>
  <c r="V51" i="13" s="1"/>
  <c r="E14" i="1"/>
  <c r="D31" i="20" s="1"/>
  <c r="T29" i="13"/>
  <c r="T30" i="13" s="1"/>
  <c r="T31" i="13" s="1"/>
  <c r="T32" i="13" s="1"/>
  <c r="T33" i="13" s="1"/>
  <c r="T34" i="13" s="1"/>
  <c r="T35" i="13" s="1"/>
  <c r="T36" i="13" s="1"/>
  <c r="T37" i="13" s="1"/>
  <c r="T38" i="13" s="1"/>
  <c r="T39" i="13" s="1"/>
  <c r="T40" i="13" s="1"/>
  <c r="T41" i="13" s="1"/>
  <c r="T42" i="13" s="1"/>
  <c r="T43" i="13" s="1"/>
  <c r="T44" i="13" s="1"/>
  <c r="T45" i="13" s="1"/>
  <c r="T46" i="13" s="1"/>
  <c r="T47" i="13" s="1"/>
  <c r="T48" i="13" s="1"/>
  <c r="T49" i="13" s="1"/>
  <c r="T50" i="13" s="1"/>
  <c r="T51" i="13" s="1"/>
  <c r="E13" i="1"/>
  <c r="D21" i="16" s="1"/>
  <c r="R29" i="13"/>
  <c r="R30" i="13" s="1"/>
  <c r="R31" i="13" s="1"/>
  <c r="R32" i="13" s="1"/>
  <c r="R33" i="13" s="1"/>
  <c r="R34" i="13" s="1"/>
  <c r="R35" i="13" s="1"/>
  <c r="R36" i="13" s="1"/>
  <c r="R37" i="13" s="1"/>
  <c r="R38" i="13" s="1"/>
  <c r="R39" i="13" s="1"/>
  <c r="R40" i="13" s="1"/>
  <c r="R41" i="13" s="1"/>
  <c r="R42" i="13" s="1"/>
  <c r="R43" i="13" s="1"/>
  <c r="R44" i="13" s="1"/>
  <c r="R45" i="13" s="1"/>
  <c r="R46" i="13" s="1"/>
  <c r="R47" i="13" s="1"/>
  <c r="R48" i="13" s="1"/>
  <c r="R49" i="13" s="1"/>
  <c r="R50" i="13" s="1"/>
  <c r="R51" i="13" s="1"/>
  <c r="E12" i="1"/>
  <c r="D19" i="18" s="1"/>
  <c r="E11" i="1"/>
  <c r="D11" i="17" s="1"/>
  <c r="P29" i="13"/>
  <c r="P30" i="13" s="1"/>
  <c r="P31" i="13" s="1"/>
  <c r="P32" i="13" s="1"/>
  <c r="P33" i="13" s="1"/>
  <c r="P34" i="13" s="1"/>
  <c r="P35" i="13" s="1"/>
  <c r="P36" i="13" s="1"/>
  <c r="P37" i="13" s="1"/>
  <c r="P38" i="13" s="1"/>
  <c r="P39" i="13" s="1"/>
  <c r="P40" i="13" s="1"/>
  <c r="P41" i="13" s="1"/>
  <c r="P42" i="13" s="1"/>
  <c r="P43" i="13" s="1"/>
  <c r="P44" i="13" s="1"/>
  <c r="P45" i="13" s="1"/>
  <c r="P46" i="13" s="1"/>
  <c r="P47" i="13" s="1"/>
  <c r="P48" i="13" s="1"/>
  <c r="P49" i="13" s="1"/>
  <c r="P50" i="13" s="1"/>
  <c r="P51" i="13" s="1"/>
  <c r="N29" i="13"/>
  <c r="N30" i="13" s="1"/>
  <c r="N31" i="13" s="1"/>
  <c r="N32" i="13" s="1"/>
  <c r="N33" i="13" s="1"/>
  <c r="N34" i="13" s="1"/>
  <c r="N35" i="13" s="1"/>
  <c r="N36" i="13" s="1"/>
  <c r="N37" i="13" s="1"/>
  <c r="N38" i="13" s="1"/>
  <c r="N39" i="13" s="1"/>
  <c r="N40" i="13" s="1"/>
  <c r="N41" i="13" s="1"/>
  <c r="N42" i="13" s="1"/>
  <c r="N43" i="13" s="1"/>
  <c r="N44" i="13" s="1"/>
  <c r="N45" i="13" s="1"/>
  <c r="N46" i="13" s="1"/>
  <c r="N47" i="13" s="1"/>
  <c r="N48" i="13" s="1"/>
  <c r="N49" i="13" s="1"/>
  <c r="N50" i="13" s="1"/>
  <c r="N51" i="13" s="1"/>
  <c r="C15" i="24"/>
  <c r="B15" i="24"/>
  <c r="I37" i="20"/>
  <c r="I26" i="18"/>
  <c r="I26" i="16"/>
  <c r="E83" i="23"/>
  <c r="F83" i="23" s="1"/>
  <c r="E82" i="23"/>
  <c r="F82" i="23" s="1"/>
  <c r="E81" i="23"/>
  <c r="F81" i="23" s="1"/>
  <c r="I8" i="24"/>
  <c r="E29" i="18"/>
  <c r="E8" i="15" s="1"/>
  <c r="I28" i="18"/>
  <c r="I27" i="18"/>
  <c r="I15" i="19"/>
  <c r="E24" i="19"/>
  <c r="E9" i="15" s="1"/>
  <c r="I14" i="19"/>
  <c r="I13" i="19"/>
  <c r="I12" i="19"/>
  <c r="I11" i="19"/>
  <c r="E21" i="23"/>
  <c r="F21" i="23" s="1"/>
  <c r="I18" i="19"/>
  <c r="E34" i="23"/>
  <c r="F34" i="23" s="1"/>
  <c r="I35" i="20"/>
  <c r="I23" i="16"/>
  <c r="D35" i="25"/>
  <c r="D34" i="25"/>
  <c r="D33" i="25"/>
  <c r="D32" i="25"/>
  <c r="D31" i="25"/>
  <c r="D30" i="25"/>
  <c r="D29" i="25"/>
  <c r="D28" i="25"/>
  <c r="D27" i="25"/>
  <c r="D26" i="25"/>
  <c r="D25" i="25"/>
  <c r="D24" i="25"/>
  <c r="D23" i="25"/>
  <c r="D22" i="25"/>
  <c r="D21" i="25"/>
  <c r="D20" i="25"/>
  <c r="D19" i="25"/>
  <c r="D18" i="25"/>
  <c r="E31" i="23"/>
  <c r="F31" i="23" s="1"/>
  <c r="E30" i="23"/>
  <c r="F30" i="23" s="1"/>
  <c r="E45" i="23"/>
  <c r="F45" i="23" s="1"/>
  <c r="I17" i="21"/>
  <c r="E53" i="23"/>
  <c r="F53" i="23" s="1"/>
  <c r="E16" i="23"/>
  <c r="F16" i="23" s="1"/>
  <c r="I13" i="17"/>
  <c r="E51" i="23"/>
  <c r="F51" i="23" s="1"/>
  <c r="I25" i="18"/>
  <c r="I24" i="18"/>
  <c r="I23" i="18"/>
  <c r="B26" i="24"/>
  <c r="B25" i="24"/>
  <c r="B24" i="24"/>
  <c r="B23" i="24"/>
  <c r="B22" i="24"/>
  <c r="B21" i="24"/>
  <c r="B20" i="24"/>
  <c r="C19" i="24"/>
  <c r="B19" i="24"/>
  <c r="B18" i="24"/>
  <c r="B17" i="24"/>
  <c r="B16" i="24"/>
  <c r="B14" i="24"/>
  <c r="B13" i="24"/>
  <c r="B12" i="24"/>
  <c r="B11" i="24"/>
  <c r="B10" i="24"/>
  <c r="B9" i="24"/>
  <c r="B8" i="24"/>
  <c r="B7" i="24"/>
  <c r="B6" i="24"/>
  <c r="B5" i="24"/>
  <c r="E80" i="23"/>
  <c r="F80" i="23" s="1"/>
  <c r="C26" i="24" s="1"/>
  <c r="E79" i="23"/>
  <c r="F79" i="23" s="1"/>
  <c r="C20" i="24" s="1"/>
  <c r="E78" i="23"/>
  <c r="F78" i="23" s="1"/>
  <c r="C24" i="24" s="1"/>
  <c r="E77" i="23"/>
  <c r="F77" i="23" s="1"/>
  <c r="E76" i="23"/>
  <c r="F76" i="23" s="1"/>
  <c r="E75" i="23"/>
  <c r="F75" i="23" s="1"/>
  <c r="E74" i="23"/>
  <c r="F74" i="23" s="1"/>
  <c r="E73" i="23"/>
  <c r="F73" i="23" s="1"/>
  <c r="E72" i="23"/>
  <c r="F72" i="23" s="1"/>
  <c r="E71" i="23"/>
  <c r="F71" i="23" s="1"/>
  <c r="E70" i="23"/>
  <c r="F70" i="23" s="1"/>
  <c r="E69" i="23"/>
  <c r="F69" i="23" s="1"/>
  <c r="E68" i="23"/>
  <c r="F68" i="23" s="1"/>
  <c r="E67" i="23"/>
  <c r="F67" i="23" s="1"/>
  <c r="E66" i="23"/>
  <c r="F66" i="23" s="1"/>
  <c r="E65" i="23"/>
  <c r="F65" i="23" s="1"/>
  <c r="E64" i="23"/>
  <c r="F64" i="23" s="1"/>
  <c r="E63" i="23"/>
  <c r="F63" i="23" s="1"/>
  <c r="E62" i="23"/>
  <c r="F62" i="23" s="1"/>
  <c r="E61" i="23"/>
  <c r="F61" i="23" s="1"/>
  <c r="E60" i="23"/>
  <c r="F60" i="23" s="1"/>
  <c r="E59" i="23"/>
  <c r="F59" i="23" s="1"/>
  <c r="E58" i="23"/>
  <c r="F58" i="23" s="1"/>
  <c r="E57" i="23"/>
  <c r="F57" i="23" s="1"/>
  <c r="E56" i="23"/>
  <c r="F56" i="23" s="1"/>
  <c r="E55" i="23"/>
  <c r="F55" i="23" s="1"/>
  <c r="E54" i="23"/>
  <c r="F54" i="23" s="1"/>
  <c r="E52" i="23"/>
  <c r="F52" i="23" s="1"/>
  <c r="E50" i="23"/>
  <c r="F50" i="23" s="1"/>
  <c r="E49" i="23"/>
  <c r="F49" i="23" s="1"/>
  <c r="E48" i="23"/>
  <c r="F48" i="23" s="1"/>
  <c r="E46" i="23"/>
  <c r="F46" i="23" s="1"/>
  <c r="E44" i="23"/>
  <c r="F44" i="23" s="1"/>
  <c r="E43" i="23"/>
  <c r="F43" i="23" s="1"/>
  <c r="E42" i="23"/>
  <c r="F42" i="23" s="1"/>
  <c r="E41" i="23"/>
  <c r="F41" i="23" s="1"/>
  <c r="E40" i="23"/>
  <c r="F40" i="23" s="1"/>
  <c r="E39" i="23"/>
  <c r="F39" i="23" s="1"/>
  <c r="E38" i="23"/>
  <c r="F38" i="23" s="1"/>
  <c r="E37" i="23"/>
  <c r="F37" i="23" s="1"/>
  <c r="E36" i="23"/>
  <c r="F36" i="23" s="1"/>
  <c r="E35" i="23"/>
  <c r="F35" i="23" s="1"/>
  <c r="C16" i="24" s="1"/>
  <c r="E33" i="23"/>
  <c r="F33" i="23" s="1"/>
  <c r="E32" i="23"/>
  <c r="F32" i="23" s="1"/>
  <c r="E29" i="23"/>
  <c r="F29" i="23" s="1"/>
  <c r="E28" i="23"/>
  <c r="F28" i="23" s="1"/>
  <c r="E27" i="23"/>
  <c r="F27" i="23" s="1"/>
  <c r="E26" i="23"/>
  <c r="F26" i="23" s="1"/>
  <c r="E25" i="23"/>
  <c r="F25" i="23" s="1"/>
  <c r="E24" i="23"/>
  <c r="F24" i="23" s="1"/>
  <c r="E23" i="23"/>
  <c r="F23" i="23" s="1"/>
  <c r="E22" i="23"/>
  <c r="F22" i="23" s="1"/>
  <c r="E20" i="23"/>
  <c r="F20" i="23" s="1"/>
  <c r="E18" i="23"/>
  <c r="F18" i="23" s="1"/>
  <c r="E17" i="23"/>
  <c r="F17" i="23" s="1"/>
  <c r="E15" i="23"/>
  <c r="F15" i="23" s="1"/>
  <c r="E14" i="23"/>
  <c r="F14" i="23" s="1"/>
  <c r="E13" i="23"/>
  <c r="F13" i="23" s="1"/>
  <c r="E12" i="23"/>
  <c r="F12" i="23" s="1"/>
  <c r="E11" i="23"/>
  <c r="F11" i="23" s="1"/>
  <c r="E10" i="23"/>
  <c r="F10" i="23" s="1"/>
  <c r="E9" i="23"/>
  <c r="F9" i="23" s="1"/>
  <c r="E8" i="23"/>
  <c r="F8" i="23" s="1"/>
  <c r="E7" i="23"/>
  <c r="E25" i="21"/>
  <c r="E11" i="15" s="1"/>
  <c r="I24" i="21"/>
  <c r="I23" i="21"/>
  <c r="I22" i="21"/>
  <c r="I21" i="21"/>
  <c r="I20" i="21"/>
  <c r="I16" i="21"/>
  <c r="I14" i="21"/>
  <c r="I12" i="21"/>
  <c r="I19" i="21"/>
  <c r="I18" i="21"/>
  <c r="I15" i="21"/>
  <c r="I13" i="21"/>
  <c r="I11" i="21"/>
  <c r="E39" i="20"/>
  <c r="E10" i="15" s="1"/>
  <c r="I38" i="20"/>
  <c r="I36" i="20"/>
  <c r="I34" i="20"/>
  <c r="I33" i="20"/>
  <c r="I32" i="20"/>
  <c r="I31" i="20"/>
  <c r="I30" i="20"/>
  <c r="I29" i="20"/>
  <c r="I28" i="20"/>
  <c r="I23" i="19"/>
  <c r="I22" i="19"/>
  <c r="I21" i="19"/>
  <c r="I20" i="19"/>
  <c r="I19" i="19"/>
  <c r="I17" i="19"/>
  <c r="I16" i="19"/>
  <c r="I22" i="18"/>
  <c r="I21" i="18"/>
  <c r="I20" i="18"/>
  <c r="I19" i="18"/>
  <c r="I18" i="18"/>
  <c r="E23" i="17"/>
  <c r="E7" i="15" s="1"/>
  <c r="I22" i="17"/>
  <c r="I21" i="17"/>
  <c r="I20" i="17"/>
  <c r="I19" i="17"/>
  <c r="I18" i="17"/>
  <c r="I17" i="17"/>
  <c r="I15" i="17"/>
  <c r="I14" i="17"/>
  <c r="I12" i="17"/>
  <c r="I11" i="17"/>
  <c r="E6" i="15"/>
  <c r="I29" i="16"/>
  <c r="I28" i="16"/>
  <c r="I27" i="16"/>
  <c r="I30" i="16"/>
  <c r="I25" i="16"/>
  <c r="I24" i="16"/>
  <c r="I22" i="16"/>
  <c r="I21" i="16"/>
  <c r="I20" i="16"/>
  <c r="I31" i="16" s="1"/>
  <c r="I22" i="13"/>
  <c r="I23" i="13" s="1"/>
  <c r="I24" i="13" s="1"/>
  <c r="I25" i="13" s="1"/>
  <c r="I26" i="13" s="1"/>
  <c r="I27" i="13" s="1"/>
  <c r="I28" i="13" s="1"/>
  <c r="I29" i="13" s="1"/>
  <c r="I30" i="13" s="1"/>
  <c r="I31" i="13" s="1"/>
  <c r="I32" i="13" s="1"/>
  <c r="I33" i="13" s="1"/>
  <c r="I34" i="13" s="1"/>
  <c r="I35" i="13" s="1"/>
  <c r="I36" i="13" s="1"/>
  <c r="I37" i="13" s="1"/>
  <c r="I38" i="13" s="1"/>
  <c r="I39" i="13" s="1"/>
  <c r="I40" i="13" s="1"/>
  <c r="I41" i="13" s="1"/>
  <c r="I42" i="13" s="1"/>
  <c r="I43" i="13" s="1"/>
  <c r="I44" i="13" s="1"/>
  <c r="I45" i="13" s="1"/>
  <c r="I46" i="13" s="1"/>
  <c r="I47" i="13" s="1"/>
  <c r="I48" i="13" s="1"/>
  <c r="I49" i="13" s="1"/>
  <c r="I50" i="13" s="1"/>
  <c r="I51" i="13" s="1"/>
  <c r="G22" i="13"/>
  <c r="G23" i="13" s="1"/>
  <c r="G24" i="13" s="1"/>
  <c r="G25" i="13" s="1"/>
  <c r="G26" i="13" s="1"/>
  <c r="G27" i="13" s="1"/>
  <c r="G28" i="13" s="1"/>
  <c r="G29" i="13" s="1"/>
  <c r="G30" i="13" s="1"/>
  <c r="G31" i="13" s="1"/>
  <c r="G32" i="13" s="1"/>
  <c r="G33" i="13" s="1"/>
  <c r="G34" i="13" s="1"/>
  <c r="G35" i="13" s="1"/>
  <c r="G36" i="13" s="1"/>
  <c r="G37" i="13" s="1"/>
  <c r="G38" i="13" s="1"/>
  <c r="G39" i="13" s="1"/>
  <c r="G40" i="13" s="1"/>
  <c r="G41" i="13" s="1"/>
  <c r="G42" i="13" s="1"/>
  <c r="G43" i="13" s="1"/>
  <c r="G44" i="13" s="1"/>
  <c r="G45" i="13" s="1"/>
  <c r="G46" i="13" s="1"/>
  <c r="G47" i="13" s="1"/>
  <c r="G48" i="13" s="1"/>
  <c r="G49" i="13" s="1"/>
  <c r="G50" i="13" s="1"/>
  <c r="G51" i="13" s="1"/>
  <c r="E22" i="13"/>
  <c r="E23" i="13" s="1"/>
  <c r="E24" i="13" s="1"/>
  <c r="E25" i="13" s="1"/>
  <c r="E26" i="13" s="1"/>
  <c r="E27" i="13" s="1"/>
  <c r="E28" i="13" s="1"/>
  <c r="E29" i="13" s="1"/>
  <c r="E30" i="13" s="1"/>
  <c r="E31" i="13" s="1"/>
  <c r="E32" i="13" s="1"/>
  <c r="E33" i="13" s="1"/>
  <c r="E34" i="13" s="1"/>
  <c r="E35" i="13" s="1"/>
  <c r="E36" i="13" s="1"/>
  <c r="E37" i="13" s="1"/>
  <c r="E38" i="13" s="1"/>
  <c r="E39" i="13" s="1"/>
  <c r="E40" i="13" s="1"/>
  <c r="E41" i="13" s="1"/>
  <c r="E42" i="13" s="1"/>
  <c r="E43" i="13" s="1"/>
  <c r="E44" i="13" s="1"/>
  <c r="E45" i="13" s="1"/>
  <c r="E46" i="13" s="1"/>
  <c r="E47" i="13" s="1"/>
  <c r="E48" i="13" s="1"/>
  <c r="E49" i="13" s="1"/>
  <c r="E50" i="13" s="1"/>
  <c r="E51" i="13" s="1"/>
  <c r="C22" i="13"/>
  <c r="C23" i="13" s="1"/>
  <c r="C24" i="13" s="1"/>
  <c r="C25" i="13" s="1"/>
  <c r="C26" i="13" s="1"/>
  <c r="C27" i="13" s="1"/>
  <c r="C28" i="13" s="1"/>
  <c r="C29" i="13" s="1"/>
  <c r="C30" i="13" s="1"/>
  <c r="C31" i="13" s="1"/>
  <c r="C32" i="13" s="1"/>
  <c r="C33" i="13" s="1"/>
  <c r="C34" i="13" s="1"/>
  <c r="C35" i="13" s="1"/>
  <c r="C36" i="13" s="1"/>
  <c r="C37" i="13" s="1"/>
  <c r="C38" i="13" s="1"/>
  <c r="C39" i="13" s="1"/>
  <c r="C40" i="13" s="1"/>
  <c r="C41" i="13" s="1"/>
  <c r="C42" i="13" s="1"/>
  <c r="C43" i="13" s="1"/>
  <c r="C44" i="13" s="1"/>
  <c r="C45" i="13" s="1"/>
  <c r="C46" i="13" s="1"/>
  <c r="C47" i="13" s="1"/>
  <c r="C48" i="13" s="1"/>
  <c r="C49" i="13" s="1"/>
  <c r="C50" i="13" s="1"/>
  <c r="C51" i="13" s="1"/>
  <c r="H7" i="13"/>
  <c r="B24" i="12"/>
  <c r="C23" i="12"/>
  <c r="B23" i="12"/>
  <c r="B22" i="12"/>
  <c r="B21" i="12"/>
  <c r="B20" i="12"/>
  <c r="C19" i="12"/>
  <c r="B19" i="12"/>
  <c r="B18" i="12"/>
  <c r="B17" i="12"/>
  <c r="B16" i="12"/>
  <c r="B15" i="12"/>
  <c r="B14" i="12"/>
  <c r="B13" i="12"/>
  <c r="B12" i="12"/>
  <c r="B11" i="12"/>
  <c r="B10" i="12"/>
  <c r="B9" i="12"/>
  <c r="B8" i="12"/>
  <c r="B7" i="12"/>
  <c r="B6" i="12"/>
  <c r="B5" i="12"/>
  <c r="J4" i="12"/>
  <c r="E75" i="11"/>
  <c r="F75" i="11" s="1"/>
  <c r="E74" i="11"/>
  <c r="F74" i="11" s="1"/>
  <c r="E73" i="11"/>
  <c r="F73" i="11" s="1"/>
  <c r="E72" i="11"/>
  <c r="F72" i="11" s="1"/>
  <c r="E71" i="11"/>
  <c r="F71" i="11" s="1"/>
  <c r="E70" i="11"/>
  <c r="F70" i="11" s="1"/>
  <c r="E69" i="11"/>
  <c r="F69" i="11" s="1"/>
  <c r="E68" i="11"/>
  <c r="F68" i="11" s="1"/>
  <c r="E67" i="11"/>
  <c r="F67" i="11" s="1"/>
  <c r="E66" i="11"/>
  <c r="F66" i="11" s="1"/>
  <c r="E65" i="11"/>
  <c r="F65" i="11" s="1"/>
  <c r="E64" i="11"/>
  <c r="F64" i="11" s="1"/>
  <c r="E63" i="11"/>
  <c r="F63" i="11" s="1"/>
  <c r="E62" i="11"/>
  <c r="F62" i="11" s="1"/>
  <c r="E61" i="11"/>
  <c r="F61" i="11" s="1"/>
  <c r="E60" i="11"/>
  <c r="F60" i="11" s="1"/>
  <c r="E59" i="11"/>
  <c r="F59" i="11" s="1"/>
  <c r="E58" i="11"/>
  <c r="F58" i="11" s="1"/>
  <c r="E57" i="11"/>
  <c r="F57" i="11" s="1"/>
  <c r="E56" i="11"/>
  <c r="F56" i="11" s="1"/>
  <c r="E55" i="11"/>
  <c r="F55" i="11" s="1"/>
  <c r="E54" i="11"/>
  <c r="F54" i="11" s="1"/>
  <c r="E53" i="11"/>
  <c r="F53" i="11" s="1"/>
  <c r="C9" i="12" s="1"/>
  <c r="E52" i="11"/>
  <c r="F52" i="11" s="1"/>
  <c r="E51" i="11"/>
  <c r="F51" i="11" s="1"/>
  <c r="E50" i="11"/>
  <c r="F50" i="11" s="1"/>
  <c r="E49" i="11"/>
  <c r="F49" i="11" s="1"/>
  <c r="C6" i="12" s="1"/>
  <c r="E48" i="11"/>
  <c r="F48" i="11" s="1"/>
  <c r="C5" i="12" s="1"/>
  <c r="E47" i="11"/>
  <c r="F47" i="11" s="1"/>
  <c r="E46" i="11"/>
  <c r="F46" i="11" s="1"/>
  <c r="E45" i="11"/>
  <c r="F45" i="11" s="1"/>
  <c r="E44" i="11"/>
  <c r="F44" i="11" s="1"/>
  <c r="E43" i="11"/>
  <c r="F43" i="11" s="1"/>
  <c r="C18" i="12" s="1"/>
  <c r="E42" i="11"/>
  <c r="F42" i="11" s="1"/>
  <c r="C15" i="12" s="1"/>
  <c r="E41" i="11"/>
  <c r="F41" i="11" s="1"/>
  <c r="E40" i="11"/>
  <c r="F40" i="11" s="1"/>
  <c r="E39" i="11"/>
  <c r="F39" i="11" s="1"/>
  <c r="E38" i="11"/>
  <c r="F38" i="11" s="1"/>
  <c r="E37" i="11"/>
  <c r="F37" i="11" s="1"/>
  <c r="E36" i="11"/>
  <c r="F36" i="11" s="1"/>
  <c r="E35" i="11"/>
  <c r="F35" i="11" s="1"/>
  <c r="E34" i="11"/>
  <c r="F34" i="11" s="1"/>
  <c r="E33" i="11"/>
  <c r="F33" i="11" s="1"/>
  <c r="E32" i="11"/>
  <c r="F32" i="11" s="1"/>
  <c r="E31" i="11"/>
  <c r="F31" i="11" s="1"/>
  <c r="E30" i="11"/>
  <c r="F30" i="11" s="1"/>
  <c r="E29" i="11"/>
  <c r="F29" i="11" s="1"/>
  <c r="E28" i="11"/>
  <c r="F28" i="11" s="1"/>
  <c r="E27" i="11"/>
  <c r="F27" i="11" s="1"/>
  <c r="E26" i="11"/>
  <c r="F26" i="11" s="1"/>
  <c r="E25" i="11"/>
  <c r="F25" i="11" s="1"/>
  <c r="E24" i="11"/>
  <c r="F24" i="11" s="1"/>
  <c r="E23" i="11"/>
  <c r="F23" i="11" s="1"/>
  <c r="E22" i="11"/>
  <c r="F22" i="11" s="1"/>
  <c r="E21" i="11"/>
  <c r="F21" i="11" s="1"/>
  <c r="E20" i="11"/>
  <c r="F20" i="11" s="1"/>
  <c r="E19" i="11"/>
  <c r="F19" i="11" s="1"/>
  <c r="E18" i="11"/>
  <c r="F18" i="11" s="1"/>
  <c r="E17" i="11"/>
  <c r="F17" i="11" s="1"/>
  <c r="E16" i="11"/>
  <c r="F16" i="11" s="1"/>
  <c r="E15" i="11"/>
  <c r="F15" i="11" s="1"/>
  <c r="E14" i="11"/>
  <c r="F14" i="11" s="1"/>
  <c r="E13" i="11"/>
  <c r="F13" i="11" s="1"/>
  <c r="E12" i="11"/>
  <c r="F12" i="11" s="1"/>
  <c r="E11" i="11"/>
  <c r="F11" i="11" s="1"/>
  <c r="E10" i="11"/>
  <c r="F10" i="11" s="1"/>
  <c r="E9" i="11"/>
  <c r="F9" i="11" s="1"/>
  <c r="E8" i="11"/>
  <c r="F8" i="11" s="1"/>
  <c r="E7" i="11"/>
  <c r="E16" i="10"/>
  <c r="E13" i="2" s="1"/>
  <c r="I15" i="10"/>
  <c r="I14" i="10"/>
  <c r="I13" i="10"/>
  <c r="I12" i="10"/>
  <c r="I11" i="10"/>
  <c r="I10" i="10"/>
  <c r="I9" i="10"/>
  <c r="I8" i="10"/>
  <c r="I7" i="10"/>
  <c r="I6" i="10"/>
  <c r="E23" i="9"/>
  <c r="I22" i="9"/>
  <c r="I21" i="9"/>
  <c r="I20" i="9"/>
  <c r="I19" i="9"/>
  <c r="I18" i="9"/>
  <c r="I17" i="9"/>
  <c r="I16" i="9"/>
  <c r="I15" i="9"/>
  <c r="E30" i="8"/>
  <c r="I29" i="8"/>
  <c r="I28" i="8"/>
  <c r="I27" i="8"/>
  <c r="I26" i="8"/>
  <c r="I25" i="8"/>
  <c r="I24" i="8"/>
  <c r="I23" i="8"/>
  <c r="I22" i="8"/>
  <c r="I21" i="8"/>
  <c r="I20" i="8"/>
  <c r="E16" i="7"/>
  <c r="E10" i="2" s="1"/>
  <c r="I15" i="7"/>
  <c r="I14" i="7"/>
  <c r="I13" i="7"/>
  <c r="I12" i="7"/>
  <c r="I11" i="7"/>
  <c r="I10" i="7"/>
  <c r="I9" i="7"/>
  <c r="I8" i="7"/>
  <c r="I7" i="7"/>
  <c r="I6" i="7"/>
  <c r="I16" i="7" s="1"/>
  <c r="F10" i="2" s="1"/>
  <c r="E17" i="6"/>
  <c r="E8" i="2" s="1"/>
  <c r="I16" i="6"/>
  <c r="I15" i="6"/>
  <c r="I14" i="6"/>
  <c r="I13" i="6"/>
  <c r="I12" i="6"/>
  <c r="I11" i="6"/>
  <c r="I10" i="6"/>
  <c r="I9" i="6"/>
  <c r="I8" i="6"/>
  <c r="I7" i="6"/>
  <c r="I6" i="6"/>
  <c r="E22" i="5"/>
  <c r="I21" i="5"/>
  <c r="I20" i="5"/>
  <c r="I19" i="5"/>
  <c r="I18" i="5"/>
  <c r="I17" i="5"/>
  <c r="I16" i="5"/>
  <c r="I15" i="5"/>
  <c r="E26" i="4"/>
  <c r="I25" i="4"/>
  <c r="I24" i="4"/>
  <c r="I23" i="4"/>
  <c r="I22" i="4"/>
  <c r="I21" i="4"/>
  <c r="I20" i="4"/>
  <c r="E17" i="3"/>
  <c r="I16" i="3"/>
  <c r="I15" i="3"/>
  <c r="I14" i="3"/>
  <c r="I13" i="3"/>
  <c r="I12" i="3"/>
  <c r="I11" i="3"/>
  <c r="I10" i="3"/>
  <c r="I9" i="3"/>
  <c r="I8" i="3"/>
  <c r="I7" i="3"/>
  <c r="I6" i="3"/>
  <c r="E5" i="2"/>
  <c r="C10" i="1"/>
  <c r="C9" i="1"/>
  <c r="C8" i="1"/>
  <c r="C7" i="1"/>
  <c r="D15" i="24" l="1"/>
  <c r="E15" i="24" s="1"/>
  <c r="E55" i="1"/>
  <c r="D55" i="1"/>
  <c r="I29" i="18"/>
  <c r="C55" i="1"/>
  <c r="B55" i="1"/>
  <c r="I24" i="19"/>
  <c r="I26" i="4"/>
  <c r="C10" i="24"/>
  <c r="D10" i="24" s="1"/>
  <c r="E10" i="24" s="1"/>
  <c r="C8" i="12"/>
  <c r="D8" i="12" s="1"/>
  <c r="J8" i="12" s="1"/>
  <c r="E8" i="12" s="1"/>
  <c r="C16" i="12"/>
  <c r="D16" i="12" s="1"/>
  <c r="J16" i="12" s="1"/>
  <c r="E16" i="12" s="1"/>
  <c r="C14" i="24"/>
  <c r="D14" i="24" s="1"/>
  <c r="E14" i="24" s="1"/>
  <c r="C23" i="24"/>
  <c r="D23" i="24" s="1"/>
  <c r="E23" i="24" s="1"/>
  <c r="C25" i="24"/>
  <c r="D25" i="24" s="1"/>
  <c r="E25" i="24" s="1"/>
  <c r="I39" i="20"/>
  <c r="C9" i="24"/>
  <c r="D9" i="24" s="1"/>
  <c r="E9" i="24" s="1"/>
  <c r="I23" i="9"/>
  <c r="C14" i="12"/>
  <c r="D14" i="12" s="1"/>
  <c r="J14" i="12" s="1"/>
  <c r="E14" i="12" s="1"/>
  <c r="C24" i="12"/>
  <c r="D24" i="12" s="1"/>
  <c r="J24" i="12" s="1"/>
  <c r="E24" i="12" s="1"/>
  <c r="C7" i="24"/>
  <c r="D7" i="24" s="1"/>
  <c r="C18" i="24"/>
  <c r="D18" i="24" s="1"/>
  <c r="E18" i="24" s="1"/>
  <c r="C7" i="12"/>
  <c r="D7" i="12" s="1"/>
  <c r="C17" i="12"/>
  <c r="D17" i="12" s="1"/>
  <c r="I17" i="6"/>
  <c r="F8" i="2" s="1"/>
  <c r="C13" i="24"/>
  <c r="D13" i="24" s="1"/>
  <c r="E13" i="24" s="1"/>
  <c r="C6" i="24"/>
  <c r="D6" i="24" s="1"/>
  <c r="E6" i="24" s="1"/>
  <c r="C22" i="12"/>
  <c r="D22" i="12" s="1"/>
  <c r="J22" i="12" s="1"/>
  <c r="E22" i="12" s="1"/>
  <c r="C10" i="12"/>
  <c r="D10" i="12" s="1"/>
  <c r="J10" i="12" s="1"/>
  <c r="E10" i="12" s="1"/>
  <c r="D19" i="24"/>
  <c r="E19" i="24" s="1"/>
  <c r="C21" i="12"/>
  <c r="D21" i="12" s="1"/>
  <c r="J21" i="12" s="1"/>
  <c r="E21" i="12" s="1"/>
  <c r="C5" i="24"/>
  <c r="D5" i="24" s="1"/>
  <c r="C11" i="24"/>
  <c r="D11" i="24" s="1"/>
  <c r="E11" i="24" s="1"/>
  <c r="C11" i="12"/>
  <c r="D11" i="12" s="1"/>
  <c r="J11" i="12" s="1"/>
  <c r="E11" i="12" s="1"/>
  <c r="I25" i="21"/>
  <c r="I23" i="17"/>
  <c r="I16" i="10"/>
  <c r="F13" i="2" s="1"/>
  <c r="I30" i="8"/>
  <c r="I17" i="3"/>
  <c r="F5" i="2" s="1"/>
  <c r="I22" i="5"/>
  <c r="C12" i="24"/>
  <c r="D12" i="24" s="1"/>
  <c r="E12" i="24" s="1"/>
  <c r="C12" i="12"/>
  <c r="D12" i="12" s="1"/>
  <c r="J12" i="12" s="1"/>
  <c r="E12" i="12" s="1"/>
  <c r="B27" i="24"/>
  <c r="F7" i="23"/>
  <c r="C22" i="24" s="1"/>
  <c r="D22" i="24" s="1"/>
  <c r="E22" i="24" s="1"/>
  <c r="F3" i="23"/>
  <c r="E56" i="1"/>
  <c r="D56" i="1"/>
  <c r="L24" i="12"/>
  <c r="L23" i="12"/>
  <c r="D23" i="12"/>
  <c r="J23" i="12" s="1"/>
  <c r="E23" i="12" s="1"/>
  <c r="L22" i="12"/>
  <c r="L21" i="12"/>
  <c r="L20" i="12"/>
  <c r="D19" i="12"/>
  <c r="J19" i="12" s="1"/>
  <c r="E19" i="12" s="1"/>
  <c r="L19" i="12"/>
  <c r="L18" i="12"/>
  <c r="D18" i="12"/>
  <c r="J18" i="12" s="1"/>
  <c r="E18" i="12" s="1"/>
  <c r="L17" i="12"/>
  <c r="L16" i="12"/>
  <c r="L15" i="12"/>
  <c r="D15" i="12"/>
  <c r="L14" i="12"/>
  <c r="L13" i="12"/>
  <c r="L12" i="12"/>
  <c r="L11" i="12"/>
  <c r="L10" i="12"/>
  <c r="D9" i="12"/>
  <c r="J9" i="12" s="1"/>
  <c r="E9" i="12" s="1"/>
  <c r="L9" i="12"/>
  <c r="L8" i="12"/>
  <c r="L7" i="12"/>
  <c r="D6" i="12"/>
  <c r="J6" i="12" s="1"/>
  <c r="E6" i="12" s="1"/>
  <c r="L6" i="12"/>
  <c r="B25" i="12"/>
  <c r="D5" i="12"/>
  <c r="L5" i="12"/>
  <c r="F3" i="11"/>
  <c r="F7" i="11"/>
  <c r="C20" i="12" s="1"/>
  <c r="D20" i="12" s="1"/>
  <c r="J20" i="12" s="1"/>
  <c r="E20" i="12" s="1"/>
  <c r="D26" i="24"/>
  <c r="E26" i="24" s="1"/>
  <c r="D24" i="24"/>
  <c r="E24" i="24" s="1"/>
  <c r="D20" i="24"/>
  <c r="E20" i="24" s="1"/>
  <c r="D16" i="24"/>
  <c r="C17" i="24"/>
  <c r="D17" i="24" s="1"/>
  <c r="E17" i="24" s="1"/>
  <c r="C8" i="24"/>
  <c r="D8" i="24" s="1"/>
  <c r="E8" i="24" s="1"/>
  <c r="C21" i="24"/>
  <c r="D21" i="24" s="1"/>
  <c r="E21" i="24" s="1"/>
  <c r="E13" i="15"/>
  <c r="C13" i="12"/>
  <c r="D13" i="12" s="1"/>
  <c r="J13" i="12" s="1"/>
  <c r="E13" i="12" s="1"/>
  <c r="C56" i="1" l="1"/>
  <c r="B56" i="1"/>
  <c r="E5" i="24"/>
  <c r="I5" i="24"/>
  <c r="D27" i="24"/>
  <c r="E57" i="1"/>
  <c r="D57" i="1"/>
  <c r="H17" i="12"/>
  <c r="J17" i="12"/>
  <c r="E17" i="12" s="1"/>
  <c r="H15" i="12"/>
  <c r="J15" i="12"/>
  <c r="E15" i="12" s="1"/>
  <c r="H7" i="12"/>
  <c r="J7" i="12"/>
  <c r="E7" i="12" s="1"/>
  <c r="L25" i="12"/>
  <c r="L2" i="12"/>
  <c r="J5" i="12"/>
  <c r="E5" i="12" s="1"/>
  <c r="D25" i="12"/>
  <c r="J25" i="12" s="1"/>
  <c r="H5" i="12"/>
  <c r="I5" i="12" s="1"/>
  <c r="I16" i="24"/>
  <c r="E16" i="24"/>
  <c r="I7" i="24"/>
  <c r="E7" i="24"/>
  <c r="C57" i="1" l="1"/>
  <c r="B57" i="1"/>
  <c r="E58" i="1"/>
  <c r="D58" i="1"/>
  <c r="H3" i="12"/>
  <c r="J3" i="12"/>
  <c r="C58" i="1" l="1"/>
  <c r="B58" i="1"/>
  <c r="E10" i="1"/>
  <c r="E59" i="1"/>
  <c r="E9" i="1"/>
  <c r="D59" i="1"/>
  <c r="L3" i="12"/>
  <c r="A3" i="12"/>
  <c r="C59" i="1" l="1"/>
  <c r="B59" i="1"/>
  <c r="A6" i="8"/>
  <c r="A7" i="8"/>
  <c r="A8" i="8"/>
  <c r="A9" i="8"/>
  <c r="A10" i="8"/>
  <c r="D20" i="8"/>
  <c r="A14" i="20"/>
  <c r="A16" i="20"/>
  <c r="A15" i="20"/>
  <c r="A18" i="20"/>
  <c r="A17" i="20"/>
  <c r="D33" i="20"/>
  <c r="A7" i="18"/>
  <c r="A8" i="18"/>
  <c r="A10" i="18"/>
  <c r="A7" i="4"/>
  <c r="D18" i="18"/>
  <c r="A9" i="18"/>
  <c r="A6" i="18"/>
  <c r="A6" i="4"/>
  <c r="A8" i="4"/>
  <c r="A9" i="4"/>
  <c r="A10" i="4"/>
  <c r="D20" i="4"/>
  <c r="E60" i="1"/>
  <c r="D60" i="1"/>
  <c r="E8" i="1" l="1"/>
  <c r="C60" i="1"/>
  <c r="E7" i="1"/>
  <c r="B60" i="1"/>
  <c r="F11" i="2"/>
  <c r="E11" i="2"/>
  <c r="F6" i="2"/>
  <c r="E6" i="2"/>
  <c r="E61" i="1"/>
  <c r="D61" i="1"/>
  <c r="D29" i="20" l="1"/>
  <c r="A7" i="9"/>
  <c r="A6" i="9"/>
  <c r="A6" i="20"/>
  <c r="D28" i="20"/>
  <c r="A8" i="20"/>
  <c r="A7" i="20"/>
  <c r="A10" i="9"/>
  <c r="A9" i="20"/>
  <c r="D16" i="9"/>
  <c r="D15" i="9"/>
  <c r="A9" i="9"/>
  <c r="A8" i="9"/>
  <c r="A10" i="20"/>
  <c r="C61" i="1"/>
  <c r="B61" i="1"/>
  <c r="A7" i="5"/>
  <c r="A10" i="16"/>
  <c r="A9" i="5"/>
  <c r="A10" i="5"/>
  <c r="D20" i="16"/>
  <c r="A6" i="16"/>
  <c r="A8" i="16"/>
  <c r="D15" i="5"/>
  <c r="A8" i="5"/>
  <c r="A9" i="16"/>
  <c r="A6" i="5"/>
  <c r="A7" i="16"/>
  <c r="E62" i="1"/>
  <c r="D62" i="1"/>
  <c r="F12" i="2" l="1"/>
  <c r="E12" i="2"/>
  <c r="C62" i="1"/>
  <c r="B62" i="1"/>
  <c r="F15" i="2"/>
  <c r="E7" i="2"/>
  <c r="F7" i="2"/>
  <c r="E63" i="1"/>
  <c r="D63" i="1"/>
  <c r="E15" i="2" l="1"/>
  <c r="C63" i="1"/>
  <c r="B63" i="1"/>
  <c r="E64" i="1"/>
  <c r="D64" i="1"/>
  <c r="C64" i="1" l="1"/>
  <c r="B64" i="1"/>
  <c r="E65" i="1"/>
  <c r="D65" i="1"/>
  <c r="C65" i="1" l="1"/>
  <c r="B65" i="1"/>
  <c r="E66" i="1"/>
  <c r="D66" i="1"/>
  <c r="C66" i="1" l="1"/>
  <c r="B66" i="1"/>
</calcChain>
</file>

<file path=xl/sharedStrings.xml><?xml version="1.0" encoding="utf-8"?>
<sst xmlns="http://schemas.openxmlformats.org/spreadsheetml/2006/main" count="3181" uniqueCount="1672">
  <si>
    <t>복귀 버전 — 증량 및 판단 기준 (주 6회 · 2026-10-02 개편)</t>
  </si>
  <si>
    <t>현장 근무가 끝나 요일을 고정할 수 있게 됐다. 빈도를 주 4회 → 6회로 올리고 데드를 성장으로 돌린다.</t>
  </si>
  <si>
    <t>항목</t>
  </si>
  <si>
    <t>재택 버전</t>
  </si>
  <si>
    <t>복귀 버전 (주 6회)</t>
  </si>
  <si>
    <t>이유</t>
  </si>
  <si>
    <t>목표</t>
  </si>
  <si>
    <t>성장</t>
  </si>
  <si>
    <t>현장 근무가 끝나 '완만한 성장'으로 눌러둘 이유가 없어졌다. 재택과 같은 방향으로 되돌린다</t>
  </si>
  <si>
    <t>빈도</t>
  </si>
  <si>
    <t>주 6회</t>
  </si>
  <si>
    <t>주 6회 (토~목 · 금 휴식)</t>
  </si>
  <si>
    <t>요일을 고정할 수 있게 됐다. 큰 부위 셋을 둘로 쪼개 가슴 · 등 · 하체 빈도를 주 2회로 올렸다</t>
  </si>
  <si>
    <t>총 세트</t>
  </si>
  <si>
    <t>주당 환산 161세트</t>
  </si>
  <si>
    <t>증량 방식</t>
  </si>
  <si>
    <t>매주 선형</t>
  </si>
  <si>
    <t>메인 4종목 선형 · 나머지는 더블 프로그레션</t>
  </si>
  <si>
    <t>데드가 '지키는 종목'에서 풀려 선형 넷이 됐다. 보조는 반복을 먼저 채우고 중량을 올린다</t>
  </si>
  <si>
    <t>증량 폭</t>
  </si>
  <si>
    <t>하체 5 / 벤치 2.25 / 프레스 1.25</t>
  </si>
  <si>
    <t>스쿼트 · 데드 매주 2~3 / 벤치 매주 1 / 프레스 격주 1</t>
  </si>
  <si>
    <t>작은 원판이 2.5 · 1 · 0.5kg 각 2개뿐이라 봉 전체 1kg이 최소 계단이다. 증량기록 30주 표가 폭을 정한다</t>
  </si>
  <si>
    <t>미는 종목</t>
  </si>
  <si>
    <t>전부</t>
  </si>
  <si>
    <t>넷 다 세션 앞쪽에 둔다. 오버헤드 프레스만 어깨 블록 첫 종목이라 수요일 13세트 뒤다 — 복귀_수_하체후면 참조</t>
  </si>
  <si>
    <t>지키는 종목</t>
  </si>
  <si>
    <t>—</t>
  </si>
  <si>
    <t>없음</t>
  </si>
  <si>
    <t>2026-10-02에 데드를 풀었다. 허리와 직접 경쟁하던 현장 일이 끝났다</t>
  </si>
  <si>
    <t>실패지점</t>
  </si>
  <si>
    <t>2~3회 남기고</t>
  </si>
  <si>
    <t>다음날 현장 일이 없으므로 재택 기준으로 되돌린다. 메인 리프트는 3~4회 남기고가 그대로다</t>
  </si>
  <si>
    <t>팔 전용 종목</t>
  </si>
  <si>
    <t>25세트</t>
  </si>
  <si>
    <t>장비</t>
  </si>
  <si>
    <t>프리웨이트 중심</t>
  </si>
  <si>
    <t>머신 · 케이블 중심 (스쿼트 · 벤치 · 데드 제외)</t>
  </si>
  <si>
    <t>[중량은 주 단위로 오른다 — 2026-09-13 전환 유지]</t>
  </si>
  <si>
    <t>· 중량은 '시작중량_설정' C4의 주차가 정하고, 증량기록 시트의 30주 표가 주차마다 한 줄이다.</t>
  </si>
  <si>
    <t>· 주 6회로 바뀌어도 이 속도는 안 바뀐다 — 표는 주차에 매달려 있고 주당 세션 수와 무관하다.</t>
  </si>
  <si>
    <t>· 프레스만 격주다. 0.5kg 원판이 한쪽 하나뿐이라 봉 전체 1kg이 최소 계단인데, 그걸 매주 올리면 설계 폭의 두 배 반이 된다.</t>
  </si>
  <si>
    <t>· 올리기 전에 그 주의 결과를 증량기록에 먼저 적는다. 목표 반복을 못 채운 리프트는 X를 넣어 그 칸만 유지시킨다.</t>
  </si>
  <si>
    <t>· 사다리는 못 끼우는 값(5로 나눈 나머지 4)을 자동으로 1kg 올린다. 그래서 주마다 폭이 +2가 되기도 +3이 되기도 한다.</t>
  </si>
  <si>
    <t>[더블 프로그레션 — 보조 종목의 기본 증량법]</t>
  </si>
  <si>
    <t>· 목표 반복이 8~12라면, 전 세트에서 12회를 채운 다음 주에 중량을 올린다. 올린 주에는 반복이 8회로 떨어지는 것이 정상이다.</t>
  </si>
  <si>
    <t>· 선형은 날짜가 증량을 정하고 더블 프로그레션은 몸이 정한다. 6일 연속에서 컨디션이 흔들릴 때 뒤쪽이 안 무너진다.</t>
  </si>
  <si>
    <t>· 메인 넷(스쿼트 · 벤치 · 오버헤드 프레스 · 데드)만 선형으로 남긴다. 반복이 고정이라 반복으로 진행을 잴 수가 없기 때문이다 — 스쿼트 · 데드 · 오버헤드는 5회, 벤치만 8회다((2026-10-02 사용자 지정)). 반복이 고정인 것은 같으므로 증량 방식은 그대로다: 증량기록 표가 매주 올리고, 목표 반복을 못 채운 주에는 X를 넣어 그 칸을 유지시킨다.</t>
  </si>
  <si>
    <t>[판단 기준]</t>
  </si>
  <si>
    <t>· 주 6회의 유일한 지표는 토요일 스쿼트다. 금요일 하루를 쉬고 들어가는 자리이므로 거기서 안 오르면 주 전체가 과한 것이다.</t>
  </si>
  <si>
    <t>· 둘째 지표는 목요일 아침 허리다. 수요일 데드 다음날이고, 뻐근하면 그 주 백오프 2세트를 먼저 뺀다.</t>
  </si>
  <si>
    <t>· 몸 상태가 안 좋은 날은 건너뛴다. 주 6회 중 5회만 가는 주가 있어도 된다 — 그것은 의지박약이 아니라 그 상황에서의 규율이다.</t>
  </si>
  <si>
    <t>· 6일 연속이 이 프로그램의 가장 큰 미지수다. 4주간 토요일 스쿼트와 월요일 벤치가 둘 다 오르면 구조가 맞은 것이다.</t>
  </si>
  <si>
    <t>[164세트가 버거우면 이 순서로 뺀다]</t>
  </si>
  <si>
    <t>· 1순위 — 화요일 전체(27). 메인 리프트가 없는 세 날 중 가장 작고, 빼면 주 5회로 떨어진다. 단 빼는 주에는 일요일 뒤에 리스트 컬 2종(6)을 얹는다 — 전완이 통째로 비기 때문이다.</t>
  </si>
  <si>
    <t>· 2순위 — 목 2종목(6). 2026-10-02 신설이라 되돌려도 잃을 적응이 없다.</t>
  </si>
  <si>
    <t>· 마지막까지 지키는 것은 스쿼트 · 벤치 · 오버헤드 프레스 · 데드 톱세트와 가슴 · 등 · 어깨 볼륨이다.</t>
  </si>
  <si>
    <t>· 계수로 전 종목을 깎지 않는다. 뺄 때도 종목 단위로, 근거를 달아 뺀다.</t>
  </si>
  <si>
    <t>[디로드 — 6~8주마다 한 주]</t>
  </si>
  <si>
    <t>· 세트를 절반으로 내리고 중량은 그대로 둔다. 볼륨만 빼고 강도를 유지해야 근력이 남는다.</t>
  </si>
  <si>
    <t>· 보조 종목은 전부 절반으로. 3세트짜리는 1~2세트, 4세트짜리는 2세트.</t>
  </si>
  <si>
    <t>· 즉 디로드는 '한 주 쉬는 것'이 아니라 '한 주 멈추는 것'이다 — 볼륨도 진행도 같이 멈춘다.</t>
  </si>
  <si>
    <t>· 디로드 다음 주에 기록이 깨지는 경우가 많다. 쉬어서 느려지는 것이 아니라 쌓인 피로가 빠지면서 그동안의 적응이 드러나는 것이다.</t>
  </si>
  <si>
    <t>· 주 6회에서는 이것이 선택이 아니다. 없으면 반드시 막히고, 막힌 것을 '볼륨이 부족한가'로 오해해 더 넣게 된다.</t>
  </si>
  <si>
    <t>[세트별 휴식 램프]</t>
  </si>
  <si>
    <t>· L열 '세트별 휴식(초)'에 "150/165/180/195/210"처럼 적으면 타이머가 세트마다 그 값을 쓴다. 비어 있으면 '휴식(초)' 한 값을 전 세트에 쓴다.</t>
  </si>
  <si>
    <t>· 앞 세트에서 덜어 뒤 세트에 준다. 평균을 그대로 두었으므로 세션 시간은 1초도 안 늘었다.</t>
  </si>
  <si>
    <t>· '휴식(초)' 열은 반드시 램프의 평균으로 맞춘다 — '종목 분'이 세트×(수행+휴식)이라 어긋나면 세션 시간 추정이 틀어진다.</t>
  </si>
  <si>
    <t>[성장 속도에 대한 현실적인 기대]</t>
  </si>
  <si>
    <t>· 5년 공백 후 복귀이고 지금 9주차다. 벤치 주 1kg가 다 채워지면 1년에 52kg이다. 절반만 채워도 복귀 전보다 위에 있다.</t>
  </si>
  <si>
    <t>· 장기 목표는 3대 500이다. 스쿼트 · 데드 매주 2~3kg가 유지되면 표의 30주차에서 스쿼트 90 · 데드 95에 닿는다.</t>
  </si>
  <si>
    <t>· 못 채운 주가 이어져도 실패가 아니다 — 증량기록에 X를 넣으면 그 주 중량이 유지된다.</t>
  </si>
  <si>
    <t>시작 중량 설정 — 5년 공백 후 복귀</t>
  </si>
  <si>
    <t>노란 칸(D7~D10)이 6주차 기준 중량이고, C4가 지금 몇 주차인지입니다. 두 곳만 맞으면 각 일차 시트의 웜업 램프와 본세트 중량이 전부 자동 계산됩니다.</t>
  </si>
  <si>
    <t>현재 주차</t>
  </si>
  <si>
    <t>← 지금 몇 주차인지. 앱 복귀 달력이 날짜로 계산해 주므로 보통은 달력이 알려줄 때만 바꾸면 된다 (1~35)</t>
  </si>
  <si>
    <t>종목</t>
  </si>
  <si>
    <t>5년 전 중량</t>
  </si>
  <si>
    <t>5년 전 대비</t>
  </si>
  <si>
    <t>6주차 중량 ★입력★</t>
  </si>
  <si>
    <t>현재 작업중량</t>
  </si>
  <si>
    <t>본세트</t>
  </si>
  <si>
    <t>스쿼트</t>
  </si>
  <si>
    <t>5회 × 5세트</t>
  </si>
  <si>
    <t>데드리프트</t>
  </si>
  <si>
    <t>5회 × 1세트</t>
  </si>
  <si>
    <t>벤치프레스</t>
  </si>
  <si>
    <t>8회 × 4세트</t>
  </si>
  <si>
    <t>밀리터리 프레스</t>
  </si>
  <si>
    <t>↑ 여기에 숫자를 직접 입력</t>
  </si>
  <si>
    <t>D열(시작 중량)을 바꾸는 법</t>
  </si>
  <si>
    <t>· D7~D10 노란 칸에 원하는 숫자를 그냥 입력하면 됩니다. 수식이 아니라 일반 숫자입니다.</t>
  </si>
  <si>
    <t>· 예: 스쿼트를 30kg으로 시작하고 싶으면 D7에 30을 입력. 나머지는 전부 자동으로 따라옵니다.</t>
  </si>
  <si>
    <t>· C열은 참고용 계산값이므로 건드리지 않아도 됩니다.</t>
  </si>
  <si>
    <t>· C4의 '현재 주차'는 매주 1씩 올라갑니다 — 앱 '복귀 → 달력'이 날짜로 계산해 알려주므로 보통은 달력이 말할 때만 바꾸면 됩니다.</t>
  </si>
  <si>
    <t>5년 공백 후 시작 중량 잡는 법</t>
  </si>
  <si>
    <t>· 5년 쉬었으면 근력보다 관절 · 건 · 인대와 폼 감각이 먼저 무너져 있다. 근육은 빨리 돌아오지만 이쪽은 느리다.</t>
  </si>
  <si>
    <t>· 벤치와 프레스는 빈 봉(20kg)에서 시작하는 것이 맞다. 이것이 과한 것이 아니라 정상이다.</t>
  </si>
  <si>
    <t>· 기준: 10회는 할 수 있을 것 같은 무게로 5회만 하는 것. 여유가 크게 느껴져야 맞다.</t>
  </si>
  <si>
    <t>· 첫 3~4주는 훈련이 아니라 재적응 기간으로 본다. 가볍다고 느껴도 그대로 간다.</t>
  </si>
  <si>
    <t>· 너무 가볍게 시작해서 잃는 것은 3~4주뿐이다. 너무 무겁게 시작하면 몇 달을 잃는다.</t>
  </si>
  <si>
    <t>· 5년 전 중량은 참고치일 뿐 목표가 아니다. 다만 한 번 만들어본 근력은 처음 만들 때보다 빠르게 돌아온다.</t>
  </si>
  <si>
    <t>· 주 2.5kg씩만 올라가도 13주면 스쿼트가 예전 중량에 닿는다. 조급해할 이유가 없다.</t>
  </si>
  <si>
    <t>사용법</t>
  </si>
  <si>
    <t>· 1단계: D7~D10에 시작 중량을 입력한다 (기본값은 5년 전 중량의 40%).</t>
  </si>
  <si>
    <t>· 2단계: 증량기록 시트에서 주마다 달성 여부에 O / X를 입력한다.</t>
  </si>
  <si>
    <t>· 3단계: C4의 현재 주차를 바꾸면 일차 시트의 웜업과 본세트 중량이 자동으로 따라온다.</t>
  </si>
  <si>
    <t>· 웜업은 작업중량의 40 / 60 / 75 / 90%로 자동 계산되며 1kg 단위로 반올림된다.</t>
  </si>
  <si>
    <t>· 중량이 낮아 앞 세트와 겹치는 웜업은 '생략'으로 자동 표시된다 — 웜업 세트 수가 스스로 조정된다.</t>
  </si>
  <si>
    <t>· 20으로 표시되면 빈 봉이라는 뜻이다.</t>
  </si>
  <si>
    <t>· 1kg 단위인 이유 — 헬스장 작은 원판이 2.5kg · 1kg · 0.5kg 각 2개뿐이다. 한쪽에 하나씩만 쓸 수 있으므로 한쪽에 만들 수 있는 끝수는 0 / 0.5 / 1 / 1.5 / 2.5 / 3 / 3.5 / 4 뿐이다.</t>
  </si>
  <si>
    <t>· 그래서 총 중량이 5로 나눈 나머지 4(24 · 29 · 34 · 39 · 44 …)면 끼울 수 없다. 표와 웜업은 그런 값이 나오면 자동으로 1kg 올린다 — 내리면 증량 폭이 1kg인 프레스가 같은 자리에 갇힌다.</t>
  </si>
  <si>
    <t>· 2026-09-13 이전 표는 2.5kg 격자(한쪽 1.25kg)였다. 37.5 · 57.5 · 31.5처럼 한쪽에 .75 또는 .25kg이 필요한 값이라 48칸 중 45칸이 실제로는 못 끼우는 숫자였고 매번 반올림해 왔다.</t>
  </si>
  <si>
    <t>예상 진행 (X 입력이 없을 때) — 앞 12주. 전체 30주는 증량기록 시트에 있다</t>
  </si>
  <si>
    <t>주차</t>
  </si>
  <si>
    <t>6주차</t>
  </si>
  <si>
    <t>7주차</t>
  </si>
  <si>
    <t>8주차</t>
  </si>
  <si>
    <t>9주차</t>
  </si>
  <si>
    <t>10주차</t>
  </si>
  <si>
    <t>11주차</t>
  </si>
  <si>
    <t>12주차</t>
  </si>
  <si>
    <t>13주차</t>
  </si>
  <si>
    <t>14주차</t>
  </si>
  <si>
    <t>15주차</t>
  </si>
  <si>
    <t>16주차</t>
  </si>
  <si>
    <t>17주차</t>
  </si>
  <si>
    <t>· 위 표는 X 입력이 없다고 가정한 계획선이다. 실제 진행은 증량기록 시트가 결정한다.</t>
  </si>
  <si>
    <t>복귀 운용 — 날짜로 자동 계산 (2026-09-13 신설 · 09-13 기준 정정)</t>
  </si>
  <si>
    <t>프로그램 시작일</t>
  </si>
  <si>
    <t>주차 기준일</t>
  </si>
  <si>
    <t>기준 주차</t>
  </si>
  <si>
    <t>← 주차 기준일에 시작된 주차 번호. '현재 주차'(C4)와 같게 둔다</t>
  </si>
  <si>
    <t>증량 전진(주)</t>
  </si>
  <si>
    <t>← 몇 주마다 표를 한 칸 내릴지. 주 단위 전환 뒤로는 1</t>
  </si>
  <si>
    <t>재택 1일차 기준일</t>
  </si>
  <si>
    <t>← 재택 달력이 '오늘 몇 일차'를 푸는 기준. 복귀 중에는 안 쓰인다</t>
  </si>
  <si>
    <t>· 앱 '복귀 → 달력'이 이 칸들로 오늘의 주차와 네 리프트 중량을 계산한다. 손으로 셀 필요가 없고, 어디쯤인지 까먹어도 달력이 알려준다.</t>
  </si>
  <si>
    <t>· 2026-09-13에 사이클(2주에 5kg)을 주 단위(매주 2~3kg)로 바꿨다. 주당 평균은 그대로다 — 스쿼트 · 데드 2.5 · 벤치 1.2 · 프레스 0.6. 계단만 잘게 나눈 것이다.</t>
  </si>
  <si>
    <t>· 프레스만 격주다. 0.5kg 원판이 한쪽 하나뿐이라 봉 전체 1kg이 최소 계단인데, 그걸 매주 올리면 주 1.25kg으로 지금 속도의 2.5배가 된다.</t>
  </si>
  <si>
    <t>· 중량 자체는 증량기록 표가 정한다. 이 칸들이 정하는 것은 '오늘이 표의 몇 번째 줄인가'뿐이다.</t>
  </si>
  <si>
    <t>· 재택으로 돌아가면 표는 그대로 쓰되 한 줄 내려가는 속도가 다르다 — 재택은 10일 주기라 주당 진행이 이보다 느려진다. 그때 증량 폭을 다시 본다.</t>
  </si>
  <si>
    <t>운동 프로그램 — 10일 주기 (A블록 4일 · 휴식 · B블록 4일 · 휴식)</t>
  </si>
  <si>
    <t>적용 시기: 재택 근무 기간 (~9월)  |  10일 주기 / 1일 1세션  |  1사이클부터 설계 볼륨 100% (볼륨램프 해제)  |  요일이 아니라 주기 안의 순서로 돈다</t>
  </si>
  <si>
    <t>일차</t>
  </si>
  <si>
    <t>내용</t>
  </si>
  <si>
    <t>메인 리프트</t>
  </si>
  <si>
    <t>주요 근육군</t>
  </si>
  <si>
    <t>세트</t>
  </si>
  <si>
    <t>예상 시간</t>
  </si>
  <si>
    <t>당기기 A (수직)</t>
  </si>
  <si>
    <t>광배 · 승모(중부) · 기립근 · 복부</t>
  </si>
  <si>
    <t>밀기 A (수평)</t>
  </si>
  <si>
    <t>벤치프레스 5×5</t>
  </si>
  <si>
    <t>흉근 · 측면삼각 · 후면삼각 · 삼두</t>
  </si>
  <si>
    <t>하체 A (무릎)</t>
  </si>
  <si>
    <t>스쿼트 5×5</t>
  </si>
  <si>
    <t>대퇴사두 · 햄스트링 · 둔근</t>
  </si>
  <si>
    <t>어깨·팔 A</t>
  </si>
  <si>
    <t>삼각근(측면·후면) · 승모(하부) · 흉근(인클라인 스미스 · 펙덱) · 이두 · 전완 · 종아리</t>
  </si>
  <si>
    <t>휴식</t>
  </si>
  <si>
    <t>당기기 B (수평)</t>
  </si>
  <si>
    <t>광배 · 능형근 · 승모(중부·상부) · 이두 · 기립근 · 중둔근 · 종아리</t>
  </si>
  <si>
    <t>밀기 B (수직)</t>
  </si>
  <si>
    <t>밀리터리 3×5</t>
  </si>
  <si>
    <t>삼각근 · 흉근(상부 · 디클라인 플라이) · 승모(하부) · 복부</t>
  </si>
  <si>
    <t>하체 B (고관절)</t>
  </si>
  <si>
    <t>데드리프트 1×5 + 백오프 2×5</t>
  </si>
  <si>
    <t>둔근 · 햄스트링 · 대퇴사두</t>
  </si>
  <si>
    <t>어깨·팔 B</t>
  </si>
  <si>
    <t>삼각근(측면·후면·전면) · 승모(하부) · 흉근(상부 플라이) · 삼두 · 이두 · 전완 · 내전근 · 중둔근</t>
  </si>
  <si>
    <t>합계</t>
  </si>
  <si>
    <t>배치 논리</t>
  </si>
  <si>
    <t>· 10일 주기다. 1~4일차 A블록 · 5일차 완전휴식 · 6~9일차 B블록 · 10일차 완전휴식 · 다시 1일차. 네 패턴(당기기 · 밀기 · 하체 · 어깨팔)이 각각 A/B로 5일 간격.</t>
  </si>
  <si>
    <t>· 무거운 하체일 뒤가 둘 다 저부하다: 3일차 스쿼트 → 4일차 어깨·팔 A → 5일차 완전휴식, 8일차 데드 → 9일차 어깨·팔 B → 10일차 완전휴식. 어깨·팔 날은 척추 부하가 0이다.</t>
  </si>
  <si>
    <t>· 부위 간격이 5일로 완전히 균등하다 — 짝수 주기라 가능하다. 9일에서는 4일과 5일이 번갈아 왔다. 벤치(2) ↔ 밀리터리(7) · 스쿼트(3) ↔ 데드(8) · 당기기(1) ↔ (6) · 어깨·팔(4) ↔ (9).</t>
  </si>
  <si>
    <t>· 4·9일차 어깨·팔은 척추 부하 0인 고립일이다 — 33~38세트라 가벼운 날은 아니다. 다음 세션에 영향이 있으면 무게가 과한 것 — 세트가 아니라 무게를 내린다.</t>
  </si>
  <si>
    <t>· 연속 훈련은 최대 4일(1~4 · 6~9)이고 각 블록 4일째가 고립 세션이라 체감은 3일 → 가벼움 → 휴식이다.</t>
  </si>
  <si>
    <t>· 당기기 A(수직) / B(수평), 밀기 A(수평) / B(수직), 하체 A(무릎) / B(고관절), 어깨·팔 A / B. 같은 부위를 5일 뒤 다른 각도로 친다.</t>
  </si>
  <si>
    <t>· 기립근: 데드(8일차) + 덤벨 RDL(1일차). RDL은 20kg으로 가볍게 — 척추 부하가 아니라 자세 유지가 목적.</t>
  </si>
  <si>
    <t>10일 주기로 바꾸며 (2026-09-04 전환)</t>
  </si>
  <si>
    <t>· 4훈련 · 휴식 · 4훈련 · 휴식. 어깨(옛 8일차 40세트)를 다른 세 패턴처럼 A/B로 나눠 4 · 9일차에 두고, 1 · 2 · 5 · 6일차의 삼두 · 이두 · 전완을 그쪽으로 옮겼다. 종목 12개 이동, 세트는 한 개도 안 늘고 안 줄었다 — 239 그대로.</t>
  </si>
  <si>
    <t>· 세션이 24~38세트 · 67~73분으로 고르게 됐다. 9일 주기에서는 1일차 38 · 6일차 34(84분) · 8일차 40이었고 80분 넘는 날이 셋이었다. 이제 없다.</t>
  </si>
  <si>
    <t>· 시간 균등화(같은 날 추가): 디클라인 플라이(2일차) · 펙덱(7일차) → 4일차, 케이블 힙 외전(8일차) → 9일차, 스탠딩 카프(3일차) → 6일차. 4종목 13세트, 총량 불변. 분할 직후 57~80분이던 편차를 67~73분으로 좁혔다 — 남은 6분은 종목 하나 크기라 세트를 쪼개지 않는 한 더 못 좁힌다. 흉근이 2·4·7일차 셋으로 흩어졌고 종아리는 (1,6) 거울이 됐다.</t>
  </si>
  <si>
    <t>· 주당 환산 185.9 → 167.3. 볼륨을 뺀 게 아니라 같은 양을 하루 더 긴 달력에 편 것이다. 세트검산이 여러 부위를 '유지 미만'으로 띄우겠지만 그건 분모가 커진 산술이지 결핍이 아니다 — 총량 예산(세트검산 J2)이 239로 잠겨 있어 채워 넣을 수 없다.</t>
  </si>
  <si>
    <t>· 짝수 주기라 거울 슬롯이 생긴다: (1,6) 당기기 · (2,7) 밀기 · (3,8) 하체 · (4,9) 어깨·팔. 전부 5일 간격. 9일에서는 4일과 5일이 번갈아 왔다.</t>
  </si>
  <si>
    <t>· 최대 연속 훈련 4일은 그대로다. 휴식 비율은 2/9(22%) → 2/10(20%)로 조금 낮아졌지만, 각 블록 4일째가 고립 세션이라 실질 부담은 가볍다.</t>
  </si>
  <si>
    <t>· 12사이클 = 120일. 9일 기준 108일보다 12일 더 걸린다. 메인 리프트 목표 중량은 그대로고 도달 시점만 늦어진다.</t>
  </si>
  <si>
    <t>· 옮긴 종목은 원래 시트에서 지웠다(세트 0으로 남기지 않았다 — 한 시트에 회색 행이 셋씩 생겨서). 어디서 왔는지는 4 · 9일차 시트 노트와 이 항목이 기록한다.</t>
  </si>
  <si>
    <t>· [2026-09-05] 2일차 인클라인 스미스(4) ↔ 4일차 케이블 푸쉬다운(4) 맞교환 — 사용자 요청. 세트 불변(244), 2일차 73→68분 · 4일차 70→75분. 2일차 흉근이 17→13세트로 세션 부위 상한(8~9)에 가까워졌고, 삼두는 밀기 날 마지막에서 프레스 피로 위에 얹힌다 — '신선한 날의 삼두'는 포기한 것. 간접계수맵의 인클라인 스미스 두 줄은 원천 일차를 D4로 바꿨다.</t>
  </si>
  <si>
    <t>· [2026-09-05] 9일차 인클라인 덤벨 플라이 3세트 추가 — 사용자 요청. 같은 날 사용자가 4일차 인클라인 스미스 4→3 · 7일차 인클라인 머신 6→3으로 먼저 줄였으니 흉근 상부를 프레스에서 플라이로 옮긴 셈이다. 총량 241 · 상한 244 · 잔여 3. 흉근 상부 직접 13(2·4·7·9일차 · 주당 9.1) · 흉근 합산 31(주당 21.7, 천장 초과 예외에 9일차 추가).</t>
  </si>
  <si>
    <t>· [2026-09-05] 4일차 이너·아우터 타이·리스트 컬(13) ↔ 9일차 리버스 리스트 컬·리버스컬·시티드 카프(10) 맞교환 — 3일차 바로 다음 날 같은 기구를 또 타는 게 부담스럽다는 사용자 요청. 내전근 3·9일차(6/4일), 중둔근 9일차 8세트(앉아서·서서 각도 분리). 전완은 4일차 8(굴근·엎침) · 9일차 3(신근)으로 갈라 한 날에 몰지 않았다(사용자 요청). 같은 날 4일차 디클라인 케이블 플라이 3 → 7일차(헤머·인클라인 머신 뒤). 세트 241 불변 · 4일차 31 약 62분 · 7일차 27 약 67분 · 9일차 39 약 77분.</t>
  </si>
  <si>
    <t>· [2026-09-05] 세 자리 회전 — 사용자 합의: 9일차 케이블 힙 외전 → 6일차(카프 자리, 백 익스텐션 앞), 6일차 스탠딩 카프 → 4일차, 6일차 중량 크런치 → 7일차 마지막. 중둔근 3·6·9(3/3/4일) · 종아리 1·4·8(3/4/3일) · 복부 1·3·7(2/4/4일). 세션이 전부 68~73분 — 4일차 35 약 70 · 6일차 31 약 72 · 7일차 30 약 72 · 9일차 36 약 70. 데드 전날 크런치는 마지막 종목으로 가볍게, 셋업에서 배 힘이 덜 들어가면 6일차로 되돌린다.</t>
  </si>
  <si>
    <t>· [2026-09-05] 6일차 오버헤드 슈러그 ↔ 4일차 시티드 카프 맞교환 — 마지막 남은 이틀 연속(승모 하부 6·7일차)을 풀었다. 승모 하부 4·7·9(3/2/5일), 종아리 1·4·6·8(3/2/2/3일 — 4일차 비복근·6·8일차 가자미근). 4일차 36세트 약 71분 · 6일차 30세트 약 71분. 이제 이틀 연속으로 맞는 부위가 없다.</t>
  </si>
  <si>
    <t>· [2026-09-05] 1일차 랫풀다운 4 → 양팔 2 + 원암 랫풀다운 2, 6일차 시티드 케이블 로우 5 → 양팔 3 + 원암 케이블 로우 2 — 사용자 요청. 원암은 좌우 한 번씩을 1세트로 세고 수행 시간만 두 배(80초)라 세트 241 불변, 광배 직접 13 그대로, 1일차 70→72분 · 6일차 71→72분. 계수맵에 원암 2종을 신설(D핸들 뉴트럴 → 이두 0.33, 원암 로우 → 승모 중부 0.5) — 이두 간접 +0.3. 시작 무게는 양팔의 절반(20)이고 약한 쪽 기준으로 올린다.</t>
  </si>
  <si>
    <t>8일 주기로 바꾸며 치른 값 (2026-08-28 전환)</t>
  </si>
  <si>
    <t>· 달력과 어긋난다. 밀기 A(벤치)가 8일에 한 번씩 월요일에 걸린다 — 월요일 벤치 혼잡을 피하려던 원래 제약은 포기한 것이다.</t>
  </si>
  <si>
    <t>· 주당 볼륨이 12.5% 희석된다. 사이클당 세트 × 7/8 = 주당 환산. 세트검산 J열에 환산값을 두고 판정도 그 기준으로 한다.</t>
  </si>
  <si>
    <t>· 12사이클 = 96일로 12주(84일)보다 12일 길다. 메인 리프트 목표 중량은 그대로고 도달 시점만 늦어진다.</t>
  </si>
  <si>
    <t>· '이번 주'라는 단위가 사라진다. 지금이 몇 사이클인지는 시작중량_설정 C4에서, 몇 일차인지는 앱 탭에서 본다.</t>
  </si>
  <si>
    <t>· 되돌리려면: 9일차를 빼고 5일차 휴식을 맨 뒤로 옮기면 원래의 주 6일 배치다.</t>
  </si>
  <si>
    <t>주 단위 버전과의 차이</t>
  </si>
  <si>
    <t>· 총 세트 184 (사이클당) · 주당 환산 161. E열 실측.</t>
  </si>
  <si>
    <t>· 세션 상한은 26세트. 다만 고립 소근육 세트는 이 상한에서 예외로 본다 (2026-08-28 결정) — 컬 · 리스트 컬 · 푸쉬다운 · 레이즈처럼 관절 하나만 쓰고 세트당 1분이면 끝나는 종목은 세션 시간에도 전신 피로에도 큰 값을 붙이지 않기 때문이다. 그래서 1일차 27 · 6일차 27은 초과가 아니라 허용이다 (둘 다 팔 고립이 6·12세트씩 들어간 날).</t>
  </si>
  <si>
    <t>· 26 상한이 실제로 걸리는 날은 메인 리프트와 다관절 종목이 몰린 2일차(벤치 5×5)와 7일차(밀리터리 5×3)다. 여기서는 상한을 지킨다 — 2026-08-28에 2일차 바벨 컬 3세트를 넣을 때 디클라인 케이블 플라이를 0으로 내린 것이 그 적용이다.</t>
  </si>
  <si>
    <t>· 주요 부위 빈도 사이클당 2회, 5일 간격 균등. 팔은 3회 (이두 2·5·9일차 · 삼두 1·7일차) — 고립 소근육은 회복이 빨라 빈도를 더 준다.</t>
  </si>
  <si>
    <t>· 세션 상한과 별개로 한 세션 부위당 8~9세트 상한이 있다 — 그 위로는 앞 세트의 피로 위에 얹힌다. 예외는 둘: 2일차 흉근 합산 12세트(프레스 8 + 상부 편향 플라이 4, 고립 플라이는 프레스와 피로 중첩이 작아 허용), 9일차 후면 삼각근 9세트(종목을 셋으로 나눠 자극 축을 갈랐다).</t>
  </si>
  <si>
    <t>· 완전 휴식일은 5일차 하나 (8일에 1일 = 12.5%). 주 6일 버전의 7일에 1일(14.3%)보다 비율은 낮지만, 9일차가 30분 고립 세션이라 실질 회복 부담은 더 가볍다.</t>
  </si>
  <si>
    <t>빈도를 올린 이유</t>
  </si>
  <si>
    <t>· 한 세션에서 부위당 대략 8~10세트를 넘어가면 뒤쪽 세트는 앞의 피로 위에 얹혀 자극당 값이 떨어진다.</t>
  </si>
  <si>
    <t>· 5일 버전의 흉근 20 / 삼각근 21 / 광배 14는 그 구간을 넘어서 있었다.</t>
  </si>
  <si>
    <t>· 다만 "20세트 1회보다 10세트씩 2회가 낫다"는 직접 검증된 결과가 아니라 추론이다. 견고한 것은 "빈도를 올려도 손해는 없다" 정도.</t>
  </si>
  <si>
    <t>· 5년 공백 구간에서는 동작 반복 횟수 자체가 중요하다. 벤치·스쿼트 폼을 다시 배우는 시기이므로 빈도가 그 자체로 이득.</t>
  </si>
  <si>
    <t>F열 예상 시간 — 산정 기준</t>
  </si>
  <si>
    <t>· 본세트만 센 값이다. 웜업(회전근개 · 스캡 풀업 · 밴드 풀 어파트)과 메인 리프트 웜업 램프는 빠져 있으니 그만큼 더 잡을 것.</t>
  </si>
  <si>
    <t>· 계산식: 종목 시간 = 세트수 × (수행 + 휴식). 마지막 세트의 휴식은 다음 종목으로 넘어가는 전환 시간으로 친다.</t>
  </si>
  <si>
    <t>· 휴식 기준: 메인 본세트 3분 · 다관절 보조 2~2분 30초 · 하체 고립 2분 · 흉근 고립 105초 · 종아리 75초 · 팔·어깨 고립 60~75초 · 복부 60초.</t>
  </si>
  <si>
    <t>· 기준을 가르는 것은 근육 크기가 아니라 그 세트가 동원하는 근육량이다. 레그 익스텐션은 고립이어도 대퇴사두 전체를 쓰므로 2분이 필요하고, 레터럴은 60초면 된다.</t>
  </si>
  <si>
    <t>· 같은 스테이션에서 이어 하는 조합은 이동이 0이라 계산보다 빠르다 — 1일차 랫풀다운→페이스풀, 6일차 시티드 케이블 로우→스캡 슈러그, 7일차 머신 숄더→오버헤드 슈러그.</t>
  </si>
  <si>
    <t>· 시계보다 반복 수가 우선이다. 직전 세트보다 2회 이상 떨어지면 휴식이 짧은 것 — 특히 스쿼트·데드는 8사이클 넘어가면 3분으로 모자란다.</t>
  </si>
  <si>
    <t>범례</t>
  </si>
  <si>
    <t>파란 글씨 = 직접 입력하는 값 · 검은 글씨 = 수식 (건드리지 말 것) · 노란 칸 = 매 사이클 채워 넣는 칸</t>
  </si>
  <si>
    <t>E열 = 설계 세트 (100% 고정). 볼륨 램프 미사용 — 1사이클부터 이 값 그대로 수행.</t>
  </si>
  <si>
    <t>주의</t>
  </si>
  <si>
    <t>· 판단 기준: 이전 세션의 근육통이 안 빠지거나 메인 리프트에 X가 연속으로 뜨면 9일차 어깨를 0세트로 내린다 — 완전 휴식일이 둘이 되고 배치는 그대로 남는다.</t>
  </si>
  <si>
    <t>· 그래도 안 되면 하체 B를 빼고 그 종목을 하체 A와 당기기 B에 나눠 붙인다 — 데드는 당기기 B로. 그러면 7일 주기가 된다.</t>
  </si>
  <si>
    <t>· 9일차 어깨 (2026-08-28 · 4사이클 추가): 측면·후면이 MEV 근처였고 2·7일차가 세션 상한이라 별도 일차로 뺐다. 회복 판정이 흔들리면 여기부터 0으로 내린다 — 프로그램에서 가장 먼저 버릴 세션이다.</t>
  </si>
  <si>
    <t>· 8일 주기 전환 직후 2사이클은 회복 확인 구간으로 썼다. 7일 연속 구간(당시 5일차~다음 3일차)이 버티는지가 관건이었고, 안 버티면 9일차 어깨를 0세트로 내려 완전휴식일을 하나 더 만들기로 했었다. → 2026-09-04 결론: 중량은 계속 올랐지만 '좀 피곤하다'는 답이 나왔고, 마침 부족 부위 보강으로 볼륨을 얹으려던 참이라 10일차 완전휴식을 신설했다. 9일차를 0으로 내리는 대신 날을 하나 더 붙인 쪽을 택했다 — 어깨 볼륨은 2026-08-28에 MAV 하단으로 올려둔 것이라 없앨 수 없었다. 이제 3연속 · 휴식 · 4연속 · 휴식이다.</t>
  </si>
  <si>
    <t>세트별 휴식 램프 (2026-09-04 추가)</t>
  </si>
  <si>
    <t>· M열 '세트별 휴식(초)'에 "150/170/190/215/240"처럼 적으면 타이머가 세트마다 그 값을 쓴다. 비어 있으면 H열 한 값을 전 세트에 쓴다 — 종전과 같다.</t>
  </si>
  <si>
    <t>· 피로는 세트가 쌓이며 누적된다. 5×5가 무너지는 자리는 늘 4~5세트째다. 앞 세트에서 덜어 뒤 세트에 주면 평균이 같으므로 세션 시간은 그대로인데 마지막 세트의 볼륨 로드가 산다.</t>
  </si>
  <si>
    <t>· 넣은 곳 — 스쿼트 · 벤치 · 밀리터리 · 딥스 · 친업. 데드는 본세트가 1세트라 세트 간 휴식 자체가 없다. 늘릴 것이 있다면 웜업 램프 간격이다.</t>
  </si>
  <si>
    <t>· 스쿼트만 평균을 180 → 193으로 올렸다 (5세트째 240초). 5세트째에 주의가 흩어져 자세가 무너지고 무릎이 시큰했던 건이 근거다 — 피로가 적을수록 그런 순간에 버틸 여유가 남는다.</t>
  </si>
  <si>
    <t>· H열은 반드시 램프의 평균으로 둔다. I열 '종목 분' 수식이 E×(G+H)/60이라 평균이 어긋나면 예상 시간이 통째로 틀어진다.</t>
  </si>
  <si>
    <t>· 확장은 달력이 아니라 실패에 반응시킨다 — 본세트 목표 반복을 처음 놓친 사이클에 그 종목 마지막 세트에만 +30초. 상한에 닿고도 미달이면 그때가 중량을 멈출 때다.</t>
  </si>
  <si>
    <t>· 상한 — 스쿼트 300초 · 벤치/밀리터리 240초 · 로우 계열 180초 · 친업/딥스 180초 · 푸쉬업 계열 90초. 그 위로는 근비대 이득이 사실상 없고 세션 시간만 먹는다.</t>
  </si>
  <si>
    <t>· 휴식은 일회성 자원이다. 3분 → 5분은 되지만 5분 → 10분은 안 된다. 상대강도가 낮은 지금 다 써버리면 중량이 붙었을 때 꺼낼 카드가 없다.</t>
  </si>
  <si>
    <t>· 중량과 휴식을 같이 올리면 기록 갱신이 힘이 는 건지 잘 쉰 탓인지 구분이 안 된다. 정체가 왔을 때 무엇을 건드릴지 못 정하게 되므로 한 번에 하나만 움직인다.</t>
  </si>
  <si>
    <t>슈퍼세트 열 (2026-09-04 추가)</t>
  </si>
  <si>
    <t>· 종목표 오른쪽 '슈퍼세트' 칸에 같은 글자(예: A)를 붙인 이웃 종목끼리 한 묶음이 되어, 타이머가 세트를 번갈아 돈다 — A1 → A2 → 휴식 → A1 → A2 → …</t>
  </si>
  <si>
    <t>· 휴식(초)의 뜻은 그대로다: '이 종목 세트 뒤에 오는 쉼'. 그래서 묶음 앞쪽에는 전환 시간을, 마지막 종목에는 라운드 간 휴식을 적는다. '종목 분' 수식도 손댈 필요가 없다.</t>
  </si>
  <si>
    <t>· 첫 적용 — 3일차 이너 타이(전환 10초) + 아우터 타이(휴식 105초). 겸용 머신이라 패드만 뒤집으면 되어 전환 비용이 사실상 0이다.</t>
  </si>
  <si>
    <t>· 길항근 쌍일 때만 묶어라. 같은 근육을 두 종목으로 묶으면 뒤쪽이 앞쪽 피로 위에 얹혀 자극당 값이 떨어진다 — 시간은 아끼지만 세트를 버리는 셈이 된다.</t>
  </si>
  <si>
    <t>· 묶음 안의 세트 수는 달라도 된다. 모자란 쪽은 그 라운드에서 빠진다.</t>
  </si>
  <si>
    <t>· 앱에서는 묶음의 어느 종목을 눌러도 그 묶음의 처음부터 시작한다 — 라운드 중간에서 시작하면 짝이 어긋나기 때문이다.</t>
  </si>
  <si>
    <t>드롭 세트 (2026-09-07)</t>
  </si>
  <si>
    <t>· 고립·케이블 12곳의 마지막 세트에만 드롭 2단 — 1일차 원암 랫풀다운, 2일차 레터럴·리버스 펙덱·푸쉬다운, 3일차 레그 컬, 4일차 머신 레터럴·펙덱, 6일차 원암 로우·스캡 슈러그·프리쳐 컬, 7일차 디클라인 케이블 플라이, 8일차 레그 익스텐션. 메인 4종, 척추 부하 종목, 복합 프레스·로우, 기술 종목(오버헤드 슈러그·프론 Y·업라이트 로우)에는 붙이지 않는다.</t>
  </si>
  <si>
    <t>· 세트 수·예산(244)은 그대로다. 드롭은 같은 세트의 연장이지 새 세트가 아니다. 시간만 O열 '드롭(초)'로 얹혀 세션이 +1~4분. 증량 판정은 드롭이 없는 앞 세트로만 한다.</t>
  </si>
  <si>
    <t>· 9일차는 드롭 0 — 36세트로 이미 꽉 찬 날이다. 측면은 2일차 레터럴에 더해 4일차 머신 레터럴에도 붙였다(사용자 선택, 둘 다 +60초). 이두는 프리쳐 컬 한 곳(9일차 인클라인 컬은 이틀 뒤 친업), 머신 숄더 프레스는 제외(전면 삼각근은 프레스 4종으로 충분), 시티드 카프·트랩바 슈러그·흉근 상부(케이블 플라이 교체 필요)는 보류.</t>
  </si>
  <si>
    <t>1일차 — 당기기 A (수직)</t>
  </si>
  <si>
    <t>광배 위쪽 · 견갑골 하강 · 전완 · 삼두. 6일차 당기기 B(수평)와 각도를 나눈다.</t>
  </si>
  <si>
    <t>웜업 — 스캡 풀업 2세트 × 5~8 (세트 카운트 제외): 팔은 편 채 견갑골만 하강, 여유 있게(실패 4회+ 전 종료). 친업 직전 견갑 하강 프라이밍.</t>
  </si>
  <si>
    <t>운동 구성</t>
  </si>
  <si>
    <t>#</t>
  </si>
  <si>
    <t>근육군</t>
  </si>
  <si>
    <t>중량(Kg)</t>
  </si>
  <si>
    <t>횟수</t>
  </si>
  <si>
    <t>수행(초)</t>
  </si>
  <si>
    <t>휴식(초)</t>
  </si>
  <si>
    <t>종목 분</t>
  </si>
  <si>
    <t>간접 자극</t>
  </si>
  <si>
    <t>메모</t>
  </si>
  <si>
    <t>대체 종목</t>
  </si>
  <si>
    <t>세트별 휴식(초)</t>
  </si>
  <si>
    <t>슈퍼세트</t>
  </si>
  <si>
    <t>드롭(초)</t>
  </si>
  <si>
    <t>친업 (어시스트 가능)</t>
  </si>
  <si>
    <t>광배</t>
  </si>
  <si>
    <t>6~8</t>
  </si>
  <si>
    <t>이두</t>
  </si>
  <si>
    <t>수직 당기기 메인. 광배 위쪽 섬유 비중이 큼</t>
  </si>
  <si>
    <t>어시스트 풀업 머신 (개수가 안 나올 때) / 뉴트럴 그립 친업 (팔꿈치가 편함) / 랫풀다운</t>
  </si>
  <si>
    <t>135/145/160/180</t>
  </si>
  <si>
    <t>랫풀다운</t>
  </si>
  <si>
    <t>8~12</t>
  </si>
  <si>
    <t>친업 뒤에 무게 조절 수단으로. 그립을 친업과 다르게 (친업이 언더면 여기선 오버) [2026-09-05 4→2] 뒤 2세트를 원암 랫풀다운으로 나눴다 (사용자 요청).</t>
  </si>
  <si>
    <t>뉴트럴 그립 랫풀다운 / 원암 랫풀다운 (좌우 독립) / 케이블 풀오버 (이두 개입 최소)</t>
  </si>
  <si>
    <t>원암 랫풀다운</t>
  </si>
  <si>
    <t>8~12 (좌우)</t>
  </si>
  <si>
    <t>[2026-09-05 신설] 랫풀다운 4세트를 양팔 2 + 원암 2로 나눴다 (사용자 요청). 하이 풀리에 D핸들을 걸고 뉴트럴 그립으로 한 팔씩 — 좌우를 따로 세니 약한 쪽이 강한 쪽에 묻히지 않고, 당기는 쪽으로 몸통을 살짝 기울여 광배를 더 늘린 자리에서 시작할 수 있다. 팔꿈치를 옆구리 쪽으로 끌어내리고 맨 아래에서 1초 정지. 세트 수는 좌우 한 번씩을 1세트로 센다(수행 80초 = 40초 × 2). 무게는 양팔의 절반에서 시작해 약한 쪽 기준으로 올린다. 광배 직접 세트는 이 날 8 그대로. [2026-09-07 마지막 세트 드롭 2단 — 실패 뒤 쉬지 않고 20~30% 내려 두 번. 한쪽을 끝까지 내려간 뒤 반대쪽. 팔로 당기기 시작하면 그 자리에서 끝. 세트 수 그대로, 증량 판정은 첫 세트로만. +120초는 O열]</t>
  </si>
  <si>
    <t>원암 케이블 풀다운 (다른 하이 풀리) / 원암 덤벨 로우 (풀다운 기구가 찼을 때) / 뉴트럴 그립 랫풀다운 4세트로 합치기</t>
  </si>
  <si>
    <t>바벨 로우(스미스)(그립 넓게)</t>
  </si>
  <si>
    <t>승모(중부)·능형근</t>
  </si>
  <si>
    <t>맨몸</t>
  </si>
  <si>
    <t>8~10</t>
  </si>
  <si>
    <t>전거근</t>
  </si>
  <si>
    <t>그립을 어깨너비보다 넓게 — 팔꿈치를 45~90°로 벌려 견갑골을 모으는 종목이다. 주동근은 능형근·중부승모이고 광배는 협력근으로 계상한다(간접 0.5). 팔꿈치를 몸통에 붙여 당기면 광배 종목이 되어 같은 날 친업·랫풀다운과 겹친다 — 그러라고 넣은 자리가 아니다. [2026-09-04 라벨 정정: 광배 → 승모(중부)·능형근. 세트 수는 그대로 4]</t>
  </si>
  <si>
    <t>스캡 랫풀다운 (앉아서) / 어시스트 풀업 머신에서 스캡 풀업 / 바에 매달려 정지 3초</t>
  </si>
  <si>
    <t>페이스풀(로프)</t>
  </si>
  <si>
    <t>12~15</t>
  </si>
  <si>
    <t>삼각근(후면) · 외회전근</t>
  </si>
  <si>
    <t>수평 후인 + 외회전. 랫풀다운과 같은 케이블 스테이션에서 높이만 올려 이어서 한다. 팔꿈치를 어깨 높이로 유지하고 마지막에 손등이 뒤로 돌아갈 때까지 외회전을 끝낼 것 — 외회전을 빼면 그냥 후면삼각 종목이 되어 6일차와 겹친다. 무게 욕심 내면 승모 상부가 다 가져간다. 수직 당기기 날이지만 승모 중부 사이클당 2회(6일차와 5일 간격)를 만들기 위한 배치이며, 10~15kg으로 가벼워 친업·랫풀다운의 광배 자극과 경쟁하지 않는다. 덤벨 RDL과 같은 성격의 예외 배치.</t>
  </si>
  <si>
    <t>로프 페이스풀 (1순위) / 밴드 페이스풀 (케이블 자리가 없을 때) / 리버스 펙덱을 팔 편 채로 + 케이블 외회전 별도 (외회전 성분을 분리 수행)</t>
  </si>
  <si>
    <t>바벨 컬</t>
  </si>
  <si>
    <t>30~35</t>
  </si>
  <si>
    <t>전완</t>
  </si>
  <si>
    <t>[2026-08-28 — 이 종목은 2일차 밀기 A로 옮겨 3세트로 되살아났다. 당기기 날은 친업·랫풀다운으로 이두가 이미 간접 3.5세트분 지친 뒤라 컬을 두기에 나쁜 자리였다. 이 행은 기록으로만 남긴다]</t>
  </si>
  <si>
    <t>EZ바 컬 (손목이 편함) / 케이블 컬 (전 구간 장력) / 해머 컬 (상완요골근 동시)</t>
  </si>
  <si>
    <t>라잉 레그 레이즈</t>
  </si>
  <si>
    <t>복부</t>
  </si>
  <si>
    <t>복부 굴곡(하부). 바닥에 누워 다리를 모은 채 들어올린다 — 허리가 뜨면 장요근 종목이 되므로 손을 엉덩이 밑에 받쳐 골반을 후방경사로 고정하고, 내릴 때 발이 바닥에 닿기 전에 멈춰 장력을 유지한다. 6일차 중량 크런치(상부)와 굴곡 축을 나눈다. [2026-09-02 — 변형 4가지 서킷에서 일반 라잉 레그 레이즈로 환원. 세트당 100회·150초라 4세트가 14분으로 이 세션에서 가장 긴 종목이었고, 변형마다 자극 부위가 흩어져 하부 굴곡 한 축에 집중되지 않았다. 종목 분 14.0 → 6.7]</t>
  </si>
  <si>
    <t>캡틴 체어 레그 레이즈 (그립·허리 부담 없음 — 1순위) / 행잉 레그 레이즈 (가장 어렵다, 그립이 먼저 나감) / 리버스 크런치 (골반을 말아 올려 하부 집중) / 라잉 레그 레이즈 변형 4가지 https://www.youtube.com/watch?v=BGaOGtfTKPc</t>
  </si>
  <si>
    <t>케이블 트렁크 로테이션</t>
  </si>
  <si>
    <t>10~15</t>
  </si>
  <si>
    <t>12~15 (좌우)</t>
  </si>
  <si>
    <t>[2026-09-04 신설] 복부의 네 번째 축 — 회전. 그동안 굴곡(상·하)과 항신전만 있고 회전은 통째로 비어 있었다. **뒷발 뒤꿈치를 돌려 골반이 상체를 따라가게 한다** — 골반을 고정한 채 돌리면 회전이 요추 하나에 몰린다(앉아서 하는 트렁크 로테이션 머신을 안 쓰는 이유가 이것이다). **팔은 고정하고 몸통으로 돌린다** — 팔로 당기면 어깨 운동이 된다. 무게는 가볍게, 통제되는 범위에서. 6일차 중량 크런치를 6→3으로 내리며 이쪽으로 옮겨온 자리다. 왜 1일차인가 — 10일차 휴식 다음 날이라 척추가 가장 신선하다. 9일차는 데드(8일차) 다음 날이고 "척추 부하 0"이 그 날의 설계 근거라 회전을 얹지 않았다.</t>
  </si>
  <si>
    <t>케이블 우드촙 (하이 투 로우) / 팔로프 프레스 (항회전) / 밴드 트렁크 로테이션</t>
  </si>
  <si>
    <t>카프 레이즈 (스탠딩)</t>
  </si>
  <si>
    <t>종아리</t>
  </si>
  <si>
    <t>10</t>
  </si>
  <si>
    <t>[2026-09-04 신설] 종아리를 성장 구간(주당 10)으로 올리려고 3일차·8일차에 이어 세 번째 자리를 만들었다. 무릎 편 상태라 비복근 쪽. 당기기 날에 둔 이유는 하체날 두 곳이 이미 가장 긴 세션이라 더 얹지 않기로 해서다 — 종아리는 고립이라 어느 날에 있든 상관없다.</t>
  </si>
  <si>
    <t>레그 프레스 카프 (기계가 비었을 때) / 스미스 카프 레이즈</t>
  </si>
  <si>
    <t>덤벨 루마니안 데드리프트</t>
  </si>
  <si>
    <t>기립근</t>
  </si>
  <si>
    <t>12</t>
  </si>
  <si>
    <t>둔근·햄스트링</t>
  </si>
  <si>
    <t>기립근 보조. 20kg으로 가볍게 — 무게를 올리면 햄스트링 종목이 되고 척추 부하도 같이 올라간다. 데드(8일차)와 이틀 간격이라 이 자리가 맞다 [2026-09-04 3→6→3] 백 익스텐션이 없던 동안 기립근을 늘릴 수단이 이것뿐이라 6으로 올렸다가, 기구를 쓸 수 있다는 확인을 받고 3으로 되돌렸다. 힌지를 두 배로 하는 것보다 기립근 전용 종목을 따로 두는 편이 척추 부하도 낮고 자극도 곧다. [2026-09-04 순서 변경: 백 익스텐션과 자리를 맞바꿔 10번이 됐다]</t>
  </si>
  <si>
    <t>케이블 풀스루 (척추 압박 최소) / 굿모닝 (빈 봉~40kg, 가볍게) / 45도 하이퍼익스텐션 벤치 (있는 경우) / 스티프 레그드 데드리프트. 어느 쪽이든 가볍게 — 성장이 아니라 자세 유지가 목적</t>
  </si>
  <si>
    <t>백 익스텐션 (45도)</t>
  </si>
  <si>
    <t>[2026-09-04 순서 변경] 기구가 옆 체육관에 있어 세션 맨 마지막으로 내렸다 — 본 체육관 일을 전부 끝내고 이동한다. 앞으로 종목을 추가할 때 이 뒤에 붙이지 말 것. 45도 백 익스텐션, 이 프로그램의 원래 설계 종목이었는데 기구를 못 써서 덤벨 RDL로 대체해 뒀던 것을 되돌렸다. **척추 신전을 강조해서 한다** — 등을 편 채 고관절만 접는 힌지식으로 하면 둔근·햄스트링이 주동근이 되고 기립근은 버티기만 한다. 옆 체육관까지 갔는데 그러면 헛걸음이다.</t>
  </si>
  <si>
    <t>원판 5~10kg 안고 (맨몸이 쉬워지면) / 굿모닝(스미스) / 덤벨 루마니안 데드리프트</t>
  </si>
  <si>
    <t>세트 합계</t>
  </si>
  <si>
    <t>변경 (2026-09-05)</t>
  </si>
  <si>
    <t>· 랫풀다운 4 → 양팔 2 + 원암 2 (사용자 요청). 3번 원암 랫풀다운을 새로 두고 뒤 종목 번호가 하나씩 밀렸다. 광배 직접 세트는 8 그대로 · 31세트 · 약 72분.</t>
  </si>
  <si>
    <t>· 원암 랫풀다운 마지막 세트에 드롭 2단, +120초 (사용자 요청). 편측이라 한쪽을 끝까지 내려간 뒤 반대쪽으로 넘어간다 — 번갈아 하면 쉬는 시간이 생겨 드롭 효과가 약해진다. 광배는 주당 12.4로 낮고 예산은 잠겨 있어, 세트 수를 안 늘리고 자극만 얹는 자리다.</t>
  </si>
  <si>
    <t>· O열 '드롭(초)'는 마지막 세트에 더해지는 시간이다. I열 종목 분에 합산되고, 앱 타이머는 마지막 세트를 그만큼 늘린 뒤 '드롭세트'라고 읊는다. E열 세트 수와 세트검산은 건드리지 않는다.</t>
  </si>
  <si>
    <t xml:space="preserve"> </t>
  </si>
  <si>
    <t>2일차 — 밀기 A (수평)</t>
  </si>
  <si>
    <t>벤치 5×5가 이 프로그램의 최우선 종목. 7일차 밀기 B(수직)와 각도를 나눈다. 삼두 푸쉬다운을 마지막에 둔다 — 프레스로 지친 삼두를 고립으로 마무리한다 (2026-09-05, 4일차에서 이동). [이력] 바벨 컬은 2026-09-04에 4일차로 갔다.</t>
  </si>
  <si>
    <t>메인: 벤치프레스</t>
  </si>
  <si>
    <t>반복</t>
  </si>
  <si>
    <t>↑ '시작중량_설정'과 자동 연동. 20 = 빈 봉. '생략'은 앞 세트와 중량이 겹쳐 불필요하다는 뜻.</t>
  </si>
  <si>
    <t>웜업 — 회전근개 (세트 카운트 제외)</t>
  </si>
  <si>
    <t>· 케이블 외회전 2세트 × 12~15회. 팔꿈치 90도로 접어 옆구리에 붙이고 바깥으로만 회전.</t>
  </si>
  <si>
    <t>· 매우 가볍게 — 2.5~5kg. 무거우면 광배와 후면 삼각근이 대신 일하며 목적을 잃는다.</t>
  </si>
  <si>
    <t>· 근비대 항목이 아니라 관절 준비 항목이므로 세트 합계에 넣지 않는다.</t>
  </si>
  <si>
    <t>벤치프레스 (본세트)</t>
  </si>
  <si>
    <t>흉근(중하부)</t>
  </si>
  <si>
    <t>5</t>
  </si>
  <si>
    <t>삼두·전면삼각</t>
  </si>
  <si>
    <t>현재 최우선 종목. 사이클당 2.25kg 마이크로로딩. 여기가 무너지면 그 사이클 나머지를 줄인다</t>
  </si>
  <si>
    <t>스미스 벤치프레스 (궤도 고정) / 체스트 프레스 머신 / 플로어 프레스 (어깨가 아플 때)</t>
  </si>
  <si>
    <t>150/165/180/195/210</t>
  </si>
  <si>
    <t>딥스</t>
  </si>
  <si>
    <t>70 10개 채움</t>
  </si>
  <si>
    <t>삼두</t>
  </si>
  <si>
    <t>상체 앞으로 기울여 흉근 비중 확보. 쉬워지면 벨트로 중량 추가</t>
  </si>
  <si>
    <t>어시스트 딥스 머신 / 디클라인 덤벨 프레스 / 체스트 딥스 머신  https://www.youtube.com/shorts/1tQQKeAMwr0</t>
  </si>
  <si>
    <t>인클라인 덤벨 플라이(혹은 벡덱플라이 머신으로)</t>
  </si>
  <si>
    <t>흉근(상부)</t>
  </si>
  <si>
    <t>10~12</t>
  </si>
  <si>
    <t>프레싱 뒤 고립. 늘어난 구간에서 멈추지 말고 부드럽게 [2026-09-04 4→7] 흉근 상부 보강(주당 7.0 → 10.1). 7일차 인클라인 머신과 함께 사이클당 2회. [2026-09-04 7→4] 같은 날 인클라인 벤치프레스(스미스) 3세트를 새로 두면서 나눴다. 흉근 상부 직접 합계는 그대로다.</t>
  </si>
  <si>
    <t>케이블 크로스오버 (아래→위) / 펙덱 플라이 (등받이를 눕혀 인클라인 각으로) / 인클라인 머신 플라이</t>
  </si>
  <si>
    <t>레터럴 레이즈</t>
  </si>
  <si>
    <t>삼각근(측면)</t>
  </si>
  <si>
    <t>덤벨은 아래 구간에 저항이 안 걸린다 — 원암 케이블(7일차)이 그 구간을 메운다 [2026-09-07 마지막 세트 드롭 2단 — 실패 뒤 쉬지 않고 20~30% 내려 두 번. 무거운 구간에서 승모가 끼면 내린 무게로 어깨만 마저 채운다. 세트 수 그대로, 증량 판정은 앞 세트로만. +60초는 O열]</t>
  </si>
  <si>
    <t>케이블 레터럴 레이즈 (전 구간 장력) / 레터럴 레이즈 머신 / 라잉 레터럴</t>
  </si>
  <si>
    <t>리버스 펙덱플라이</t>
  </si>
  <si>
    <t>삼각근(후면)</t>
  </si>
  <si>
    <t>[2026-09-07 마지막 세트 드롭 2단 — 실패 뒤 쉬지 않고 핀 20~30% 내려 두 번. 세트 수 그대로, 증량 판정은 앞 세트로만. +60초는 O열]</t>
  </si>
  <si>
    <t>https://www.youtube.com/shorts/Et70PVUQpDE</t>
  </si>
  <si>
    <t>케이블 푸쉬다운 (로프)</t>
  </si>
  <si>
    <t>[2026-09-05 4일차 → 2일차 이동] 벤치·딥스·플라이·레이즈를 다 마친 뒤 마지막에 — 프레스에서 이미 지친 삼두를 고립으로 마무리하는 자리다. 4일차에 있을 때의 근거였던 '삼두가 안 쓰인 날의 신선함'은 포기했고, 대신 밀기 날에 삼두가 같이 끝난다. 로프로 마지막에 손등을 바깥으로 벌리면 외측두가 끝까지 수축한다. 팔꿈치는 옆구리에 고정 — 어깨로 누르면 광배 종목이 된다. 9일차 라잉 익스텐션이 늘어난 구간(장두)이라 여기는 짧아진 구간(외측두·내측두)으로 축을 나눈다. 삼두 직접은 2일차 4 · 9일차 4로 사이클당 2회 그대로. [2026-08-28 — 원래 1일차 인클라인 덤벨 컬 자리에 들어왔던 종목] [2026-09-07 마지막 세트 드롭 2단 — 실패 뒤 쉬지 않고 핀 20~30% 내려 두 번. 팔꿈치는 끝까지 옆구리에. 세트 수 그대로, 증량 판정은 앞 세트로만. +60초는 O열]</t>
  </si>
  <si>
    <t>V바 푸쉬다운 (손목이 편함) / 오버헤드 케이블 익스텐션 (장두 — 7일차와 겹치므로 차선) / 덤벨 킥백 / 벤치 딥스 (케이블이 없을 때)</t>
  </si>
  <si>
    <t>· 레터럴 레이즈 · 리버스 펙덱 · 푸쉬다운 마지막 세트에 드롭 2단, 각 +60초 (사용자 요청). 벤치 뒤라 셋이 몰려도 메인에 영향이 없다. 20~30%씩 내려 쉬지 않고 두 번, 세 번째부터는 피로만 쌓인다.</t>
  </si>
  <si>
    <t>3일차 — 하체 A (무릎 지배)</t>
  </si>
  <si>
    <t>스쿼트 · 레그프레스 중심. 8일차 하체 B(고관절 지배)와 5일 간격.</t>
  </si>
  <si>
    <t>메인: 스쿼트</t>
  </si>
  <si>
    <t>스쿼트 (본세트)</t>
  </si>
  <si>
    <t>대퇴사두</t>
  </si>
  <si>
    <t>둔근·기립근</t>
  </si>
  <si>
    <t>무릎 지배 메인. 데드(8일차)와 5일 간격이라 기립근이 회복된 상태에서 친다</t>
  </si>
  <si>
    <t>스미스 스쿼트 / 핵 스쿼트 (대퇴사두 집중) / 프론트 스쿼트 / 벨트 스쿼트 (척추 부하 없음)</t>
  </si>
  <si>
    <t>150/170/190/215/240</t>
  </si>
  <si>
    <t>레그 프레스</t>
  </si>
  <si>
    <t>둔근</t>
  </si>
  <si>
    <t>수/토 3+3 분할. 궤도 고정이라 대퇴사두가 확실히 한계까지 간다. 발판 위치는 중간</t>
  </si>
  <si>
    <t>핵 스쿼트 / 레그 익스텐션 (완전 고립) / 프론트 스쿼트</t>
  </si>
  <si>
    <t>불가리안 스플릿 스쿼트</t>
  </si>
  <si>
    <t>10 (좌우)</t>
  </si>
  <si>
    <t>대퇴사두·중둔근</t>
  </si>
  <si>
    <t>한 다리 지지라 관상면 안정화가 함께 들어온다</t>
  </si>
  <si>
    <t>덤벨 런지 / 워킹 런지 / 스텝업 / 리버스 런지 (무릎 부담 ↓)</t>
  </si>
  <si>
    <t>레그 컬</t>
  </si>
  <si>
    <t>햄스트링</t>
  </si>
  <si>
    <t>무릎 굴곡. 8일차 RDL(고관절 신전)과 기능이 다르다 — 둘 다 필요 [2026-09-07 마지막 세트 드롭 2단 — 실패 뒤 쉬지 않고 핀 20~30% 내려 두 번. 지친 햄스트링은 수축 위치에서 쥐가 잘 나니 위에서 멈추지 말고 바로 내린다. 다음 햄스트링은 8일차, 5일 뒤. 세트 수 그대로, 증량 판정은 앞 세트로만. +75초는 O열]</t>
  </si>
  <si>
    <t>라잉 레그 컬 · 시티드 레그 컬 (시티드가 늘어난 구간을 더 씀) / 노르딕 햄 컬</t>
  </si>
  <si>
    <t>이너 타이</t>
  </si>
  <si>
    <t>내전근</t>
  </si>
  <si>
    <t>내전근 직접 종목은 이것뿐. 스쿼트·레그프레스·불가리안이 간접 5.5를 채워 주므로 실질은 이미 하한 위다. [2026-09-04 — 아우터 타이와 슈퍼세트로 묶었다. 겸용 머신이라 패드만 뒤집으면 되어 전환이 10초다. 휴식 105 → 10초는 그 전환 시간이고, 라운드 간 휴식은 아우터 쪽 105초가 맡는다. 길항근 쌍이라 서로의 피로를 나눠 갖지 않으며, 각 근육 입장에서는 자기 세트 간격이 오히려 155초로 늘어난다]</t>
  </si>
  <si>
    <t>와이드 스탠스 레그 프레스 / 코사크 스쿼트 / 케이블 힙 내전</t>
  </si>
  <si>
    <t>A</t>
  </si>
  <si>
    <t>아우터 타이 (힙 외전)</t>
  </si>
  <si>
    <t>중둔근</t>
  </si>
  <si>
    <t>관상면 외전. [2026-09-04 부활 — v18에서 8일차로 보냈던 자리를 이너 타이와의 슈퍼세트로 되살렸다. 중둔근이 직접 3 · 간접 1.0으로 주당 환산 3.5, 프로그램 최하위였다. 여기 4세트로 주당 7.0 · 사이클당 2회(3일차·8일차, 간격 4일)가 된다. 8일차 케이블 힙 외전은 그대로 둔다 — 앉아서 고관절 굽힌 채(여기)와 서서 편 채(8일차)는 각도가 다르다. 반드시 양측 동시 머신으로 — 케이블 좌우 버전은 수행 80초라 40초짜리 이너와 라운드가 안 맞는다]</t>
  </si>
  <si>
    <t>힙 어브덕션 머신 (겸용 머신이 없을 때) / 케이블 힙 외전 (좌우 — 슈퍼세트로는 부적합) / 밴드 몬스터 워크 / 사이드 라잉 힙 외전</t>
  </si>
  <si>
    <t>앱휠 롤아웃</t>
  </si>
  <si>
    <t>항신전. 다음날이 당기기 B라 브레이싱 손실이 문제되지 않는다</t>
  </si>
  <si>
    <t>애브 롤아웃 / 사이드 플랭크 / 팔로프 프레스 (항회전)</t>
  </si>
  <si>
    <t>· 레그 컬 마지막 세트에 드롭 2단, +75초 (사용자 요청). 핀 스택 단관절이고 그날 햄스트링 마지막 종목이다. 다음 햄스트링은 8일차 RDL, 5일 뒤. 3일차 뒤는 4일차 고립·5일차 휴식이라 회복이 겹치지 않는다. 지친 햄스트링은 수축 위치에서 쥐가 나기 쉬우니 드롭 반복은 위에서 멈추지 않는다.</t>
  </si>
  <si>
    <t>4일차 — 어깨·팔 A</t>
  </si>
  <si>
    <t>측면·후면 삼각근 + 승모 하부 + 흉근(인클라인 스미스 · 펙덱) + 이두 · 전완 + 종아리. 약 71분. 4-1-4-1 전환으로 신설 — 옛 8일차 어깨 세션의 절반과 1·2일차의 팔이 여기로 왔다. 거울 슬롯은 9일차 어깨·팔 B. [2026-09-05] 이너·아우터 타이·리스트 컬은 9일차로, 디클라인 플라이는 7일차로, 시티드 카프는 6일차로 갔고, 9일차의 리버스 리스트 컬·리버스컬과 6일차 스탠딩 카프·오버헤드 슈러그가 왔다. 펙덱·머신 레터럴 마지막 세트 드롭 +2분 — 약 73분 (2026-09-07).</t>
  </si>
  <si>
    <t>웜업 — 케이블 외회전 2세트 × 12~15 (세트 카운트 제외): 매우 가볍게 2.5~5kg. 팔꿈치를 90도로 접어 옆구리에 붙이고 바깥으로만 회전. 대체: 밴드 외회전 / 아주 가벼운 페이스풀.</t>
  </si>
  <si>
    <t>머신 레터럴 레이즈</t>
  </si>
  <si>
    <t>궤도가 고정돼 반동이 안 들어간다. 중간 구간을 끝까지 쓴다. 어깨가 으쓱 따라 올라가면 승모가 대신 일하는 것 — 무게를 내린다. [2026-09-07 마지막 세트 드롭 2단 — 실패 뒤 쉬지 않고 핀 20~30% 내려 두 번. 측면 두 번째 드롭 자리(2일차 레터럴과 이틀 간격, 사용자 선택). 세트 수 그대로, 증량 판정은 앞 세트로만. +60초는 O열]</t>
  </si>
  <si>
    <t>덤벨 레터럴 (머신 없을 때 — 몸 옆이 아니라 살짝 앞) / 케이블 레터럴 양팔 크로스</t>
  </si>
  <si>
    <t>와이드 그립 케이블 업라이트 로우</t>
  </si>
  <si>
    <t>승모(상부)</t>
  </si>
  <si>
    <t>레이즈 계열과 달리 팔꿈치를 굽힌 채 당기는 궤적이라 측면의 다른 섬유가 동원되고, 승모 상부가 같이 온다 (승모 상부는 사이클당 3세트로 하한 미달이라 이 겸용이 값을 한다). 그립은 어깨너비보다 넓게, 팔꿈치는 가슴 높이까지만 — 좁은 그립으로 턱까지 올리면 견봉하 공간이 좁아진다.</t>
  </si>
  <si>
    <t>EZ바 와이드 업라이트 로우 / 스미스 업라이트 로우 / 케이블 Y 레이즈 (충돌이 느껴질 때)</t>
  </si>
  <si>
    <t>케이블 리버스 플라이</t>
  </si>
  <si>
    <t>중부승모·능형근</t>
  </si>
  <si>
    <t>팔을 편 채 수평으로만 벌린다. 케이블이라 수축 지점에서도 장력이 유지된다. 팔꿈치가 어깨선을 크게 지나가면 후면 삼각근에서 능형근으로 넘어간다.</t>
  </si>
  <si>
    <t>리버스 펙덱 (2일차와 같은 머신이면 그립만 바꿔 각도를 나눈다) / 벤트오버 케이블 크로스</t>
  </si>
  <si>
    <t>리어 델트 로우 (로프)</t>
  </si>
  <si>
    <t>팔꿈치를 어깨 높이로 벌린 채 당긴다. 4·5번이 팔을 편 수평 외전이라면 이쪽은 굽힌 채 당기기라 모멘트암과 동원 섬유가 다르다 — 한 세션에 후면 9세트를 넣으면서 자극이 겹치지 않게 하는 축이 이것이다. 팔꿈치가 몸통 옆으로 붙으면 광배 로우가 된다.</t>
  </si>
  <si>
    <t>와이드 그립 시티드 케이블 로우 (팔꿈치 벌려) / 페이스풀 (외회전까지 포함) / 머신 로우 와이드 그립</t>
  </si>
  <si>
    <t>오버헤드 슈러그(스미스)</t>
  </si>
  <si>
    <t>승모(하부)</t>
  </si>
  <si>
    <t>20</t>
  </si>
  <si>
    <t>[2026-09-05 6일차 → 4일차 이동] 6·7일차 이틀 연속이던 승모 하부를 4·7·9일차(3/2/5일)로 폈다. 스미스에서 하므로 바로 뒤 인클라인 스미스와 같은 기구 — 벤치만 넣으면 된다. [2026-09-04 신설] 승모 하부는 실질 4.5로 가장 크게 모자랐다. 7일차에 같은 종목이 3세트 있었지만 사이클당 1회뿐이었고, 여기와 9일차를 더해 3회로 만들었다. 견갑 상방회전 — 팔을 머리 위에 둔 채 으쓱한다.</t>
  </si>
  <si>
    <t>오버헤드 케이블 슈러그 / 프론 Y 레이즈</t>
  </si>
  <si>
    <t>인클라인 벤치프레스(스미스)</t>
  </si>
  <si>
    <t>30</t>
  </si>
  <si>
    <t>삼두 · 삼각근(전면)</t>
  </si>
  <si>
    <t>[2026-09-05 2일차 → 4일차 이동] 이 날 유일한 프레스라 벤치·딥스 뒤 세 번째로 치던 때보다 신선하다 — 중량을 2일차 시절보다 올려 잡아도 된다. 레이즈 6세트 뒤에 두는 이유는 9일차 머신 숄더 프레스와 같다: 앞에 두면 프레스 피로로 레이즈 중량이 눌린다. 복합관절이라 뒤의 플라이 두 종목 앞이다. [2026-09-04 신설 당시] 흉근 상부 7세트를 플라이 하나로 채우던 것을 프레스 3 + 플라이 4로 나눴다. 플라이는 늘어난 구간에서 벌리는 자극, 프레스는 중량을 실을 수 있는 축 — 상부 흉근을 한 종류로만 때리지 않는다. 2일차 인클라인 플라이 · 7일차 인클라인 머신과 함께 흉근 상부 사이클당 3회.</t>
  </si>
  <si>
    <t>인클라인 바벨 벤치프레스 / 인클라인 덤벨 프레스 / 인클라인 벤치프레스 머신</t>
  </si>
  <si>
    <t>펙덱 플라이</t>
  </si>
  <si>
    <t>25~30</t>
  </si>
  <si>
    <t>삼각근(전면)</t>
  </si>
  <si>
    <t>[2026-09-04 신설] 프레싱 두 종목을 끝내고 고립으로 마무리하는 자리. 팔꿈치 각도를 고정한 채 어깨 수평 내전만 — 굽혔다 펴면 프레스가 된다. 첫날은 25kg으로 10~12회가 실패 2~3회 안에 들어오는지 보고 맞춘다. 이 종목을 넣어 흉근 합산이 주당 환산 24.1이 됐다(천장 20 초과) — 사용자가 알고 선택한 것이며, 세트 질이 떨어지면 2일차 디클라인 케이블 플라이 3세트를 먼저 뺀다. [2026-09-07 마지막 세트 드롭 2단 — 실패 뒤 쉬지 않고 핀 20~30% 내려 두 번. 세트 수 그대로, 증량 판정은 앞 세트로만. +60초는 O열]</t>
  </si>
  <si>
    <t>케이블 크로스오버 / 플랫 벤치 덤벨 플라이 (가동범위 ↑) / 머신 체스트 플라이</t>
  </si>
  <si>
    <t>20~25</t>
  </si>
  <si>
    <t>밀기 날에 이두를 넣는 이유는 1일차 푸쉬다운과 같다 — 이 세션에서 이두는 전혀 안 쓰이므로 완전히 신선하다. 이두 직접이 6 → 9세트, 사이클당 2회 → 3회가 된다 (2일차 · 6일차 · 9일차, 간격 3-3-2일). 6일차 프리쳐(반동 차단 · 짧아진 구간) · 9일차 인클라인(늘어난 구간)과 달리 여기는 선 자세 전 구간이라 무게를 가장 많이 건다. 반동 쓰지 말 것 — 상체를 뒤로 젖히면 이두가 아니라 기립근 종목이 된다. 팔꿈치는 몸통 옆에 고정. [2026-08-28 추가 — 1일차에 0세트로 접혀 있던 종목을 이 자리로 되살린 것]</t>
  </si>
  <si>
    <t>EZ바 컬 (손목이 편함) / 케이블 바 컬 (전 구간 장력 유지) / 머신 컬 / 덤벨 컬 양팔 동시</t>
  </si>
  <si>
    <t>리버스 리스트익스텐션 컬(손등 아래)</t>
  </si>
  <si>
    <t>15</t>
  </si>
  <si>
    <t>[2026-09-05 9일차 → 4일차 이동] 신근(리스트 컬 손등 위)은 9일차로 가서 대항쌍이 날을 나눠 갖는다. 전완 4일차 8 · 9일차 3. 손목 굴근. 1일차 리버스와 대항쌍 [v17 감량 4→3 — 전완 실질 8로 자체 하한 유지]</t>
  </si>
  <si>
    <t>덤벨 리스트 컬 (한 손씩) / 케이블 리스트 컬 / 비하인드백 리스트 컬</t>
  </si>
  <si>
    <t>리버스컬</t>
  </si>
  <si>
    <t>이두(상완근)</t>
  </si>
  <si>
    <t>[2026-09-05 9일차 → 4일차 이동] 바벨 컬(뒤침) 바로 뒤에 엎침 그립으로 — 같은 굴곡 패턴을 다른 축으로. 오버핸드(엎침) 그립 컬 — 상완요골근·상완근이 주동이다. 언더핸드 프리쳐 컬(#5)과 그립을 나눠 같은 굴곡 패턴을 다른 축으로 친다. 손목은 중립으로 고정하고 반동 금지 — 손목을 위로 꺾으면 리스트 컬(#6)이 되고 상완요골근에서 빠진다. 회외가 없어 이두가 짧아진 자리에서 힘을 못 쓰므로 언더핸드 컬보다 30~40% 가벼운 것이 정상이다. #7 자리인 이유: 그립을 쓰는 종목이라 컬 계열 바로 뒤에 붙이고, 스트랩을 쓰는 트랩바 슈러그를 뒤로 보낸다. [2026-08-28 추가 — 전완 직접 6→9세트]</t>
  </si>
  <si>
    <t>EZ바 리버스 컬 (손목 부담 ↓ — 1순위) / 케이블 리버스 컬 (수축 지점까지 장력 유지 · 핀 단위 미세 증량) / 리버스 프리쳐 컬 (반동 차단) / 해머 컬 (중립 그립 — 상완요골근 같은 계열이나 자극 각도가 다르다)</t>
  </si>
  <si>
    <t>[2026-09-05 6일차 → 4일차 이동] 6일차 자리를 힙 외전에 내주고 왔다. 종아리 1·4·8일차(3일/4일/3일). 같은 날 시티드 카프 2세트와 비복근·가자미근으로 나뉜다. 무릎 편 상태 — 비복근 주도. 8일차 시티드(가자미근)와 역할이 다르다</t>
  </si>
  <si>
    <t>스탠딩 카프 레이즈 머신 / 레그 프레스 발판 끝에서 / 스미스 카프 레이즈</t>
  </si>
  <si>
    <t>랫풀다운 3세트/ 그립 변경 3세트 추가</t>
  </si>
  <si>
    <t>4일차 원칙</t>
  </si>
  <si>
    <t>· 2026-09-04 4-1-4-1 전환으로 신설. 옛 8일차 어깨 40세트를 A/B로 나누고 1·2일차에서 삼두 · 이두 · 전완을 가져왔다. 세트는 한 개도 안 늘었다 — 총량 예산 239 안에서 자리만 옮긴 것이다.</t>
  </si>
  <si>
    <t>· 시간 균등화(같은 날)로 흉근 플라이 2종(디클라인 케이블 · 펙덱)이 2·7일차에서 왔다. 벤치 이틀 뒤 고립 6세트 — 흉근이 2·4·7일차 셋으로 흩어진다. "볼륨을 여러 날로 흩는 쪽이 낫지만 자리가 없었다"던 그 자리가 생긴 것이다.</t>
  </si>
  <si>
    <t>· 3일차 스쿼트 다음 날이자 5일차 휴식 앞. 척추 부하 0 — 이 자리에 있는 이유다.</t>
  </si>
  <si>
    <t>· 실패지점 1~2회 남기고 멈춘다. 세트 간 휴식 60~80초. 메인 리프트 없음 — 볼륨을 채우는 날이지 무게를 올리는 날이 아니다.</t>
  </si>
  <si>
    <t>· 측면 · 후면 · 이두 · 전완이 9일차와 5일 간격으로 두 번 온다. [2026-09-05] 삼두 푸쉬다운은 2일차(벤치 날 마지막)로 갔다 — 삼두 직접은 2일차 4 · 9일차 4, 간격 7일/3일로 비대칭이 됐다. 대신 이 날 인클라인 스미스 4세트가 벤치 이틀 뒤 두 번째 프레스로 온다.</t>
  </si>
  <si>
    <t>· 바벨 컬은 2일차 밀기에서 왔다. "당기기 뒤 지친 이두를 피한다"는 원래 이유는 팔 전용일이 생기며 해소됐고, 2일차는 82분 → 76분으로 시간 상한 안에 들어왔다.</t>
  </si>
  <si>
    <t>· 이너·아우터 타이는 겸용 머신 슈퍼세트(A). 3일차와 같은 방식이고, 옛 8일차에서 그대로 옮겨 왔다.</t>
  </si>
  <si>
    <t>되돌리는 법 [2026-09-05 9일차로 이동]</t>
  </si>
  <si>
    <t>· E열을 0으로 내리면 회색으로 접히고 합계 · 세트검산에서 빠진다. 다만 그 세트는 예산에서 사라지는 게 아니라 어딘가로 돌아가야 한다 — 잔여 예산이 양수로 뜨면 그 신호다.</t>
  </si>
  <si>
    <t>이동 (2026-09-05)</t>
  </si>
  <si>
    <t>· 이너·아우터 타이 슈퍼세트와 리스트 컬(손등 위)이 9일차로, 디클라인 케이블 플라이가 7일차로 갔다. 9일차에서 리버스 리스트 컬·리버스컬·시티드 카프가 왔다. 31세트 · 약 62분 — 스쿼트 다음 날인 이 날에서 하체 고립을 뺀 것이라 가장 가벼운 날이 됐다. 척추 부하 0은 그대로.</t>
  </si>
  <si>
    <t>· 6일차 스탠딩 카프 4세트가 시티드 카프 앞으로 왔다 — 6일차 자리를 힙 외전에 내준 것. 35세트 · 약 70분.</t>
  </si>
  <si>
    <t>· 6일차 오버헤드 슈러그 3세트가 5번(인클라인 스미스 앞, 같은 스미스 머신)으로 왔고 시티드 카프 2세트는 6일차로 갔다. 승모 하부 4·7·9일차. 36세트 · 약 71분.</t>
  </si>
  <si>
    <t>· 펙덱 플라이 마지막 세트에 드롭 2단, +60초 (사용자 요청). 인클라인 스미스 뒤 흉근 마지막 자리라 여기. 인클라인 프레스 계열은 복합이라 드롭을 붙이지 않는다.</t>
  </si>
  <si>
    <t>· 머신 레터럴 레이즈 마지막 세트에도 드롭 2단, +60초 (사용자 선택, 2026-09-07 추가). 측면 두 번째 자리 — 2일차 레터럴과 이틀 간격이지만 측면은 회복이 빠르다. 4일차 드롭은 둘, 약 73분.</t>
  </si>
  <si>
    <t>6일차 — 당기기 B (수평)</t>
  </si>
  <si>
    <t>로우 · 견갑골 후인 · 이두 · 전완. 1일차 당기기 A(수직)와 각도를 나눈다. [2026-09-05] 스탠딩 카프는 4일차로, 중량 크런치는 7일차로 갔고 9일차 케이블 힙 외전이 왔다. 약 72분. 오버헤드 슈러그는 4일차로 가고 4일차 시티드 카프 2세트가 왔다 — 약 71분. 원암 로우·프리쳐 컬·스캡 슈러그 마지막 세트 드롭 +4분 — 약 76분 (2026-09-07).</t>
  </si>
  <si>
    <t>웜업 — 밴드 풀 어파트 2세트 × 15 (세트 카운트 제외): 가볍게, 견갑골 후인 프라이밍. 대체: 케이블 스캡 로우 / 아주 가벼운 페이스풀.</t>
  </si>
  <si>
    <t>해머 스트랭스 로우(오버그립)</t>
  </si>
  <si>
    <t>중부승모·이두</t>
  </si>
  <si>
    <t>수평 당기기 메인. 가슴이 받쳐져 허리 부담이 없다. 그립은 넓게 · 팔꿈치는 벌려서 — 견갑 후인이 주동이라 능형근·중부승모로 계상하고 광배는 협력근이다(간접 0.5). [2026-09-04 라벨 정정: 광배 → 승모(중부)·능형근. 세트 수는 그대로 4]</t>
  </si>
  <si>
    <t>체스트 서포티드 로우 / 티바 로우 / 펜들레이 로우 (척추 부하 ↑) / 바벨 로우</t>
  </si>
  <si>
    <t>시티드 케이블 로우</t>
  </si>
  <si>
    <t>해머 로우와 역할을 나눈다 — 해머는 넓은 그립·팔꿈치 벌려 상부등, 이쪽은 좁은 그립·팔꿈치 붙여 광배. 이 날 광배 직접 종목은 이것과 3번 원암 로우뿐이다. [2026-09-05 5→3] 뒤 2세트를 원암 케이블 로우로 나눴다 (사용자 요청).</t>
  </si>
  <si>
    <t>원암 케이블 로우 (좌우 독립) / 덤벨 로우 / 머신 로우</t>
  </si>
  <si>
    <t>원암 케이블 로우</t>
  </si>
  <si>
    <t>[2026-09-05 신설] 시티드 케이블 로우 5세트를 양팔 3 + 원암 2로 나눴다 (사용자 요청). 같은 로우 스테이션에서 바를 D핸들로 바꿔 한 팔씩 — 팔꿈치를 몸통에 붙이고, 당기는 쪽으로 몸통을 살짝 돌려 광배 수축을 끝까지 가져간다(반대 손은 기구를 잡아 몸통을 고정). 좌우를 따로 세니 약한 쪽이 강한 쪽에 묻히지 않는다. 세트 수는 좌우 한 번씩을 1세트로 센다(수행 80초 = 40초 × 2). 무게는 양팔의 절반에서 시작해 약한 쪽 기준으로 올린다. 광배 직접 세트는 이 날 5 그대로. 4번 스캡 슈러그는 이 뒤에 바를 다시 걸고 이어서 한다. [2026-09-07 마지막 세트 드롭 2단 — 실패 뒤 쉬지 않고 20~30% 내려 두 번. 한쪽을 끝까지 내려간 뒤 반대쪽. 몸통이 돌아가거나 팔로 당기기 시작하면 그 자리에서 끝. 세트 수 그대로, 증량 판정은 첫 세트로만. +120초는 O열]</t>
  </si>
  <si>
    <t>원암 덤벨 로우 (벤치 지지) / 원암 머신 로우 (해머 스트랭스 한 팔씩) / 시티드 케이블 로우 5세트로 합치기</t>
  </si>
  <si>
    <t>시티드 케이블 로우 스캡 슈러그(두번째 크기 바)</t>
  </si>
  <si>
    <t>후면 삼각근</t>
  </si>
  <si>
    <t>2번 시티드 케이블 로우와 같은 스테이션 — 3번 원암 로우 뒤에 바를 다시 걸고 무게만 내려 이어서 한다 (자리 이동 없음). 팔꿈치 각도를 세트 내내 고정하고 견갑골만 뒤로 — 가동범위 2~3cm, 모은 자리에서 1초 정지. 상체를 뒤로 눕히면 하부 승모 각도가 되고, 팔을 당기면 광배로 넘어간다. 케이블이라 수축 지점에서도 장력이 유지되고 핀 단위 미세 증량이 된다 (플레이트 로드 머신은 이 무게대에서 계단이 너무 큼). [2026-09-07 마지막 세트 드롭 2단 — 실패 뒤 쉬지 않고 핀 20~30% 내려 두 번. 지치면 팔로 당겨 로우가 되는데 그래도 등 상부라 손해가 작다. 세트 수 그대로, 증량 판정은 앞 세트로만. +60초는 O열]</t>
  </si>
  <si>
    <t>해머 스트랭스 로우에서 팔 편 채 견갑골만 — 가슴 패드가 상체를 고정해줘 자세 잡기는 더 쉬우나 무게 미세 조정이 어렵다 / 리버스 펙덱을 팔 편 채로 / 켈소 슈러그 (받침 벤치가 있을 때)</t>
  </si>
  <si>
    <t>후면 삼각근은 프레스로 자라지 않는다 — 반드시 별도로 센다 [v17 제외 — 후면은 2일차 4 · 7일차 3 · 9일차 9로 사이클당 3회 16세트 — 이 행은 그 재편으로 비워둔 자리다]</t>
  </si>
  <si>
    <t>리버스 펙덱 (자세 유지가 쉬워 사실상 상위 호환) / 페이스풀 / 인클라인 벤치 리어델트 레이즈</t>
  </si>
  <si>
    <t>프리쳐 컬</t>
  </si>
  <si>
    <t>반동이 차단되는 종목. 인클라인(9일차)과 각도를 나눈다 [2026-09-07 마지막 세트 드롭 2단 — 실패 뒤 쉬지 않고 20~30% 내려 두 번. 팔꿈치가 패드에 고정돼 지쳐도 자세가 남는 종목이라 이두 드롭은 여기 한 곳. 세트 수 그대로, 증량 판정은 앞 세트로만. +60초는 O열]</t>
  </si>
  <si>
    <t>EZ바 프리처 컬 / 머신 프리처 컬 / 컨센트레이션 컬</t>
  </si>
  <si>
    <t>트랩바 슈러그</t>
  </si>
  <si>
    <t>전완 · 기립근</t>
  </si>
  <si>
    <t>몸 옆에서 잡는 중립 그립이라 견갑골이 전인되지 않는다 — 바벨(몸 앞)보다 승모 상부 섬유 방향에 맞고 가동범위도 더 나온다. 어깨를 위로만, 돌리지 말 것 (회전은 가동범위를 늘리는 게 아니라 견봉하 공간만 좁힌다). 맨 위에서 1초 정지 — 정지 없이 하면 반동으로 끝난다. 턱은 당기고 목은 중립 (목을 앞으로 빼면 경추 신전근이 일한다). 그립이 승모보다 먼저 나가므로 스트랩 권장 — 전완은 이미 주 7세트 직접으로 충족돼 여기서 그립을 훈련할 이유가 없다. #8 자리인 이유: 앞의 로우 7세트 + 스캡 슈러그로 그립이 지쳐 있어 프리쳐 컬·리스트 컬보다 뒤에 와야 연쇄 피해가 없다. 7일차 오버헤드 슈러그(승모 하부·상방회전)와는 다른 근육이므로 대체가 아니라 추가다.</t>
  </si>
  <si>
    <t>덤벨 슈러그 (트랩바 없을 때 — 몸 옆 그립 동일) / 스미스 슈러그 (궤도 고정) / 바벨 슈러그 (몸 앞이라 가동범위 약간 손해) / 케이블 슈러그</t>
  </si>
  <si>
    <t>시티드 카프 레이즈</t>
  </si>
  <si>
    <t>8</t>
  </si>
  <si>
    <t>[2026-09-05 4일차 → 6일차 이동] 오버헤드 슈러그에 자리를 내주고 왔다. 종아리 1·4·6·8일차(3/2/2/3일) — 4일차 스탠딩(비복근)과 6·8일차 시티드(가자미근)는 다른 근육이라 이틀 간격이 겹치지 않는다. [2026-09-05 9일차 → 4일차 이동] 종아리 1·4·6·8일차. [2026-09-04 신설] 무릎 굽힌 상태 — 가자미근. 1일차 스탠딩(비복근)과 각도를 나눈다. 8일차에 같은 종목이 4세트 있고 여기 2세트를 더해 종아리를 주당 10으로 올린다.</t>
  </si>
  <si>
    <t>레그 프레스 카프 / 스탠딩 카프 (기계가 찼을 때)</t>
  </si>
  <si>
    <t>케이블 힙 외전</t>
  </si>
  <si>
    <t>[2026-09-05 9일차 → 6일차 이동] 중둔근을 3·6·9일차 3일/3일/4일 간격으로 펴려고 — 스쿼트·데드 다음 날 어느 쪽에도 엉덩이 고립을 두지 않는 자리는 여기뿐이다. 서서 하는 케이블이라 척추 부하 0, 데드 이틀 전. 백 익스텐션(옆 체육관) 앞 마지막 본관 종목. 관상면 외전 — 고관절 날로 복귀 (v18). 5일 버전 8일차 과부하 때문에 3일차로 갔던 종목이나 그 사유 소멸. 앉는 시간이 길면 대둔근보다 중둔근이 먼저 잠든다. (이 자리의 트렁크 로테이션은 v17 제외 — 복부 직접 8 유지)</t>
  </si>
  <si>
    <t>밴드 몬스터 워크 / 사이드 라잉 힙 외전 / 힙 어브덕션 머신</t>
  </si>
  <si>
    <t>· 스탠딩 카프 → 4일차, 중량 크런치 → 7일차, 9일차 케이블 힙 외전이 8번(백 익스텐션 앞)으로 왔다. 중둔근 3·6·9일차 — 스쿼트·데드 다음 날에는 엉덩이 고립이 없다. 31세트 · 약 72분, 가장 길던 날(77분)이 내려왔다.</t>
  </si>
  <si>
    <t>· 오버헤드 슈러그 → 4일차, 4일차 시티드 카프 2세트가 8번(힙 외전 앞)으로 왔다. 6·7일차 이틀 연속이던 승모 하부가 풀렸다. 30세트 · 약 71분.</t>
  </si>
  <si>
    <t>· 시티드 케이블 로우 5 → 양팔 3 + 원암 2 (사용자 요청). 3번 원암 케이블 로우를 새로 두고 스캡 슈러그부터 번호가 하나씩 밀렸다. 광배 직접 세트는 5 그대로 · 30세트 · 약 72분.</t>
  </si>
  <si>
    <t>· 원암 로우(+120초 · 편측) · 프리쳐 컬(+60초) 마지막 세트에 드롭 2단 (사용자 요청). 원암 로우는 몸통이 돌아가거나 팔로 당기기 시작하면 그 자리에서 끝 — 지친 상태에서 광배가 빠지기 가장 쉬운 종목이다. 이두 드롭은 여기 한 곳이다. 9일차 인클라인 컬은 이틀 뒤 1일차 친업 때문에 직선으로 둔다.</t>
  </si>
  <si>
    <t>· 스캡 슈러그 마지막 세트에도 드롭 2단, +60초 (사용자 요청, 2026-09-07 추가). 핀 스택 단관절이고 그날 승모 중부 마지막 종목이다. 지치면 팔로 당겨 로우가 되는데 그래도 등 상부라 손해가 작다. 6일차 드롭은 셋, 약 76분.</t>
  </si>
  <si>
    <t>7일차 — 밀기 B (수직)</t>
  </si>
  <si>
    <t>오버헤드 프레싱 · 흉근 상부 · 어깨 측면/후면. 벤치(2일차)와 5일 간격이라 무게가 온전히 나온다. [2026-09-05] 4일차 디클라인 케이블 플라이 3세트가 왔다 — 흉근 9세트(헤머 · 인클라인 머신 · 디클라인). 6일차 중량 크런치 3세트도 마지막에 왔다 — 약 72분. 디클라인 플라이 마지막 세트 드롭 +1분 — 약 73분 (2026-09-07).</t>
  </si>
  <si>
    <t>메인: 밀리터리 프레스</t>
  </si>
  <si>
    <t>밀리터리 프레스 (본세트)</t>
  </si>
  <si>
    <t>삼두 · 삼각근(측면)</t>
  </si>
  <si>
    <t>벤치와 5일 간격 — 5일 버전의 "전날 벤치 여파" 문제가 사라진 자리. 팔꿈치 다 내리지 말 것</t>
  </si>
  <si>
    <t>스미스 오버헤드 프레스 / 숄더 프레스 머신 / 덤벨 숄더 프레스 (가동범위 ↑) / 아놀드 프레스</t>
  </si>
  <si>
    <t>165/180/195</t>
  </si>
  <si>
    <t>머신 숄더 프레스</t>
  </si>
  <si>
    <t>승모 · 삼각근(측면)</t>
  </si>
  <si>
    <t>주동은 전면이나 오버헤드라 측면도 상당히 쓴다. 그립 넓게 — 좁으면 승모가 대신 일한다</t>
  </si>
  <si>
    <t>덤벨 숄더 프레스 / 스미스 오버헤드 프레스 / 아놀드 프레스</t>
  </si>
  <si>
    <t>머신 숄더 프레스 직후 — 오버헤드 각도가 이미 나와 있어 세팅 이동이 없다. 팔꿈치 편 채 견갑골만 2~3cm 위로. 팔꿈치가 굽으면 그건 프레스지 슈러그가 아니다</t>
  </si>
  <si>
    <t>스미스 오버헤드 슈러그 (1순위 — 궤도 고정으로 안정화 부담 없음) / 숄더 프레스 머신에서 팔 편 채 밀어올리기 / 덤벨 오버헤드 슈러그 (좌우 독립이나 안정화가 먼저 한계에 닿는다) / 케틀벨 보텀업 홀드</t>
  </si>
  <si>
    <t>헤머스트랭스 체스트 프레스</t>
  </si>
  <si>
    <t>좌우 독립 + 궤도 고정. 벤치(2일차)가 수평 메인이므로 여기선 보조 볼륨 [v17 제외 — 흉근 합산 천장(19→16) 감량, 벤치·딥스·인클라인이 담당]</t>
  </si>
  <si>
    <t>케이블 체스트 프레스 (전 구간 장력) / 덤벨 프레스 (가동범위 ↑) / 스미스 벤치는 대체 불가</t>
  </si>
  <si>
    <t>인클라인 벤치프레스 머신</t>
  </si>
  <si>
    <t>쇄골지. 오버헤드 프레싱과 각도가 이어져 세팅 이동이 적다 [2026-09-04 4→6] 흉근 상부 보강. 2일차 인클라인 플라이와 짝.</t>
  </si>
  <si>
    <t>인클라인 스미스 프레스 / 인클라인 덤벨 프레스 (가동범위 ↑) / 인클라인 체스트 프레스 머신</t>
  </si>
  <si>
    <t>디클라인 케이블 플라이</t>
  </si>
  <si>
    <t>[2026-09-05 4일차 → 7일차 이동 — 사용자 요청] 흉근 중하부 고립. 헤머 체스트·인클라인 머신 두 프레스 뒤 마무리 자리다. 위에서 아래로 내리는 궤적이라 하부 섬유 비중이 크고, 케이블이라 수축 지점에서도 장력이 유지된다. 흉근 합산이 천장(20)을 넘어 있어 세트 질이 떨어지면 먼저 빼는 후보가 이 3세트다. [이력] 이 행은 v18 전 삼두 종목 자리였고, 2026-09-04 2일차 → 4일차, 오늘 7일차로 왔다. [2026-09-07 마지막 세트 드롭 2단 — 실패 뒤 쉬지 않고 핀 20~30% 내려 두 번. 팔을 굽혀 프레스처럼 밀기 시작하면 끝. 4일차 펙덱과 3일 간격. 세트 수 그대로, 증량 판정은 앞 세트로만. +60초는 O열]</t>
  </si>
  <si>
    <t>케이블 크로스오버 (위→아래) / 디클라인 덤벨 플라이 / 펙덱 플라이 (시트를 높여 하부 각)</t>
  </si>
  <si>
    <t>벤트오버 레터럴 레이즈 머신</t>
  </si>
  <si>
    <t>수평 외전. 2일차 리버스 펙덱 · 9일차 후면 3종목(9세트)과 함께 후면 사이클당 3회 16세트를 만든다</t>
  </si>
  <si>
    <t>리버스 펙덱 / 케이블 리버스 플라이 / 인클라인 벤치에 엎드려 덤벨 리어델트</t>
  </si>
  <si>
    <t>원암 사이드 케이블 레터럴 레이즈</t>
  </si>
  <si>
    <t>몸을 반대로 기울여 늘어난 위치부터 부하. 덤벨 레터럴(2일차)이 못 거는 구간</t>
  </si>
  <si>
    <t>케이블 원암 레터럴 레이즈 (최우선) / 원암 레터럴 레이즈 머신</t>
  </si>
  <si>
    <t>프론 Y 레이즈</t>
  </si>
  <si>
    <t>2~5</t>
  </si>
  <si>
    <t>벤트오버 레터럴과 같은 인클라인 벤치 — 세팅 그대로 이어서. 매우 가볍게. 오버헤드 슈러그가 상방회전, 이쪽은 하강 — 역할이 다르다 [2026-09-04 0→3] 꺼져 있던 종목을 켰다. 승모 하부가 실질 4.5로 가장 모자란데 이 종목이 0세트로 잠들어 있었다 — 새 종목을 찾기 전에 이것부터.</t>
  </si>
  <si>
    <t>케이블 Y 레이즈 / 페이스풀 (마지막에 견갑골 하강) / 프론 스윔</t>
  </si>
  <si>
    <t>중량 크런치</t>
  </si>
  <si>
    <t>[2026-09-05 6일차 → 7일차 이동] 6일차 길이를 내리고 복부를 1·3·7일차로 펴려고. 데드 전날이라 부하 건 굴곡이 이상적이진 않다 — 마지막 종목으로 가볍게, 데드 셋업에서 배에 힘이 덜 들어가면 6일차로 되돌린다. 복부 굴곡(상부). 1일차 레그레이즈(하부)와 굴곡 축을 나눈다. [2026-09-04 6→3] 한 종목을 한 세션에서 6세트 연달아 하면 뒤쪽 세트의 자극당 값이 떨어진다 — 9일차 후면삼각 9세트를 3종목으로 쪼갠 것과 같은 이유다. 뺀 3세트는 1일차 케이블 트렁크 로테이션으로 갔고 복부 총량(13 · 주당 10.1)은 그대로다.</t>
  </si>
  <si>
    <t>케이블 크런치 (점진적 과부하에 최적 — 1순위) / 압도미널 크런치 머신 / 인클라인 싯업</t>
  </si>
  <si>
    <t>하부 승모 — 세 패턴 (v3)</t>
  </si>
  <si>
    <t>· 하부 승모의 일은 두 갈래다: 견갑골 하강, 그리고 팔이 올라갈 때의 상방회전.</t>
  </si>
  <si>
    <t>· 스캡 풀업(월 웜업) = 순수 하강 · 프론 Y(7일차) = 하강 + 후인 · 오버헤드 슈러그(7일차) = 상방회전.</t>
  </si>
  <si>
    <t>· 상방회전은 팔이 머리 위로 간 각도에서만 훈련된다 — 지금까지 프로그램에 통째로 비어 있던 패턴.</t>
  </si>
  <si>
    <t>· 전거근이 함께 온다. 전거근이 약하면 하부 승모를 키워도 견갑골이 제 위치로 안 간다.</t>
  </si>
  <si>
    <t>· 가동범위가 아주 작다. 견갑골만 2~3cm 올렸다 내리는 동작이고, 그 이상은 팔꿈치가 굽은 것이다.</t>
  </si>
  <si>
    <t>· 무게는 오버헤드로 안정적으로 지지할 수 있는 것보다 가볍게. 스미스나 머신 권장.</t>
  </si>
  <si>
    <t>· 하부 승모는 무게로 밀어붙일 수 없다. 과부하는 정지 2~3초 · 하강 3초 · 반복 수 확장으로.</t>
  </si>
  <si>
    <t>· 4일차 디클라인 케이블 플라이 3세트가 인클라인 머신 뒤 6번으로 왔다 — 사용자 요청. 흉근 9세트(헤머 3 · 인클라인 머신 3 · 디클라인 3). 27세트 · 약 67분.</t>
  </si>
  <si>
    <t>· 6일차 중량 크런치 3세트가 마지막(10번)으로 왔다. 복부 1·3·7일차. 데드 전날이라 가볍게 — 셋업에서 배 힘이 덜 들어가면 6일차로 되돌린다. 30세트 · 약 72분.</t>
  </si>
  <si>
    <t>· 디클라인 케이블 플라이 마지막 세트에 드롭 2단, +60초 (사용자 요청). 4일차 펙덱과 3일 간격. 머신 숄더 프레스에는 붙이지 않는다 — 복합 프레스이고, 전면 삼각근은 프레스 4종으로 이미 충분하며, 밀리터리 직후·벤치 3일 전이라 피로만 얹힌다.</t>
  </si>
  <si>
    <t>8일차 — 하체 B (고관절 지배)</t>
  </si>
  <si>
    <t>· 힙 힌지 · 둔근. 3일차 하체 A(무릎 지배)와 5일 간격. 다음 날은 9일차 어깨 — 척추 부하가 0인 고립 세션이라 사실상 회복일이다.</t>
  </si>
  <si>
    <t>메인: 데드리프트</t>
  </si>
  <si>
    <t>데드리프트 (본세트)</t>
  </si>
  <si>
    <t>광배·햄스트링·둔근</t>
  </si>
  <si>
    <t>사이클당 1회. 다음 날이 9일차 어깨(레터럴·리버스 플라이뿐이라 척추 부하 0)라 이 자리가 가장 안전하다. 기립근 보조는 1일차 덤벨 RDL이 맡는다. [2026-09-04 — 톱 1세트 + 백오프 2세트로 확장. 이 종목은 사이클당 5회 수행으로 +5kg를 올려 왔고, 노출 1회당 증량이 스쿼트(25회에 +5kg)의 5배였다. 5년 공백에서 폼을 다시 배우는 종목을 가장 적은 반복으로 밀고 있었다는 뜻이다. 톱세트 강도는 그대로 두고 반복 노출만 3배로 늘린다]</t>
  </si>
  <si>
    <t>트랩바 데드리프트 (요추 전단력 ↓) / 랙풀 (무릎 위에서 시작) / 스모 데드리프트</t>
  </si>
  <si>
    <t>데드리프트 (백오프)</t>
  </si>
  <si>
    <t>백오프 = 톱세트 − 5kg = 2주 전 톱세트 중량. 즉 모든 중량을 두 번 만난다 — 한 사이클은 톱으로 5회, 다음 사이클은 백오프로 10회. 중량 하나당 노출이 5 → 15회다. 여기는 기록이 아니라 폼 연습 자리다. 여유 있게 5회, 매 렙 셋업을 새로 잡을 것 — 무겁게 느껴지면 톱세트가 과했던 것이다. [2026-09-13 정정] 현장 복귀판에도 같은 구조를 넣었다 — 복귀_일_등에 톱 1 + 백오프 2. 복귀에서 상한인 것은 톱세트뿐이고, 백오프는 직전 사이클 중량이라 톱엔드 노출을 안 늘린다.</t>
  </si>
  <si>
    <t>힙 쓰러스트</t>
  </si>
  <si>
    <t>둔근 메인. 무겁게. 데드 뒤라 둔근이 예열된 상태</t>
  </si>
  <si>
    <t>힙 쓰러스트 머신 / 스미스 힙 쓰러스트 / 글룻 브릿지</t>
  </si>
  <si>
    <t>루마니안 데드리프트</t>
  </si>
  <si>
    <t>고관절 신전. 3일차 레그 컬(무릎 굴곡)과 기능이 다르다</t>
  </si>
  <si>
    <t>덤벨 RDL (좌우 독립) / 스티프 레그드 데드리프트 / 케이블 풀스루 (허리 부담 최소)</t>
  </si>
  <si>
    <t>원 레그 컬</t>
  </si>
  <si>
    <t>레그 컬의 좌우 독립 버전. 약한 쪽이 강한 쪽에 묻히지 않는다</t>
  </si>
  <si>
    <t>싱글 레그 라잉 컬 / 싱글 레그 시티드 컬 / 케이블 레그 컬</t>
  </si>
  <si>
    <t>수/토 3+3 분할. 데드·힙 이후라 대퇴가 예열된 상태에서 궤도 고정으로 확실히 간다 [2026-09-07 레그 익스텐션과 자리 바꿈 — 복합을 먼저, 고립 드롭을 마지막에]</t>
  </si>
  <si>
    <t>핵 스쿼트 / 레그 익스텐션 / 프론트 스쿼트 / 45도 레그 프레스</t>
  </si>
  <si>
    <t>레그 익스텐션</t>
  </si>
  <si>
    <t>대퇴사두 사이클당 2회를 만들기 위한 배치. 3일차 스쿼트 볼륨과 5일 간격 [2026-09-07 레그 프레스 뒤로 이동 + 마지막 세트 드롭 2단 — 실패 뒤 쉬지 않고 핀 20~30% 내려 두 번. 드롭으로 대퇴를 다 쓴 뒤 프레스를 하면 프레스 3세트가 죽어서 순서를 바꿨다. 세트 수 그대로, 증량 판정은 앞 세트로만. +75초는 O열]</t>
  </si>
  <si>
    <t>싱글 레그 익스텐션 / 시시 스쿼트 / 레그 프레스 발판 높게</t>
  </si>
  <si>
    <t>무릎 굽힘 — 가자미근 주도. 3일차 스탠딩(비복근)과 역할이 다르다</t>
  </si>
  <si>
    <t>시티드 카프 레이즈 머신 (1순위) / 레그 프레스에서 무릎 굽힌 채 / 덤벨을 무릎에 올리고</t>
  </si>
  <si>
    <t>· 레그 프레스 ↔ 레그 익스텐션 자리 바꿈 — 복합을 먼저, 고립을 마지막에. 익스텐션 마지막 세트에 드롭 2단, +75초 (사용자 요청). 드롭으로 대퇴를 다 쓴 뒤 프레스를 하면 프레스 3세트가 죽어서 순서를 바꿨다. 다음 하체는 3일차, 5일 뒤라 회복이 겹치지 않는다.</t>
  </si>
  <si>
    <t>9일차 — 어깨·팔 B</t>
  </si>
  <si>
    <t>측면 · 후면 · 전면 삼각근 + 하부 승모 + 흉근 상부 플라이 + 삼두 · 이두 · 전완 + 내전근·중둔근. 약 70분. 옛 8일차 어깨 세션의 절반 — 나머지 절반은 4일차 어깨·팔 A. 8일차 데드 다음 날이라 척추 부하 0은 그대로다. [2026-09-05] 인클라인 덤벨 플라이 3세트 추가(5번). 이너·아우터 타이·리스트 컬(손등 위)이 4일차에서 왔고 리버스 리스트 컬·리버스컬·시티드 카프는 4일차로, 케이블 힙 외전은 6일차로 갔다.</t>
  </si>
  <si>
    <t>리닝 원암 케이블 레터럴 레이즈</t>
  </si>
  <si>
    <t>기둥을 잡고 몸을 반대로 기울여 늘어난 위치부터 부하가 걸린다 — 머신·덤벨이 못 거는 구간이다. 좌우 각 2세트. 7일차에도 같은 종목이 있지만 5일 간격이라 겹치지 않는다.</t>
  </si>
  <si>
    <t>케이블 비하인드백 레터럴 / 로우 풀리 원암 레터럴 / 인클라인 벤치에 옆으로 누워 덤벨 레터럴</t>
  </si>
  <si>
    <t>인클라인 벤치 프론 리어 델트 레이즈</t>
  </si>
  <si>
    <t>가슴을 벤치에 대고 엎드려 상체를 고정한다 — 반동과 기립근 개입이 통째로 차단돼 후면만 남는다. 자유중량이라 궤도가 고정된 4번과 다른 안정화 요구가 붙는다. 아주 가볍게, 무게보다 정지 1초.</t>
  </si>
  <si>
    <t>프론 덤벨 리어 레이즈 (평벤치) / 시티드 벤트오버 덤벨 리어 레이즈 / 리버스 펙덱</t>
  </si>
  <si>
    <t>25</t>
  </si>
  <si>
    <t>[2026-09-04 신설] 전면삼각 직접이 6세트(7일차 밀리터리 3 + 머신 숄더 3)뿐이라 측면 18 · 후면 17에 견주면 얇았다. 9일 주기 전환으로 주당 9.7까지 내려와 이 자리를 만들었다. 레터럴·리어 6종목 뒤에 두는 이유: 앞에 두면 프레스 피로로 레이즈 중량이 눌린다. 여기 목적은 근력이 아니라 볼륨이므로 중량이 7일차보다 낮아도 된다.</t>
  </si>
  <si>
    <t>덤벨 숄더 프레스 / 스미스 오버헤드 프레스</t>
  </si>
  <si>
    <t>[2026-09-04 신설] 승모 하부 세 번째 자리. 7일차에서 0세트로 꺼져 있던 종목을 그쪽에서 켜고 여기에도 뒀다. 견갑 하강 + 상방회전. 엎드려 팔을 Y자로 — 중량보다 견갑이 먼저 움직이는지가 중요하다.</t>
  </si>
  <si>
    <t>인클라인 벤치 프론 Y / 케이블 로 투 하이 (한 팔)</t>
  </si>
  <si>
    <t>인클라인 덤벨 플라이</t>
  </si>
  <si>
    <t>[2026-09-05 신설 — 사용자 요청] 2일차 인클라인 플라이의 두 번째 자리. 같은 날 4일차 인클라인 스미스 4→3 · 7일차 인클라인 머신 6→3으로 프레스를 줄이고 플라이를 더한 것이라, 흉근 상부는 프레스 6 + 플라이 7 = 직접 13(2·4·7·9일차, 주당 9.1)이 된다. 프론 Y와 같은 인클라인 벤치에서 등을 대고 이어서 한다 — 세팅 이동 없음. 늘어난 구간에서 멈추지 말고 부드럽게 (2일차 메모와 같다). 데드 다음 날이지만 척추 부하 0이라 이 날의 성격은 그대로다. 흉근 합산은 천장(20)을 여전히 넘으므로(주당 21.7) 세트 질이 떨어지면 먼저 빼는 후보는 4일차 디클라인 케이블 플라이 3세트다.</t>
  </si>
  <si>
    <t>라잉 트라이셉스 익스텐션</t>
  </si>
  <si>
    <t>늘어난 구간 삼두 — 2일차에서 이동 (v18). 푸쉬다운 제외로 2일차 고정 사유가 소멸, 유일한 삼두 고립을 프레싱 전부 마친 뒤 마지막에. 팔꿈치 시큰하면 EZ바나 오버헤드 케이블로. (이 자리의 케이블 푸쉬다운은 v17 제외 — 삼두 간접 9로 충족)</t>
  </si>
  <si>
    <t>오버헤드 케이블 익스텐션 / 스컬크러셔 / EZ바 라잉 익스텐션</t>
  </si>
  <si>
    <t>인클라인 덤벨 컬</t>
  </si>
  <si>
    <t>1일차에서 옮겨 왔다 (2026-08-28). 그 날은 친업 4 + 랫풀다운 3으로 이두가 간접 3.5세트분 지친 뒤였는데, 이 날은 어깨만 치므로 이두가 완전히 신선하다. 같은 3세트라도 자극당 값이 다르다. 인클라인 벤치에 기대 팔을 뒤로 늘어뜨린다 — 이두 장두가 늘어난 위치에서 시작하는 것이 이 종목의 전부다. 6일차 프리쳐 컬(짧아진 구간)과 각도를 나눈다. 어깨를 앞으로 말면 늘어난 구간이 사라진다.</t>
  </si>
  <si>
    <t>케이블 컬 (뒤로 물러서서 스트레치 확보) / 스파이더 컬 (반대 각도) / 드래그 컬</t>
  </si>
  <si>
    <t>시티드 리스트 컬(손등 위)</t>
  </si>
  <si>
    <t>[2026-09-05 4일차 → 9일차 이동] 전완을 한 날에 몰지 않으려고 굴근·엎침(4일차 리버스 리스트 컬·리버스컬)과 날을 갈랐다 — 사용자 요청. 손목 신근. 타이핑으로 약해지는 쪽이라 비중을 더 준다</t>
  </si>
  <si>
    <t>케이블 리버스 리스트 컬 / 리버스 EZ바 컬 (상완요골근까지) / 덤벨로 한 손씩</t>
  </si>
  <si>
    <t>35</t>
  </si>
  <si>
    <t>[2026-09-05 4일차 → 9일차 이동] 3일차 바로 다음 날 같은 기구를 또 타는 게 부담스럽다는 요청. 내전근 3·9일차로 6일/4일 간격. 아우터 타이와 슈퍼세트(A)는 그대로. [2026-09-04 신설] 내전근을 성장 구간으로. 3일차에 4세트가 있지만 사이클당 1회라 모자랐다. 3일차와 같이 아우터 타이와 슈퍼세트로 묶는다 — 겸용 머신이라 패드만 뒤집으면 되어 전환이 10초고, 라운드 간 휴식은 아우터 쪽 105초가 맡는다. 길항근 쌍이라 서로의 피로를 나눠 갖지 않는다.</t>
  </si>
  <si>
    <t>와이드 스탠스 레그 프레스 / 케이블 힙 내전</t>
  </si>
  <si>
    <t>[2026-09-05 4일차 → 9일차 이동] 케이블 힙 외전과 같은 날이라 중둔근 8세트(세션 상한선) — 앉아서(여기)·서서(힙 외전)로 각도가 다르다. 3일차와 6일/4일 간격. [2026-09-04 신설] 중둔근을 성장 구간으로. 3일차 4세트 · 8일차 케이블 힙 외전 3세트에 이어 세 번째 자리. 이너 타이와 슈퍼세트(A) — 이 105초가 두 종목의 라운드 간 휴식이다.</t>
  </si>
  <si>
    <t>케이블 힙 외전 / 밴드 사이드 워크</t>
  </si>
  <si>
    <t>시티드 로우 3세트/ 그립 변경 3세트 추가</t>
  </si>
  <si>
    <t>어깨·팔 B (2026-09-04 4-1-4-1 전환)</t>
  </si>
  <si>
    <t>· 옛 8일차 어깨 세션을 둘로 나눈 뒤쪽 절반이다. 측면 1 · 후면 1 · 전면 1 · 하부 승모 1에 삼두(옛 6일차에서) · 전완 2종(옛 5일차에서) · 이두 · 종아리. 측면 2 · 후면 2 · 이너/아우터는 4일차로 갔다.</t>
  </si>
  <si>
    <t>· 세트는 한 개도 안 늘었다. 40 → 30이 된 것은 10세트가 4일차로 간 것이지 뺀 게 아니다.</t>
  </si>
  <si>
    <t>· 시간 균등화로 8일차 케이블 힙 외전 3세트가 왔다. 4일차 아우터 타이와 짝 — 중둔근이 3·4·9일차. 케이블이라 척추 부하는 없다.</t>
  </si>
  <si>
    <t>· 아래 서술은 통합 시절(옛 8일차 · 40세트 · 6종목 분할) 기준이라 세트 수와 종목 번호가 지금과 다르다. 기록으로 남긴다.</t>
  </si>
  <si>
    <t>· 실패지점 1~2회 남기고 멈춘다. 9일차는 6일차부터 이어진 연속 구간 한가운데라 여기서 회복을 깎으면 다음 사이클 앞머리가 밀린다.</t>
  </si>
  <si>
    <t>· 세트 간 휴식 60~80초. 소근육 고립이라 길게 쉴 이유가 없다. 본세트 기준 약 39분 (웜업 별도).</t>
  </si>
  <si>
    <t>· 이 세션에 메인 리프트는 없다. 무게를 올리는 날이 아니라 볼륨을 채우는 날이다.</t>
  </si>
  <si>
    <t>· 척추 부하가 0이라 8일차 데드리프트 다음 날 자리로 안전하다 — 그게 이 날이 여기 있는 이유다. 이두 컬이 붙어도 그 성질은 그대로다.</t>
  </si>
  <si>
    <t>· 척추 부하가 0이라 8일차 데드리프트 다음 날 자리로 안전하다 — 그게 이 날이 여기 있는 이유다.</t>
  </si>
  <si>
    <t>왜 프레스가 없는가</t>
  </si>
  <si>
    <t>· 볼륨 랜드마크 표에 전면 삼각근 행이 아예 없다 — 모든 프레스가 자동으로 채워주는 부위라 별도 하한을 잡지 않는다.</t>
  </si>
  <si>
    <t>· 실제로 전면은 벤치 · 밀리터리 · 머신 숄더 · 인클라인 · 딥스로 실질 11세트대다. 숄더 프레스를 더 넣으면 늘어나는 건 어깨가 아니라 삼두와 전면의 중복 피로다.</t>
  </si>
  <si>
    <t>왜 6종목으로 나눴는가</t>
  </si>
  <si>
    <t>· 한 세션 부위당 8~9세트가 이 프로그램의 상한인데, 여기서 후면이 9세트다. 상한에 정확히 걸쳐 있다.</t>
  </si>
  <si>
    <t>· 같은 종목 9세트는 뒤쪽 세트의 자극당 값이 떨어진다. 축을 셋으로 나눠 그 손해를 줄인 것이다 — 팔 편 수평 외전(4번) · 몸통 고정 자유중량(5번) · 팔 굽힌 당기기(6번).</t>
  </si>
  <si>
    <t>· 측면도 같은 이유로 셋이다 — 궤도 고정(1번) · 늘어난 구간(2번) · 굽힌 팔 당기기(3번).</t>
  </si>
  <si>
    <t>· 이상적인 배치는 아니다. 볼륨을 여러 날로 흩는 쪽이 낫지만, 2일차 26 · 7일차 26이 세션 상한이라 실을 자리가 없었다. 고립 소근육은 상한 예외지만 그건 이미 26에 닿은 날에 더 얹어도 된다는 뜻이 아니라, 팔 고립이 많은 날이 27이 되는 것을 허용한다는 뜻이다.</t>
  </si>
  <si>
    <t>배치 근거 (2026-08-28)</t>
  </si>
  <si>
    <t>· 측면 16 = 2일차 6 + 7일차 3 + 9일차 7. 후면 16 = 2일차 4 + 7일차 3 + 9일차 9. 사이클당 기준.</t>
  </si>
  <si>
    <t>· 주당 환산은 각 14다 (×7/8). MAV 하단(16)에 맞추려면 사이클당 18이 필요하고, 그러면 이 세션이 20세트가 된다. 거기까지는 가지 않았다.</t>
  </si>
  <si>
    <t>· 후면 간격: 2일차 → 7일차 4일 · 7일차 → 9일차 2일 · 9일차 → 다음 2일차 2일. 사이클당 3회.</t>
  </si>
  <si>
    <t>· 어깨 볼륨은 기존 일차를 건드리지 않고 전부 이 날에 넣었다. 이후 팔 재배치로 1일차 인클라인 덤벨 컬 3세트가 여기로 옮겨 왔고, 그 자리엔 케이블 푸쉬다운 3세트가 들어갔다 — 1일차 세트 수는 26 그대로다.</t>
  </si>
  <si>
    <t>되돌리는 법</t>
  </si>
  <si>
    <t>· 회복이 안 따라오면 E열 세트를 0으로 내린다. 조건부서식이 회색으로 접고 세트 합계 · 세트검산에서 자동으로 빠진다 — 시트를 지울 필요가 없다.</t>
  </si>
  <si>
    <t>· 전부 끄면 5일차에 이어 완전 휴식일이 하나 더 생긴다. 프로그램에서 가장 먼저 버릴 세션이 여기다.</t>
  </si>
  <si>
    <t>추가 (2026-09-05)</t>
  </si>
  <si>
    <t>· 인클라인 덤벨 플라이 3세트를 5번(프론 Y 뒤, 같은 인클라인 벤치)에 — 사용자 요청. 같은 날 4일차 인클라인 스미스 4→3 · 7일차 인클라인 머신 6→3을 사용자가 먼저 줄여 총량 238이었고, 여기 3을 더해 241 · 상한 244 · 잔여 3. 세션 33→36세트 · 67→74분.</t>
  </si>
  <si>
    <t>· 이너·아우터 타이 슈퍼세트(9·10번)와 리스트 컬(손등 위, 8번)이 4일차에서 왔고, 리버스 리스트 컬·리버스컬·시티드 카프는 4일차로 갔다 — 3일차 다음 날 같은 기구 부담. 데드 다음 날이지만 기구를 전날 안 썼고 다음 날이 휴식이다. 39세트 · 약 77분 — 프로그램에서 가장 많은 세트지만 전부 고립이다.</t>
  </si>
  <si>
    <t>· 케이블 힙 외전은 6일차로 갔다 — 중둔근을 3·6·9일차로 펴고 이 날을 70분으로. 36세트.</t>
  </si>
  <si>
    <t>간접 세트 계수 맵 — 세트검산 간접 열(C)의 계산 원천</t>
  </si>
  <si>
    <t>각 줄 = "이 종목이 → 이 근육에 → 계수만큼 기여". 원천세트는 일차 시트 E열(설계 볼륨)에서 이름 매칭으로 자동 산출, 간접세트 = 계수 × 원천세트. 세트검산 C열이 이 표를 근육별 SUMIFS로 합산한다. E열 설계 세트 변경 시 자동 갱신. (세트검산 표시값은 0.5 단위 반올림)</t>
  </si>
  <si>
    <t>이름 매칭 실패 줄 수 (0이어야 정상 — 0이 아니면 요일 시트에서 종목 이름이 바뀐 것이다)</t>
  </si>
  <si>
    <t>계수 규칙(상한 0.5):  0.5 = 명확한 협력근(능동 수축·신전, 큰 ROM) · 0.33 = 부분 협력(관여하나 비주도, 또는 저반복 본세트의 협력근) · 0.2 = 미미한 동적 관여 · 0 = 순수 그립·안정화·고장력 등척성(길이변화 작음 — 자극 없음).   파란 계수 = 수정 가능 · 출처 G = 프로그램 선언(초록) / C = Claude 추가(주황)</t>
  </si>
  <si>
    <t>원천 일차</t>
  </si>
  <si>
    <t>원천종목</t>
  </si>
  <si>
    <t>대상근육</t>
  </si>
  <si>
    <t>계수</t>
  </si>
  <si>
    <t>원천세트</t>
  </si>
  <si>
    <t>간접세트</t>
  </si>
  <si>
    <t>출처</t>
  </si>
  <si>
    <t>계수 근거</t>
  </si>
  <si>
    <t>D1_당기기A</t>
  </si>
  <si>
    <t>G</t>
  </si>
  <si>
    <t>뒤침 그립 — 이두가 가장 유리한 자리에서 능동 굴곡하고 실패 근처까지 간다. 당기기 → 이두 계수는 그립으로 정한다: 뒤침 0.5 · 뉴트럴 0.33 · 엎침 0.2 (2026-09-04 정리).</t>
  </si>
  <si>
    <t>엎침 그립(친업과 반대로 잡는 자리) — 굽히는 일은 주로 상완근·상완요골근이 한다. 당기기 → 이두 계수는 그립으로 정한다: 뒤침 0.5 · 뉴트럴 0.33 · 엎침 0.2 (2026-09-04 정리). 만약 뉴트럴 손잡이로 바꾸면 0.33.</t>
  </si>
  <si>
    <t>D6_당기기B</t>
  </si>
  <si>
    <t>엎침 그립 + 팔꿈치를 벌린 수평 로우 — 이두가 불리한 각도에 있고 실패는 등이 정한다. 당기기 → 이두 계수는 그립으로 정한다: 뒤침 0.5 · 뉴트럴 0.33 · 엎침 0.2 (2026-09-04 정리).</t>
  </si>
  <si>
    <t>좁은 뉴트럴 그립 — 이두와 상완근이 나눠 쓴다. 엎침(0.2)과 뒤침(0.5) 사이. 당기기 → 이두 계수는 그립으로 정한다: 뒤침 0.5 · 뉴트럴 0.33 · 엎침 0.2 (2026-09-04 정리).</t>
  </si>
  <si>
    <t>D2_밀기A</t>
  </si>
  <si>
    <t>프레스 중 삼두 신전 — 5×5 저반복 본세트라 가슴이 먼저 실패하고 삼두 유효반복이 적다. 보조 프레스는 0.5 유지 (2026-09-04 0.5→0.33)</t>
  </si>
  <si>
    <t>딥스는 삼두 스트레치+신전 강함</t>
  </si>
  <si>
    <t>D7_밀기B</t>
  </si>
  <si>
    <t>오버헤드 프레스 삼두 신전 — 5×5 저반복 본세트 하향. 머신 숄더(0.5)와 구분 (2026-09-04 0.5→0.33)</t>
  </si>
  <si>
    <t>프레스 중 삼두 신전</t>
  </si>
  <si>
    <t>D4_어깨팔A</t>
  </si>
  <si>
    <t>C</t>
  </si>
  <si>
    <t>프레스 중 삼두 신전 — 인클라인 벤치프레스 머신(0.5)과 같은 등급 (2026-09-04 신설)</t>
  </si>
  <si>
    <t>D9_어깨팔B</t>
  </si>
  <si>
    <t>컬 중 상완요골근 동적 굴곡 — 부분 협력</t>
  </si>
  <si>
    <t>상완요골근 동적 굴곡</t>
  </si>
  <si>
    <t>순수 그립 유지(스트랩 권장) — 성장 자극 없음</t>
  </si>
  <si>
    <t>벤치 중 전면삼각 능동 관여 — 수평 프레스의 전면삼각 비대 근거는 인클라인(0.5)만큼 확실하지 않다 (2026-09-04 0.5→0.33)</t>
  </si>
  <si>
    <t>인클라인은 전면삼각 관여 큼 — 인클라인 벤치프레스 머신(0.5)과 같은 등급 (2026-09-04 신설)</t>
  </si>
  <si>
    <t>인클라인은 전면삼각 관여 큼</t>
  </si>
  <si>
    <t>오버헤드 프레스 측면삼각 관여 — 5×5 본세트라 측면삼각이 자기 실패 근처에 못 간다 (2026-09-04 0.5→0.33)</t>
  </si>
  <si>
    <t>오버헤드 프레스 측면삼각 관여 — 밀리터리 본세트(0.33)와 같은 등급. 이전에는 이 행이 없었는데 제외 사유였던 '직접 전면삼각 분류'는 밀리터리에도 똑같이 해당돼 성립하지 않았다. 보조 종목이라 오히려 실패에 더 가깝다 (2026-09-04 신설)</t>
  </si>
  <si>
    <t>오버헤드 프레스 측면삼각 관여 — 7일차 같은 종목(0.33)과 동일 등급 (2026-09-04 신설)</t>
  </si>
  <si>
    <t>페이스풀 중 후면삼각 능동 수축</t>
  </si>
  <si>
    <t>Y레이즈 후면삼각 능동 관여 — 7일차 같은 종목(0.5)과 동일 등급 (2026-09-04 신설)</t>
  </si>
  <si>
    <t>Y레이즈 후면삼각 능동 관여</t>
  </si>
  <si>
    <t>넓은 그립 로우의 광배 관여 — 팔꿈치를 벌려도 상완 신전은 일어나므로 명확한 협력근. 주동근(능형·중부승모)은 요일 시트에서 직접으로 센다 (2026-09-04 전환)</t>
  </si>
  <si>
    <t>견갑 후인 능동 수축</t>
  </si>
  <si>
    <t>D8_하체B</t>
  </si>
  <si>
    <t>무릎 90° 고정이라 햄스트링이 짧아진 채 작동(능동부전) — RDL의 신장 부하와 같은 등급일 수 없다 (2026-09-04 0.5→0.2)</t>
  </si>
  <si>
    <t>힌지 — 햄스트링 준주동. 단 컨벤셔널은 바닥에서 무릎 신전이 먼저라 ROM이 RDL보다 작다 (2026-09-04 0.5→0.33)</t>
  </si>
  <si>
    <t>힌지 — 햄스트링 준주동</t>
  </si>
  <si>
    <t>D3_하체A</t>
  </si>
  <si>
    <t>고관절 신전 능동 — 강한 협력</t>
  </si>
  <si>
    <t>둔근 관여하나 스쿼트보다 부분적</t>
  </si>
  <si>
    <t>고관절 신전 — 준주동</t>
  </si>
  <si>
    <t>힌지 고관절 신전 능동</t>
  </si>
  <si>
    <t>힌지 고관절 신전</t>
  </si>
  <si>
    <t>고장력 등척성 — 척추 중립 받치기(길이변화 작음). 데드→광배(0)와 같은 근거이므로 0으로 통일 (2026-09-04 0.2→0)</t>
  </si>
  <si>
    <t>고장력 등척성 — 중량 받치기. 버티기만 하는 자극은 세지 않는다 (2026-09-04 0.2→0)</t>
  </si>
  <si>
    <t>RDL은 기립근 동적 신전·수축 — 등척성 아님</t>
  </si>
  <si>
    <t>스플릿 스쿼트 대퇴사두 동적 작동</t>
  </si>
  <si>
    <t>관상면 안정화 부하 — 부분 관여</t>
  </si>
  <si>
    <t>고장력 등척성 — 바를 몸쪽에 고정(길이변화 작음)</t>
  </si>
  <si>
    <t>대내전근은 고관절 신전근 — 깊은 스쿼트서 동적 작동. 단 둔근(0.5)과 동급은 과하고 레그프레스·불가리안(0.33)과 같은 등급 (2026-09-04 0.5→0.33)</t>
  </si>
  <si>
    <t>부분 관여</t>
  </si>
  <si>
    <t>단측 부하 부분 관여</t>
  </si>
  <si>
    <t>흉근 상/하는 H열에서 합산 판정 — 서로에게 간접을 얹으면 합산이 이중 계상된다 (2026-09-04 0.2→0)</t>
  </si>
  <si>
    <t>흉근 상/하 합산 판정이라 교차 계상 제거 (2026-09-04 0.2→0)</t>
  </si>
  <si>
    <t>로우 중 상부승모 약한 등척성 — 등척성은 0 (2026-09-04 0.2→0)</t>
  </si>
  <si>
    <t>오버헤드 상방회전 약한 관여</t>
  </si>
  <si>
    <t>고장력 등척성 견갑대 유지 — 등척성은 0 (2026-09-04 0.2→0)</t>
  </si>
  <si>
    <t>당기기 중 견갑 하강 약한 관여</t>
  </si>
  <si>
    <t>로우 중 하부승모 약한 관여</t>
  </si>
  <si>
    <t>리버스 펙덱 견갑 후인 — 능형·중부승모 부분 협력</t>
  </si>
  <si>
    <t>둔근 관여하나 스쿼트보다 부분적 (8일차 분할분)</t>
  </si>
  <si>
    <t>부분 관여 (8일차 분할분)</t>
  </si>
  <si>
    <t>오버헤드 프레스 삼두 신전 — 기존 프레스 삼두 엣지(0.5)와 일관</t>
  </si>
  <si>
    <t>오버헤드 프레스 삼두 신전 — 7일차 같은 종목(0.5)과 동일 등급 (2026-09-04 신설)</t>
  </si>
  <si>
    <t>체스트 프레스 삼두 신전 — 기존 프레스 삼두 엣지(0.5)와 일관</t>
  </si>
  <si>
    <t>딥스는 전면삼각 부차 관여 — 벤치 상부흉근(0.2)과 같은 약관여 등급</t>
  </si>
  <si>
    <t>수평 프레스 전면삼각 관여 — 벤치(0.33)와 같은 등급 (2026-09-04 0.5→0.33)</t>
  </si>
  <si>
    <t>엎침 그립이라 이두가 짧아진 자리에서 불리 — 일하는 건 주로 상완근이라 이두는 약자극 등급 (2026-09-04 0.33→0.2)</t>
  </si>
  <si>
    <t>견갑 후인 능동 수축 — 경부하 리어델트 종목이라 리버스 펙덱(0.33)과 같은 등급. 중량 로우(0.5)와 구분 (2026-09-04 0.5→0.33)</t>
  </si>
  <si>
    <t>팔꿈치를 어깨 높이로 올리는 궤적 — 상부승모 부분 협력. 레이즈 계열(계수 없음)과 다른 점이 이것이다</t>
  </si>
  <si>
    <t>견갑 후인 능동 수축 — 경부하 리어델트 종목이라 리버스 펙덱(0.33)과 같은 등급 (2026-09-04 0.5→0.33)</t>
  </si>
  <si>
    <t>컬 중 상완요골근 동적 굴곡 — 인클라인·프리쳐 컬(0.33)과 동일 등급</t>
  </si>
  <si>
    <t>힌지 — 본세트와 같은 동작이므로 같은 계수 (2026-09-04 0.5→0.33)</t>
  </si>
  <si>
    <t>고관절 신전 — 준주동. 본세트와 같은 계수</t>
  </si>
  <si>
    <t>고장력 등척성 견갑대 유지 — 본세트와 같은 계수 (2026-09-04 0.2→0)</t>
  </si>
  <si>
    <t>넓은 그립 로우의 광배 관여 — 해머 로우(0.5)와 같은 등급. 이전에는 이 종목이 광배 직접으로 잡혀 있어 간접 줄 자체가 없었다 (2026-09-04 신설)</t>
  </si>
  <si>
    <t>엎침 그립 + 팔꿈치를 벌린 수평 로우 — 해머 로우(0.2)와 같은 등급. 이전에는 이 종목의 이두 줄 자체가 없었다 (2026-09-04 신설). 당기기 → 이두 계수는 그립으로 정한다: 뒤침 0.5 · 뉴트럴 0.33 · 엎침 0.2 (2026-09-04 정리).</t>
  </si>
  <si>
    <t>D핸들 뉴트럴 그립 — 당기기 → 이두 계수는 그립으로 정한다: 뒤침 0.5 · 뉴트럴 0.33 · 엎침 0.2. 랫풀다운 4세트를 양팔 2(엎침 0.2) + 원암 2(뉴트럴 0.33)로 나누며 신설 (2026-09-05).</t>
  </si>
  <si>
    <t>D핸들 뉴트럴 그립 — 시티드 케이블 로우(좁은 뉴트럴 0.33)와 같은 등급. 시티드 케이블 로우 5세트를 양팔 3 + 원암 2로 나누며 신설 (2026-09-05).</t>
  </si>
  <si>
    <t>견갑 후인 능동 수축 — 시티드 케이블 로우(0.5)와 같은 등급. 한 팔씩이라 몸통 회전이 섞이지만 후인은 그대로 일어난다 (2026-09-05 신설).</t>
  </si>
  <si>
    <t>근육군별 주간 세트 — 검산</t>
  </si>
  <si>
    <t>■ 사이클 총량 예산 — 늘리려면 먼저 어딘가에서 빼라</t>
  </si>
  <si>
    <t>세트는 근육군 단위로 센다. '하체 20세트'는 의미 없는 숫자 — 대퇴 18 / 햄스트링 2여도 하체 20이 된다. 집계는 일차 시트 E열(설계 세트) 기준이며 B~D열은 사이클당(주기 길이는 H2) 값이다. 판정(E열)은 J열의 주당 환산(사이클당 × 7/주기)으로 한다 — 볼륨 랜드마크가 주 단위이기 때문이다. 간접·실질은 0.5 단위 반올림으로 표시한다 — 메모의 계산 원값과 ±0.25 이내 차이가 날 수 있다.</t>
  </si>
  <si>
    <t>주기(일)</t>
  </si>
  <si>
    <t>총량 상한</t>
  </si>
  <si>
    <t>현재 총량</t>
  </si>
  <si>
    <t>잔여 예산</t>
  </si>
  <si>
    <t>실제 주당</t>
  </si>
  <si>
    <t>상태</t>
  </si>
  <si>
    <t>직접 세트</t>
  </si>
  <si>
    <t>간접 추정</t>
  </si>
  <si>
    <t>실질</t>
  </si>
  <si>
    <t>판정</t>
  </si>
  <si>
    <t>간접 출처 / 비고</t>
  </si>
  <si>
    <t>플랫 벤치의 쇄골지 관여(0.2)를 2026-09-04에 0으로 내렸다. 흉근 상/하는 H열에서 합산 판정하므로 서로에게 간접을 얹으면 합산이 이중 계상된다.</t>
  </si>
  <si>
    <t>흉근 합산(상+중하)</t>
  </si>
  <si>
    <t>인클라인 머신의 중하부 관여(0.2)를 2026-09-04에 0으로 내렸다(흉근 상/하 교차 계상 제거).</t>
  </si>
  <si>
    <t>직접 12세트: 1일차 친업 4 · 랫풀다운 4 · 6일차 시티드 케이블 로우 4(좁은 그립). 간접은 넓은 그립 로우 2종(바벨 로우 · 해머 로우) 각 0.5 — 2026-09-04에 주동근을 능형·중부승모로 옮기며 협력근으로 내려왔다. 데드리프트의 광배 등척성은 0.</t>
  </si>
  <si>
    <t>등</t>
  </si>
  <si>
    <t>밀리터리 0.2 · 9일차 와이드 그립 업라이트 로우 0.33. 2026-09-04에 등척성 행(해머 로우 · 데드 본세트 · 백오프, 각 0.2)을 0으로 내렸다 — 견갑대를 버티기만 하는 자극은 세지 않는다. 하한 미달 자체는 증액 근거가 아니다 — 늘리려면 총량 예산(J2) 안에서 다른 종목과 교환한다.</t>
  </si>
  <si>
    <t>친업 0.2×4=0.8 + 해머 로우 0.2×4=0.8 = 1.6 — 견갑 하강은 동작 개시 관여라 약계수</t>
  </si>
  <si>
    <t>직접 15세트: 1일차 넓은 그립 바벨 로우 4 · 페이스풀 3 · 6일차 넓은 그립 해머 로우 4 · 스캡 슈러그 4. 간접은 시티드 케이블 로우 0.5 · 리어델트 계열(리버스 펙덱 · 케이블 리버스 플라이 · 리어 델트 로우) 0.33. 2026-09-04에 넓은 그립 로우 2종이 간접 0.5에서 직접으로 올라왔다 — 팔꿈치를 벌린 수평 로우의 주동근은 견갑 후인근이다.</t>
  </si>
  <si>
    <t>8일차 RDL 0.5(동적 신전·수축)뿐. 2026-09-04에 스쿼트·트랩바 슈러그의 등척성 행(0.2)을 0으로 내렸다. 기립근은 스쿼트·데드에서 피로는 크게 받지만 버티기만 해서는 자라지 않는다 — 동적 힌지가 유일한 자극원이다.</t>
  </si>
  <si>
    <t>인클라인 머신 0.5(전면삼각 편향 큼) · 벤치 0.33 · 헤머 체스트 0.33 · 딥스 0.2. 2026-09-04에 수평 프레스를 0.5→0.33으로 내렸다. [2026-09-04 9일차 머신 숄더 프레스 3세트 신설 — 직접 6→9] 처음에는 2026-08-28 판단(RP 표에 전면 삼각근 행이 없다 · 프레스로 자동 충족)을 근거로 안 넣었는데, 같은 날 벤치·헤머 체스트의 전면삼각 계수를 0.5→0.33으로 내려놓고 그렇게 줄어든 간접을 근거로 직접을 생략한 것이라 앞뒤가 안 맞았다. 나머지 여섯 부위에는 안 쓴 잣대를 여기만 쓴 셈이기도 하다.</t>
  </si>
  <si>
    <t>오버헤드 프레스 두 종목 모두 0.33 — 밀리터리 본세트(2026-09-04 0.5에서 하향, 5×5라 측면삼각이 자기 실패 근처에 못 간다)와 머신 숄더 프레스(2026-09-04 신설). 머신 숄더만 행이 없었는데, 제외 사유였던 '직접 전면삼각 분류'는 밀리터리에도 똑같이 해당돼 성립하지 않았다 — 보조 종목이라 실패에 더 가까이 가는 쪽이 오히려 0이던 것을 바로잡았다. 직접 세트가 두터워 판정에는 영향 없음.</t>
  </si>
  <si>
    <t>페이스풀(1일차) 0.5×3=1.5 + 프론 Y(7일차) 0.5×2=1.0 = 2.5. 후면삼각은 프레스로 안 자라 직접 16세트로 별도 확보 — 2일차 리버스 펙덱 4 · 7일차 벤트오버 3 · 9일차 3종목 9 (케이블 리버스 플라이 3 · 인클라인 프론 리어 레이즈 3 · 리어 델트 로우 3). 사이클당 3회, 주당 환산 14.</t>
  </si>
  <si>
    <t>하체(대퇴·햄·종아리)</t>
  </si>
  <si>
    <t>덤벨 RDL 0.5 · 데드 본세트/백오프 0.33 · 힙 쓰러스트 0.2. 2026-09-04 하향: 힙 쓰러스트는 무릎 90° 고정이라 햄스트링이 짧아진 채 작동(능동부전)해 RDL의 신장 부하와 동급일 수 없고, 컨벤셔널 데드는 ROM이 RDL보다 작다.</t>
  </si>
  <si>
    <t>스쿼트 0.5×5=2.5 + 데드 본세트 0.5×1=0.5 + 데드 백오프 0.5×2=1 + RDL(8일차) 0.5×3=1.5 + 덤벨 RDL(1일차) 0.5×3=1.5 + 레그 프레스(수·토) 0.33×6=1.98 = 8.98</t>
  </si>
  <si>
    <t>불가리안 0.33×3=0.99 — 한 다리 지지 관상면 안정화. 스쿼트·레그프레스는 양측 지지라 계수 없음</t>
  </si>
  <si>
    <t>직접 세트 내역: 3일차 스탠딩 카프 3 (무릎 편 상태 — 비복근) · 8일차 시티드 카프 3 (무릎 굽힘 — 가자미근). 간접 출처는 없음 — 스쿼트·레그프레스의 발목 관여는 실패지점 근처까지 가지 않아 0으로 둔다.</t>
  </si>
  <si>
    <t>당기기 5종목을 그립별로 나눠 센다 — 친업(뒤침) 0.5 · 시티드 케이블 로우(좁은 뉴트럴) 0.33 · 랫풀다운 · 해머 로우 · 바벨 로우(모두 엎침) 각 0.2 · 리버스컬 0.2. 2026-09-04 정리: 엎침 그립에서 팔꿈치를 굽히는 건 주로 상완근·상완요골근이라 리버스컬에 쓴 잣대(0.2)를 당기기 전체에 맞췄다. 바벨 로우는 이전에 줄 자체가 없어 이때 신설. 컬은 셋 다 당기기 간접이 안 걸린 자리에 둔다(어깨·팔 A · 당기기 B는 프리쳐만 · 어깨·팔 B — 2026-09-04 4-1-4-1 전환 후). [2026-09-05] 원암 랫풀다운 · 원암 케이블 로우(D핸들 뉴트럴) 0.33 신설 — 랫풀다운 4 → 양팔 2 + 원암 2, 시티드 로우 5 → 양팔 3 + 원암 2로 나누며.</t>
  </si>
  <si>
    <t>딥스 · 인클라인 머신 · 머신 숄더 · 헤머 체스트 각 0.5 · 벤치 본세트 · 밀리터리 본세트 0.33. 2026-09-04에 두 메인 본세트를 0.5→0.33으로 내렸다 — 5×5 저반복이라 주동근이 실패를 결정하고 삼두 유효반복이 적다. 보조 프레스는 0.5 유지.</t>
  </si>
  <si>
    <t>바벨 컬(2일차) · 프리쳐 컬(6일차) · 인클라인 덤벨 컬(9일차) 0.33×각3 = 2.97. 리버스컬(6일차)은 상완요골근 주동이라 간접이 아니라 직접 전완 3세트로 센다. 순수 그립(데드·로우·친업·트랩바)은 규칙상 0 — 성장 자극 없음</t>
  </si>
  <si>
    <t>직접 13세트: 1일차 라잉 레그 레이즈 4(굴곡 하부) · 케이블 트렁크 로테이션 3(회전) · 3일차 앱휠 롤아웃 3(항신전) · 6일차 중량 크런치 3(굴곡 상부). 네 축이 다 찼다. 스쿼트 · 데드의 코어 브레이싱은 등척성 안정화이며 실패지점 근처까지 가지 않아 간접 0.</t>
  </si>
  <si>
    <t>스쿼트 · 레그 프레스 · 불가리안 모두 0.33. 2026-09-04에 스쿼트를 0.5→0.33으로 내려 세 종목을 같은 등급으로 맞췄다 — 대내전근이 고관절 신전근인 건 맞지만 둔근(0.5)과 동급은 과하다. 성장이 아닌 유지 목적 항목.</t>
  </si>
  <si>
    <t>직접 세트 총계</t>
  </si>
  <si>
    <t>기준선</t>
  </si>
  <si>
    <t>· 주 10~20세트 = 성장 구간. 사이클당 세트를 그대로 쓰면 안 되고, J열의 주당 환산(×7/주기 · 주기 길이는 H2)으로 판정한다.</t>
  </si>
  <si>
    <t>· 주 8세트 = 유지 하한 (역시 주당 환산 기준).</t>
  </si>
  <si>
    <t>· 실패지점 2~3회 이내 세트만 카운트 (웜업 · 여유 세트 제외)</t>
  </si>
  <si>
    <t>따로 세야 하는 경우</t>
  </si>
  <si>
    <t>· 판단 기준은 하나 — 다른 종목이 그 부위를 대신 키워주는가.</t>
  </si>
  <si>
    <t>· 안 키워주면 따로 센다: 햄스트링(스쿼트로 안 자람), 후면 삼각근(프레스로 안 자람), 종아리</t>
  </si>
  <si>
    <t>· 키워주면 합쳐 판단한다: 흉근 상/하, 광배 상/하 — 하나의 근육이며 함께 수축한다. 표의 상/하 분리 행은 분포 점검용이며, 총량·상한 판단은 합산 기준으로 본다 (흉근 합산은 H5에 상시 표시 — 현재 직접 16 · 실질 18).</t>
  </si>
  <si>
    <t>부위별 이력 · 미결 항목</t>
  </si>
  <si>
    <t>· 종아리 (2026-08): 3일차 스탠딩 카프 3 + 8일차 시티드 카프 3 = 사이클당 6세트 · 주당 환산 5.3 — 유지 하한(8) 미달. 올리려면 총량 예산 안에서 교환한다.  |  후면 삼각근 (2026-08-28 해소): 직접 7 → 10세트. 9일차 어깨 세션 신설로 MEV(8) 통과.</t>
  </si>
  <si>
    <t>· 9일 주기 (A블록 3일 · 휴식 · B블록 3일 · 어깨+약점 · 휴식). 서술상 계보: 5일 147 → 재편 159 → v17 143 → v18 140 → 6일차 리버스컬 3 → 9일차 어깨 7. 다만 E열 실측은 162다 (2026-08-28 확인).</t>
  </si>
  <si>
    <t>· 하부 승모: 프론 Y(하강+후인) 2 + 오버헤드 슈러그(상방회전) 3 = 직접 5. 스캡 풀업(하강)은 v18에서 1일차 웜업으로 전환 — 패턴은 매주 유지되나 카운트 제외.</t>
  </si>
  <si>
    <t>· 중둔근·종아리는 하한(8) 미달이지만 성장이 아닌 유지 목적 — 계수 0으로 둔 양측 지지 안정화 자극(스쿼트·레그프레스)까지 감안한 판단이다. 내전근은 실질 10으로 충분에 진입 (v14).</t>
  </si>
  <si>
    <t>· 승모(중부)·능형근 보강 (2026-08): 직접 종목이 6일차 켈소 슈러그 3세트뿐이라 사이클당 1회였다. 켈소는 받침 벤치가 필요해 시티드 케이블 로우 스캡 슈러그로 교체하고, 1일차에 페이스풀 3세트를 추가해 직접 6세트 · 사이클당 2회 확보. 총 직접 세트 162 — E열 실측 (v18 + 6일차 리버스컬 3 + 9일차 어깨 7).</t>
  </si>
  <si>
    <t>· 승모(상부) 신설 (2026-08): 이전에는 항목 자체가 없었다. 6일차 트랩바 슈러그 2세트 — 사이클당 1회. 7일차 오버헤드 슈러그는 승모 하부·상방회전이라 대체가 아니라 별개 근육이므로 그대로 유지. 실질 3.6 — 하한 미만 — 자극이 부족하면 D2_밀기A 2세트가 후보다 — 다만 총량 예산 안에서 교환할 때만.</t>
  </si>
  <si>
    <t>· 서술 ↔ E열 불일치 (2026-08-28 발견): 남은 두 칸 — 1일차 바벨 로우 3(v18 웜업 전환) · 7일차 헤머스트랭스 체스트 프레스 3(v17 제외). 메모는 제외인데 E열에 세트가 남아 있다. 둘 다 0으로 내리면 사이클당 168. 2일차 디클라인 케이블 플라이는 바벨 컬을 넣으며 해소했다.</t>
  </si>
  <si>
    <t>· 간접계수 하향 (2026-09-04): 관대하게 잡힌 19행을 내렸다. ① 등척성 버티기(스쿼트·슈러그·데드→기립근/상부승모)를 0.2→0 — 직접 세트에 쓰는 '실패지점 2~3회' 잣대를 간접에도 적용. ② 경부하 리어델트→중부승모 0.5→0.33. ③ 힙 쓰러스트→햄스트링 0.5→0.2(능동부전). ④ 수평 프레스→전면삼각, 스쿼트→내전근, 5×5 본세트→삼두/측면삼각 0.5→0.33. 간접 총합이 실제 수행 세트 대비 38%→32%로 내려왔다(2026-09-04 기준). 판정 변화는 기립근·내전근 둘뿐 — 둘 다 하한→보완 필요.</t>
  </si>
  <si>
    <t>· 9일 주기 전환 · 약점 보강 (2026-09-04): 9일차 뒤에 휴식을 넣어 9일 주기가 됐다. 이유는 D8을 키우려서가 아니라 5→6→7→8→1→2→3으로 7일 연속 훈련이었기 때문이다(휴식이 당시 4일차 하나뿐이었다). 그날 3연속·휴식·4연속·휴식이 됐고, 같은 날 저녁 10일 4-1-4-1로 다시 바꿨다 — 주간계획 참조. 대신 판정 분모가 ×7/8에서 ×7/9로 바뀌어 모든 부위가 11% 내려가므로, 부족했던 7개를 성장 구간(주당 10)까지 올렸다 — 흉근(상부)·승모(하부)·중둔근·종아리·복부·내전근 여섯은 도달, 기립근은 하한권에 남았다(아래 참조). 배치 원칙: 하체날(3·8일차)은 이미 가장 긴 세션(77분·80분)이라 한 세트도 얹지 않았다. 추가분은 전부 고립 종목(실측 1.9분/세트)이라 시간이 싸고, 가장 가벼웠던 9일차(41분)가 절반을 흡수했다. 세션 상한도 세트 수(26)가 아니라 시간 80분으로 바꿔 읽는다 — 9일차는 35세트지만 66분으로 8일차 27세트 80분보다 가볍다.</t>
  </si>
  <si>
    <t>· 기립근 해결 (2026-09-04): 고립 종목이 없어 1일차 덤벨 RDL 3→6으로 버티다가 하한(주당 8.2)에 그쳤었다. 백 익스텐션(45도)을 쓸 수 있다는 확인을 받고 1일차·6일차에 3세트씩 넣고 덤벨 RDL은 3으로 되돌렸다. 직접 12 · 주당 10.5로 성장 구간. 힌지를 늘리는 대신 전용 종목을 둔 것이라 척추 부하는 오히려 줄었다. 수행은 척추 신전 강조 — 힌지식으로 하면 주동근이 둔근·햄스트링으로 바뀐다.</t>
  </si>
  <si>
    <t>· 견갑 프라이밍 웜업 — 1일차 스캡 풀업 2 (하강) · 2·7일차 케이블 외회전 2씩 · 6일차 밴드 풀 어파트 2 (후인). 네 상체일 전부 그날 패턴의 웜업 보유. (1일차 페이스풀은 실제 부하 카운트 세트이므로 여기서 제외)</t>
  </si>
  <si>
    <t>· 근육군 표에 넣지 않는 이유: 실패지점 근처까지 가지 않는 웜업 세트는 카운트 대상이 아니다.</t>
  </si>
  <si>
    <t>· 벤트오버 레터럴 4세트와 리버스 펙덱은 수평 외전이라 외회전을 대신하지 못한다 — 부하가 걸린 외회전 종목은 1일차 페이스풀 3세트가 유일 (이전에는 직접 0세트).</t>
  </si>
  <si>
    <t>· 벤치 5×5가 최우선 종목이고 12주간 계속 오른다. 근비대가 아니라 어깨 관절 유지 목적.</t>
  </si>
  <si>
    <t>· 넓은 그립 로우 라벨 정정 (2026-09-04): 바벨 로우(1일차) · 해머 로우(6일차)를 광배 → 승모(중부)·능형근으로 옮겼다. 주동근을 정하는 것은 그립 폭이 아니라 팔꿈치 경로이며, 팔꿈치를 벌린 수평 로우는 견갑 후인이 주동이고 광배는 협력근이다. 수행 세트는 한 개도 바뀌지 않았고 장부만 맞춘 것이다. 부수 효과 둘 — ① 1일차 광배가 12세트에서 8세트로 내려와 세션 부위당 상한(8~9)을 지키게 됐다. ② 넓은 그립 바벨 로우 4세트가 상부등 집계에 전혀 안 잡혀 있던 구멍이 메워졌다. 복귀판(평일A 해머 로우 · 일요일 스미스 바벨 로우)에도 같은 정정을 적용했다.</t>
  </si>
  <si>
    <t>· 당기기 → 이두 계수 그립별 정리 (2026-09-04): 당기기 4종목이 그립과 무관하게 일괄 0.5였다. 리버스컬을 0.2로 내리며 세운 근거(엎침 그립에서는 상완근·상완요골근이 주로 굽힌다)를 당기기에도 적용해 뒤침 0.5 · 뉴트럴 0.33 · 엎침 0.2로 나눴고, 줄이 없던 바벨 로우를 0.2로 신설했다. 이두 주당 15.6 → 13.6 — 판정은 충분 그대로다. 복귀판도 같이 정리했다(랫풀다운이 언더그립이라 거기선 0.5 유지). 남은 질문: 엎침 로우가 상완요골근을 동적으로 굽히는 만큼 전완에 간접을 붙일지는 아직 안 정했다. 지금 규칙의 "로우는 순수 그립이라 0"은 정적 파지를 뜻하므로 서로 모순은 아니다.</t>
  </si>
  <si>
    <t>· 펙덱 플라이 신설 (2026-09-04): 7일차 인클라인 벤치프레스 머신 뒤에 3세트. 흉근(중하부) 직접 15 → 18 · 주당 14.0, 흉근 합산 28 → 31 · 주당 24.1로 천장(20)을 넘겼다 — 2일차에 이어 7일차도 예외 처리다. 7일차는 34세트 84분으로 시간 상한(80분)도 4분 넘는다. 2일차(33세트 82분·흉근 19세트)보다 여유 있는 날을 고른 결과이며 사용자가 두 초과를 알고 선택했다. 되돌릴 때 먼저 빼는 것은 2일차 디클라인 케이블 플라이 3세트. 간접계수맵에는 줄을 넣지 않았다 — 재택 맵은 플라이 계열에 전면삼각 줄을 두지 않는다(인클라인 덤벨 플라이도 없다).</t>
  </si>
  <si>
    <t>· 백 익스텐션 순서 변경 (2026-09-04): 기구가 옆 체육관에 있다는 것이 확인돼 1일차·6일차 모두 세션 맨 마지막 종목으로 내렸다(각각 덤벨 RDL · 중량 크런치와 자리 교환). 순서만 바꾼 것이라 세트 수 · 부위 볼륨 · 세션 시간은 전부 그대로다 — 기립근 직접 12 · 주당 10.5 유지. 앞으로 이 두 날에 종목을 추가할 때 백 익스텐션 뒤에 붙이지 말 것.</t>
  </si>
  <si>
    <t>· 복부 회전 축 신설 · 크런치 분산 (2026-09-04): 6일차 중량 크런치 6세트를 3으로 내리고 1일차에 케이블 트렁크 로테이션 3세트를 넣었다. 총량 13 · 주당 10.1 불변이고 자리만 옮긴 것이다. 계기는 "한 번에 6세트는 빡세다"였고, 실제로 한 세션 한 종목 6세트는 9일차 후면삼각을 3종목으로 쪼갠 원칙과 어긋나 있었다. 겸사겸사 비어 있던 네 번째 축(회전)이 채워졌다 — 그전까지 굴곡 상·하와 항신전 셋뿐이었다. 9일차가 아니라 1일차인 이유: 9일차는 데드(8일차) 다음 날이고 "척추 부하 0"이 그 날의 설계 근거라 회전 부하를 얹지 않았다. 1일차는 10일차 휴식 다음 날이라 척추가 가장 신선하다. 시간은 1일차 75.8 → 82.3분 · 6일차 82.0 → 77.0분으로 맞바꿨다. 앉아서 하는 트렁크 로테이션 머신은 쓰지 않는다 — 골반이 고정돼 회전이 요추에 몰린다.</t>
  </si>
  <si>
    <t>상한 변경 이력 — 총량 상한(J2)을 고칠 때마다 한 줄 남긴다</t>
  </si>
  <si>
    <t>날짜</t>
  </si>
  <si>
    <t>이전</t>
  </si>
  <si>
    <t>이후</t>
  </si>
  <si>
    <t>근거</t>
  </si>
  <si>
    <t>무엇을 뺐나</t>
  </si>
  <si>
    <t>최초 설정 — v19 현재 총량을 그대로 예산으로 고정</t>
  </si>
  <si>
    <t>10일 주기(4-1-4-1) 전환 — 상한 불변. 주당 환산 185.9→167.3은 분모가 9→10이 된 산술이지 감축이 아니다</t>
  </si>
  <si>
    <t>없음 — 종목 12개 이동, 세트 0 변동</t>
  </si>
  <si>
    <t>등(광배 · 승모중부) 4종목 각 +1, 흉근상부 인클라인 스미스 +1 — 사용자 판단. 같은 날 15종목 +1을 넣었다가 잠금(잔여 −15)에 걸려 10은 되돌렸다</t>
  </si>
  <si>
    <t>총량 예산 — 운용 규칙</t>
  </si>
  <si>
    <t>· 세트를 늘리려면 같은 수를 다른 종목에서 뺀다. 잔여 예산(H3)이 음수면 프로그램 전체가 INVALID다.</t>
  </si>
  <si>
    <t>· 판정 열의 "유지 미만"은 정보이지 지시가 아니다. 하한 미달은 그 자체로 증액 근거가 되지 못한다.</t>
  </si>
  <si>
    <t>· 주기를 바꿀 때는 H2 한 칸만 고친다. 모든 판정이 내려앉지만 잔여 예산은 그대로라 세트는 안 붙는다.</t>
  </si>
  <si>
    <t>· 총량 상한(J2)을 올리는 것은 자유지만 상한 변경 이력에 한 줄 남긴다 — 근거와 무엇을 뺐는지까지.</t>
  </si>
  <si>
    <t>· 배분은 안 잠근다. 총량이 같다면 부위 간 이동은 자유다 — 문제가 된 것은 배분이 아니라 총량이었다.</t>
  </si>
  <si>
    <t>· 증액 근거는 기록이다. 증량기록 L·M열(다음날 피로 · 관절)이 3사이클 쌓이기 전에는 근거가 없다.</t>
  </si>
  <si>
    <t>메인 리프트 증량 기록 — 주 단위 (2026-09-13 전환)</t>
  </si>
  <si>
    <t>매주 한 줄. 목표 반복을 채우면 다음 주에 오르고, 못 채우면 그 주 칸에 반복수나 X를 적어 그 중량을 한 번 더 든다. 못 끼우는 값(5로 나눈 나머지 4)은 자동으로 1kg 올라가므로 계단이 +2와 +3을 오간다 — 평균이 위 증량 폭이다.</t>
  </si>
  <si>
    <t>증량 설정 — 종목별</t>
  </si>
  <si>
    <t>증량 주기(주)</t>
  </si>
  <si>
    <t>데드리프트 주당 증량 (kg)</t>
  </si>
  <si>
    <t>매주 +2 → 못 끼우는 값에서 +3이 되므로 평균 주 2.5kg</t>
  </si>
  <si>
    <t>스쿼트 주당 증량 (kg)</t>
  </si>
  <si>
    <t>매주 +2 → 평균 주 2.5kg. 사이클(2주 5kg) 때와 같은 기울기다</t>
  </si>
  <si>
    <t>벤치프레스 주당 증량 (kg)</t>
  </si>
  <si>
    <t>매주 +1 → 평균 주 1.25kg. 한쪽 0.5kg이 봉 전체 1kg이라 이게 최소 계단</t>
  </si>
  <si>
    <t>밀리터리 프레스 주당 증량 (kg)</t>
  </si>
  <si>
    <t>격주 +1 → 평균 주 0.6kg. 매주 올리면 1.25kg이라 지금 속도의 2.5배가 된다</t>
  </si>
  <si>
    <t>스쿼트 목표</t>
  </si>
  <si>
    <t>미달 시 반복수</t>
  </si>
  <si>
    <t>데드 목표</t>
  </si>
  <si>
    <t>벤치 목표</t>
  </si>
  <si>
    <t>프레스 목표</t>
  </si>
  <si>
    <t>다음날 피로 0~5</t>
  </si>
  <si>
    <t>관절 이상</t>
  </si>
  <si>
    <t>[2026-09-13] 사이클(2주에 5kg) → 주 단위(매주 2~3kg) 전환. 이 줄이 전환 시점 중량이다. 1~5주차는 재택 사이클로 지나간 구간이라 표에 없다. [이전 기록] [2026-09-05] 6일차를 하루 미룸 — 늦게 일어나 갔더니 헬스장이 닫혀 있었다. 실제 1일차는 08-31이었으나 앱 달력 기준을 09-01로 당겨 적어 09-06이 6일차가 되게 했다(이 사이클만 11일, 다음 사이클 1일차 09-11).</t>
  </si>
  <si>
    <t>18주차</t>
  </si>
  <si>
    <t>19주차</t>
  </si>
  <si>
    <t>20주차</t>
  </si>
  <si>
    <t>21주차</t>
  </si>
  <si>
    <t>22주차</t>
  </si>
  <si>
    <t>23주차</t>
  </si>
  <si>
    <t>24주차</t>
  </si>
  <si>
    <t>25주차</t>
  </si>
  <si>
    <t>26주차</t>
  </si>
  <si>
    <t>27주차</t>
  </si>
  <si>
    <t>28주차</t>
  </si>
  <si>
    <t>29주차</t>
  </si>
  <si>
    <t>30주차</t>
  </si>
  <si>
    <t>31주차</t>
  </si>
  <si>
    <t>32주차</t>
  </si>
  <si>
    <t>33주차</t>
  </si>
  <si>
    <t>34주차</t>
  </si>
  <si>
    <t>35주차</t>
  </si>
  <si>
    <t>· 공란 또는 O = 계획대로 증량. 그 밖의 입력(반복수 · X) = 그 중량을 다음 주에도 유지.</t>
  </si>
  <si>
    <t>· 6주차 중량은 '시작중량_설정' 시트 D열과 연동됨. 여기서 직접 수정하지 말 것.</t>
  </si>
  <si>
    <t>· 같은 종목에 X가 3주 연속이면 그 종목만 10%% 디로드 후 재상승.</t>
  </si>
  <si>
    <t>· 증량폭을 종목별로 나눈 이유: 절대값이 같아도 부담이 전혀 다르다.</t>
  </si>
  <si>
    <t>· 26kg 프레스에 1kg은 3.8% 증가지만, 105kg 데드에 2.5kg은 2.4%다. 프레스만 격주인 것이 그 때문이다 — 매주 올리면 주 1.25kg으로 지금의 2.5배가 된다.</t>
  </si>
  <si>
    <t>· 균일 증량을 쓰면 작은 종목만 비현실적으로 빨리 오르고 큰 종목은 제자리에 머문다.</t>
  </si>
  <si>
    <t>· 하체 주 2.5kg이 커 보이지만 복귀 구간 첫 두세 달은 정상 범위다. 근력을 새로 만드는 것이 아니라 되찾는 구간이기 때문.</t>
  </si>
  <si>
    <t>· 이 속도가 버거워지면(X가 반복되면) 위 증량 폭을 절반으로 내리거나 증량 주기를 2로 바꾼다.</t>
  </si>
  <si>
    <t>· 미달 시 반복수: X 대신 마지막 세트에서 실제로 나온 횟수를 적는다. 5회 목표에 4와 2는 전혀 다른 신호다.</t>
  </si>
  <si>
    <t>· 다음날 피로 0~5 (L열): 0 가뿐 · 3 뻐근하지만 훈련 가능 · 5 탈진. 다음 세션 아침에 적는다.</t>
  </si>
  <si>
    <t>· 관절 이상 (M열): 없으면 비워둔다. 있을 때만 부위와 0~10 (예: 무릎 3).</t>
  </si>
  <si>
    <t>· 기억으로 소급해 채우지 말 것 — 없는 데이터보다 지어낸 데이터가 나쁘다. 모르는 주는 비워둔다.</t>
  </si>
  <si>
    <t>· 이 두 칸이 3주 쌓이기 전에는 볼륨을 올릴 근거가 없다. 검산표의 하한 미달은 근거가 아니다.</t>
  </si>
  <si>
    <t>9월 이후 — 현장 복귀 시 조정</t>
  </si>
  <si>
    <t>이 프로그램은 재택 = 생활 부하 0 전제. 현장 복귀 시 그대로 쓰면 과부하 — 다만 목표는 유지가 아니라 완만한 성장이다.</t>
  </si>
  <si>
    <t>부위 / 항목</t>
  </si>
  <si>
    <t>조정</t>
  </si>
  <si>
    <t>감축</t>
  </si>
  <si>
    <t>일이 하루 종일 채움 — 들고 · 당기고 · 버티는 동작 전부</t>
  </si>
  <si>
    <t>하체</t>
  </si>
  <si>
    <t>서 있기 · 걷기로 이미 볼륨 누적</t>
  </si>
  <si>
    <t>대폭 감축</t>
  </si>
  <si>
    <t>데드 주 1회 유지가 상한. 현장 일이 허리를 이미 소모시킴</t>
  </si>
  <si>
    <t>프레싱 (벤치 · 프레스)</t>
  </si>
  <si>
    <t>유지</t>
  </si>
  <si>
    <t>현장 일이 채워주지 않는 유일한 영역</t>
  </si>
  <si>
    <t>후면 삼각근 · 코어</t>
  </si>
  <si>
    <t>당기고 버티는 동작만으로는 안 채워짐</t>
  </si>
  <si>
    <t>주 6회 → 주 4회</t>
  </si>
  <si>
    <t>12시간 근무일과 그 다음날은 회피. 요일이 유동이라 토 · 일만 고정한다</t>
  </si>
  <si>
    <t>메인 리프트 배치</t>
  </si>
  <si>
    <t>12시간 근무일 회피</t>
  </si>
  <si>
    <t>허리가 안 돌아온 상태에서 치는 것이 가장 위험</t>
  </si>
  <si>
    <t>판단 기준</t>
  </si>
  <si>
    <t>다음 근무일 아침 허리 상태</t>
  </si>
  <si>
    <t>뻐근하면 그 주 무게가 과했던 것. 어떤 프로그램 표보다 정확</t>
  </si>
  <si>
    <t>· 같은 프로그램이라도 생활 부하에 따라 적정선이 움직인다.</t>
  </si>
  <si>
    <t>· 지금은 빠르게 쌓는 시기, 복귀 후는 느리게 쌓는 시기다. 멈추는 시기가 아니다.</t>
  </si>
  <si>
    <t>· 재택 기간에 근력 베이스를 만들어두면 복귀 후에는 좁은 자리(벤치 · 스쿼트)만 밀어도 3대가 올라간다.</t>
  </si>
  <si>
    <t>· 헬스보다 중요한 것: 일하는 중간의 움직임. 50분 앉으면 5분 일어나기, 하루 30분 걷기.</t>
  </si>
  <si>
    <t>· 헬스는 하루 1시간이고 앉아 있는 건 8시간 — 총량으로 보면 앉은 시간이 이긴다.</t>
  </si>
  <si>
    <t>→ 실제 요일 배치와 종목표는 '복귀_주간계획' 이하 4개 탭에 작성됨.</t>
  </si>
  <si>
    <t>9월 전 완충 구간 (v15 추가)</t>
  </si>
  <si>
    <t>· 재택 161세트 → 복귀 120세트 (75%). 유지 하한 밴드(54~80) 위에 두어 성장 여지를 남겼다.</t>
  </si>
  <si>
    <t>· 복귀 2~3주 전을 완충 구간으로 둘 것 — 주 4회 · 약 130세트로 한 단계 걸치고 내려간다.</t>
  </si>
  <si>
    <t>· 감축 순서: 팔 전용 → 전완 → 등 · 하체 보조 종목. 메인 리프트와 프레싱은 마지막까지 유지.</t>
  </si>
  <si>
    <t>· 완충 구간에서 중량은 내리지 않는다. 볼륨만 줄이고 강도를 유지해야 근력이 남는다.</t>
  </si>
  <si>
    <t>· 복귀_주간계획의 현재 수치: 161 → 120세트 · 주 296분. 주 4회 2분할 · 성장선 · 6~8주마다 디로드.</t>
  </si>
  <si>
    <t>복귀 버전 — 주간 계획 (주 6회 · 요일 고정 · 성장선)</t>
  </si>
  <si>
    <t>토요일 시작 · 금요일 하루 휴식 · 큰 부위는 세션 앞에, 어깨와 팔은 세션 후반부에</t>
  </si>
  <si>
    <t>어깨는 토 · 월 · 수 · 팔은 일 · 화 · 목 — 이틀 간격으로 엇갈린다</t>
  </si>
  <si>
    <t>요일</t>
  </si>
  <si>
    <t>블록</t>
  </si>
  <si>
    <t>고정</t>
  </si>
  <si>
    <t>훈련</t>
  </si>
  <si>
    <t>비고</t>
  </si>
  <si>
    <t>토</t>
  </si>
  <si>
    <t>하체 전면</t>
  </si>
  <si>
    <t>하체 전면(사두) · 어깨 전/측/후</t>
  </si>
  <si>
    <t>일</t>
  </si>
  <si>
    <t>당기기 수평</t>
  </si>
  <si>
    <t>등 수평 당기기 · 팔 삼두/이두</t>
  </si>
  <si>
    <t>월</t>
  </si>
  <si>
    <t>가슴 A</t>
  </si>
  <si>
    <t>화</t>
  </si>
  <si>
    <t>팔</t>
  </si>
  <si>
    <t>수</t>
  </si>
  <si>
    <t>하체 후면</t>
  </si>
  <si>
    <t>하체 후면(햄 · 둔) · 어깨 전/측/후</t>
  </si>
  <si>
    <t>목</t>
  </si>
  <si>
    <t>당기기 수직 + 가슴 B</t>
  </si>
  <si>
    <t>등 수직 당기기 · 가슴(상부 + 중하부) · 팔</t>
  </si>
  <si>
    <t>금</t>
  </si>
  <si>
    <t>유일한 휴식일. 토요일에 스쿼트가 있으므로 휴식을 그 앞에 둔다</t>
  </si>
  <si>
    <t>[배치 논리]</t>
  </si>
  <si>
    <t>· 사용자 지정은 두 줄이다 — 토요일부터 출발하고, 어깨 · 팔을 세션 후반부에 둔다. 나머지는 그 두 줄에서 따라 나왔다.</t>
  </si>
  <si>
    <t>· 어깨는 토 · 월 · 수, 팔은 일 · 화 · 목. 이틀 간격으로 정확히 엇갈려 어느 쪽도 이틀 연속이 되지 않는다.</t>
  </si>
  <si>
    <t>· 큰 부위 셋을 둘로 쪼갰다 — 하체는 전면(토) / 후면(수), 등은 수평(일) / 수직(목), 가슴은 상부(월) / 중하부(목).</t>
  </si>
  <si>
    <t>· [2026-10-02 정정] 등을 가른 축은 움직임 평면이다 — 재택 1일차 '당기기 A (수직)' · 6일차 '당기기 B (수평)'과 같다(사용자 지정). 초안에서는 근육군으로 갈랐고(일=광배 전담 · 목=승모중부 전담) 그 근거로 2026-09-04 '주동근은 팔꿈치 경로가 정한다'를 들었는데, 그 원칙은 세트검산의 근육군 분류 규칙이고 날을 어떻게 가르라는 말이 아니었다 — 두 축을 뒤섞은 것이다.</t>
  </si>
  <si>
    <t>· 평면 분할이 실제로 더 맞다. 근육군으로 가르면 '광배 주 1회'로 적히지만 목요일 로우 셋이 전부 광배를 쓴다(간접계수맵에 광배 0.5가 달려 있다) — 어느 쪽도 쉬지 못하면서 장부상으로만 주 1회가 된다. 평면으로 가르면 어깨 신전 ↔ 수평 외전 + 견갑 후인이라는 실제로 다른 관절 동작이 갈린다.</t>
  </si>
  <si>
    <t>· 그래서 두 날 모두 광배와 승모 중부가 섞여 있다 — 광배 일 3 / 목 11 · 승모 중부 일 10 / 목 3. 근육군은 여전히 팔꿈치 경로로 매긴다 — 날 분할과 근육군 분류는 다른 축이고 둘을 섞지 않는다. 발 높은 레그 프레스가 햄스트링이 아니라 둔근으로 계상되는 것이 후자의 예다.</t>
  </si>
  <si>
    <t>· [2026-10-02 같은 날 재배치] 어느 평면을 어느 날에 둘지는 사용자가 정했다 — '수평이 강도가 더 쎈 것 같아서 집중적으로 공략하고 싶다'. 일요일 = 수평 · 목요일 = 수직이다(재택은 순서가 반대다).</t>
  </si>
  <si>
    <t>· 근거가 전날에 있다. 일요일은 토요일(하체 전면) 다음날이고 스쿼트는 등 · 그립 · 기립근을 쓰지 않아 등이 온전하다. 목요일은 수요일(데드 + 루마니안) 다음날이라 그 셋이 전부 지쳐 있다 — 거기서 무거운 로우를 치면 등이 아니라 그립과 허리가 먼저 막힌다.</t>
  </si>
  <si>
    <t>· 페이스풀만 수직 날에 남겼다 — 재택도 수직 날에 두고, 이것이 없으면 승모 중부가 일요일 주 1회가 된다.</t>
  </si>
  <si>
    <t>· [2026-10-02 보강] 햄스트링도 주 2회로 쪼갰다 — 토요일 4(레그 컬) + 수요일 6(루마니안 3 · 원 레그 컬 3). 사두만 주 1회로 남는데 스쿼트 5×5가 한 날을 다 쓰기 때문이다. 대신 수요일 레그 프레스가 사두에 간접 1.5세트치를 얹어 노출은 주 2회가 됐다.</t>
  </si>
  <si>
    <t>· 금요일만 쉰다. 쉬는 날을 스쿼트 앞에 두는 것이 여섯 날 중 가장 값이 큰 자리다.</t>
  </si>
  <si>
    <t>[빈도를 올리고 볼륨은 조금만 올렸다 — 2026-10-02]</t>
  </si>
  <si>
    <t>· 주 4회 140세트 → 주 6회 205세트. 세트는 46% 늘었고 가슴 · 등 · 하체 · 햄스트링 · 내전근 · 중둔근 · 승모 중부 빈도가 주 1회 → 2회, 전완은 주 1회 → 3회로 올랐다. 주 1회로 남은 것은 사두(토 12)뿐이다.</t>
  </si>
  <si>
    <t>· 늘린 곳은 전부 '현장 일 보정'이 사라진 자리다 — 승모 상부 0 → 3 · 기립근 1 → 3 · 종아리 3 → 6 · 전완 6 → 9 · 복부 3 → 6 · 목 0 → 6(신설). 삼두 · 이두도 6 → 9로 올렸다.</t>
  </si>
  <si>
    <t>· [2026-10-02 사용자 추가 셋] ① 토요일 원 레그 컬 3 — 전면 하체 날에 햄스트링이 0이었다. ② 수요일 레그 프레스 발 높게 4 — 둔근 3 → 7. 내가 넣었던 시티드 레그 컬 3은 빼서 햄스트링 총량 10을 유지했다. ③ 수요일 이너 · 아우터 타이 슈퍼세트 4+4 — 하체에서 유일하게 하한 아래였던 내전근(6.5) · 중둔근(7.0)이 둘 다 성장 구간으로 들어갔다(10.5 · 11.0). ④ 페이스풀 3 — 승모 중부 · 능형근에 견갑 후인 · 외회전을 더했다. 토요일에 넣었다가 같은 날 일요일(당기기 수직)로 옮겼다 — 재택도 당기기 날에 둔다. 164 → 168 → 176 → 179.</t>
  </si>
  <si>
    <t>· ⑤ 같은 날 등 분할 축을 근육군 → 움직임 평면으로 정정하고, 이어서 사용자 지정으로 평면을 요일에 배정했다 — 일요일 수평 · 목요일 수직. 세트 총량과 부위별 숫자는 안 바뀌고 날 배치만 바뀌었다.</t>
  </si>
  <si>
    <t>· ⑥ 전완 리스트 컬을 길항근 슈퍼세트로 묶고(굴근 ↔ 신근) 팔 하는 날 셋 모두에 넣었다 — 사용자 지정 '그냥 다 넣어'. 일 6 · 화 6 · 목 6 + 리버스컬 3 = 전완 직접 21 · 실질 24.0.</t>
  </si>
  <si>
    <t>· ⑦ 백 익스텐션(45도) 3세트를 등 하는 날 둘에 넣었다 — 사용자 요청. 기립근 직접 3 → 9 · 실질 6.0 → 12.0으로 '보완 필요'가 '충분'이 됐다. 재택도 당기기 두 날에 3세트씩 둔다. 맨몸은 시작값이고 원판 5~10kg이 진행 경로다 — 두 날 다 중량 금지가 아니다. 척추 신전을 강조해서 해야 기립근이 주동근이 된다(힌지식이면 등척성이라 계수 0). 191 → 197세트.</t>
  </si>
  <si>
    <t>· ⑧ 같은 날 사용자가 엑셀에서 여섯 칸을 직접 조정했다 — 카프 토 · 수 각 3 → 6(종아리 6 → 12로 '보완 필요' 해결) · 원암 케이블 로우 3 → 4 · 언더그립 랫풀다운 3 → 4(광배 14 → 16 · 실질 19.5) · 인클라인 머신 · 인클라인 덤벨 플라이 각 4 → 3(흉근 상부 8 → 6 · 흉근 합산 25.0 → 22.5). 197 → 203세트. 세트검산에 '등 중요부위' 보조 칸도 직접 만들었다 — 당기기 본 종목만 센다.</t>
  </si>
  <si>
    <t>· ⑨ 목요일에 인클라인 벤치프레스(스미스) 3세트 — 사용자 요청. 재택 4일차와 같은 종목 · 중량 · 세트이고 계수도 그대로 쓴다(삼두 0.5 · 전면삼각 0.5). 흉근 상부 6 → 9로 주 2회가 됐고 흉근 합산은 22.5 → 25.5가 됐다. 203 → 206세트.</t>
  </si>
  <si>
    <t>· ⑩ 같은 날 사용자가 셋을 더 조정했다 — 벤치프레스 5×5 → 4×8(수행 30 → 50초 · 휴식 램프 4칸) · 목요일 디클라인 플라이 4 → 3 · 백 익스텐션 3 → 4. 벤치만 8회이고 나머지 메인 셋은 5회 고정 그대로다. 램프 블록 본세트와 시작중량_설정 F9('8회 × 4세트')까지 맞춰 앱 메인 카드와 종목표가 갈리지 않게 했다. 206 → 205세트 · 475분 · 흉근 합산 25.5 → 23.5 · 기립근 9 → 10.</t>
  </si>
  <si>
    <t>· [2026-10-02 사용자 제안 교환] 토요일 원 레그 컬 3 ↔ 수요일 레그 컬 4를 맞바꿨다. 중량은 국소 피로가 정하고 토요일엔 햄스트링 직접 종목이 달리 없어 국소로 신선하므로 양측 중량 종목이 그 날에 맞고, 편측은 좌우 차를 드러내는 것이 목적이라 주의력이 필요해 누적이 적은 수요일 5번이 맞다. 햄스트링 주 10세트와 총량 176은 그대로고 세션만 고르게 됐다(토 92/수 101 → 95/98).</t>
  </si>
  <si>
    <t>· 유지한 곳 — 흉근 24 · 승모 중부 10 · 삼각 측면 10 · 후면 10 · 사두 12 · 햄스트링 10. 이미 성장 구간 상단이라 세트는 그대로 두고 빈도만 올렸다.</t>
  </si>
  <si>
    <t>· 줄인 곳 — 삼각 전면 7 → 6 · 광배 15 → 14. 날을 가르며 세트가 3으로 떨어진 자리이고, 간접이 그만큼 올라 실질은 같거나 높다. (중둔근은 8 → 7로 내려갔다가 수요일 아우터 4로 11이 됐다.)</t>
  </si>
  <si>
    <t>· 계수로 전 종목을 일괄 조정하지 않았다. 종목 단위로 근거를 달아 움직였다 — 근거는 복귀_세트검산 아래에 한 줄씩 있다.</t>
  </si>
  <si>
    <t>[현장 근무가 끝나 바뀐 것]</t>
  </si>
  <si>
    <t>· 요일을 고정할 수 있게 됐다. 평일 A · B 슬롯이 사라지고 여섯 날이 각자 요일을 가진다.</t>
  </si>
  <si>
    <t>· '평일엔 척추 부하 종목 금지' 제약이 없어졌다. 데드는 수요일, 스미스 바벨 로우는 목요일에 요일 걱정 없이 들어간다.</t>
  </si>
  <si>
    <t>· 복귀_세트검산의 '현장 일 보정' 열을 걷어냈다. 보정이 '높음'이던 여섯 부위(광배 · 승모 상부 · 기립근 · 사두 · 종아리 · 전완) 중 넷에 직접 세트를 더한 것이 이번 증가분의 대부분이다.</t>
  </si>
  <si>
    <t>· 데드를 '지키는 종목'에서 풀었다. 허리와 직접 경쟁하던 현장 일이 없으므로 톱 1세트 + 백오프 2세트로 성장으로 돌린다.</t>
  </si>
  <si>
    <t>[예상 시간 — 산정 기준]</t>
  </si>
  <si>
    <t>· 계산식: 종목 시간 = 세트수 × (수행 + 휴식) + 드롭(초). 마지막 세트의 휴식은 다음 종목으로 넘어가는 전환 시간으로 친다.</t>
  </si>
  <si>
    <t>· 휴식 기준: 메인 본세트 3분 · 다관절 보조 2~2분 30초 · 하체 고립 2분 · 흉근 고립 105초 · 등 고립 · 종아리 75~90초 · 팔 고립 60~75초 · 어깨 고립 · 복부 · 목 60초.</t>
  </si>
  <si>
    <t>· 편측(좌우) 종목은 수행을 60초로 잡는다 — 원암 케이블 로우 · 원암 케이블 레터럴 · 케이블 힙 외전.</t>
  </si>
  <si>
    <t>· 시계보다 반복 수가 우선이다. 직전 세트보다 2회 이상 떨어지면 휴식이 짧은 것 — 특히 스쿼트 · 데드가 그렇다.</t>
  </si>
  <si>
    <t>· 웜업은 별도다. 메인 리프트가 있는 날(토 · 월 · 수)은 10~15분을 더 잡는다.</t>
  </si>
  <si>
    <t>[세션 크기]</t>
  </si>
  <si>
    <t>· 일 · 화 · 목은 메인 리프트가 없어 상한의 적용 대상이 아니다. 셋 다 휴식이 짧아 세트 수에 비해 시간이 안 든다.</t>
  </si>
  <si>
    <t>[몸 상태가 안 좋으면]</t>
  </si>
  <si>
    <t>· 마지막까지 지키는 것은 스쿼트 · 벤치 · 오버헤드 프레스 · 데드 톱세트다. 증량을 추적하는 자리이기 때문이다.</t>
  </si>
  <si>
    <t>· 여섯 날을 연달아 하는 것이 부담이면 수요일과 목요일 사이를 하루 비운다 — 금요일 휴식을 목요일로 옮기는 셈이다. 토요일 스쿼트 앞의 하루는 그대로 남는다.</t>
  </si>
  <si>
    <t>· 디로드는 6~8주마다 한 주. 세트를 절반으로 내리고 중량은 그대로 둔다 (복귀_증량원칙 참조).</t>
  </si>
  <si>
    <t>토요일 — 하체 전면 · 어깨 (전/측/후)</t>
  </si>
  <si>
    <t>웜업 — 회전근개 (세트 카운트 제외 · 어깨 블록 직전에)</t>
  </si>
  <si>
    <t>· 스쿼트 램프와 따로다. 하체 3종목을 끝내고 어깨 블록(4~6번)에 들어가기 직전에 넣는다 — 그래야 식지 않는다.</t>
  </si>
  <si>
    <t>· 케이블 외회전 2세트 × 12~15회. 팔꿈치 90도로 접어 옆구리에 붙이고 바깥으로만 회전. 매우 가볍게 — 2.5~5kg. 무거우면 광배와 후면 삼각근이 대신 일하며 목적을 잃는다.</t>
  </si>
  <si>
    <t>· [2026-10-02 보충] 어깨 보조가 11세트 이어지는 날인데 이 블록이 빠져 있었다. 일 · 월 · 목에는 있었다.</t>
  </si>
  <si>
    <t>매주 미는 세 리프트 중 하나. 금요일 휴식 다음날이라 주 전체에서 가장 신선한 자리다. 실패지점 3~4회 남기고 멈춘다.</t>
  </si>
  <si>
    <t>레그 프레스 (허리 부담 시 1순위) / 스미스 스쿼트 / 핵 스쿼트</t>
  </si>
  <si>
    <t>핵 스쿼트 / 45도 레그 프레스 / 스미스 스쿼트</t>
  </si>
  <si>
    <t>시시 스쿼트 머신 / 레그 프레스 (고립은 아니나 궤도 고정)</t>
  </si>
  <si>
    <t>케이블 레터럴 레이즈 / 머신 레터럴</t>
  </si>
  <si>
    <t>리버스 펙덱</t>
  </si>
  <si>
    <t>케이블 리버스 플라이 / 리어 델트 로우 (로프) / 페이스풀 (로프)</t>
  </si>
  <si>
    <t>아우터와 슈퍼세트. 같은 머신에서 핀만 옮기므로 휴식 10초가 전환 시간이다.</t>
  </si>
  <si>
    <t>와이드 스탠스 레그 프레스 / 케이블 어덕션</t>
  </si>
  <si>
    <t>관상면 외전. 어깨와 경쟁하지 않는 고립이라 어깨 블록 뒤로 보냈다.</t>
  </si>
  <si>
    <t>힙 어브덕션 머신 (겸용 머신이 없을 때) / 케이블 힙 외전</t>
  </si>
  <si>
    <t>앉아서 하는 쪽 — 무릎이 굽어 가자미근 비중이 커진다. 수요일 스탠딩과 각도를 나눈다.</t>
  </si>
  <si>
    <t>스탠딩 카프 레이즈 머신 / 레그 프레스 카프 레이즈</t>
  </si>
  <si>
    <t>[배치 이유]</t>
  </si>
  <si>
    <t>· 어깨 · 팔을 세션 후반부에 두는 것이 이 개편의 전제다 (2026-10-02 사용자 지정). 큰 부위를 신선할 때 먼저 치고, 어깨 · 팔은 그 뒤에 붙인다.</t>
  </si>
  <si>
    <t>· 토요일에 어깨 세 방향(전 · 측 · 후)을 다 넣는 것이 사용자 지정이다. 전면은 머신 숄더, 측면은 덤벨 레터럴, 후면은 리버스 펙덱. 페이스풀은 2026-10-02에 여기 넣었다가 같은 날 일요일(당기기 수직)로 옮겼다 — 재택도 페이스풀을 당기기 날에 둔다.</t>
  </si>
  <si>
    <t>· [2026-10-02] 햄스트링 4세트를 더했다. 사두는 스쿼트 5×5 때문에 쪼갤 수 없어 주 1회지만 햄스트링은 쪼갤 수 있고, 전면 하체 날에 햄스트링이 0이면 무릎을 한쪽으로만 때리는 날이 된다.</t>
  </si>
  <si>
    <t>· [2026-10-02 같은 날 교환] 처음엔 원 레그 컬 3을 뒀는데 사용자 제안으로 수요일 양측 레그 컬과 바꿨다. 토요일엔 햄스트링을 직접 쓰는 종목이 없어 국소로 신선하므로 중량 종목(양측)이 맞고, 편측은 주의력이 필요해 누적이 적은 수요일 5번이 맞다. 둘 다 반대로 놓여 있었다.</t>
  </si>
  <si>
    <t>· 세트로는 수요일(42)에 이어 둘째다. 그래도 주 4회 시절 토요일(43세트 · 107분)보다는 작다.</t>
  </si>
  <si>
    <t>· 웜업은 별도다. 스쿼트가 있는 날이므로 10~15분을 더 잡는다.</t>
  </si>
  <si>
    <t>드롭 세트 (2026-10-02)</t>
  </si>
  <si>
    <t>· 이너 · 아우터 타이에는 걸지 않는다. 슈퍼세트라 한쪽만 길어지면 라운드가 어긋난다.</t>
  </si>
  <si>
    <t>· N열 '드롭(초)'는 마지막 세트에 더해지는 시간이다. I열 종목 분에 합산되고, 앱 타이머는 마지막 세트를 그만큼 늘린 뒤 '드롭세트'라고 읊는다. E열 세트 수와 복귀_세트검산은 건드리지 않는다.</t>
  </si>
  <si>
    <t>[요청 원문 2026-10-02] 토요일부터 출발 · 토 하체 · 어깨 전면/후면/측면을 세트 후반부에 · 하체는 전면 후면 나누고  /  그래도 하체하는 날에 원레그컬 하나 정도는 있어야하는거 아냐???  /  아 원 레그 컬이랑 토요일 레그컬 자리 바꾸는거 어떻게 생각해?  /  토요일 페이스풀 넣는게 안 낫겠나?</t>
  </si>
  <si>
    <t>일요일 — 당기기 (수평) · 팔</t>
  </si>
  <si>
    <t>웜업 (세트 카운트 제외)</t>
  </si>
  <si>
    <t>· 둘 다 근비대 항목이 아니라 관절 준비 항목이므로 세트 합계에 넣지 않는다.</t>
  </si>
  <si>
    <t>135/145/155/165</t>
  </si>
  <si>
    <t>원암 해머 스트랭스 로우 / 원암 덤벨 로우 (벤치 지지) / 머신 로우</t>
  </si>
  <si>
    <t>[2026-10-02 신설] 복귀판에 승모 상부 직접이 0이었다. 현장 근무가 하루치를 얹어주던 것이 끝났으므로 재택 6일차 종목을 그대로 가져왔다 — 재택도 수평 날에 둔다. 트랩바라 손이 몸 옆에 와 견갑 거상이 수직으로 나온다.</t>
  </si>
  <si>
    <t>덤벨 슈러그 / 바벨 슈러그 (몸 앞 — 궤도가 약간 앞으로 간다) / 머신 슈러그</t>
  </si>
  <si>
    <t>당기기 17세트 뒤라 이두가 이미 간접을 받았다. 중량이 평소보다 낮게 나오는 것이 정상이다.</t>
  </si>
  <si>
    <t>케이블 컬 (전 구간 장력) / 머신 컬 / EZ바 프리쳐 컬</t>
  </si>
  <si>
    <t>시티드 리스트 컬(손등 아래)</t>
  </si>
  <si>
    <t>바벨 리스트 컬 / 케이블 리스트 컬</t>
  </si>
  <si>
    <t>바벨 리버스 리스트 컬 / 케이블 리스트 익스텐션</t>
  </si>
  <si>
    <t>원판 5~10kg 안고 (맨몸 15회가 쉬워지면) / 굿모닝(스미스) / 덤벨 루마니안 데드 / 글루트 햄 레이즈</t>
  </si>
  <si>
    <t>[무거운 수평 당기기를 이 날에 둔 이유 — 2026-10-02 사용자 지정]</t>
  </si>
  <si>
    <t>· 사용자 판단 — '수평이 강도가 더 쎈 것 같아서 집중적으로 공략하고 싶다'. 맞는 감각이고 근거가 있다.</t>
  </si>
  <si>
    <t>· 수평 로우가 실제로 무겁다(바벨 35 · 해머 45 vs 랫풀다운 · 친업). 그리고 **전날이 무엇이냐**가 더 크게 갈린다 — 일요일은 토요일(하체 전면) 다음날이고 스쿼트는 등 · 그립 · 기립근을 쓰지 않는다. 등이 온전한 상태로 들어온다.</t>
  </si>
  <si>
    <t>· 반대로 목요일은 수요일(데드 + 루마니안) 다음날이라 그립 · 광배 · 기립근이 전부 지쳐 있다. 거기서 무거운 로우를 치면 등이 아니라 그립과 허리가 먼저 막힌다.</t>
  </si>
  <si>
    <t>· 가슴은 목요일에 남겼다(사용자 지정 '목요일 가슴/등'). 이 날은 수평 등 17 · 팔 6 · 전완 6 · 기립근 3이다.</t>
  </si>
  <si>
    <t>[등을 가른 축 — 움직임 평면이다]</t>
  </si>
  <si>
    <t>· 일요일은 수평, 목요일은 수직이다. 재택 1일차 '당기기 A (수직)' · 6일차 '당기기 B (수평)'과 같은 축이고 순서만 반대다(2026-10-02 사용자 지정).</t>
  </si>
  <si>
    <t>· 광배 일 4 / 목 12 · 승모 중부 일 10 / 목 3 — 둘 다 주 2회다. 근육군으로 날을 가르면 '주 1회'로 적히지만 실제로는 로우가 광배를 쓰고 랫풀다운이 능형근을 쓴다.</t>
  </si>
  <si>
    <t>· 앞쪽은 그대로다 — 무거운 로우 넷을 신선한 상태로 치는 구조는 손대지 않았고, 더한 것은 전부 맨 뒤 고립이다.</t>
  </si>
  <si>
    <t>· 리스트 컬 쌍에는 걸지 않는다 — 슈퍼세트라 한쪽만 길어지면 라운드가 어긋난다(이너 · 아우터와 같은 이유).</t>
  </si>
  <si>
    <t>· 트랩바 슈러그에도 걸지 않는다. 선 자세로 중량을 받치는 종목이다.</t>
  </si>
  <si>
    <t>[요청 원문 2026-10-02] 일요일 등 · 팔 삼두/이두/전완을 세트 후반부에 · 등도 나누고  /  일요일로 옮기는데, 그 전에 나 등도 수평/수직으로 재택처럼 나뉘었으면 한다는거야  /  근데 나 일요일을 수평으로 바꿔줘. 뭔가 수평이 강도가 더 쎈거 같아서. 집중적으로 공략하고 싶다고나 할까?  /  그냥 다 넣어. 팔하는 날에는 슈퍼세트로 묶어서 (전완)</t>
  </si>
  <si>
    <t>스미스 벤치 / 체스트 프레스 머신</t>
  </si>
  <si>
    <t>150/170/190/210</t>
  </si>
  <si>
    <t>인클라인 스미스 프레스 / 인클라인 덤벨 프레스</t>
  </si>
  <si>
    <t>상부지를 프레스와 플라이 둘로 나눠 각 3세트 (2026-10-02 사용자가 엑셀에서 직접 조정) — 흉근 합산을 25.0 → 22.5로 내리려고 둘에서 하나씩 뺐다. 각도는 30~45도.</t>
  </si>
  <si>
    <t>펙덱 플라이 머신 (인클라인 각도) / 인클라인 케이블 플라이</t>
  </si>
  <si>
    <t>하방 벡터 — 벤치(수평)와 각도를 나눈다. 몸을 앞으로 기울이면 가슴, 세우면 삼두로 간다.</t>
  </si>
  <si>
    <t>어시스트 딥스 머신 / 헤머스트랭스 체스트 프레스 / 디클라인 벤치</t>
  </si>
  <si>
    <t>105/120/135</t>
  </si>
  <si>
    <t>원암 케이블 레터럴 레이즈</t>
  </si>
  <si>
    <t>리닝 케이블 레터럴 / 머신 레터럴</t>
  </si>
  <si>
    <t>[어깨 전면이 이 날에 없는 이유]</t>
  </si>
  <si>
    <t>· 벤치 4 + 인클라인 머신 3 + 딥스 3 + 인클라인 플라이 3이 전면 삼각에 간접으로 4.5세트치를 얹는다. 그 위에 프레스를 더 얹으면 전면만 혼자 과다가 된다.</t>
  </si>
  <si>
    <t>· 그래서 월요일 어깨 블록은 측면 · 후면 둘뿐이다. 전면 직접은 토요일 머신 숄더 3 · 수요일 스미스 오버헤드 3으로 주 6세트다.</t>
  </si>
  <si>
    <t>· 전면 삼각 실질 12.5세트 — 직접 6 + 간접 6.5. 성장 구간 안이다.</t>
  </si>
  <si>
    <t>[가슴을 둘로 가른 축]</t>
  </si>
  <si>
    <t>· 월요일은 상부(인클라인 프레스 3 + 인클라인 플라이 3), 목요일은 중하부(펙덱 4 + 디클라인 플라이 3)다. 벤치와 딥스는 수평 · 하방이라 월요일에 함께 둔다. 상부 둘을 4 → 3으로 내려 흉근 합산이 22.5가 됐다 (2026-10-02 사용자가 엑셀에서 직접 조정).</t>
  </si>
  <si>
    <t>· 흉근 합산 실질 27.5세트로 천장(20)을 크게 넘는다. 2026-09-14 사용자 지정 — 가슴은 되돌리는 자리가 아니다. 판단 기준은 세트 수가 아니라 벤치 진행이다. 벤치가 2주 연속 안 오르면 그때 이 숫자를 본다.</t>
  </si>
  <si>
    <t>· 벤치가 있는 날이므로 웜업 10~15분을 따로 잡는다.</t>
  </si>
  <si>
    <t>· 흉근 드롭은 목요일 디클라인 케이블 플라이 한 곳에 몰아 뒀다 — 핀만 옮기면 되는 자리다.</t>
  </si>
  <si>
    <t>케이블 드래그 컬 / 스파이더 컬</t>
  </si>
  <si>
    <t>EZ바 리버스컬 / 케이블 리버스컬 / 해머 컬 (중립 그립)</t>
  </si>
  <si>
    <t>넥 익스텐션 (플레이트)</t>
  </si>
  <si>
    <t>[2026-10-02 신설] 벤치에 엎드려 뒤통수에 플레이트를 올리고 목만 든다. 첫 2주는 무게 없이 가동범위만 — 경추는 되돌릴 수 없는 자리다. 통증이 아니라 '당기는 느낌'까지만.</t>
  </si>
  <si>
    <t>넥 하네스 / 넥 익스텐션 머신 / 손바닥으로 저항 (아이소메트릭 10초 × 10회)</t>
  </si>
  <si>
    <t>넥 플렉션 (플레이트)</t>
  </si>
  <si>
    <t>[2026-10-02 신설] 벤치에 누워 이마에 수건을 깔고 플레이트를 올린다. 턱을 당겨 목만 굽힌다. 굴곡 쪽이 더 약하므로 익스텐션보다 가볍게 간다.</t>
  </si>
  <si>
    <t>넥 하네스 / 넥 플렉션 머신 / 손바닥으로 저항 (아이소메트릭 10초 × 10회)</t>
  </si>
  <si>
    <t>케이블 크런치 (머신) / 앱스 머신</t>
  </si>
  <si>
    <t>캡틴 체어 니 레이즈 / 행잉 레그 레이즈 / 리버스 크런치</t>
  </si>
  <si>
    <t>· 다른 다섯 날은 큰 부위 뒤에 어깨나 팔이 붙지만, 이 날은 팔이 메인이다. 팔이 가장 신선한 유일한 자리다.</t>
  </si>
  <si>
    <t>· 그래서 늘어난 구간(라잉 익스텐션 · 인클라인 컬)을 이 날에 뒀다. 신장된 자리에서의 부하가 가장 비싸고, 지친 팔로는 그 자세가 안 잡힌다.</t>
  </si>
  <si>
    <t>· 전완 주 9세트가 전부 이 날이다. 그립을 쓰는 당기기가 하나도 없는 유일한 날이라 리스트 컬이 온전히 나온다 — 일요일(수평 로우 16세트)과 목요일(친업 · 랫풀다운 11세트)은 그립이 제약인 날이고, 거기에 리스트 컬을 두면 주간 전완 자극 중 가장 깎이는 자리가 된다.</t>
  </si>
  <si>
    <t>· [2026-10-02] 사용자 지정으로 리스트 컬 슈퍼세트를 팔 하는 날 셋(일 · 화 · 목) 모두에 넣었다. 전완 직접 21 · 실질 24.0 — '과다 점검'이 뜨는 첫 부위다.</t>
  </si>
  <si>
    <t>· 전완은 세 갈래이고 셋을 다 덮는다 — 손목 굴근군(앞면 · 손등 아래 리스트 컬 9) · 손목 신근군(뒷면 · 손등 위 리스트 컬 9) · 상완요골근(요측이고 팔꿈치를 넘는다 · 리버스컬 3). 앞뒤로 갈리는 것은 리스트 컬 두 개이고, 요측 / 척측(엄지쪽 / 새끼손가락쪽)으로 갈리는 종목은 없다 — 리스트 컬은 요측 · 척측 머리를 둘 다 쓴다.</t>
  </si>
  <si>
    <t>· 전완 6 → 9 · 복부 3 → 6으로 올렸다. 현장 근무가 끝나 그립과 코어에 하루치를 얹어주던 보정이 사라졌기 때문이다 (복귀_세트검산 참조).</t>
  </si>
  <si>
    <t>· 목은 2026-10-02 신설이다. 직접 0에서 주 6세트. 데드 · 슈러그의 등척성 지지는 계수 0이라 여기서만 채워진다.</t>
  </si>
  <si>
    <t>슈퍼세트 (2026-10-02 사용자 제안)</t>
  </si>
  <si>
    <t>· 세트 수는 그대로 3 + 3이고 시간만 10분 → 7.5분으로 줄었다. 아래 휴식 10초(전환) · 위 휴식 60초(라운드 간).</t>
  </si>
  <si>
    <t>· 넥 익스텐션 ↔ 플렉션은 묶지 않았다. 둘도 길항근이지만 엎드림 ↔ 누움으로 자세를 바꿔야 해 전환이 그립 뒤집기만큼 싸지 않고, 신설 부위라 세트마다 통제된 휴식을 주는 쪽이 낫다.</t>
  </si>
  <si>
    <t>· 라잉 트라이셉스 익스텐션 +60초 한 곳만. 마지막 세트에만 2단.</t>
  </si>
  <si>
    <t>· 인클라인 덤벨 컬에는 걸지 않는다 — 2026-09-07에 제외로 정한 자리다.</t>
  </si>
  <si>
    <t>· 리스트 컬 쌍에도 걸지 않는다. 슈퍼세트라 한쪽만 길어지면 라운드가 어긋난다(이너 · 아우터와 같은 이유).</t>
  </si>
  <si>
    <t>· 넥 종목에는 절대 걸지 않는다. 실패지점 근처에서 목을 쓰는 것이 이 종목의 유일한 금기다.</t>
  </si>
  <si>
    <t>[요청 원문 2026-10-02] 화요일 삼두/이두/전완/목/복근 — 화요일은 팔하니 놔두고  /  팔하는 날들 왜 전완은 없어? 손등 위아래 슈퍼세트로 묶어서 넣는건 어떻게 생각해?</t>
  </si>
  <si>
    <t>수요일 — 하체 후면 · 어깨 (전/측/후)</t>
  </si>
  <si>
    <t>웜업 — 회전근개 (세트 카운트 제외 · 오버헤드 프레스 직전에)</t>
  </si>
  <si>
    <t>· 데드 램프 · 프레스 램프와 따로다. 하체 5종목을 끝내고 오버헤드 프레스(6번)에 들어가기 직전에 넣는다.</t>
  </si>
  <si>
    <t>· [2026-10-02 보충] 메인이 둘이라 램프 블록 두 개에 가려 이 블록이 빠져 있었다. 어깨 보조가 9세트 이어지고 그 앞에 증량을 추적하는 프레스가 있는 날이다.</t>
  </si>
  <si>
    <t>톱세트. 현장 근무가 끝나 허리와 경쟁하는 것이 없어졌으므로 2026-10-02부터 백오프 2세트를 되살려 성장으로 돌린다.</t>
  </si>
  <si>
    <t>트랩바 데드 (요추 전단력 ↓) / 루마니안 데드 (허리가 무거운 주)</t>
  </si>
  <si>
    <t>데드리프트 백오프</t>
  </si>
  <si>
    <t>트랩바 데드 백오프 / 랙 풀 (가동범위 ↓)</t>
  </si>
  <si>
    <t>덤벨 루마니안 데드 (허리 부담 ↓ · 좌우 균형) / 케이블 풀스루</t>
  </si>
  <si>
    <t>레그 프레스 (발 높게)</t>
  </si>
  <si>
    <t>와이드 스탠스 레그 프레스 (발 높게) / 45도 레그 프레스 (발 높게) / 스미스 스쿼트 (발 앞쪽)</t>
  </si>
  <si>
    <t>머신이라 상체 각도가 고정된다 — 데드 뒤에 기립근으로 버티지 않아도 되는 후면 삼각 종목이 이것뿐이다.</t>
  </si>
  <si>
    <t>케이블 리버스 플라이 / 리어 델트 로우 (로프) / 리버스 펙덱</t>
  </si>
  <si>
    <t>머신 힙 쓰러스트 / 글루트 브릿지 / 케이블 풀스루</t>
  </si>
  <si>
    <t>머신 힙 어브덕션 / 밴드 사이드 워크</t>
  </si>
  <si>
    <t>무릎이 펴져 비복근 비중이 커진다 — 토요일 시티드(가자미근)와 각도를 나눈다. 데드 뒤라 발목이 이미 데워져 있다.</t>
  </si>
  <si>
    <t>레그 프레스 카프 레이즈 / 시티드 카프 레이즈 / 스미스 카프 레이즈</t>
  </si>
  <si>
    <t>[오버헤드 프레스를 수요일에 둔 이유]</t>
  </si>
  <si>
    <t>· 어깨를 전부 세션 후반부로 내리면(2026-10-02 사용자 지정) 매주 미는 세 리프트 중 오버헤드 프레스만 큰 부위 뒤로 밀린다. 어느 날 뒤에 두는 것이 가장 싼지가 문제였다.</t>
  </si>
  <si>
    <t>· 월요일(가슴) 뒤 — 가장 비싸다. 벤치 4 + 인클라인 3 + 딥스 3이 전면 삼각과 삼두에 간접 4.5세트치를 얹은 상태로 메인을 치게 된다.</t>
  </si>
  <si>
    <t>· 토요일(하체 전면) 뒤 — 중간이다. 전면 삼각 · 삼두는 온전하나 스쿼트 5×5의 전신 피로가 가장 크다.</t>
  </si>
  <si>
    <t>[하체 후면을 한 날에 모은 이유]</t>
  </si>
  <si>
    <t>· 데드 · 루마니안 데드는 둘 다 고관절 힌지다. 주에 흩어 두면 기립근이 회복할 72시간을 못 받는다 — 같은 패턴은 한 날에 모은다.</t>
  </si>
  <si>
    <t>· 햄스트링 주 10세트 중 6이 이 날이고 4는 토요일 레그 컬이다 — 2026-10-02에 햄스트링 빈도를 주 2회로 쪼갰다. 중량은 토요일(양측 4세트)이 밀고 이 날은 힌지 + 편측 균형을 맡는다.</t>
  </si>
  <si>
    <t>[레그 프레스를 발 높게 — 2026-10-02 사용자 지정]</t>
  </si>
  <si>
    <t>· 발을 발판 가장 위쪽에 둔다. 고관절 굽힘 범위가 커져 고관절 신전 비중이 올라가고, 무릎 신전 범위는 줄어든다.</t>
  </si>
  <si>
    <t>· 다만 햄스트링 종목은 아니다 — 발을 높여도 무릎이 같이 펴지므로 햄스트링은 고관절 신전(+)과 무릎 굴곡(−)이 상쇄돼 길이가 거의 안 바뀐다. 능동 단축이 작으면 자극도 작다.</t>
  </si>
  <si>
    <t>· 그래서 주동근은 둔근으로 잡고 사두 0.33 · 햄스트링 0.2 · 내전근 0.2를 간접으로 계상했다. 후면을 노린다는 의도는 둔근 직접 4세트로 실현된다.</t>
  </si>
  <si>
    <t>· 햄스트링 쪽을 직접 때리는 것은 루마니안 데드(늘어난 구간) · 레그 컬(짧아진 구간) · 토요일 원 레그 컬(편측)이다.</t>
  </si>
  <si>
    <t>[데드리프트 운용 규칙]</t>
  </si>
  <si>
    <t>· 유일한 지표는 다음날 아침 허리 상태다. 뻐근하면 그 주가 과했던 것 — 다음 주에 백오프를 먼저 뺀다.</t>
  </si>
  <si>
    <t>· 톱세트 1×5는 지키고, 줄일 때는 항상 백오프 2세트부터다. 강도를 놓으면 근력이 먼저 빠진다.</t>
  </si>
  <si>
    <t>· 디로드 주에는 데드를 건너뛴다. 중량은 손대지 않는다.</t>
  </si>
  <si>
    <t>· 원 레그 컬에는 걸지 않는다. 좌우 따로라 2단 드롭이 +120초가 되고, 일요일 원암 케이블 로우와 같은 기준이다.</t>
  </si>
  <si>
    <t>· 데드 · 백오프 · 루마니안 · 레그 프레스에는 걸지 않는다 — 척추가 버티거나 중량이 큰 종목에서 실패 뒤 반복은 폼이 먼저 무너진다.</t>
  </si>
  <si>
    <t>[요청 원문 2026-10-02] 수요일 하체/어깨 — 수요일 어깨를 세트 후반부에 · 하체는 전면 후면 나누고  /  수 하체에는 레그 프레스 넣어주고, 수요일에 하는 레그 프레스는 발을 발판의 가장 위쪽에 두어서 햄스트링 후면을 타겟하도록 할거야. 동시에 사두도 좀 타겟되겠지만.  /  그리고 수요일하체에 이너타이랑 아우터타이 슈퍼세트도 넣어줘.</t>
  </si>
  <si>
    <t>목요일 — 당기기 (수직) · 가슴 · 팔</t>
  </si>
  <si>
    <t>· 메인 리프트가 없다. 첫 종목(친업) 전에 랫풀다운 작업중량의 50%로 10회 · 75%로 5회, 두 세트면 램프가 끝난다.</t>
  </si>
  <si>
    <t>수직 당기기 중 가장 무거운 쪽이라 맨 앞에 둔다. 수요일 데드 다음날이므로 그립이 지쳐 있으면 주저 말고 어시스트 머신으로 간다 — 이 날 등은 그립이 아니라 광배가 실패해야 한다.</t>
  </si>
  <si>
    <t>어시스트 풀업 머신 (1순위 — 데드 다음날이면 기본값으로 생각한다) / 랫풀다운 / 뉴트럴 그립 친업</t>
  </si>
  <si>
    <t>와이드 오버그립 랫풀다운</t>
  </si>
  <si>
    <t>오버그립 랫풀다운 (어깨너비 — 어깨가 불편할 때) / 풀업</t>
  </si>
  <si>
    <t>랫풀다운(언더그립 좁게 안쪽으로)</t>
  </si>
  <si>
    <t>뉴트럴 그립 랫풀다운 / 어시스트 풀업 머신</t>
  </si>
  <si>
    <t>프론 Y 레이즈 / 케이블 Y 레이즈</t>
  </si>
  <si>
    <t>[2026-10-02 사용자 제안] 재택도 페이스풀을 수직 날(1일차)에 둔다. 승모 중부를 두 날에 10/3으로 나누는 자리이기도 하다 — 이것이 없으면 승모 중부가 일요일 주 1회가 된다. 로프를 얼굴 높이로 당기고 팔꿈치를 어깨선 위로 — 끝에서 외회전을 만든다. 후면삼각에 0.5 간접.</t>
  </si>
  <si>
    <t>리어 델트 로우 (로프) / 케이블 리버스 플라이 (팔 편 채) / 리버스 펙덱</t>
  </si>
  <si>
    <t>케이블 크로스오버 (중간 높이) / 덤벨 플라이 / 머신 체스트 프레스</t>
  </si>
  <si>
    <t>케이블 크로스오버 (낮은 도르래) / 디클라인 덤벨 플라이 / 디클라인 머신 프레스</t>
  </si>
  <si>
    <t>케이블 푸쉬다운 (로프) / 딥스 머신 / 케이블 킥백</t>
  </si>
  <si>
    <t>케이블 드래그 컬</t>
  </si>
  <si>
    <t>케이블 컬 (전 구간 장력) / 머신 컬 / 바벨 컬</t>
  </si>
  <si>
    <t>[2026-10-02 사용자 요청 — 등 하는 날마다 3세트] **척추 신전을 강조해서 한다** — 등을 편 채 고관절만 접는 힌지식으로 하면 둔근 · 햄스트링이 주동근이 되고 기립근은 버티기만 한다. 그러면 09-04 규칙상 등척성이라 계수 0이고, 검산표의 기립근 직접 9가 거짓이 된다. 재택 메모의 핵심 문장이 이것이다. 중량은 더블 프로그레션 — 맨몸 15회를 전 세트에서 채우면 원판 5~10kg을 안는다. '맨몸'은 시작값이지 상한이 아니다(재택 대체 종목 칸에도 '원판 5~10kg 안고 (맨몸이 쉬워지면)'으로 적혀 있다). 원판을 안아도 된다 — 금지가 아니다. 다만 수요일 데드 톱1 + 백오프2 + 루마니안 3 다음날이라 일요일과 같은 중량이 안 나온다. 낮게 나오는 것이 정상이고 더블 프로그레션은 날마다 따로 본다. 되돌리는 트리거는 하나다 — 수요일 데드나 토요일 스쿼트가 2주 연속 안 오르면 이 날 중량을 가장 먼저 의심한다(다음 스쿼트까지 금요일 휴식 하나뿐이다).</t>
  </si>
  <si>
    <t>원판 5~10kg 안고 (맨몸 15회가 쉬워지면) / 굿모닝(스미스) / 맨몸 유지 (허리가 무거운 주) / 건너뛴다</t>
  </si>
  <si>
    <t>[데드 다음날에 수직 당기기를 둔 이유 — 2026-10-02]</t>
  </si>
  <si>
    <t>· 수요일 데드 · 루마니안이 그립 · 광배 · 기립근을 다 쓴다. 그 다음날 무거운 로우를 치면 등이 아니라 그립과 허리가 먼저 막힌다. 그래서 무거운 수평 로우 7세트(바벨 4 · 해머 3)를 일요일로 보냈다.</t>
  </si>
  <si>
    <t>· 남은 수직 당기기는 척추 부하가 거의 0이다 — 친업은 매달리고 랫풀다운은 앉아서 고정된다. 데드 다음날에 이보다 싼 등 자극이 없다.</t>
  </si>
  <si>
    <t>· 그립만 남은 변수다. 친업이 그립을 쓰므로 데드 다음날에는 어시스트 머신을 기본값으로 생각한다 — 이 날 광배가 실패해야 하고 그립이 실패하면 세트를 잃는다.</t>
  </si>
  <si>
    <t>· [2026-10-02] 백 익스텐션 3세트가 이 날에 들어왔다. 원판을 안아도 되고 금지가 아니다 — 다만 데드 다음날이라 일요일보다 중량이 낮게 나오는 것이 정상이다. 되돌리는 트리거는 수요일 데드나 토요일 스쿼트가 2주 연속 안 오르는 것이다.</t>
  </si>
  <si>
    <t>[이 날이 세 블록인 이유]</t>
  </si>
  <si>
    <t>· 등(수직 18) → 가슴(상부 3 + 중하부 7) → 팔(삼두 3 · 이두 3) 순서다. 당기기와 밀기는 주동근이 겹치지 않아 한 세션에 붙여도 서로 깎지 않는다.</t>
  </si>
  <si>
    <t>· 언더그립 랫풀다운 +60초 · 디클라인 케이블 플라이 +60초. 마지막 세트에만 2단.</t>
  </si>
  <si>
    <t>· 리스트 컬 쌍에는 걸지 않는다 — 슈퍼세트라 한쪽만 길어지면 라운드가 어긋난다.</t>
  </si>
  <si>
    <t>· 친업 · 와이드 랫풀다운에는 걸지 않는다 — 데드 다음날이라 그립이 먼저 나가고 등이 실패지점에 못 간다.</t>
  </si>
  <si>
    <t>· 펙덱 플라이에는 걸지 않는다 — 디클라인 플라이 드롭과 같은 근육 · 같은 세션이라 겹친다(2026-09-14 판단 유지).</t>
  </si>
  <si>
    <t>· 페이스풀에도 걸지 않는다. 가벼운 외회전 종목이라 실패 뒤 반복에서 팔꿈치가 먼저 내려온다.</t>
  </si>
  <si>
    <t>복귀판 간접 세트 계수 맵 — 복귀_세트검산 간접 열(C)의 계산 원천</t>
  </si>
  <si>
    <t>각 줄 = "이 종목이 → 이 근육에 → 계수만큼 기여". 원천세트는 요일 시트 E열에서 이름 매칭으로 자동 산출되고, 간접세트 = 계수 × 원천세트다.</t>
  </si>
  <si>
    <t>계수 규칙(상한 0.5):  0.5 = 명확한 협력근(능동 수축 · 신전) · 0.33 = 부분 협력(관여하나 비주도) · 0.2 = 등척성 지지나 약관여 · 0 = 계상하지 않음</t>
  </si>
  <si>
    <t>원천 슬롯</t>
  </si>
  <si>
    <t>복귀_월_가슴</t>
  </si>
  <si>
    <t>프레스 중 팔꿈치 신전 — 강한 협력</t>
  </si>
  <si>
    <t>하방 프레스 중 팔꿈치 신전 — 몸을 세우면 삼두 비중이 더 커진다</t>
  </si>
  <si>
    <t>복귀_토_하체전면</t>
  </si>
  <si>
    <t>복귀_수_하체후면</t>
  </si>
  <si>
    <t>복귀_목_수직당기기</t>
  </si>
  <si>
    <t>뒤침 그립 — 이두가 유리한 자리에서 능동 굴곡. 당기기 → 이두 계수는 그립으로 정한다: 뒤침 0.5 · 뉴트럴 0.33 · 엎침 0.2 (2026-09-04 원칙)</t>
  </si>
  <si>
    <t>뒤침 그립 좁게 — 능동 굴곡. 당기기 → 이두 계수는 그립으로 정한다: 뒤침 0.5 · 뉴트럴 0.33 · 엎침 0.2 (2026-09-04 원칙)</t>
  </si>
  <si>
    <t>엎침 그립 수직 당기기. 당기기 → 이두 계수는 그립으로 정한다: 뒤침 0.5 · 뉴트럴 0.33 · 엎침 0.2 (2026-09-04 원칙)</t>
  </si>
  <si>
    <t>복귀_일_수평당기기</t>
  </si>
  <si>
    <t>좁은 뉴트럴 그립 — 엎침과 뒤침 사이. 당기기 → 이두 계수는 그립으로 정한다: 뒤침 0.5 · 뉴트럴 0.33 · 엎침 0.2 (2026-09-04 원칙)</t>
  </si>
  <si>
    <t>엎침 그립 수평 로우. 당기기 → 이두 계수는 그립으로 정한다: 뒤침 0.5 · 뉴트럴 0.33 · 엎침 0.2 (2026-09-04 원칙)</t>
  </si>
  <si>
    <t>엎침 그립 + 팔꿈치 벌린 수평 로우 — 굽히는 일은 주로 상완근 · 상완요골근. 당기기 → 이두 계수는 그립으로 정한다: 뒤침 0.5 · 뉴트럴 0.33 · 엎침 0.2 (2026-09-04 원칙)</t>
  </si>
  <si>
    <t>복귀_화_팔</t>
  </si>
  <si>
    <t>엎침 그립 팔꿈치 굴곡 — 이두가 불리한 자리에서 보조한다. 재택 4일차와 같은 등급 (2026-10-02 종목을 넣을 때 빠뜨렸던 줄)</t>
  </si>
  <si>
    <t>수평 프레스의 전면삼각 비대 근거는 인클라인(0.5)만큼 확실하지 않다. 재택 2026-09-04 0.5→0.33 (2026-10-02 재택 09-04 규칙서 정렬)</t>
  </si>
  <si>
    <t>경사각이 클수록 전면삼각 기여 증가</t>
  </si>
  <si>
    <t>몸을 앞으로 기울인 자세에서 약한 관여</t>
  </si>
  <si>
    <t>플라이 시작 구간 전면삼각 약관여</t>
  </si>
  <si>
    <t>플라이 시작 구간 전면삼각 약관여 — 인클라인 덤벨 플라이와 같은 등급</t>
  </si>
  <si>
    <t>인클라인은 전면삼각 관여 큼 — 인클라인 벤치프레스 머신(0.5)과 같은 등급. 재택 맵과 같은 계수 (2026-10-02)</t>
  </si>
  <si>
    <t>프레스 중 팔꿈치 신전 — 보조 프레스라 0.5 유지(저반복 본세트 하향은 벤치 · 오버헤드에만 걸린다). 재택 맵과 같은 계수 (2026-10-02)</t>
  </si>
  <si>
    <t>페이스풀 중 후면삼각 능동 수축 — 재택 1일차와 같은 등급. 주동근(승모 중부 · 능형근)은 요일 시트에서 직접으로 센다 (2026-10-02)</t>
  </si>
  <si>
    <t>머리 위 프레스 중 측면삼각 외전 — 궤도가 고정돼 자유중량 프레스보다 부분적이다. 재택 맵에 있는 줄인데 복귀 맵에 계속 빠져 있었다 (2026-10-02 보충)</t>
  </si>
  <si>
    <t>발을 발판 위쪽에 둬도 무릎 신전은 남는다 — 부분 협력. 사두 직접은 토요일에 12세트가 있고 이 줄 덕에 사두 노출이 주 2회가 된다 (2026-10-02)</t>
  </si>
  <si>
    <t>넓은 그립 로우의 광배 관여 — 주동근(능형 · 중부승모)은 직접으로 센다 (2026-09-04 전환)</t>
  </si>
  <si>
    <t>머리 위 구간 견갑 상방 회전 — 약한 관여</t>
  </si>
  <si>
    <t>로우 상단 견갑 거상 — 약한 관여</t>
  </si>
  <si>
    <t>고장력 등척성 견갑대 유지 — 버티기만 하는 자극은 세지 않는다. 재택 2026-09-04 0.2→0 (2026-10-02 재택 09-04 규칙서 정렬)</t>
  </si>
  <si>
    <t>견갑 하강은 동작 개시 관여라 약계수</t>
  </si>
  <si>
    <t>견갑 하강 개시 관여</t>
  </si>
  <si>
    <t>견갑 하강 개시 관여 — 언더그립 랫풀다운과 같은 등급</t>
  </si>
  <si>
    <t>로우 당김 구간의 견갑 하강 관여. 재택 맵에 있는 줄인데 복귀 맵에 계속 빠져 있었다 (2026-10-02 보충)</t>
  </si>
  <si>
    <t>견갑 후인 능동 수축 — 경부하 리어델트 종목이라 리버스 펙덱(0.33)과 같은 등급. 중량 로우(0.5)와 구분. 재택 2026-09-04 0.5→0.33 (2026-10-02 재택 09-04 규칙서 정렬)</t>
  </si>
  <si>
    <t>견갑 후인 부분 협력</t>
  </si>
  <si>
    <t>로우 중 견갑 후인</t>
  </si>
  <si>
    <t>고장력 등척성 — 척추 중립 받치기(길이변화 작음). 데드→광배(0)와 같은 근거로 0으로 통일. 재택 2026-09-04 0.2→0 (2026-10-02 재택 09-04 규칙서 정렬)</t>
  </si>
  <si>
    <t>루마니안은 기립근이 동적으로 신전 · 수축한다 — 등척성이 아니다. 그래서 '등척성은 0' 무리(스쿼트 · 트랩바 슈러그 · 데드 승모)와 달리 0.5다. 재택 맵이 그 줄에 명시해 둔 구분이고 복귀는 0.2로 낮게 잡고 있었다 (2026-10-02 재택 09-04 규칙서 정렬 · 0.2→0.5)</t>
  </si>
  <si>
    <t>고장력 등척성 — 중량 받치기. 버티기만 하는 자극은 세지 않는다. 재택 2026-09-04 0.2→0 (2026-10-02 재택 09-04 규칙서 정렬)</t>
  </si>
  <si>
    <t>고관절 신전 능동</t>
  </si>
  <si>
    <t>힌지 중 고관절 신전 능동 — 데드와 같은 등급</t>
  </si>
  <si>
    <t>무릎 90도 고정이라 햄스트링이 짧아진 채 작동(능동부전) — 루마니안의 신장 부하와 같은 등급일 수 없다. 재택 2026-09-04 0.5→0.2 (2026-10-02 재택 09-04 규칙서 정렬)</t>
  </si>
  <si>
    <t>힌지 — 햄스트링 준주동. 단 컨벤셔널은 바닥에서 무릎 신전이 먼저라 ROM이 루마니안보다 작다. 재택 2026-09-04 0.5→0.33 (2026-10-02 재택 09-04 규칙서 정렬)</t>
  </si>
  <si>
    <t>톱세트와 같은 동작이므로 같은 계수. 재택 2026-09-04 0.5→0.33 (2026-10-02 재택 09-04 규칙서 정렬)</t>
  </si>
  <si>
    <t>발을 높이면 고관절 신전 비중이 오르지만 무릎도 같이 펴진다 — 고관절 신전(+)과 무릎 굴곡(−)이 상쇄돼 햄스트링 길이가 거의 안 바뀌고, 능동 단축이 작으면 자극도 작다. 그래서 주동근은 둔근이고 햄스트링은 약관여다 (2026-10-02 사용자 지정 종목)</t>
  </si>
  <si>
    <t>대내전근은 고관절 신전근 — 깊은 스쿼트에서 동적 작동. 둔근(0.5)과 동급은 과하고 레그 프레스 · 불가리안(0.33)과 같은 등급. 재택 2026-09-04 0.5→0.33이 기준 (2026-10-02 재택 09-04 규칙서 정렬)</t>
  </si>
  <si>
    <t>벌어진 스탠스 구간의 동적 관여 — 재택이 09-04에 못박은 기준 등급 (2026-10-02 재택 09-04 규칙서 정렬)</t>
  </si>
  <si>
    <t>토요일 레그 프레스와 같은 등급. 발을 높이면 고관절 굽힘이 커져 대내전근 관여가 줄지는 않는다 (2026-10-02 재택 09-04 규칙서 정렬)</t>
  </si>
  <si>
    <t>컬 중 상완요골근 동적 굴곡 — 부분 협력 (2026-10-02)</t>
  </si>
  <si>
    <t>흉근 상/하는 I열에서 합산 판정한다 — 서로에게 간접을 얹으면 합산이 이중 계상된다. 재택 2026-09-04 0.2→0 (2026-10-02 재택 09-04 규칙서 정렬)</t>
  </si>
  <si>
    <t>흉근 상/하 합산 판정이라 교차 계상 제거 — 플랫 벤치와 같은 등급. 재택 2026-09-04 0.2→0 (2026-10-02 재택 09-04 규칙서 정렬)</t>
  </si>
  <si>
    <t>흉근 상/하 합산 판정이라 교차 계상 제거. 재택 2026-09-04 0.2→0 (2026-10-02 재택 09-04 규칙서 정렬)</t>
  </si>
  <si>
    <t>흉늑지 약관여</t>
  </si>
  <si>
    <t>코어 브레이싱은 등척성이며 실패지점 근처까지 가지 않아 0</t>
  </si>
  <si>
    <t>직접 종목이라 간접 아님 — 자리 표시용 0</t>
  </si>
  <si>
    <t>직접 종목이라 간접 아님 — 자리 표시용 0. 데드 · 슈러그의 목 지지는 등척성이라 계수 없음</t>
  </si>
  <si>
    <t>근육군별 주간 세트 — 복귀판 검산</t>
  </si>
  <si>
    <t>세트는 근육군 단위로 센다. 복귀판은 주 6회 · 주 단위이므로 이 표의 숫자가 곧 주간 세트다 — 재택판처럼 주당 환산을 할 필요가 없다.</t>
  </si>
  <si>
    <t>직접 14세트: 월요일 벤치 4(4×8) · 딥스 3 · 목요일 펙덱 플라이 4 · 디클라인 케이블 플라이 3 (2026-10-02 사용자 지정). 간접 0.6 — 인클라인 덤벨 플라이 0.2×3 (인클라인 머신의 교차 간접은 2026-10-02에 0으로). 수평 · 하방 · 내전 세 벡터가 다 들어 있다</t>
  </si>
  <si>
    <t>등 합산</t>
  </si>
  <si>
    <t>등 중요부위</t>
  </si>
  <si>
    <t>하체 합산(대퇴 · 햄 · 종아리)</t>
  </si>
  <si>
    <t>직접 12세트: 토요일 시티드 6 · 수요일 스탠딩 6. 간접 출처 없음. 현장 일이 하루치를 얹어주던 것이 끝나 3 → 6으로 한 번 올렸고, (2026-10-02 사용자 조정)으로 두 날 모두 6이 되어 실질 6.0 '보완 필요'가 12.0 '충분'이 됐다. 무릎 각도로 가자미근 · 비복근을 나눴다</t>
  </si>
  <si>
    <t>직접 6세트: 화요일 넥 익스텐션 3 · 넥 플렉션 3. 2026-10-02 신설 — 사용자 요청으로 화요일 구성에 들어 있었다. 간접 출처 없음. 데드 · 슈러그의 목 지지는 등척성이라 계수를 주지 않는다. 첫 2주는 무게 없이 가동범위만</t>
  </si>
  <si>
    <t>· 주 10~20세트 = 성장 구간. 복귀판은 주 단위라 이 표의 숫자를 그대로 판정에 쓴다.</t>
  </si>
  <si>
    <t>· 주 8세트 = 유지 하한.</t>
  </si>
  <si>
    <t>· 실패지점 2~3회 이내 세트만 카운트 (웜업 · 여유 세트 제외). 현장 근무가 끝나 재택과 같은 기준으로 되돌렸다.</t>
  </si>
  <si>
    <t>· 판정 열은 정보이지 지시가 아니다. '보완 필요'가 그 자체로 증액 근거가 되지는 못한다.</t>
  </si>
  <si>
    <t>[간접계수맵 — 2026-10-02 재택 맵과 대조해 세 줄을 보충했다]</t>
  </si>
  <si>
    <t>· 머신 숄더 프레스 → 삼각근(측면) 0.33 · 해머 스트랭스 로우 → 승모(하부) 0.2 · 리버스컬 → 이두 0.2. 셋 다 재택 맵에는 있는데 복귀 맵에 없던 줄이다(리버스컬은 2026-10-02에 종목을 넣으며 빠뜨렸다).</t>
  </si>
  <si>
    <t>· 영향 — 삼각 측면 11.5 → 12.5 · 승모 하부 5.0 → 6.0 · 이두 15.5 → 16.5. 직접 세트는 하나도 안 바뀌었다.</t>
  </si>
  <si>
    <t>· 같은 날 18줄을 2026-09-04 규칙서로 정렬했다(사용자 결정). 복귀 맵은 09-13에 새로 쓰이며 하향 전 값을 쓰고 있었고, 재택 맵에는 줄마다 하향 이력이 근거와 함께 적혀 있었다 — 취향 차가 아니라 갱신 누락이었다.</t>
  </si>
  <si>
    <t>· 내린 곳 — 벤치 · 오버헤드 프레스 → 삼두 · 삼각근 0.5→0.33(저반복 본세트라 협력근이 자기 실패에 못 간다) · 데드 · 백오프 → 햄스트링 0.5→0.33(컨벤셔널 ROM) · 힙 쓰러스트 → 햄스트링 0.5→0.2(무릎 90도 능동부전) · 케이블 리버스 플라이 → 승모 중부 0.5→0.33(경부하 리어델트).</t>
  </si>
  <si>
    <t>· 0으로 내린 곳 — 스쿼트 · 트랩바 슈러그 → 기립근 · 데드 → 승모 상부. 전부 고장력 등척성이고 '버티기만 하는 자극은 세지 않는다'가 09-04 규칙이다. 벤치 → 흉근 상부 · 인클라인 머신 → 흉근 중하부도 0 — 흉근 상/하는 합산으로 판정하므로 교차 간접은 이중 계상이었다.</t>
  </si>
  <si>
    <t>· 올린 곳 — 스쿼트 · 레그 프레스 2종 → 내전근 0.2→0.33(09-04가 0.33을 기준 등급으로 못박았다)과 루마니안 → 기립근 0.2→0.5. 루마니안은 기립근이 동적으로 신전 · 수축하므로 등척성 무리와 구분된다 — 재택 맵이 그 줄에 명시해 둔 구분이다.</t>
  </si>
  <si>
    <t>· 결과 — 실질 총계 240 → 234.5. 흉근 합산 27.5 → 25.0(이중 계상 제거) · 삼두 18.0 → 16.5 · 햄스트링 14.0 → 12.5 · 기립근 6.5 → 6.0 · 내전근 10.5 → 12.5. 직접 세트 176과 훈련 내용은 한 칸도 안 바뀌었다 — 자가 바뀐 것이다.</t>
  </si>
  <si>
    <t>· 이제 재택 수치와 복귀 수치를 직접 비교할 수 있다. 그 전에는 같은 종목에 다른 계수가 매겨져 있어 주당 환산을 나란히 놓는 것 자체가 틀렸다.</t>
  </si>
  <si>
    <t>· 정렬 뒤 재택 맵과 다른 줄은 0개다 — 같은 종목에 같은 계수가 매겨져 두 판의 수치를 직접 비교할 수 있다.</t>
  </si>
  <si>
    <t>[현장 일 보정 열을 걷어냈다 — 2026-10-02]</t>
  </si>
  <si>
    <t>· 주 4회판에는 G열에 '현장 일 보정'(높음 / 중간 / 없음)이 있었다. 12시간 근무가 광배 · 승모 상부 · 기립근 · 사두 · 종아리 · 전완에 하루치를 얹어주던 것을 판정에 반영하는 열이었다.</t>
  </si>
  <si>
    <t>· 근무가 끝나 보정할 것이 없어졌으므로 열을 비웠다. 앱도 이 열이 비면 보정 칸을 띄우지 않는다.</t>
  </si>
  <si>
    <t>· 보정이 '높음'이던 여섯 부위 중 넷에 직접 세트를 더한 것이 이번 개편 증가분의 핵심이다 — 승모 상부 0 → 3 · 기립근 1 → 3 · 종아리 3 → 6 · 전완 6 → 9. 사두(12)와 광배(14)는 이미 성장 구간이라 두었다.</t>
  </si>
  <si>
    <t>· 이제 모든 판정을 액면대로 믿는다. 거짓으로 낮아 보이던 자리가 없어졌다는 뜻이다.</t>
  </si>
  <si>
    <t>지금 표에서 눈여겨볼 곳</t>
  </si>
  <si>
    <t>· 흉근 상 · 하는 한 근육이라 합산으로 판정한다. 합산 실질 23.5 — 천장(20)을 넘는다. 2026-09-14 사용자 지정으로 가슴은 되돌리는 자리가 아니다. 판단 기준은 세트 수가 아니라 벤치 진행이다 — 월요일 벤치가 2주 연속 안 오르면 그때 이 숫자를 본다.</t>
  </si>
  <si>
    <t>· 목 6.0 — 신설이라 하한 아래다. 의도된 낮음이다. 경추는 되돌릴 수 없는 자리이므로 2주간 무게 없이 가동범위만 돌린 뒤 2.5kg부터 시작한다.</t>
  </si>
  <si>
    <t>· 기립근 6.5 · 승모 상부 4.5 · 승모 하부 5.0 · 종아리 6.0 · 복부 6.0 · 내전근 6.0 — '보완 필요'로 뜨지만 넷은 이번에 올린 자리이고 이 이상 올리면 세션이 상한을 넘는다. 다음 카드는 여기다.</t>
  </si>
  <si>
    <t>· 중둔근 11.0 · 내전근 12.5 — 2026-10-02에 수요일 이너/아우터 슈퍼세트가 들어와 둘 다 하한 아래(7.0 · 6.5)에서 성장 구간으로 올라왔다.</t>
  </si>
  <si>
    <t>· 기립근 12.0 · 종아리 12.0 — 백 익스텐션 6세트와 카프 3 → 6씩(사용자 조정)으로 둘 다 6.0 '보완 필요'에서 올라왔다. 남은 '보완 필요'는 승모 상부 4.5 · 승모 하부 6.0 · 흉근 상부 6.0 · 복부 6.0 · 목 6.0 다섯이다 — 흉근 상부는 사용자가 합산(22.5)을 내리려고 일부러 6으로 내린 자리이므로 I열 합산으로 판정한다.</t>
  </si>
  <si>
    <t>· 둔근 14.0 · 햄스트링 14.0 — 2026-10-02에 둘 다 올라왔다(둔근 10 → 14 · 햄 13 → 14). 수요일이 고관절 신전 넷(데드 · 루마니안 · 발 높은 레그 프레스 · 힙 쓰러스트)을 다 가진 날이 됐기 때문이다. 둘 다 성장 구간 안이고 천장까지 여유가 있다.</t>
  </si>
  <si>
    <t>총량 — 2026-09-14 상한 제거 유지</t>
  </si>
  <si>
    <t>· 사용자 지시로 총량 상한 블록(G1:L3)을 걷어낸 상태를 유지한다. 잔여 예산 · VALID/INVALID · 초과 경고가 없다.</t>
  </si>
  <si>
    <t>· 남은 것은 B26 '직접 세트 총계' 하나다 — 숫자는 계속 보이되 그 숫자가 무엇을 금지하지는 않는다.</t>
  </si>
  <si>
    <t>· 다시 걸고 싶으면 J2에 수를, K3에 '상태'를 되살리면 시트와 앱이 그대로 돌아온다.</t>
  </si>
  <si>
    <t>· 상한 이력 — 2026-09-13 최초 136 · 09-14 145 · 09-14 제거(당시 147) · 10-02 주 6회 개편으로 164 → 같은 날 사용자 추가 셋(원 레그 컬 3 · 발 높은 레그 프레스 4 · 수요일 이너/아우터 8, 시티드 레그 컬 −3)로 176.</t>
  </si>
  <si>
    <t>· 176은 사용자가 고른 밴드(155~165)를 11 넘고 재택 주당 환산(168)도 넘었다. 상한이 없으므로 금지가 아니라 기록이다. 다만 추가분이 전부 하체 고립이라 수(40세트 101분) · 토(37세트 92분)가 나머지 넷의 1.5배가 됐다.</t>
  </si>
  <si>
    <t>· 세트를 계수로 일괄 조정하지 않는다. 늘릴 때도 줄일 때도 종목 단위로, 근거를 F열에 달아 움직인다.</t>
  </si>
  <si>
    <t>케이블이라 전 구간 장력이 걸린다 — 덤벨 레터럴이 약한 하단 구간을 맡는다. [2026-10-04] 3 → 4 — 측면을 MAV 하단(실질 16)까지 올리며 가장 작은 날인 월요일에 넣었다.</t>
    <phoneticPr fontId="29" type="noConversion"/>
  </si>
  <si>
    <t>삼각근(측면)</t>
    <phoneticPr fontId="29" type="noConversion"/>
  </si>
  <si>
    <t>12~15</t>
    <phoneticPr fontId="29" type="noConversion"/>
  </si>
  <si>
    <t>[2026-10-04 신설] 측면 직접 10 → 14(실질 12 → 16, MAV 하단). 궤도가 고정된 머신이라 바로 앞 원암 케이블(편측 · 전 구간 장력)과 저항곡선이 갈리고, 핀만 옮기면 되므로 마지막 세트 2단 드롭을 건다(+60초). 첫날 15회가 되는 무게를 찾아 적는다.</t>
    <phoneticPr fontId="29" type="noConversion"/>
  </si>
  <si>
    <t>원암 케이블 레터럴 / 덤벨 레터럴</t>
    <phoneticPr fontId="29" type="noConversion"/>
  </si>
  <si>
    <t>원암 케이블 리버스 플라이</t>
    <phoneticPr fontId="29" type="noConversion"/>
  </si>
  <si>
    <t>12~15 (좌우)</t>
    <phoneticPr fontId="29" type="noConversion"/>
  </si>
  <si>
    <t>[2026-10-04 사용자 지정] 양팔 → 원암 — '집중이 더 잘 된다'. 반대쪽 케이블을 잡고 팔을 편 채 수평 외전만 한다. 빈손으로 몸통을 고정할 수 있어 승모가 끼어들기 어렵다. 케이블이라 수축 끝단이 살아 있다 — 토요일 리버스 펙덱(중간 구간)과 갈린다. 편측이라 수행 60초.</t>
    <phoneticPr fontId="29" type="noConversion"/>
  </si>
  <si>
    <t>[드롭 세트 — 이 날은 머신 레터럴 한 곳]</t>
    <phoneticPr fontId="29" type="noConversion"/>
  </si>
  <si>
    <t>· 머신 레터럴 마지막 세트만 2단 드롭(+60초 · 2026-10-04). 핀만 옮기면 되는 자리다. 인클라인 덤벨 플라이는 덤벨을 바꿔 드는 동작이라 2단 드롭에서 자세가 먼저 무너져 걸지 않는다.</t>
    <phoneticPr fontId="29" type="noConversion"/>
  </si>
  <si>
    <t>삼각근(후면)</t>
    <phoneticPr fontId="29" type="noConversion"/>
  </si>
  <si>
    <t>리버스 펙덱 / 리어 델트 로우 (로프) / 페이스풀 (로프)</t>
    <phoneticPr fontId="29" type="noConversion"/>
  </si>
  <si>
    <t>리버스 펙덱</t>
    <phoneticPr fontId="29" type="noConversion"/>
  </si>
  <si>
    <t>케이블 리버스 플라이 / 리어 델트 로우 (로프)</t>
    <phoneticPr fontId="29" type="noConversion"/>
  </si>
  <si>
    <t>[요청 원문 2026-10-02] 월요일 가슴 · 월요일 다시 어깨를 세트 후반부에  /  벤치만 4x8이야 (사용자 엑셀 조정 · 램프 · 시작중량_설정까지 맞췄다)  /  [2026-10-04] 측면 MAV 하단까지 · 나 월요일에하는 후면운동도 원암으로 진행하고 싶어. 뭔가 집중이 더 잘 되더라고  /  뒤에 백덱플라이 2세트도 넣어줘 후면으로 · 패턴을 측면, 후면, 측면, 후면으로</t>
    <phoneticPr fontId="29" type="noConversion"/>
  </si>
  <si>
    <t>복귀_월_가슴</t>
    <phoneticPr fontId="29" type="noConversion"/>
  </si>
  <si>
    <t>견갑 후인 부분 협력 — 토요일 리버스 펙덱과 같은 종목 · 같은 계수 (2026-10-04 월요일 2세트 신설)</t>
    <phoneticPr fontId="29" type="noConversion"/>
  </si>
  <si>
    <t>· ⑪ [2026-10-04] 월요일 측면 +4 — 원암 케이블 레터럴 3 → 4 · 머신 레터럴 3 신설(마지막 세트 드롭). 측면 직접 10 → 14 · 실질 12 → 16(MAV 하단). 같은 날 케이블 리버스 플라이를 원암으로 바꿨다 — 사용자 지정, 편측이 집중이 더 잘 된다. 이어서 사용자 요청으로 리버스 펙덱 2(후면)를 더하고 월요일 어깨를 측 → 후 → 측 → 후로 교대 배열했다 — 후면 직접 10 → 12 · 실질 11.5 → 13.5. 205 → 211세트 · 월요일 25세트 63분.</t>
    <phoneticPr fontId="29" type="noConversion"/>
  </si>
  <si>
    <t>← 1주차가 시작된 토요일. 주차는 토요일에 넘어간다(훈련 주가 토요일에 출발한다 · 2026-10-04). 주차는 세는 숫자일 뿐 중량과 무관하다</t>
    <phoneticPr fontId="29" type="noConversion"/>
  </si>
  <si>
    <t>← 아래 '기준 주차'가 시작된 토요일</t>
    <phoneticPr fontId="29" type="noConversion"/>
  </si>
  <si>
    <t>· [2026-10-04 사용자 지정] 10/3(토)에 출발한 이번 훈련 주를 11주차로 정했다 — 표시와 중량 둘 다. 날짜로 세면 9주차였고 중량 표도 9주차 줄이었으니 두 칸을 건너뛴 것이다(스쿼트 70 → 75 · 데드 75 → 80 · 벤치 38 → 41 · 프레스 27 → 28). 같은 날 주차가 넘어가는 요일을 월요일 → 토요일로 바꿨다 — 그래서 시작일이 7/25(토)로 보인다. 지난 주들의 번호도 그에 맞춰 다시 매겨진다.</t>
  </si>
  <si>
    <t>날짜 (토요일)</t>
    <phoneticPr fontId="29" type="noConversion"/>
  </si>
  <si>
    <t>· [2026-10-04 사용자 지정] 오버헤드 프레스를 11주차 30kg으로 — 계획 28에서 두 칸 앞당겼다. 앱도 6주차 시작값에서 사다리를 걸어 중량을 내므로 11주차 칸 하나를 덮지 않고 D10을 26 → 27로 바꿔 11주차에 30이 나오게 했다(29는 못 끼우는 값이라 30). 격주 1kg은 그대로 — 12주차 31 · 14주차 32.</t>
  </si>
  <si>
    <t>시티드 케이블 로우</t>
    <phoneticPr fontId="29" type="noConversion"/>
  </si>
  <si>
    <t>광배</t>
    <phoneticPr fontId="29" type="noConversion"/>
  </si>
  <si>
    <t>8~12</t>
    <phoneticPr fontId="29" type="noConversion"/>
  </si>
  <si>
    <t>머신 로우 (뉴트럴 그립) / 체스트 서포티드 로우 (뉴트럴) / 원암 케이블 로우 4세트로 합치기</t>
    <phoneticPr fontId="29" type="noConversion"/>
  </si>
  <si>
    <t>· 날 분할은 평면으로, 근육군은 팔꿈치 경로로 매긴다 — 다른 축이고 섞지 않는다. 그래서 수평 날에 광배(시티드 · 원암 케이블 로우)가 있고 수직 날에 승모 중부(페이스풀)가 있다.</t>
    <phoneticPr fontId="29" type="noConversion"/>
  </si>
  <si>
    <t>· 시티드 · 원암 케이블 로우에도 걸지 않는다. 좌우 따로라 2단 드롭이 +120초가 된다.</t>
    <phoneticPr fontId="29" type="noConversion"/>
  </si>
  <si>
    <t>좁은 뉴트럴 그립(V바) — 원암 케이블 로우와 같은 등급. 당기기 → 이두 계수는 그립으로 정한다: 뒤침 0.5 · 뉴트럴 0.33 · 엎침 0.2 (2026-09-04 원칙). 재택 6일차 시티드 케이블 로우와 같은 계수 (2026-10-04 원암 4 → 양팔 2 + 원암 2로 신설)</t>
    <phoneticPr fontId="29" type="noConversion"/>
  </si>
  <si>
    <t>견갑 후인 능동 수축 — 원암 케이블 로우와 같은 등급, 재택 6일차와 같은 계수 (2026-10-04 신설)</t>
    <phoneticPr fontId="29" type="noConversion"/>
  </si>
  <si>
    <t>· ⑫ [2026-10-04] 일요일 원암 케이블 로우 4 → 시티드 케이블 로우(양팔) 2 + 원암 2 — 사용자 요청, 재택 6일차와 같은 분할. 광배 직접 4 · 세트 합계 그대로이고, 계수도 같아(이두 0.33 · 승모 중부 0.5) 검산 숫자는 안 바뀐다.</t>
    <phoneticPr fontId="29" type="noConversion"/>
  </si>
  <si>
    <t>https://www.youtube.com/shorts/UerYVESPi_E</t>
    <phoneticPr fontId="29" type="noConversion"/>
  </si>
  <si>
    <t>규칙</t>
  </si>
  <si>
    <t>토 · 수 — 하체 웨이트 끝나고 바로</t>
  </si>
  <si>
    <t>힘든 날은 몰아서 힘들게. 하체 전날(화 · 금)은 피한다</t>
  </si>
  <si>
    <t>파머스 워크(덤벨) / 트랩바 캐리</t>
  </si>
  <si>
    <t>덤벨이 모자라면 트랩바에 원판 — 양손 72kg도 쉽게 만든다</t>
  </si>
  <si>
    <t>양</t>
  </si>
  <si>
    <t>트럭 → 현관 구간이 이 길이다</t>
  </si>
  <si>
    <t>시작</t>
  </si>
  <si>
    <t>한 손 24kg</t>
  </si>
  <si>
    <t>데드 80kg이라 드는 힘은 충분하고, 막히는 건 악력이다</t>
  </si>
  <si>
    <t>증량</t>
  </si>
  <si>
    <t>스트랩</t>
  </si>
  <si>
    <t>금지</t>
  </si>
  <si>
    <t>무겁게는 주 2회까지</t>
  </si>
  <si>
    <t>재검토 조건</t>
  </si>
  <si>
    <t>순서</t>
  </si>
  <si>
    <t>악력이 신선할 때 무거운 걸 먼저</t>
  </si>
  <si>
    <r>
      <t>한</t>
    </r>
    <r>
      <rPr>
        <b/>
        <sz val="10"/>
        <color rgb="FFFFFFFF"/>
        <rFont val="Calibri"/>
        <family val="2"/>
      </rPr>
      <t xml:space="preserve"> </t>
    </r>
    <r>
      <rPr>
        <b/>
        <sz val="10"/>
        <color rgb="FFFFFFFF"/>
        <rFont val="Calibri"/>
        <family val="2"/>
        <charset val="1"/>
      </rPr>
      <t>손</t>
    </r>
    <r>
      <rPr>
        <b/>
        <sz val="10"/>
        <color rgb="FFFFFFFF"/>
        <rFont val="Calibri"/>
        <family val="2"/>
      </rPr>
      <t xml:space="preserve"> </t>
    </r>
    <r>
      <rPr>
        <b/>
        <sz val="10"/>
        <color rgb="FFFFFFFF"/>
        <rFont val="Calibri"/>
        <family val="2"/>
        <charset val="1"/>
      </rPr>
      <t>목표</t>
    </r>
    <r>
      <rPr>
        <b/>
        <sz val="10"/>
        <color rgb="FFFFFFFF"/>
        <rFont val="Calibri"/>
        <family val="2"/>
      </rPr>
      <t>(kg)</t>
    </r>
  </si>
  <si>
    <r>
      <t>양손</t>
    </r>
    <r>
      <rPr>
        <b/>
        <sz val="10"/>
        <color rgb="FFFFFFFF"/>
        <rFont val="Calibri"/>
        <family val="2"/>
      </rPr>
      <t xml:space="preserve"> </t>
    </r>
    <r>
      <rPr>
        <b/>
        <sz val="10"/>
        <color rgb="FFFFFFFF"/>
        <rFont val="Calibri"/>
        <family val="2"/>
        <charset val="1"/>
      </rPr>
      <t>합계</t>
    </r>
    <r>
      <rPr>
        <b/>
        <sz val="10"/>
        <color rgb="FFFFFFFF"/>
        <rFont val="Calibri"/>
        <family val="2"/>
      </rPr>
      <t>(kg)</t>
    </r>
  </si>
  <si>
    <r>
      <t>실제</t>
    </r>
    <r>
      <rPr>
        <b/>
        <sz val="10"/>
        <color rgb="FFFFFFFF"/>
        <rFont val="Calibri"/>
        <family val="2"/>
      </rPr>
      <t xml:space="preserve"> </t>
    </r>
    <r>
      <rPr>
        <b/>
        <sz val="10"/>
        <color rgb="FFFFFFFF"/>
        <rFont val="Calibri"/>
        <family val="2"/>
        <charset val="1"/>
      </rPr>
      <t>한</t>
    </r>
    <r>
      <rPr>
        <b/>
        <sz val="10"/>
        <color rgb="FFFFFFFF"/>
        <rFont val="Calibri"/>
        <family val="2"/>
      </rPr>
      <t xml:space="preserve"> </t>
    </r>
    <r>
      <rPr>
        <b/>
        <sz val="10"/>
        <color rgb="FFFFFFFF"/>
        <rFont val="Calibri"/>
        <family val="2"/>
        <charset val="1"/>
      </rPr>
      <t>손</t>
    </r>
    <r>
      <rPr>
        <b/>
        <sz val="10"/>
        <color rgb="FFFFFFFF"/>
        <rFont val="Calibri"/>
        <family val="2"/>
      </rPr>
      <t>(kg)</t>
    </r>
  </si>
  <si>
    <r>
      <t>메모</t>
    </r>
    <r>
      <rPr>
        <b/>
        <sz val="10"/>
        <color rgb="FFFFFFFF"/>
        <rFont val="Calibri"/>
        <family val="2"/>
      </rPr>
      <t xml:space="preserve"> (</t>
    </r>
    <r>
      <rPr>
        <b/>
        <sz val="10"/>
        <color rgb="FFFFFFFF"/>
        <rFont val="Calibri"/>
        <family val="2"/>
        <charset val="1"/>
      </rPr>
      <t>놓침</t>
    </r>
    <r>
      <rPr>
        <b/>
        <sz val="10"/>
        <color rgb="FFFFFFFF"/>
        <rFont val="Calibri"/>
        <family val="2"/>
      </rPr>
      <t xml:space="preserve"> · </t>
    </r>
    <r>
      <rPr>
        <b/>
        <sz val="10"/>
        <color rgb="FFFFFFFF"/>
        <rFont val="Calibri"/>
        <family val="2"/>
        <charset val="1"/>
      </rPr>
      <t>통증</t>
    </r>
    <r>
      <rPr>
        <b/>
        <sz val="10"/>
        <color rgb="FFFFFFFF"/>
        <rFont val="Calibri"/>
        <family val="2"/>
      </rPr>
      <t>)</t>
    </r>
  </si>
  <si>
    <t>구분</t>
  </si>
  <si>
    <t>메인 (캐리 뒤)</t>
  </si>
  <si>
    <t>스쿼트 날 — 하체를 이미 쓴 날에 몰기</t>
  </si>
  <si>
    <t>짧게</t>
  </si>
  <si>
    <t>적응용</t>
  </si>
  <si>
    <t>다음 날 데드리프트</t>
  </si>
  <si>
    <t>데드 날 — 하체를 이미 쓴 날에 몰기</t>
  </si>
  <si>
    <t>없음 (휴식)</t>
  </si>
  <si>
    <t>다음 날 스쿼트</t>
  </si>
  <si>
    <t>· ⑬ [2026-10-04] 리스트 컬 손등 아래(굴근) 일 · 목 3 → 2 · 화 3 → 0(보류) — 사용자 결정, 생수배송 대비 캐리 · 천국의 계단이 굴근을 채운다. 화요일은 수요일 캐리 전날이라 0. 행은 남겨 두고 세트만 바꿨다 — 일을 안 하게 되면 3으로 되돌린다. 전완 직접 21 → 16 · 실질 24.0 → 19 · 206세트.</t>
  </si>
  <si>
    <t>화요일 24세트 (삼두 3 · 이두 3 · 전완 6 · 목 6 · 복근 6)</t>
    <phoneticPr fontId="29" type="noConversion"/>
  </si>
  <si>
    <t>· 전완 24.0 — **'과다 점검'이 뜨는 유일한 부위이고 그게 뜬 첫 사례다**(2026-10-02 사용자 지정). 표가 금지하지는 않는다. 다만 손목 · 팔꿈치가 시큰해지면 가장 먼저 의심할 자리이고, 되돌리는 순서는 일 · 목의 굴근(손등 아래) → 리버스컬이다. 신근은 그립이 전혀 안 쓰는 근육이라 마지막까지 남긴다. → [2026-10-04] 이 순서대로 굴근부터 내렸다(목 3 → 2 · 화 3 → 0 보류, 일은 3 유지 — 사용자 결정) — 실질 20. 행은 지우지 않았다.</t>
    <phoneticPr fontId="29" type="noConversion"/>
  </si>
  <si>
    <t>· ⑭ [2026-10-04 같은 날] 일요일 손등 아래 2 → 3으로 되돌렸다 — 사용자 결정. 다음 캐리(수)까지 이틀이 비는 날이라 회복 여유가 있다. 목요일은 토요일 캐리까지 하루뿐이라 2 그대로. 전완 직접 17 · 실질 20 · 207세트.</t>
  </si>
  <si>
    <t>통증이 나면 그날 증량 금지. 리스트컬은 2026-10-04에 굴근을 줄였다(전완 실질 24 → 20) — 더 줄이는 건 이 조건일 때만</t>
    <phoneticPr fontId="29" type="noConversion"/>
  </si>
  <si>
    <t>디로드 시작일</t>
    <phoneticPr fontId="29" type="noConversion"/>
  </si>
  <si>
    <t>· 계획한 디로드는 위 '디로드 시작일'에 적는다 — 그 주는 주차로 세지 않고 '디로드 주'로 표시되며, 주차 · 중량 · C4가 같이 멈춘다(2026-10-04 사용자 지정). C4는 디로드 주에 그대로 두고 다음 주에 평소처럼 올린다. 계획 밖에 통째로 쉰 주만 앱 달력에서 '한 주 미루기'를 누른다 — 중량만 한 주 늦게 올라가고 주차 표시는 그대로다.</t>
    <phoneticPr fontId="29" type="noConversion"/>
  </si>
  <si>
    <t>· 디로드 주는 주차로 세지 않는다 — 시작중량_설정 '디로드 시작일'에 적어 두면 앱이 그 주를 '디로드 주'로만 표시하고 주차 · 중량 · C4를 같이 멈춘다. 세트는 위 규칙대로 절반으로 보인다(메인은 내림 · 보조는 반올림 · 데드는 0). 그 주는 증량 기록을 적지 않는다.</t>
    <phoneticPr fontId="29" type="noConversion"/>
  </si>
  <si>
    <t>디로드 간격(주)</t>
  </si>
  <si>
    <t>← 증량 6주 + 디로드 1주 = 7(사용자 지정 2026-10-04). 위 시작일 중 마지막 날짜부터 이 간격으로 앱이 디로드를 계속 만든다 — 10/17 · 12/5 · 1/23 · 3/13 … 스쿼트가 2주 연속 막혀 앞당기면 그 토요일을 위 칸에 쉼표로 추가한다(그 뒤는 거기서 다시 7주). 0이면 반복 안 함</t>
  </si>
  <si>
    <t>← 디로드 주가 시작되는 토요일(여럿이면 텍스트로 2026-10-17, 2026-12-05). 그 주는 주차로 세지 않고 디로드 주로만 표시된다 — 주차 · 중량 · C4가 전부 그 주에 멈추고, 앱이 세트를 절반으로 보여 준다. 미루기는 누르지 않는다. 다음 디로드부터는 아래 간격으로 자동</t>
    <phoneticPr fontId="29" type="noConversion"/>
  </si>
  <si>
    <t>· 기본은 증량 6주 + 디로드 1주(7주 덩어리)다 — 시작중량_설정 '디로드 간격(주)' = 7로 앱이 자동 반복한다(2026-10-04 사용자 지정: 10/17 · 12/5 · 1/23 · 3/13 …). 토요일 스쿼트가 2주 연속 안 오르면 그 시점에 앞당기고, 그 토요일을 '디로드 시작일'에 추가한다.</t>
    <phoneticPr fontId="29" type="noConversion"/>
  </si>
  <si>
    <t>짧고 깊은 쪽 — 뒤침 그립으로 좁게 잡아 어깨 신전 구간을 끝까지 쓴다. 이두 계수 0.5가 붙는 자리다. [2026-10-05 4 → 3] 한 세트를 4번 암풀다운으로 넘겼다 — 사용자 제안.</t>
    <phoneticPr fontId="29" type="noConversion"/>
  </si>
  <si>
    <t>암풀다운</t>
    <phoneticPr fontId="29" type="noConversion"/>
  </si>
  <si>
    <t>[2026-10-05 사용자 제안 — 와이드 · 언더그립 각 4 → 3, 그 2세트를 여기로] 스트레이트 암 풀다운. 팔꿈치를 살짝만 굽혀 고정하고 머리 위에서 허벅지까지 어깨 신전만 한다 — 이두가 빠지므로 광배가 그립 · 이두보다 먼저 실패한다. 상체를 조금 숙여 맨 위에서 광배가 늘어나게 한다(늘어난 구간 부하 — 랫풀다운 둘이 못 주는 각도). 그래서 넓게 벌린 경로(와이드) · 좁고 깊은 경로(언더그립) · 팔 편 늘어난 위치(이것) 셋이 고르게 3/3/2로 들어간다. 고립이라 다관절 뒤 마무리로 둔다. 같은 케이블 스테이션에서 로프나 일자 바로 바꾸면 된다. 중량은 첫 세션에 12~15회에 맞춰 잡는다.</t>
    <phoneticPr fontId="29" type="noConversion"/>
  </si>
  <si>
    <t>케이블 풀오버 (로프) / 덤벨 풀오버 / 머신 풀오버</t>
    <phoneticPr fontId="29" type="noConversion"/>
  </si>
  <si>
    <t>[요청 원문 2026-10-02] 목요일 가슴/등 — 목요일 팔을 세트 후반부에 · 등도 나누고  /  등도 수평/수직으로 재택처럼 나뉘었으면 한다는거야  /  일요일을 수평으로 바꿔줘  /  그냥 다 넣어. 팔하는 날에는 슈퍼세트로 묶어서 (전완)  /  목요일 날에 인클라인 벤치프레스 넣어줘. 3세트  /  디클라인 플라이 4 → 3 · 백 익스텐션 3 → 4 (사용자 엑셀 조정)  /  [2026-10-05] 암풀 다운 넣는게 맞을까? → 언더그립, 와이드그립 각각 3세트씩하고, 암풀다운 2세트 하는거는 어때?</t>
    <phoneticPr fontId="29" type="noConversion"/>
  </si>
  <si>
    <t>팔을 편 채 끌어내리며 견갑을 내린다 — 랫풀다운 둘과 같은 견갑 하강 개시 관여. 팔꿈치가 고정이라 이두 · 삼두는 0(등척성) (2026-10-05 신설)</t>
    <phoneticPr fontId="29" type="noConversion"/>
  </si>
  <si>
    <t>직접 3세트: 목요일(수직) 오버헤드 슈러그 3 — 팔이 머리 위라 수직 날에 맞는다. 간접 2.8 — 친업 · 언더그립 랫풀다운 · 와이드 랫풀다운 · 암풀다운 · 해머 스트랭스 로우 각 0.2. 팔이 머리 위에 고정된 채 견갑을 내리는 종목이 이것뿐이다</t>
    <phoneticPr fontId="29" type="noConversion"/>
  </si>
  <si>
    <t>· ⑮ [2026-10-05] 목요일 와이드 오버그립 · 언더그립 랫풀다운 각 4 → 3 + 암풀다운(스트레이트 암) 2 신설 — 사용자 제안. 광배 직접 16 그대로 · 세트 합계 그대로. 다관절 당기기 넷이 전부 이두 · 그립이 먼저 끊기는 구조라 광배를 늘어난 위치에서 끝까지 보내는 고립을 하나 뒀다. 이두 간접은 언더그립 0.5 + 와이드 0.2만큼 줄고, 승모 하부 간접은 암풀다운 0.2×2가 메워 그대로다.</t>
    <phoneticPr fontId="29" type="noConversion"/>
  </si>
  <si>
    <t>· 메인 리프트가 없으므로 세션 상한 26의 적용 대상이 아니다. 고립 30을 빼면 실질 13이다.</t>
    <phoneticPr fontId="29" type="noConversion"/>
  </si>
  <si>
    <t>· 일요일(32세트 73분)과 합쳐 보면 등 블록 둘이 32/43으로 갈린다 — 가슴 10세트가 이 날에 묶여 있어서다. 수요일 104분 · 토요일 101분 다음으로 96분이다.</t>
    <phoneticPr fontId="29" type="noConversion"/>
  </si>
  <si>
    <t>선 자세 유지 등척성 — 버티기만 하는 자극은 세지 않는다(09-04 규칙 · 스쿼트 · 트랩바 슈러그와 같은 무리). 2026-10-05 0.2→0(사용자 결정)</t>
    <phoneticPr fontId="29" type="noConversion"/>
  </si>
  <si>
    <t>광배 등척성 유지 — 바를 몸에 붙여 버티기만 하므로 0(09-04 '버티기만 하는 자극은 세지 않는다'). 2026-10-05 근거 정정 — 예전 근거 '직접 세트가 충분하므로'는 계수를 정하는 이유가 아니었다. 값은 그대로</t>
    <phoneticPr fontId="29" type="noConversion"/>
  </si>
  <si>
    <t>복귀_일_수평당기기</t>
    <phoneticPr fontId="29" type="noConversion"/>
  </si>
  <si>
    <t>넓은 엎침 그립 + 팔꿈치 벌림 — 팔꿈치가 몸통에서 벌어진 채 뒤로 빠지면 후면삼각이 수평 외전을 능동 수행한다. 부분 협력이라 0.33. 주동근(승모 중부 · 능형근)은 요일 시트에서 직접으로 세고, 이건 다른 근육에 얹는 간접이라 이중 계상이 아니다 (2026-10-05 신설 · 사용자 결정)</t>
    <phoneticPr fontId="29" type="noConversion"/>
  </si>
  <si>
    <t>해머 스트랭스 로우(오버그립)</t>
    <phoneticPr fontId="29" type="noConversion"/>
  </si>
  <si>
    <t>[2026-10-05 2 → 4 · 사용자 엑셀 조정] [2026-10-04 사용자 요청] 후면 마무리. 토요일과 같은 머신 · 같은 동작이다 — 팔을 편 채 수평 외전만. 앞에 원암 리버스 플라이 3세트가 있어 토요일보다 덜 나오는 것이 정상이다. 어깨 블록은 측 → 후 → 측 → 후로 교대한다(사용자 지정) — 같은 머리를 연달아 치지 않아 종목 사이가 서로의 휴식이 된다.</t>
    <phoneticPr fontId="29" type="noConversion"/>
  </si>
  <si>
    <t>[2026-10-05 3 → 4 · 사용자 엑셀 조정] 늘어난 구간 — 등받이에 기대 어깨가 뒤로 가면 이두 장두가 신장된다. 프리쳐 컬(짧아진 구간)과 각도를 나눈다.</t>
    <phoneticPr fontId="29" type="noConversion"/>
  </si>
  <si>
    <t>· 주 486분 = 8시간 6분. 주 4회 370분에서 105분 늘었다. 수(104) · 토(101)가 100분을 넘지만 주 4회 시절 일(121)보다는 작다 — 긴 세션 둘이 짧은 넷으로 분산된 것이 이 개편의 실익이다.</t>
    <phoneticPr fontId="29" type="noConversion"/>
  </si>
  <si>
    <t>· ⑯ [2026-10-05] 사용자가 엑셀에서 두 칸을 조정했다 — 월요일 리버스 펙덱 2 → 4(후면 직접 12 → 14) · 화요일 인클라인 덤벨 컬 3 → 4(이두 직접 9 → 10). 207 → 210세트. 같은 날 간접계수맵을 점검해 세 곳을 고쳤다(사용자 결정) — 스미스 바벨 로우 · 오버헤드 슈러그 → 기립근 0.2 → 0(등척성 규칙과 어긋나 있던 줄), 넓은 그립 로우 둘 → 후면삼각 0.33 신설(팔꿈치 벌린 로우의 수평 외전이 장부에 안 잡히고 있었다), 데드 → 광배 0의 근거 문구 정정.</t>
    <phoneticPr fontId="29" type="noConversion"/>
  </si>
  <si>
    <t>· 아직 09-04 규칙서에 대응 줄이 없어 그대로 둔 곳 셋 — 스미스 바벨 로우 → 기립근 0.2 · 오버헤드 슈러그 → 기립근 0.2 · 레그 프레스(발 높게) → 햄스트링 0.2. 같은 '등척성은 0' 논리를 밀면 앞의 둘은 0이 된다. 재택 맵에 대응 줄이 없어 판정 근거가 없으므로 손대지 않았다 — 다음 카드는 여기다. → [2026-10-05 정리 · 사용자 결정] 앞의 둘을 0으로 내렸다 — 재택 맵 대응 줄을 기다릴 이유가 없었다. 규칙 자체가 '버티기만 하는 자극은 세지 않는다'이고 둘 다 근거 칸에 등척성이라고 적혀 있었다. 기립근 실질 11.5('충분'). 레그 프레스(발 높게) → 햄스트링 0.2는 등척성이 아니라 길이 변화가 작은 능동 수축이라 그대로 둔다. 같은 날 넓은 그립 로우 둘 → 후면삼각 0.33을 신설했다 — 후면 실질 18.0.</t>
    <phoneticPr fontId="29" type="noConversion"/>
  </si>
  <si>
    <t>· 높이: 실제 계단 한 칸(17~18cm)에 맞춘다 — 발판에 받침 1단이면 대개 이 높이다. 높이 올리기는 시간 · 무게 다음의 마지막 수단이고, 무릎이 90°보다 깊게 굽는 높이는 쓰지 않는다.</t>
  </si>
  <si>
    <t>· 동작: 올라-올라-내려-내려가 1회, 분당 20회 안팎. 발 전체를 판 위에 올리고(뒤꿈치가 걸치지 않게) 올라간 다리로 밀어 선다 — 뒷발로 튕기지 않는다.</t>
  </si>
  <si>
    <t>· 리드 다리: 1분마다(또는 20회마다) 바꾼다. 한쪽만 먼저 올리면 그 다리만 지친다.</t>
  </si>
  <si>
    <t>· 안전: 내려설 때는 발판 바로 뒤에 — 멀리 내리면 뒤로 넘어진다. 발판이 매트 위에서 밀리지 않는지 먼저 확인한다. 덤벨이 미끄러지거나 다리가 휘청이면 시간을 못 채워도 바로 끊는다.</t>
  </si>
  <si>
    <t>· 내려오는 동작을 천천히 — 배달에서 계단 내려올 때 브레이크를 거는 힘(허벅지 앞 신장성)이 여기서 길러진다. 기계 계단에는 없던 부분이다.</t>
  </si>
  <si>
    <t>이 연습의 목적이 악력이다 (스텝박스에서는 허용)</t>
    <phoneticPr fontId="29" type="noConversion"/>
  </si>
  <si>
    <t>악력을 매일 무겁게 쓰면 회복이 안 돼 오히려 안 오른다. 나머지 날은 복귀_스텝박스로 채운다</t>
    <phoneticPr fontId="29" type="noConversion"/>
  </si>
  <si>
    <t>캐리 → 스텝박스(짧게)</t>
    <phoneticPr fontId="29" type="noConversion"/>
  </si>
  <si>
    <t>· ⑰ [2026-10-05] 천국의 계단 → 스텝박스(헬스용 발판) — 사용자 결정. 요일 · 4주 램프 · 무게(12~16kg)는 그대로, 시트 이름이 복귀_스텝박스로 바뀌었다. 손잡이를 잡을 일이 없어 덤벨 들기가 자연스럽고, 기계 계단에 없던 내려오는 동작이 생겨 배달 계단과 더 비슷하다. 세트 합계 밖이라 210세트 그대로.</t>
  </si>
  <si>
    <r>
      <rPr>
        <sz val="10"/>
        <rFont val="맑은 고딕"/>
        <family val="3"/>
        <charset val="129"/>
      </rPr>
      <t>레터럴</t>
    </r>
    <r>
      <rPr>
        <sz val="10"/>
        <rFont val="Calibri"/>
        <family val="2"/>
      </rPr>
      <t xml:space="preserve"> </t>
    </r>
    <r>
      <rPr>
        <sz val="10"/>
        <rFont val="맑은 고딕"/>
        <family val="3"/>
        <charset val="129"/>
      </rPr>
      <t>레이즈</t>
    </r>
    <phoneticPr fontId="29" type="noConversion"/>
  </si>
  <si>
    <t>캐리 — 무겁게 들고 걷기 (생수배송 대비 · 2026-10-04 신설 · 2026-10-05 회차마다 증량으로 당김)</t>
    <phoneticPr fontId="29" type="noConversion"/>
  </si>
  <si>
    <t>막힘 없으면 디로드 한 주 포함 4주 만에 36kg(10/31 토). 2026-10-05 주 1회 → 회차마다로 당겼다(사용자 결정, 원래 11/21). 이보다 빠르게는 안 올린다 — 팔꿈치 힘줄이 근육보다 늦게 적응한다</t>
    <phoneticPr fontId="29" type="noConversion"/>
  </si>
  <si>
    <t>같은 무게 3회 연속 놓침 · 팔꿈치 안쪽/바깥쪽 통증</t>
    <phoneticPr fontId="29" type="noConversion"/>
  </si>
  <si>
    <t>진행표 (회차 = 캐리 하는 날 · 토와 수)</t>
    <phoneticPr fontId="29" type="noConversion"/>
  </si>
  <si>
    <t>회차</t>
    <phoneticPr fontId="29" type="noConversion"/>
  </si>
  <si>
    <t>날짜</t>
    <phoneticPr fontId="29" type="noConversion"/>
  </si>
  <si>
    <t>· ⑱ [2026-10-05] 캐리 증량을 주 1회 → 회차마다(토 · 수 각 +2kg)로 당겼다 — 사용자 결정. 36kg 도달 11/21 → 10/31. 진행표가 주차 10줄에서 회차 18줄(10/3 ~ 12/2)로 바뀌었다. 세트 합계 밖이라 210세트 그대로.</t>
  </si>
  <si>
    <t>진행표 — 메인 날(토 · 수)마다 한 칸, 짧은 날(일 · 월 · 목)은 바로 앞 칸의 짧은 날 값 · 휴식은 전부 60초</t>
  </si>
  <si>
    <t>회차</t>
  </si>
  <si>
    <t>메인 한 손(kg)</t>
  </si>
  <si>
    <t>메인 분</t>
  </si>
  <si>
    <t>메인 세트</t>
  </si>
  <si>
    <t>짧은 날 한 손(kg)</t>
  </si>
  <si>
    <t>짧은 날 분</t>
  </si>
  <si>
    <t>짧은 날 세트</t>
  </si>
  <si>
    <t>· 배달 일이 시작되면 실제 일(몇 층 · 몇 팩 · 한 번에 몇 분)과 비교해 이 표를 다시 본다.</t>
  </si>
  <si>
    <t>· ⑲ [2026-10-05] 스텝박스 목표를 '한 손 36kg 맨손 5분 연속'으로 — 사용자 지정. 4주 램프(12~16kg에서 멈춤)를 회차 진행표로 바꿨다: 16kg 맨손 3분에서 시작, 메인 날(토 · 수)마다 3 → 4 → 5분 → +2kg. 짧은 날은 메인의 70%. 표대로면 36kg × 5분은 2027-02-17. 세트 합계 밖이라 210세트 그대로.</t>
  </si>
  <si>
    <t>스텝박스 오르내리기 + 덤벨 (생수배송 대비 · 2026-10-04 신설 · 10-05 천국의 계단 → 스텝박스 · 10-05 일 시작(11월 중순 ~ 12월 초)에 맞춰 메인 날마다 +2kg)</t>
    <phoneticPr fontId="29" type="noConversion"/>
  </si>
  <si>
    <t>짧은 날 손</t>
  </si>
  <si>
    <t>· 메인 날(토 · 수 — 캐리 뒤)은 맨손. 시간은 2분 × 2로 고정하고 한 칸마다 +2kg. 36kg에 닿으면 그때부터 시간을 3 → 4 → 5분으로 늘린다. 시간과 무게를 한 번에 둘 다 올리지 않는다.</t>
  </si>
  <si>
    <t>· 메인 날 맨손으로 미끄러지기 시작하면 스트랩을 차고 시간만 채운다 — 그 세트는 맨손 기록으로 치지 않는다.</t>
  </si>
  <si>
    <t>· 표는 날짜로 간다. 칸을 못 채웠으면(내려놓음 · 스트랩) 다음 메인 날 그 칸을 한 번 더 하고, 팔꿈치 바깥쪽 통증이 4/10을 넘는 날은 무게를 올리지 않는다.</t>
  </si>
  <si>
    <t>· 현실 점검: 막힘 없이 가면 11/18 36kg × 2분이지만, 손이 먼저 막혀 26~30kg 근처에서 같은 칸을 몇 번 반복하는 게 흔하다. 12월 초 30kg 이상 × 2분이면 일을 시작해도 된다 — 캐리 표대로면 36kg × 40초는 10/31에 이미 된다.</t>
  </si>
  <si>
    <t>· ⑳ [2026-10-05 같은 날] 배달 일을 11월 중순(늦어도 12월 초)에 시작하기로 해 스텝박스를 당겼다 — 사용자 결정. 메인 날마다 2분 × 2 고정 · +2kg(10/7 16kg → 11/18 36kg) → 36kg에서 3 · 4 · 5분(11/28). 짧은 날은 같은 무게 · 스트랩 착용 · 3분 × 2. 일 시작 기준은 36kg × 2분(7층 한 번), 5분 연속은 일을 하면서 채워도 된다.</t>
  </si>
  <si>
    <t>· 짧은 날(일 · 월 · 목)은 바로 앞 메인과 같은 무게 · 스트랩 착용 · 시간은 3분 × 2(~10/23, 디로드 주 포함) → 4분 × 2(10/24~) → 5분 × 2(10/31~ 고정). 다리와 숨은 메인만큼 힘들게, 손과 팔꿈치(바깥쪽 신근)는 쉬게 — 맨손으로 무겁게 쥐는 날은 주 2회(토 · 수)로 지킨다. 스트랩이라 무게와 시간이 같이 올라도 된다 — '둘 다 한 번에 올리지 않는다'는 손을 지키는 규칙이다(2026-10-05 사용자 결정).</t>
    <phoneticPr fontId="29" type="noConversion"/>
  </si>
  <si>
    <t>· ㉑ [2026-10-05 같은 날] 스텝박스 짧은 날 시간 3분 고정 → 3 · 4 · 5분 램프(10/24부터 4분 · 10/31부터 5분 × 2) — 사용자 결정. 스트랩이라 손은 쉬고, 일 목표인 5분 연속을 다리 · 숨이 먼저 익힌다.</t>
  </si>
  <si>
    <t>아침에 일어나서 한 번, 저녁 먹고 산책 뒤 한 번. 실제 배달처럼 한쪽 3팩 — 2 · 3번 팩 손잡이에 푸쉬업바를 끼워 손에 들고, 1번 팩은 옆구리와 2번 팩 위에 걸친다. 1번 무게가 일부 손으로 내려와 손 하중은 한쪽 30~36kg이다. 푸쉬업바에 스트랩을 감는다. 세트 카운트 · 세트검산에는 넣지 않는다.</t>
  </si>
  <si>
    <t>시작일</t>
  </si>
  <si>
    <t>한쪽</t>
  </si>
  <si>
    <t>아침</t>
  </si>
  <si>
    <t>저녁</t>
  </si>
  <si>
    <t>바에 2팩(24kg) · 1번 팩 없이 · 스트랩</t>
  </si>
  <si>
    <t>토 · 일 · 월 · 수 · 목</t>
  </si>
  <si>
    <t>지하 1층 → 7층 1~2왕복</t>
  </si>
  <si>
    <t>3팩(6팩 전부 · 손 30~36kg) · 스트랩</t>
  </si>
  <si>
    <t>일 · 월 · 목</t>
  </si>
  <si>
    <t>· 스트랩은 푸쉬업바에 감는다 — 손은 쉬고 다리 · 숨 · 어깨만 쓴다. 맨손으로 무겁게 쥐는 건 헬스장 메인 날(토 · 수)뿐이다. 손 하중이 30kg을 넘으니 하루 2번 맨손이면 팔꿈치가 못 버틴다.</t>
  </si>
  <si>
    <t>· 메인 날(토 · 수) 저녁은 쉰다 — 헬스장에서 맨손 캐리 + 스텝박스로 손을 이미 다 썼다.</t>
  </si>
  <si>
    <t>· 화 · 금은 아침 · 저녁 다 쉰다 — 다음 날 데드 · 스쿼트다.</t>
  </si>
  <si>
    <t>· 1번 팩 없이 한 주 먼저 — 옆구리에 끼우는 힘(팔을 몸통에 붙여 조이기)은 처음 쓰는 부담이라 한 단계씩. 저녁 추가는 6팩에 익숙해진 뒤(10/24~).</t>
  </si>
  <si>
    <t>· 6팩 처음 들기 전: 평지에서 들고 30초 서서 흔들어 본다. 바가 휘거나 손잡이가 헛돌면 쓰지 않는다 — 계단에서 부러지면 생수와 같이 넘어진다.</t>
  </si>
  <si>
    <t>· 자세: 어깨를 으쓱 올리지 말고 내린 채로 걷는다. 몸이 한쪽으로 기울거나 허리가 비틀리면 그날은 거기서 끝.</t>
  </si>
  <si>
    <t>· 계단 손잡이를 못 잡으니 내려올 때 천천히, 발 디딜 곳을 보면서.</t>
  </si>
  <si>
    <t>· 디로드 주(10/17 ~ 10/23)는 왕복 1번만.</t>
  </si>
  <si>
    <t>· 먼저 빼는 신호: 팔꿈치 바깥쪽 통증 4/10 초과 · 아침에 허리나 무릎이 뻐근함 · 스쿼트나 데드 무게가 떨어짐 → 집부터 줄인다(저녁 → 아침 순). 헬스장 표가 우선이다.</t>
  </si>
  <si>
    <r>
      <rPr>
        <b/>
        <sz val="14"/>
        <color theme="1"/>
        <rFont val="Calibri"/>
        <family val="2"/>
        <charset val="1"/>
      </rPr>
      <t>집</t>
    </r>
    <r>
      <rPr>
        <b/>
        <sz val="14"/>
        <color theme="1"/>
        <rFont val="Calibri"/>
        <family val="2"/>
      </rPr>
      <t xml:space="preserve"> — </t>
    </r>
    <r>
      <rPr>
        <b/>
        <sz val="14"/>
        <color theme="1"/>
        <rFont val="Calibri"/>
        <family val="2"/>
        <charset val="1"/>
      </rPr>
      <t>진짜</t>
    </r>
    <r>
      <rPr>
        <b/>
        <sz val="14"/>
        <color theme="1"/>
        <rFont val="Calibri"/>
        <family val="2"/>
      </rPr>
      <t xml:space="preserve"> </t>
    </r>
    <r>
      <rPr>
        <b/>
        <sz val="14"/>
        <color theme="1"/>
        <rFont val="Calibri"/>
        <family val="2"/>
        <charset val="1"/>
      </rPr>
      <t>생수팩</t>
    </r>
    <r>
      <rPr>
        <b/>
        <sz val="14"/>
        <color theme="1"/>
        <rFont val="Calibri"/>
        <family val="2"/>
      </rPr>
      <t xml:space="preserve"> + </t>
    </r>
    <r>
      <rPr>
        <b/>
        <sz val="14"/>
        <color theme="1"/>
        <rFont val="Calibri"/>
        <family val="2"/>
        <charset val="1"/>
      </rPr>
      <t>아파트</t>
    </r>
    <r>
      <rPr>
        <b/>
        <sz val="14"/>
        <color theme="1"/>
        <rFont val="Calibri"/>
        <family val="2"/>
      </rPr>
      <t xml:space="preserve"> </t>
    </r>
    <r>
      <rPr>
        <b/>
        <sz val="14"/>
        <color theme="1"/>
        <rFont val="Calibri"/>
        <family val="2"/>
        <charset val="1"/>
      </rPr>
      <t>계단</t>
    </r>
    <r>
      <rPr>
        <b/>
        <sz val="14"/>
        <color theme="1"/>
        <rFont val="Calibri"/>
        <family val="2"/>
      </rPr>
      <t xml:space="preserve"> (</t>
    </r>
    <r>
      <rPr>
        <b/>
        <sz val="14"/>
        <color theme="1"/>
        <rFont val="Calibri"/>
        <family val="2"/>
        <charset val="1"/>
      </rPr>
      <t>생수배송</t>
    </r>
    <r>
      <rPr>
        <b/>
        <sz val="14"/>
        <color theme="1"/>
        <rFont val="Calibri"/>
        <family val="2"/>
      </rPr>
      <t xml:space="preserve"> </t>
    </r>
    <r>
      <rPr>
        <b/>
        <sz val="14"/>
        <color theme="1"/>
        <rFont val="Calibri"/>
        <family val="2"/>
        <charset val="1"/>
      </rPr>
      <t>대비</t>
    </r>
    <r>
      <rPr>
        <b/>
        <sz val="14"/>
        <color theme="1"/>
        <rFont val="Calibri"/>
        <family val="2"/>
      </rPr>
      <t xml:space="preserve"> · 2026-10-05 </t>
    </r>
    <r>
      <rPr>
        <b/>
        <sz val="14"/>
        <color theme="1"/>
        <rFont val="Calibri"/>
        <family val="2"/>
        <charset val="1"/>
      </rPr>
      <t>신설</t>
    </r>
    <r>
      <rPr>
        <b/>
        <sz val="14"/>
        <color theme="1"/>
        <rFont val="Calibri"/>
        <family val="2"/>
      </rPr>
      <t xml:space="preserve">, </t>
    </r>
    <r>
      <rPr>
        <b/>
        <sz val="14"/>
        <color theme="1"/>
        <rFont val="Calibri"/>
        <family val="2"/>
        <charset val="1"/>
      </rPr>
      <t>사용자</t>
    </r>
    <r>
      <rPr>
        <b/>
        <sz val="14"/>
        <color theme="1"/>
        <rFont val="Calibri"/>
        <family val="2"/>
      </rPr>
      <t xml:space="preserve"> </t>
    </r>
    <r>
      <rPr>
        <b/>
        <sz val="14"/>
        <color theme="1"/>
        <rFont val="Calibri"/>
        <family val="2"/>
        <charset val="1"/>
      </rPr>
      <t>제안</t>
    </r>
    <r>
      <rPr>
        <b/>
        <sz val="14"/>
        <color theme="1"/>
        <rFont val="Calibri"/>
        <family val="2"/>
      </rPr>
      <t>)</t>
    </r>
  </si>
  <si>
    <r>
      <t>단계</t>
    </r>
    <r>
      <rPr>
        <b/>
        <sz val="11"/>
        <color theme="1"/>
        <rFont val="Calibri"/>
        <family val="2"/>
      </rPr>
      <t xml:space="preserve"> (</t>
    </r>
    <r>
      <rPr>
        <b/>
        <sz val="11"/>
        <color theme="1"/>
        <rFont val="Calibri"/>
        <family val="2"/>
        <charset val="1"/>
      </rPr>
      <t>시작일부터</t>
    </r>
    <r>
      <rPr>
        <b/>
        <sz val="11"/>
        <color theme="1"/>
        <rFont val="Calibri"/>
        <family val="2"/>
      </rPr>
      <t xml:space="preserve"> </t>
    </r>
    <r>
      <rPr>
        <b/>
        <sz val="11"/>
        <color theme="1"/>
        <rFont val="Calibri"/>
        <family val="2"/>
        <charset val="1"/>
      </rPr>
      <t>다음</t>
    </r>
    <r>
      <rPr>
        <b/>
        <sz val="11"/>
        <color theme="1"/>
        <rFont val="Calibri"/>
        <family val="2"/>
      </rPr>
      <t xml:space="preserve"> </t>
    </r>
    <r>
      <rPr>
        <b/>
        <sz val="11"/>
        <color theme="1"/>
        <rFont val="Calibri"/>
        <family val="2"/>
        <charset val="1"/>
      </rPr>
      <t>줄</t>
    </r>
    <r>
      <rPr>
        <b/>
        <sz val="11"/>
        <color theme="1"/>
        <rFont val="Calibri"/>
        <family val="2"/>
      </rPr>
      <t xml:space="preserve"> </t>
    </r>
    <r>
      <rPr>
        <b/>
        <sz val="11"/>
        <color theme="1"/>
        <rFont val="Calibri"/>
        <family val="2"/>
        <charset val="1"/>
      </rPr>
      <t>전날까지</t>
    </r>
    <r>
      <rPr>
        <b/>
        <sz val="11"/>
        <color theme="1"/>
        <rFont val="Calibri"/>
        <family val="2"/>
      </rPr>
      <t>)</t>
    </r>
  </si>
  <si>
    <t>· ㉒ [2026-10-05 같은 날] 집 운동 신설 — 시트 복귀_집계단. 아침 · 저녁 산책 뒤 진짜 생수팩(한쪽 3팩 · 푸쉬업바 + 스트랩)으로 지하 1층 → 7층 1~2왕복. 10/6 바 2팩 아침 → 10/12 6팩 아침 → 10/24 6팩 아침 + 저녁(일 · 월 · 목). 메인 날 저녁 · 화 · 금은 쉰다. 사용자 제안.</t>
  </si>
  <si>
    <t>· ㉓ [2026-10-06] 측면 삼각 토 레터럴 4 → 6 · 수 레터럴 3 → 6 — 사용자 결정. 기준은 '세션당 한 근육 6세트' — 그 위로는 세트당 효과가 줄어든다(연구상 6~10세트 범위의 보수적 끝). 6 아래로 남아 있던 두 날을 6까지 채웠고, 이미 7인 월요일은 사용자 지정으로 그대로 뒀다. 후면(월 7)도 그대로. 측면 직접 14 → 19 · 실질 16 → 21로 검산 판정이 '과다 점검'(20 초과)으로 바뀐다 — RP MAV 상단(약 22) 안쪽이다. 210 → 215세트.</t>
  </si>
  <si>
    <t>와이드 그립 업라이트 로우</t>
  </si>
  <si>
    <t>케이블 업라이트 로우 (일자 바) / 스미스 업라이트 로우 / 덤벨 업라이트 로우</t>
  </si>
  <si>
    <t>[2026-10-06 사용자 결정 — 다양성] 6 → 3 — 앞 3세트를 와이드 그립 업라이트 로우로 나눴다. 측면 토 6 · 월 7 · 수 6 · 주 19 그대로. 업라이트 로우 뒤라 중량이 평소보다 한 칸 낮게 나와도 정상이다. 마지막 세트 드롭(+60초)은 이 종목에 남긴다. [2026-10-06 세션당 6세트 기준] 측면 삼각은 간접 자극이 2.0세트뿐이라 직접 세트로만 채워진다.</t>
    <phoneticPr fontId="29" type="noConversion"/>
  </si>
  <si>
    <t>견갑 거상 · 상방 회전 협력 — 넓은 그립에 팔꿈치를 어깨 높이에서 멈추면 승모 상부는 주도하지 않고 돕는다(부분 협력 0.33). 케이블 Y 레이즈는 레터럴 변형이라 줄을 두지 않는다. 2026-10-06 신설</t>
  </si>
  <si>
    <t>· 어깨 블록을 4~7번에 둔 이유 — 레그 컬 · 이너 · 아우터 타이 · 카프는 어깨와 경쟁하지 않는 고립이라 뒤로 보냈다. 어깨가 세션 맨 끝에 오면 하체 고립 15세트를 더 지나야 하고, 그 자리에서는 레터럴 중량이 먼저 떨어진다.</t>
    <phoneticPr fontId="29" type="noConversion"/>
  </si>
  <si>
    <t>스쿼트 5×5가 앞, 어깨 블록이 4~7번(프레스 · 업라이트 로우 · 레터럴 · 리버스 펙덱). 금요일 휴식 다음날이라 주 전체에서 가장 신선하다. 레그 컬 · 이너 · 아우터 · 카프는 어깨와 경쟁하지 않아 뒤로 보냈다 — 햄스트링 중량은 이 날이 가장 잘 나온다</t>
    <phoneticPr fontId="29" type="noConversion"/>
  </si>
  <si>
    <t>· ㉔ [2026-10-06] 측면 종목 다양화 — 사용자 결정. 토요일 덤벨 레터럴 6 → 와이드 그립 업라이트 로우 3 + 레터럴 3, 수요일 덤벨 레터럴 6 → 레터럴 3 + 케이블 Y 레이즈 3(드롭은 Y 레이즈로). 덤벨 레터럴이 두 날에 겹쳐 있던 자리를 하나씩 갈랐다 — 신선한 토요일엔 가장 무거운 다관절, 프레스 직후 수요일엔 늘어난 구간 고립. 세트 수 · 측면 19 그대로, 간접계수맵에 업라이트 로우 → 승모(상부) 0.33 신설. 215세트 · 주 495분.</t>
  </si>
  <si>
    <t>[2026-10-06 사용자 결정] 4 → 6 — 후면 직접 14 → 16 · 실질 18 → 20. 세션당 6세트 기준으로 6 아래인 날 중 금요일 휴식 다음날이라 가장 신선한 토요일을 골랐다(수요일은 데드 뒤 · 이미 가장 긴 날). 마지막 세트 드롭(+60초)은 그대로. 후면 삼각. 월요일 원암 케이블 리버스 플라이와 저항곡선이 갈린다 — 머신은 중간 구간, 케이블은 수축 끝단. 팔을 편 채 수평 외전만 한다 — 견갑 후인 · 외회전은 일요일 페이스풀이 맡는다.</t>
    <phoneticPr fontId="29" type="noConversion"/>
  </si>
  <si>
    <t>· ㉕ [2026-10-06] 토요일 리버스 펙덱 4 → 6 — 사용자 결정. 후면 직접 14 → 16 · 실질 18 → 20(판정 '충분' — 20 초과부터 '과다 점검'). 세션당 6세트 기준으로 월(7)은 제외, 토 · 수 중 신선한 토요일. 목적은 정면 폭이 아니라 측면에서 본 어깨 두께와 프레스 볼륨 대비 앞뒤 균형. 215 → 217세트 · 주 499분.</t>
  </si>
  <si>
    <t>직접 16세트: 토요일 리버스 펙덱 6 (2026-10-06 4 → 6 · 사용자 결정) · 월요일 원암 케이블 리버스 플라이 3 · 리버스 펙덱 4 · 수요일 벤트오버 레터럴 머신 3. 간접 4.0 — 목요일 페이스풀 0.5×3 + 일요일 넓은 그립 로우 0.33×(4+3). [2026-10-05 신설] 팔꿈치를 벌린 수평 로우는 후면삼각이 수평 외전을 능동 수행하는데 그동안 0이었다. 주동근은 그대로 승모 중부 · 능형근 직접이고, 이건 다른 근육에 얹는 간접이라 이중 계상이 아니다. [2026-10-04] 월요일 리버스 플라이를 원암으로(사용자 지정 — 집중이 더 잘 된다) · 같은 날 리버스 펙덱 2를 더했다(사용자 요청) — 10 → 12. [2026-10-05] 월요일 리버스 펙덱 2 → 4(사용자 엑셀 조정) — 12 → 14. 실질 18.0로 측면(16.0)보다 높다 — 후면을 더 넣을지 볼 때 이 숫자가 기준이다. 월요일 어깨 블록은 측 → 후 → 측 → 후로 교대한다</t>
    <phoneticPr fontId="29" type="noConversion"/>
  </si>
  <si>
    <t>· 삼각근 측면 21.0 · 후면 20.0 — 셋으로 나눠 주 3회. 2026-10-04에 둘 다 월요일에서 올렸고(측면 10 → 14 · 후면 10 → 12), 2026-10-05 후면 12 → 14(리버스 펙덱), 2026-10-06 측면 14 → 19(토 · 수 레터럴을 세션당 6까지) · 후면 14 → 16(토 리버스 펙덱 4 → 6). 월요일 어깨 블록은 측 → 후 → 측 → 후 교대.</t>
    <phoneticPr fontId="29" type="noConversion"/>
  </si>
  <si>
    <t>해머 컬</t>
  </si>
  <si>
    <t>케이블 로프 해머 컬 / 크로스바디 해머 컬 / 시티드 해머 컬</t>
  </si>
  <si>
    <t>[2026-10-06 사용자 요청] 뉴트럴 그립(엄지가 위) 컬 — 손바닥이 마주 보면 이두 장두의 역학적 이점이 줄고 상완근 · 상완요골근이 주동으로 올라온다. 앞의 인클라인 컬(뒤침 · 늘어난 구간)과 그립으로 갈리고, 뒤의 리버스컬(엎침)과 함께 뒤침 → 중립 → 엎침 순서가 된다. 근육군은 팔꿈치 굴곡이라 이두로 세고, 상완요골근 몫은 간접계수맵에 전완 0.5로 얹었다. 이 날 이두가 7세트로 세션당 6세트를 넘지만 사용자 지정 예외다. 덤벨을 몸 옆에 붙인 채 상완을 고정하고, 내릴 때 2초. 중량 10은 출발값 — 첫 세션에 8~12회에 맞춰 적는다.</t>
  </si>
  <si>
    <t>뉴트럴 그립 팔꿈치 굴곡 — 상완요골근이 능동 수축하는 명확한 협력근(0.5). 손목 굴근은 덤벨을 쥐고 버티기만 하므로(등척성) 세지 않는다. 2026-10-06 신설</t>
  </si>
  <si>
    <t>· ㉖ [2026-10-06] 화요일 해머 컬 3 신설 — 사용자 요청. 인클라인 컬 뒤 · 리버스컬 앞(뒤침 → 중립 → 엎침). 이두로 세고 전완 간접 0.5(상완요골근). 이두 직접 10 → 13 · 실질 20.5, 전완 실질 22. 화요일 이두가 7세트로 세션당 6세트를 넘지만 사용자 지정 예외(월 측면 · 후면 7과 같은 취급). 220세트 · 주 505분.</t>
  </si>
  <si>
    <t>[2026-10-06] 화요일 해머 컬 → 전완 간접 0.5×3 추가(상완요골근). 직접 세트는 그대로. [2026-10-04] 직접 17: 굴근(손등 아래) 일 3 · 화 0(보류) · 목 2 — 생수배송 대비 캐리 · 계단이 굴근을 채운다. 신근 9 · 리버스컬 3은 그대로. 실질 24.0 → 20. 이전 기록: 직접 21세트: 리스트 컬 굴근 · 신근 슈퍼세트를 팔 하는 날 셋에 각 3+3(일 · 화 · 목) + 화요일 리버스컬 3. 간접 3.0 — 컬 3종 0.33씩. [2026-10-02 사용자 지정 '그냥 다 넣어'] 9 → 21로 올렸고 빈도가 주 1회 → 3회가 됐다. 실질 24.0으로 천장(20)을 넘겨 '과다 점검'이 뜨는 첫 부위다. 굴근은 일 · 목에서 당기기(16 · 11세트) 뒤에 오므로 중량을 7.5로 낮춰 잡았다(화요일 10) — 신근은 세 날 다 같은 중량이다 — 당기기가 신근을 전혀 쓰지 않아 날마다 흔들리지 않는다. 전완은 세 갈래이고 셋을 다 덮는다 — 손목 굴근군(앞면 · 손등 아래 9) · 손목 신근군(뒷면 · 손등 위 9) · 상완요골근(요측 · 팔꿈치를 넘는다 · 리버스컬 3). 리스트 컬 두 개가 가르는 것은 앞/뒤이고, 요측 / 척측(엄지쪽 / 새끼손가락쪽)으로 가르는 종목은 없다. 신근 중량은 7.5로 통일했다 — 굴근의 절반 남짓한 힘이라 같은 10kg을 쓰는 것이 말이 안 됐다(재택도 굴근 15 / 신근 10으로 갈라 둔다). 되돌리려면 일 · 목의 굴근(손등 아래)부터 뺀다 — 순수 그립이 온종일 등척성으로 쓰는 쪽이고, 09-04 규칙상 그 등척성은 계수 0이라 표에 안 보이지만 실제 부하는 있다. 신근은 그립이 전혀 안 쓰는 근육이라 마지막까지 남긴다</t>
    <phoneticPr fontId="29" type="noConversion"/>
  </si>
  <si>
    <t>220세트</t>
    <phoneticPr fontId="29" type="noConversion"/>
  </si>
  <si>
    <t>주 4회 140에서 올렸다. 유지선은 75. 현장 일 보정이 사라진 자리들 + 2026-10-02 사용자 추가 여섯(원 레그 컬 · 발 높은 레그 프레스 · 수요일 이너/아우터 · 페이스풀 · 전완 슈퍼세트 주 3회 · 백 익스텐션 주 2회) · 2026-10-04 월요일 측면 +4 · 후면 +2 · 2026-10-05 후면 +2 · 이두 +1 · 2026-10-06 측면 +5(토 · 수 레터럴을 세션당 6까지) · 후면 +2(토 리버스 펙덱 4 → 6) · 이두 +3(화 해머 컬)</t>
    <phoneticPr fontId="29" type="noConversion"/>
  </si>
  <si>
    <t>[2026-10-07 수 → 화 · 사용자 요청] 중둔근은 데드와 거의 관계없어 강도는 평소대로 간다. 선 자세 · 편측이라 고관절이 펴진 각도에서 외전한다 — 앉아서 하는 아우터 타이(고관절 굽힘)와 각도가 갈린다. 둘 중 이쪽이 좌우 차가 드러나므로 아우터 타이 앞에 둬 더 신선한 자리를 줬다.</t>
    <phoneticPr fontId="29" type="noConversion"/>
  </si>
  <si>
    <t>[2026-10-07 수 → 화 · 사용자 요청] 데드 전날이라 RIR 1~2로 끊는다 — 대내전근은 데드의 고관절 신전 협력근이다. [2026-10-02 사용자 요청 — 토요일과 같은 슈퍼세트를 이 날에도] 내전근 직접이 주 4세트뿐이라 실질 6.5로 하한(8) 아래였다. 이 4세트로 8 → 실질 10.5가 된다. 아우터와 슈퍼세트 — 같은 머신에서 핀만 옮기므로 휴식 10초가 전환 시간이다.</t>
    <phoneticPr fontId="29" type="noConversion"/>
  </si>
  <si>
    <t>복귀_화_팔</t>
    <phoneticPr fontId="29" type="noConversion"/>
  </si>
  <si>
    <t>[팔 블록은 건드리지 않았다]</t>
    <phoneticPr fontId="29" type="noConversion"/>
  </si>
  <si>
    <t>· 화요일을 고른 이유 — 여섯 날 중 가장 가벼웠고(28세트 51분), 팔 · 목 · 복근 날이라 고관절 종목과 겹치는 근육이 없다. 옮긴 뒤 화 · 수가 둘 다 약 80분이다. 주간 세트 · 분 총량과 부위별 직접 세트는 그대로다.</t>
  </si>
  <si>
    <t>· 이너 · 아우터는 토 · 화로 3~4일 간격이 된다 — 주 2회 배치가 토 · 수일 때와 같은 고르기다.</t>
  </si>
  <si>
    <t>[요청 원문 2026-10-07] 나 이너타이/아우터타이, 힙쓰러스트, 힙 외회전은 그냥 화요일로 보내면 안될까? 양이 너무 많아서..</t>
  </si>
  <si>
    <r>
      <t>[</t>
    </r>
    <r>
      <rPr>
        <b/>
        <sz val="11"/>
        <color theme="1"/>
        <rFont val="Calibri"/>
        <family val="2"/>
        <charset val="1"/>
      </rPr>
      <t>고관절</t>
    </r>
    <r>
      <rPr>
        <b/>
        <sz val="11"/>
        <color theme="1"/>
        <rFont val="Calibri"/>
        <family val="2"/>
      </rPr>
      <t xml:space="preserve"> </t>
    </r>
    <r>
      <rPr>
        <b/>
        <sz val="11"/>
        <color theme="1"/>
        <rFont val="Calibri"/>
        <family val="2"/>
        <charset val="1"/>
      </rPr>
      <t>고립</t>
    </r>
    <r>
      <rPr>
        <b/>
        <sz val="11"/>
        <color theme="1"/>
        <rFont val="Calibri"/>
        <family val="2"/>
      </rPr>
      <t xml:space="preserve"> </t>
    </r>
    <r>
      <rPr>
        <b/>
        <sz val="11"/>
        <color theme="1"/>
        <rFont val="Calibri"/>
        <family val="2"/>
        <charset val="1"/>
      </rPr>
      <t>블록</t>
    </r>
    <r>
      <rPr>
        <b/>
        <sz val="11"/>
        <color theme="1"/>
        <rFont val="Calibri"/>
        <family val="2"/>
      </rPr>
      <t xml:space="preserve"> — 2026-10-07 </t>
    </r>
    <r>
      <rPr>
        <b/>
        <sz val="11"/>
        <color theme="1"/>
        <rFont val="Calibri"/>
        <family val="2"/>
        <charset val="1"/>
      </rPr>
      <t>수요일에서</t>
    </r>
    <r>
      <rPr>
        <b/>
        <sz val="11"/>
        <color theme="1"/>
        <rFont val="Calibri"/>
        <family val="2"/>
      </rPr>
      <t xml:space="preserve"> </t>
    </r>
    <r>
      <rPr>
        <b/>
        <sz val="11"/>
        <color theme="1"/>
        <rFont val="Calibri"/>
        <family val="2"/>
        <charset val="1"/>
      </rPr>
      <t>옮겨</t>
    </r>
    <r>
      <rPr>
        <b/>
        <sz val="11"/>
        <color theme="1"/>
        <rFont val="Calibri"/>
        <family val="2"/>
      </rPr>
      <t xml:space="preserve"> </t>
    </r>
    <r>
      <rPr>
        <b/>
        <sz val="11"/>
        <color theme="1"/>
        <rFont val="Calibri"/>
        <family val="2"/>
        <charset val="1"/>
      </rPr>
      <t>옴</t>
    </r>
    <r>
      <rPr>
        <b/>
        <sz val="11"/>
        <color theme="1"/>
        <rFont val="Calibri"/>
        <family val="2"/>
      </rPr>
      <t xml:space="preserve"> · </t>
    </r>
    <r>
      <rPr>
        <b/>
        <sz val="11"/>
        <color theme="1"/>
        <rFont val="Calibri"/>
        <family val="2"/>
        <charset val="1"/>
      </rPr>
      <t>사용자</t>
    </r>
    <r>
      <rPr>
        <b/>
        <sz val="11"/>
        <color theme="1"/>
        <rFont val="Calibri"/>
        <family val="2"/>
      </rPr>
      <t xml:space="preserve"> </t>
    </r>
    <r>
      <rPr>
        <b/>
        <sz val="11"/>
        <color theme="1"/>
        <rFont val="Calibri"/>
        <family val="2"/>
        <charset val="1"/>
      </rPr>
      <t>요청</t>
    </r>
    <r>
      <rPr>
        <b/>
        <sz val="11"/>
        <color theme="1"/>
        <rFont val="Calibri"/>
        <family val="2"/>
      </rPr>
      <t>]</t>
    </r>
  </si>
  <si>
    <t>· 카프를 어깨 뒤로 보내 프레스 앞 누적을 13세트로 묶었다. [2026-10-07] 힙 쓰러스트 · 케이블 힙 외전 · 이너 · 아우터는 화요일로 옮겼다(사용자 요청) — 어깨 뒤가 20세트에서 카프 6만 남았다.</t>
    <phoneticPr fontId="29" type="noConversion"/>
  </si>
  <si>
    <t>· 고관절 신전 셋(데드 3 · 루마니안 3 · 레그 프레스 발 높게 4)과 무릎 굴곡(원 레그 컬 3)을 같이 둬 햄스트링 · 둔근의 두 기능을 다 쓴다. 짧아진 구간의 둔근(힙 쓰러스트)은 2026-10-07에 화요일로 갔다.</t>
    <phoneticPr fontId="29" type="noConversion"/>
  </si>
  <si>
    <t>· 토요일(사두 12 + 햄 4 + 내전근 4 + 중둔근 4 + 종아리 6) · 수요일(후면 13 + 종아리 6) · 화요일(둔근 3 + 중둔근 7 + 내전근 4)로 갈라 하체 고립까지 전부 주 2회 이상이다.</t>
    <phoneticPr fontId="29" type="noConversion"/>
  </si>
  <si>
    <t>· [2026-10-02 사용자 요청] 이너 · 아우터 타이 슈퍼세트를 이 날에도 넣었다 — 하체에서 유일하게 하한 아래로 남아 있던 내전근(6.5)과 중둔근(7.0)이 둘 다 성장 구간으로 들어간다(10.5 · 11.0). 토요일과 같은 쌍이라 새로 익힐 것이 없다. [2026-10-07] 이 쌍은 힙 쓰러스트 · 케이블 힙 외전과 함께 화요일로 옮겼다.</t>
    <phoneticPr fontId="29" type="noConversion"/>
  </si>
  <si>
    <t>· 이너 · 아우터 타이에도 걸지 않는다. 슈퍼세트라 한쪽만 길어지면 라운드가 어긋난다(토요일과 같은 이유). (2026-10-07 화요일로 옮겼다 — 거기서도 같은 규칙이다.)</t>
    <phoneticPr fontId="29" type="noConversion"/>
  </si>
  <si>
    <t>· 토요일이 100분을 넘는 것은 하체 고립이 몰려 있기 때문이다. 세트 수는 많아도 휴식이 10~120초라 분으로는 덜 든다. 수요일은 2026-10-07 고관절 고립을 화요일로 보내 80분이 됐다.</t>
    <phoneticPr fontId="29" type="noConversion"/>
  </si>
  <si>
    <t>· 주 6회 중 5회만 가는 주가 있어도 된다. 빼는 순서는 화요일 팔 블록(고관절 고립 14세트는 남긴다 — 빼면 둔근 · 중둔근 · 내전근이 주 1회가 된다) → 목요일 팔 블록 → 일요일 팔 블록이다.</t>
    <phoneticPr fontId="29" type="noConversion"/>
  </si>
  <si>
    <t>직접 11세트: 토요일 아우터 타이 4 · 화요일 아우터 타이 4 · 케이블 힙 외전 3(2026-10-07 수 → 화) (7 → 11). 간접 출처 없음 — 스쿼트 · 레그 프레스는 양측 지지라 계수가 없다. [2026-10-02 사용자 요청] 수요일에 슈퍼세트를 얹어 하한(8) 아래였던 7.0이 11로 올라갔다. 앉아서 하는 아우터(고관절 굽힘)와 선 자세 편측 케이블(고관절 펴짐)로 각도를 나눴다</t>
    <phoneticPr fontId="29" type="noConversion"/>
  </si>
  <si>
    <t>직접 8세트: 토요일 이너 타이 4 · 화요일 이너 타이 4(2026-10-07 수 → 화) (둘 다 아우터와 슈퍼세트, 4 → 8). 간접 4.3 — 스쿼트 0.33×5 + 레그 프레스 2종 각 0.33×4 (토 발 낮게 · 수 발 높게). 09-04가 0.33을 기준 등급으로 못박아 2026-10-02에 0.2에서 올렸다 — 유일하게 올라간 자리다. 복귀판 초안에 통째로 비어 있던 자리이고 2026-09-13에 되살렸다. [2026-10-02 사용자 요청] 실질 6.5로 하한 아래였던 것이 10.5가 됐다 — 하체에서 마지막까지 하한 아래였던 자리다</t>
    <phoneticPr fontId="29" type="noConversion"/>
  </si>
  <si>
    <t>· 되돌릴 순서 — 화요일 케이블 힙 외전 3(같은 날 아우터 4가 같은 근육을 맡는다) → 레그 익스텐션 3 → 2 (수요일 레그 프레스가 사두 간접을 얹어 줬다) → 힙 쓰러스트 3 → 2(둔근 직접이 4 더 생겼다).</t>
    <phoneticPr fontId="29" type="noConversion"/>
  </si>
  <si>
    <t>· 3순위 — 레그 익스텐션 3 · 카프 2종 중 하나 3 · 라잉 레그 레이즈 3. 고립이라 메인 리프트 진행에 영향이 없다. 레그 익스텐션은 수요일 레그 프레스가 사두에 간접을 얹어 줘 값이 가장 싸졌고, 화요일 케이블 힙 외전 3은 같은 날 아우터 타이 4가 같은 근육을 맡으므로 그다음이다.</t>
    <phoneticPr fontId="29" type="noConversion"/>
  </si>
  <si>
    <t>[2026-10-02 사용자 요청] 중둔근 실질 7.0도 하한 아래였다 — 이 4세트로 11이 된다. 앞의 케이블 힙 외전과 같은 근육이므로 중량이 토요일보다 낮게 나오는 것이 정상이다. [2026-10-07 수 → 화] 화요일 첫 블록이다 — 중둔근은 데드와 거의 관계없어 강도는 평소대로 간다.</t>
    <phoneticPr fontId="29" type="noConversion"/>
  </si>
  <si>
    <t>· 메인 리프트가 없고 전부 고립이다. 세션이 고관절 블록(1~4번)으로 시작하므로 맨몸 글루트 브릿지 15회 한 세트로 둔근을 먼저 깨우고, 힙 쓰러스트는 작업중량의 50%로 12회 한 세트면 램프가 끝난다.</t>
    <phoneticPr fontId="29" type="noConversion"/>
  </si>
  <si>
    <t>· 팔꿈치와 손목이 이 날의 관절이다. 팔 블록(5번) 들어가기 전에 가벼운 케이블 푸쉬다운 15회로 팔꿈치를 데운다.</t>
    <phoneticPr fontId="29" type="noConversion"/>
  </si>
  <si>
    <t>· 시티드 리스트 컬 손등 아래 ↔ 손등 위를 슈퍼세트(A)로 묶었다. 굴근 ↔ 신근 길항근 쌍이고 같은 자리 같은 바에서 그립만 뒤집는다 — 토요일과 이 날 3 · 4번의 이너 ↔ 아우터 타이와 같은 구조다.</t>
    <phoneticPr fontId="29" type="noConversion"/>
  </si>
  <si>
    <t>· [2026-10-07 같은 날 사용자 요청] 처음엔 팔 블록 뒤에 붙였다가 맨 앞(1~4번)으로 옮겼다. 순서를 정하는 것은 국소 피로다 — 고관절 고립 14세트는 팔을 거의 안 쓰고 팔 블록은 둔근을 안 쓰므로, 어느 쪽이 뒤로 가도 손해는 전신 피로 몫뿐이다. 둘이 비기면 우선순위가 정한다: 둔근은 큰 근육이고, 먼저 하는 종목의 수행이 가장 좋다. 데드 백오프 중 엉덩이 뒤쪽 팝(2026-10) 뒤라 힙 쓰러스트를 집중이 살아 있을 때 하는 이점도 있다.</t>
    <phoneticPr fontId="29" type="noConversion"/>
  </si>
  <si>
    <t>· 대가는 하나 (순서와 무관) — 화요일은 데드 전날이다(생수 캐리를 화요일에서 뺀 이유와 같다). 힙 쓰러스트(둔근)와 이너 타이(대내전근)는 데드의 고관절 신전 근육이라 RIR 1~2로 끊는다. 아우터 · 케이블 외전(중둔근)은 데드와 거의 관계없어 평소대로 간다.</t>
    <phoneticPr fontId="29" type="noConversion"/>
  </si>
  <si>
    <t>· ㉗ [2026-10-07] 수요일 고관절 고립 14세트(힙 쓰러스트 3 · 케이블 힙 외전 3 · 이너/아우터 타이 4+4)를 화요일로 옮겼다 — 사용자 요청. 처음엔 팔 블록 뒤였다가 같은 날 사용자 요청으로 맨 앞(1~4번)에 뒀다(순서는 국소 피로가 정하므로 둘이 비기고, 우선순위가 둔근 쪽). 10/7 첫 수요일(45세트 109분)에 어깨 블록 뒤 두 종목을 못 했다. 수 45/109 → 31/80 · 화 28/51 → 42/80, 주간 세트 · 분 총량은 그대로. 화요일은 데드 전날이라 힙 쓰러스트 · 이너 타이는 RIR 1~2로 끊는다 — 둔근 피로가 데드에 반복해 걸리면 힙 쓰러스트만 일요일로.</t>
    <phoneticPr fontId="29" type="noConversion"/>
  </si>
  <si>
    <t>· 힙 쓰러스트 3 · 케이블 힙 외전 3 · 이너 / 아우터 타이 슈퍼세트 4 + 4 = 14세트 · 약 29분. 수요일이 45세트 109분이었고, 10/7 첫 수요일에 어깨 블록 뒤 마지막 두 종목(힙 쓰러스트 · 케이블 힙 외전)을 못 했다. 같은 날 힙 쓰러스트를 4세트로 올려 15세트 · 약 32분이다.</t>
    <phoneticPr fontId="29" type="noConversion"/>
  </si>
  <si>
    <t>· 수요일 데드에서 둔근이 무겁게 느껴지는 일이 반복되면 ① 힙 쓰러스트 4번째 세트부터 빼고 ② 그래도 반복되면 힙 쓰러스트만 일요일로 옮긴다 — 데드까지 3일이 빈다. 첫 한두 주는 자리가 바뀐 탓의 근육통일 수 있으니 한 번으로 판단하지 않는다.</t>
    <phoneticPr fontId="29" type="noConversion"/>
  </si>
  <si>
    <t>직접 8세트: 수요일 레그 프레스(발 높게) 4 · 화요일 힙 쓰러스트 4(2026-10-07 수 → 화 · 같은 날 3 → 4) (3 → 7). 간접 6.8 — (둔근 계수는 09-04 하향 대상이 아니었다) 스쿼트 0.5×5 + 루마니안 0.5×3 + 데드 0.5×1 + 백오프 0.5×2 + 토요일 레그 프레스 0.33×4. [2026-10-02 사용자 지정] 발을 발판 가장 위쪽에 두면 고관절 굽힘 범위가 커져 고관절 신전 비중이 오르고, 둔근이 그 동작의 주동근이다. 햄스트링은 무릎이 같이 펴져 길이가 거의 안 바뀌므로 약관여(0.2)로 뒀다</t>
    <phoneticPr fontId="29" type="noConversion"/>
  </si>
  <si>
    <t>· ㉘ [2026-10-07 같은 날] 화요일 힙 쓰러스트 3 → 4 — 사용자 요청. 맨 앞으로 와 신선할 때 하는 자리다. 둔근 직접 7 → 8 · 실질 14 → 15. 데드에서 둔근 피로가 걸리면 이 4번째 세트를 먼저 뺀다. 221 → 222세트 · 화 43세트 82분 · 주 509분.</t>
    <phoneticPr fontId="29" type="noConversion"/>
  </si>
  <si>
    <t>[동작] 오버그립 · 어깨너비 1.5배(좁으면 승모 · 어깨 충돌) · 꼿꼿이 서서 바를 몸에 붙인 채 · 팔꿈치가 손보다 먼저 · 늘 손보다 높게 올라간다 · 팔꿈치가 어깨 높이(상완이 바닥과 수평)에서 멈춘다 — 바는 명치~가슴 아래 · 으쓱 금지 · 손목은 꺾지 않고 일자 · 반동 없이, 내릴 때 2초로 팔이 다 펴질 때까지. 자극이 어깨 옆이면 맞고, 목 · 승모면 그립이 좁거나 너무 높이 올린 것이다. 어깨 앞 · 위가 찝히는 통증이면 바로 멈추고 그립을 넓히거나 높이를 낮춘다 — 그래도 찝히면 케이블 업라이트 로우로.
[2026-10-06 사용자 결정 — 다양성] 덤벨 레터럴 6세트 중 3을 이 종목으로 — 측면 중 가장 무겁게 다룰 수 있는 다관절이라 주 전체에서 가장 신선한 토요일에 둔다. 그립은 어깨너비의 1.5배, 팔꿈치가 손보다 먼저 올라가고 **어깨 높이에서 멈춘다** — 그 위로 들면 어깨 충돌 위험이 커지고 승모 상부로 넘어간다. 복합이라 고립(레터럴)보다 앞에 둔다. 중량 20은 출발값 — 첫 세션에 10~12회에 맞춰 적는다.</t>
    <phoneticPr fontId="29" type="noConversion"/>
  </si>
  <si>
    <t>메인: 시티드 바벨 밀리터리 프레스</t>
    <phoneticPr fontId="29" type="noConversion"/>
  </si>
  <si>
    <t>시티드 바벨 밀리터리 프레스</t>
    <phoneticPr fontId="29" type="noConversion"/>
  </si>
  <si>
    <t>· 수요일(하체 후면) 뒤 — 가장 싸다. 앞의 13세트가 전부 햄스트링 · 둔근이라 전면 삼각 · 삼두를 하나도 쓰지 않고, 등받이에 앉아 밀어(2026-10-07 스미스 → 시티드 바벨) 데드 뒤 기립근 피로의 비용이 작다. 월요일 벤치와 이틀 간격이라 전면 삼각이 회복될 시간도 있다.</t>
    <phoneticPr fontId="29" type="noConversion"/>
  </si>
  <si>
    <t>· 그래서 토요일 전면은 머신 숄더 프레스(볼륨용)이고, 증량을 추적하는 쪽은 이 날이다. [2026-10-07] 기구를 스미스에서 시티드 바벨로 바꿨다(사용자 요청) — 프리웨이트로 옮기되 서서 하지 않는 것은 데드 뒤 기립근 · 둔근 피로 때문이다.</t>
    <phoneticPr fontId="29" type="noConversion"/>
  </si>
  <si>
    <t>어깨 블록 첫째. 궤도 고정이라 하체 12세트 뒤에도 안정화 부담이 없다. 증량을 추적하는 쪽은 수요일 시티드 바벨 밀리터리 프레스이고 이 자리는 볼륨용이다.</t>
    <phoneticPr fontId="29" type="noConversion"/>
  </si>
  <si>
    <t>데드 톱1 + 백오프2 · 레그 프레스는 발을 발판 위쪽에(둔근) · 원 레그 컬로 좌우 균형. 시티드 바벨 밀리터리 프레스가 어깨 블록 첫 종목 — 앞의 13세트가 전부 하체다. 2026-10-07 고관절 고립 14세트를 화요일로 보내 어깨 뒤엔 카프만 남았다</t>
    <phoneticPr fontId="29" type="noConversion"/>
  </si>
  <si>
    <t>· ㉙ [2026-10-07 같은 날] 수요일 메인 프레스를 스미스 오버헤드 프레스 → 시티드 바벨 밀리터리 프레스로 — 사용자 요청(프리웨이트로). 서서 하지 않고 등받이에 앉는 것은 데드 · 루마니안 · 레그 프레스 뒤라 기립근 · 둔근이 지쳐 있어서다. 중량은 다시 출발 — 12주차 31 → 28(시작중량_설정 D10 27 → 25). 세트 · 반복 · 휴식 그대로(3×5).</t>
  </si>
  <si>
    <t>· [2026-10-07 사용자 요청] 수요일 프레스를 스미스 오버헤드 프레스 → 시티드 바벨 밀리터리 프레스로 바꿔 D10을 27 → 25로 내렸다 — 12주차 31 → 28(약 90%). 스미스는 궤도를 기계가 잡아 주고 기계에 따라 바 무게도 달라 같은 숫자가 프리웨이트로 옮겨 오지 않는다. 첫 세션에 5회 후 1~2회 남는지 보고, 3회 이상 남으면 앱에서 올린다.</t>
  </si>
  <si>
    <r>
      <rPr>
        <sz val="10"/>
        <rFont val="맑은 고딕"/>
        <family val="3"/>
        <charset val="129"/>
      </rPr>
      <t>시티드 레터럴</t>
    </r>
    <r>
      <rPr>
        <sz val="10"/>
        <rFont val="Calibri"/>
        <family val="2"/>
      </rPr>
      <t xml:space="preserve"> </t>
    </r>
    <r>
      <rPr>
        <sz val="10"/>
        <rFont val="맑은 고딕"/>
        <family val="3"/>
        <charset val="129"/>
      </rPr>
      <t>레이즈</t>
    </r>
    <phoneticPr fontId="29" type="noConversion"/>
  </si>
  <si>
    <t>[2026-10-07 사용자 결정] 3 → 4 — 3번 시티드 1 → 2와 함께 일요일 광배 직접 4 → 6. [2026-10-04 4 → 2] 앞 2세트를 3번 시티드 케이블 로우(양팔)로 나눴다 — 사용자 요청. 같은 스테이션에서 바를 D핸들로 바꿔 한 팔씩, 무게는 양팔의 절반에서 시작해 약한 쪽 기준으로 올린다. 반대 손은 기구를 잡아 몸통을 고정한다. 팔꿈치를 몸에 붙여 당기는 경로라 주동근이 광배다 — 평면으로 날을 가르고 근육군은 팔꿈치 경로로 매긴다(2026-09-04 원칙). 좌우 독립이라 약한 쪽이 드러난다. 이 날 광배 직접은 이것과 3번 시티드 케이블 로우(합 6)이고 나머지 12세트는 목요일(수직)에 있다.</t>
    <phoneticPr fontId="29" type="noConversion"/>
  </si>
  <si>
    <t>· 등 블록 둘이 34(일) / 43(목)로 갈리는 것은 가슴 8세트가 목요일에 묶여 있어서다(사용자 지정 '목요일 가슴/등').</t>
    <phoneticPr fontId="29" type="noConversion"/>
  </si>
  <si>
    <t>· ㉚ [2026-10-07 같은 날] 일요일 시티드 케이블 로우 1 → 2 · 원암 케이블 로우 3 → 4 — 사용자 결정. 대원근 자극 점검에서 나왔다 — 대원근은 광배와 같은 동작이라 광배 줄로 세고(따로 세면 이중 계상), 주 16이 일 4 / 목 12로 목요일(데드 다음날 · 그립 지침)에 쏠려 있었다. 세션당 6세트 기준으로 일요일 광배 4 → 6. 광배 직접 16 → 18 · 실질 19.5 → 21.5로 검산 판정 '과다 점검'(측면 21과 같은 취급 — 금지가 아니라 점검 신호). 승모 중부 간접 +1. 222 → 224세트 · 일 34세트 79분 · 주 515분.</t>
  </si>
  <si>
    <t>· 광배 21.5 — 2026-10-07 일요일 시티드 · 원암 케이블 로우 각 +1(세션당 6세트 기준 · 사용자 결정)로 19.5에서 넘었다. 대원근도 이 줄로 센다 — 어깨 신전 · 내전을 광배와 같이 하므로 따로 세면 이중 계상이다. 목요일이 데드 다음날이라 그립이 먼저 지치면 광배 12세트가 실패지점에 못 간다 — 그래서 신선한 일요일 쪽을 채웠다. 되돌리는 순서 — 원암 4 → 3 → 시티드 2 → 1.</t>
  </si>
  <si>
    <t>케이블 오버헤드 익스텐션 (로프)</t>
    <phoneticPr fontId="29" type="noConversion"/>
  </si>
  <si>
    <t>케이블 푸쉬다운 (로프 · 짧아진 구간 — 이전 종목) / 덤벨 오버헤드 익스텐션 / EZ바 오버헤드 익스텐션</t>
    <phoneticPr fontId="29" type="noConversion"/>
  </si>
  <si>
    <t>프레스 중 팔꿈치 신전 — 강한 협력. [2026-10-08 0.33 → 0.5] 0.33의 근거였던 5×5 저반복 본세트가 2026-10-02에 4×8로 바뀌어 사라졌다. 8회면 보조 프레스와 같은 조건이라 0.5. 시티드 바벨 밀리터리(3×5)는 저반복 그대로라 0.33 유지. 간접은 대부분 외측두 · 내측두로 간다.</t>
    <phoneticPr fontId="29" type="noConversion"/>
  </si>
  <si>
    <t>· 삼두 18.5 · 이두 15.5 — 둘 다 성장 구간 상단이다. 직접 9가 상한이고 더 올리면 간접 때문에 천장을 넘는다. 주 6회에서 프레스 · 당기기 빈도가 올라 간접이 먼저 늘었기 때문이다. [2026-10-08] 벤치 → 삼두 0.33 → 0.5(4×8로 바뀌어 저반복 하향 근거가 사라졌다)로 18.0 → 18.5. 삼두는 갈래별로 봐야 한다 — 천장 근처인 것은 외측두 · 내측두이고, 장두는 그날 일요일 로프 푸쉬다운을 오버헤드 익스텐션으로 바꿔 늘어난 구간 주 2회 6세트가 됐다. 세트 수는 그대로다. 내측두 단독 종목은 두지 않는다 — 모든 팔꿈치 신전에서 이미 일한다.</t>
    <phoneticPr fontId="29" type="noConversion"/>
  </si>
  <si>
    <t>· ㉛ [2026-10-08] 삼두 장두 · 벤치 계수 — 사용자 결정. 내측두 질문에서 나왔다: 내측두는 모든 팔꿈치 신전에서 일해 따로 할 필요가 없고, 오히려 프레스 간접이 전부 외측두 · 내측두로 가서 장두가 라잉 익스텐션 3세트뿐이었다. 일요일 케이블 푸쉬다운(로프) → 케이블 오버헤드 익스텐션(로프) 3세트로 교체(중량 25 → 20 출발) — 장두 늘어난 구간 주 2회. 같은 날 복귀_간접계수맵 벤치 → 삼두 0.33 → 0.5(4×8이라 저반복 하향 근거 소멸) · 삼두 실질 18.0 → 18.5. 224세트 · 주 515분 그대로.</t>
  </si>
  <si>
    <t>· ㉜ [2026-10-08 같은 날] 일요일 오버헤드 익스텐션 마지막 세트 드롭 → 기계적 드롭(같은 무게로 푸쉬다운) · 화요일 라잉 익스텐션 팔 20~30° 뒤로 — 사용자 결정. 푸쉬다운과 슈퍼세트 3라운드안은 실제 직접 6세트(삼두 실질 21.5 · 천장 초과)라 드롭 자리로 넣었다. 짧아진 구간 자극이 일요일에도 돌아온다. 세트 · 시간 그대로(224세트 · 주 515분).</t>
  </si>
  <si>
    <t>시티드 EZ바 오버헤드 익스텐션 (2026-10-08 결정 — 팔꿈치가 시큰하거나 일요일 오버헤드는 오르는데 라잉이 막히면 1순위. 케이블이 아니라 바라 중량 기록이 이어진다) / EZ바 라잉 익스텐션 (손목 · 팔꿈치 부담 ↓) / 케이블 오버헤드 익스텐션 (일요일과 겹치므로 차선)</t>
    <phoneticPr fontId="29" type="noConversion"/>
  </si>
  <si>
    <t>· 42세트 · 약 95분. 전완 슈퍼세트 6 + 백 익스텐션 4 + 인클라인 벤치프레스(스미스) 3이 들어오고 언더그립 랫풀다운 3 → 4 · 디클라인 플라이 4 → 3 · 백 익스텐션 3 → 4로 조정됐다 (2026-10-02 사용자 지정). 2026-10-05 랫풀다운 둘 4 → 3 + 암풀다운 2 — 세트는 같고 휴식이 짧은 고립이라 3분 줄었다. [2026-10-09] 백 익스텐션 4 → 3 — 사용자 결정. 등 하는 두 날 모두 3세트로 맞춰졌다(재택과 같다).</t>
    <phoneticPr fontId="29" type="noConversion"/>
  </si>
  <si>
    <t>직접 9세트: 수요일 데드 톱 1 + 백오프 2 + 일요일 백 익스텐션 3 · 목요일 3(45도 · 맨몸) (재택도 당기기 두 날에 3세트씩 둔다 · 2026-10-02에 목요일만 4로 올렸다가 2026-10-09 사용자 결정으로 3으로 되돌렸다 — 목요일 96분 부담). 3 → 10 → 9로 '보완 필요'가 '충분'이 됐다. **척추 신전을 강조해서 해야 이 9세트가 유효하다** — 등을 편 채 고관절만 접는 힌지식으로 하면 둔근 · 햄스트링이 주동근이 되고 기립근은 버티기만 한다. 그러면 09-04 규칙상 등척성이라 계수 0이고 이 숫자가 거짓이 된다. 중량은 더블 프로그레션 — 맨몸 15회를 채우면 원판 5~10kg을 안는다('맨몸'은 시작값이지 상한이 아니다). 목요일 것도 원판 금지가 아니고, 데드 다음날이라 일요일보다 낮게 나오는 것이 정상이다 — 수요일 데드나 토요일 스쿼트가 2주 연속 안 오르면 그 날 중량을 먼저 의심한다. 간접 1.5 — 루마니안 데드 0.5×3뿐이다. 스미스 바벨 로우 · 오버헤드 슈러그의 0.2는 2026-10-05에 0으로 내렸다(아래 '다음 카드' 정리). 스쿼트 · 트랩바 슈러그의 등척성 지지는 2026-10-02에 0으로 내렸다 — '버티기만 하는 자극은 세지 않는다'(09-04 규칙). 루마니안만 0.5로 남는 것은 기립근이 등척성이 아니라 동적으로 신전 · 수축하기 때문이다. 허리를 키우는 것은 데드 3세트와 루마니안 3세트뿐이다</t>
    <phoneticPr fontId="29" type="noConversion"/>
  </si>
  <si>
    <t>약 95분</t>
    <phoneticPr fontId="29" type="noConversion"/>
  </si>
  <si>
    <t>· ㉝ [2026-10-09] 목요일 백 익스텐션 4 → 3 — 사용자 결정. 목요일이 96분으로 여섯 날 중 둘째로 길어 부담이었다. 2026-10-02에 목요일만 4로 올렸던 것을 되돌려 등 하는 두 날이 3 / 3으로 같아졌다(재택과 같다). 기립근 직접 10 → 9 · 실질 10.5 · 판정 '충분'. 223세트 · 목 95분 · 주 514분.</t>
  </si>
  <si>
    <t>· 하체를 전면 · 후면으로 갈라 토요일이 사두 전담이 됐다. 스쿼트 · 레그 프레스 · 익스텐션 12세트로 사두 주간 세트가 한 날에 다 들어간다. [2026-10-09] 레그 익스텐션 3은 화요일로 갔다(사용자 결정) — 사두 직접이 토 9 · 화 3으로 주 2회가 됐다.</t>
    <phoneticPr fontId="29" type="noConversion"/>
  </si>
  <si>
    <t>· 45세트 · 약 109분. 세션 상한 26세트를 넘지만 고립 소근육 33세트(익스텐션 3 · 업라이트 로우 3 · 레터럴 3 · 리버스 펙덱 6 · 레그 컬 4 · 이너 4 · 아우터 4 · 카프 6)는 예외로 본다 — 실질 12세트다. 카프가 3 → 6으로 올라 38 → 41이 됐다 (2026-10-02 사용자가 엑셀에서 직접 조정). 2026-10-06 레터럴 4 → 6으로 43이 됐다(사용자 결정). 같은 날 리버스 펙덱 4 → 6으로 45가 됐다(사용자 결정). [2026-10-09] 레그 익스텐션 3을 화요일로 보내 43세트 · 약 102분이다(사용자 결정).</t>
    <phoneticPr fontId="29" type="noConversion"/>
  </si>
  <si>
    <t>· 레터럴 +60초 · 리버스 펙덱 +60초 · 레그 컬 +75초. 마지막 세트에만 2단. 레그 컬 드롭은 2026-10-02 자리 교환 때 종목을 따라 수요일에서 옮겨 왔다. (레그 익스텐션 +75초는 2026-10-09 화요일로 옮기며 뺐다 — 데드 전날이라 드롭을 걸지 않는다.)</t>
    <phoneticPr fontId="29" type="noConversion"/>
  </si>
  <si>
    <t>· 드롭은 여기서도 걸지 않는다 — 이너 · 아우터는 슈퍼세트라 라운드가 어긋나고, 힙 쓰러스트는 데드 전날이다. 레그 익스텐션(5번)도 같은 이유로 걸지 않는다 — 토요일에선 +75초였다(2026-10-09).</t>
    <phoneticPr fontId="29" type="noConversion"/>
  </si>
  <si>
    <t>· 토요일 레그 프레스(발 낮게 · 사두)와 같은 종목 다른 자리다. 사두에도 간접 1.5세트치가 붙어 사두가 주 1회에서 '주 1회 + 간접 1회'가 됐다. [2026-10-09] 레그 익스텐션 3이 화요일로 가 직접도 주 2회다.</t>
    <phoneticPr fontId="29" type="noConversion"/>
  </si>
  <si>
    <t>· ㉞ [2026-10-09 같은 날] 토요일 레그 익스텐션 3 → 화요일 5번(고관절 블록 뒤) — 사용자 결정. 사두 직접 12가 토요일 한 날에 몰린 주 1회였다(재택 평가에서 나왔다). 토 9 · 화 3으로 주 2회 · 간격 3/4일. 월요일(가장 가벼운 날 · 간격 2/5일)도 후보였으나 사용자가 하체 기구를 한 날에 모으는 화요일을 골랐다. 화요일은 데드 전날이라 RIR 1~2 · 드롭 없음(토요일 +75초를 뺐다). 토 43세트 102분 · 화 46세트 90분 · 223세트 · 주 513분.</t>
  </si>
  <si>
    <t>[2026-10-10 화 → 월 · 사용자 결정] 월 67분 · 화 90분을 77 / 80으로 맞추려 옮겼다. 화요일은 데드 전날이라 복부 피로를 남기지 않는 자리가 낫고, 월요일은 하체 · 힌지가 없어 코어가 신선하다. 벤치 브레이싱은 등척성이라 맨 뒤에 붙여도 경쟁하지 않는다. 직접 굴곡. 스쿼트 · 데드의 브레이싱은 등척성이라 복부 간접이 0이다 — 여기서만 채워진다.</t>
    <phoneticPr fontId="29" type="noConversion"/>
  </si>
  <si>
    <t>[2026-10-10 화 → 월 · 사용자 결정] 하복부 쪽 — 크런치(상복부)와 갈린다. 재택 1일차 종목이다.</t>
    <phoneticPr fontId="29" type="noConversion"/>
  </si>
  <si>
    <t>월요일 — 가슴 · 어깨 (측/후) · 복근</t>
    <phoneticPr fontId="29" type="noConversion"/>
  </si>
  <si>
    <t>· 세션 상한 26 — 메인 리프트가 있는 날이지만 복근 6은 고립 소근육이라 예외로 센다. 고립 23을 빼면 실질 10으로 그 전과 같다. 크런치 ↔ 레그 레이즈는 묶지 않는다 — 둘 다 복부 굴곡이라 길항이 아니라 같은 근육을 겹쳐 쓴다.</t>
  </si>
  <si>
    <t>화요일 — 고관절 고립 · 사두 고립 · 팔 · 목</t>
    <phoneticPr fontId="29" type="noConversion"/>
  </si>
  <si>
    <t>· 사용자 지정 — '화요일은 팔하니 놔두고'. 삼두 · 이두 · 전완 · 목 · 복근 구성을 그대로 두고 세트만 맞췄다. 2026-10-07에 수요일 고관절 고립 14세트가 뒤에 붙었지만 팔 블록(6~13번)의 구성과 순서는 그대로다 — 같은 날 사용자 요청으로 고관절 블록을 맨 앞(1~4번)에 뒀다. [2026-10-10] 복근 2종은 월요일 맨 뒤로 옮겼다(사용자 결정).</t>
    <phoneticPr fontId="29" type="noConversion"/>
  </si>
  <si>
    <t>[전완 · 목이 이 날에 몰린 이유]</t>
    <phoneticPr fontId="29" type="noConversion"/>
  </si>
  <si>
    <t>· 40세트 · 약 80분. [2026-10-10] 복근 2종(6세트 · 10분)을 월요일로 보냈다(사용자 결정) — 데드 전날에 복부 피로를 남기지 않는다. 그 전: 46세트 · 약 90분. [2026-10-09] 토요일 레그 익스텐션 3이 고관절 블록 뒤(5번)로 들어왔다(사용자 결정). 그 전: 43세트 · 약 82분. 2026-10-07 수요일 고관절 고립 14세트(약 29분)가 들어와 28세트 51분에서 커졌고(사용자 요청), 같은 날 힙 쓰러스트 3 → 4(사용자 요청). 그 전에는 여섯 날 중 가장 짧았다.</t>
    <phoneticPr fontId="29" type="noConversion"/>
  </si>
  <si>
    <t>· 40세트지만 세션 상한 26의 적용 대상이 아니다. 메인 리프트가 없고 전부 고립이다.</t>
    <phoneticPr fontId="29" type="noConversion"/>
  </si>
  <si>
    <t>가슴(상부 중심) · 어깨 측/후 · 복근</t>
    <phoneticPr fontId="29" type="noConversion"/>
  </si>
  <si>
    <t>벤치 4×8이 앞(벤치만 8회다). 전면 삼각은 밀기 간접으로 5세트치가 차므로 어깨 블록에 프레스를 얹지 않는다. [2026-10-10] 화요일 복근 6(크런치 · 레그 레이즈)을 맨 뒤로 받았다 — 데드 전날을 비우려고</t>
    <phoneticPr fontId="29" type="noConversion"/>
  </si>
  <si>
    <t>고관절 고립(둔근 · 중둔근 · 내전근) · 사두 고립 · 팔 삼두/이두/전완 · 목</t>
    <phoneticPr fontId="29" type="noConversion"/>
  </si>
  <si>
    <t>사용자 지정으로 구성을 그대로 둔 날. 팔이 메인인 유일한 자리라 늘어난 구간 종목을 여기 뒀다. 전완 6(손등 아래는 2026-10-04부터 0 · 보류) · 목 6이 전부 이 날이고(복근 6은 2026-10-10 월요일로), 리스트 컬 손등 아래 ↔ 위는 슈퍼세트다. [2026-10-07] 수요일 고관절 고립 14세트(힙 쓰러스트 · 케이블 힙 외전 · 이너/아우터 SS)를 세션 맨 앞(1~4번)에 뒀다 — 처음엔 팔 뒤였고 같은 날 사용자 요청으로 앞으로 — 데드 전날이라 힙 쓰러스트 · 이너는 RIR 1~2</t>
    <phoneticPr fontId="29" type="noConversion"/>
  </si>
  <si>
    <t>· 세션 상한 26세트는 메인 리프트가 있는 날(토 · 월 · 수)에만 적용하고 고립 소근육은 예외로 센다 — 토요일은 고립 29를 빼면 실질 12, 수요일은 15를 빼면 16, 월요일은 23을 빼면 10이다. 메인이 없는 일 · 화 · 목은 상한의 적용 대상이 아니다.</t>
    <phoneticPr fontId="29" type="noConversion"/>
  </si>
  <si>
    <t>직접 6세트: 월요일 중량 크런치 3 · 라잉 레그 레이즈 3 (3 → 6). 간접 출처 없음 — 스쿼트 · 데드의 브레이싱은 등척성이라 0. 현장 일이 코어를 버티게만 하던 것이 끝나 직접 굴곡을 늘렸다</t>
    <phoneticPr fontId="29" type="noConversion"/>
  </si>
  <si>
    <t>팔 주간 세트는 삼두 9 · 이두 9이고 셋으로 나뉘어 있다(일 · 화 · 목 각 3). 화요일이 유일하게 '전용'인 것은 전완 · 목이다(복근은 2026-10-10 월요일로)</t>
    <phoneticPr fontId="29" type="noConversion"/>
  </si>
  <si>
    <t>· 33세트 · 약 77분. [2026-10-10] 화요일 복근 2종(중량 크런치 3 · 라잉 레그 레이즈 3 · 10분)이 맨 뒤(9 · 10번)로 들어왔다(사용자 결정) — 월 67 · 화 90을 77 / 80으로 맞췄다. 그 전: 27세트 · 약 67분. 가슴 하나만 맡고 어깨가 측면 7 · 후면 7이다. 2026-10-04에 어깨 6 → 12(측면 +4 · 후면 +2)를 이 날에 넣은 것도 가장 작은 날이어서다. 2026-10-05 리버스 펙덱 2 → 4(사용자 조정)로 후면 7이 됐다. 어깨 블록은 측 → 후 → 측 → 후로 교대한다(사용자 지정).</t>
    <phoneticPr fontId="29" type="noConversion"/>
  </si>
  <si>
    <t>· ㉟ [2026-10-10] 화요일 복근 2종(중량 크런치 3 · 라잉 레그 레이즈 3)을 월요일 맨 뒤(9 · 10번)로 — 사용자 결정. 월 67 · 화 90분을 77 / 80으로 맞추려는 것이었고, 후보 셋(복근 · 힙 쓰러스트 · 이너/아우터) 중 규칙과 부딪히지 않는 것이 이것뿐이었다 — 힙 쓰러스트는 벤치 날에 소근육 예외가 아닌 종목을 얹어 상한을 넘고, 이너/아우터는 토요일과 간격이 2/5일로 어긋난다. 데드 전날(화)에서 복부 피로가 빠지는 것이 덤이다. 복부는 여전히 주 1회 6세트 · 223세트 · 주 513분 그대로. 월 33세트 77분 · 화 40세트 80분.</t>
    <phoneticPr fontId="29" type="noConversion"/>
  </si>
  <si>
    <t>수평 내전으로 중간 구간을 맡는다. [2026-10-10 등 ↔ 가슴 종목 단위 교차 · 사용자 결정] 와이드 랫풀다운과 언더그립 랫풀다운 사이(4번). 당기기와 밀기는 경쟁하지 않는다.</t>
    <phoneticPr fontId="29" type="noConversion"/>
  </si>
  <si>
    <t>[2026-10-10 등 ↔ 가슴 종목 단위 교차 · 사용자 결정] 언더그립 랫풀다운과 암풀다운 사이(6번). 위에서 아래로 모아 흉늑지 하부를 맡는다. 월요일 딥스(하방 복합)와 벡터가 같고 고립이라 각도를 나눈다.</t>
    <phoneticPr fontId="29" type="noConversion"/>
  </si>
  <si>
    <t>· 사용자 지정 — '목요일 가슴/등'. 거기에 팔 후반부가 붙어 등 → 가슴 → 팔 세 블록이 됐다. [2026-10-10] 등 · 가슴은 종목 단위로 번갈아 한다(사용자 결정) — 아래 줄.</t>
    <phoneticPr fontId="29" type="noConversion"/>
  </si>
  <si>
    <t>· 암풀다운에도 걸지 않는다 — 언더그립 랫풀다운 드롭과 같은 근육이라 겹친다 (2026-10-05). 2026-10-10 교차 뒤엔 사이에 디클라인 플라이가 끼지만 같은 세션 같은 근육이라 판단 유지.</t>
    <phoneticPr fontId="29" type="noConversion"/>
  </si>
  <si>
    <t>· ㊱ [2026-10-10 같은 날] 목요일 등 · 가슴 종목 단위 교차 — 사용자 결정. 친업 → 인클라인 스미스 → 와이드 랫풀다운 → 펙덱 → 언더그립 랫풀다운 → 디클라인 플라이 → 암풀다운 · 오버헤드 슈러그 · 페이스풀 → 팔. 같은 근육을 종목 사이 약 10분 쉬게 하려는 것이고 세트 · 시간(42세트 95분)은 그대로. 세트 단위 페어는 두 기구를 동시에 잡을 수 없어 뺐다. 복귀_세트검산 I8(광배 직접 합)을 흩어진 행 참조로 바꿨다.</t>
  </si>
  <si>
    <t>인클라인 덤벨 로우(오버그립)</t>
    <phoneticPr fontId="29" type="noConversion"/>
  </si>
  <si>
    <t>스미스 바벨 로우(오버그립) / 티바 로우 머신 (넓은 오버그립 핸들 · 엉덩이 뒤가 정리된 뒤) / 체스트 서포티드 로우 머신</t>
    <phoneticPr fontId="29" type="noConversion"/>
  </si>
  <si>
    <t>· 인클라인 덤벨 로우 · 해머 로우에는 걸지 않는다 — 중량이 큰 로우에서 실패 뒤 반복은 폼이 먼저 무너진다.</t>
    <phoneticPr fontId="29" type="noConversion"/>
  </si>
  <si>
    <t>[2026-10-02 사용자 요청 — 등 하는 날마다 3세트] 복귀판 기립근 직접이 데드 3세트뿐이라 실질 6.0 '보완 필요'였다. 이 6세트(일 · 목)로 9 · 실질 12.0이 된다. 재택도 당기기 두 날에 3세트씩 둔다. **척추 신전을 강조해서 한다** — 등을 편 채 고관절만 접는 힌지식으로 하면 둔근 · 햄스트링이 주동근이 되고 기립근은 버티기만 한다. 그러면 09-04 규칙상 등척성이라 계수 0이고, 검산표의 기립근 직접 9가 거짓이 된다. 재택 메모의 핵심 문장이 이것이다. 중량은 더블 프로그레션 — 맨몸 15회를 전 세트에서 채우면 원판 5~10kg을 안는다. '맨몸'은 시작값이지 상한이 아니다(재택 대체 종목 칸에도 '원판 5~10kg 안고 (맨몸이 쉬워지면)'으로 적혀 있다). 이 날이 중량을 올리기에 좋은 쪽이다 — 다음 데드(수)까지 사흘이 남는다. 앞쪽 로우가 그립 · 등을 먼저 쓰므로 세션 맨 뒤가 맞다(2026-10-11 스미스 바벨 로우 → 인클라인 덤벨 로우로 앞쪽 기립근 등척성 부하는 없어졌다).</t>
    <phoneticPr fontId="29" type="noConversion"/>
  </si>
  <si>
    <t>가슴 지지라 상체를 버틸 일이 없다 — 0 (2026-10-11 스미스 바벨 로우 → 인클라인 덤벨 로우). 이전 근거: 스미스 상체 각도 유지 등척성 — 버티기만 하는 자극은 세지 않는다(09-04 규칙), 2026-10-05 0.2 → 0.</t>
    <phoneticPr fontId="29" type="noConversion"/>
  </si>
  <si>
    <t>엎침 그립 + 팔꿈치 벌린 수평 로우 — 인클라인 덤벨 로우(오버그립)와 같은 경로 · 같은 등급 0.33 (2026-10-05 신설 · 사용자 결정)</t>
    <phoneticPr fontId="29" type="noConversion"/>
  </si>
  <si>
    <t>직접 3세트: 일요일(수평) 트랩바 슈러그 3 — 재택도 수평 날에 둔다 (2026-10-02 신설). 간접 1.4 — 오버헤드 프레스 · 인클라인 덤벨 로우 각 0.2 (데드의 등척성 견갑대 유지는 2026-10-02에 0으로). 현장 일이 하루치를 얹어주던 것이 끝나 0 → 3으로 되살렸다. 재택 6일차와 같은 종목이다</t>
    <phoneticPr fontId="29" type="noConversion"/>
  </si>
  <si>
    <t>· 넣은 곳 — 스쿼트 · 벤치 · 시티드 바벨 밀리터리 프레스 · 딥스 · 친업 · 인클라인 덤벨 로우. 데드 톱세트는 1세트라 세트 간 휴식이 없다.</t>
    <phoneticPr fontId="29" type="noConversion"/>
  </si>
  <si>
    <t>복귀 중 익힌 구성이고 6일 연속에서는 안정화 부담이 적은 쪽이 남는다. 바벨 로우는 스미스로 둔 채다(2026-10-11 인클라인 덤벨 로우로 바꿨다 — 가슴 지지)</t>
    <phoneticPr fontId="29" type="noConversion"/>
  </si>
  <si>
    <t>· 결과로 무거운 로우 7세트(바벨 4 · 해머 3)가 데드 다음날에서 완전히 빠졌고, 목요일에 남은 당기기는 척추 부하가 거의 0이다. 주간 척추 부하 순서 — 토 스쿼트(높음) → 일 0(2026-10-11 인클라인 덤벨 로우 — 가슴 지지) → 월 · 화 0 → 수 데드 + 루마니안(최고) → 목 수직 당기기(거의 0) → 금 휴식.</t>
    <phoneticPr fontId="29" type="noConversion"/>
  </si>
  <si>
    <t>· 주간 척추 부하 순서가 이렇게 된다 — 토 스쿼트(높음) → 일 백 익스텐션(낮음 · 2026-10-11 로우는 가슴 지지로) → 월 · 화 0 → 수 데드 + 루마니안(최고) → 목 수직 당기기 + 백 익스텐션(낮음) → 금 휴식.</t>
    <phoneticPr fontId="29" type="noConversion"/>
  </si>
  <si>
    <t>· ㊲ [2026-10-11] 일요일 1번 스미스 바벨 로우(오버그립) → 인클라인 덤벨 로우(오버그립) — 사용자 결정. 가슴 지지라 숙인 자세를 버티는 햄스트링 · 기립근 부하가 사라진다(데드 백오프 엉덩이 뒤 팝 관찰 중 · 전날 스쿼트). 덤벨을 가로로 잡고 팔꿈치 60~70° 벌림 — 팔꿈치 경로가 같아 승모 중부 직접 4 · 계수(이두 0.2 · 광배 0.5 · 후면 0.33 · 승모 상부 0.2 · 기립근 0) · 세트 · 시간 전부 그대로. 중량은 한 손 16kg 출발값 · 더블 프로그레션. 티바 로우 머신(가슴 지지 없음)은 숙인 자세가 돌아오므로 엉덩이 뒤가 정리된 뒤의 대체 종목으로 K열에 남겼다.</t>
  </si>
  <si>
    <t>승모(중부)·능형근</t>
    <phoneticPr fontId="29" type="noConversion"/>
  </si>
  <si>
    <t>시티드 케이블 로우 (넓은 그립) / 머신 로우 / 티바 로우</t>
    <phoneticPr fontId="29" type="noConversion"/>
  </si>
  <si>
    <t>135/150/165</t>
    <phoneticPr fontId="29" type="noConversion"/>
  </si>
  <si>
    <t>135/145/155/165</t>
    <phoneticPr fontId="29" type="noConversion"/>
  </si>
  <si>
    <t>10~12</t>
    <phoneticPr fontId="29" type="noConversion"/>
  </si>
  <si>
    <t>[2026-10-11 사용자 결정 · 2번으로] 끝 수축 담당 — 덤벨은 팔이 수직으로 매달린 바닥에서 부하가 거의 0이고 당긴 끝에서 가장 무겁다 → 끝에서 1초 멈춘다. 10~12회. 1번 Iso-Lateral(팔꿈치 70~80°)과 각도 차이가 10°뿐이라 근육 배분은 같고 부하 구간만 다르다(사용자 지적). 벤치는 30°(20~30°) — 낮을수록 당기는 방향이 몸통에 수직인 진짜 수평 로우가 되고 수축 끝 부하가 커진다. 45° 이상이면 위로 끌어올리는 하이 로우가 되어 승모 상부가 끼어든다. 바닥에서 덤벨이 땅에 닿으면 벤치 다리를 원판 위에 올린다. [2026-10-11 사용자 결정] 스미스 바벨 로우(오버그립) → 인클라인 덤벨 로우(오버그립). 벤치에 가슴을 대고 턱은 벤치 끝 위로. 덤벨을 '- -'처럼 가로로 나란히 잡고(오버그립) 팔꿈치를 몸통에서 60~70° 벌려 당긴다 — 이 경로라야 주동근이 승모 중부 · 능형근으로 남는다. 팔꿈치를 옆구리에 붙이면 광배 종목이 되어(일요일 광배 6 → 10 · 승모 중부 −4) 이 자리의 의미가 바뀐다. 90°까지 벌리면 후면삼각 비중이 커진다. 팔꿈치가 몸통 선을 지날 때까지 당겨 1초 멈추고, 내릴 때 날개뼈를 앞으로 벌린다 — 바가 몸에 닿아 멈추던 스미스보다 수축 끝이 길다. 손목은 곧게. 어깨 앞이 찝히면 덤벨을 45°로 튼다. 바꾼 이유 — 가슴 지지라 상체를 숙여 버티는 햄스트링 · 기립근 부하가 0이다(데드 백오프 중 엉덩이 뒤 팝 관찰 중 · 전날 토요일 스쿼트). 중량은 한 손 기준 출발값이고 첫 세션에 10~12회로 맞춘다. 덤벨은 한 손 2kg씩 뛰므로 고정 증량 대신 12회를 채우면 다음 무게로(더블 프로그레션). 계수는 스미스 오버그립과 같다 — 이두 0.2 · 광배 0.5 · 후면 0.33 · 승모 상부 0.2 · 기립근 0. 무거워지면 스트랩 — 뒤로 해머 · 시티드 · 원암 로우 · 리스트 컬이 이어진다.</t>
    <phoneticPr fontId="29" type="noConversion"/>
  </si>
  <si>
    <t>· ㊳ [2026-10-11 같은 날] 일요일 1 · 2번 순서 교환 — 사용자 결정. 인클라인 덤벨 로우와 해머 스트렝스(Iso-Lateral) 로우가 같은 근육 · 같은 경로(팔꿈치 60~70° vs 70~80° — 상단 그립 최대한 넓게가 머신 한계)라는 사용자 지적에서 나왔다. 남은 차이는 부하 구간뿐이라 그걸로 역할을 갈랐다 — 1번 Iso-Lateral 6~8회(늘어난 구간 · 견갑 끝까지 빼고 1초), 2번 덤벨 10~12회(끝 수축 1초 · 벤치 30°). 세트(3 · 4) · 계수 · 시간 그대로.</t>
  </si>
  <si>
    <t>· 이 날은 증량을 추적하는 메인 리프트가 없다. 첫 종목(해머 스트랭스 로우) 작업중량의 50%로 10회 · 75%로 5회, 두 세트면 램프가 끝난다.</t>
    <phoneticPr fontId="29" type="noConversion"/>
  </si>
  <si>
    <t>[2026-10-11 사용자 결정] 격주로 바를 번갈아 쓴다 — 일자 와이드 바 ↔ 손잡이가 살짝 꺾이고 고리보다 처진 와이드 바(바 걸이 제일 아래). 꺾인 바는 바가 쇄골 · 가슴에 늦게 닿아 팔꿈치를 옆구리까지 더 끌어내릴 수 있다 — 광배가 가장 짧아지는 끝 구간까지 끝까지 당긴다. 손목이 덜 비틀려 넓은 그립의 어깨 앞 부담도 준다. 넓은 오버그립이라 분류는 그대로(광배 직접 · 이두 0.2). 기록은 같은 바끼리 2주 간격으로 비교한다 — 바 무게와 가동범위가 달라 지난주와 비교하면 안 된다. 앱 증량 기록 메모에 바 이름(일자 / 꺾인 바)을 적는다. 새 바의 첫 자극은 새로워서 강하게 느껴지는 것이니 성장 차이로 읽지 않는다. 넓은 엎침 그립 — 팔꿈치가 몸에서 벌어진 경로로 들어온다. 이두 관여가 가장 적은 수직 당기기다. [2026-10-05 4 → 3] 한 세트를 4번 암풀다운으로 넘겼다 — 사용자 제안.</t>
    <phoneticPr fontId="29" type="noConversion"/>
  </si>
  <si>
    <t>· 그래서 무거운 로우 7세트(해머 4 · 인클라인 덤벨 3)가 데드 다음날에서 완전히 빠졌다. 목요일에 남은 당기기는 수직(친업 · 랫풀다운)이고 척추 부하가 거의 0이다.</t>
    <phoneticPr fontId="29" type="noConversion"/>
  </si>
  <si>
    <t>직접 13세트: 일요일(수평) 해머 스트랭스 로우 4 · 인클라인 덤벨 로우 3 · 스캡 슈러그 3 + 목요일(수직) 페이스풀 3. 10/3으로 나뉜다 — 페이스풀이 없으면 일요일 주 1회가 되므로 그 자리를 유지한다(재택도 페이스풀을 수직 날에 둔다). 간접 5.0 — 시티드 · 원암 케이블 로우 0.5×(2+4) + 리버스 펙덱 0.33×4 + 케이블 리버스 플라이 0.33×3 + 벤트오버 레터럴 0.33×3 (케이블 리버스 플라이는 경부하 리어델트라 2026-10-02에 0.5 → 0.33)</t>
    <phoneticPr fontId="29" type="noConversion"/>
  </si>
  <si>
    <t>· ㊴ [2026-10-11 같은 날] 일요일 해머 스트랭스 로우 3 → 4 · 인클라인 덤벨 로우 4 → 3 — 사용자 결정. 1번 고중량 · 늘어난 구간 자리가 주력이라 세트를 그쪽에 둔다. 합계 · 시간 그대로. 계수가 다른 줄은 승모 상부(덤벨 0.2) · 승모 하부(해머 0.2) 하나씩이라 상부 −0.2 · 하부 +0.2만 움직인다.</t>
  </si>
  <si>
    <t>톱세트와 같은 동작 — 중량만 톱 × 0.82 (2026-10-02 백오프 복귀 · 2026-10-11 −5kg → × 0.82)</t>
    <phoneticPr fontId="29" type="noConversion"/>
  </si>
  <si>
    <t>· ㊵ [2026-10-11 같은 날] 수요일 데드 백오프 중량 톱 −5kg → 톱 × 0.82(1kg 반올림 · 80 → 66) — 사용자 결정. 75는 톱의 94%라 사실상 같은 강도 3세트였다. 2세트 · 5회 · 계수 · 시간 그대로. 백오프 0세트안과 비교해 엉덩이 뒤가 이제 괜찮다고 해 2세트 유지를 골랐다. 데드 · 루마니안 도중 엉덩이 뒤가 당기면 그날 백오프 · 루마니안 중단. 앱(build_mobile.py)도 같은 식으로 백오프를 낸다.</t>
  </si>
  <si>
    <t>[2026-10-11 사용자 결정] 톱세트 × 0.82(1kg 반올림) — 톱 80이면 66. 이전 '톱 −5kg'(75)은 톱의 94%라 백오프가 아니라 같은 강도 세트 셋이었고, 수요일 피로가 거기서 났다. 실패까지 4회 이상 남는 여유 세트다 — 근력은 톱세트가 끌고, 이 2세트는 폼 연습과 기립근 볼륨을 맡는다(기립근 직접 9 유지). 안전 규칙(엉덩이 뒤 팝 2026-10 · 지금은 괜찮음): 데드나 루마니안 도중 엉덩이 뒤가 당기면 그날 백오프와 루마니안은 중단한다. 다음 아침 허리가 뻐근하면 이 2세트를 먼저 뺀다 — 톱세트가 아니다.</t>
    <phoneticPr fontId="29" type="noConversion"/>
  </si>
  <si>
    <t>해머 스트랭스 스캡 슈러그(중립 그립)</t>
    <phoneticPr fontId="29" type="noConversion"/>
  </si>
  <si>
    <t>시티드 케이블 로우 스캡 슈러그(두번째 크기 바) / 페이스풀 (로프) / 리버스 펙덱 (팔 편 채로)</t>
    <phoneticPr fontId="29" type="noConversion"/>
  </si>
  <si>
    <t>[2026-10-11 시험] 다음 일요일 이 2세트를 가운데가 솟은 각도 그립 바(손목 10°쯤 틀어진 거의 오버그립 · 어깨너비보다 살짝 좁게)로 해 본다. 10/11 원암 케이블 로우 마지막 세트에 이 바를 두 손으로 썼더니 겨드랑이 뒤 · 날개뼈 아래 모서리(대원근)에 처음 느끼는 자극이 왔다. 대원근은 원래 모든 당기기에서 광배와 같이 일한다 — 이 바는 위팔 내회전이 고정되고, 바가 몸에 늦게 닿아 팔꿈치가 몸통 뒤로 더 넘어가서 대원근 몫이 커질 뿐이다. 큐: 팔꿈치를 몸통 뒤로 끝까지. 고정 여부는 느낌이 다시 오느냐가 아니라 이 바로 중량 · 반복이 오르느냐로 정한다. 고정하면 계상은 광배 직접 그대로, 그립이 엎침에 가까우니 이두 계수만 0.33 → 0.2로 내린다. [2026-10-07 사용자 결정] 1 → 2 — 4번 원암 3 → 4와 함께 일요일 광배 직접 4 → 6(세션당 한 근육 6세트 기준 — 6 아래인 날만 6까지). 대원근 점검에서 나온 증설이다 — 대원근은 광배와 같은 관절 동작(어깨 신전 · 내전)이라 광배 줄로 같이 센다. [2026-10-04 사용자 요청] 원암 케이블 로우 4세트를 양팔 2 + 원암 2로 나눴다 — 재택 6일차(양팔 3 + 원암 2)와 같은 구조다. 양팔로 무게를 싣고, 이어지는 원암으로 좌우 차를 본다. 좁은 뉴트럴 그립(V바) · 팔꿈치를 몸에 붙여 당기므로 주동근은 광배다(팔꿈치 경로 원칙). 중량 50은 원암 25의 두 배에서 잡은 출발값이라 첫 세션에 8~12회에 맞춰 조정한다. 같은 스테이션에서 원암(D핸들)까지 이어지고, 5번 스캡 슈러그는 1번 해머 머신으로 돌아간다(2026-10-11).</t>
    <phoneticPr fontId="29" type="noConversion"/>
  </si>
  <si>
    <t>· 스캡 슈러그 +60초(해머 머신 — 한쪽 원판을 빼고 바로 이어 간다) · 케이블 오버헤드 익스텐션 +60초(2026-10-08 푸쉬다운 자리를 이어받았다 — 이 종목만 무게를 내리지 않고 같은 무게로 푸쉬다운으로 넘어가는 기계적 드롭) · 프리쳐 컬 +60초. 마지막 세트에만 2단.</t>
    <phoneticPr fontId="29" type="noConversion"/>
  </si>
  <si>
    <t>· ㊶ [2026-10-11 같은 날] 일요일 5번 시티드 케이블 로우 스캡 슈러그 → 해머 스트랭스 스캡 슈러그(중립 그립) — 사용자가 실제로 하던 방식으로 정정. 가슴 지지로 반동이 없고 늘어난 위치 부하가 유지된다. 드롭 유지(한쪽 원판 빼고 이어 가기). 세트 · 계수 · 시간 그대로, 중량은 '—'(첫 세션에 12~15회로 맞춤).</t>
  </si>
  <si>
    <t>[동작] 등받이를 80~90도로 세운 벤치를 랙 안에 두고 앉는다 · 세이프티 바는 쇄골 바로 아래 높이 · 그립은 어깨너비보다 조금 넓게, 아래에서 전완이 수직 · 엉덩이와 등을 등받이에 붙이고 발은 바닥에 · 갈비뼈를 내려 허리를 등받이에서 띄우지 않는다(허리가 뜨면 서서 하는 것과 같아진다) · 바가 턱 앞을 지나도록 얼굴을 살짝 뒤로 빼고, 바가 이마를 지나면 머리를 바 아래로 넣어 정수리 위에서 팔꿈치를 잠근다 · 내릴 때 쇄골 위까지.
[2026-10-07 스미스 → 시티드 바벨 · 사용자 요청] 매주 미는 세 리프트 중 하나이고 증량을 추적한다. 프리웨이트라 궤도를 직접 잡아 어깨 안정근까지 쓰고, 기계마다 바 무게가 다른 스미스와 달리 기록이 어디서나 같고, 1kg 격자 증량이 그대로 이어진다. 앉아서 하는 이유: 데드 · 루마니안 · 레그 프레스 10세트 뒤라 기립근 · 둔근이 지쳐 있고, 서서 밀면 허리를 꺾는 보상이 나온다 — 스미스를 골랐던 이유와 같은 문제를 등받이로 푼다. 중량은 스미스 31 대신 28로 다시 출발한다(시작중량_설정 D10 27 → 25). 5회 후 1~2회 남으면 맞고, 3회 이상 남으면 앱에서 올린다. 어깨 블록 첫 종목이고 앞의 13세트가 전부 하체라 전면 삼각 · 삼두가 가장 온전한 자리다 — 아래 [오버헤드 프레스를 수요일에 둔 이유] 참조. [2026-10-21 사용자 결정] 3×5 → 3×8. 10/21 27kg으로 16회 — '너무 가볍다'. 추정 1RM 약 41 → 8회 약 32. 시작중량_설정 D10 25 → 28로 12주차(10/28)가 32다(격주 1kg 그대로 · 14주차 33). 오버헤드 프레스는 3대에 안 들어가 저반복으로 근력을 따로 잴 이유가 없다 — 벤치 4×8과 같은 판단. 수행 30 → 50초. 협력근 계수 삼두 · 측면 0.33 → 0.5(저반복 하향 근거가 사라졌다). 8회를 못 채운 주는 증량기록 J열에 반복수를 적어 그 중량을 한 번 더 든다.</t>
    <phoneticPr fontId="29" type="noConversion"/>
  </si>
  <si>
    <t>스미스 오버헤드 프레스 (허리 · 어깨 컨디션이 나쁜 날) / 머신 숄더 프레스</t>
    <phoneticPr fontId="29" type="noConversion"/>
  </si>
  <si>
    <t>시티드 레터럴 레이즈</t>
    <phoneticPr fontId="29" type="noConversion"/>
  </si>
  <si>
    <t>[2026-10-21] 케이블 Y 레이즈가 빠지고(사용자 — 동작이 어렵다) 덤벨 숄더 프레스가 들어와 수요일 측면 직접은 이 3세트다. Y 레이즈에 걸려 있던 드롭(+60초)을 이리 옮겼다. 프레스 둘(밀리터리 0.5×3 · 덤벨 0.5×3) 뒤라 측면 삼각이 간접 3세트치를 받은 상태 — 중량을 토요일보다 낮춰 잡는 것이 정상이다. [이전] [2026-10-06 사용자 결정 — 다양성] 6 → 3 — 뒤 3세트를 케이블 Y 레이즈로 나눴고 드롭도 그쪽으로 옮겼다. 측면 주 19 그대로. 프레스 직후라 측면 삼각이 이미 1.5세트치 간접을 받았다. 중량을 토요일보다 낮춰 잡는 것이 정상이다.</t>
    <phoneticPr fontId="29" type="noConversion"/>
  </si>
  <si>
    <t>케이블 레터럴 레이즈 / 머신 레터럴</t>
    <phoneticPr fontId="29" type="noConversion"/>
  </si>
  <si>
    <t>덤벨 숄더 프레스</t>
    <phoneticPr fontId="29" type="noConversion"/>
  </si>
  <si>
    <t>삼각근(전면)</t>
    <phoneticPr fontId="29" type="noConversion"/>
  </si>
  <si>
    <t>[2026-10-21 사용자 요청 · 케이블 Y 레이즈 자리] 밀리터리 바로 뒤에 붙인다 — 바벨이 무게를 밀고(8회 · 증량 추적) 덤벨은 궤도를 자유롭게 두고 10~12회로 가동범위 끝까지 쓴다. 반복 구간을 갈라 두 프레스가 같은 일을 하지 않게 했다. 등받이 80~90° · 아래에서 덤벨이 어깨 높이 · 팔꿈치는 몸통 앞 약 30°(정옆으로 벌리지 않는다 — 10/15 오른쪽 앞 어깨 찝힘 이후) · 위에서 덤벨끼리 부딪치지 않게 멈춘다. 중량은 한 손 기준 출발값 — 밀리터리 3×8 직후라 첫 세션에 10회를 못 채우면 12로. 덤벨은 한 손 2kg씩 뛰므로 12회를 채우면 다음 무게로(더블 프로그레션). 드롭 없음(복합 프레스). 계수 — 삼두 0.5 · 측면 0.5 · 승모 상부 0.2(밀리터리 8회와 같은 등급).</t>
    <phoneticPr fontId="29" type="noConversion"/>
  </si>
  <si>
    <t>머신 숄더 프레스 / 아놀드 프레스 / 스탠딩 덤벨 프레스 (허리가 괜찮은 날)</t>
    <phoneticPr fontId="29" type="noConversion"/>
  </si>
  <si>
    <t>· 시티드 레터럴 레이즈 +60초 하나뿐이다(2026-10-21 케이블 Y 레이즈가 빠지며 옮김 · 그 전 2026-10-06 덤벨 레터럴 → Y 레이즈). 덤벨 숄더 프레스에는 걸지 않는다 — 복합 프레스다. 마지막 세트에만 2단 — 레그 컬 드롭은 2026-10-02에 양측 레그 컬과 함께 토요일로 갔다.</t>
    <phoneticPr fontId="29" type="noConversion"/>
  </si>
  <si>
    <t>· 31세트 · 약 84분. [2026-10-21] 밀리터리 3×5 → 3×8(수행 30 → 50초) · 케이블 Y 레이즈 3 → 덤벨 숄더 프레스 3으로 80 → 84분. 2026-10-07 고관절 고립 14세트(약 29분)를 화요일로 보냈다 — 사용자 요청, 45세트 109분이던 10/7 첫 수요일에 어깨 블록 뒤 두 종목을 못 했다. 메인이 둘(데드 · 오버헤드 프레스) 있는 유일한 날이다.</t>
    <phoneticPr fontId="29" type="noConversion"/>
  </si>
  <si>
    <t>· 고립 12세트(어깨 6 · 카프 6)를 빼면 실질 19세트다(2026-10-21 덤벨 숄더 프레스가 들어와 15 → 12 · 16 → 19). 어깨 블록 뒤에는 스탠딩 카프 6만 남았다. 메인 둘이 있으므로 웜업은 램프 두 블록을 따로 잡는다.</t>
    <phoneticPr fontId="29" type="noConversion"/>
  </si>
  <si>
    <t>8회 × 3세트</t>
    <phoneticPr fontId="29" type="noConversion"/>
  </si>
  <si>
    <t>· [2026-10-21 사용자 결정] 시티드 바벨 밀리터리를 3×5 → 3×8로. 10/21 27kg × 16회 — 5회 기준으로 너무 가벼웠다. 추정 1RM 약 41 → 8회 약 32. D10 25 → 28로 12주차(10/28) 32 · 14주차 33(격주 1kg 그대로). F10 · 수요일 램프 B18 · 종목표 F33 · 앱 메인 카드가 같이 8회다.</t>
  </si>
  <si>
    <t>스쿼트 5×5 · 벤치 4×8 · 오버헤드 3×8 · 데드 톱1+백오프2</t>
    <phoneticPr fontId="29" type="noConversion"/>
  </si>
  <si>
    <t>· 메인 리프트는 세트만 줄인다 — 스쿼트 5×5 → 2×5 · 벤치 4×8 → 2×8 · 오버헤드 3×8 → 1×8 · 데드는 건너뛴다.</t>
    <phoneticPr fontId="29" type="noConversion"/>
  </si>
  <si>
    <t>매주 미는 네 리프트 중 하나. 이 날은 하체 · 힌지가 없어 코어와 기립근이 가장 신선하다. [벤치만 4×8 (2026-10-02 사용자 지정)] 스쿼트 · 데드는 5회 고정이고 벤치와 오버헤드 프레스(2026-10-21 3×5 → 3×8)는 8회다. 반복이 고정인 것은 같으므로 증량은 그대로 선형이다 — 증량기록 표가 매주 1kg을 올리고, 8회를 못 채운 주에는 X를 넣어 그 칸을 유지시킨다. 수행 50초는 8회에 맞춘 값이고 세트별 휴식 램프도 4칸(150/170/190/210 · 평균 180)으로 줄였다.</t>
    <phoneticPr fontId="29" type="noConversion"/>
  </si>
  <si>
    <t>오버헤드 프레스 측면삼각 관여 — 5×5 본세트라 측면삼각이 자기 실패 근처에 못 간다. 재택 2026-09-04 0.5→0.33 (2026-10-02 재택 09-04 규칙서 정렬) [2026-10-21 0.33 → 0.5] 3×5 → 3×8 — 8회면 측면삼각도 실패 근처까지 간다. 자유중량이라 궤도 고정 머신 숄더(0.33)보다 높다.</t>
    <phoneticPr fontId="29" type="noConversion"/>
  </si>
  <si>
    <t>복귀_수_하체후면</t>
    <phoneticPr fontId="29" type="noConversion"/>
  </si>
  <si>
    <t>삼두</t>
    <phoneticPr fontId="29" type="noConversion"/>
  </si>
  <si>
    <t>C</t>
    <phoneticPr fontId="29" type="noConversion"/>
  </si>
  <si>
    <t>프레스 중 팔꿈치 신전 — 강한 협력. 머신 숄더 프레스 · 밀리터리 8회와 같은 등급 (2026-10-21 신설)</t>
    <phoneticPr fontId="29" type="noConversion"/>
  </si>
  <si>
    <t>머리 위 덤벨 프레스 중 측면삼각 외전 — 자유중량 · 10~12회라 밀리터리 8회(0.5)와 같은 등급. 궤도 고정 머신 숄더(0.33)보다 높다 (2026-10-21 신설)</t>
    <phoneticPr fontId="29" type="noConversion"/>
  </si>
  <si>
    <t>승모(상부)</t>
    <phoneticPr fontId="29" type="noConversion"/>
  </si>
  <si>
    <t>머리 위 구간 견갑 상방 회전 — 약한 관여. 밀리터리와 같은 등급 (2026-10-21 신설)</t>
    <phoneticPr fontId="29" type="noConversion"/>
  </si>
  <si>
    <t>[2026-10-21 사용자 요청] 수요일 덤벨 숄더 프레스 3 신설(케이블 Y 레이즈 자리) — 직접 7 → 10(토 머신 숄더 4 · 수 밀리터리 3 · 덤벨 3) · 실질 13.5 → 16.5. [이전 기록] 직접 6세트: 토요일 머신 숄더 프레스 3 · 수요일 시티드 바벨 밀리터리 프레스 3. 간접 6.5 — 벤치 0.33×4 + 인클라인 스미스 0.5×3 + 인클라인 머신 0.5×3 + 딥스 0.2×3 + 인클라인 플라이 0.2×3 + 펙덱 0.2×4. 월요일에 프레스를 안 얹은 이유가 이 간접이다</t>
    <phoneticPr fontId="29" type="noConversion"/>
  </si>
  <si>
    <t>[2026-10-21 사용자 요청] 수요일 케이블 Y 레이즈 3 → 덤벨 숄더 프레스 3(동작이 어렵다) — 직접 19 → 16. 간접 2.5 → 4.5 — 밀리터리 3×8로 0.33 → 0.5 · 덤벨 숄더 프레스 0.5×3 신설. 실질 21.5 → 20.5로 여전히 '과다 점검' 표시지만 MAV 상단(약 22) 안쪽이다. 수요일 측면 직접은 3이 됐다(간접 3을 더하면 그날 6). [이전 기록] 직접 19세트: 토요일 와이드 그립 업라이트 로우 3 · 레터럴 3 · 월요일 원암 케이블 레터럴 4 · 머신 레터럴 3 · 수요일 레터럴 3 · 케이블 Y 레이즈 3 (2026-10-06 종목 다양화 — 사용자 결정). 간접 2.0 — 오버헤드 프레스 0.33×3 + 머신 숄더 프레스 0.33×3. [2026-10-06 사용자 결정] 세션당 6세트 기준으로 토 4 → 6 · 수 3 → 6 — 14 → 19 · 실질 16.0 → 21.0. '과다 점검'은 20 초과 표시이고 RP MAV 상단(약 22) 안쪽이다 — 레터럴 중량이 2주 연속 안 오르면 그때 이 숫자를 본다. 월요일 7은 사용자 지정으로 그대로. [2026-10-04 사용자 결정] 10 → 14로 실질 12.0 → 16.0(MAV 하단). 후면이 아니라 측면을 고른 이유 — 측면은 프레스 간접 2.0 말고 채울 길이가 없고, 후면은 넓은 그립 로우가 승모 중부로 계상돼 장부상 낮아 보일 뿐이다.</t>
    <phoneticPr fontId="29" type="noConversion"/>
  </si>
  <si>
    <t>· ㊷ [2026-10-21] 수요일 어깨 블록 — 사용자 결정. 케이블 Y 레이즈 3 → 덤벨 숄더 프레스 3(동작이 어렵다 · 숄더 프레스를 원함) · 시티드 바벨 밀리터리 3×5 → 3×8(10/21 27kg × 16회 — 너무 가벼웠다). 밀리터리 D10 25 → 28로 12주차 32. 순서는 밀리터리 → 덤벨 프레스 → 레터럴(드롭 이전) → 벤트오버. 월요일이 아니라 수요일인 이유 — Y 레이즈가 수요일에 있었고, 월요일은 가슴 프레스 셋이 전면 삼각 · 삼두를 먼저 써 버리는 날이다. 31세트 그대로 · 수 80 → 84분. 측면 실질 21.5 → 20.5 · 전면 13.5 → 16.5 · 삼두 18.5 → 20.5(천장 첫 초과). 앱 메인 카드가 본세트를 '5회'로 고정해 보여 주던 것도 고쳤다 — 시작중량_설정 F열의 반복을 읽는다(벤치 8회도 카드엔 5회로 나오고 있었다).</t>
  </si>
  <si>
    <t>프레스 중 팔꿈치 신전 — 약관여. [2026-10-23 0.5 → 0.2 · 사용자 결정] 내리는 건 인중까지 · 위에서도 끝까지 안 편다 — 삼두가 주도하는 락아웃 구간이 빠진 부분 가동범위. 끝까지 펴게 되면 0.5로 되돌린다. 측면삼각(0.33)은 그대로.</t>
    <phoneticPr fontId="29" type="noConversion"/>
  </si>
  <si>
    <t>로프 푸쉬다운</t>
    <phoneticPr fontId="29" type="noConversion"/>
  </si>
  <si>
    <t>· 팔이 맨 뒤인 이유 — 앞의 18세트가 이두에 간접을 얹고, 가슴 8세트는 플라이라 삼두를 쓰지 않는다. 그래서 로프 푸쉬다운이 온전히 나온다.</t>
    <phoneticPr fontId="29" type="noConversion"/>
  </si>
  <si>
    <t>[2026-10-23 V바 → 로프 · 실제 하는 대로] 2026-10-08 일요일 로프 푸쉬다운이 오버헤드 익스텐션으로 바뀌어 이것이 주의 유일한 짧아진 구간 삼두다(외측두 · 내측두 — 프레스 간접도 같은 갈래로 간다). [동작] 중립 그립(손바닥끼리 마주 · 엄지 위) · 팔꿈치는 옆구리에 고정 · 내리면서 로프 양끝을 허벅지 옆으로 벌린다 · 손바닥은 벌린 만큼만 따라 돌고 손목은 꺾지 않는다(손바닥을 천장으로 돌려도 삼두엔 더해지는 게 없다) · 끝에서 팔꿈치 끝까지 펴고 1초.</t>
    <phoneticPr fontId="29" type="noConversion"/>
  </si>
  <si>
    <t>[2026-10-23 0.5 → 0.2 · 사용자가 엑셀에서 직접 변경] 오버헤드 프레스 삼두 신전 — 5×5 저반복 본세트 하향. 머신 숄더 프레스(0.5)와 구분. 재택 2026-09-04 0.5→0.33 (2026-10-02 재택 09-04 규칙서 정렬) [2026-10-21 0.33 → 0.5] 3×5 → 3×8 — 저반복 하향 근거가 사라졌다. 벤치(2026-10-08)와 같은 처리.</t>
    <phoneticPr fontId="29" type="noConversion"/>
  </si>
  <si>
    <t>[2026-10-23 · 장두] 직접 9 → 12 — 일 케이블 오버헤드 익스텐션 3 → 5 · 화 라잉 익스텐션 3 → 4(팔꿈치 부하 · 화요일 46세트라 한 세트 덜). 늘어난 위치 장두 주 6 → 9. 같은 날 사용자가 수요일 시티드 바벨 밀리터리 → 삼두를 0.5 → 0.2로 직접 바꿔 간접 10.5 → 9.5 · 실질 21.5. 천장 20을 넘는 몫은 비어 있던 장두다 — 외측두 · 내측두(프레스 간접)는 그대로. [2026-10-23] 간접 11.5 → 10.5 — 토요일 머신 숄더 프레스 0.5 → 0.2(사용자 결정 · 인중까지만 내리고 위에서도 끝까지 안 펴는 부분 가동범위 · 락아웃 구간이 빠짐). 실질 20.5 → 19.5. [2026-10-21] 간접 9.5 → 11.5 — 시티드 바벨 밀리터리 3×5 → 3×8로 0.33 → 0.5 · 덤벨 숄더 프레스 0.5×3 신설. 실질 18.5 → 20.5로 천장(20)을 처음 넘었다. 늘어난 것은 프레스 간접(외측두 · 내측두)이고 장두 직접 6은 그대로다 — 화 · 목 · 일 삼두 중량이 2주 연속 멈추면 그때 이 숫자를 본다. [이전 기록] 직접 9세트: 일요일 케이블 오버헤드 익스텐션 3(2026-10-08 로프 푸쉬다운에서 교체) · 화요일 라잉 익스텐션 3 · 목요일 V바 푸쉬다운 3. 간접 9.5 — 벤치(4) · 인클라인 머신(3) · 인클라인 스미스(3) · 딥스 · 머신 숄더(4) 0.5씩 + 시티드 바벨 밀리터리 0.33(3×5 저반복). 실질 18.5로 성장 구간 상단. 단 이 합은 세 갈래를 하나로 센다 — 프레스 간접은 외측두 · 내측두로 가고, 장두는 늘어난 구간 직접 6(일 · 화)이 사실상 전부다.</t>
    <phoneticPr fontId="29" type="noConversion"/>
  </si>
  <si>
    <t>[동작] 도르래는 가슴~어깨 높이(최하단이면 등 뒤로 끌어올리기 어색하다) · 로프를 잡고 케이블을 등진 채 머리 위로 넘겨 머리 뒤에 · 한 발 앞으로 엇갈려 서고 상체 20~30도 앞으로(케이블이 몸을 뒤로 끌지 않게) · 복근을 잠가 허리를 젖히지 않는다 · 팔꿈치를 굽혀 로프가 뒤통수 뒤로 깊이 — 삼두 뒤쪽이 당기면 맞다 · 팔꿈치 위치는 그대로 두고 팔꿈치 아래만 앞쪽 위로 쭉 편다 · 끝에서 로프 끝을 살짝 벌린다 · 내릴 때 2초로 처음 깊이까지(가장 중요). 실수 — 팔꿈치가 바깥으로 벌어지면 무거운 것 · 팔꿈치가 앞뒤로 움직이면 광배 · 가슴이 끼어든다 · 허리가 젖혀지면 무게를 줄인다 · 무거워져 아래 구간을 끊으면 이 종목을 하는 이유가 사라진다. 마지막 세트 — 1~2회 남기고 로프를 쥔 채 돌아서서 같은 무게로 푸쉬다운(팔꿈치는 옆구리) 실패 근처까지. 무게 — 깊은 가동범위로 12회를 넘기면 다음 주 한 칸 올리고, 8회 아래거나 깊이가 줄면 한 칸 내린다.
[2026-10-08 드롭 = 기계적 드롭 · 사용자 결정] 마지막(5번째 · 2026-10-23 3 → 5) 세트만 — 오버헤드로 실패 근처까지 간 뒤 무게를 내리지 않고 로프를 그대로 쥔 채 돌아서서 같은 무게로 푸쉬다운을 실패 근처까지 잇는다. 짧아진 구간이 더 강해서 오버헤드로 못 펴는 무게도 푸쉬다운으로는 반복이 이어진다. 같은 케이블 · 같은 로프라 전환이 몇 초다. 드롭이라 세트로 세지 않는다(N열 +60초 그대로). 슈퍼세트 3라운드로 하면 실제로는 직접 6세트라 삼두 실질 21.5로 천장을 넘어서 이 형태로 했다. [2026-10-08 로프 푸쉬다운에서 교체 · 사용자 결정] 늘어난 구간 — 장두. 케이블을 등지고 서서 로프를 머리 뒤로 내렸다가 위로 편다. 팔꿈치는 머리 옆에 고정하고 벌어지지 않게 한다. 삼두 세 갈래 중 장두만 어깨를 넘기 때문에 팔이 머리 위로 가야 늘어난 위치에서 부하를 받는다. 프레스 간접(주 9.5)은 대부분 외측두 · 내측두로 가므로 장두는 라잉 익스텐션 3이 전부였다 — 이 교체로 장두 늘어난 구간이 주 2회(일 · 화) 6세트가 된다. 짧아진 구간은 목요일 로프 푸쉬다운이 맡는다. 당기기 뒤라 삼두가 신선한 상태로 들어온다. 중량 20은 푸쉬다운 25에서 낮춰 잡은 출발값이라 첫 세션에 8~12회에 맞춘다.</t>
    <phoneticPr fontId="29" type="noConversion"/>
  </si>
  <si>
    <t>인클라인 덤벨 프로트랙션</t>
  </si>
  <si>
    <t>[2026-10-23 신설 · 사용자 결정] 전거근 직접 주 9 중 3 — 각도를 위로 올린 자리다(토 · 월 수평 → 수 45°). 랜드마인은 사용자가 원하지 않아 이것으로 정했다. [동작] 벤치 45° · 등을 기댄 채 덤벨을 어깨 위로 편다(손바닥은 마주 보게) · 팔꿈치는 편 채 견갑골만 천장 쪽으로 내민다 — 덤벨이 5~8cm 올라간다 · 끝에서 1초 · 날개뼈가 벤치에 붙을 때까지 천천히 돌아온다 · 등이 벤치에서 뜨거나 으쓱하지 않는다. 밀리터리 · 덤벨 숄더 프레스 뒤라 몸이 받쳐지는 종목으로 골랐다.</t>
  </si>
  <si>
    <t>케이블 하이 리치 (낮은 도르래를 등지고 앞-위 45°로 뻗기) / 숄더 프레스 머신에서 팔 편 채 밀어올리기</t>
  </si>
  <si>
    <t>약 84분</t>
    <phoneticPr fontId="29" type="noConversion"/>
  </si>
  <si>
    <t>약 89분</t>
    <phoneticPr fontId="29" type="noConversion"/>
  </si>
  <si>
    <t>· ㊸ [2026-10-23] 전거근 직접 신설 — 사용자 결정(키우기 · 견갑골 안정화). 어깨 날마다 어깨 블록 뒤에: 토 원암 케이블 서라투스 펀치 2(수평 · 서서) · 월 스미스 프로트랙션 4(수평 · 하중을 거는 자리) · 수 인클라인 덤벨 프로트랙션 3(45°). 랜드마인 · 스캡 푸시업 · 푸시업 플러스는 사용자가 원하지 않거나 하중이 막혀 뺐다. 직접 0 → 9(하한) · 235세트. 프레스 앞이 아니라 뒤에 둔 이유 — 키우려면 지칠 때까지 하는데, 프레스 앞에서 지치면 프레스 중 견갑골이 흔들린다.</t>
  </si>
  <si>
    <t>해머 스트랭스 로우</t>
  </si>
  <si>
    <t>10회 × 3세트</t>
  </si>
  <si>
    <t>시작 주차</t>
  </si>
  <si>
    <t>해머 스트랭스 로우 주당 증량 (kg)</t>
  </si>
  <si>
    <t>매주 +1 → 평균 주 1.25kg. 원판식 기구 · 13주차 60kg에서 출발 (2026-10-23 사용자 결정)</t>
  </si>
  <si>
    <t>인클라인 벤치프레스 머신 주당 증량 (kg)</t>
  </si>
  <si>
    <t>매주 +1 · 13주차 42kg에서 출발. 2주 연속 미달이면 선형 중단 → 8~10 더블 프로그레션 (2026-10-23)</t>
  </si>
  <si>
    <t>해머 로우 목표</t>
    <phoneticPr fontId="29" type="noConversion"/>
  </si>
  <si>
    <t>미달 시 반복수</t>
    <phoneticPr fontId="29" type="noConversion"/>
  </si>
  <si>
    <t>인클라인 머신 목표</t>
    <phoneticPr fontId="29" type="noConversion"/>
  </si>
  <si>
    <t>· [2026-10-23 사용자 결정] 해머 스트랭스 로우 4×8 · 인클라인 벤치프레스 머신 3×10을 매주 +1kg 선형으로 — 둘 다 원판식이라 1kg 격자가 맞는다. D11 · D12는 6주차가 아니라 13주차(10/24 주) 중량이다. 미달 기록은 증량기록 O · Q열. 인클라인 머신은 2주 연속 미달이면 선형을 멈추고 8~10 더블 프로그레션으로 돌아간다 — 벤치 바로 뒤라 벤치 피로인지 정체인지 구분이 안 되기 때문이다. 앱에는 메인 카드 없이 종목표 그 줄의 중량만 주차를 따라간다.</t>
  </si>
  <si>
    <t>[2026-10-23 사용자 결정] 4×8 고정 · 매주 +1kg 자동(13주차 60kg에서 출발 · 증량기록 N열). 8회를 못 채운 주는 증량기록 O열에 마지막 세트 반복수를 적고 같은 무게를 한 번 더 든다. [2026-10-11 사용자 결정 · 1번으로] 늘어난 구간 담당 — 레버가 늘어난 위치에서도 팔을 앞으로 끌어 부하가 유지된다(덤벨은 바닥에서 부하가 거의 0). 내릴 때 견갑을 끝까지 빼서(전인) 1초 버틴 뒤, 견갑부터 모으며 당긴다. 6~8회 고중량 — 원판 1kg 격자로 증량을 추적하는 자리. [2026-10-11 실제 수행으로 정정] 상단 그립을 최대한 넓게 잡는다(오버그립). 팔꿈치가 몸통에서 70~80° 벌어진 채 뒤로 빠지고, 손잡이는 가슴 높이로 온다 — 주동근 승모 중부 · 능형근에 후면삼각 비중이 크다(계수 0.33). 패드는 가슴이 패드에서 떨어지지 않는 거리. (이전 메모 '손잡이가 아래쪽 갈비뼈~명치 · 팔꿈치는 몸통 옆을 지나 뒤로'는 팔꿈치를 붙이는 광배 경로라 분류와 어긋나 있었다.)</t>
    <phoneticPr fontId="29" type="noConversion"/>
  </si>
  <si>
    <t>[2026-10-23 사용자 결정] 3×10 고정 · 매주 +1kg 자동(13주차 42kg에서 출발 · 증량기록 P열). 10회를 못 채운 주는 Q열에 반복수를 적고 같은 무게를 한 번 더. 2주 연속 미달이면 선형을 멈추고 8~10 더블 프로그레션으로 돌아간다 — 벤치 바로 뒤라 벤치 피로 때문인지 근력이 막힌 건지 구분이 안 된다. 상부지 복합. 복합이라 플라이보다 앞에 둔다.</t>
    <phoneticPr fontId="29" type="noConversion"/>
  </si>
  <si>
    <t>인클라인 벤치프레스(바벨)</t>
    <phoneticPr fontId="29" type="noConversion"/>
  </si>
  <si>
    <t>인클라인 벤치프레스(스미스) — 이전 종목 / 인클라인 벤치프레스 머신 (월요일과 같은 기구가 되나 자리는 유효) / 인클라인 덤벨 프레스 / 헤머스트랭스 인클라인 프레스</t>
    <phoneticPr fontId="29" type="noConversion"/>
  </si>
  <si>
    <t>· [2026-10-10 사용자 결정] 1~6번은 등 → 가슴 → 등 → 가슴 → 등 → 가슴(친업 · 인클라인 바벨 · 와이드 · 펙덱 · 언더그립 · 디클라인), 7~9번이 암풀다운 · 오버헤드 슈러그 · 페이스풀이다. 목적은 휴식 — 세트 사이 휴식은 그대로지만 같은 근육을 종목 사이에 약 10분씩 쉬게 해 둘째 · 셋째 랫풀다운과 가슴 종목이 덜 지친 채 들어간다. 데드 다음날이라 그립도 당기기 사이에 쉰다. 세트 단위 페어(A1/A2)는 시간이 20분 가까이 줄지만 두 기구를 동시에 잡아야 해 헬스장 사정상 불가 — 종목 단위라 시간은 그대로다. 친업은 가장 무거워 맨 앞을 지킨다.</t>
    <phoneticPr fontId="29" type="noConversion"/>
  </si>
  <si>
    <t>데드 다음날이라 척추 부하가 거의 0인 수직 당기기만 둔다 — 친업은 매달리고 랫풀다운은 앉아서 고정된다. 그립이 지쳐 있으면 친업을 어시스트 머신으로. 가슴은 인클라인 벤치프레스(바벨) 3 + 플라이 7로 10이다. [2026-10-10] 등 · 가슴을 종목 단위로 번갈아 한다(1~6번) — 같은 근육에 종목 사이 휴식을 주려고. 맨 뒤에 전완 슈퍼세트 6 + 백 익스텐션 3 (데드 다음날이라 일요일보다 중량이 낮게 나오는 것이 정상 — 금지는 아니다)</t>
    <phoneticPr fontId="29" type="noConversion"/>
  </si>
  <si>
    <t>직접 9세트: 월요일 인클라인 벤치프레스 머신 3 · 인클라인 덤벨 플라이 3 + 목요일 인클라인 벤치프레스(바벨) 3 (2026-10-02 사용자 요청). 월요일 둘을 4 → 3으로 내려 합산을 22.5까지 낮췄다가 목요일에 3을 더해 25.5가 됐다 — 주 1회 6에서 주 2회 9로 바뀐 셈이다. 간접 0 — 흉근 상/하는 I열에서 합산 판정하므로 서로에게 간접을 얹지 않는다(2026-10-02 교차 계상 제거). 상부지를 복합 하나 · 고립 하나로 나눠 각 4세트다. 단독 판정이 '하한'으로 뜨지만 흉근은 I열 합산(25.0)으로 판정한다</t>
    <phoneticPr fontId="29" type="noConversion"/>
  </si>
  <si>
    <t>10회 × 4세트</t>
  </si>
  <si>
    <t>레그 프레스 주당 증량 (kg)</t>
  </si>
  <si>
    <t>매주 +2 · 13주차 160kg에서 출발 (2026-10-23 사용자 결정)</t>
  </si>
  <si>
    <t>레그 프레스 목표</t>
    <phoneticPr fontId="29" type="noConversion"/>
  </si>
  <si>
    <t>[2026-10-23 사용자 결정] 10회 × 4세트 고정 · 매주 +2kg 자동(13주차 160kg에서 출발 · 증량기록 R열). 10회를 못 채운 주는 S열에 마지막 세트 반복수를 적고 같은 무게를 한 번 더. 2주 연속 미달이면 선형을 멈추고 범위 방식으로 돌아간다. 스쿼트 바로 뒤라 다리가 신선하다 — 무게가 커서 +1은 0.6%라 +2. 스쿼트 뒤 사두 볼륨. 발 위치를 높이면 둔근 쪽으로, 낮추면 사두 쪽으로 간다 — 이 자리는 낮게 둔다.</t>
    <phoneticPr fontId="29" type="noConversion"/>
  </si>
  <si>
    <t>레그 프레스 (발 높게) 주당 증량 (kg)</t>
  </si>
  <si>
    <t>2주마다 +2 · 13주차 140kg에서 출발 (2026-10-23 사용자 결정)</t>
  </si>
  <si>
    <t>레그 프레스 발 높게 목표</t>
    <phoneticPr fontId="29" type="noConversion"/>
  </si>
  <si>
    <t>[2026-10-23 사용자 결정] 10회 × 4세트 고정 · 2주마다 +2kg 자동(13주차 140kg에서 출발 · 증량기록 T열). 10회를 못 채운 주는 U열에 마지막 세트 반복수를 적고 같은 무게를 한 번 더. 2주 연속 미달이면 선형을 멈추고 범위 방식으로 돌아간다. 데드 · 루마니안 뒤 4번이라 2주마다. [2026-10-02 사용자 지정] 발을 발판 가장 위쪽에 둔다 — 고관절 굽힘 범위가 커져 고관절 신전 비중이 올라간다. 근육군은 둔근으로 잡았다: 발을 높여도 무릎이 같이 펴지므로 햄스트링은 고관절 신전(+)과 무릎 굴곡(−)이 상쇄돼 길이가 거의 안 바뀌고, 능동 단축이 작으면 자극도 작다. 그래서 사두 0.33 · 햄스트링 0.2를 간접으로 계상했다. 중량은 토요일(125)보다 낮게 잡았다 — 발 위치가 바뀌면 같은 중량이 안 나온다. 더블 프로그레션으로 맞춘다.</t>
    <phoneticPr fontId="29" type="noConversion"/>
  </si>
  <si>
    <t>루마니안 데드리프트 주당 증량 (kg)</t>
  </si>
  <si>
    <t>2주마다 +1 · 13주차 50kg에서 출발 (2026-10-23 사용자 결정)</t>
  </si>
  <si>
    <t>루마니안 목표</t>
    <phoneticPr fontId="29" type="noConversion"/>
  </si>
  <si>
    <t>[2026-10-23 사용자 결정] 10회 × 3세트 고정 · 2주마다 +1kg 자동(13주차 50kg에서 출발 · 증량기록 V열). 10회를 못 채운 주는 W열에 마지막 세트 반복수를 적고 같은 무게를 한 번 더. 2주 연속 미달이면 선형을 멈추고 범위 방식으로 돌아간다. 데드 톱 · 백오프 뒤 3번이라 2주마다(햄스트링은 10/23 사용자 '이제 괜찮다'). 당기면 그날은 미달로 적는다. [2026-10-11] 엉덩이 뒤가 당기면 이 종목은 그날 중단(백오프와 같은 규칙). 고관절 신전으로 햄스트링을 늘어난 구간에서 훈련한다. 무릎은 살짝만 굽히고 중립 척추를 지킨다.</t>
    <phoneticPr fontId="29" type="noConversion"/>
  </si>
  <si>
    <t>12회 × 4세트</t>
  </si>
  <si>
    <t>힙 쓰러스트 주당 증량 (kg)</t>
  </si>
  <si>
    <t>2주마다 +1 · 13주차 25kg에서 출발 (2026-10-23 사용자 결정)</t>
  </si>
  <si>
    <t>힙 쓰러스트 목표</t>
    <phoneticPr fontId="29" type="noConversion"/>
  </si>
  <si>
    <t>[2026-10-23 사용자 결정] 12회 × 4세트 고정 · 2주마다 +1kg 자동(13주차 25kg에서 출발 · 증량기록 X열). 12회를 못 채운 주는 Y열에 마지막 세트 반복수를 적고 같은 무게를 한 번 더. 2주 연속 미달이면 선형을 멈추고 범위 방식으로 돌아간다. 데드 전날이라 RIR 1~2를 지킨 채 12회가 나와야 달성. [2026-10-07 수 → 화 · 사용자 요청] 수요일이 45세트 109분이었고 10/7 첫 수요일에 어깨 블록 뒤 마지막 자리라 이 종목이 먼저 빠졌다. 둔근 직접. 짧아진 구간에서 최대 장력이 걸려 수요일 데드 · 루마니안(늘어난 구간)과 갈린다. 화요일은 데드 전날이라 실패 직전 1~2회 남기고 끊는다(RIR 1~2) — 둔근은 데드의 고관절 신전 주동근이다. [2026-10-07 3 → 4 · 사용자 요청] 맨 앞으로 와 신선할 때 하는 자리라 한 세트를 더했다 — 화요일 둔근 3 → 4로 세션당 6 아래. 수요일 데드에서 둔근이 무겁게 느껴지면 줄이는 순서: ① 이 4번째 세트부터 뺀다 → ② 그래도 반복되면 이 종목만 일요일로(데드까지 3일). 12회가 4~5회 넘게 남는 무게면 세트보다 중량을 먼저 올린다.</t>
    <phoneticPr fontId="29" type="noConversion"/>
  </si>
  <si>
    <t>15회 × 3세트</t>
  </si>
  <si>
    <t>오버헤드 슈러그(스미스) 주당 증량 (kg)</t>
  </si>
  <si>
    <t>3주마다 +1 · 13주차 25kg에서 출발 · 원판만 센 무게(봉 제외) (2026-10-23 사용자 결정)</t>
  </si>
  <si>
    <t>오버헤드 슈러그 목표</t>
    <phoneticPr fontId="29" type="noConversion"/>
  </si>
  <si>
    <t>[2026-10-23 사용자 결정] 15회 × 3세트 고정 · 3주마다 +1kg 자동(13주차 25kg에서 출발 · 증량기록 Z열). 15회를 못 채운 주는 AA열에 마지막 세트 반복수를 적고 같은 무게를 한 번 더. 2주 연속 미달이면 선형을 멈추고 범위 방식으로 돌아간다. 무게는 원판만 센 값이다 — 봉 무게를 몰라도 1kg 격자 규칙이 맞는다. 가동범위가 짧은 고립이라 3주마다. 팔이 머리 위에 고정된 채 견갑을 내린다 — 승모 하부가 직접 걸리는 유일한 자리이고, 팔이 머리 위라는 점에서 수직 날에 맞는다.</t>
    <phoneticPr fontId="29" type="noConversion"/>
  </si>
  <si>
    <t>해머 스트랭스 스캡 슈러그(중립 그립)</t>
  </si>
  <si>
    <t>해머 스트랭스 스캡 슈러그(중립 그립) 주당 증량 (kg)</t>
  </si>
  <si>
    <t>2주마다 +1 · 13주차 50kg에서 출발 · 원판만 센 무게(봉 제외) (2026-10-23 사용자 결정)</t>
  </si>
  <si>
    <t>스캡 슈러그 목표</t>
    <phoneticPr fontId="29" type="noConversion"/>
  </si>
  <si>
    <t>[2026-10-23 사용자 결정] 15회 × 3세트 고정 · 2주마다 +1kg 자동(13주차 50kg에서 출발 · 증량기록 AB열). 15회를 못 채운 주는 AC열에 마지막 세트 반복수를 적고 같은 무게를 한 번 더. 2주 연속 미달이면 선형을 멈추고 범위 방식으로 돌아간다. 무게는 원판만 센 값이다 — 봉 무게를 몰라도 1kg 격자 규칙이 맞는다. [2026-10-11 실제 수행으로 정정] 1번 해머 스트랭스(Iso-Lateral) 머신에서 손잡이를 옆으로(중립 그립) 잡고 한다. 가슴 패드가 몸통 반동을 막고, 레버가 팔을 앞으로 끌어 날개뼈를 끝까지 벌린 위치에서도 부하가 걸린다. 큐: 날개뼈를 앞으로 끝까지 벌린다 → 팔꿈치를 잠근 채 날개뼈만 등 가운데로 모은다 → 1초 멈췄다가 천천히 벌린다. 중립 그립은 팔꿈치가 굽기 쉽다 — 굽으면 로우가 된다. 드롭 유지: 마지막 세트 뒤 한쪽 원판을 빼고 바로 이어 간다. 중량은 원판식이라 케이블 45와 다르다 — 첫 세션에 12~15회로 맞춘다. 팔을 편 채 견갑만 후인한다 — 로우의 간접만으로는 능형근이 실패지점에 안 간다.</t>
    <phoneticPr fontId="29" type="noConversion"/>
  </si>
  <si>
    <t>15회 × 4세트</t>
  </si>
  <si>
    <t>스미스 프로트랙션 주당 증량 (kg)</t>
  </si>
  <si>
    <t>프로트랙션 목표</t>
    <phoneticPr fontId="29" type="noConversion"/>
  </si>
  <si>
    <t>· [2026-10-23 사용자 결정 · 둘째 묶음] 13~19행 일곱 종목도 선형으로 — 주기는 종목마다(증량기록 E열 · 1~3주). D열은 13주차 중량이다. 스미스 · 머신은 원판만 센 무게(봉 무게를 몰라도 '5로 나눈 나머지 4' 규칙이 맞는다). 공통 규칙: 2주 연속 미달이면 그 종목만 선형을 멈추고 범위 방식으로 돌아간다. 라잉 트라이셉스 · 리버스컬은 고정 EZ바라 보류 — 원판 EZ바로 바꾸고 원판 무게가 정해지면 넣는다.</t>
  </si>
  <si>
    <t>라잉 트라이셉스 익스텐션 주당 증량 (kg)</t>
  </si>
  <si>
    <t>3주마다 +1 · 13주차 15kg에서 출발 · EZ바 봉 포함 총무게 (2026-10-23 사용자 결정)</t>
  </si>
  <si>
    <t>라잉 트라이셉스 목표</t>
    <phoneticPr fontId="29" type="noConversion"/>
  </si>
  <si>
    <t>[2026-10-23 사용자 결정] 10회 × 4세트 고정 · 3주마다 +1kg 자동(13주차 15kg에서 출발 · 증량기록 AF열). 봉만 있는 EZ바 + 원판으로 바꾼다(고정 EZ바는 1kg 증량이 안 된다). 무게는 봉 포함 총무게 — 지금 고정 바 15kg와 같은 무게로 시작한다. 봉 무게가 5의 배수(10 등)가 아니면 끼울 수 없는 칸이 생기니 알려줄 것. 10회를 못 채운 주는 AG열에 마지막 세트 반복수를 적고 같은 무게를 한 번 더 · 2주 연속 미달이면 범위 방식으로 돌아간다. [2026-10-08 자세] 팔을 수직으로 세우지 말고 머리 쪽으로 20~30° 눕힌 채 고정한다 — 어깨 굽힘이 110~120°가 돼 장두가 더 늘어나고, 전완이 수평이 되는 가장 무거운 지점이 더 깊은 쪽으로 옮겨 간다(자유중량이라 바가 이마 뒤로 갈수록 가벼워지는 약점을 줄인다). 일요일 케이블 오버헤드는 늘어난 지점의 장력, 이 종목은 바벨 중량 진행을 맡는다. 늘어난 구간 — 팔이 머리 위로 가 장두가 신장된다. 목요일 로프 푸쉬다운(짧아진 구간)과 각도를 나누고, 일요일 오버헤드 익스텐션과 함께 장두 늘어난 구간을 주 2회로 만든다(2026-10-08). 팔꿈치가 시큰하면 EZ바로 바꾼다.</t>
    <phoneticPr fontId="29" type="noConversion"/>
  </si>
  <si>
    <t>12회 × 3세트</t>
  </si>
  <si>
    <t>리버스컬 주당 증량 (kg)</t>
  </si>
  <si>
    <t>리버스컬 목표</t>
    <phoneticPr fontId="29" type="noConversion"/>
  </si>
  <si>
    <t>[2026-10-23 사용자 결정] 12회 × 3세트 고정 · 3주마다 +1kg 자동(13주차 15kg에서 출발 · 증량기록 AH열). 봉만 있는 EZ바 + 원판으로 바꾼다(고정 EZ바는 1kg 증량이 안 된다). 무게는 봉 포함 총무게 — 지금 고정 바 15kg와 같은 무게로 시작한다. 봉 무게가 5의 배수(10 등)가 아니면 끼울 수 없는 칸이 생기니 알려줄 것. 12회를 못 채운 주는 AI열에 마지막 세트 반복수를 적고 같은 무게를 한 번 더 · 2주 연속 미달이면 범위 방식으로 돌아간다. 엎침 그립 컬 — 상완요골근과 신근이 주동이다. 재택 4일차 종목이라 새로 익힐 것이 없다.</t>
    <phoneticPr fontId="29" type="noConversion"/>
  </si>
  <si>
    <t>인클라인 벤치프레스(바벨)</t>
  </si>
  <si>
    <t>8회 × 3세트</t>
  </si>
  <si>
    <t>인클라인 벤치프레스(바벨) 주당 증량 (kg)</t>
  </si>
  <si>
    <t>매주 +1 · 13주차 40kg에서 출발 · 봉 20 포함 총무게 · 벤치와 같은 방식 (2026-10-23 사용자 결정)</t>
  </si>
  <si>
    <t>인클라인 바벨 목표</t>
    <phoneticPr fontId="29" type="noConversion"/>
  </si>
  <si>
    <t>[2026-10-23 사용자 결정] 8회 × 3세트 고정 · 매주 +1kg 자동(13주차 40kg에서 출발 · 증량기록 AJ열). 벤치처럼 고정 반복 · 매주 +1kg(사용자 요청 — 범위로 자리 잡는 기간 없이 바로). 봉 20 + 한쪽 10 = 40에서 출발. 목요일 가슴 첫 종목이라 세트만 3. 8회를 못 채운 주는 AK열에 마지막 세트 반복수를 적고 같은 무게를 한 번 더 · 2주 연속 미달이면 범위 방식으로 돌아간다. [2026-10-23 사용자 결정 · 스미스 → 바벨] 바벨 인클라인으로 바꿨다 — 자극이 더 좋고 어깨가 편하다(사용자). 바가 레일에 묶이지 않아 궤도가 팔꿈치 · 어깨를 따라 스스로 잡힌다. 10/15 오른쪽 앞 어깨 찝힘의 원인이 고정 궤도에서 팔꿈치를 배꼽 쪽으로 끌어내린 것이었으니, 원인 자체가 사라졌다. 큐는 그대로 — 바닥에서 전완이 바 바로 밑에 수직 · 팔꿈치는 몸통에서 45~60° · 바는 쇄골 바로 아래 윗가슴에 닿게 · 견갑은 뒤로 모으고 아래로 고정. 랙 세이프티 바는 가슴 바로 위 높이로(혼자 하는 프리웨이트). 계수는 스미스와 같다(삼두 0.5 · 전면삼각 0.5). [2026-10-10 등 ↔ 가슴 종목 단위 교차 · 사용자 결정] 친업 다음 2번 — 가슴 첫 종목이고 복합이라 플라이보다 앞에 둔다. [2026-10-02 사용자 요청] 재택 4일차와 같은 종목 · 같은 중량 · 같은 세트이고 계수도 그대로 쓴다(삼두 0.5 · 전면삼각 0.5). 월요일 인클라인 벤치프레스 머신(35kg)과 기구가 갈린다 — 바벨은 궤도가 자유라 안정화가 셋 중 가장 많이 든다. 상부지를 월 6(머신 3 + 플라이 3) + 목 3으로 주 2회로 쪼갰다.</t>
    <phoneticPr fontId="29" type="noConversion"/>
  </si>
  <si>
    <t>· [2026-10-23 사용자 결정 · 셋째 묶음] 라잉 트라이셉스 4×10 · 리버스컬 3×12 — 봉만 있는 EZ바 + 원판으로 바꿔 3주마다 +1kg(D20 · D21은 봉 포함 총무게 · 지금 고정 바와 같은 15). 위 '보류' 줄은 이것으로 끝났다. 목 인클라인 벤치프레스(바벨) 3×8 매주 +1kg — 벤치처럼 바로(사용자 요청 · D22 = 봉 20 + 한쪽 10).</t>
  </si>
  <si>
    <t>15~20</t>
  </si>
  <si>
    <t>[2026-10-24 사용자 결정] 15회 고정 → 15~20 더블 프로그레션 · 무게 고정 바 → 원판 끼우는 봉으로 바꾼다(봉 무게 모름 — 봉 포함 총무게로 적고 첫날 지금 무게에 가깝게 맞춘다). 전 세트 20회면 앱 ▲ +1kg — 못 끼우는 무게면 무게 칸을 눌러 고친다. [2026-10-04 생수배송 대비 — 일 3 그대로(같은 날 2로 내렸다가 사용자 결정으로 복귀) · 목 3 → 2 · 화 3 → 0(보류)] 캐리 · 스텝박스이 굴근을 쥐고 버티는 쪽으로 채운다. 일요일은 다음 캐리(수)까지 이틀이 비어 3세트를 둔다 — 목요일은 토요일 캐리까지 하루뿐이라 2. 배달 일을 안 하게 되면 3으로 되돌린다. [2026-10-02 사용자 지정 — 팔 하는 날마다] 손바닥을 위로 — 손목 굴곡, 전완 앞면 굴근군. 손등 위와 길항근 슈퍼세트 — 그립만 뒤집으므로 휴식 10초가 전환 시간이다. 중량을 화요일(10)보다 낮게 잡았다: 이 날 당기기 17세트가 굴근을 등척성으로 이미 다 썼다. 더블 프로그레션은 날마다 따로 본다.</t>
    <phoneticPr fontId="29" type="noConversion"/>
  </si>
  <si>
    <t>[2026-10-24 사용자 결정] 15회 고정 → 15~20 더블 프로그레션 · 무게 고정 바 → 원판 끼우는 봉으로 바꾼다(봉 무게 모름 — 봉 포함 총무게로 적고 첫날 지금 무게에 가깝게 맞춘다). 전 세트 20회면 앱 ▲ +1kg — 못 끼우는 무게면 무게 칸을 눌러 고친다. 손등을 위로 — 손목 신전, 전완 뒷면 신근군(요측 · 척측수근신근 + 지신근). 굴근과 앞뒤로 갈린 다른 근육 묶음이다. 당기기가 신근을 전혀 쓰지 않으므로 이쪽은 세 날 다 같은 중량이다 — 깎이는 것은 굴근뿐이다. 라운드 간 휴식 60초.</t>
    <phoneticPr fontId="29" type="noConversion"/>
  </si>
  <si>
    <t>[2026-10-24 사용자 결정] 15회 고정 → 15~20 더블 프로그레션 · 무게 고정 바 → 원판 끼우는 봉으로 바꾼다(봉 무게 모름 — 봉 포함 총무게로 적고 첫날 지금 무게에 가깝게 맞춘다). 전 세트 20회면 앱 ▲ +1kg — 못 끼우는 무게면 무게 칸을 눌러 고친다. [2026-10-04 생수배송 대비 — 일 3 · 목 3 → 2 · 화 3 → 0(보류)] 캐리 · 스텝박스이 굴근을 쥐고 버티는 쪽으로 채운다. 늘어난 구간 자극은 캐리가 못 주므로 일 3 · 목 2를 남겼다. 배달 일을 안 하게 되면 3으로 되돌린다. 손바닥을 위로 — 손목 굴곡. 전완 앞면(손바닥쪽) 굴근군이다: 요측 · 척측수근굴근 + 장요굴근, 쥐는 동안 심지 · 천지굴근이 보조한다. 그립과 같은 구획이지만 이 날은 당기기가 없어 온전히 나온다. 손등 위와 길항근 슈퍼세트 — 그립만 뒤집으므로 휴식 10초가 전환 시간이다 (2026-10-02).</t>
    <phoneticPr fontId="29" type="noConversion"/>
  </si>
  <si>
    <t>[2026-10-24 사용자 결정] 15회 고정 → 15~20 더블 프로그레션 · 무게 고정 바 → 원판 끼우는 봉으로 바꾼다(봉 무게 모름 — 봉 포함 총무게로 적고 첫날 지금 무게에 가깝게 맞춘다). 전 세트 20회면 앱 ▲ +1kg — 못 끼우는 무게면 무게 칸을 눌러 고친다. 손등을 위로 — 손목 신전. 전완 뒷면(손등쪽) 신근군이다: 요측수근신근 장 · 단, 척측수근신근, 지신근. 굴근과 완전히 다른 근육 묶음이고 앞뒤로 갈린다. 당기기가 신근을 전혀 쓰지 않으므로 주간 신근 자극은 리스트 컬 9세트와 리버스컬 3세트가 전부다. [2026-10-02 중량 정정] 신근은 굴근의 절반 남짓한 힘밖에 없어 같은 10kg을 쓰는 것이 말이 안 됐다 — 7.5로 내렸다(재택도 굴근 15 / 신근 10으로 갈라 둔다). 15회를 못 채우면 더 내린다. 일 · 목과 같은 중량인 이유는 당기기가 신근을 안 써서 날마다 흔들리지 않기 때문이다.</t>
    <phoneticPr fontId="29" type="noConversion"/>
  </si>
  <si>
    <t>[2026-10-24 사용자 결정] 15회 고정 → 15~20 더블 프로그레션 · 무게 고정 바 → 원판 끼우는 봉으로 바꾼다(봉 무게 모름 — 봉 포함 총무게로 적고 첫날 지금 무게에 가깝게 맞춘다). 전 세트 20회면 앱 ▲ +1kg — 못 끼우는 무게면 무게 칸을 눌러 고친다. [2026-10-04 생수배송 대비 — 일 3 · 목 3 → 2 · 화 3 → 0(보류)] 캐리 · 스텝박스이 굴근을 쥐고 버티는 쪽으로 채운다. 늘어난 구간 자극은 캐리가 못 주므로 일 3 · 목 2를 남겼다. 배달 일을 안 하게 되면 3으로 되돌린다. [2026-10-02 사용자 지정 — 팔 하는 날마다] 손바닥을 위로 — 손목 굴곡, 전완 앞면 굴근군. 손등 위와 길항근 슈퍼세트 — 그립만 뒤집으므로 휴식 10초가 전환 시간이다. 중량을 화요일(10)보다 낮게 잡았다: 이 날 당기기 11세트가 굴근을 등척성으로 이미 다 썼다. 더블 프로그레션은 날마다 따로 본다.</t>
    <phoneticPr fontId="29" type="noConversion"/>
  </si>
  <si>
    <t>체스트 프레스 머신 프로트랙션</t>
    <phoneticPr fontId="29" type="noConversion"/>
  </si>
  <si>
    <t>[2026-10-24 사용자 결정 · 원암 케이블 서라투스 펀치에서 교체] 양팔 · 앉아서 · 궤도 고정. [동작] 손잡이가 가슴 한가운데 오게 시트 높이를 맞춘다 · 팔을 끝까지 편 채 시작 · 팔꿈치는 편 채로 고정하고 견갑골만 앞으로 밀어 손잡이가 3~5cm 더 나가게 · 끝에서 1초 · 날개뼈가 등에 붙을 때까지 천천히 돌아온다(팔꿈치 굽히면 체스트 프레스가 된다) · 어깨 으쓱 금지. 가동 범위가 짧은 게 정상이다. 첫날 12회가 되는 무게를 찾아 적는다 — 프레스 작업 무게보다 무겁게 나와도 이상하지 않다. ── 이전 메모: [2026-10-23 신설 · 사용자 결정] 전거근 직접 — 키우기 · 견갑골 안정화가 목적이다. 토 2 · 월 4 · 수 3 = 주 9(토요일은 이미 가장 무거운 날이라 2). 수평 · 서서. [동작] 도르래를 어깨 높이에 · 케이블을 등지고 한 팔을 앞으로 편 채 시작 · 팔꿈치는 끝까지 편 채로 견갑골만 앞으로 더 내민다 · 끝에서 1초 · 날개뼈가 등에 붙을 때까지 천천히 돌아온다 · 어깨를 으쓱하면 상부 승모가 일을 가져간다. 어깨 블록 뒤에 둔다 — 프레스 앞에서 전거근을 지치게 하면 프레스 중 견갑골이 흔들린다.</t>
    <phoneticPr fontId="29" type="noConversion"/>
  </si>
  <si>
    <t>원암 케이블 서라투스 펀치 / 스미스 프로트랙션 / 인클라인 덤벨 프로트랙션</t>
    <phoneticPr fontId="29" type="noConversion"/>
  </si>
  <si>
    <t>하이로우 머신(언더그립)</t>
  </si>
  <si>
    <t>[2026-10-25 사용자 결정] 스캡 슈러그 다음 마무리 3세트 — 무게를 미는 종목이 아니라, 앞의 로우 넷이 무게를 맡고 지친 광배 · 대원근을 늘어난 위치에서 한 번 더 긁는 자리다(앞쪽 순서 · 강도는 그대로). 일요일에 손바닥이 천장을 보는 유일한 당기기: 어깨가 외회전된 채 팔이 위로 올라가, 내회전근인 광배 · 대원근이 길이와 회전 양쪽으로 늘어난다 — 10/25 첫 수행에서 스트레치 구간 대원근 신장감이 확실했다. 팔꿈치가 옆구리에 붙어 몸 옆으로 내려오는 경로라 주동근은 광배다(대원근은 광배 줄로 같이 센다 — 팔꿈치 경로 원칙). 큐: 위 스트레치에서 1~2초 멈춤 · 내릴 때 2~3초 · 팔이 아니라 팔꿈치로 끌어내린다(끝에서 팔로 당기면 이두가 먼저 지친다). RIR 1~2 · 드롭 없음 — 스트레치를 지키는 게 목적이라 폼이 무너지면 의미가 없다. 전 세트 15회면 한 칸. 60kg은 10/25 첫날 무게 — 이 자리(로우 다섯 뒤)에선 덜 나와도 정상이니 첫 세션에 12~15회로 맞춘다. 언더그립 + 하중이라 첫 2주는 팔꿈치 안쪽(이두 힘줄) 느낌을 확인. 그립이 지친 자리라 다음 트랩바 슈러그는 스트랩. 이 날 광배 직접 6 → 9 — 세션당 6세트 기준의 예외(사용자 결정 · 목요일까지 밤 4번이라 회복은 충분). 확인: 목요일 랫풀다운 · 친업 무게/반복이 떨어지거나 목요일까지 광배 뻐근함이 남으면 다시 본다(2주).</t>
  </si>
  <si>
    <t>랫풀다운 (언더그립 · 좁게) / 원암 하이 케이블 로우 (손바닥 위) / 시티드 케이블 로우 (언더그립)</t>
  </si>
  <si>
    <t>하이로우 머신(언더그립)</t>
    <phoneticPr fontId="29" type="noConversion"/>
  </si>
  <si>
    <t>이두</t>
    <phoneticPr fontId="29" type="noConversion"/>
  </si>
  <si>
    <t>뒤침 그립 — 이두가 유리한 자리에서 능동 굴곡. 당기기 → 이두 계수는 그립으로 정한다: 뒤침 0.5 · 뉴트럴 0.33 · 엎침 0.2 (2026-10-25 일요일 6번 신설 · 목요일 언더그립 랫풀다운과 같은 등급)</t>
    <phoneticPr fontId="29" type="noConversion"/>
  </si>
  <si>
    <t>승모(하부)</t>
    <phoneticPr fontId="29" type="noConversion"/>
  </si>
  <si>
    <t>견갑 하강 개시 관여 — 위에서 끌어내리는 경로라 언더그립 랫풀다운과 같은 등급 (2026-10-25 신설)</t>
    <phoneticPr fontId="29" type="noConversion"/>
  </si>
  <si>
    <t>[2026-10-25 사용자 결정] 일요일 6번 하이로우 머신(언더그립) 3 신설 — 직접 18 → 21 · 일요일 광배 6 → 9(세션당 6세트 기준의 예외 · 목요일까지 밤 4번). 늘어난 위치 · 외회전 마무리이고 대원근도 이 줄로 센다. 직접 18세트: 목요일(수직) 친업 4 · 와이드 오버그립 랫풀다운 3 · 언더그립 좁게 3 · 암풀다운 2 (2026-10-05 랫풀다운 둘 4 → 3, 그 2세트를 늘어난 위치 고립으로) + 일요일(수평) 시티드 케이블 로우 2 · 원암 케이블 로우 4 (2026-10-02 사용자 조정 4세트 · 2026-10-04 양팔 2 + 원암 2로 분할 · 이후 1 + 3 · 2026-10-07 각 +1로 6 — 세션당 6세트 기준, 사용자 결정). 간접 3.5 — 해머 로우 0.5×4 + 인클라인 덤벨 로우 0.5×3(둘 다 일요일). [2026-10-02 정정] 등을 근육군이 아니라 움직임 평면으로 갈라 광배가 두 날에 11/3으로 걸린다 — 그 전에는 한 날에 14였고 '주 1회'로 적혔지만 반대 날 로우가 전부 광배를 쓰고 있었다</t>
    <phoneticPr fontId="29" type="noConversion"/>
  </si>
  <si>
    <t>[2026-10-25] 일요일 하이로우 머신(언더그립) → 이두 간접 0.5×3 추가. 직접 세트는 그대로. [2026-10-06 사용자 요청] 화요일 해머 컬 3 신설 — 직접 10 → 13. 화요일 이두 7세트(인클라인 컬 4 + 해머 3)는 세션당 6세트 예외. 직접 10세트: 일요일 프리쳐 컬 3 · 화요일 인클라인 덤벨 컬 4(2026-10-05 사용자 조정 3 → 4) · 목요일 케이블 드래그 컬 3. 간접 7.5 — 당기기 7종목을 그립별로 (뒤침 0.5 · 뉴트럴 0.33 · 엎침 0.2) + 리버스컬 0.2×3. 짧아진 · 늘어난 · 중간 구간 셋으로 나눴다. 실질 17.5 — 성장 구간 상단이다</t>
    <phoneticPr fontId="29" type="noConversion"/>
  </si>
  <si>
    <t>[2026-10-25] 스캡 슈러그 다음 하이로우(언더그립) 3 — 늘어난 위치 마무리. 무거운 로우 넷을 신선할 때 치는 날. 토요일 하체 전면 다음날이라 등 · 그립 · 기립근이 온전하다 — 스쿼트는 그 셋을 쓰지 않는다. 등 19 · 팔 6 · 전완 6(슈퍼세트) · 백 익스텐션 3이고 가슴이 없다</t>
    <phoneticPr fontId="29" type="noConversion"/>
  </si>
  <si>
    <t>· ㊹ [2026-10-25] 일요일 6번(스캡 슈러그 다음) 하이로우 머신(언더그립) 3 × 12~15 신설 — 사용자 결정. 손바닥이 천장을 보게 했더니 스트레치 구간에서 대원근 신장감이 확실했다. 앞쪽 로우 넷은 그대로 두고 뒤에 이어 가는 마무리 · 드롭 없음. 일요일 광배 직접 6 → 9(세션당 6 기준 예외 — 사용자: 목요일까지 밤 4번이면 회복된다) · 주 광배 직접 18 → 21 · 이두 간접 +1.5 · 238세트.</t>
    <phoneticPr fontId="29" type="noConversion"/>
  </si>
  <si>
    <t>· [2026-10-25] 39세트 · 약 89분 — 6번 하이로우 머신(언더그립) 3 신설(스캡 슈러그 다음 마무리). 이전 기록: [2026-10-07] 34세트 · 약 79분 — 시티드 · 원암 케이블 로우 각 +1. 이전 기록: · 32세트 · 약 73분. 전완 슈퍼세트 6 + 백 익스텐션 3이 들어오고 원암 케이블 로우가 3 → 4로 올라 22 → 32가 됐다 (2026-10-02 사용자가 엑셀에서 직접 조정). 복합 11 / 고립 21이다.</t>
    <phoneticPr fontId="29" type="noConversion"/>
  </si>
  <si>
    <t>· 그립이 이 날의 제약이다. 해머(서포티드) → 인클라인 덤벨(서포티드) → 시티드(양팔) → 원암 → 스캡 슈러그 순으로 그립 부담이 줄어드는 순서다. [2026-10-25] 스캡 슈러그 뒤에 하이로우(언더그립)가 붙어 그립이 한 번 더 쓰인다 — 다음 트랩바 슈러그는 스트랩을 쓴다.</t>
    <phoneticPr fontId="29" type="noConversion"/>
  </si>
  <si>
    <t>걷기(초)</t>
    <phoneticPr fontId="29" type="noConversion"/>
  </si>
  <si>
    <t>목표 32 → 헬스장에 32 덤벨 없음 · 30으로 함</t>
  </si>
  <si>
    <t>목표: 한 손 35kg(헬스장 덤벨 칸 · 2L 6병 묶음 3팩 = 손에 30~36kg)을 손에서 놓치지 않고 컨트롤한다. 세트 카운트 · 세트검산에는 넣지 않는다.</t>
    <phoneticPr fontId="29" type="noConversion"/>
  </si>
  <si>
    <t>걷기 × 4(시간은 진행표 G열 · 보통 40초), 휴식 120초</t>
    <phoneticPr fontId="29" type="noConversion"/>
  </si>
  <si>
    <t>· 디로드 주(10/17 토 · 10/21 수) 줄은 직전 칸 그대로 — 웨이트 · 캐리와 같이 멈춘다. 표는 12/2에서 끝난다 — 다음 디로드(12/5 주) 즈음이면 배달 일이 이 표를 대신한다. [2026-10-25] 덤벨이 30 다음 35라 32 · 34 · 36 칸을 없앴다 — 11/11 35 × 1분 → 11/14 1.5분 → 11/18 2분(일 시작 기준 날짜 그대로) → 3 · 4 · 5분. 짧은 날(스트랩)은 11/11만 30, 11/14부터 35.</t>
    <phoneticPr fontId="29" type="noConversion"/>
  </si>
  <si>
    <t>일 시작 기준: 한 손 35kg 맨손 × 2분 연속(지하 1층 → 7층 한 번) — 표대로면 11/18(수). 최종 목표 5분 연속은 11/28 칸에 있지만 못 채우면 일을 하면서 채운다. 세트 카운트 · 세트검산에는 넣지 않는다.</t>
    <phoneticPr fontId="29" type="noConversion"/>
  </si>
  <si>
    <t>· 5 · 6회차(10/17 토 · 10/21 수)는 디로드 주라 30kg 그대로 — 웨이트와 같이 한 주 멈추고, 앱에는 회차 대신 디로드로 뜬다. 디로드 날짜가 바뀌면 멈추는 줄도 같이 옮긴다. 다음 디로드는 12/5 주 — 그 전에 줄을 이어 붙인다. 놓친 회차는 같은 무게를 한 번 더 들고, 표는 날짜대로 간다(앱도 날짜로 고른다). [2026-10-25] 헬스장 덤벨이 30 · 35 · 40뿐이라 32 · 34 · 36 칸이 없다 — 덤벨로 하기로(사용자). 30에서 35는 +17%라 30에서 시간을 먼저 늘리고(사용자 요청 — 30으로 조금 더 준비) 35로 넘어가며 시간을 다시 쪼갠다: 10/28 30 × 50초 → 10/31 30 × 60초 → 11/4 35 × 20초 → 11/7 30초 → 11/11부터 40초 = 목표 도달 (배달 손 하중 30~36kg이라 35면 채운 것). 35 첫날 놓치면 30 × 60초로 한 번 돌아갔다가 다시 간다.</t>
    <phoneticPr fontId="29" type="noConversion"/>
  </si>
  <si>
    <t>4번 다 안 놓치면 다음 회차(토 → 수 → 토 …) — 30까지는 한 손 +2kg, 30에서 50 → 60초로 늘린 뒤 35(덤벨 칸)로: 20 → 30 → 40초</t>
    <phoneticPr fontId="29" type="noConversion"/>
  </si>
  <si>
    <t>[2026-10-26 3 → 5 · 사용자 결정] 남은 세트 여유를 사두에 — 사두 직접 토 9 · 화 5. 건강한 무릎에서 10~12회 중간 무게 5세트는 관절 부담이 작다: 회전축을 무릎에 맞추고 · 위에서 잠그지 말고 1초 멈춤 · 2초 내리기. 슬개골 앞 시큰함이 다음 날까지 남으면 세트를 줄인다. 데드 전날이라 RIR 1~2 그대로. [2026-10-09 토 → 화 · 사용자 결정] 사두 직접 12세트가 토요일 한 날에 몰려 주 1회였다 — 이 3세트로 토 9 · 화 3, 주 2회가 된다. 간격은 토 → 화 3일 · 화 → 토 4일로 여섯 날 중 가장 고르다. 토요일(46세트 111분)이 부담이라 덜어낸 것이기도 하다. 고관절 블록 바로 뒤에 둬 하체 기구를 한 번에 끝내고 팔로 넘어간다. 화요일은 데드 전날이라 RIR 1~2로 끊고 드롭은 걸지 않는다(토요일에선 +75초였다) — 사두는 데드 바닥 출발에만 관여해 3세트의 영향은 작다. 사두 고립. 더블 프로그레션 — 전 세트에서 12회를 채우면 다음 주에 올린다.</t>
    <phoneticPr fontId="29" type="noConversion"/>
  </si>
  <si>
    <t>직접 14세트: 토요일 스쿼트 5 · 레그 프레스 4 + 화요일 레그 익스텐션 5(2026-10-09 토 → 화 · 사용자 결정 — 직접 주 2회 · 간격 3/4일 · 2026-10-26 3 → 5). 간접 1.3 — 수요일 레그 프레스(발 높게) 0.33×4. 2026-10-02~10-08에는 스쿼트 5×5가 한 날을 다 써 직접이 토요일 주 1회였다.</t>
    <phoneticPr fontId="29" type="noConversion"/>
  </si>
  <si>
    <t>약 111분</t>
    <phoneticPr fontId="29" type="noConversion"/>
  </si>
  <si>
    <t>약 550분 (9시간 10분)</t>
    <phoneticPr fontId="29" type="noConversion"/>
  </si>
  <si>
    <t>· ㊺ [2026-10-26] 토 레그 컬 4 → 6 · 화 레그 익스텐션 3 → 5 — 사용자 결정(남은 세트 여유를 사두 · 햄스트링에). 처음 제안은 불가리안 스플릿 스쿼트였으나 햄스트링엔 거의 안 들어가고 세트당 전신 피로가 커서, 같은 근육을 고립 종목으로 채웠다. 수요일 햄스트링은 이미 6(세션당 6 기준)이라 손대지 않았다. 사두 실질 15.5 · 햄스트링 실질 14.5 · 둘 다 주 2회 유지 · 242세트.</t>
  </si>
  <si>
    <t>약 88분</t>
    <phoneticPr fontId="29" type="noConversion"/>
  </si>
  <si>
    <t>· 토 47세트 111분 · 목 42세트 95분 · 화 43세트 88분 · 수 34세트 89분 · 월 37세트 84분 · 일 39세트 89분. (2026-10-26 토 레그 컬 · 화 레그 익스텐션 +2씩 반영)</t>
    <phoneticPr fontId="29" type="noConversion"/>
  </si>
  <si>
    <t>[2026-10-26 사용자 결정 · 스미스 프로트랙션에서 교체] 토요일과 같은 머신 · 같은 방식 — 4 × 12~15 범위 + 핀 미세 단계(전 세트 15회면 앱 ▲). 선형 자동 증량(2주 +1kg)은 멈췄다 — 증량기록 AD열 · 시작중량_설정 19행은 기록만 남긴다. 양팔 · 앉아서 · 궤도 고정. [동작] 손잡이가 가슴 한가운데 오게 시트 높이를 맞춘다 · 팔을 끝까지 편 채 시작 · 팔꿈치는 편 채로 고정하고 견갑골만 앞으로 밀어 손잡이가 3~5cm 더 나가게 · 끝에서 1초 · 날개뼈가 등에 붙을 때까지 천천히 돌아온다(팔꿈치 굽히면 체스트 프레스가 된다) · 어깨 으쓱 금지. 첫날 12~15회가 되는 무게를 찾아 적는다 — 토요일(10~12회) 무게보다 한두 칸 가볍게 나오는 게 정상이다. ── 이전 메모: [2026-10-23 사용자 결정] 15회 × 4세트 고정 · 2주마다 +1kg 자동(13주차 0kg에서 출발 · 증량기록 AD열). 15회를 못 채운 주는 AE열에 마지막 세트 반복수를 적고 같은 무게를 한 번 더. 2주 연속 미달이면 선형을 멈추고 범위 방식으로 돌아간다. 무게는 원판만 센 값이다 — 봉 무게를 몰라도 1kg 격자 규칙이 맞는다. 빈 바(원판 0)에서 출발 — 처음 2주가 적응이고 15주차에 원판 1kg(한쪽 0.5)부터. [2026-10-23 신설 · 사용자 결정] 전거근 직접 주 9 중 4 — 하중을 제대로 거는 자리다(원판 1kg 단위 증량 · 궤도 고정이라 무거워져도 자세가 유지된다). 스캡 푸시업은 등에 원판을 올리는 데서 하중이 막혀 이것으로 정했다(사용자). 수평 · 누워서. [동작] 플랫 벤치를 스미스 안에 · 팔을 가슴 위로 편 채 바를 잡는다 · 팔꿈치는 굽히지 않고 견갑골만 벌려 바를 5~8cm 밀어 올린다 · 끝에서 1초 · 날개뼈가 벤치에 붙을 때까지 천천히 내린다. 첫 2주는 빈 바나 가벼운 원판 — 끝 범위 1초를 먼저 익힌다(무게가 먼저 늘면 으쓱하거나 팔꿈치를 굽혀 밀게 된다). 움직이는 거리가 짧아 그 뒤로는 생각보다 무겁게 올라간다.</t>
    <phoneticPr fontId="29" type="noConversion"/>
  </si>
  <si>
    <t>스미스 프로트랙션 / 스캡 푸시업 (등에 원판) / 원암 케이블 서라투스 펀치</t>
    <phoneticPr fontId="29" type="noConversion"/>
  </si>
  <si>
    <t>스미스 프로트랙션 (2026-10-26 중단 — 월 체스트 프레스 머신 프로트랙션 범위 방식)</t>
    <phoneticPr fontId="29" type="noConversion"/>
  </si>
  <si>
    <t>2주마다 +1 · 13주차 0kg에서 출발 · 원판만 센 무게(봉 제외) (2026-10-23 사용자 결정) · [2026-10-26 중단 — 월요일 체스트 프레스 머신 프로트랙션으로 교체 · 토요일과 같은 범위 + 핀 방식 (사용자 결정)]</t>
    <phoneticPr fontId="29" type="noConversion"/>
  </si>
  <si>
    <t>직접 9세트: 토 체스트 프레스 머신 프로트랙션 2 · 월 체스트 프레스 머신 프로트랙션 4(2026-10-26 스미스 프로트랙션에서 교체) · 수 인클라인 덤벨 프로트랙션 3. 2026-10-23 신설 — 사용자 결정(키우기 · 견갑골 안정화). 그 전에는 직접 0이었다. 간접은 계상하지 않는다 — 프레스 · 오버헤드 슈러그의 전인 · 상방회전 기여에 맞는 계수 줄이 09-04 규칙서에 없다. 각도를 수평(토 · 월) → 45°(수)로 나눴다. 하한(8~10)에서 출발 — 기록이 쌓이면 세션당 6 기준 안에서 올린다.</t>
    <phoneticPr fontId="29" type="noConversion"/>
  </si>
  <si>
    <t>· ㊻ [2026-10-26 같은 날] 월 9번 스미스 프로트랙션 → 체스트 프레스 머신 프로트랙션 — 사용자 결정. 토요일과 같은 머신 · 같은 방식(범위 + 핀 미세 단계)으로 맞췄다. 4 × 15 고정 · 2주 +1kg 선형 추적은 멈춤(12종목 → 11종목). 세트 · 시간 그대로 · 242세트.</t>
  </si>
  <si>
    <t>시티드 레그 컬</t>
    <phoneticPr fontId="29" type="noConversion"/>
  </si>
  <si>
    <t>[2026-10-26 사용자 결정 · 라잉 레그 컬에서 교체 · 8번 → 맨 끝] 옆 센터(걸어서 2~3분)의 시티드 레그 컬. 고관절이 굽어 햄스트링이 늘어난 위치에서 일한다 — 같은 사람 다리 비교(Maeo 2021)에서 라잉보다 비대가 컸다(대퇴이두 장두 · 반건양근). 옆 센터를 한 번만 가려고 카프 뒤 맨 끝에 두고 거기서 끝낸다. 이너 · 아우터 · 시티드 카프(무릎 굽힘 → 가자미근)는 햄스트링을 거의 안 써서 뒤로 가도 중량 손해가 적다. 무게는 라잉 50과 이어지지 않는다 — 첫날 10~12회 무게를 찾아 적는다. 드롭 · 미세 단계(핀)는 그대로. [셋업] 무릎 축을 기구 회전축에 맞춘다 · 허벅지 패드를 꽉 눌러 엉덩이가 들리지 않게 · 상체를 살짝 앞으로 숙이면 더 늘어난다 · 올라올 때 2초로 끝까지 편다. 수요일은 원 레그 라잉 컬 그대로 — 고관절 편 자세라 서로 다른 길이에서 자극한다. ── 이전 메모: [2026-10-26 4 → 6 · 사용자 결정] 남은 세트 여유를 햄스트링에 — 세션당 6 기준까지. 불가리안 스플릿 스쿼트도 검토했으나 햄스트링 길이가 거의 안 바뀌고 세트당 전신 피로가 커서 고립으로 채웠다. 수요일은 루마니안 3 · 원 레그 컬 3으로 이미 6이라 토요일에 얹는다. [2026-10-02 추가 — 사용자 지적, 같은 날 수요일 원 레그 컬과 자리 교환] 전면 하체만 12세트인 날에 햄스트링이 0이었다. 이 4세트로 햄스트링이 주 1회 → 2회가 된다(여기 4 + 수요일 6). 이 날이 중량을 밀기에 가장 좋은 자리다 — 토요일엔 햄스트링을 직접 쓰는 종목이 하나도 없어 누적 24세트를 지나도 햄스트링 자체는 국소로 신선하다. 중량은 전신 피로가 아니라 국소 피로가 정한다. 그래서 후반 고립 블록의 첫 자리를 줬다.</t>
    <phoneticPr fontId="29" type="noConversion"/>
  </si>
  <si>
    <t>라잉 레그 컬 (본 센터 · 이동 없이) / 노르딕 햄 컬 (맨몸)</t>
    <phoneticPr fontId="29" type="noConversion"/>
  </si>
  <si>
    <t>원 레그 라잉 컬</t>
    <phoneticPr fontId="29" type="noConversion"/>
  </si>
  <si>
    <t>[2026-10-26 이름 정정 — 실제로 라잉 기구에서 한 다리씩 · 토요일은 옆 센터 시티드로 바뀌었고 여기는 라잉 그대로(고관절 편 자세 · 다른 길이)] [2026-10-24 사용자 결정] 3×10 고정 → 3×10~12 더블 프로그레션 — 전 세트(좌우) 12회면 앱 ▲로 핀 단계(30 → + 핀 → + 핀 + 1 → + 핀 + 2.5 → 다음 칸). 좌우가 갈리면 약한 쪽 반복으로 판정한다. [2026-10-02 토요일 레그 컬과 자리 교환] 무릎 굴곡 쪽 — 힌지(고관절 신전)와 기능이 갈린다. 편측 종목은 좌우 차를 드러내는 것이 목적이라 주의력이 필요하고, 그래서 여섯 날 중 누적 10세트짜리인 이 자리가 맞다. 토요일 9번(누적 34세트)은 반대였다. 중량은 토요일 양측 레그 컬이 밀고, 이쪽은 균형을 본다 — 좌우 반복 수가 2회 이상 벌어지면 약한 쪽 기준으로 맞춘다.</t>
    <phoneticPr fontId="29" type="noConversion"/>
  </si>
  <si>
    <t>원 레그 시티드 컬 (옆 센터) / 라잉 레그 컬 (양측 — 편측 자리가 없을 때) / 노르딕 햄 컬 (맨몸)</t>
    <phoneticPr fontId="29" type="noConversion"/>
  </si>
  <si>
    <t>직접 12세트: 토요일 시티드 레그 컬 6(양측 · 중량 · 2026-10-26 4 → 6 · 같은 날 라잉 → 시티드 · 옆 센터 · 맨 끝) + 수요일 루마니안 데드 3 · 원 레그 라잉 컬 3(편측 · 균형). 간접 2.6 — 백오프 0.33×2 + 데드 0.33×1 + 힙 쓰러스트 0.2×4 + 레그 프레스(발 높게) 0.2×4 (힌지 ROM과 힙 쓰러스트 능동부전을 2026-10-02에 반영). [2026-10-02 사용자 지적] 전면 하체 날에 햄스트링이 0이라 4세트를 토요일로 옮겨 빈도를 주 2회로 쪼갰다 — 총량 10은 그대로다(내가 넣었던 시티드 레그 컬 3을 뺐다). 같은 날 사용자 제안으로 양측(중량)과 편측(균형)의 날을 맞바꿨다 — 중량은 전신 피로가 아니라 국소 피로가 정하고, 토요일은 햄스트링을 직접 쓰는 종목이 달리 없어 누적 24세트 뒤에도 국소로 신선하다</t>
    <phoneticPr fontId="29" type="noConversion"/>
  </si>
  <si>
    <t>· ㊼ [2026-10-26 같은 날] 토 레그 컬 = 실제로는 라잉이었다(사용자 정정) → 옆 센터(걸어서 2~3분) 시티드 레그 컬로 바꾸고 8번 → 맨 끝(11번) — 사용자 결정. 고관절 굽힘 = 늘어난 위치(Maeo 2021 시티드 &gt; 라잉). 옆 센터는 한 번만 가고 거기서 끝낸다. 무게는 첫날 다시 찾는다. 수요일 원 레그 컬은 라잉 그대로 · 이름만 '원 레그 라잉 컬'. 세트 · 시간 그대로(이동 2~3분 별도) · 242세트.</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</si>
</sst>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0"/>
    <numFmt numFmtId="177" formatCode="yyyy\-mm\-dd"/>
    <numFmt numFmtId="178" formatCode="m\/d\ \(aaa\)"/>
  </numFmts>
  <fonts count="65">
    <font>
      <sz val="11"/>
      <color theme="1"/>
      <name val="Calibri"/>
      <family val="2"/>
      <charset val="1"/>
    </font>
    <font>
      <b/>
      <sz val="14"/>
      <name val="Noto Sans CJK SC"/>
      <family val="2"/>
      <charset val="1"/>
    </font>
    <font>
      <i/>
      <sz val="9"/>
      <color rgb="FF595959"/>
      <name val="Noto Sans CJK SC"/>
      <family val="2"/>
      <charset val="1"/>
    </font>
    <font>
      <b/>
      <sz val="11"/>
      <name val="Noto Sans CJK SC"/>
      <family val="2"/>
      <charset val="1"/>
    </font>
    <font>
      <sz val="10"/>
      <color rgb="FF0000FF"/>
      <name val="Arial"/>
      <family val="2"/>
      <charset val="1"/>
    </font>
    <font>
      <b/>
      <sz val="10"/>
      <color rgb="FFFFFFFF"/>
      <name val="Noto Sans CJK SC"/>
      <family val="2"/>
      <charset val="1"/>
    </font>
    <font>
      <b/>
      <sz val="10"/>
      <color rgb="FFFFFFFF"/>
      <name val="Arial"/>
      <family val="2"/>
      <charset val="1"/>
    </font>
    <font>
      <sz val="10"/>
      <name val="Noto Sans CJK SC"/>
      <family val="2"/>
      <charset val="1"/>
    </font>
    <font>
      <sz val="10"/>
      <name val="Arial"/>
      <family val="2"/>
      <charset val="1"/>
    </font>
    <font>
      <b/>
      <sz val="10"/>
      <name val="Arial"/>
      <family val="2"/>
      <charset val="1"/>
    </font>
    <font>
      <i/>
      <sz val="9"/>
      <color rgb="FF595959"/>
      <name val="Arial"/>
      <family val="2"/>
      <charset val="1"/>
    </font>
    <font>
      <b/>
      <sz val="11"/>
      <name val="Arial"/>
      <family val="2"/>
      <charset val="1"/>
    </font>
    <font>
      <b/>
      <sz val="13"/>
      <name val="Noto Sans CJK SC"/>
      <family val="2"/>
      <charset val="1"/>
    </font>
    <font>
      <sz val="11"/>
      <name val="Noto Sans CJK SC"/>
      <family val="2"/>
      <charset val="1"/>
    </font>
    <font>
      <b/>
      <sz val="11"/>
      <color rgb="FFFFFFFF"/>
      <name val="Noto Sans CJK SC"/>
      <family val="2"/>
      <charset val="1"/>
    </font>
    <font>
      <sz val="11"/>
      <name val="Arial"/>
      <family val="2"/>
      <charset val="1"/>
    </font>
    <font>
      <b/>
      <sz val="10"/>
      <name val="Noto Sans CJK SC"/>
      <family val="2"/>
      <charset val="1"/>
    </font>
    <font>
      <sz val="11"/>
      <color theme="1"/>
      <name val="Noto Sans CJK SC"/>
      <family val="2"/>
    </font>
    <font>
      <b/>
      <sz val="11"/>
      <color rgb="FFFFFFFF"/>
      <name val="Arial"/>
      <family val="2"/>
      <charset val="1"/>
    </font>
    <font>
      <sz val="11"/>
      <name val="Noto Sans CJK SC"/>
      <family val="3"/>
      <charset val="129"/>
    </font>
    <font>
      <sz val="11"/>
      <name val="맑은 고딕"/>
      <family val="3"/>
      <charset val="129"/>
    </font>
    <font>
      <sz val="9"/>
      <color rgb="FF7F8C8D"/>
      <name val="Noto Sans CJK SC"/>
      <family val="2"/>
      <charset val="1"/>
    </font>
    <font>
      <i/>
      <sz val="9"/>
      <color rgb="FF7F8C8D"/>
      <name val="Noto Sans CJK SC"/>
      <family val="2"/>
      <charset val="1"/>
    </font>
    <font>
      <sz val="9"/>
      <color rgb="FF1F4E3D"/>
      <name val="Arial"/>
      <family val="2"/>
      <charset val="1"/>
    </font>
    <font>
      <sz val="9"/>
      <color rgb="FF566573"/>
      <name val="Noto Sans CJK SC"/>
      <family val="2"/>
      <charset val="1"/>
    </font>
    <font>
      <sz val="9"/>
      <color rgb="FF566573"/>
      <name val="Arial"/>
      <family val="2"/>
      <charset val="1"/>
    </font>
    <font>
      <sz val="9"/>
      <color rgb="FFB9770E"/>
      <name val="Arial"/>
      <family val="2"/>
      <charset val="1"/>
    </font>
    <font>
      <sz val="11"/>
      <color theme="1"/>
      <name val="Noto Sans CJK SC"/>
      <family val="2"/>
      <charset val="1"/>
    </font>
    <font>
      <b/>
      <sz val="14"/>
      <name val="Arial"/>
      <family val="2"/>
      <charset val="1"/>
    </font>
    <font>
      <sz val="8"/>
      <name val="돋움"/>
      <family val="3"/>
      <charset val="129"/>
    </font>
    <font>
      <sz val="11"/>
      <name val="맑은 고딕"/>
      <family val="2"/>
      <charset val="129"/>
    </font>
    <font>
      <u/>
      <sz val="11"/>
      <color theme="10"/>
      <name val="Calibri"/>
      <family val="2"/>
      <charset val="1"/>
    </font>
    <font>
      <sz val="11"/>
      <color theme="1"/>
      <name val="돋움"/>
      <family val="2"/>
      <charset val="129"/>
    </font>
    <font>
      <sz val="11"/>
      <color theme="1"/>
      <name val="맑은 고딕"/>
      <family val="3"/>
      <charset val="129"/>
    </font>
    <font>
      <sz val="11"/>
      <color theme="1"/>
      <name val="맑은 고딕"/>
      <family val="2"/>
      <charset val="129"/>
    </font>
    <font>
      <b/>
      <sz val="11"/>
      <name val="Calibri"/>
      <family val="2"/>
    </font>
    <font>
      <b/>
      <sz val="10"/>
      <color rgb="FFFFFFFF"/>
      <name val="Calibri"/>
      <family val="2"/>
    </font>
    <font>
      <b/>
      <sz val="10"/>
      <color rgb="FF0000FF"/>
      <name val="Calibri"/>
      <family val="2"/>
    </font>
    <font>
      <b/>
      <sz val="10"/>
      <name val="Calibri"/>
      <family val="2"/>
    </font>
    <font>
      <b/>
      <sz val="10"/>
      <color rgb="FF9C0006"/>
      <name val="Calibri"/>
      <family val="2"/>
    </font>
    <font>
      <sz val="10"/>
      <color rgb="FF0000FF"/>
      <name val="Calibri"/>
      <family val="2"/>
    </font>
    <font>
      <b/>
      <sz val="11"/>
      <name val="Calibri"/>
      <family val="2"/>
    </font>
    <font>
      <b/>
      <sz val="11"/>
      <name val="Calibri"/>
      <family val="2"/>
    </font>
    <font>
      <sz val="10"/>
      <color rgb="FF0000FF"/>
      <name val="Calibri"/>
      <family val="2"/>
    </font>
    <font>
      <b/>
      <sz val="11"/>
      <name val="Calibri"/>
      <family val="2"/>
    </font>
    <font>
      <sz val="10"/>
      <name val="Calibri"/>
      <family val="2"/>
    </font>
    <font>
      <sz val="10"/>
      <color rgb="FF0000FF"/>
      <name val="Calibri"/>
      <family val="2"/>
    </font>
    <font>
      <b/>
      <sz val="11"/>
      <color theme="1"/>
      <name val="Calibri"/>
      <family val="2"/>
      <charset val="1"/>
    </font>
    <font>
      <b/>
      <sz val="14"/>
      <name val="Calibri"/>
      <family val="2"/>
    </font>
    <font>
      <b/>
      <sz val="11"/>
      <name val="Calibri"/>
      <family val="2"/>
    </font>
    <font>
      <b/>
      <sz val="11"/>
      <color rgb="FFFFFFFF"/>
      <name val="Calibri"/>
      <family val="2"/>
    </font>
    <font>
      <sz val="10"/>
      <name val="Calibri"/>
      <family val="2"/>
    </font>
    <font>
      <b/>
      <sz val="10"/>
      <color rgb="FFFFFFFF"/>
      <name val="Calibri"/>
      <family val="2"/>
    </font>
    <font>
      <sz val="9"/>
      <name val="Calibri"/>
      <family val="2"/>
    </font>
    <font>
      <sz val="9"/>
      <color rgb="FF808080"/>
      <name val="Calibri"/>
      <family val="2"/>
    </font>
    <font>
      <b/>
      <sz val="10"/>
      <name val="Calibri"/>
      <family val="2"/>
    </font>
    <font>
      <sz val="11"/>
      <color theme="1"/>
      <name val="Calibri"/>
      <family val="2"/>
    </font>
    <font>
      <u/>
      <sz val="11"/>
      <color theme="10"/>
      <name val="맑은 고딕"/>
      <family val="2"/>
      <charset val="129"/>
    </font>
    <font>
      <sz val="10"/>
      <color theme="1"/>
      <name val="Calibri"/>
      <family val="2"/>
      <charset val="1"/>
    </font>
    <font>
      <b/>
      <sz val="14"/>
      <color theme="1"/>
      <name val="Calibri"/>
      <family val="2"/>
    </font>
    <font>
      <b/>
      <sz val="10"/>
      <color rgb="FFFFFFFF"/>
      <name val="Calibri"/>
      <family val="2"/>
      <charset val="1"/>
    </font>
    <font>
      <b/>
      <sz val="11"/>
      <color theme="1"/>
      <name val="Calibri"/>
      <family val="2"/>
    </font>
    <font>
      <sz val="10"/>
      <name val="맑은 고딕"/>
      <family val="3"/>
      <charset val="129"/>
    </font>
    <font>
      <sz val="10"/>
      <name val="Calibri"/>
      <family val="3"/>
      <charset val="129"/>
    </font>
    <font>
      <b/>
      <sz val="14"/>
      <color theme="1"/>
      <name val="Calibri"/>
      <family val="2"/>
      <charset val="1"/>
    </font>
  </fonts>
  <fills count="13">
    <fill>
      <patternFill patternType="none"/>
    </fill>
    <fill>
      <patternFill patternType="gray125"/>
    </fill>
    <fill>
      <patternFill patternType="solid">
        <fgColor rgb="FFFFFF00"/>
        <bgColor rgb="FFFFFF00"/>
      </patternFill>
    </fill>
    <fill>
      <patternFill patternType="solid">
        <fgColor rgb="FF404040"/>
        <bgColor rgb="FF34495E"/>
      </patternFill>
    </fill>
    <fill>
      <patternFill patternType="solid">
        <fgColor rgb="FFE2EFDA"/>
        <bgColor rgb="FFF2F2F2"/>
      </patternFill>
    </fill>
    <fill>
      <patternFill patternType="solid">
        <fgColor rgb="FFD9D9D9"/>
        <bgColor rgb="FFD5D8DC"/>
      </patternFill>
    </fill>
    <fill>
      <patternFill patternType="solid">
        <fgColor rgb="FFFEF9E7"/>
        <bgColor rgb="FFFFFFFF"/>
      </patternFill>
    </fill>
    <fill>
      <patternFill patternType="solid">
        <fgColor rgb="FF34495E"/>
        <bgColor rgb="FF404040"/>
      </patternFill>
    </fill>
    <fill>
      <patternFill patternType="solid">
        <fgColor rgb="FF404040"/>
      </patternFill>
    </fill>
    <fill>
      <patternFill patternType="solid">
        <fgColor rgb="FFFFFF00"/>
      </patternFill>
    </fill>
    <fill>
      <patternFill patternType="solid">
        <fgColor rgb="FFE2EFDA"/>
      </patternFill>
    </fill>
    <fill>
      <patternFill patternType="solid">
        <fgColor rgb="FFD9D9D9"/>
      </patternFill>
    </fill>
    <fill>
      <patternFill patternType="solid">
        <fgColor rgb="FF404040"/>
        <bgColor indexed="64"/>
      </patternFill>
    </fill>
  </fills>
  <borders count="5">
    <border>
      <left/>
      <right/>
      <top/>
      <bottom/>
      <diagonal/>
    </border>
    <border>
      <left style="thin">
        <color rgb="FFBFBFBF"/>
      </left>
      <right style="thin">
        <color rgb="FFBFBFBF"/>
      </right>
      <top style="thin">
        <color rgb="FFBFBFBF"/>
      </top>
      <bottom style="thin">
        <color rgb="FFBFBFBF"/>
      </bottom>
      <diagonal/>
    </border>
    <border>
      <left style="thin">
        <color rgb="FFD5D8DC"/>
      </left>
      <right style="thin">
        <color rgb="FFD5D8DC"/>
      </right>
      <top style="thin">
        <color rgb="FFD5D8DC"/>
      </top>
      <bottom style="thin">
        <color rgb="FFD5D8DC"/>
      </bottom>
      <diagonal/>
    </border>
    <border>
      <left style="thin">
        <color rgb="FFBFBFBF"/>
      </left>
      <right/>
      <top/>
      <bottom/>
      <diagonal/>
    </border>
    <border>
      <left style="thin">
        <color rgb="FFBFBFBF"/>
      </left>
      <right style="thin">
        <color rgb="FFBFBFBF"/>
      </right>
      <top style="thin">
        <color rgb="FFBFBFBF"/>
      </top>
      <bottom style="thin">
        <color rgb="FFBFBFBF"/>
      </bottom>
      <diagonal/>
    </border>
  </borders>
  <cellStyleXfs count="2">
    <xf numFmtId="0" fontId="0" fillId="0" borderId="0"/>
    <xf numFmtId="0" fontId="31" fillId="0" borderId="0"/>
  </cellStyleXfs>
  <cellXfs count="152">
    <xf numFmtId="0" fontId="0" fillId="0" borderId="0" xfId="0"/>
    <xf numFmtId="0" fontId="1" fillId="0" borderId="0" xfId="0" applyFont="1"/>
    <xf numFmtId="0" fontId="2" fillId="0" borderId="0" xfId="0" applyFont="1"/>
    <xf numFmtId="0" fontId="3" fillId="0" borderId="0" xfId="0" applyFont="1"/>
    <xf numFmtId="0" fontId="4" fillId="2" borderId="1" xfId="0" applyFont="1" applyFill="1" applyBorder="1" applyAlignment="1">
      <alignment horizontal="center" vertical="center"/>
    </xf>
    <xf numFmtId="0" fontId="5" fillId="3" borderId="1" xfId="0" applyFont="1" applyFill="1" applyBorder="1" applyAlignment="1">
      <alignment horizontal="center" vertical="center"/>
    </xf>
    <xf numFmtId="0" fontId="6" fillId="3" borderId="1" xfId="0" applyFont="1" applyFill="1" applyBorder="1" applyAlignment="1">
      <alignment horizontal="center" vertical="center"/>
    </xf>
    <xf numFmtId="0" fontId="7" fillId="0" borderId="1" xfId="0" applyFont="1" applyBorder="1" applyAlignment="1">
      <alignment horizontal="center" vertical="center"/>
    </xf>
    <xf numFmtId="0" fontId="8" fillId="0" borderId="1" xfId="0" applyFont="1" applyBorder="1" applyAlignment="1">
      <alignment horizontal="center" vertical="center"/>
    </xf>
    <xf numFmtId="2" fontId="9" fillId="4" borderId="1" xfId="0" applyNumberFormat="1" applyFont="1" applyFill="1" applyBorder="1" applyAlignment="1">
      <alignment horizontal="center" vertical="center"/>
    </xf>
    <xf numFmtId="0" fontId="2" fillId="0" borderId="0" xfId="0" applyFont="1" applyAlignment="1">
      <alignment horizontal="center" vertical="center"/>
    </xf>
    <xf numFmtId="0" fontId="10" fillId="0" borderId="0" xfId="0" applyFont="1" applyAlignment="1">
      <alignment horizontal="left" vertical="center" wrapText="1"/>
    </xf>
    <xf numFmtId="0" fontId="11" fillId="0" borderId="0" xfId="0" applyFont="1" applyAlignment="1">
      <alignment horizontal="left" vertical="center" wrapText="1"/>
    </xf>
    <xf numFmtId="0" fontId="3" fillId="0" borderId="0" xfId="0" applyFont="1" applyAlignment="1">
      <alignment horizontal="left" vertical="center" wrapText="1"/>
    </xf>
    <xf numFmtId="0" fontId="11" fillId="0" borderId="0" xfId="0" applyFont="1"/>
    <xf numFmtId="0" fontId="9" fillId="4" borderId="1" xfId="0" applyFont="1" applyFill="1" applyBorder="1" applyAlignment="1">
      <alignment horizontal="center" vertical="center"/>
    </xf>
    <xf numFmtId="2" fontId="8" fillId="0" borderId="1" xfId="0" applyNumberFormat="1" applyFont="1" applyBorder="1" applyAlignment="1">
      <alignment horizontal="center" vertical="center"/>
    </xf>
    <xf numFmtId="0" fontId="12" fillId="0" borderId="0" xfId="0" applyFont="1"/>
    <xf numFmtId="0" fontId="13" fillId="0" borderId="0" xfId="0" applyFont="1"/>
    <xf numFmtId="0" fontId="14" fillId="3" borderId="1" xfId="0" applyFont="1" applyFill="1" applyBorder="1" applyAlignment="1">
      <alignment horizontal="center" vertical="center"/>
    </xf>
    <xf numFmtId="0" fontId="13" fillId="0" borderId="1" xfId="0" applyFont="1" applyBorder="1" applyAlignment="1">
      <alignment horizontal="center" vertical="center"/>
    </xf>
    <xf numFmtId="0" fontId="13" fillId="0" borderId="1" xfId="0" applyFont="1" applyBorder="1" applyAlignment="1">
      <alignment horizontal="left" vertical="center"/>
    </xf>
    <xf numFmtId="0" fontId="15" fillId="0" borderId="1" xfId="0" applyFont="1" applyBorder="1" applyAlignment="1">
      <alignment horizontal="left" vertical="center"/>
    </xf>
    <xf numFmtId="0" fontId="13" fillId="5" borderId="1" xfId="0" applyFont="1" applyFill="1" applyBorder="1" applyAlignment="1">
      <alignment horizontal="center" vertical="center"/>
    </xf>
    <xf numFmtId="0" fontId="13" fillId="5" borderId="1" xfId="0" applyFont="1" applyFill="1" applyBorder="1" applyAlignment="1">
      <alignment horizontal="left" vertical="center"/>
    </xf>
    <xf numFmtId="0" fontId="15" fillId="5" borderId="1" xfId="0" applyFont="1" applyFill="1" applyBorder="1" applyAlignment="1">
      <alignment horizontal="left" vertical="center"/>
    </xf>
    <xf numFmtId="0" fontId="15" fillId="0" borderId="1" xfId="0" applyFont="1" applyBorder="1" applyAlignment="1">
      <alignment horizontal="center" vertical="center"/>
    </xf>
    <xf numFmtId="0" fontId="3" fillId="4" borderId="1" xfId="0" applyFont="1" applyFill="1" applyBorder="1" applyAlignment="1">
      <alignment horizontal="center" vertical="center"/>
    </xf>
    <xf numFmtId="0" fontId="16" fillId="4" borderId="1" xfId="0" applyFont="1" applyFill="1" applyBorder="1" applyAlignment="1">
      <alignment horizontal="center" vertical="center"/>
    </xf>
    <xf numFmtId="0" fontId="9" fillId="4" borderId="1" xfId="0" applyFont="1" applyFill="1" applyBorder="1" applyAlignment="1">
      <alignment horizontal="left" vertical="center" wrapText="1"/>
    </xf>
    <xf numFmtId="0" fontId="15" fillId="0" borderId="0" xfId="0" applyFont="1" applyAlignment="1">
      <alignment horizontal="left" vertical="center" wrapText="1"/>
    </xf>
    <xf numFmtId="0" fontId="15" fillId="0" borderId="0" xfId="0" applyFont="1"/>
    <xf numFmtId="0" fontId="13" fillId="0" borderId="0" xfId="0" applyFont="1" applyAlignment="1">
      <alignment horizontal="left" vertical="center" wrapText="1"/>
    </xf>
    <xf numFmtId="0" fontId="17" fillId="0" borderId="0" xfId="0" applyFont="1"/>
    <xf numFmtId="0" fontId="18" fillId="3" borderId="1" xfId="0" applyFont="1" applyFill="1" applyBorder="1" applyAlignment="1">
      <alignment horizontal="center" vertical="center" wrapText="1"/>
    </xf>
    <xf numFmtId="0" fontId="14" fillId="3" borderId="1" xfId="0" applyFont="1" applyFill="1" applyBorder="1" applyAlignment="1">
      <alignment horizontal="center" vertical="center" wrapText="1"/>
    </xf>
    <xf numFmtId="0" fontId="19" fillId="0" borderId="1" xfId="0" applyFont="1" applyBorder="1" applyAlignment="1">
      <alignment horizontal="left" vertical="center"/>
    </xf>
    <xf numFmtId="2" fontId="11" fillId="4" borderId="1" xfId="0" applyNumberFormat="1" applyFont="1" applyFill="1" applyBorder="1" applyAlignment="1">
      <alignment horizontal="center" vertical="center"/>
    </xf>
    <xf numFmtId="0" fontId="15" fillId="4" borderId="1" xfId="0" applyFont="1" applyFill="1" applyBorder="1" applyAlignment="1">
      <alignment horizontal="center" vertical="center"/>
    </xf>
    <xf numFmtId="0" fontId="13" fillId="4" borderId="1" xfId="0" applyFont="1" applyFill="1" applyBorder="1" applyAlignment="1">
      <alignment horizontal="left" vertical="center"/>
    </xf>
    <xf numFmtId="0" fontId="13" fillId="4" borderId="1" xfId="0" applyFont="1" applyFill="1" applyBorder="1" applyAlignment="1">
      <alignment horizontal="center" vertical="center"/>
    </xf>
    <xf numFmtId="2" fontId="15" fillId="4" borderId="1" xfId="0" applyNumberFormat="1" applyFont="1" applyFill="1" applyBorder="1" applyAlignment="1">
      <alignment horizontal="center" vertical="center"/>
    </xf>
    <xf numFmtId="0" fontId="20" fillId="0" borderId="1" xfId="0" applyFont="1" applyBorder="1" applyAlignment="1">
      <alignment horizontal="center" vertical="center"/>
    </xf>
    <xf numFmtId="0" fontId="19" fillId="0" borderId="1" xfId="0" applyFont="1" applyBorder="1" applyAlignment="1">
      <alignment horizontal="center" vertical="center"/>
    </xf>
    <xf numFmtId="0" fontId="5" fillId="7" borderId="2" xfId="0" applyFont="1" applyFill="1" applyBorder="1" applyAlignment="1">
      <alignment horizontal="center"/>
    </xf>
    <xf numFmtId="0" fontId="7" fillId="0" borderId="2" xfId="0" applyFont="1" applyBorder="1"/>
    <xf numFmtId="2" fontId="4" fillId="0" borderId="2" xfId="0" applyNumberFormat="1" applyFont="1" applyBorder="1" applyAlignment="1">
      <alignment horizontal="center"/>
    </xf>
    <xf numFmtId="0" fontId="8" fillId="0" borderId="2" xfId="0" applyFont="1" applyBorder="1" applyAlignment="1">
      <alignment horizontal="center"/>
    </xf>
    <xf numFmtId="2" fontId="8" fillId="0" borderId="2" xfId="0" applyNumberFormat="1" applyFont="1" applyBorder="1" applyAlignment="1">
      <alignment horizontal="center"/>
    </xf>
    <xf numFmtId="0" fontId="23" fillId="0" borderId="2" xfId="0" applyFont="1" applyBorder="1" applyAlignment="1">
      <alignment horizontal="center"/>
    </xf>
    <xf numFmtId="0" fontId="24" fillId="0" borderId="2" xfId="0" applyFont="1" applyBorder="1"/>
    <xf numFmtId="0" fontId="25" fillId="0" borderId="2" xfId="0" applyFont="1" applyBorder="1"/>
    <xf numFmtId="0" fontId="26" fillId="0" borderId="2" xfId="0" applyFont="1" applyBorder="1" applyAlignment="1">
      <alignment horizontal="center"/>
    </xf>
    <xf numFmtId="0" fontId="7" fillId="0" borderId="1" xfId="0" applyFont="1" applyBorder="1" applyAlignment="1">
      <alignment horizontal="left" vertical="center" wrapText="1"/>
    </xf>
    <xf numFmtId="176" fontId="4" fillId="2" borderId="1" xfId="0" applyNumberFormat="1" applyFont="1" applyFill="1" applyBorder="1" applyAlignment="1">
      <alignment horizontal="center" vertical="center"/>
    </xf>
    <xf numFmtId="176" fontId="9" fillId="0" borderId="1" xfId="0" applyNumberFormat="1" applyFont="1" applyBorder="1" applyAlignment="1">
      <alignment horizontal="center" vertical="center"/>
    </xf>
    <xf numFmtId="176" fontId="0" fillId="0" borderId="0" xfId="0" applyNumberFormat="1"/>
    <xf numFmtId="0" fontId="0" fillId="0" borderId="0" xfId="0" applyAlignment="1">
      <alignment vertical="center"/>
    </xf>
    <xf numFmtId="0" fontId="27" fillId="0" borderId="0" xfId="0" applyFont="1" applyAlignment="1">
      <alignment vertical="center"/>
    </xf>
    <xf numFmtId="0" fontId="8" fillId="4" borderId="1" xfId="0" applyFont="1" applyFill="1" applyBorder="1" applyAlignment="1">
      <alignment horizontal="center" vertical="center"/>
    </xf>
    <xf numFmtId="0" fontId="16" fillId="0" borderId="1" xfId="0" applyFont="1" applyBorder="1" applyAlignment="1">
      <alignment horizontal="left" vertical="center" wrapText="1"/>
    </xf>
    <xf numFmtId="0" fontId="0" fillId="0" borderId="1" xfId="0" applyBorder="1" applyAlignment="1">
      <alignment horizontal="center" vertical="center"/>
    </xf>
    <xf numFmtId="176" fontId="0" fillId="0" borderId="1" xfId="0" applyNumberFormat="1" applyBorder="1" applyAlignment="1">
      <alignment horizontal="center" vertical="center"/>
    </xf>
    <xf numFmtId="0" fontId="2" fillId="0" borderId="0" xfId="0" applyFont="1" applyAlignment="1">
      <alignment horizontal="left" vertical="center" wrapText="1"/>
    </xf>
    <xf numFmtId="0" fontId="7" fillId="0" borderId="0" xfId="0" applyFont="1"/>
    <xf numFmtId="0" fontId="4" fillId="0" borderId="1" xfId="0" applyFont="1" applyBorder="1" applyAlignment="1">
      <alignment horizontal="left" vertical="center" wrapText="1"/>
    </xf>
    <xf numFmtId="0" fontId="28" fillId="0" borderId="0" xfId="0" applyFont="1"/>
    <xf numFmtId="0" fontId="7" fillId="4" borderId="1" xfId="0" applyFont="1" applyFill="1" applyBorder="1" applyAlignment="1">
      <alignment horizontal="center" vertical="center"/>
    </xf>
    <xf numFmtId="0" fontId="7" fillId="4" borderId="1" xfId="0" applyFont="1" applyFill="1" applyBorder="1" applyAlignment="1">
      <alignment horizontal="left" vertical="center" wrapText="1"/>
    </xf>
    <xf numFmtId="0" fontId="8" fillId="0" borderId="1" xfId="0" applyFont="1" applyBorder="1" applyAlignment="1">
      <alignment horizontal="left" vertical="center" wrapText="1"/>
    </xf>
    <xf numFmtId="0" fontId="20" fillId="0" borderId="1" xfId="0" applyFont="1" applyBorder="1" applyAlignment="1">
      <alignment horizontal="left" vertical="center"/>
    </xf>
    <xf numFmtId="0" fontId="30" fillId="0" borderId="1" xfId="0" applyFont="1" applyBorder="1" applyAlignment="1">
      <alignment horizontal="center" vertical="center"/>
    </xf>
    <xf numFmtId="0" fontId="32" fillId="0" borderId="0" xfId="0" applyFont="1"/>
    <xf numFmtId="14" fontId="4" fillId="2" borderId="1" xfId="0" applyNumberFormat="1" applyFont="1" applyFill="1" applyBorder="1" applyAlignment="1">
      <alignment horizontal="center" vertical="center"/>
    </xf>
    <xf numFmtId="0" fontId="33" fillId="0" borderId="0" xfId="0" applyFont="1"/>
    <xf numFmtId="0" fontId="31" fillId="0" borderId="0" xfId="1"/>
    <xf numFmtId="0" fontId="34" fillId="0" borderId="0" xfId="0" applyFont="1"/>
    <xf numFmtId="0" fontId="0" fillId="0" borderId="0" xfId="0" applyAlignment="1">
      <alignment horizontal="left" vertical="center" wrapText="1"/>
    </xf>
    <xf numFmtId="0" fontId="13" fillId="0" borderId="0" xfId="0" applyFont="1" applyAlignment="1">
      <alignment horizontal="left" vertical="center"/>
    </xf>
    <xf numFmtId="0" fontId="15" fillId="0" borderId="0" xfId="0" applyFont="1" applyAlignment="1">
      <alignment horizontal="center" vertical="center"/>
    </xf>
    <xf numFmtId="0" fontId="35" fillId="0" borderId="0" xfId="0" applyFont="1"/>
    <xf numFmtId="0" fontId="36" fillId="8" borderId="0" xfId="0" applyFont="1" applyFill="1" applyAlignment="1">
      <alignment horizontal="center"/>
    </xf>
    <xf numFmtId="0" fontId="37" fillId="9" borderId="0" xfId="0" applyFont="1" applyFill="1"/>
    <xf numFmtId="0" fontId="38" fillId="10" borderId="0" xfId="0" applyFont="1" applyFill="1"/>
    <xf numFmtId="0" fontId="39" fillId="0" borderId="0" xfId="0" applyFont="1"/>
    <xf numFmtId="0" fontId="38" fillId="0" borderId="0" xfId="0" applyFont="1"/>
    <xf numFmtId="0" fontId="36" fillId="8" borderId="1" xfId="0" applyFont="1" applyFill="1" applyBorder="1" applyAlignment="1">
      <alignment horizontal="center" vertical="center"/>
    </xf>
    <xf numFmtId="0" fontId="36" fillId="8" borderId="0" xfId="0" applyFont="1" applyFill="1"/>
    <xf numFmtId="177" fontId="40" fillId="0" borderId="0" xfId="0" applyNumberFormat="1" applyFont="1"/>
    <xf numFmtId="0" fontId="40" fillId="0" borderId="0" xfId="0" applyFont="1"/>
    <xf numFmtId="0" fontId="40" fillId="9" borderId="0" xfId="0" applyFont="1" applyFill="1"/>
    <xf numFmtId="0" fontId="41" fillId="0" borderId="0" xfId="0" applyFont="1"/>
    <xf numFmtId="0" fontId="42" fillId="0" borderId="0" xfId="0" applyFont="1"/>
    <xf numFmtId="177" fontId="43" fillId="0" borderId="0" xfId="0" applyNumberFormat="1" applyFont="1"/>
    <xf numFmtId="0" fontId="43" fillId="0" borderId="0" xfId="0" applyFont="1"/>
    <xf numFmtId="0" fontId="44" fillId="0" borderId="0" xfId="0" applyFont="1"/>
    <xf numFmtId="0" fontId="45" fillId="0" borderId="0" xfId="0" applyFont="1"/>
    <xf numFmtId="177" fontId="46" fillId="0" borderId="0" xfId="0" applyNumberFormat="1" applyFont="1"/>
    <xf numFmtId="0" fontId="46" fillId="0" borderId="0" xfId="0" applyFont="1"/>
    <xf numFmtId="0" fontId="47" fillId="0" borderId="0" xfId="0" applyFont="1"/>
    <xf numFmtId="14" fontId="0" fillId="0" borderId="0" xfId="0" applyNumberFormat="1"/>
    <xf numFmtId="0" fontId="8" fillId="0" borderId="0" xfId="0" applyFont="1" applyAlignment="1">
      <alignment horizontal="center" vertical="center"/>
    </xf>
    <xf numFmtId="0" fontId="4" fillId="2" borderId="0" xfId="0" applyFont="1" applyFill="1" applyAlignment="1">
      <alignment horizontal="center" vertical="center"/>
    </xf>
    <xf numFmtId="2" fontId="8" fillId="0" borderId="0" xfId="0" applyNumberFormat="1" applyFont="1" applyAlignment="1">
      <alignment horizontal="center" vertical="center"/>
    </xf>
    <xf numFmtId="0" fontId="4" fillId="0" borderId="0" xfId="0" applyFont="1" applyAlignment="1">
      <alignment horizontal="left" vertical="center" wrapText="1"/>
    </xf>
    <xf numFmtId="14" fontId="4" fillId="2" borderId="0" xfId="0" applyNumberFormat="1" applyFont="1" applyFill="1" applyAlignment="1">
      <alignment horizontal="center" vertical="center"/>
    </xf>
    <xf numFmtId="0" fontId="48" fillId="0" borderId="0" xfId="0" applyFont="1"/>
    <xf numFmtId="0" fontId="49" fillId="0" borderId="0" xfId="0" applyFont="1"/>
    <xf numFmtId="0" fontId="50" fillId="8" borderId="0" xfId="0" applyFont="1" applyFill="1" applyAlignment="1">
      <alignment horizontal="center" vertical="center"/>
    </xf>
    <xf numFmtId="0" fontId="0" fillId="0" borderId="0" xfId="0" applyAlignment="1">
      <alignment horizontal="center" vertical="center"/>
    </xf>
    <xf numFmtId="0" fontId="51" fillId="0" borderId="0" xfId="0" applyFont="1" applyAlignment="1">
      <alignment vertical="center"/>
    </xf>
    <xf numFmtId="0" fontId="52" fillId="8" borderId="4" xfId="0" applyFont="1" applyFill="1" applyBorder="1" applyAlignment="1">
      <alignment horizontal="center" vertical="center"/>
    </xf>
    <xf numFmtId="0" fontId="51" fillId="10" borderId="4" xfId="0" applyFont="1" applyFill="1" applyBorder="1" applyAlignment="1">
      <alignment horizontal="center" vertical="center"/>
    </xf>
    <xf numFmtId="0" fontId="51" fillId="10" borderId="4" xfId="0" applyFont="1" applyFill="1" applyBorder="1" applyAlignment="1">
      <alignment horizontal="left" vertical="center" wrapText="1"/>
    </xf>
    <xf numFmtId="0" fontId="51" fillId="0" borderId="4" xfId="0" applyFont="1" applyBorder="1" applyAlignment="1">
      <alignment horizontal="center" vertical="center"/>
    </xf>
    <xf numFmtId="0" fontId="51" fillId="0" borderId="4" xfId="0" applyFont="1" applyBorder="1" applyAlignment="1">
      <alignment horizontal="left" vertical="center" wrapText="1"/>
    </xf>
    <xf numFmtId="0" fontId="49" fillId="0" borderId="0" xfId="0" applyFont="1" applyAlignment="1">
      <alignment horizontal="center" vertical="center"/>
    </xf>
    <xf numFmtId="0" fontId="53" fillId="0" borderId="0" xfId="0" applyFont="1" applyAlignment="1">
      <alignment vertical="center"/>
    </xf>
    <xf numFmtId="0" fontId="54" fillId="0" borderId="0" xfId="0" applyFont="1"/>
    <xf numFmtId="0" fontId="51" fillId="0" borderId="0" xfId="0" applyFont="1" applyAlignment="1">
      <alignment horizontal="left" vertical="center"/>
    </xf>
    <xf numFmtId="0" fontId="51" fillId="0" borderId="4" xfId="0" applyFont="1" applyBorder="1" applyAlignment="1">
      <alignment horizontal="left" vertical="center"/>
    </xf>
    <xf numFmtId="0" fontId="51" fillId="11" borderId="4" xfId="0" applyFont="1" applyFill="1" applyBorder="1" applyAlignment="1">
      <alignment horizontal="center" vertical="center"/>
    </xf>
    <xf numFmtId="0" fontId="49" fillId="0" borderId="0" xfId="0" applyFont="1" applyAlignment="1">
      <alignment horizontal="left" vertical="center"/>
    </xf>
    <xf numFmtId="0" fontId="53" fillId="0" borderId="0" xfId="0" applyFont="1" applyAlignment="1">
      <alignment horizontal="left" vertical="center"/>
    </xf>
    <xf numFmtId="0" fontId="51" fillId="0" borderId="0" xfId="0" applyFont="1"/>
    <xf numFmtId="0" fontId="55" fillId="0" borderId="0" xfId="0" applyFont="1" applyAlignment="1">
      <alignment horizontal="center" vertical="center"/>
    </xf>
    <xf numFmtId="0" fontId="56" fillId="0" borderId="0" xfId="0" applyFont="1"/>
    <xf numFmtId="0" fontId="58" fillId="0" borderId="0" xfId="0" applyFont="1"/>
    <xf numFmtId="0" fontId="59" fillId="0" borderId="0" xfId="0" applyFont="1"/>
    <xf numFmtId="0" fontId="60" fillId="12" borderId="0" xfId="0" applyFont="1" applyFill="1"/>
    <xf numFmtId="0" fontId="36" fillId="12" borderId="0" xfId="0" applyFont="1" applyFill="1"/>
    <xf numFmtId="0" fontId="61" fillId="0" borderId="0" xfId="0" applyFont="1"/>
    <xf numFmtId="0" fontId="58" fillId="0" borderId="0" xfId="0" applyFont="1" applyAlignment="1">
      <alignment horizontal="center"/>
    </xf>
    <xf numFmtId="1" fontId="0" fillId="0" borderId="0" xfId="0" applyNumberFormat="1"/>
    <xf numFmtId="0" fontId="57" fillId="0" borderId="0" xfId="1" applyFont="1"/>
    <xf numFmtId="0" fontId="63" fillId="0" borderId="4" xfId="0" applyFont="1" applyBorder="1" applyAlignment="1">
      <alignment horizontal="left" vertical="center" wrapText="1"/>
    </xf>
    <xf numFmtId="178" fontId="58" fillId="0" borderId="0" xfId="0" applyNumberFormat="1" applyFont="1" applyAlignment="1">
      <alignment horizontal="center"/>
    </xf>
    <xf numFmtId="0" fontId="0" fillId="0" borderId="0" xfId="0" applyAlignment="1">
      <alignment horizontal="center"/>
    </xf>
    <xf numFmtId="178" fontId="0" fillId="0" borderId="0" xfId="0" applyNumberFormat="1" applyAlignment="1">
      <alignment horizontal="center"/>
    </xf>
    <xf numFmtId="178" fontId="0" fillId="0" borderId="0" xfId="0" applyNumberFormat="1"/>
    <xf numFmtId="0" fontId="47" fillId="12" borderId="0" xfId="0" applyFont="1" applyFill="1"/>
    <xf numFmtId="0" fontId="7" fillId="0" borderId="0" xfId="0" applyFont="1" applyAlignment="1">
      <alignment horizontal="center" vertical="center"/>
    </xf>
    <xf numFmtId="2" fontId="9" fillId="4" borderId="0" xfId="0" applyNumberFormat="1" applyFont="1" applyFill="1" applyAlignment="1">
      <alignment horizontal="center" vertical="center"/>
    </xf>
    <xf numFmtId="0" fontId="4" fillId="2" borderId="4" xfId="0" applyFont="1" applyFill="1" applyBorder="1" applyAlignment="1">
      <alignment horizontal="center" vertical="center"/>
    </xf>
    <xf numFmtId="2" fontId="51" fillId="0" borderId="4" xfId="0" applyNumberFormat="1" applyFont="1" applyBorder="1" applyAlignment="1">
      <alignment horizontal="center" vertical="center"/>
    </xf>
    <xf numFmtId="49" fontId="51" fillId="0" borderId="4" xfId="0" applyNumberFormat="1" applyFont="1" applyBorder="1" applyAlignment="1">
      <alignment horizontal="center" vertical="center"/>
    </xf>
    <xf numFmtId="0" fontId="22" fillId="6" borderId="0" xfId="0" applyFont="1" applyFill="1" applyAlignment="1">
      <alignment vertical="top" wrapText="1"/>
    </xf>
    <xf numFmtId="0" fontId="0" fillId="0" borderId="0" xfId="0"/>
    <xf numFmtId="0" fontId="21" fillId="0" borderId="0" xfId="0" applyFont="1" applyAlignment="1">
      <alignment vertical="top" wrapText="1"/>
    </xf>
    <xf numFmtId="0" fontId="27" fillId="0" borderId="3" xfId="0" applyFont="1" applyBorder="1" applyAlignment="1">
      <alignment horizontal="center" vertical="center"/>
    </xf>
    <xf numFmtId="0" fontId="0" fillId="0" borderId="3" xfId="0" applyBorder="1"/>
    <xf numFmtId="0" fontId="58" fillId="0" borderId="0" xfId="0" applyFont="1"/>
  </cellXfs>
  <cellStyles count="2">
    <cellStyle name="표준" xfId="0" builtinId="0"/>
    <cellStyle name="하이퍼링크" xfId="1" builtinId="8"/>
  </cellStyles>
  <dxfs count="11">
    <dxf>
      <fill>
        <patternFill patternType="solid">
          <fgColor rgb="FFE2EFDA"/>
        </patternFill>
      </fill>
    </dxf>
    <dxf>
      <font>
        <b/>
        <color rgb="FF9C0006"/>
      </font>
      <fill>
        <patternFill patternType="solid">
          <fgColor rgb="FFFFC7CE"/>
        </patternFill>
      </fill>
    </dxf>
    <dxf>
      <fill>
        <patternFill patternType="solid">
          <fgColor rgb="FFFFC7CE"/>
        </patternFill>
      </fill>
    </dxf>
    <dxf>
      <font>
        <color rgb="FF95A5A6"/>
      </font>
      <fill>
        <patternFill>
          <bgColor rgb="FFF2F2F2"/>
        </patternFill>
      </fill>
    </dxf>
    <dxf>
      <font>
        <color rgb="FF95A5A6"/>
      </font>
      <fill>
        <patternFill>
          <bgColor rgb="FFF2F2F2"/>
        </patternFill>
      </fill>
    </dxf>
    <dxf>
      <font>
        <color rgb="FF95A5A6"/>
      </font>
      <fill>
        <patternFill>
          <bgColor rgb="FFF2F2F2"/>
        </patternFill>
      </fill>
    </dxf>
    <dxf>
      <font>
        <color rgb="FF95A5A6"/>
      </font>
      <fill>
        <patternFill>
          <bgColor rgb="FFF2F2F2"/>
        </patternFill>
      </fill>
    </dxf>
    <dxf>
      <font>
        <color rgb="FF95A5A6"/>
      </font>
      <fill>
        <patternFill>
          <bgColor rgb="FFF2F2F2"/>
        </patternFill>
      </fill>
    </dxf>
    <dxf>
      <fill>
        <patternFill>
          <bgColor rgb="FFD9D9D9"/>
        </patternFill>
      </fill>
    </dxf>
    <dxf>
      <font>
        <color rgb="FF95A5A6"/>
      </font>
      <fill>
        <patternFill>
          <bgColor rgb="FFF2F2F2"/>
        </patternFill>
      </fill>
    </dxf>
    <dxf>
      <font>
        <color rgb="FF95A5A6"/>
      </font>
      <fill>
        <patternFill>
          <bgColor rgb="FFF2F2F2"/>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B9770E"/>
      <rgbColor rgb="FF800080"/>
      <rgbColor rgb="FF008080"/>
      <rgbColor rgb="FFBFBFBF"/>
      <rgbColor rgb="FF7F8C8D"/>
      <rgbColor rgb="FF9999FF"/>
      <rgbColor rgb="FF595959"/>
      <rgbColor rgb="FFFEF9E7"/>
      <rgbColor rgb="FFF2F2F2"/>
      <rgbColor rgb="FF660066"/>
      <rgbColor rgb="FFFF8080"/>
      <rgbColor rgb="FF0066CC"/>
      <rgbColor rgb="FFD5D8DC"/>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D9D9D9"/>
      <rgbColor rgb="FF3366FF"/>
      <rgbColor rgb="FF33CCCC"/>
      <rgbColor rgb="FF99CC00"/>
      <rgbColor rgb="FFFFCC00"/>
      <rgbColor rgb="FFFF9900"/>
      <rgbColor rgb="FFFF6600"/>
      <rgbColor rgb="FF566573"/>
      <rgbColor rgb="FF95A5A6"/>
      <rgbColor rgb="FF1F4E3D"/>
      <rgbColor rgb="FF339966"/>
      <rgbColor rgb="FF003300"/>
      <rgbColor rgb="FF333300"/>
      <rgbColor rgb="FF993300"/>
      <rgbColor rgb="FF993366"/>
      <rgbColor rgb="FF34495E"/>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hyperlink" Target="https://www.youtube.com/watch?v=BGaOGtfTKPc&amp;list=LL&amp;index=4"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https://www.youtube.com/shorts/KGkE5bXQR24,%20&#47749;&#52824;&#44032;%20&#51032;&#51088;%20&#52572;&#49345;&#45800;%20&#45458;&#51060;&#50640;%20&#47582;&#44172;%20&#49444;&#51221;" TargetMode="External"/></Relationships>
</file>

<file path=xl/worksheets/_rels/sheet22.xml.rels><?xml version="1.0" encoding="UTF-8" standalone="yes"?>
<Relationships xmlns="http://schemas.openxmlformats.org/package/2006/relationships"><Relationship Id="rId1" Type="http://schemas.openxmlformats.org/officeDocument/2006/relationships/hyperlink" Target="https://www.youtube.com/shorts/UerYVESPi_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90"/>
  <sheetViews>
    <sheetView topLeftCell="A36" zoomScaleNormal="100" workbookViewId="0">
      <selection activeCell="A75" sqref="A75"/>
    </sheetView>
  </sheetViews>
  <sheetFormatPr defaultColWidth="8.7109375" defaultRowHeight="15"/>
  <cols>
    <col min="1" max="1" width="18" customWidth="1"/>
    <col min="2" max="2" width="14" customWidth="1"/>
    <col min="3" max="6" width="16" customWidth="1"/>
  </cols>
  <sheetData>
    <row r="1" spans="1:6" ht="21" customHeight="1">
      <c r="A1" s="1" t="s">
        <v>72</v>
      </c>
    </row>
    <row r="2" spans="1:6" ht="15" customHeight="1">
      <c r="A2" s="2" t="s">
        <v>73</v>
      </c>
    </row>
    <row r="4" spans="1:6" ht="15" customHeight="1">
      <c r="A4" s="3" t="s">
        <v>74</v>
      </c>
      <c r="C4" s="4">
        <v>11</v>
      </c>
      <c r="D4" s="2" t="s">
        <v>75</v>
      </c>
    </row>
    <row r="6" spans="1:6" ht="15" customHeight="1">
      <c r="A6" s="5" t="s">
        <v>76</v>
      </c>
      <c r="B6" s="6" t="s">
        <v>77</v>
      </c>
      <c r="C6" s="5" t="s">
        <v>78</v>
      </c>
      <c r="D6" s="5" t="s">
        <v>79</v>
      </c>
      <c r="E6" s="5" t="s">
        <v>80</v>
      </c>
      <c r="F6" s="5" t="s">
        <v>81</v>
      </c>
    </row>
    <row r="7" spans="1:6" ht="15" customHeight="1">
      <c r="A7" s="7" t="s">
        <v>82</v>
      </c>
      <c r="B7" s="7">
        <v>92.5</v>
      </c>
      <c r="C7" s="8" t="str">
        <f>TEXT(D7/B7,"0%")</f>
        <v>67%</v>
      </c>
      <c r="D7" s="4">
        <v>62</v>
      </c>
      <c r="E7" s="9">
        <f>INDEX(증량기록!$C$22:$C$51,MAX(1,MIN(30,$C$4-5)))</f>
        <v>75</v>
      </c>
      <c r="F7" s="8" t="s">
        <v>83</v>
      </c>
    </row>
    <row r="8" spans="1:6" ht="15" customHeight="1">
      <c r="A8" s="7" t="s">
        <v>84</v>
      </c>
      <c r="B8" s="7">
        <v>105</v>
      </c>
      <c r="C8" s="8" t="str">
        <f>TEXT(D8/B8,"0%")</f>
        <v>64%</v>
      </c>
      <c r="D8" s="4">
        <v>67</v>
      </c>
      <c r="E8" s="9">
        <f>INDEX(증량기록!$E$22:$E$51,MAX(1,MIN(30,$C$4-5)))</f>
        <v>80</v>
      </c>
      <c r="F8" s="8" t="s">
        <v>85</v>
      </c>
    </row>
    <row r="9" spans="1:6" ht="15" customHeight="1">
      <c r="A9" s="7" t="s">
        <v>86</v>
      </c>
      <c r="B9" s="7">
        <v>47.25</v>
      </c>
      <c r="C9" s="8" t="str">
        <f>TEXT(D9/B9,"0%")</f>
        <v>74%</v>
      </c>
      <c r="D9" s="4">
        <v>35</v>
      </c>
      <c r="E9" s="9">
        <f>INDEX(증량기록!$G$22:$G$51,MAX(1,MIN(30,$C$4-5)))</f>
        <v>41</v>
      </c>
      <c r="F9" s="8" t="s">
        <v>87</v>
      </c>
    </row>
    <row r="10" spans="1:6" ht="15" customHeight="1">
      <c r="A10" s="7" t="s">
        <v>88</v>
      </c>
      <c r="B10" s="7">
        <v>40</v>
      </c>
      <c r="C10" s="8" t="str">
        <f>TEXT(D10/B10,"0%")</f>
        <v>70%</v>
      </c>
      <c r="D10" s="4">
        <v>28</v>
      </c>
      <c r="E10" s="9">
        <f>INDEX(증량기록!$I$22:$I$51,MAX(1,MIN(30,$C$4-5)))</f>
        <v>31</v>
      </c>
      <c r="F10" s="8" t="s">
        <v>1526</v>
      </c>
    </row>
    <row r="11" spans="1:6" ht="15" customHeight="1">
      <c r="A11" s="141" t="s">
        <v>1555</v>
      </c>
      <c r="B11" s="141" t="s">
        <v>27</v>
      </c>
      <c r="C11" s="101" t="s">
        <v>27</v>
      </c>
      <c r="D11" s="102">
        <v>60</v>
      </c>
      <c r="E11" s="142">
        <f>IF($C$4&lt;증량기록!$F$9,D11,INDEX(증량기록!$N$22:$N$51,MAX(1,MIN(30,$C$4-5))))</f>
        <v>60</v>
      </c>
      <c r="F11" s="101" t="s">
        <v>87</v>
      </c>
    </row>
    <row r="12" spans="1:6" ht="15" customHeight="1">
      <c r="A12" s="141" t="s">
        <v>517</v>
      </c>
      <c r="B12" s="141" t="s">
        <v>27</v>
      </c>
      <c r="C12" s="101" t="s">
        <v>27</v>
      </c>
      <c r="D12" s="102">
        <v>42</v>
      </c>
      <c r="E12" s="142">
        <f>IF($C$4&lt;증량기록!$F$10,D12,INDEX(증량기록!$P$22:$P$51,MAX(1,MIN(30,$C$4-5))))</f>
        <v>42</v>
      </c>
      <c r="F12" s="101" t="s">
        <v>1556</v>
      </c>
    </row>
    <row r="13" spans="1:6" ht="15" customHeight="1">
      <c r="A13" s="141" t="s">
        <v>374</v>
      </c>
      <c r="B13" s="141" t="s">
        <v>27</v>
      </c>
      <c r="C13" s="101" t="s">
        <v>27</v>
      </c>
      <c r="D13" s="102">
        <v>160</v>
      </c>
      <c r="E13" s="142">
        <f>IF($C$4&lt;증량기록!$F$11,D13,INDEX(증량기록!$R$22:$R$51,MAX(1,MIN(30,$C$4-5))))</f>
        <v>160</v>
      </c>
      <c r="F13" s="101" t="s">
        <v>1573</v>
      </c>
    </row>
    <row r="14" spans="1:6" ht="15" customHeight="1">
      <c r="A14" s="141" t="s">
        <v>1067</v>
      </c>
      <c r="B14" s="141" t="s">
        <v>27</v>
      </c>
      <c r="C14" s="101" t="s">
        <v>27</v>
      </c>
      <c r="D14" s="102">
        <v>140</v>
      </c>
      <c r="E14" s="142">
        <f>IF($C$4&lt;증량기록!$F$12,D14,INDEX(증량기록!$T$22:$T$51,MAX(1,MIN(30,$C$4-5))))</f>
        <v>140</v>
      </c>
      <c r="F14" s="101" t="s">
        <v>1573</v>
      </c>
    </row>
    <row r="15" spans="1:6" ht="15" customHeight="1">
      <c r="A15" s="141" t="s">
        <v>559</v>
      </c>
      <c r="B15" s="141" t="s">
        <v>27</v>
      </c>
      <c r="C15" s="101" t="s">
        <v>27</v>
      </c>
      <c r="D15" s="102">
        <v>50</v>
      </c>
      <c r="E15" s="142">
        <f>IF($C$4&lt;증량기록!$F$13,D15,INDEX(증량기록!$V$22:$V$51,MAX(1,MIN(30,$C$4-5))))</f>
        <v>50</v>
      </c>
      <c r="F15" s="101" t="s">
        <v>1556</v>
      </c>
    </row>
    <row r="16" spans="1:6" ht="15" customHeight="1">
      <c r="A16" s="141" t="s">
        <v>556</v>
      </c>
      <c r="B16" s="141" t="s">
        <v>27</v>
      </c>
      <c r="C16" s="101" t="s">
        <v>27</v>
      </c>
      <c r="D16" s="102">
        <v>25</v>
      </c>
      <c r="E16" s="142">
        <f>IF($C$4&lt;증량기록!$F$14,D16,INDEX(증량기록!$X$22:$X$51,MAX(1,MIN(30,$C$4-5))))</f>
        <v>25</v>
      </c>
      <c r="F16" s="101" t="s">
        <v>1586</v>
      </c>
    </row>
    <row r="17" spans="1:6" ht="15" customHeight="1">
      <c r="A17" s="141" t="s">
        <v>417</v>
      </c>
      <c r="B17" s="141" t="s">
        <v>27</v>
      </c>
      <c r="C17" s="101" t="s">
        <v>27</v>
      </c>
      <c r="D17" s="102">
        <v>25</v>
      </c>
      <c r="E17" s="142">
        <f>IF($C$4&lt;증량기록!$F$15,D17,INDEX(증량기록!$Z$22:$Z$51,MAX(1,MIN(30,$C$4-5))))</f>
        <v>25</v>
      </c>
      <c r="F17" s="101" t="s">
        <v>1591</v>
      </c>
    </row>
    <row r="18" spans="1:6" ht="15" customHeight="1">
      <c r="A18" s="141" t="s">
        <v>1596</v>
      </c>
      <c r="B18" s="141" t="s">
        <v>27</v>
      </c>
      <c r="C18" s="101" t="s">
        <v>27</v>
      </c>
      <c r="D18" s="102">
        <v>50</v>
      </c>
      <c r="E18" s="142">
        <f>IF($C$4&lt;증량기록!$F$16,D18,INDEX(증량기록!$AB$22:$AB$51,MAX(1,MIN(30,$C$4-5))))</f>
        <v>50</v>
      </c>
      <c r="F18" s="101" t="s">
        <v>1591</v>
      </c>
    </row>
    <row r="19" spans="1:6" ht="15" customHeight="1">
      <c r="A19" s="141" t="s">
        <v>1660</v>
      </c>
      <c r="B19" s="141" t="s">
        <v>27</v>
      </c>
      <c r="C19" s="101" t="s">
        <v>27</v>
      </c>
      <c r="D19" s="102">
        <v>0</v>
      </c>
      <c r="E19" s="142">
        <f>IF($C$4&lt;증량기록!$F$17,D19,INDEX(증량기록!$AD$22:$AD$51,MAX(1,MIN(30,$C$4-5))))</f>
        <v>0</v>
      </c>
      <c r="F19" s="101" t="s">
        <v>1601</v>
      </c>
    </row>
    <row r="20" spans="1:6" ht="15" customHeight="1">
      <c r="A20" s="141" t="s">
        <v>588</v>
      </c>
      <c r="B20" s="141" t="s">
        <v>27</v>
      </c>
      <c r="C20" s="101" t="s">
        <v>27</v>
      </c>
      <c r="D20" s="102">
        <v>15</v>
      </c>
      <c r="E20" s="142">
        <f>IF($C$4&lt;증량기록!$F$18,D20,INDEX(증량기록!$AF$22:$AF$51,MAX(1,MIN(30,$C$4-5))))</f>
        <v>15</v>
      </c>
      <c r="F20" s="101" t="s">
        <v>1573</v>
      </c>
    </row>
    <row r="21" spans="1:6" ht="15" customHeight="1">
      <c r="A21" s="141" t="s">
        <v>439</v>
      </c>
      <c r="B21" s="141" t="s">
        <v>27</v>
      </c>
      <c r="C21" s="101" t="s">
        <v>27</v>
      </c>
      <c r="D21" s="102">
        <v>15</v>
      </c>
      <c r="E21" s="142">
        <f>IF($C$4&lt;증량기록!$F$19,D21,INDEX(증량기록!$AH$22:$AH$51,MAX(1,MIN(30,$C$4-5))))</f>
        <v>15</v>
      </c>
      <c r="F21" s="101" t="s">
        <v>1609</v>
      </c>
    </row>
    <row r="22" spans="1:6" ht="15" customHeight="1">
      <c r="A22" s="141" t="s">
        <v>1613</v>
      </c>
      <c r="B22" s="141" t="s">
        <v>27</v>
      </c>
      <c r="C22" s="101" t="s">
        <v>27</v>
      </c>
      <c r="D22" s="102">
        <v>40</v>
      </c>
      <c r="E22" s="142">
        <f>IF($C$4&lt;증량기록!$F$20,D22,INDEX(증량기록!$AJ$22:$AJ$51,MAX(1,MIN(30,$C$4-5))))</f>
        <v>40</v>
      </c>
      <c r="F22" s="101" t="s">
        <v>1614</v>
      </c>
    </row>
    <row r="23" spans="1:6" ht="15" customHeight="1">
      <c r="D23" s="10" t="s">
        <v>89</v>
      </c>
    </row>
    <row r="24" spans="1:6" ht="15" customHeight="1">
      <c r="A24" s="11"/>
    </row>
    <row r="25" spans="1:6" ht="32.25" customHeight="1">
      <c r="A25" s="12" t="s">
        <v>90</v>
      </c>
    </row>
    <row r="26" spans="1:6" ht="51.75" customHeight="1">
      <c r="A26" s="11" t="s">
        <v>91</v>
      </c>
    </row>
    <row r="27" spans="1:6" ht="51.75" customHeight="1">
      <c r="A27" s="11" t="s">
        <v>92</v>
      </c>
    </row>
    <row r="28" spans="1:6" ht="64.5" customHeight="1">
      <c r="A28" s="11" t="s">
        <v>93</v>
      </c>
    </row>
    <row r="29" spans="1:6" ht="51.75" customHeight="1">
      <c r="A29" s="11" t="s">
        <v>94</v>
      </c>
    </row>
    <row r="30" spans="1:6" ht="51.75" customHeight="1">
      <c r="A30" s="11"/>
    </row>
    <row r="31" spans="1:6" ht="15" customHeight="1">
      <c r="A31" s="12" t="s">
        <v>95</v>
      </c>
    </row>
    <row r="32" spans="1:6" ht="77.25" customHeight="1">
      <c r="A32" s="11" t="s">
        <v>96</v>
      </c>
    </row>
    <row r="33" spans="1:1" ht="51.75" customHeight="1">
      <c r="A33" s="11" t="s">
        <v>97</v>
      </c>
    </row>
    <row r="34" spans="1:1" ht="15" customHeight="1">
      <c r="A34" s="11" t="s">
        <v>98</v>
      </c>
    </row>
    <row r="35" spans="1:1" ht="16.5" customHeight="1">
      <c r="A35" s="11" t="s">
        <v>99</v>
      </c>
    </row>
    <row r="36" spans="1:1" ht="51.75" customHeight="1">
      <c r="A36" s="11" t="s">
        <v>100</v>
      </c>
    </row>
    <row r="37" spans="1:1" ht="39" customHeight="1">
      <c r="A37" s="11"/>
    </row>
    <row r="38" spans="1:1" ht="64.5" customHeight="1">
      <c r="A38" s="11" t="s">
        <v>101</v>
      </c>
    </row>
    <row r="39" spans="1:1" ht="15" customHeight="1">
      <c r="A39" s="11" t="s">
        <v>102</v>
      </c>
    </row>
    <row r="40" spans="1:1" ht="60" customHeight="1">
      <c r="A40" s="11"/>
    </row>
    <row r="41" spans="1:1" ht="51.75" customHeight="1">
      <c r="A41" s="13" t="s">
        <v>103</v>
      </c>
    </row>
    <row r="42" spans="1:1" ht="51.75" customHeight="1">
      <c r="A42" s="11" t="s">
        <v>104</v>
      </c>
    </row>
    <row r="43" spans="1:1" ht="64.5" customHeight="1">
      <c r="A43" s="11" t="s">
        <v>105</v>
      </c>
    </row>
    <row r="44" spans="1:1" ht="64.5" customHeight="1">
      <c r="A44" s="11" t="s">
        <v>106</v>
      </c>
    </row>
    <row r="45" spans="1:1" ht="15" customHeight="1">
      <c r="A45" s="11"/>
    </row>
    <row r="46" spans="1:1" ht="51.75" customHeight="1">
      <c r="A46" s="11" t="s">
        <v>107</v>
      </c>
    </row>
    <row r="47" spans="1:1" ht="64.5" customHeight="1">
      <c r="A47" s="11" t="s">
        <v>108</v>
      </c>
    </row>
    <row r="48" spans="1:1" ht="26.25" customHeight="1">
      <c r="A48" s="11" t="s">
        <v>109</v>
      </c>
    </row>
    <row r="49" spans="1:5" ht="26.25" customHeight="1">
      <c r="A49" s="11" t="s">
        <v>110</v>
      </c>
    </row>
    <row r="50" spans="1:5" ht="26.25" customHeight="1">
      <c r="A50" s="11" t="s">
        <v>111</v>
      </c>
    </row>
    <row r="51" spans="1:5" ht="26.25" customHeight="1">
      <c r="A51" s="11" t="s">
        <v>112</v>
      </c>
    </row>
    <row r="53" spans="1:5" ht="16.5" customHeight="1">
      <c r="A53" s="14" t="s">
        <v>113</v>
      </c>
    </row>
    <row r="54" spans="1:5" ht="15" customHeight="1">
      <c r="A54" s="5" t="s">
        <v>114</v>
      </c>
      <c r="B54" s="5" t="s">
        <v>82</v>
      </c>
      <c r="C54" s="5" t="s">
        <v>84</v>
      </c>
      <c r="D54" s="5" t="s">
        <v>86</v>
      </c>
      <c r="E54" s="5" t="s">
        <v>88</v>
      </c>
    </row>
    <row r="55" spans="1:5" ht="15" customHeight="1">
      <c r="A55" s="15" t="s">
        <v>115</v>
      </c>
      <c r="B55" s="9">
        <f>증량기록!C22</f>
        <v>62</v>
      </c>
      <c r="C55" s="9">
        <f>증량기록!E22</f>
        <v>67</v>
      </c>
      <c r="D55" s="9">
        <f>증량기록!G22</f>
        <v>35</v>
      </c>
      <c r="E55" s="9">
        <f>증량기록!I22</f>
        <v>28</v>
      </c>
    </row>
    <row r="56" spans="1:5" ht="15" customHeight="1">
      <c r="A56" s="8" t="s">
        <v>116</v>
      </c>
      <c r="B56" s="16">
        <f>증량기록!C23</f>
        <v>65</v>
      </c>
      <c r="C56" s="16">
        <f>증량기록!E23</f>
        <v>70</v>
      </c>
      <c r="D56" s="16">
        <f>증량기록!G23</f>
        <v>36</v>
      </c>
      <c r="E56" s="16">
        <f>증량기록!I23</f>
        <v>28</v>
      </c>
    </row>
    <row r="57" spans="1:5" ht="15" customHeight="1">
      <c r="A57" s="8" t="s">
        <v>117</v>
      </c>
      <c r="B57" s="16">
        <f>증량기록!C24</f>
        <v>67</v>
      </c>
      <c r="C57" s="16">
        <f>증량기록!E24</f>
        <v>72</v>
      </c>
      <c r="D57" s="16">
        <f>증량기록!G24</f>
        <v>37</v>
      </c>
      <c r="E57" s="16">
        <f>증량기록!I24</f>
        <v>30</v>
      </c>
    </row>
    <row r="58" spans="1:5" ht="15" customHeight="1">
      <c r="A58" s="8" t="s">
        <v>118</v>
      </c>
      <c r="B58" s="16">
        <f>증량기록!C25</f>
        <v>70</v>
      </c>
      <c r="C58" s="16">
        <f>증량기록!E25</f>
        <v>75</v>
      </c>
      <c r="D58" s="16">
        <f>증량기록!G25</f>
        <v>38</v>
      </c>
      <c r="E58" s="16">
        <f>증량기록!I25</f>
        <v>30</v>
      </c>
    </row>
    <row r="59" spans="1:5" ht="15" customHeight="1">
      <c r="A59" s="8" t="s">
        <v>119</v>
      </c>
      <c r="B59" s="16">
        <f>증량기록!C26</f>
        <v>72</v>
      </c>
      <c r="C59" s="16">
        <f>증량기록!E26</f>
        <v>77</v>
      </c>
      <c r="D59" s="16">
        <f>증량기록!G26</f>
        <v>40</v>
      </c>
      <c r="E59" s="16">
        <f>증량기록!I26</f>
        <v>31</v>
      </c>
    </row>
    <row r="60" spans="1:5" ht="15" customHeight="1">
      <c r="A60" s="8" t="s">
        <v>120</v>
      </c>
      <c r="B60" s="16">
        <f>증량기록!C27</f>
        <v>75</v>
      </c>
      <c r="C60" s="16">
        <f>증량기록!E27</f>
        <v>80</v>
      </c>
      <c r="D60" s="16">
        <f>증량기록!G27</f>
        <v>41</v>
      </c>
      <c r="E60" s="16">
        <f>증량기록!I27</f>
        <v>31</v>
      </c>
    </row>
    <row r="61" spans="1:5" ht="15" customHeight="1">
      <c r="A61" s="8" t="s">
        <v>121</v>
      </c>
      <c r="B61" s="16">
        <f>증량기록!C28</f>
        <v>77</v>
      </c>
      <c r="C61" s="16">
        <f>증량기록!E28</f>
        <v>82</v>
      </c>
      <c r="D61" s="16">
        <f>증량기록!G28</f>
        <v>42</v>
      </c>
      <c r="E61" s="16">
        <f>증량기록!I28</f>
        <v>32</v>
      </c>
    </row>
    <row r="62" spans="1:5" ht="15" customHeight="1">
      <c r="A62" s="8" t="s">
        <v>122</v>
      </c>
      <c r="B62" s="16">
        <f>증량기록!C29</f>
        <v>80</v>
      </c>
      <c r="C62" s="16">
        <f>증량기록!E29</f>
        <v>85</v>
      </c>
      <c r="D62" s="16">
        <f>증량기록!G29</f>
        <v>43</v>
      </c>
      <c r="E62" s="16">
        <f>증량기록!I29</f>
        <v>32</v>
      </c>
    </row>
    <row r="63" spans="1:5" ht="15" customHeight="1">
      <c r="A63" s="8" t="s">
        <v>123</v>
      </c>
      <c r="B63" s="16">
        <f>증량기록!C30</f>
        <v>82</v>
      </c>
      <c r="C63" s="16">
        <f>증량기록!E30</f>
        <v>87</v>
      </c>
      <c r="D63" s="16">
        <f>증량기록!G30</f>
        <v>45</v>
      </c>
      <c r="E63" s="16">
        <f>증량기록!I30</f>
        <v>33</v>
      </c>
    </row>
    <row r="64" spans="1:5" ht="15" customHeight="1">
      <c r="A64" s="8" t="s">
        <v>124</v>
      </c>
      <c r="B64" s="16">
        <f>증량기록!C31</f>
        <v>85</v>
      </c>
      <c r="C64" s="16">
        <f>증량기록!E31</f>
        <v>90</v>
      </c>
      <c r="D64" s="16">
        <f>증량기록!G31</f>
        <v>46</v>
      </c>
      <c r="E64" s="16">
        <f>증량기록!I31</f>
        <v>33</v>
      </c>
    </row>
    <row r="65" spans="1:5" ht="15" customHeight="1">
      <c r="A65" s="8" t="s">
        <v>125</v>
      </c>
      <c r="B65" s="16">
        <f>증량기록!C32</f>
        <v>87</v>
      </c>
      <c r="C65" s="16">
        <f>증량기록!E32</f>
        <v>92</v>
      </c>
      <c r="D65" s="16">
        <f>증량기록!G32</f>
        <v>47</v>
      </c>
      <c r="E65" s="16">
        <f>증량기록!I32</f>
        <v>35</v>
      </c>
    </row>
    <row r="66" spans="1:5" ht="15" customHeight="1">
      <c r="A66" s="8" t="s">
        <v>126</v>
      </c>
      <c r="B66" s="16">
        <f>증량기록!C33</f>
        <v>90</v>
      </c>
      <c r="C66" s="16">
        <f>증량기록!E33</f>
        <v>95</v>
      </c>
      <c r="D66" s="16">
        <f>증량기록!G33</f>
        <v>48</v>
      </c>
      <c r="E66" s="16">
        <f>증량기록!I33</f>
        <v>35</v>
      </c>
    </row>
    <row r="68" spans="1:5" ht="51.75" customHeight="1">
      <c r="A68" s="11" t="s">
        <v>127</v>
      </c>
    </row>
    <row r="70" spans="1:5">
      <c r="A70" t="s">
        <v>128</v>
      </c>
    </row>
    <row r="71" spans="1:5">
      <c r="A71" t="s">
        <v>129</v>
      </c>
      <c r="C71" s="100">
        <v>46228</v>
      </c>
      <c r="D71" t="s">
        <v>1243</v>
      </c>
    </row>
    <row r="72" spans="1:5">
      <c r="A72" t="s">
        <v>130</v>
      </c>
      <c r="C72" s="100">
        <v>46298</v>
      </c>
      <c r="D72" t="s">
        <v>1244</v>
      </c>
    </row>
    <row r="73" spans="1:5">
      <c r="A73" t="s">
        <v>131</v>
      </c>
      <c r="C73">
        <v>11</v>
      </c>
      <c r="D73" t="s">
        <v>132</v>
      </c>
    </row>
    <row r="74" spans="1:5">
      <c r="A74" t="s">
        <v>133</v>
      </c>
      <c r="C74">
        <v>1</v>
      </c>
      <c r="D74" t="s">
        <v>134</v>
      </c>
    </row>
    <row r="75" spans="1:5">
      <c r="A75" t="s">
        <v>1293</v>
      </c>
      <c r="C75" s="100">
        <v>46312</v>
      </c>
      <c r="D75" t="s">
        <v>1298</v>
      </c>
    </row>
    <row r="76" spans="1:5">
      <c r="A76" t="s">
        <v>1296</v>
      </c>
      <c r="C76" s="133">
        <v>7</v>
      </c>
      <c r="D76" t="s">
        <v>1297</v>
      </c>
    </row>
    <row r="77" spans="1:5">
      <c r="A77" t="s">
        <v>135</v>
      </c>
      <c r="C77" s="100">
        <v>46266</v>
      </c>
      <c r="D77" t="s">
        <v>136</v>
      </c>
    </row>
    <row r="78" spans="1:5">
      <c r="A78" t="s">
        <v>137</v>
      </c>
    </row>
    <row r="79" spans="1:5">
      <c r="A79" t="s">
        <v>138</v>
      </c>
    </row>
    <row r="80" spans="1:5">
      <c r="A80" t="s">
        <v>139</v>
      </c>
    </row>
    <row r="81" spans="1:1">
      <c r="A81" t="s">
        <v>1294</v>
      </c>
    </row>
    <row r="82" spans="1:1">
      <c r="A82" t="s">
        <v>140</v>
      </c>
    </row>
    <row r="83" spans="1:1">
      <c r="A83" t="s">
        <v>141</v>
      </c>
    </row>
    <row r="84" spans="1:1">
      <c r="A84" t="s">
        <v>1245</v>
      </c>
    </row>
    <row r="85" spans="1:1">
      <c r="A85" t="s">
        <v>1247</v>
      </c>
    </row>
    <row r="86" spans="1:1">
      <c r="A86" t="s">
        <v>1436</v>
      </c>
    </row>
    <row r="87" spans="1:1">
      <c r="A87" t="s">
        <v>1527</v>
      </c>
    </row>
    <row r="88" spans="1:1">
      <c r="A88" t="s">
        <v>1565</v>
      </c>
    </row>
    <row r="89" spans="1:1">
      <c r="A89" t="s">
        <v>1604</v>
      </c>
    </row>
    <row r="90" spans="1:1">
      <c r="A90" t="s">
        <v>1619</v>
      </c>
    </row>
  </sheetData>
  <phoneticPr fontId="29" type="noConversion"/>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01"/>
  <sheetViews>
    <sheetView zoomScaleNormal="100" workbookViewId="0"/>
  </sheetViews>
  <sheetFormatPr defaultColWidth="8.7109375" defaultRowHeight="15"/>
  <cols>
    <col min="1" max="1" width="8" customWidth="1"/>
    <col min="2" max="3" width="20" customWidth="1"/>
    <col min="4" max="5" width="28" customWidth="1"/>
    <col min="6" max="6" width="12" customWidth="1"/>
  </cols>
  <sheetData>
    <row r="1" spans="1:6" ht="18" customHeight="1">
      <c r="A1" s="17" t="s">
        <v>142</v>
      </c>
    </row>
    <row r="2" spans="1:6" ht="15" customHeight="1">
      <c r="A2" s="18" t="s">
        <v>143</v>
      </c>
    </row>
    <row r="4" spans="1:6" ht="15" customHeight="1">
      <c r="A4" s="19" t="s">
        <v>144</v>
      </c>
      <c r="B4" s="19" t="s">
        <v>145</v>
      </c>
      <c r="C4" s="19" t="s">
        <v>146</v>
      </c>
      <c r="D4" s="19" t="s">
        <v>147</v>
      </c>
      <c r="E4" s="19" t="s">
        <v>148</v>
      </c>
      <c r="F4" s="19" t="s">
        <v>149</v>
      </c>
    </row>
    <row r="5" spans="1:6" ht="15" customHeight="1">
      <c r="A5" s="20">
        <v>1</v>
      </c>
      <c r="B5" s="21" t="s">
        <v>150</v>
      </c>
      <c r="C5" s="22" t="s">
        <v>27</v>
      </c>
      <c r="D5" s="21" t="s">
        <v>151</v>
      </c>
      <c r="E5" s="20">
        <f>INDEX(D1_당기기A!$E:$E,MATCH("세트 합계",D1_당기기A!$D:$D,0))</f>
        <v>32</v>
      </c>
      <c r="F5" s="20" t="str">
        <f>"약 "&amp;INDEX(D1_당기기A!$I:$I,MATCH("세트 합계",D1_당기기A!$D:$D,0))&amp;"분"</f>
        <v>약 76분</v>
      </c>
    </row>
    <row r="6" spans="1:6" ht="15" customHeight="1">
      <c r="A6" s="20">
        <v>2</v>
      </c>
      <c r="B6" s="21" t="s">
        <v>152</v>
      </c>
      <c r="C6" s="22" t="s">
        <v>153</v>
      </c>
      <c r="D6" s="21" t="s">
        <v>154</v>
      </c>
      <c r="E6" s="20">
        <f>INDEX(D2_밀기A!$E:$E,MATCH("세트 합계",D2_밀기A!$D:$D,0))</f>
        <v>28</v>
      </c>
      <c r="F6" s="20" t="str">
        <f>"약 "&amp;INDEX(D2_밀기A!$I:$I,MATCH("세트 합계",D2_밀기A!$D:$D,0))&amp;"분"</f>
        <v>약 71분</v>
      </c>
    </row>
    <row r="7" spans="1:6" ht="15" customHeight="1">
      <c r="A7" s="20">
        <v>3</v>
      </c>
      <c r="B7" s="21" t="s">
        <v>155</v>
      </c>
      <c r="C7" s="22" t="s">
        <v>156</v>
      </c>
      <c r="D7" s="21" t="s">
        <v>157</v>
      </c>
      <c r="E7" s="20">
        <f>INDEX(D3_하체A!$E:$E,MATCH("세트 합계",D3_하체A!$D:$D,0))</f>
        <v>26</v>
      </c>
      <c r="F7" s="20" t="str">
        <f>"약 "&amp;INDEX(D3_하체A!$I:$I,MATCH("세트 합계",D3_하체A!$D:$D,0))&amp;"분"</f>
        <v>약 71분</v>
      </c>
    </row>
    <row r="8" spans="1:6" ht="15" customHeight="1">
      <c r="A8" s="20">
        <v>4</v>
      </c>
      <c r="B8" s="21" t="s">
        <v>158</v>
      </c>
      <c r="C8" s="22" t="s">
        <v>27</v>
      </c>
      <c r="D8" s="21" t="s">
        <v>159</v>
      </c>
      <c r="E8" s="20">
        <f>INDEX(D4_어깨팔A!$E:$E,MATCH("세트 합계",D4_어깨팔A!$D:$D,0))</f>
        <v>36</v>
      </c>
      <c r="F8" s="20" t="str">
        <f>"약 "&amp;INDEX(D4_어깨팔A!$I:$I,MATCH("세트 합계",D4_어깨팔A!$D:$D,0))&amp;"분"</f>
        <v>약 73분</v>
      </c>
    </row>
    <row r="9" spans="1:6" ht="15" customHeight="1">
      <c r="A9" s="23">
        <v>5</v>
      </c>
      <c r="B9" s="24" t="s">
        <v>160</v>
      </c>
      <c r="C9" s="25" t="s">
        <v>27</v>
      </c>
      <c r="D9" s="24" t="s">
        <v>27</v>
      </c>
      <c r="E9" s="23">
        <v>0</v>
      </c>
      <c r="F9" s="20" t="s">
        <v>27</v>
      </c>
    </row>
    <row r="10" spans="1:6" ht="15" customHeight="1">
      <c r="A10" s="20">
        <v>6</v>
      </c>
      <c r="B10" s="21" t="s">
        <v>161</v>
      </c>
      <c r="C10" s="22" t="s">
        <v>27</v>
      </c>
      <c r="D10" s="21" t="s">
        <v>162</v>
      </c>
      <c r="E10" s="20">
        <f>INDEX(D6_당기기B!$E:$E,MATCH("세트 합계",D6_당기기B!$D:$D,0))</f>
        <v>28</v>
      </c>
      <c r="F10" s="20" t="str">
        <f>"약 "&amp;INDEX(D6_당기기B!$I:$I,MATCH("세트 합계",D6_당기기B!$D:$D,0))&amp;"분"</f>
        <v>약 70분</v>
      </c>
    </row>
    <row r="11" spans="1:6" ht="15" customHeight="1">
      <c r="A11" s="20">
        <v>7</v>
      </c>
      <c r="B11" s="21" t="s">
        <v>163</v>
      </c>
      <c r="C11" s="22" t="s">
        <v>164</v>
      </c>
      <c r="D11" s="21" t="s">
        <v>165</v>
      </c>
      <c r="E11" s="20">
        <f>INDEX(D7_밀기B!$E:$E,MATCH("세트 합계",D7_밀기B!$D:$D,0))</f>
        <v>30</v>
      </c>
      <c r="F11" s="20" t="str">
        <f>"약 "&amp;INDEX(D7_밀기B!$I:$I,MATCH("세트 합계",D7_밀기B!$D:$D,0))&amp;"분"</f>
        <v>약 73분</v>
      </c>
    </row>
    <row r="12" spans="1:6" ht="15" customHeight="1">
      <c r="A12" s="20">
        <v>8</v>
      </c>
      <c r="B12" s="21" t="s">
        <v>166</v>
      </c>
      <c r="C12" s="22" t="s">
        <v>167</v>
      </c>
      <c r="D12" s="21" t="s">
        <v>168</v>
      </c>
      <c r="E12" s="20">
        <f>INDEX(D8_하체B!$E:$E,MATCH("세트 합계",D8_하체B!$D:$D,0))</f>
        <v>24</v>
      </c>
      <c r="F12" s="20" t="str">
        <f>"약 "&amp;INDEX(D8_하체B!$I:$I,MATCH("세트 합계",D8_하체B!$D:$D,0))&amp;"분"</f>
        <v>약 74분</v>
      </c>
    </row>
    <row r="13" spans="1:6" ht="15" customHeight="1">
      <c r="A13" s="20">
        <v>9</v>
      </c>
      <c r="B13" s="21" t="s">
        <v>169</v>
      </c>
      <c r="C13" s="22" t="s">
        <v>27</v>
      </c>
      <c r="D13" s="21" t="s">
        <v>170</v>
      </c>
      <c r="E13" s="20">
        <f>INDEX(D9_어깨팔B!$E:$E,MATCH("세트 합계",D9_어깨팔B!$D:$D,0))</f>
        <v>36</v>
      </c>
      <c r="F13" s="20" t="str">
        <f>"약 "&amp;INDEX(D9_어깨팔B!$I:$I,MATCH("세트 합계",D9_어깨팔B!$D:$D,0))&amp;"분"</f>
        <v>약 70분</v>
      </c>
    </row>
    <row r="14" spans="1:6">
      <c r="A14" s="23">
        <v>10</v>
      </c>
      <c r="B14" s="24" t="s">
        <v>160</v>
      </c>
      <c r="C14" s="25" t="s">
        <v>27</v>
      </c>
      <c r="D14" s="24" t="s">
        <v>27</v>
      </c>
      <c r="E14" s="23">
        <v>0</v>
      </c>
      <c r="F14" s="20" t="s">
        <v>27</v>
      </c>
    </row>
    <row r="15" spans="1:6" ht="16.5" customHeight="1">
      <c r="A15" s="27" t="s">
        <v>171</v>
      </c>
      <c r="B15" s="28"/>
      <c r="C15" s="29"/>
      <c r="D15" s="28"/>
      <c r="E15" s="27">
        <f>SUM(E5:E14)</f>
        <v>240</v>
      </c>
      <c r="F15" t="str">
        <f>"약 "&amp;(INDEX(D1_당기기A!$I:$I,MATCH("세트 합계",D1_당기기A!$D:$D,0))+INDEX(D2_밀기A!$I:$I,MATCH("세트 합계",D2_밀기A!$D:$D,0))+INDEX(D3_하체A!$I:$I,MATCH("세트 합계",D3_하체A!$D:$D,0))+INDEX(D4_어깨팔A!$I:$I,MATCH("세트 합계",D4_어깨팔A!$D:$D,0))+INDEX(D6_당기기B!$I:$I,MATCH("세트 합계",D6_당기기B!$D:$D,0))+INDEX(D7_밀기B!$I:$I,MATCH("세트 합계",D7_밀기B!$D:$D,0))+INDEX(D8_하체B!$I:$I,MATCH("세트 합계",D8_하체B!$D:$D,0))+INDEX(D9_어깨팔B!$I:$I,MATCH("세트 합계",D9_어깨팔B!$D:$D,0)))&amp;"분 ("&amp;INT((INDEX(D1_당기기A!$I:$I,MATCH("세트 합계",D1_당기기A!$D:$D,0))+INDEX(D2_밀기A!$I:$I,MATCH("세트 합계",D2_밀기A!$D:$D,0))+INDEX(D3_하체A!$I:$I,MATCH("세트 합계",D3_하체A!$D:$D,0))+INDEX(D4_어깨팔A!$I:$I,MATCH("세트 합계",D4_어깨팔A!$D:$D,0))+INDEX(D6_당기기B!$I:$I,MATCH("세트 합계",D6_당기기B!$D:$D,0))+INDEX(D7_밀기B!$I:$I,MATCH("세트 합계",D7_밀기B!$D:$D,0))+INDEX(D8_하체B!$I:$I,MATCH("세트 합계",D8_하체B!$D:$D,0))+INDEX(D9_어깨팔B!$I:$I,MATCH("세트 합계",D9_어깨팔B!$D:$D,0)))/60)&amp;"시간 "&amp;MOD((INDEX(D1_당기기A!$I:$I,MATCH("세트 합계",D1_당기기A!$D:$D,0))+INDEX(D2_밀기A!$I:$I,MATCH("세트 합계",D2_밀기A!$D:$D,0))+INDEX(D3_하체A!$I:$I,MATCH("세트 합계",D3_하체A!$D:$D,0))+INDEX(D4_어깨팔A!$I:$I,MATCH("세트 합계",D4_어깨팔A!$D:$D,0))+INDEX(D6_당기기B!$I:$I,MATCH("세트 합계",D6_당기기B!$D:$D,0))+INDEX(D7_밀기B!$I:$I,MATCH("세트 합계",D7_밀기B!$D:$D,0))+INDEX(D8_하체B!$I:$I,MATCH("세트 합계",D8_하체B!$D:$D,0))+INDEX(D9_어깨팔B!$I:$I,MATCH("세트 합계",D9_어깨팔B!$D:$D,0))),60)&amp;"분)"</f>
        <v>약 578분 (9시간 38분)</v>
      </c>
    </row>
    <row r="16" spans="1:6" ht="89.25" customHeight="1"/>
    <row r="17" spans="1:1" ht="76.5" customHeight="1">
      <c r="A17" s="13" t="s">
        <v>172</v>
      </c>
    </row>
    <row r="18" spans="1:1" ht="38.25" customHeight="1">
      <c r="A18" s="30" t="s">
        <v>173</v>
      </c>
    </row>
    <row r="19" spans="1:1" ht="114.75" customHeight="1">
      <c r="A19" s="30" t="s">
        <v>174</v>
      </c>
    </row>
    <row r="20" spans="1:1" ht="16.5" customHeight="1">
      <c r="A20" s="30" t="s">
        <v>175</v>
      </c>
    </row>
    <row r="21" spans="1:1" ht="16.5" customHeight="1">
      <c r="A21" s="30" t="s">
        <v>176</v>
      </c>
    </row>
    <row r="22" spans="1:1" ht="15" customHeight="1">
      <c r="A22" s="30" t="s">
        <v>177</v>
      </c>
    </row>
    <row r="23" spans="1:1" ht="15" customHeight="1">
      <c r="A23" s="30" t="s">
        <v>178</v>
      </c>
    </row>
    <row r="24" spans="1:1" ht="15" customHeight="1">
      <c r="A24" s="30" t="s">
        <v>179</v>
      </c>
    </row>
    <row r="25" spans="1:1" ht="15" customHeight="1">
      <c r="A25" s="31"/>
    </row>
    <row r="26" spans="1:1" ht="16.5" customHeight="1">
      <c r="A26" s="92" t="s">
        <v>180</v>
      </c>
    </row>
    <row r="27" spans="1:1" ht="15" customHeight="1">
      <c r="A27" t="s">
        <v>181</v>
      </c>
    </row>
    <row r="28" spans="1:1" ht="15" customHeight="1">
      <c r="A28" t="s">
        <v>182</v>
      </c>
    </row>
    <row r="29" spans="1:1" ht="79.5" customHeight="1">
      <c r="A29" t="s">
        <v>183</v>
      </c>
    </row>
    <row r="30" spans="1:1" ht="64.5" customHeight="1">
      <c r="A30" t="s">
        <v>184</v>
      </c>
    </row>
    <row r="31" spans="1:1" ht="90" customHeight="1">
      <c r="A31" t="s">
        <v>185</v>
      </c>
    </row>
    <row r="32" spans="1:1" ht="102.75" customHeight="1">
      <c r="A32" t="s">
        <v>186</v>
      </c>
    </row>
    <row r="33" spans="1:1" ht="100.5" customHeight="1">
      <c r="A33" t="s">
        <v>187</v>
      </c>
    </row>
    <row r="34" spans="1:1" ht="15" customHeight="1">
      <c r="A34" t="s">
        <v>188</v>
      </c>
    </row>
    <row r="35" spans="1:1" ht="90" customHeight="1">
      <c r="A35" t="s">
        <v>189</v>
      </c>
    </row>
    <row r="36" spans="1:1" ht="90" customHeight="1">
      <c r="A36" t="s">
        <v>190</v>
      </c>
    </row>
    <row r="37" spans="1:1" ht="90" customHeight="1">
      <c r="A37" t="s">
        <v>191</v>
      </c>
    </row>
    <row r="38" spans="1:1" ht="90" customHeight="1">
      <c r="A38" t="s">
        <v>192</v>
      </c>
    </row>
    <row r="39" spans="1:1" ht="90" customHeight="1">
      <c r="A39" t="s">
        <v>193</v>
      </c>
    </row>
    <row r="40" spans="1:1" ht="90" customHeight="1">
      <c r="A40" t="s">
        <v>194</v>
      </c>
    </row>
    <row r="41" spans="1:1" ht="51.75" customHeight="1">
      <c r="A41" s="13" t="s">
        <v>195</v>
      </c>
    </row>
    <row r="42" spans="1:1" ht="77.25" customHeight="1">
      <c r="A42" s="30" t="s">
        <v>196</v>
      </c>
    </row>
    <row r="43" spans="1:1" ht="64.5" customHeight="1">
      <c r="A43" s="30" t="s">
        <v>197</v>
      </c>
    </row>
    <row r="44" spans="1:1" ht="16.5" customHeight="1">
      <c r="A44" s="30" t="s">
        <v>198</v>
      </c>
    </row>
    <row r="45" spans="1:1" ht="16.5" customHeight="1">
      <c r="A45" s="30" t="s">
        <v>199</v>
      </c>
    </row>
    <row r="46" spans="1:1" ht="16.5" customHeight="1">
      <c r="A46" s="30" t="s">
        <v>200</v>
      </c>
    </row>
    <row r="47" spans="1:1" ht="242.25" customHeight="1">
      <c r="A47" s="30"/>
    </row>
    <row r="48" spans="1:1" ht="270.75" customHeight="1">
      <c r="A48" s="13" t="s">
        <v>201</v>
      </c>
    </row>
    <row r="49" spans="1:1" ht="242.25" customHeight="1">
      <c r="A49" s="30" t="s">
        <v>202</v>
      </c>
    </row>
    <row r="50" spans="1:1" ht="199.5" customHeight="1">
      <c r="A50" s="30" t="s">
        <v>203</v>
      </c>
    </row>
    <row r="51" spans="1:1" ht="185.25" customHeight="1">
      <c r="A51" s="30" t="s">
        <v>204</v>
      </c>
    </row>
    <row r="52" spans="1:1" ht="199.5" customHeight="1">
      <c r="A52" s="30" t="s">
        <v>205</v>
      </c>
    </row>
    <row r="53" spans="1:1" ht="185.25" customHeight="1">
      <c r="A53" s="30" t="s">
        <v>206</v>
      </c>
    </row>
    <row r="54" spans="1:1" ht="327.75" customHeight="1">
      <c r="A54" s="30" t="s">
        <v>207</v>
      </c>
    </row>
    <row r="55" spans="1:1" ht="256.5" customHeight="1">
      <c r="A55" s="32"/>
    </row>
    <row r="56" spans="1:1" ht="409.5" customHeight="1">
      <c r="A56" s="13" t="s">
        <v>208</v>
      </c>
    </row>
    <row r="57" spans="1:1" ht="370.5" customHeight="1">
      <c r="A57" s="30" t="s">
        <v>209</v>
      </c>
    </row>
    <row r="58" spans="1:1" ht="409.5" customHeight="1">
      <c r="A58" s="30" t="s">
        <v>210</v>
      </c>
    </row>
    <row r="59" spans="1:1" ht="370.5" customHeight="1">
      <c r="A59" s="30" t="s">
        <v>211</v>
      </c>
    </row>
    <row r="60" spans="1:1" ht="185.25" customHeight="1">
      <c r="A60" s="30" t="s">
        <v>212</v>
      </c>
    </row>
    <row r="61" spans="1:1" ht="60" customHeight="1">
      <c r="A61" s="31"/>
    </row>
    <row r="62" spans="1:1" ht="256.5" customHeight="1">
      <c r="A62" s="13" t="s">
        <v>213</v>
      </c>
    </row>
    <row r="63" spans="1:1" ht="327.75" customHeight="1">
      <c r="A63" s="30" t="s">
        <v>214</v>
      </c>
    </row>
    <row r="64" spans="1:1" ht="256.5" customHeight="1">
      <c r="A64" s="30" t="s">
        <v>215</v>
      </c>
    </row>
    <row r="65" spans="1:1" ht="409.5" customHeight="1">
      <c r="A65" s="30" t="s">
        <v>216</v>
      </c>
    </row>
    <row r="66" spans="1:1" ht="370.5" customHeight="1">
      <c r="A66" s="30" t="s">
        <v>217</v>
      </c>
    </row>
    <row r="67" spans="1:1" ht="285" customHeight="1">
      <c r="A67" s="30" t="s">
        <v>218</v>
      </c>
    </row>
    <row r="68" spans="1:1" ht="90" customHeight="1">
      <c r="A68" s="30" t="s">
        <v>219</v>
      </c>
    </row>
    <row r="69" spans="1:1" ht="313.5" customHeight="1">
      <c r="A69" s="13" t="s">
        <v>220</v>
      </c>
    </row>
    <row r="70" spans="1:1" ht="370.5" customHeight="1">
      <c r="A70" s="30" t="s">
        <v>221</v>
      </c>
    </row>
    <row r="71" spans="1:1" ht="285" customHeight="1">
      <c r="A71" s="30" t="s">
        <v>222</v>
      </c>
    </row>
    <row r="72" spans="1:1" ht="370.5" customHeight="1"/>
    <row r="73" spans="1:1" ht="256.5" customHeight="1">
      <c r="A73" s="13" t="s">
        <v>223</v>
      </c>
    </row>
    <row r="74" spans="1:1" ht="327.75" customHeight="1">
      <c r="A74" s="30" t="s">
        <v>224</v>
      </c>
    </row>
    <row r="75" spans="1:1" ht="327.75" customHeight="1">
      <c r="A75" s="30" t="s">
        <v>225</v>
      </c>
    </row>
    <row r="76" spans="1:1" ht="299.25" customHeight="1">
      <c r="A76" s="30" t="s">
        <v>226</v>
      </c>
    </row>
    <row r="77" spans="1:1" ht="327.75" customHeight="1">
      <c r="A77" s="30" t="s">
        <v>227</v>
      </c>
    </row>
    <row r="78" spans="1:1" ht="90" customHeight="1"/>
    <row r="79" spans="1:1" ht="75" customHeight="1">
      <c r="A79" s="13" t="s">
        <v>228</v>
      </c>
    </row>
    <row r="80" spans="1:1" ht="327.75" customHeight="1">
      <c r="A80" s="30" t="s">
        <v>229</v>
      </c>
    </row>
    <row r="81" spans="1:1" ht="356.25" customHeight="1">
      <c r="A81" s="30" t="s">
        <v>230</v>
      </c>
    </row>
    <row r="82" spans="1:1" ht="270.75" customHeight="1">
      <c r="A82" s="30" t="s">
        <v>231</v>
      </c>
    </row>
    <row r="83" spans="1:1" ht="313.5" customHeight="1">
      <c r="A83" s="30" t="s">
        <v>232</v>
      </c>
    </row>
    <row r="84" spans="1:1" ht="142.5" customHeight="1">
      <c r="A84" s="30" t="s">
        <v>233</v>
      </c>
    </row>
    <row r="85" spans="1:1" ht="242.25" customHeight="1">
      <c r="A85" s="30" t="s">
        <v>234</v>
      </c>
    </row>
    <row r="86" spans="1:1" ht="299.25" customHeight="1">
      <c r="A86" s="30" t="s">
        <v>235</v>
      </c>
    </row>
    <row r="87" spans="1:1" ht="327.75" customHeight="1">
      <c r="A87" s="30" t="s">
        <v>236</v>
      </c>
    </row>
    <row r="88" spans="1:1" ht="327.75" customHeight="1">
      <c r="A88" s="30" t="s">
        <v>237</v>
      </c>
    </row>
    <row r="89" spans="1:1" ht="75" customHeight="1"/>
    <row r="90" spans="1:1" ht="327.75" customHeight="1">
      <c r="A90" s="13" t="s">
        <v>238</v>
      </c>
    </row>
    <row r="91" spans="1:1" ht="356.25" customHeight="1">
      <c r="A91" s="30" t="s">
        <v>239</v>
      </c>
    </row>
    <row r="92" spans="1:1" ht="270.75" customHeight="1">
      <c r="A92" s="30" t="s">
        <v>240</v>
      </c>
    </row>
    <row r="93" spans="1:1" ht="313.5" customHeight="1">
      <c r="A93" s="30" t="s">
        <v>241</v>
      </c>
    </row>
    <row r="94" spans="1:1" ht="142.5" customHeight="1">
      <c r="A94" s="30" t="s">
        <v>242</v>
      </c>
    </row>
    <row r="95" spans="1:1" ht="242.25" customHeight="1">
      <c r="A95" s="30" t="s">
        <v>243</v>
      </c>
    </row>
    <row r="96" spans="1:1" ht="242.25" customHeight="1">
      <c r="A96" s="30" t="s">
        <v>244</v>
      </c>
    </row>
    <row r="98" spans="1:1">
      <c r="A98" s="99" t="s">
        <v>245</v>
      </c>
    </row>
    <row r="99" spans="1:1">
      <c r="A99" t="s">
        <v>246</v>
      </c>
    </row>
    <row r="100" spans="1:1">
      <c r="A100" t="s">
        <v>247</v>
      </c>
    </row>
    <row r="101" spans="1:1">
      <c r="A101" t="s">
        <v>248</v>
      </c>
    </row>
  </sheetData>
  <phoneticPr fontId="29" type="noConversion"/>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34"/>
  <sheetViews>
    <sheetView zoomScaleNormal="100" workbookViewId="0">
      <pane ySplit="5" topLeftCell="A6" activePane="bottomLeft" state="frozen"/>
      <selection pane="bottomLeft" activeCell="I27" sqref="I27"/>
    </sheetView>
  </sheetViews>
  <sheetFormatPr defaultColWidth="8.7109375" defaultRowHeight="15"/>
  <cols>
    <col min="1" max="1" width="5.5703125" customWidth="1"/>
    <col min="2" max="2" width="30" customWidth="1"/>
    <col min="3" max="3" width="20" customWidth="1"/>
    <col min="4" max="4" width="12" customWidth="1"/>
    <col min="5" max="5" width="8" customWidth="1"/>
    <col min="6" max="6" width="12" customWidth="1"/>
    <col min="7" max="9" width="9.42578125" customWidth="1"/>
    <col min="10" max="11" width="11" customWidth="1"/>
    <col min="13" max="13" width="24" customWidth="1"/>
    <col min="14" max="14" width="11" customWidth="1"/>
    <col min="15" max="15" width="9.42578125" customWidth="1"/>
  </cols>
  <sheetData>
    <row r="1" spans="1:15" ht="19.5" customHeight="1">
      <c r="A1" s="17" t="s">
        <v>249</v>
      </c>
    </row>
    <row r="2" spans="1:15" ht="16.5" customHeight="1">
      <c r="A2" s="18" t="s">
        <v>250</v>
      </c>
    </row>
    <row r="3" spans="1:15">
      <c r="A3" s="33" t="s">
        <v>251</v>
      </c>
    </row>
    <row r="4" spans="1:15" ht="15" customHeight="1">
      <c r="A4" s="3" t="s">
        <v>252</v>
      </c>
    </row>
    <row r="5" spans="1:15" ht="16.5" customHeight="1">
      <c r="A5" s="34" t="s">
        <v>253</v>
      </c>
      <c r="B5" s="35" t="s">
        <v>76</v>
      </c>
      <c r="C5" s="35" t="s">
        <v>254</v>
      </c>
      <c r="D5" s="35" t="s">
        <v>255</v>
      </c>
      <c r="E5" s="35" t="s">
        <v>148</v>
      </c>
      <c r="F5" s="35" t="s">
        <v>256</v>
      </c>
      <c r="G5" s="35" t="s">
        <v>257</v>
      </c>
      <c r="H5" s="35" t="s">
        <v>258</v>
      </c>
      <c r="I5" s="35" t="s">
        <v>259</v>
      </c>
      <c r="J5" s="35" t="s">
        <v>260</v>
      </c>
      <c r="K5" s="35" t="s">
        <v>261</v>
      </c>
      <c r="L5" s="35" t="s">
        <v>262</v>
      </c>
      <c r="M5" s="35" t="s">
        <v>263</v>
      </c>
      <c r="N5" s="35" t="s">
        <v>264</v>
      </c>
      <c r="O5" s="35" t="s">
        <v>265</v>
      </c>
    </row>
    <row r="6" spans="1:15" ht="16.5" customHeight="1">
      <c r="A6" s="20">
        <v>1</v>
      </c>
      <c r="B6" s="21" t="s">
        <v>266</v>
      </c>
      <c r="C6" s="20" t="s">
        <v>267</v>
      </c>
      <c r="D6" s="20">
        <v>60</v>
      </c>
      <c r="E6" s="20">
        <v>4</v>
      </c>
      <c r="F6" s="26" t="s">
        <v>268</v>
      </c>
      <c r="G6" s="26">
        <v>35</v>
      </c>
      <c r="H6" s="26">
        <v>155</v>
      </c>
      <c r="I6" s="26">
        <f t="shared" ref="I6:I16" si="0">IF(E6=0,0,ROUND((E6*(G6+H6)+O6)/60,1))</f>
        <v>12.7</v>
      </c>
      <c r="J6" s="21" t="s">
        <v>269</v>
      </c>
      <c r="K6" s="21" t="s">
        <v>270</v>
      </c>
      <c r="L6" s="21" t="s">
        <v>271</v>
      </c>
      <c r="M6" s="26" t="s">
        <v>272</v>
      </c>
      <c r="O6" s="26"/>
    </row>
    <row r="7" spans="1:15" ht="16.5" customHeight="1">
      <c r="A7" s="20">
        <v>2</v>
      </c>
      <c r="B7" s="21" t="s">
        <v>273</v>
      </c>
      <c r="C7" s="20" t="s">
        <v>267</v>
      </c>
      <c r="D7" s="26">
        <v>40</v>
      </c>
      <c r="E7" s="20">
        <v>3</v>
      </c>
      <c r="F7" s="26" t="s">
        <v>274</v>
      </c>
      <c r="G7" s="26">
        <v>40</v>
      </c>
      <c r="H7" s="26">
        <v>120</v>
      </c>
      <c r="I7" s="26">
        <f t="shared" si="0"/>
        <v>8</v>
      </c>
      <c r="J7" s="21" t="s">
        <v>269</v>
      </c>
      <c r="K7" s="36" t="s">
        <v>275</v>
      </c>
      <c r="L7" s="21" t="s">
        <v>276</v>
      </c>
      <c r="O7" s="26"/>
    </row>
    <row r="8" spans="1:15" ht="16.5" customHeight="1">
      <c r="A8" s="20">
        <v>3</v>
      </c>
      <c r="B8" s="21" t="s">
        <v>277</v>
      </c>
      <c r="C8" s="20" t="s">
        <v>267</v>
      </c>
      <c r="D8" s="26">
        <v>20</v>
      </c>
      <c r="E8" s="20">
        <v>2</v>
      </c>
      <c r="F8" s="26" t="s">
        <v>278</v>
      </c>
      <c r="G8" s="26">
        <v>80</v>
      </c>
      <c r="H8" s="26">
        <v>120</v>
      </c>
      <c r="I8" s="26">
        <f t="shared" si="0"/>
        <v>8.6999999999999993</v>
      </c>
      <c r="J8" s="21" t="s">
        <v>269</v>
      </c>
      <c r="K8" s="36" t="s">
        <v>279</v>
      </c>
      <c r="L8" s="21" t="s">
        <v>280</v>
      </c>
      <c r="O8" s="26">
        <v>120</v>
      </c>
    </row>
    <row r="9" spans="1:15" ht="16.5" customHeight="1">
      <c r="A9" s="20">
        <v>4</v>
      </c>
      <c r="B9" s="36" t="s">
        <v>281</v>
      </c>
      <c r="C9" s="42" t="s">
        <v>282</v>
      </c>
      <c r="D9" s="20" t="s">
        <v>283</v>
      </c>
      <c r="E9" s="20">
        <v>4</v>
      </c>
      <c r="F9" s="26" t="s">
        <v>284</v>
      </c>
      <c r="G9" s="26">
        <v>40</v>
      </c>
      <c r="H9" s="26">
        <v>120</v>
      </c>
      <c r="I9" s="26">
        <f t="shared" si="0"/>
        <v>10.7</v>
      </c>
      <c r="J9" s="21" t="s">
        <v>285</v>
      </c>
      <c r="K9" s="21" t="s">
        <v>286</v>
      </c>
      <c r="L9" s="21" t="s">
        <v>287</v>
      </c>
      <c r="O9" s="26"/>
    </row>
    <row r="10" spans="1:15" ht="16.5" customHeight="1">
      <c r="A10" s="20">
        <v>5</v>
      </c>
      <c r="B10" s="36" t="s">
        <v>288</v>
      </c>
      <c r="C10" s="20" t="s">
        <v>282</v>
      </c>
      <c r="D10" s="20">
        <v>12.5</v>
      </c>
      <c r="E10" s="20">
        <v>3</v>
      </c>
      <c r="F10" s="26" t="s">
        <v>289</v>
      </c>
      <c r="G10" s="26">
        <v>45</v>
      </c>
      <c r="H10" s="26">
        <v>60</v>
      </c>
      <c r="I10" s="26">
        <f t="shared" si="0"/>
        <v>5.3</v>
      </c>
      <c r="J10" s="21" t="s">
        <v>290</v>
      </c>
      <c r="K10" s="21" t="s">
        <v>291</v>
      </c>
      <c r="L10" s="21" t="s">
        <v>292</v>
      </c>
      <c r="O10" s="26"/>
    </row>
    <row r="11" spans="1:15" ht="16.5" customHeight="1">
      <c r="A11" s="20">
        <v>6</v>
      </c>
      <c r="B11" s="21" t="s">
        <v>293</v>
      </c>
      <c r="C11" s="20" t="s">
        <v>269</v>
      </c>
      <c r="D11" s="26" t="s">
        <v>294</v>
      </c>
      <c r="E11" s="20">
        <v>0</v>
      </c>
      <c r="F11" s="26" t="s">
        <v>274</v>
      </c>
      <c r="G11" s="26">
        <v>40</v>
      </c>
      <c r="H11" s="26">
        <v>70</v>
      </c>
      <c r="I11" s="26">
        <f t="shared" si="0"/>
        <v>0</v>
      </c>
      <c r="J11" s="21" t="s">
        <v>295</v>
      </c>
      <c r="K11" s="21" t="s">
        <v>296</v>
      </c>
      <c r="L11" s="22" t="s">
        <v>297</v>
      </c>
      <c r="O11" s="26"/>
    </row>
    <row r="12" spans="1:15" ht="16.5" customHeight="1">
      <c r="A12" s="20">
        <v>7</v>
      </c>
      <c r="B12" s="70" t="s">
        <v>298</v>
      </c>
      <c r="C12" s="20" t="s">
        <v>299</v>
      </c>
      <c r="D12" s="20" t="s">
        <v>283</v>
      </c>
      <c r="E12" s="20">
        <v>4</v>
      </c>
      <c r="F12" s="26" t="s">
        <v>289</v>
      </c>
      <c r="G12" s="26">
        <v>40</v>
      </c>
      <c r="H12" s="26">
        <v>60</v>
      </c>
      <c r="I12" s="26">
        <f t="shared" si="0"/>
        <v>6.7</v>
      </c>
      <c r="J12" s="21"/>
      <c r="K12" s="21" t="s">
        <v>300</v>
      </c>
      <c r="L12" s="75" t="s">
        <v>301</v>
      </c>
      <c r="O12" s="26"/>
    </row>
    <row r="13" spans="1:15" ht="16.5" customHeight="1">
      <c r="A13" s="20">
        <v>8</v>
      </c>
      <c r="B13" s="70" t="s">
        <v>302</v>
      </c>
      <c r="C13" s="20" t="s">
        <v>299</v>
      </c>
      <c r="D13" s="20" t="s">
        <v>303</v>
      </c>
      <c r="E13" s="20">
        <v>3</v>
      </c>
      <c r="F13" s="26" t="s">
        <v>304</v>
      </c>
      <c r="G13" s="26">
        <v>70</v>
      </c>
      <c r="H13" s="26">
        <v>60</v>
      </c>
      <c r="I13" s="26">
        <f t="shared" si="0"/>
        <v>6.5</v>
      </c>
      <c r="J13" s="21"/>
      <c r="K13" s="21" t="s">
        <v>305</v>
      </c>
      <c r="L13" s="75" t="s">
        <v>306</v>
      </c>
      <c r="O13" s="26"/>
    </row>
    <row r="14" spans="1:15" ht="15" customHeight="1">
      <c r="A14" s="20">
        <v>9</v>
      </c>
      <c r="B14" s="70" t="s">
        <v>307</v>
      </c>
      <c r="C14" s="20" t="s">
        <v>308</v>
      </c>
      <c r="D14" s="20" t="s">
        <v>309</v>
      </c>
      <c r="E14" s="20">
        <v>3</v>
      </c>
      <c r="F14" s="26" t="s">
        <v>289</v>
      </c>
      <c r="G14" s="26">
        <v>40</v>
      </c>
      <c r="H14" s="26">
        <v>75</v>
      </c>
      <c r="I14" s="26">
        <f t="shared" si="0"/>
        <v>5.8</v>
      </c>
      <c r="J14" s="21"/>
      <c r="K14" s="21" t="s">
        <v>310</v>
      </c>
      <c r="L14" s="75" t="s">
        <v>311</v>
      </c>
      <c r="O14" s="26"/>
    </row>
    <row r="15" spans="1:15" ht="15" customHeight="1">
      <c r="A15" s="20">
        <v>10</v>
      </c>
      <c r="B15" s="21" t="s">
        <v>312</v>
      </c>
      <c r="C15" s="20" t="s">
        <v>313</v>
      </c>
      <c r="D15" s="20">
        <v>20</v>
      </c>
      <c r="E15" s="20">
        <v>3</v>
      </c>
      <c r="F15" s="26" t="s">
        <v>314</v>
      </c>
      <c r="G15" s="26">
        <v>45</v>
      </c>
      <c r="H15" s="26">
        <v>90</v>
      </c>
      <c r="I15" s="26">
        <f t="shared" si="0"/>
        <v>6.8</v>
      </c>
      <c r="J15" s="21" t="s">
        <v>315</v>
      </c>
      <c r="K15" s="36" t="s">
        <v>316</v>
      </c>
      <c r="L15" s="36" t="s">
        <v>317</v>
      </c>
      <c r="O15" s="26"/>
    </row>
    <row r="16" spans="1:15" ht="15" customHeight="1">
      <c r="A16" s="20">
        <v>11</v>
      </c>
      <c r="B16" s="21" t="s">
        <v>318</v>
      </c>
      <c r="C16" s="20" t="s">
        <v>313</v>
      </c>
      <c r="D16" s="20" t="s">
        <v>283</v>
      </c>
      <c r="E16" s="20">
        <v>3</v>
      </c>
      <c r="F16" s="26" t="s">
        <v>289</v>
      </c>
      <c r="G16" s="26">
        <v>40</v>
      </c>
      <c r="H16" s="26">
        <v>60</v>
      </c>
      <c r="I16" s="26">
        <f t="shared" si="0"/>
        <v>5</v>
      </c>
      <c r="J16" s="21"/>
      <c r="K16" s="36" t="s">
        <v>319</v>
      </c>
      <c r="L16" s="36" t="s">
        <v>320</v>
      </c>
      <c r="O16" s="26"/>
    </row>
    <row r="17" spans="1:12" ht="15" customHeight="1">
      <c r="A17" s="20"/>
      <c r="B17" s="21"/>
      <c r="C17" s="20"/>
      <c r="D17" s="20" t="s">
        <v>321</v>
      </c>
      <c r="E17" s="20">
        <f>SUM(E6:E16)</f>
        <v>32</v>
      </c>
      <c r="F17" s="26"/>
      <c r="G17" s="26"/>
      <c r="H17" s="26"/>
      <c r="I17" s="26">
        <f>ROUND(SUM(I6:I16),0)</f>
        <v>76</v>
      </c>
      <c r="J17" s="21"/>
      <c r="K17" s="36"/>
      <c r="L17" s="36"/>
    </row>
    <row r="18" spans="1:12" ht="15" customHeight="1"/>
    <row r="19" spans="1:12">
      <c r="A19" t="s">
        <v>322</v>
      </c>
    </row>
    <row r="20" spans="1:12">
      <c r="A20" t="s">
        <v>323</v>
      </c>
    </row>
    <row r="22" spans="1:12">
      <c r="A22" s="99" t="s">
        <v>245</v>
      </c>
    </row>
    <row r="23" spans="1:12">
      <c r="A23" t="s">
        <v>324</v>
      </c>
    </row>
    <row r="24" spans="1:12">
      <c r="A24" t="s">
        <v>325</v>
      </c>
    </row>
    <row r="26" spans="1:12">
      <c r="B26" s="36"/>
    </row>
    <row r="34" spans="10:10">
      <c r="J34" t="s">
        <v>326</v>
      </c>
    </row>
  </sheetData>
  <phoneticPr fontId="29" type="noConversion"/>
  <conditionalFormatting sqref="A6:O16">
    <cfRule type="expression" dxfId="10" priority="1">
      <formula>$E6=0</formula>
    </cfRule>
  </conditionalFormatting>
  <hyperlinks>
    <hyperlink ref="L14" r:id="rId1" xr:uid="{00000000-0004-0000-0200-000000000000}"/>
  </hyperlink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29"/>
  <sheetViews>
    <sheetView zoomScaleNormal="100" workbookViewId="0">
      <pane ySplit="19" topLeftCell="A20" activePane="bottomLeft" state="frozen"/>
      <selection pane="bottomLeft" activeCell="D21" sqref="D21"/>
    </sheetView>
  </sheetViews>
  <sheetFormatPr defaultColWidth="8.7109375" defaultRowHeight="15"/>
  <cols>
    <col min="1" max="1" width="5.5703125" customWidth="1"/>
    <col min="2" max="2" width="30" customWidth="1"/>
    <col min="3" max="3" width="20" customWidth="1"/>
    <col min="4" max="4" width="12" customWidth="1"/>
    <col min="5" max="5" width="8" customWidth="1"/>
    <col min="6" max="6" width="12" customWidth="1"/>
    <col min="7" max="9" width="9.42578125" customWidth="1"/>
    <col min="10" max="11" width="11" customWidth="1"/>
    <col min="13" max="13" width="24" customWidth="1"/>
    <col min="14" max="14" width="11" customWidth="1"/>
    <col min="15" max="15" width="9.42578125" customWidth="1"/>
  </cols>
  <sheetData>
    <row r="1" spans="1:3" ht="19.5" customHeight="1">
      <c r="A1" s="17" t="s">
        <v>327</v>
      </c>
    </row>
    <row r="2" spans="1:3" ht="16.5" customHeight="1">
      <c r="A2" s="18" t="s">
        <v>328</v>
      </c>
    </row>
    <row r="4" spans="1:3" ht="16.5" customHeight="1">
      <c r="A4" s="3" t="s">
        <v>329</v>
      </c>
    </row>
    <row r="5" spans="1:3" ht="16.5" customHeight="1">
      <c r="A5" s="19" t="s">
        <v>255</v>
      </c>
      <c r="B5" s="19" t="s">
        <v>330</v>
      </c>
      <c r="C5" s="19" t="s">
        <v>148</v>
      </c>
    </row>
    <row r="6" spans="1:3" ht="15" customHeight="1">
      <c r="A6" s="20">
        <f>MAX(20,(MROUND(시작중량_설정!$E$9*0.4,1)+(MOD(MROUND(시작중량_설정!$E$9*0.4,1),5)=4)))</f>
        <v>20</v>
      </c>
      <c r="B6" s="20">
        <v>5</v>
      </c>
      <c r="C6" s="20">
        <v>2</v>
      </c>
    </row>
    <row r="7" spans="1:3" ht="15" customHeight="1">
      <c r="A7" s="20">
        <f>IF(MAX(20,(MROUND(시작중량_설정!$E$9*0.6,1)+(MOD(MROUND(시작중량_설정!$E$9*0.6,1),5)=4)))&lt;=MAX(20,(MROUND(시작중량_설정!$E$9*0.4,1)+(MOD(MROUND(시작중량_설정!$E$9*0.4,1),5)=4))),"생략",MAX(20,(MROUND(시작중량_설정!$E$9*0.6,1)+(MOD(MROUND(시작중량_설정!$E$9*0.6,1),5)=4))))</f>
        <v>25</v>
      </c>
      <c r="B7" s="20">
        <v>5</v>
      </c>
      <c r="C7" s="20">
        <v>1</v>
      </c>
    </row>
    <row r="8" spans="1:3" ht="15" customHeight="1">
      <c r="A8" s="20">
        <f>IF(MAX(20,(MROUND(시작중량_설정!$E$9*0.75,1)+(MOD(MROUND(시작중량_설정!$E$9*0.75,1),5)=4)))&lt;=MAX(20,(MROUND(시작중량_설정!$E$9*0.6,1)+(MOD(MROUND(시작중량_설정!$E$9*0.6,1),5)=4))),"생략",MAX(20,(MROUND(시작중량_설정!$E$9*0.75,1)+(MOD(MROUND(시작중량_설정!$E$9*0.75,1),5)=4))))</f>
        <v>31</v>
      </c>
      <c r="B8" s="20">
        <v>3</v>
      </c>
      <c r="C8" s="20">
        <v>1</v>
      </c>
    </row>
    <row r="9" spans="1:3" ht="15" customHeight="1">
      <c r="A9" s="20">
        <f>IF(MAX(20,(MROUND(시작중량_설정!$E$9*0.9,1)+(MOD(MROUND(시작중량_설정!$E$9*0.9,1),5)=4)))&lt;=MAX(20,(MROUND(시작중량_설정!$E$9*0.75,1)+(MOD(MROUND(시작중량_설정!$E$9*0.75,1),5)=4))),"생략",MAX(20,(MROUND(시작중량_설정!$E$9*0.9,1)+(MOD(MROUND(시작중량_설정!$E$9*0.9,1),5)=4))))</f>
        <v>37</v>
      </c>
      <c r="B9" s="20">
        <v>2</v>
      </c>
      <c r="C9" s="20">
        <v>1</v>
      </c>
    </row>
    <row r="10" spans="1:3" ht="15" customHeight="1">
      <c r="A10" s="37">
        <f>시작중량_설정!$E$9</f>
        <v>41</v>
      </c>
      <c r="B10" s="27">
        <v>5</v>
      </c>
      <c r="C10" s="27">
        <v>5</v>
      </c>
    </row>
    <row r="11" spans="1:3" ht="16.5" customHeight="1">
      <c r="A11" s="31" t="s">
        <v>331</v>
      </c>
    </row>
    <row r="13" spans="1:3" ht="16.5" customHeight="1">
      <c r="A13" s="3" t="s">
        <v>332</v>
      </c>
    </row>
    <row r="14" spans="1:3" ht="16.5" customHeight="1">
      <c r="A14" s="31" t="s">
        <v>333</v>
      </c>
    </row>
    <row r="15" spans="1:3" ht="16.5" customHeight="1">
      <c r="A15" s="31" t="s">
        <v>334</v>
      </c>
    </row>
    <row r="16" spans="1:3" ht="16.5" customHeight="1">
      <c r="A16" s="31" t="s">
        <v>335</v>
      </c>
    </row>
    <row r="18" spans="1:15" ht="15" customHeight="1">
      <c r="A18" s="3" t="s">
        <v>252</v>
      </c>
    </row>
    <row r="19" spans="1:15" ht="16.5" customHeight="1">
      <c r="A19" s="34" t="s">
        <v>253</v>
      </c>
      <c r="B19" s="35" t="s">
        <v>76</v>
      </c>
      <c r="C19" s="35" t="s">
        <v>254</v>
      </c>
      <c r="D19" s="35" t="s">
        <v>255</v>
      </c>
      <c r="E19" s="35" t="s">
        <v>148</v>
      </c>
      <c r="F19" s="35" t="s">
        <v>256</v>
      </c>
      <c r="G19" s="35" t="s">
        <v>257</v>
      </c>
      <c r="H19" s="35" t="s">
        <v>258</v>
      </c>
      <c r="I19" s="35" t="s">
        <v>259</v>
      </c>
      <c r="J19" s="35" t="s">
        <v>260</v>
      </c>
      <c r="K19" s="35" t="s">
        <v>261</v>
      </c>
      <c r="L19" s="35" t="s">
        <v>262</v>
      </c>
      <c r="M19" s="35" t="s">
        <v>263</v>
      </c>
      <c r="N19" s="35" t="s">
        <v>264</v>
      </c>
      <c r="O19" s="35" t="s">
        <v>265</v>
      </c>
    </row>
    <row r="20" spans="1:15" ht="16.5" customHeight="1">
      <c r="A20" s="38">
        <v>1</v>
      </c>
      <c r="B20" s="39" t="s">
        <v>336</v>
      </c>
      <c r="C20" s="40" t="s">
        <v>337</v>
      </c>
      <c r="D20" s="41">
        <f>시작중량_설정!$E$9</f>
        <v>41</v>
      </c>
      <c r="E20" s="40">
        <v>5</v>
      </c>
      <c r="F20" s="38" t="s">
        <v>338</v>
      </c>
      <c r="G20" s="38">
        <v>30</v>
      </c>
      <c r="H20" s="38">
        <v>180</v>
      </c>
      <c r="I20" s="38">
        <f t="shared" ref="I20:I25" si="0">IF(E20=0,0,ROUND((E20*(G20+H20)+O20)/60,1))</f>
        <v>17.5</v>
      </c>
      <c r="J20" s="39" t="s">
        <v>339</v>
      </c>
      <c r="K20" s="39" t="s">
        <v>340</v>
      </c>
      <c r="L20" s="39" t="s">
        <v>341</v>
      </c>
      <c r="M20" s="38" t="s">
        <v>342</v>
      </c>
      <c r="O20" s="38"/>
    </row>
    <row r="21" spans="1:15" ht="16.5" customHeight="1">
      <c r="A21" s="20">
        <v>2</v>
      </c>
      <c r="B21" s="21" t="s">
        <v>343</v>
      </c>
      <c r="C21" s="20" t="s">
        <v>337</v>
      </c>
      <c r="D21" s="42" t="s">
        <v>344</v>
      </c>
      <c r="E21" s="20">
        <v>4</v>
      </c>
      <c r="F21" s="26" t="s">
        <v>284</v>
      </c>
      <c r="G21" s="26">
        <v>40</v>
      </c>
      <c r="H21" s="26">
        <v>155</v>
      </c>
      <c r="I21" s="26">
        <f t="shared" si="0"/>
        <v>13</v>
      </c>
      <c r="J21" s="21" t="s">
        <v>345</v>
      </c>
      <c r="K21" s="21" t="s">
        <v>346</v>
      </c>
      <c r="L21" s="36" t="s">
        <v>347</v>
      </c>
      <c r="M21" s="26" t="s">
        <v>272</v>
      </c>
      <c r="O21" s="26"/>
    </row>
    <row r="22" spans="1:15" ht="16.5" customHeight="1">
      <c r="A22" s="20">
        <v>3</v>
      </c>
      <c r="B22" s="36" t="s">
        <v>348</v>
      </c>
      <c r="C22" s="20" t="s">
        <v>349</v>
      </c>
      <c r="D22" s="26">
        <v>8</v>
      </c>
      <c r="E22" s="20">
        <v>4</v>
      </c>
      <c r="F22" s="26" t="s">
        <v>350</v>
      </c>
      <c r="G22" s="26">
        <v>40</v>
      </c>
      <c r="H22" s="26">
        <v>105</v>
      </c>
      <c r="I22" s="26">
        <f t="shared" si="0"/>
        <v>9.6999999999999993</v>
      </c>
      <c r="J22" s="21"/>
      <c r="K22" s="21" t="s">
        <v>351</v>
      </c>
      <c r="L22" s="21" t="s">
        <v>352</v>
      </c>
      <c r="O22" s="26"/>
    </row>
    <row r="23" spans="1:15" ht="16.5" customHeight="1">
      <c r="A23" s="20">
        <v>4</v>
      </c>
      <c r="B23" s="21" t="s">
        <v>353</v>
      </c>
      <c r="C23" s="20" t="s">
        <v>354</v>
      </c>
      <c r="D23" s="26">
        <v>6</v>
      </c>
      <c r="E23" s="20">
        <v>6</v>
      </c>
      <c r="F23" s="26" t="s">
        <v>289</v>
      </c>
      <c r="G23" s="26">
        <v>40</v>
      </c>
      <c r="H23" s="26">
        <v>70</v>
      </c>
      <c r="I23" s="26">
        <f t="shared" si="0"/>
        <v>12</v>
      </c>
      <c r="J23" s="21"/>
      <c r="K23" s="21" t="s">
        <v>355</v>
      </c>
      <c r="L23" s="21" t="s">
        <v>356</v>
      </c>
      <c r="O23" s="26">
        <v>60</v>
      </c>
    </row>
    <row r="24" spans="1:15" ht="16.5" customHeight="1">
      <c r="A24" s="20">
        <v>5</v>
      </c>
      <c r="B24" s="21" t="s">
        <v>357</v>
      </c>
      <c r="C24" s="43" t="s">
        <v>358</v>
      </c>
      <c r="D24" s="26">
        <v>20</v>
      </c>
      <c r="E24" s="20">
        <v>5</v>
      </c>
      <c r="F24" s="26" t="s">
        <v>289</v>
      </c>
      <c r="G24" s="26">
        <v>40</v>
      </c>
      <c r="H24" s="26">
        <v>70</v>
      </c>
      <c r="I24" s="26">
        <f t="shared" si="0"/>
        <v>10.199999999999999</v>
      </c>
      <c r="J24" s="21"/>
      <c r="K24" s="21" t="s">
        <v>359</v>
      </c>
      <c r="L24" s="75" t="s">
        <v>360</v>
      </c>
      <c r="O24" s="26">
        <v>60</v>
      </c>
    </row>
    <row r="25" spans="1:15" ht="16.5" customHeight="1">
      <c r="A25" s="20">
        <v>6</v>
      </c>
      <c r="B25" s="21" t="s">
        <v>361</v>
      </c>
      <c r="C25" s="20" t="s">
        <v>345</v>
      </c>
      <c r="D25" s="26">
        <v>20</v>
      </c>
      <c r="E25" s="20">
        <v>4</v>
      </c>
      <c r="F25" s="26" t="s">
        <v>303</v>
      </c>
      <c r="G25" s="26">
        <v>40</v>
      </c>
      <c r="H25" s="26">
        <v>70</v>
      </c>
      <c r="I25" s="26">
        <f t="shared" si="0"/>
        <v>8.3000000000000007</v>
      </c>
      <c r="J25" s="21"/>
      <c r="K25" s="21" t="s">
        <v>362</v>
      </c>
      <c r="L25" s="21" t="s">
        <v>363</v>
      </c>
      <c r="O25" s="26">
        <v>60</v>
      </c>
    </row>
    <row r="26" spans="1:15" ht="16.5" customHeight="1">
      <c r="D26" s="3" t="s">
        <v>321</v>
      </c>
      <c r="E26" s="27">
        <f>SUM(E20:E25)</f>
        <v>28</v>
      </c>
      <c r="I26">
        <f>ROUND(SUM(I20:I25),0)</f>
        <v>71</v>
      </c>
    </row>
    <row r="27" spans="1:15" ht="16.5" customHeight="1">
      <c r="A27" s="99" t="s">
        <v>245</v>
      </c>
    </row>
    <row r="28" spans="1:15">
      <c r="A28" t="s">
        <v>364</v>
      </c>
    </row>
    <row r="29" spans="1:15">
      <c r="A29" t="s">
        <v>325</v>
      </c>
    </row>
  </sheetData>
  <phoneticPr fontId="29" type="noConversion"/>
  <conditionalFormatting sqref="A20:O25">
    <cfRule type="expression" dxfId="9" priority="1">
      <formula>$E20=0</formula>
    </cfRule>
  </conditionalFormatting>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25"/>
  <sheetViews>
    <sheetView zoomScaleNormal="100" workbookViewId="0">
      <pane ySplit="14" topLeftCell="A15" activePane="bottomLeft" state="frozen"/>
      <selection pane="bottomLeft" activeCell="O15" sqref="O15:O21"/>
    </sheetView>
  </sheetViews>
  <sheetFormatPr defaultColWidth="8.7109375" defaultRowHeight="15"/>
  <cols>
    <col min="1" max="1" width="5.5703125" customWidth="1"/>
    <col min="2" max="2" width="30" customWidth="1"/>
    <col min="3" max="3" width="20" customWidth="1"/>
    <col min="4" max="4" width="12" customWidth="1"/>
    <col min="5" max="5" width="8" customWidth="1"/>
    <col min="6" max="6" width="12" customWidth="1"/>
    <col min="7" max="9" width="9.42578125" customWidth="1"/>
    <col min="10" max="11" width="11" customWidth="1"/>
    <col min="13" max="13" width="24" customWidth="1"/>
    <col min="14" max="14" width="11" customWidth="1"/>
    <col min="15" max="15" width="9.42578125" customWidth="1"/>
  </cols>
  <sheetData>
    <row r="1" spans="1:15" ht="19.5" customHeight="1">
      <c r="A1" s="17" t="s">
        <v>365</v>
      </c>
    </row>
    <row r="2" spans="1:15" ht="16.5" customHeight="1">
      <c r="A2" s="18" t="s">
        <v>366</v>
      </c>
    </row>
    <row r="4" spans="1:15" ht="16.5" customHeight="1">
      <c r="A4" s="3" t="s">
        <v>367</v>
      </c>
    </row>
    <row r="5" spans="1:15" ht="16.5" customHeight="1">
      <c r="A5" s="19" t="s">
        <v>255</v>
      </c>
      <c r="B5" s="19" t="s">
        <v>330</v>
      </c>
      <c r="C5" s="19" t="s">
        <v>148</v>
      </c>
    </row>
    <row r="6" spans="1:15" ht="15" customHeight="1">
      <c r="A6" s="20">
        <f>MAX(20,(MROUND(시작중량_설정!$E$7*0.4,1)+(MOD(MROUND(시작중량_설정!$E$7*0.4,1),5)=4)))</f>
        <v>30</v>
      </c>
      <c r="B6" s="20">
        <v>5</v>
      </c>
      <c r="C6" s="20">
        <v>2</v>
      </c>
    </row>
    <row r="7" spans="1:15" ht="15" customHeight="1">
      <c r="A7" s="20">
        <f>IF(MAX(20,(MROUND(시작중량_설정!$E$7*0.6,1)+(MOD(MROUND(시작중량_설정!$E$7*0.6,1),5)=4)))&lt;=MAX(20,(MROUND(시작중량_설정!$E$7*0.4,1)+(MOD(MROUND(시작중량_설정!$E$7*0.4,1),5)=4))),"생략",MAX(20,(MROUND(시작중량_설정!$E$7*0.6,1)+(MOD(MROUND(시작중량_설정!$E$7*0.6,1),5)=4))))</f>
        <v>45</v>
      </c>
      <c r="B7" s="20">
        <v>5</v>
      </c>
      <c r="C7" s="20">
        <v>1</v>
      </c>
    </row>
    <row r="8" spans="1:15" ht="15" customHeight="1">
      <c r="A8" s="20">
        <f>IF(MAX(20,(MROUND(시작중량_설정!$E$7*0.75,1)+(MOD(MROUND(시작중량_설정!$E$7*0.75,1),5)=4)))&lt;=MAX(20,(MROUND(시작중량_설정!$E$7*0.6,1)+(MOD(MROUND(시작중량_설정!$E$7*0.6,1),5)=4))),"생략",MAX(20,(MROUND(시작중량_설정!$E$7*0.75,1)+(MOD(MROUND(시작중량_설정!$E$7*0.75,1),5)=4))))</f>
        <v>56</v>
      </c>
      <c r="B8" s="20">
        <v>3</v>
      </c>
      <c r="C8" s="20">
        <v>1</v>
      </c>
    </row>
    <row r="9" spans="1:15" ht="15" customHeight="1">
      <c r="A9" s="20">
        <f>IF(MAX(20,(MROUND(시작중량_설정!$E$7*0.9,1)+(MOD(MROUND(시작중량_설정!$E$7*0.9,1),5)=4)))&lt;=MAX(20,(MROUND(시작중량_설정!$E$7*0.75,1)+(MOD(MROUND(시작중량_설정!$E$7*0.75,1),5)=4))),"생략",MAX(20,(MROUND(시작중량_설정!$E$7*0.9,1)+(MOD(MROUND(시작중량_설정!$E$7*0.9,1),5)=4))))</f>
        <v>68</v>
      </c>
      <c r="B9" s="20">
        <v>2</v>
      </c>
      <c r="C9" s="20">
        <v>1</v>
      </c>
    </row>
    <row r="10" spans="1:15" ht="15" customHeight="1">
      <c r="A10" s="37">
        <f>시작중량_설정!$E$7</f>
        <v>75</v>
      </c>
      <c r="B10" s="27">
        <v>5</v>
      </c>
      <c r="C10" s="27">
        <v>5</v>
      </c>
    </row>
    <row r="11" spans="1:15" ht="16.5" customHeight="1">
      <c r="A11" s="31" t="s">
        <v>331</v>
      </c>
    </row>
    <row r="13" spans="1:15" ht="15" customHeight="1">
      <c r="A13" s="3" t="s">
        <v>252</v>
      </c>
    </row>
    <row r="14" spans="1:15" ht="16.5" customHeight="1">
      <c r="A14" s="34" t="s">
        <v>253</v>
      </c>
      <c r="B14" s="35" t="s">
        <v>76</v>
      </c>
      <c r="C14" s="35" t="s">
        <v>254</v>
      </c>
      <c r="D14" s="35" t="s">
        <v>255</v>
      </c>
      <c r="E14" s="35" t="s">
        <v>148</v>
      </c>
      <c r="F14" s="35" t="s">
        <v>256</v>
      </c>
      <c r="G14" s="35" t="s">
        <v>257</v>
      </c>
      <c r="H14" s="35" t="s">
        <v>258</v>
      </c>
      <c r="I14" s="35" t="s">
        <v>259</v>
      </c>
      <c r="J14" s="35" t="s">
        <v>260</v>
      </c>
      <c r="K14" s="35" t="s">
        <v>261</v>
      </c>
      <c r="L14" s="35" t="s">
        <v>262</v>
      </c>
      <c r="M14" s="35" t="s">
        <v>263</v>
      </c>
      <c r="N14" s="35" t="s">
        <v>264</v>
      </c>
      <c r="O14" s="35" t="s">
        <v>265</v>
      </c>
    </row>
    <row r="15" spans="1:15" ht="16.5" customHeight="1">
      <c r="A15" s="40">
        <v>1</v>
      </c>
      <c r="B15" s="39" t="s">
        <v>368</v>
      </c>
      <c r="C15" s="40" t="s">
        <v>369</v>
      </c>
      <c r="D15" s="41">
        <f>시작중량_설정!$E$7</f>
        <v>75</v>
      </c>
      <c r="E15" s="40">
        <v>5</v>
      </c>
      <c r="F15" s="38" t="s">
        <v>338</v>
      </c>
      <c r="G15" s="38">
        <v>35</v>
      </c>
      <c r="H15" s="38">
        <v>193</v>
      </c>
      <c r="I15" s="38">
        <f t="shared" ref="I15:I21" si="0">IF(E15=0,0,ROUND((E15*(G15+H15)+O15)/60,1))</f>
        <v>19</v>
      </c>
      <c r="J15" s="39" t="s">
        <v>370</v>
      </c>
      <c r="K15" s="39" t="s">
        <v>371</v>
      </c>
      <c r="L15" s="39" t="s">
        <v>372</v>
      </c>
      <c r="M15" s="38" t="s">
        <v>373</v>
      </c>
      <c r="O15" s="38"/>
    </row>
    <row r="16" spans="1:15" ht="16.5" customHeight="1">
      <c r="A16" s="20">
        <v>2</v>
      </c>
      <c r="B16" s="21" t="s">
        <v>374</v>
      </c>
      <c r="C16" s="20" t="s">
        <v>369</v>
      </c>
      <c r="D16" s="26">
        <v>120</v>
      </c>
      <c r="E16" s="20">
        <v>3</v>
      </c>
      <c r="F16" s="26" t="s">
        <v>274</v>
      </c>
      <c r="G16" s="26">
        <v>45</v>
      </c>
      <c r="H16" s="26">
        <v>150</v>
      </c>
      <c r="I16" s="26">
        <f t="shared" si="0"/>
        <v>9.8000000000000007</v>
      </c>
      <c r="J16" s="21" t="s">
        <v>375</v>
      </c>
      <c r="K16" s="21" t="s">
        <v>376</v>
      </c>
      <c r="L16" s="21" t="s">
        <v>377</v>
      </c>
      <c r="O16" s="26"/>
    </row>
    <row r="17" spans="1:15" ht="16.5" customHeight="1">
      <c r="A17" s="20">
        <v>3</v>
      </c>
      <c r="B17" s="21" t="s">
        <v>378</v>
      </c>
      <c r="C17" s="20" t="s">
        <v>375</v>
      </c>
      <c r="D17" s="20" t="s">
        <v>283</v>
      </c>
      <c r="E17" s="20">
        <v>3</v>
      </c>
      <c r="F17" s="26" t="s">
        <v>379</v>
      </c>
      <c r="G17" s="26">
        <v>90</v>
      </c>
      <c r="H17" s="26">
        <v>150</v>
      </c>
      <c r="I17" s="26">
        <f t="shared" si="0"/>
        <v>12</v>
      </c>
      <c r="J17" s="21" t="s">
        <v>380</v>
      </c>
      <c r="K17" s="21" t="s">
        <v>381</v>
      </c>
      <c r="L17" s="21" t="s">
        <v>382</v>
      </c>
      <c r="O17" s="26"/>
    </row>
    <row r="18" spans="1:15" ht="16.5" customHeight="1">
      <c r="A18" s="20">
        <v>4</v>
      </c>
      <c r="B18" s="21" t="s">
        <v>383</v>
      </c>
      <c r="C18" s="20" t="s">
        <v>384</v>
      </c>
      <c r="D18" s="26">
        <v>40</v>
      </c>
      <c r="E18" s="20">
        <v>4</v>
      </c>
      <c r="F18" s="26" t="s">
        <v>350</v>
      </c>
      <c r="G18" s="26">
        <v>40</v>
      </c>
      <c r="H18" s="26">
        <v>120</v>
      </c>
      <c r="I18" s="26">
        <f t="shared" si="0"/>
        <v>11.9</v>
      </c>
      <c r="J18" s="21"/>
      <c r="K18" s="21" t="s">
        <v>385</v>
      </c>
      <c r="L18" s="21" t="s">
        <v>386</v>
      </c>
      <c r="O18" s="26">
        <v>75</v>
      </c>
    </row>
    <row r="19" spans="1:15" ht="16.5" customHeight="1">
      <c r="A19" s="20">
        <v>5</v>
      </c>
      <c r="B19" s="21" t="s">
        <v>387</v>
      </c>
      <c r="C19" s="20" t="s">
        <v>388</v>
      </c>
      <c r="D19" s="26">
        <v>35</v>
      </c>
      <c r="E19" s="20">
        <v>4</v>
      </c>
      <c r="F19" s="26" t="s">
        <v>289</v>
      </c>
      <c r="G19" s="26">
        <v>40</v>
      </c>
      <c r="H19" s="26">
        <v>10</v>
      </c>
      <c r="I19" s="26">
        <f t="shared" si="0"/>
        <v>3.3</v>
      </c>
      <c r="J19" s="21"/>
      <c r="K19" s="21" t="s">
        <v>389</v>
      </c>
      <c r="L19" s="21" t="s">
        <v>390</v>
      </c>
      <c r="N19" t="s">
        <v>391</v>
      </c>
      <c r="O19" s="26"/>
    </row>
    <row r="20" spans="1:15" ht="16.5" customHeight="1">
      <c r="A20" s="20">
        <v>6</v>
      </c>
      <c r="B20" s="21" t="s">
        <v>392</v>
      </c>
      <c r="C20" s="20" t="s">
        <v>393</v>
      </c>
      <c r="D20" s="26" t="s">
        <v>294</v>
      </c>
      <c r="E20" s="20">
        <v>4</v>
      </c>
      <c r="F20" s="26" t="s">
        <v>289</v>
      </c>
      <c r="G20" s="26">
        <v>40</v>
      </c>
      <c r="H20" s="26">
        <v>105</v>
      </c>
      <c r="I20" s="26">
        <f t="shared" si="0"/>
        <v>9.6999999999999993</v>
      </c>
      <c r="J20" s="21"/>
      <c r="K20" s="21" t="s">
        <v>394</v>
      </c>
      <c r="L20" s="21" t="s">
        <v>395</v>
      </c>
      <c r="N20" t="s">
        <v>391</v>
      </c>
      <c r="O20" s="26"/>
    </row>
    <row r="21" spans="1:15" ht="16.5" customHeight="1">
      <c r="A21" s="20">
        <v>7</v>
      </c>
      <c r="B21" s="70" t="s">
        <v>396</v>
      </c>
      <c r="C21" s="20" t="s">
        <v>299</v>
      </c>
      <c r="D21" s="71" t="s">
        <v>283</v>
      </c>
      <c r="E21" s="20">
        <v>3</v>
      </c>
      <c r="F21" s="26">
        <v>10</v>
      </c>
      <c r="G21" s="26">
        <v>40</v>
      </c>
      <c r="H21" s="26">
        <v>60</v>
      </c>
      <c r="I21" s="26">
        <f t="shared" si="0"/>
        <v>5</v>
      </c>
      <c r="J21" s="21"/>
      <c r="K21" s="21" t="s">
        <v>397</v>
      </c>
      <c r="L21" s="21" t="s">
        <v>398</v>
      </c>
      <c r="O21" s="26"/>
    </row>
    <row r="22" spans="1:15" ht="15" customHeight="1">
      <c r="D22" s="3" t="s">
        <v>321</v>
      </c>
      <c r="E22" s="27">
        <f>SUM(E15:E21)</f>
        <v>26</v>
      </c>
      <c r="I22">
        <f>ROUND(SUM(I15:I21),0)</f>
        <v>71</v>
      </c>
    </row>
    <row r="23" spans="1:15" ht="15" customHeight="1">
      <c r="A23" s="99" t="s">
        <v>245</v>
      </c>
    </row>
    <row r="24" spans="1:15">
      <c r="A24" t="s">
        <v>399</v>
      </c>
    </row>
    <row r="25" spans="1:15">
      <c r="A25" t="s">
        <v>325</v>
      </c>
    </row>
  </sheetData>
  <phoneticPr fontId="29" type="noConversion"/>
  <conditionalFormatting sqref="A15:O21">
    <cfRule type="expression" dxfId="8" priority="1">
      <formula>$E15=0</formula>
    </cfRule>
  </conditionalFormatting>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40"/>
  <sheetViews>
    <sheetView workbookViewId="0">
      <selection activeCell="D48" sqref="D48"/>
    </sheetView>
  </sheetViews>
  <sheetFormatPr defaultRowHeight="15"/>
  <cols>
    <col min="1" max="1" width="5.5703125" customWidth="1"/>
    <col min="2" max="2" width="30" customWidth="1"/>
    <col min="3" max="3" width="20" customWidth="1"/>
    <col min="4" max="4" width="12" customWidth="1"/>
    <col min="5" max="5" width="8" customWidth="1"/>
    <col min="6" max="6" width="12" customWidth="1"/>
    <col min="7" max="9" width="9.42578125" customWidth="1"/>
    <col min="10" max="10" width="11" customWidth="1"/>
    <col min="13" max="13" width="24" customWidth="1"/>
    <col min="14" max="14" width="11" customWidth="1"/>
    <col min="15" max="15" width="9.42578125" customWidth="1"/>
  </cols>
  <sheetData>
    <row r="1" spans="1:15" ht="19.5" customHeight="1">
      <c r="A1" s="17" t="s">
        <v>400</v>
      </c>
    </row>
    <row r="2" spans="1:15" ht="16.5" customHeight="1">
      <c r="A2" s="18" t="s">
        <v>401</v>
      </c>
    </row>
    <row r="3" spans="1:15" ht="30" customHeight="1">
      <c r="A3" s="33" t="s">
        <v>402</v>
      </c>
    </row>
    <row r="4" spans="1:15" ht="15" customHeight="1">
      <c r="A4" s="3" t="s">
        <v>252</v>
      </c>
    </row>
    <row r="5" spans="1:15" ht="16.5" customHeight="1">
      <c r="A5" s="34" t="s">
        <v>253</v>
      </c>
      <c r="B5" s="35" t="s">
        <v>76</v>
      </c>
      <c r="C5" s="35" t="s">
        <v>254</v>
      </c>
      <c r="D5" s="35" t="s">
        <v>255</v>
      </c>
      <c r="E5" s="35" t="s">
        <v>148</v>
      </c>
      <c r="F5" s="35" t="s">
        <v>256</v>
      </c>
      <c r="G5" s="35" t="s">
        <v>257</v>
      </c>
      <c r="H5" s="35" t="s">
        <v>258</v>
      </c>
      <c r="I5" s="35" t="s">
        <v>259</v>
      </c>
      <c r="J5" s="35" t="s">
        <v>260</v>
      </c>
      <c r="K5" s="35" t="s">
        <v>261</v>
      </c>
      <c r="L5" s="35" t="s">
        <v>262</v>
      </c>
      <c r="M5" s="35" t="s">
        <v>263</v>
      </c>
      <c r="N5" s="35" t="s">
        <v>264</v>
      </c>
      <c r="O5" s="35" t="s">
        <v>265</v>
      </c>
    </row>
    <row r="6" spans="1:15" ht="16.5" customHeight="1">
      <c r="A6" s="20">
        <v>1</v>
      </c>
      <c r="B6" s="70" t="s">
        <v>403</v>
      </c>
      <c r="C6" s="20" t="s">
        <v>354</v>
      </c>
      <c r="D6" s="20">
        <v>10</v>
      </c>
      <c r="E6" s="20">
        <v>3</v>
      </c>
      <c r="F6" s="26" t="s">
        <v>289</v>
      </c>
      <c r="G6" s="26">
        <v>40</v>
      </c>
      <c r="H6" s="26">
        <v>70</v>
      </c>
      <c r="I6" s="26">
        <f t="shared" ref="I6:I16" si="0">IF(E6=0,0,ROUND((E6*(G6+H6)+O6)/60,1))</f>
        <v>6.5</v>
      </c>
      <c r="J6" s="21"/>
      <c r="K6" s="21" t="s">
        <v>404</v>
      </c>
      <c r="L6" s="21" t="s">
        <v>405</v>
      </c>
      <c r="O6" s="26">
        <v>60</v>
      </c>
    </row>
    <row r="7" spans="1:15" ht="16.5" customHeight="1">
      <c r="A7" s="20">
        <v>2</v>
      </c>
      <c r="B7" s="70" t="s">
        <v>406</v>
      </c>
      <c r="C7" s="20" t="s">
        <v>354</v>
      </c>
      <c r="D7" s="20">
        <v>15</v>
      </c>
      <c r="E7" s="20">
        <v>3</v>
      </c>
      <c r="F7" s="26" t="s">
        <v>289</v>
      </c>
      <c r="G7" s="26">
        <v>40</v>
      </c>
      <c r="H7" s="26">
        <v>75</v>
      </c>
      <c r="I7" s="26">
        <f t="shared" si="0"/>
        <v>5.8</v>
      </c>
      <c r="J7" s="21" t="s">
        <v>407</v>
      </c>
      <c r="K7" s="21" t="s">
        <v>408</v>
      </c>
      <c r="L7" s="21" t="s">
        <v>409</v>
      </c>
      <c r="O7" s="26"/>
    </row>
    <row r="8" spans="1:15" ht="16.5" customHeight="1">
      <c r="A8" s="20">
        <v>3</v>
      </c>
      <c r="B8" s="70" t="s">
        <v>410</v>
      </c>
      <c r="C8" s="20" t="s">
        <v>358</v>
      </c>
      <c r="D8" s="20" t="s">
        <v>289</v>
      </c>
      <c r="E8" s="20">
        <v>3</v>
      </c>
      <c r="F8" s="26" t="s">
        <v>289</v>
      </c>
      <c r="G8" s="26">
        <v>40</v>
      </c>
      <c r="H8" s="26">
        <v>70</v>
      </c>
      <c r="I8" s="26">
        <f t="shared" si="0"/>
        <v>5.5</v>
      </c>
      <c r="J8" s="21" t="s">
        <v>411</v>
      </c>
      <c r="K8" s="21" t="s">
        <v>412</v>
      </c>
      <c r="L8" s="21" t="s">
        <v>413</v>
      </c>
      <c r="O8" s="26"/>
    </row>
    <row r="9" spans="1:15" ht="16.5" customHeight="1">
      <c r="A9" s="20">
        <v>4</v>
      </c>
      <c r="B9" s="70" t="s">
        <v>414</v>
      </c>
      <c r="C9" s="20" t="s">
        <v>358</v>
      </c>
      <c r="D9" s="20">
        <v>20</v>
      </c>
      <c r="E9" s="20">
        <v>3</v>
      </c>
      <c r="F9" s="26" t="s">
        <v>289</v>
      </c>
      <c r="G9" s="26">
        <v>40</v>
      </c>
      <c r="H9" s="26">
        <v>80</v>
      </c>
      <c r="I9" s="26">
        <f t="shared" si="0"/>
        <v>6</v>
      </c>
      <c r="J9" s="21" t="s">
        <v>411</v>
      </c>
      <c r="K9" s="21" t="s">
        <v>415</v>
      </c>
      <c r="L9" s="21" t="s">
        <v>416</v>
      </c>
      <c r="O9" s="26"/>
    </row>
    <row r="10" spans="1:15" ht="16.5" customHeight="1">
      <c r="A10" s="20">
        <v>5</v>
      </c>
      <c r="B10" s="78" t="s">
        <v>417</v>
      </c>
      <c r="C10" s="20" t="s">
        <v>418</v>
      </c>
      <c r="D10" s="20" t="s">
        <v>419</v>
      </c>
      <c r="E10" s="20">
        <v>3</v>
      </c>
      <c r="F10" s="26" t="s">
        <v>289</v>
      </c>
      <c r="G10" s="26">
        <v>40</v>
      </c>
      <c r="H10" s="26">
        <v>60</v>
      </c>
      <c r="I10" s="26">
        <f t="shared" si="0"/>
        <v>5</v>
      </c>
      <c r="J10" s="21"/>
      <c r="K10" s="21" t="s">
        <v>420</v>
      </c>
      <c r="L10" s="21" t="s">
        <v>421</v>
      </c>
      <c r="O10" s="26"/>
    </row>
    <row r="11" spans="1:15" ht="16.5" customHeight="1">
      <c r="A11" s="20">
        <v>6</v>
      </c>
      <c r="B11" s="21" t="s">
        <v>422</v>
      </c>
      <c r="C11" s="20" t="s">
        <v>349</v>
      </c>
      <c r="D11" s="42" t="s">
        <v>423</v>
      </c>
      <c r="E11" s="20">
        <v>3</v>
      </c>
      <c r="F11" s="26" t="s">
        <v>274</v>
      </c>
      <c r="G11" s="26">
        <v>40</v>
      </c>
      <c r="H11" s="26">
        <v>150</v>
      </c>
      <c r="I11" s="26">
        <f t="shared" si="0"/>
        <v>9.5</v>
      </c>
      <c r="J11" s="21" t="s">
        <v>424</v>
      </c>
      <c r="K11" s="21" t="s">
        <v>425</v>
      </c>
      <c r="L11" s="36" t="s">
        <v>426</v>
      </c>
      <c r="M11" s="79"/>
      <c r="O11" s="26"/>
    </row>
    <row r="12" spans="1:15" ht="16.5" customHeight="1">
      <c r="A12" s="20">
        <v>7</v>
      </c>
      <c r="B12" s="21" t="s">
        <v>427</v>
      </c>
      <c r="C12" s="20" t="s">
        <v>337</v>
      </c>
      <c r="D12" s="26" t="s">
        <v>428</v>
      </c>
      <c r="E12" s="20">
        <v>3</v>
      </c>
      <c r="F12" s="26" t="s">
        <v>350</v>
      </c>
      <c r="G12" s="26">
        <v>40</v>
      </c>
      <c r="H12" s="26">
        <v>90</v>
      </c>
      <c r="I12" s="26">
        <f t="shared" si="0"/>
        <v>7.5</v>
      </c>
      <c r="J12" s="21" t="s">
        <v>429</v>
      </c>
      <c r="K12" s="21" t="s">
        <v>430</v>
      </c>
      <c r="L12" s="21" t="s">
        <v>431</v>
      </c>
      <c r="O12" s="26">
        <v>60</v>
      </c>
    </row>
    <row r="13" spans="1:15" ht="16.5" customHeight="1">
      <c r="A13" s="20">
        <v>8</v>
      </c>
      <c r="B13" s="21" t="s">
        <v>293</v>
      </c>
      <c r="C13" s="43" t="s">
        <v>269</v>
      </c>
      <c r="D13" s="26" t="s">
        <v>432</v>
      </c>
      <c r="E13" s="20">
        <v>3</v>
      </c>
      <c r="F13" s="26" t="s">
        <v>274</v>
      </c>
      <c r="G13" s="26">
        <v>40</v>
      </c>
      <c r="H13" s="26">
        <v>70</v>
      </c>
      <c r="I13" s="26">
        <f t="shared" si="0"/>
        <v>5.5</v>
      </c>
      <c r="J13" s="21" t="s">
        <v>295</v>
      </c>
      <c r="K13" s="21" t="s">
        <v>433</v>
      </c>
      <c r="L13" s="21" t="s">
        <v>434</v>
      </c>
      <c r="O13" s="26"/>
    </row>
    <row r="14" spans="1:15" ht="16.5" customHeight="1">
      <c r="A14" s="20">
        <v>9</v>
      </c>
      <c r="B14" s="70" t="s">
        <v>435</v>
      </c>
      <c r="C14" s="20" t="s">
        <v>295</v>
      </c>
      <c r="D14" s="20">
        <v>15</v>
      </c>
      <c r="E14" s="20">
        <v>4</v>
      </c>
      <c r="F14" s="26" t="s">
        <v>436</v>
      </c>
      <c r="G14" s="26">
        <v>40</v>
      </c>
      <c r="H14" s="26">
        <v>60</v>
      </c>
      <c r="I14" s="26">
        <f t="shared" si="0"/>
        <v>6.7</v>
      </c>
      <c r="J14" s="21"/>
      <c r="K14" s="21" t="s">
        <v>437</v>
      </c>
      <c r="L14" s="21" t="s">
        <v>438</v>
      </c>
      <c r="O14" s="26"/>
    </row>
    <row r="15" spans="1:15" ht="16.5" customHeight="1">
      <c r="A15" s="20">
        <v>10</v>
      </c>
      <c r="B15" s="70" t="s">
        <v>439</v>
      </c>
      <c r="C15" s="20" t="s">
        <v>295</v>
      </c>
      <c r="D15" s="20">
        <v>15</v>
      </c>
      <c r="E15" s="20">
        <v>4</v>
      </c>
      <c r="F15" s="26" t="s">
        <v>303</v>
      </c>
      <c r="G15" s="26">
        <v>40</v>
      </c>
      <c r="H15" s="26">
        <v>70</v>
      </c>
      <c r="I15" s="26">
        <f t="shared" si="0"/>
        <v>7.3</v>
      </c>
      <c r="J15" s="21" t="s">
        <v>440</v>
      </c>
      <c r="K15" s="21" t="s">
        <v>441</v>
      </c>
      <c r="L15" s="21" t="s">
        <v>442</v>
      </c>
      <c r="O15" s="26"/>
    </row>
    <row r="16" spans="1:15" ht="16.5" customHeight="1">
      <c r="A16" s="20">
        <v>11</v>
      </c>
      <c r="B16" s="21" t="s">
        <v>307</v>
      </c>
      <c r="C16" s="20" t="s">
        <v>308</v>
      </c>
      <c r="D16" s="26">
        <v>10</v>
      </c>
      <c r="E16" s="20">
        <v>4</v>
      </c>
      <c r="F16" s="26" t="s">
        <v>289</v>
      </c>
      <c r="G16" s="26">
        <v>40</v>
      </c>
      <c r="H16" s="26">
        <v>75</v>
      </c>
      <c r="I16" s="26">
        <f t="shared" si="0"/>
        <v>7.7</v>
      </c>
      <c r="J16" s="21"/>
      <c r="K16" s="21" t="s">
        <v>443</v>
      </c>
      <c r="L16" s="21" t="s">
        <v>444</v>
      </c>
      <c r="O16" s="26"/>
    </row>
    <row r="17" spans="1:9" ht="16.5" customHeight="1">
      <c r="D17" s="3" t="s">
        <v>321</v>
      </c>
      <c r="E17" s="27">
        <f>SUM(E6:E16)</f>
        <v>36</v>
      </c>
      <c r="I17">
        <f>ROUND(SUM(I6:I16),0)</f>
        <v>73</v>
      </c>
    </row>
    <row r="18" spans="1:9" ht="16.5" customHeight="1">
      <c r="F18" s="76" t="s">
        <v>445</v>
      </c>
    </row>
    <row r="19" spans="1:9" ht="16.5" customHeight="1">
      <c r="A19" s="95" t="s">
        <v>446</v>
      </c>
    </row>
    <row r="20" spans="1:9" ht="16.5" customHeight="1">
      <c r="A20" s="96" t="s">
        <v>447</v>
      </c>
    </row>
    <row r="21" spans="1:9" ht="16.5" customHeight="1">
      <c r="A21" t="s">
        <v>448</v>
      </c>
    </row>
    <row r="22" spans="1:9" ht="16.5" customHeight="1">
      <c r="A22" s="96" t="s">
        <v>449</v>
      </c>
    </row>
    <row r="23" spans="1:9" ht="16.5" customHeight="1">
      <c r="A23" s="96" t="s">
        <v>450</v>
      </c>
    </row>
    <row r="24" spans="1:9" ht="16.5" customHeight="1">
      <c r="A24" s="96" t="s">
        <v>451</v>
      </c>
    </row>
    <row r="25" spans="1:9" ht="16.5" customHeight="1">
      <c r="A25" s="96" t="s">
        <v>452</v>
      </c>
    </row>
    <row r="26" spans="1:9" ht="16.5" customHeight="1">
      <c r="A26" s="96" t="s">
        <v>453</v>
      </c>
    </row>
    <row r="27" spans="1:9" ht="16.5" customHeight="1">
      <c r="A27" s="95" t="s">
        <v>454</v>
      </c>
    </row>
    <row r="28" spans="1:9" ht="16.5" customHeight="1">
      <c r="A28" s="96" t="s">
        <v>455</v>
      </c>
    </row>
    <row r="29" spans="1:9" ht="16.5" customHeight="1"/>
    <row r="30" spans="1:9" ht="16.5" customHeight="1">
      <c r="A30" t="s">
        <v>456</v>
      </c>
    </row>
    <row r="31" spans="1:9" ht="16.5" customHeight="1">
      <c r="A31" t="s">
        <v>457</v>
      </c>
    </row>
    <row r="32" spans="1:9" ht="16.5" customHeight="1">
      <c r="A32" t="s">
        <v>458</v>
      </c>
    </row>
    <row r="33" spans="1:1" ht="16.5" customHeight="1">
      <c r="A33" t="s">
        <v>459</v>
      </c>
    </row>
    <row r="34" spans="1:1" ht="16.5" customHeight="1"/>
    <row r="35" spans="1:1" ht="16.5" customHeight="1">
      <c r="A35" s="99" t="s">
        <v>245</v>
      </c>
    </row>
    <row r="36" spans="1:1" ht="16.5" customHeight="1">
      <c r="A36" t="s">
        <v>460</v>
      </c>
    </row>
    <row r="37" spans="1:1" ht="16.5" customHeight="1">
      <c r="A37" t="s">
        <v>325</v>
      </c>
    </row>
    <row r="38" spans="1:1" ht="16.5" customHeight="1">
      <c r="A38" t="s">
        <v>461</v>
      </c>
    </row>
    <row r="39" spans="1:1" ht="16.5" customHeight="1"/>
    <row r="40" spans="1:1" ht="16.5" customHeight="1"/>
  </sheetData>
  <phoneticPr fontId="29" type="noConversion"/>
  <conditionalFormatting sqref="A6:O16">
    <cfRule type="expression" dxfId="7" priority="1">
      <formula>$E6=0</formula>
    </cfRule>
  </conditionalFormatting>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O25"/>
  <sheetViews>
    <sheetView zoomScaleNormal="100" workbookViewId="0">
      <pane ySplit="5" topLeftCell="A6" activePane="bottomLeft" state="frozen"/>
      <selection pane="bottomLeft" activeCell="E33" sqref="E33"/>
    </sheetView>
  </sheetViews>
  <sheetFormatPr defaultColWidth="8.7109375" defaultRowHeight="15"/>
  <cols>
    <col min="1" max="1" width="5.5703125" customWidth="1"/>
    <col min="2" max="2" width="30" customWidth="1"/>
    <col min="3" max="3" width="20" customWidth="1"/>
    <col min="4" max="4" width="12" customWidth="1"/>
    <col min="5" max="5" width="8" customWidth="1"/>
    <col min="6" max="6" width="12" customWidth="1"/>
    <col min="7" max="9" width="9.42578125" customWidth="1"/>
    <col min="10" max="11" width="11" customWidth="1"/>
    <col min="13" max="13" width="24" customWidth="1"/>
    <col min="14" max="14" width="11" customWidth="1"/>
    <col min="15" max="15" width="9.42578125" customWidth="1"/>
  </cols>
  <sheetData>
    <row r="1" spans="1:15" ht="19.5" customHeight="1">
      <c r="A1" s="17" t="s">
        <v>462</v>
      </c>
    </row>
    <row r="2" spans="1:15" ht="16.5" customHeight="1">
      <c r="A2" s="18" t="s">
        <v>463</v>
      </c>
    </row>
    <row r="3" spans="1:15">
      <c r="A3" s="33" t="s">
        <v>464</v>
      </c>
    </row>
    <row r="4" spans="1:15" ht="15" customHeight="1">
      <c r="A4" s="3" t="s">
        <v>252</v>
      </c>
    </row>
    <row r="5" spans="1:15" ht="16.5" customHeight="1">
      <c r="A5" s="34" t="s">
        <v>253</v>
      </c>
      <c r="B5" s="35" t="s">
        <v>76</v>
      </c>
      <c r="C5" s="35" t="s">
        <v>254</v>
      </c>
      <c r="D5" s="35" t="s">
        <v>255</v>
      </c>
      <c r="E5" s="35" t="s">
        <v>148</v>
      </c>
      <c r="F5" s="35" t="s">
        <v>256</v>
      </c>
      <c r="G5" s="35" t="s">
        <v>257</v>
      </c>
      <c r="H5" s="35" t="s">
        <v>258</v>
      </c>
      <c r="I5" s="35" t="s">
        <v>259</v>
      </c>
      <c r="J5" s="35" t="s">
        <v>260</v>
      </c>
      <c r="K5" s="35" t="s">
        <v>261</v>
      </c>
      <c r="L5" s="35" t="s">
        <v>262</v>
      </c>
      <c r="M5" s="35" t="s">
        <v>263</v>
      </c>
      <c r="N5" s="35" t="s">
        <v>264</v>
      </c>
      <c r="O5" s="35" t="s">
        <v>265</v>
      </c>
    </row>
    <row r="6" spans="1:15" ht="16.5" customHeight="1">
      <c r="A6" s="20">
        <v>1</v>
      </c>
      <c r="B6" s="36" t="s">
        <v>465</v>
      </c>
      <c r="C6" s="20" t="s">
        <v>282</v>
      </c>
      <c r="D6" s="26">
        <v>45</v>
      </c>
      <c r="E6" s="20">
        <v>4</v>
      </c>
      <c r="F6" s="26" t="s">
        <v>284</v>
      </c>
      <c r="G6" s="26">
        <v>40</v>
      </c>
      <c r="H6" s="26">
        <v>150</v>
      </c>
      <c r="I6" s="26">
        <f t="shared" ref="I6:I15" si="0">IF(E6=0,0,ROUND((E6*(G6+H6)+O6)/60,1))</f>
        <v>12.7</v>
      </c>
      <c r="J6" s="21" t="s">
        <v>466</v>
      </c>
      <c r="K6" s="21" t="s">
        <v>467</v>
      </c>
      <c r="L6" s="21" t="s">
        <v>468</v>
      </c>
      <c r="O6" s="26"/>
    </row>
    <row r="7" spans="1:15" ht="16.5" customHeight="1">
      <c r="A7" s="20">
        <v>2</v>
      </c>
      <c r="B7" s="36" t="s">
        <v>469</v>
      </c>
      <c r="C7" s="20" t="s">
        <v>267</v>
      </c>
      <c r="D7" s="26">
        <v>47</v>
      </c>
      <c r="E7" s="20">
        <v>2</v>
      </c>
      <c r="F7" s="26" t="s">
        <v>274</v>
      </c>
      <c r="G7" s="26">
        <v>40</v>
      </c>
      <c r="H7" s="26">
        <v>150</v>
      </c>
      <c r="I7" s="26">
        <f t="shared" si="0"/>
        <v>6.3</v>
      </c>
      <c r="J7" s="21" t="s">
        <v>466</v>
      </c>
      <c r="K7" s="21" t="s">
        <v>470</v>
      </c>
      <c r="L7" s="21" t="s">
        <v>471</v>
      </c>
      <c r="O7" s="26"/>
    </row>
    <row r="8" spans="1:15" ht="16.5" customHeight="1">
      <c r="A8" s="20">
        <v>3</v>
      </c>
      <c r="B8" s="36" t="s">
        <v>472</v>
      </c>
      <c r="C8" s="20" t="s">
        <v>267</v>
      </c>
      <c r="D8" s="26">
        <v>20</v>
      </c>
      <c r="E8" s="20">
        <v>2</v>
      </c>
      <c r="F8" s="26" t="s">
        <v>278</v>
      </c>
      <c r="G8" s="26">
        <v>80</v>
      </c>
      <c r="H8" s="26">
        <v>150</v>
      </c>
      <c r="I8" s="26">
        <f t="shared" si="0"/>
        <v>9.6999999999999993</v>
      </c>
      <c r="J8" s="21" t="s">
        <v>466</v>
      </c>
      <c r="K8" s="21" t="s">
        <v>473</v>
      </c>
      <c r="L8" s="21" t="s">
        <v>474</v>
      </c>
      <c r="O8" s="26">
        <v>120</v>
      </c>
    </row>
    <row r="9" spans="1:15" ht="16.5" customHeight="1">
      <c r="A9" s="20">
        <v>4</v>
      </c>
      <c r="B9" s="36" t="s">
        <v>475</v>
      </c>
      <c r="C9" s="20" t="s">
        <v>282</v>
      </c>
      <c r="D9" s="20">
        <v>32</v>
      </c>
      <c r="E9" s="20">
        <v>4</v>
      </c>
      <c r="F9" s="26" t="s">
        <v>289</v>
      </c>
      <c r="G9" s="26">
        <v>40</v>
      </c>
      <c r="H9" s="26">
        <v>60</v>
      </c>
      <c r="I9" s="26">
        <f t="shared" si="0"/>
        <v>7.7</v>
      </c>
      <c r="J9" s="21" t="s">
        <v>476</v>
      </c>
      <c r="K9" s="21" t="s">
        <v>477</v>
      </c>
      <c r="L9" s="21" t="s">
        <v>478</v>
      </c>
      <c r="O9" s="26">
        <v>60</v>
      </c>
    </row>
    <row r="10" spans="1:15" ht="16.5" customHeight="1">
      <c r="A10" s="20">
        <v>5</v>
      </c>
      <c r="B10" s="21" t="s">
        <v>410</v>
      </c>
      <c r="C10" s="20" t="s">
        <v>358</v>
      </c>
      <c r="D10" s="26" t="s">
        <v>289</v>
      </c>
      <c r="E10" s="20">
        <v>0</v>
      </c>
      <c r="F10" s="26" t="s">
        <v>314</v>
      </c>
      <c r="G10" s="26">
        <v>40</v>
      </c>
      <c r="H10" s="26">
        <v>70</v>
      </c>
      <c r="I10" s="26">
        <f t="shared" si="0"/>
        <v>0</v>
      </c>
      <c r="J10" s="21" t="s">
        <v>411</v>
      </c>
      <c r="K10" s="21" t="s">
        <v>479</v>
      </c>
      <c r="L10" s="21" t="s">
        <v>480</v>
      </c>
      <c r="O10" s="26"/>
    </row>
    <row r="11" spans="1:15" ht="16.5" customHeight="1">
      <c r="A11" s="20">
        <v>6</v>
      </c>
      <c r="B11" s="21" t="s">
        <v>481</v>
      </c>
      <c r="C11" s="20" t="s">
        <v>269</v>
      </c>
      <c r="D11" s="26">
        <v>30</v>
      </c>
      <c r="E11" s="20">
        <v>4</v>
      </c>
      <c r="F11" s="26" t="s">
        <v>274</v>
      </c>
      <c r="G11" s="26">
        <v>40</v>
      </c>
      <c r="H11" s="26">
        <v>70</v>
      </c>
      <c r="I11" s="26">
        <f t="shared" si="0"/>
        <v>8.3000000000000007</v>
      </c>
      <c r="J11" s="21" t="s">
        <v>295</v>
      </c>
      <c r="K11" s="21" t="s">
        <v>482</v>
      </c>
      <c r="L11" s="22" t="s">
        <v>483</v>
      </c>
      <c r="O11" s="26">
        <v>60</v>
      </c>
    </row>
    <row r="12" spans="1:15" ht="16.5" customHeight="1">
      <c r="A12" s="20">
        <v>7</v>
      </c>
      <c r="B12" s="21" t="s">
        <v>484</v>
      </c>
      <c r="C12" s="20" t="s">
        <v>407</v>
      </c>
      <c r="D12" s="20">
        <v>15</v>
      </c>
      <c r="E12" s="20">
        <v>4</v>
      </c>
      <c r="F12" s="26" t="s">
        <v>350</v>
      </c>
      <c r="G12" s="26">
        <v>40</v>
      </c>
      <c r="H12" s="26">
        <v>90</v>
      </c>
      <c r="I12" s="26">
        <f t="shared" si="0"/>
        <v>8.6999999999999993</v>
      </c>
      <c r="J12" s="21" t="s">
        <v>485</v>
      </c>
      <c r="K12" s="21" t="s">
        <v>486</v>
      </c>
      <c r="L12" s="21" t="s">
        <v>487</v>
      </c>
      <c r="O12" s="26"/>
    </row>
    <row r="13" spans="1:15" ht="16.5" customHeight="1">
      <c r="A13" s="20">
        <v>8</v>
      </c>
      <c r="B13" s="70" t="s">
        <v>488</v>
      </c>
      <c r="C13" s="20" t="s">
        <v>308</v>
      </c>
      <c r="D13" s="20" t="s">
        <v>489</v>
      </c>
      <c r="E13" s="20">
        <v>2</v>
      </c>
      <c r="F13" s="26" t="s">
        <v>289</v>
      </c>
      <c r="G13" s="26">
        <v>40</v>
      </c>
      <c r="H13" s="26">
        <v>75</v>
      </c>
      <c r="I13" s="26">
        <f t="shared" si="0"/>
        <v>3.8</v>
      </c>
      <c r="J13" s="21"/>
      <c r="K13" s="21" t="s">
        <v>490</v>
      </c>
      <c r="L13" s="21" t="s">
        <v>491</v>
      </c>
      <c r="O13" s="26"/>
    </row>
    <row r="14" spans="1:15" ht="16.5" customHeight="1">
      <c r="A14" s="20">
        <v>9</v>
      </c>
      <c r="B14" s="21" t="s">
        <v>492</v>
      </c>
      <c r="C14" s="20" t="s">
        <v>393</v>
      </c>
      <c r="D14" s="26">
        <v>10</v>
      </c>
      <c r="E14" s="20">
        <v>3</v>
      </c>
      <c r="F14" s="26" t="s">
        <v>304</v>
      </c>
      <c r="G14" s="26">
        <v>80</v>
      </c>
      <c r="H14" s="26">
        <v>75</v>
      </c>
      <c r="I14" s="26">
        <f t="shared" si="0"/>
        <v>7.8</v>
      </c>
      <c r="J14" s="21"/>
      <c r="K14" s="21" t="s">
        <v>493</v>
      </c>
      <c r="L14" s="21" t="s">
        <v>494</v>
      </c>
      <c r="O14" s="26"/>
    </row>
    <row r="15" spans="1:15" ht="16.5" customHeight="1">
      <c r="A15" s="20">
        <v>10</v>
      </c>
      <c r="B15" s="74" t="s">
        <v>318</v>
      </c>
      <c r="C15" s="20" t="s">
        <v>313</v>
      </c>
      <c r="D15" s="20" t="s">
        <v>283</v>
      </c>
      <c r="E15" s="20">
        <v>3</v>
      </c>
      <c r="F15" s="26" t="s">
        <v>289</v>
      </c>
      <c r="G15" s="26">
        <v>40</v>
      </c>
      <c r="H15" s="26">
        <v>60</v>
      </c>
      <c r="I15" s="26">
        <f t="shared" si="0"/>
        <v>5</v>
      </c>
      <c r="J15" s="21"/>
      <c r="K15" s="21" t="s">
        <v>319</v>
      </c>
      <c r="L15" s="21" t="s">
        <v>320</v>
      </c>
      <c r="O15" s="26"/>
    </row>
    <row r="16" spans="1:15" ht="15" customHeight="1">
      <c r="D16" s="3" t="s">
        <v>321</v>
      </c>
      <c r="E16" s="27">
        <f>SUM(E6:E15)</f>
        <v>28</v>
      </c>
      <c r="I16">
        <f>ROUND(SUM(I6:I15),0)</f>
        <v>70</v>
      </c>
    </row>
    <row r="17" spans="1:2" ht="15" customHeight="1">
      <c r="A17" t="s">
        <v>456</v>
      </c>
    </row>
    <row r="18" spans="1:2">
      <c r="A18" t="s">
        <v>495</v>
      </c>
    </row>
    <row r="19" spans="1:2">
      <c r="A19" t="s">
        <v>496</v>
      </c>
    </row>
    <row r="20" spans="1:2">
      <c r="A20" t="s">
        <v>497</v>
      </c>
    </row>
    <row r="22" spans="1:2">
      <c r="A22" s="99" t="s">
        <v>245</v>
      </c>
      <c r="B22" s="72"/>
    </row>
    <row r="23" spans="1:2">
      <c r="A23" t="s">
        <v>498</v>
      </c>
    </row>
    <row r="24" spans="1:2">
      <c r="A24" t="s">
        <v>325</v>
      </c>
    </row>
    <row r="25" spans="1:2">
      <c r="A25" t="s">
        <v>499</v>
      </c>
    </row>
  </sheetData>
  <phoneticPr fontId="29" type="noConversion"/>
  <conditionalFormatting sqref="A6:O15">
    <cfRule type="expression" dxfId="6" priority="1">
      <formula>$E6=0</formula>
    </cfRule>
  </conditionalFormatting>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O46"/>
  <sheetViews>
    <sheetView zoomScaleNormal="100" workbookViewId="0">
      <pane ySplit="19" topLeftCell="A20" activePane="bottomLeft" state="frozen"/>
      <selection pane="bottomLeft" activeCell="N13" sqref="N13"/>
    </sheetView>
  </sheetViews>
  <sheetFormatPr defaultColWidth="8.7109375" defaultRowHeight="15"/>
  <cols>
    <col min="1" max="1" width="5.5703125" customWidth="1"/>
    <col min="2" max="2" width="30" customWidth="1"/>
    <col min="3" max="3" width="20" customWidth="1"/>
    <col min="4" max="4" width="12" customWidth="1"/>
    <col min="5" max="5" width="8" customWidth="1"/>
    <col min="6" max="6" width="12" customWidth="1"/>
    <col min="7" max="9" width="9.42578125" customWidth="1"/>
    <col min="10" max="11" width="11" customWidth="1"/>
    <col min="13" max="13" width="24" customWidth="1"/>
    <col min="14" max="14" width="11" customWidth="1"/>
    <col min="15" max="15" width="9.42578125" customWidth="1"/>
  </cols>
  <sheetData>
    <row r="1" spans="1:3" ht="19.5" customHeight="1">
      <c r="A1" s="17" t="s">
        <v>500</v>
      </c>
    </row>
    <row r="2" spans="1:3" ht="16.5" customHeight="1">
      <c r="A2" s="18" t="s">
        <v>501</v>
      </c>
    </row>
    <row r="4" spans="1:3" ht="16.5" customHeight="1">
      <c r="A4" s="3" t="s">
        <v>502</v>
      </c>
    </row>
    <row r="5" spans="1:3" ht="16.5" customHeight="1">
      <c r="A5" s="19" t="s">
        <v>255</v>
      </c>
      <c r="B5" s="19" t="s">
        <v>330</v>
      </c>
      <c r="C5" s="19" t="s">
        <v>148</v>
      </c>
    </row>
    <row r="6" spans="1:3" ht="15" customHeight="1">
      <c r="A6" s="20">
        <f>MAX(20,(MROUND(시작중량_설정!$E$10*0.4,1)+(MOD(MROUND(시작중량_설정!$E$10*0.4,1),5)=4)))</f>
        <v>20</v>
      </c>
      <c r="B6" s="20">
        <v>5</v>
      </c>
      <c r="C6" s="20">
        <v>2</v>
      </c>
    </row>
    <row r="7" spans="1:3" ht="15" customHeight="1">
      <c r="A7" s="20" t="str">
        <f>IF(MAX(20,(MROUND(시작중량_설정!$E$10*0.6,1)+(MOD(MROUND(시작중량_설정!$E$10*0.6,1),5)=4)))&lt;=MAX(20,(MROUND(시작중량_설정!$E$10*0.4,1)+(MOD(MROUND(시작중량_설정!$E$10*0.4,1),5)=4))),"생략",MAX(20,(MROUND(시작중량_설정!$E$10*0.6,1)+(MOD(MROUND(시작중량_설정!$E$10*0.6,1),5)=4))))</f>
        <v>생략</v>
      </c>
      <c r="B7" s="20">
        <v>5</v>
      </c>
      <c r="C7" s="20">
        <v>1</v>
      </c>
    </row>
    <row r="8" spans="1:3" ht="15" customHeight="1">
      <c r="A8" s="20">
        <f>IF(MAX(20,(MROUND(시작중량_설정!$E$10*0.75,1)+(MOD(MROUND(시작중량_설정!$E$10*0.75,1),5)=4)))&lt;=MAX(20,(MROUND(시작중량_설정!$E$10*0.6,1)+(MOD(MROUND(시작중량_설정!$E$10*0.6,1),5)=4))),"생략",MAX(20,(MROUND(시작중량_설정!$E$10*0.75,1)+(MOD(MROUND(시작중량_설정!$E$10*0.75,1),5)=4))))</f>
        <v>23</v>
      </c>
      <c r="B8" s="20">
        <v>3</v>
      </c>
      <c r="C8" s="20">
        <v>1</v>
      </c>
    </row>
    <row r="9" spans="1:3" ht="15" customHeight="1">
      <c r="A9" s="20">
        <f>IF(MAX(20,(MROUND(시작중량_설정!$E$10*0.9,1)+(MOD(MROUND(시작중량_설정!$E$10*0.9,1),5)=4)))&lt;=MAX(20,(MROUND(시작중량_설정!$E$10*0.75,1)+(MOD(MROUND(시작중량_설정!$E$10*0.75,1),5)=4))),"생략",MAX(20,(MROUND(시작중량_설정!$E$10*0.9,1)+(MOD(MROUND(시작중량_설정!$E$10*0.9,1),5)=4))))</f>
        <v>28</v>
      </c>
      <c r="B9" s="20">
        <v>2</v>
      </c>
      <c r="C9" s="20">
        <v>1</v>
      </c>
    </row>
    <row r="10" spans="1:3" ht="15" customHeight="1">
      <c r="A10" s="37">
        <f>시작중량_설정!$E$10</f>
        <v>31</v>
      </c>
      <c r="B10" s="27">
        <v>5</v>
      </c>
      <c r="C10" s="27">
        <v>3</v>
      </c>
    </row>
    <row r="11" spans="1:3" ht="16.5" customHeight="1">
      <c r="A11" s="31" t="s">
        <v>331</v>
      </c>
    </row>
    <row r="13" spans="1:3" ht="16.5" customHeight="1">
      <c r="A13" s="3" t="s">
        <v>332</v>
      </c>
    </row>
    <row r="14" spans="1:3" ht="16.5" customHeight="1">
      <c r="A14" s="31" t="s">
        <v>333</v>
      </c>
    </row>
    <row r="15" spans="1:3" ht="16.5" customHeight="1">
      <c r="A15" s="31" t="s">
        <v>334</v>
      </c>
    </row>
    <row r="16" spans="1:3" ht="16.5" customHeight="1">
      <c r="A16" s="31" t="s">
        <v>335</v>
      </c>
    </row>
    <row r="18" spans="1:15" ht="15" customHeight="1">
      <c r="A18" s="3" t="s">
        <v>252</v>
      </c>
    </row>
    <row r="19" spans="1:15" ht="16.5" customHeight="1">
      <c r="A19" s="34" t="s">
        <v>253</v>
      </c>
      <c r="B19" s="35" t="s">
        <v>76</v>
      </c>
      <c r="C19" s="35" t="s">
        <v>254</v>
      </c>
      <c r="D19" s="35" t="s">
        <v>255</v>
      </c>
      <c r="E19" s="35" t="s">
        <v>148</v>
      </c>
      <c r="F19" s="35" t="s">
        <v>256</v>
      </c>
      <c r="G19" s="35" t="s">
        <v>257</v>
      </c>
      <c r="H19" s="35" t="s">
        <v>258</v>
      </c>
      <c r="I19" s="35" t="s">
        <v>259</v>
      </c>
      <c r="J19" s="35" t="s">
        <v>260</v>
      </c>
      <c r="K19" s="35" t="s">
        <v>261</v>
      </c>
      <c r="L19" s="35" t="s">
        <v>262</v>
      </c>
      <c r="M19" s="35" t="s">
        <v>263</v>
      </c>
      <c r="N19" s="35" t="s">
        <v>264</v>
      </c>
      <c r="O19" s="35" t="s">
        <v>265</v>
      </c>
    </row>
    <row r="20" spans="1:15" ht="16.5" customHeight="1">
      <c r="A20" s="40">
        <v>1</v>
      </c>
      <c r="B20" s="39" t="s">
        <v>503</v>
      </c>
      <c r="C20" s="40" t="s">
        <v>429</v>
      </c>
      <c r="D20" s="41">
        <f>시작중량_설정!$E$10</f>
        <v>31</v>
      </c>
      <c r="E20" s="40">
        <v>3</v>
      </c>
      <c r="F20" s="38" t="s">
        <v>338</v>
      </c>
      <c r="G20" s="38">
        <v>30</v>
      </c>
      <c r="H20" s="38">
        <v>180</v>
      </c>
      <c r="I20" s="38">
        <f t="shared" ref="I20:I29" si="0">IF(E20=0,0,ROUND((E20*(G20+H20)+O20)/60,1))</f>
        <v>10.5</v>
      </c>
      <c r="J20" s="39" t="s">
        <v>504</v>
      </c>
      <c r="K20" s="39" t="s">
        <v>505</v>
      </c>
      <c r="L20" s="39" t="s">
        <v>506</v>
      </c>
      <c r="M20" s="38" t="s">
        <v>507</v>
      </c>
      <c r="O20" s="38"/>
    </row>
    <row r="21" spans="1:15" ht="16.5" customHeight="1">
      <c r="A21" s="20">
        <v>2</v>
      </c>
      <c r="B21" s="21" t="s">
        <v>508</v>
      </c>
      <c r="C21" s="20" t="s">
        <v>429</v>
      </c>
      <c r="D21" s="20">
        <v>25</v>
      </c>
      <c r="E21" s="20">
        <v>3</v>
      </c>
      <c r="F21" s="26" t="s">
        <v>314</v>
      </c>
      <c r="G21" s="26">
        <v>40</v>
      </c>
      <c r="H21" s="26">
        <v>120</v>
      </c>
      <c r="I21" s="26">
        <f t="shared" si="0"/>
        <v>8</v>
      </c>
      <c r="J21" s="21" t="s">
        <v>509</v>
      </c>
      <c r="K21" s="21" t="s">
        <v>510</v>
      </c>
      <c r="L21" s="21" t="s">
        <v>511</v>
      </c>
      <c r="O21" s="26"/>
    </row>
    <row r="22" spans="1:15" ht="16.5" customHeight="1">
      <c r="A22" s="20">
        <v>3</v>
      </c>
      <c r="B22" s="36" t="s">
        <v>417</v>
      </c>
      <c r="C22" s="20" t="s">
        <v>418</v>
      </c>
      <c r="D22" s="20">
        <v>20</v>
      </c>
      <c r="E22" s="20">
        <v>3</v>
      </c>
      <c r="F22" s="26" t="s">
        <v>289</v>
      </c>
      <c r="G22" s="26">
        <v>40</v>
      </c>
      <c r="H22" s="26">
        <v>60</v>
      </c>
      <c r="I22" s="26">
        <f t="shared" si="0"/>
        <v>5</v>
      </c>
      <c r="J22" s="21" t="s">
        <v>285</v>
      </c>
      <c r="K22" s="21" t="s">
        <v>512</v>
      </c>
      <c r="L22" s="21" t="s">
        <v>513</v>
      </c>
      <c r="O22" s="26"/>
    </row>
    <row r="23" spans="1:15" ht="16.5" customHeight="1">
      <c r="A23" s="20">
        <v>4</v>
      </c>
      <c r="B23" s="21" t="s">
        <v>514</v>
      </c>
      <c r="C23" s="20" t="s">
        <v>337</v>
      </c>
      <c r="D23" s="26">
        <v>25</v>
      </c>
      <c r="E23" s="20">
        <v>3</v>
      </c>
      <c r="F23" s="26" t="s">
        <v>274</v>
      </c>
      <c r="G23" s="26">
        <v>40</v>
      </c>
      <c r="H23" s="26">
        <v>150</v>
      </c>
      <c r="I23" s="26">
        <f t="shared" si="0"/>
        <v>9.5</v>
      </c>
      <c r="J23" s="21" t="s">
        <v>345</v>
      </c>
      <c r="K23" s="21" t="s">
        <v>515</v>
      </c>
      <c r="L23" s="21" t="s">
        <v>516</v>
      </c>
      <c r="O23" s="26"/>
    </row>
    <row r="24" spans="1:15" ht="16.5" customHeight="1">
      <c r="A24" s="20">
        <v>5</v>
      </c>
      <c r="B24" s="21" t="s">
        <v>517</v>
      </c>
      <c r="C24" s="20" t="s">
        <v>349</v>
      </c>
      <c r="D24" s="26">
        <v>35</v>
      </c>
      <c r="E24" s="20">
        <v>3</v>
      </c>
      <c r="F24" s="26" t="s">
        <v>284</v>
      </c>
      <c r="G24" s="26">
        <v>40</v>
      </c>
      <c r="H24" s="26">
        <v>150</v>
      </c>
      <c r="I24" s="26">
        <f t="shared" si="0"/>
        <v>9.5</v>
      </c>
      <c r="J24" s="21" t="s">
        <v>339</v>
      </c>
      <c r="K24" s="21" t="s">
        <v>518</v>
      </c>
      <c r="L24" s="21" t="s">
        <v>519</v>
      </c>
      <c r="O24" s="26"/>
    </row>
    <row r="25" spans="1:15" ht="16.5" customHeight="1">
      <c r="A25" s="20">
        <v>6</v>
      </c>
      <c r="B25" s="21" t="s">
        <v>520</v>
      </c>
      <c r="C25" s="43" t="s">
        <v>337</v>
      </c>
      <c r="D25" s="26">
        <v>10</v>
      </c>
      <c r="E25" s="20">
        <v>3</v>
      </c>
      <c r="F25" s="26" t="s">
        <v>274</v>
      </c>
      <c r="G25" s="26">
        <v>40</v>
      </c>
      <c r="H25" s="26">
        <v>90</v>
      </c>
      <c r="I25" s="26">
        <f t="shared" si="0"/>
        <v>7.5</v>
      </c>
      <c r="J25" s="21"/>
      <c r="K25" s="21" t="s">
        <v>521</v>
      </c>
      <c r="L25" s="21" t="s">
        <v>522</v>
      </c>
      <c r="O25" s="26">
        <v>60</v>
      </c>
    </row>
    <row r="26" spans="1:15" ht="16.5" customHeight="1">
      <c r="A26" s="20">
        <v>7</v>
      </c>
      <c r="B26" s="21" t="s">
        <v>523</v>
      </c>
      <c r="C26" s="20" t="s">
        <v>358</v>
      </c>
      <c r="D26" s="26">
        <v>15</v>
      </c>
      <c r="E26" s="20">
        <v>3</v>
      </c>
      <c r="F26" s="26" t="s">
        <v>289</v>
      </c>
      <c r="G26" s="26">
        <v>40</v>
      </c>
      <c r="H26" s="26">
        <v>70</v>
      </c>
      <c r="I26" s="26">
        <f t="shared" si="0"/>
        <v>5.5</v>
      </c>
      <c r="J26" s="21"/>
      <c r="K26" s="21" t="s">
        <v>524</v>
      </c>
      <c r="L26" s="21" t="s">
        <v>525</v>
      </c>
      <c r="O26" s="26"/>
    </row>
    <row r="27" spans="1:15" ht="16.5" customHeight="1">
      <c r="A27" s="20">
        <v>8</v>
      </c>
      <c r="B27" s="21" t="s">
        <v>526</v>
      </c>
      <c r="C27" s="20" t="s">
        <v>354</v>
      </c>
      <c r="D27" s="26">
        <v>5</v>
      </c>
      <c r="E27" s="20">
        <v>3</v>
      </c>
      <c r="F27" s="26" t="s">
        <v>350</v>
      </c>
      <c r="G27" s="26">
        <v>70</v>
      </c>
      <c r="H27" s="26">
        <v>70</v>
      </c>
      <c r="I27" s="26">
        <f t="shared" si="0"/>
        <v>7</v>
      </c>
      <c r="J27" s="21"/>
      <c r="K27" s="21" t="s">
        <v>527</v>
      </c>
      <c r="L27" s="21" t="s">
        <v>528</v>
      </c>
      <c r="O27" s="26"/>
    </row>
    <row r="28" spans="1:15" ht="16.5" customHeight="1">
      <c r="A28" s="20">
        <v>9</v>
      </c>
      <c r="B28" s="21" t="s">
        <v>529</v>
      </c>
      <c r="C28" s="20" t="s">
        <v>418</v>
      </c>
      <c r="D28" s="26" t="s">
        <v>530</v>
      </c>
      <c r="E28" s="20">
        <v>3</v>
      </c>
      <c r="F28" s="26" t="s">
        <v>289</v>
      </c>
      <c r="G28" s="26">
        <v>40</v>
      </c>
      <c r="H28" s="26">
        <v>60</v>
      </c>
      <c r="I28" s="26">
        <f t="shared" si="0"/>
        <v>5</v>
      </c>
      <c r="J28" s="21" t="s">
        <v>476</v>
      </c>
      <c r="K28" s="21" t="s">
        <v>531</v>
      </c>
      <c r="L28" s="21" t="s">
        <v>532</v>
      </c>
      <c r="O28" s="26"/>
    </row>
    <row r="29" spans="1:15" ht="16.5" customHeight="1">
      <c r="A29" s="20">
        <v>10</v>
      </c>
      <c r="B29" s="74" t="s">
        <v>533</v>
      </c>
      <c r="C29" s="20" t="s">
        <v>299</v>
      </c>
      <c r="D29" s="20">
        <v>15</v>
      </c>
      <c r="E29" s="20">
        <v>3</v>
      </c>
      <c r="F29" s="26" t="s">
        <v>314</v>
      </c>
      <c r="G29" s="26">
        <v>40</v>
      </c>
      <c r="H29" s="26">
        <v>60</v>
      </c>
      <c r="I29" s="26">
        <f t="shared" si="0"/>
        <v>5</v>
      </c>
      <c r="J29" s="21"/>
      <c r="K29" s="21" t="s">
        <v>534</v>
      </c>
      <c r="L29" s="21" t="s">
        <v>535</v>
      </c>
      <c r="O29" s="26"/>
    </row>
    <row r="30" spans="1:15" ht="15" customHeight="1">
      <c r="A30" s="20"/>
      <c r="B30" s="21"/>
      <c r="C30" s="20"/>
      <c r="D30" s="26" t="s">
        <v>321</v>
      </c>
      <c r="E30" s="20">
        <f>SUM(E20:E29)</f>
        <v>30</v>
      </c>
      <c r="F30" s="26"/>
      <c r="G30" s="26"/>
      <c r="H30" s="26"/>
      <c r="I30" s="26">
        <f>ROUND(SUM(I20:I29),0)</f>
        <v>73</v>
      </c>
      <c r="J30" s="21"/>
      <c r="K30" s="21"/>
      <c r="L30" s="21"/>
    </row>
    <row r="31" spans="1:15" ht="15" customHeight="1">
      <c r="A31" s="3" t="s">
        <v>536</v>
      </c>
    </row>
    <row r="32" spans="1:15">
      <c r="A32" s="31" t="s">
        <v>537</v>
      </c>
    </row>
    <row r="33" spans="1:1" ht="16.5" customHeight="1">
      <c r="A33" s="31" t="s">
        <v>538</v>
      </c>
    </row>
    <row r="34" spans="1:1" ht="16.5" customHeight="1">
      <c r="A34" s="31" t="s">
        <v>539</v>
      </c>
    </row>
    <row r="35" spans="1:1" ht="16.5" customHeight="1">
      <c r="A35" s="31" t="s">
        <v>540</v>
      </c>
    </row>
    <row r="36" spans="1:1" ht="16.5" customHeight="1">
      <c r="A36" s="31" t="s">
        <v>541</v>
      </c>
    </row>
    <row r="37" spans="1:1" ht="16.5" customHeight="1">
      <c r="A37" s="31" t="s">
        <v>542</v>
      </c>
    </row>
    <row r="38" spans="1:1" ht="16.5" customHeight="1">
      <c r="A38" s="31" t="s">
        <v>543</v>
      </c>
    </row>
    <row r="39" spans="1:1" ht="16.5" customHeight="1"/>
    <row r="40" spans="1:1" ht="16.5" customHeight="1">
      <c r="A40" t="s">
        <v>456</v>
      </c>
    </row>
    <row r="41" spans="1:1">
      <c r="A41" t="s">
        <v>544</v>
      </c>
    </row>
    <row r="42" spans="1:1">
      <c r="A42" t="s">
        <v>545</v>
      </c>
    </row>
    <row r="44" spans="1:1">
      <c r="A44" s="99" t="s">
        <v>245</v>
      </c>
    </row>
    <row r="45" spans="1:1">
      <c r="A45" t="s">
        <v>546</v>
      </c>
    </row>
    <row r="46" spans="1:1">
      <c r="A46" t="s">
        <v>325</v>
      </c>
    </row>
  </sheetData>
  <phoneticPr fontId="29" type="noConversion"/>
  <conditionalFormatting sqref="A20:O29">
    <cfRule type="expression" dxfId="5" priority="1">
      <formula>$E20=0</formula>
    </cfRule>
  </conditionalFormatting>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O33"/>
  <sheetViews>
    <sheetView zoomScaleNormal="100" workbookViewId="0">
      <pane ySplit="14" topLeftCell="A15" activePane="bottomLeft" state="frozen"/>
      <selection pane="bottomLeft" activeCell="O15" sqref="O15:O22"/>
    </sheetView>
  </sheetViews>
  <sheetFormatPr defaultColWidth="8.7109375" defaultRowHeight="15"/>
  <cols>
    <col min="1" max="1" width="7.140625" customWidth="1"/>
    <col min="2" max="2" width="30" customWidth="1"/>
    <col min="3" max="3" width="20" customWidth="1"/>
    <col min="4" max="4" width="12" customWidth="1"/>
    <col min="5" max="5" width="8" customWidth="1"/>
    <col min="6" max="6" width="12" customWidth="1"/>
    <col min="7" max="9" width="9.42578125" customWidth="1"/>
    <col min="10" max="11" width="11" customWidth="1"/>
    <col min="13" max="13" width="24" customWidth="1"/>
    <col min="14" max="14" width="11" customWidth="1"/>
    <col min="15" max="15" width="9.42578125" customWidth="1"/>
  </cols>
  <sheetData>
    <row r="1" spans="1:15" ht="19.5" customHeight="1">
      <c r="A1" s="17" t="s">
        <v>547</v>
      </c>
    </row>
    <row r="2" spans="1:15" ht="16.5" customHeight="1">
      <c r="A2" s="18" t="s">
        <v>548</v>
      </c>
    </row>
    <row r="4" spans="1:15" ht="16.5" customHeight="1">
      <c r="A4" s="3" t="s">
        <v>549</v>
      </c>
    </row>
    <row r="5" spans="1:15" ht="16.5" customHeight="1">
      <c r="A5" s="19" t="s">
        <v>255</v>
      </c>
      <c r="B5" s="19" t="s">
        <v>330</v>
      </c>
      <c r="C5" s="19" t="s">
        <v>148</v>
      </c>
    </row>
    <row r="6" spans="1:15" ht="15" customHeight="1">
      <c r="A6" s="20">
        <f>MAX(20,(MROUND(시작중량_설정!$E$8*0.4,1)+(MOD(MROUND(시작중량_설정!$E$8*0.4,1),5)=4)))</f>
        <v>32</v>
      </c>
      <c r="B6" s="20">
        <v>5</v>
      </c>
      <c r="C6" s="20">
        <v>2</v>
      </c>
    </row>
    <row r="7" spans="1:15" ht="15" customHeight="1">
      <c r="A7" s="20">
        <f>IF(MAX(20,(MROUND(시작중량_설정!$E$8*0.6,1)+(MOD(MROUND(시작중량_설정!$E$8*0.6,1),5)=4)))&lt;=MAX(20,(MROUND(시작중량_설정!$E$8*0.4,1)+(MOD(MROUND(시작중량_설정!$E$8*0.4,1),5)=4))),"생략",MAX(20,(MROUND(시작중량_설정!$E$8*0.6,1)+(MOD(MROUND(시작중량_설정!$E$8*0.6,1),5)=4))))</f>
        <v>48</v>
      </c>
      <c r="B7" s="20">
        <v>5</v>
      </c>
      <c r="C7" s="20">
        <v>1</v>
      </c>
    </row>
    <row r="8" spans="1:15" ht="15" customHeight="1">
      <c r="A8" s="20">
        <f>IF(MAX(20,(MROUND(시작중량_설정!$E$8*0.75,1)+(MOD(MROUND(시작중량_설정!$E$8*0.75,1),5)=4)))&lt;=MAX(20,(MROUND(시작중량_설정!$E$8*0.6,1)+(MOD(MROUND(시작중량_설정!$E$8*0.6,1),5)=4))),"생략",MAX(20,(MROUND(시작중량_설정!$E$8*0.75,1)+(MOD(MROUND(시작중량_설정!$E$8*0.75,1),5)=4))))</f>
        <v>60</v>
      </c>
      <c r="B8" s="20">
        <v>3</v>
      </c>
      <c r="C8" s="20">
        <v>1</v>
      </c>
    </row>
    <row r="9" spans="1:15" ht="15" customHeight="1">
      <c r="A9" s="20">
        <f>IF(MAX(20,(MROUND(시작중량_설정!$E$8*0.9,1)+(MOD(MROUND(시작중량_설정!$E$8*0.9,1),5)=4)))&lt;=MAX(20,(MROUND(시작중량_설정!$E$8*0.75,1)+(MOD(MROUND(시작중량_설정!$E$8*0.75,1),5)=4))),"생략",MAX(20,(MROUND(시작중량_설정!$E$8*0.9,1)+(MOD(MROUND(시작중량_설정!$E$8*0.9,1),5)=4))))</f>
        <v>72</v>
      </c>
      <c r="B9" s="20">
        <v>2</v>
      </c>
      <c r="C9" s="20">
        <v>1</v>
      </c>
    </row>
    <row r="10" spans="1:15" ht="15" customHeight="1">
      <c r="A10" s="37">
        <f>시작중량_설정!$E$8</f>
        <v>80</v>
      </c>
      <c r="B10" s="27">
        <v>5</v>
      </c>
      <c r="C10" s="27">
        <v>1</v>
      </c>
    </row>
    <row r="11" spans="1:15" ht="16.5" customHeight="1">
      <c r="A11" s="31" t="s">
        <v>331</v>
      </c>
    </row>
    <row r="13" spans="1:15" ht="15" customHeight="1">
      <c r="A13" s="3" t="s">
        <v>252</v>
      </c>
    </row>
    <row r="14" spans="1:15" ht="16.5" customHeight="1">
      <c r="A14" s="34" t="s">
        <v>253</v>
      </c>
      <c r="B14" s="35" t="s">
        <v>76</v>
      </c>
      <c r="C14" s="35" t="s">
        <v>254</v>
      </c>
      <c r="D14" s="35" t="s">
        <v>255</v>
      </c>
      <c r="E14" s="35" t="s">
        <v>148</v>
      </c>
      <c r="F14" s="35" t="s">
        <v>256</v>
      </c>
      <c r="G14" s="35" t="s">
        <v>257</v>
      </c>
      <c r="H14" s="35" t="s">
        <v>258</v>
      </c>
      <c r="I14" s="35" t="s">
        <v>259</v>
      </c>
      <c r="J14" s="35" t="s">
        <v>260</v>
      </c>
      <c r="K14" s="35" t="s">
        <v>261</v>
      </c>
      <c r="L14" s="35" t="s">
        <v>262</v>
      </c>
      <c r="M14" s="35" t="s">
        <v>263</v>
      </c>
      <c r="N14" s="35" t="s">
        <v>264</v>
      </c>
      <c r="O14" s="35" t="s">
        <v>265</v>
      </c>
    </row>
    <row r="15" spans="1:15" ht="16.5" customHeight="1">
      <c r="A15" s="40">
        <v>1</v>
      </c>
      <c r="B15" s="39" t="s">
        <v>550</v>
      </c>
      <c r="C15" s="40" t="s">
        <v>313</v>
      </c>
      <c r="D15" s="41">
        <f>시작중량_설정!$E$8</f>
        <v>80</v>
      </c>
      <c r="E15" s="40">
        <v>1</v>
      </c>
      <c r="F15" s="38" t="s">
        <v>338</v>
      </c>
      <c r="G15" s="38">
        <v>35</v>
      </c>
      <c r="H15" s="38">
        <v>240</v>
      </c>
      <c r="I15" s="38">
        <f t="shared" ref="I15:I22" si="0">IF(E15=0,0,ROUND((E15*(G15+H15)+O15)/60,1))</f>
        <v>4.5999999999999996</v>
      </c>
      <c r="J15" s="39" t="s">
        <v>551</v>
      </c>
      <c r="K15" s="39" t="s">
        <v>552</v>
      </c>
      <c r="L15" s="39" t="s">
        <v>553</v>
      </c>
      <c r="O15" s="38"/>
    </row>
    <row r="16" spans="1:15" ht="16.5" customHeight="1">
      <c r="A16" s="40">
        <v>2</v>
      </c>
      <c r="B16" s="39" t="s">
        <v>554</v>
      </c>
      <c r="C16" s="40" t="s">
        <v>313</v>
      </c>
      <c r="D16" s="41">
        <f>시작중량_설정!$E$8-5</f>
        <v>75</v>
      </c>
      <c r="E16" s="40">
        <v>2</v>
      </c>
      <c r="F16" s="38" t="s">
        <v>338</v>
      </c>
      <c r="G16" s="38">
        <v>35</v>
      </c>
      <c r="H16" s="38">
        <v>180</v>
      </c>
      <c r="I16" s="38">
        <f t="shared" si="0"/>
        <v>7.2</v>
      </c>
      <c r="J16" s="39" t="s">
        <v>551</v>
      </c>
      <c r="K16" s="39" t="s">
        <v>555</v>
      </c>
      <c r="L16" s="39" t="s">
        <v>553</v>
      </c>
      <c r="O16" s="38"/>
    </row>
    <row r="17" spans="1:15" ht="16.5" customHeight="1">
      <c r="A17" s="20">
        <v>3</v>
      </c>
      <c r="B17" s="21" t="s">
        <v>556</v>
      </c>
      <c r="C17" s="20" t="s">
        <v>375</v>
      </c>
      <c r="D17" s="26">
        <v>25</v>
      </c>
      <c r="E17" s="20">
        <v>4</v>
      </c>
      <c r="F17" s="26" t="s">
        <v>274</v>
      </c>
      <c r="G17" s="26">
        <v>45</v>
      </c>
      <c r="H17" s="26">
        <v>150</v>
      </c>
      <c r="I17" s="26">
        <f t="shared" si="0"/>
        <v>13</v>
      </c>
      <c r="J17" s="21" t="s">
        <v>384</v>
      </c>
      <c r="K17" s="21" t="s">
        <v>557</v>
      </c>
      <c r="L17" s="21" t="s">
        <v>558</v>
      </c>
      <c r="O17" s="26"/>
    </row>
    <row r="18" spans="1:15" ht="16.5" customHeight="1">
      <c r="A18" s="20">
        <v>4</v>
      </c>
      <c r="B18" s="21" t="s">
        <v>559</v>
      </c>
      <c r="C18" s="20" t="s">
        <v>384</v>
      </c>
      <c r="D18" s="20">
        <v>35</v>
      </c>
      <c r="E18" s="20">
        <v>3</v>
      </c>
      <c r="F18" s="26" t="s">
        <v>489</v>
      </c>
      <c r="G18" s="26">
        <v>40</v>
      </c>
      <c r="H18" s="26">
        <v>150</v>
      </c>
      <c r="I18" s="26">
        <f t="shared" si="0"/>
        <v>9.5</v>
      </c>
      <c r="J18" s="21" t="s">
        <v>370</v>
      </c>
      <c r="K18" s="21" t="s">
        <v>560</v>
      </c>
      <c r="L18" s="21" t="s">
        <v>561</v>
      </c>
      <c r="O18" s="26"/>
    </row>
    <row r="19" spans="1:15" ht="16.5" customHeight="1">
      <c r="A19" s="20">
        <v>5</v>
      </c>
      <c r="B19" s="21" t="s">
        <v>562</v>
      </c>
      <c r="C19" s="20" t="s">
        <v>384</v>
      </c>
      <c r="D19" s="26">
        <v>15</v>
      </c>
      <c r="E19" s="20">
        <v>3</v>
      </c>
      <c r="F19" s="26" t="s">
        <v>309</v>
      </c>
      <c r="G19" s="26">
        <v>80</v>
      </c>
      <c r="H19" s="26">
        <v>120</v>
      </c>
      <c r="I19" s="26">
        <f t="shared" si="0"/>
        <v>10</v>
      </c>
      <c r="J19" s="21"/>
      <c r="K19" s="21" t="s">
        <v>563</v>
      </c>
      <c r="L19" s="21" t="s">
        <v>564</v>
      </c>
      <c r="O19" s="26"/>
    </row>
    <row r="20" spans="1:15" ht="16.5" customHeight="1">
      <c r="A20" s="20">
        <v>6</v>
      </c>
      <c r="B20" s="21" t="s">
        <v>374</v>
      </c>
      <c r="C20" s="20" t="s">
        <v>369</v>
      </c>
      <c r="D20" s="26">
        <v>120</v>
      </c>
      <c r="E20" s="20">
        <v>3</v>
      </c>
      <c r="F20" s="26" t="s">
        <v>274</v>
      </c>
      <c r="G20" s="26">
        <v>45</v>
      </c>
      <c r="H20" s="26">
        <v>150</v>
      </c>
      <c r="I20" s="26">
        <f t="shared" si="0"/>
        <v>9.8000000000000007</v>
      </c>
      <c r="J20" s="21" t="s">
        <v>375</v>
      </c>
      <c r="K20" s="21" t="s">
        <v>565</v>
      </c>
      <c r="L20" s="21" t="s">
        <v>566</v>
      </c>
      <c r="O20" s="26"/>
    </row>
    <row r="21" spans="1:15" ht="16.5" customHeight="1">
      <c r="A21" s="20">
        <v>7</v>
      </c>
      <c r="B21" s="21" t="s">
        <v>567</v>
      </c>
      <c r="C21" s="20" t="s">
        <v>369</v>
      </c>
      <c r="D21" s="26">
        <v>42</v>
      </c>
      <c r="E21" s="20">
        <v>4</v>
      </c>
      <c r="F21" s="26" t="s">
        <v>350</v>
      </c>
      <c r="G21" s="26">
        <v>40</v>
      </c>
      <c r="H21" s="26">
        <v>120</v>
      </c>
      <c r="I21" s="26">
        <f t="shared" si="0"/>
        <v>11.9</v>
      </c>
      <c r="J21" s="21"/>
      <c r="K21" s="21" t="s">
        <v>568</v>
      </c>
      <c r="L21" s="21" t="s">
        <v>569</v>
      </c>
      <c r="O21" s="26">
        <v>75</v>
      </c>
    </row>
    <row r="22" spans="1:15" ht="16.5" customHeight="1">
      <c r="A22" s="20">
        <v>8</v>
      </c>
      <c r="B22" s="21" t="s">
        <v>488</v>
      </c>
      <c r="C22" s="20" t="s">
        <v>308</v>
      </c>
      <c r="D22" s="26">
        <v>8</v>
      </c>
      <c r="E22" s="20">
        <v>4</v>
      </c>
      <c r="F22" s="26" t="s">
        <v>289</v>
      </c>
      <c r="G22" s="26">
        <v>40</v>
      </c>
      <c r="H22" s="26">
        <v>75</v>
      </c>
      <c r="I22" s="26">
        <f t="shared" si="0"/>
        <v>7.7</v>
      </c>
      <c r="J22" s="21"/>
      <c r="K22" s="21" t="s">
        <v>570</v>
      </c>
      <c r="L22" s="21" t="s">
        <v>571</v>
      </c>
      <c r="O22" s="26"/>
    </row>
    <row r="23" spans="1:15" ht="16.5" customHeight="1">
      <c r="D23" s="3" t="s">
        <v>321</v>
      </c>
      <c r="E23" s="27">
        <f>SUM(E15:E22)</f>
        <v>24</v>
      </c>
      <c r="I23">
        <f>ROUND(SUM(I15:I22),0)</f>
        <v>74</v>
      </c>
    </row>
    <row r="24" spans="1:15" ht="15" customHeight="1">
      <c r="A24" s="99" t="s">
        <v>245</v>
      </c>
    </row>
    <row r="25" spans="1:15">
      <c r="A25" t="s">
        <v>572</v>
      </c>
    </row>
    <row r="26" spans="1:15">
      <c r="A26" t="s">
        <v>325</v>
      </c>
    </row>
    <row r="33" spans="2:2">
      <c r="B33" s="72"/>
    </row>
  </sheetData>
  <phoneticPr fontId="29" type="noConversion"/>
  <conditionalFormatting sqref="A15:O22">
    <cfRule type="expression" dxfId="4" priority="1">
      <formula>$E15=0</formula>
    </cfRule>
  </conditionalFormatting>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O48"/>
  <sheetViews>
    <sheetView workbookViewId="0">
      <pane ySplit="5" topLeftCell="A6" activePane="bottomLeft" state="frozen"/>
      <selection pane="bottomLeft" activeCell="G17" sqref="G17"/>
    </sheetView>
  </sheetViews>
  <sheetFormatPr defaultRowHeight="15"/>
  <cols>
    <col min="1" max="1" width="5.5703125" customWidth="1"/>
    <col min="2" max="2" width="30" customWidth="1"/>
    <col min="3" max="3" width="20" customWidth="1"/>
    <col min="4" max="4" width="12" customWidth="1"/>
    <col min="5" max="5" width="8" customWidth="1"/>
    <col min="6" max="6" width="12" customWidth="1"/>
    <col min="7" max="9" width="9.42578125" customWidth="1"/>
    <col min="10" max="10" width="11" customWidth="1"/>
    <col min="13" max="13" width="24" customWidth="1"/>
    <col min="14" max="14" width="11" customWidth="1"/>
    <col min="15" max="15" width="9.42578125" customWidth="1"/>
  </cols>
  <sheetData>
    <row r="1" spans="1:15" ht="19.5" customHeight="1">
      <c r="A1" s="17" t="s">
        <v>573</v>
      </c>
    </row>
    <row r="2" spans="1:15" ht="16.5" customHeight="1">
      <c r="A2" s="18" t="s">
        <v>574</v>
      </c>
    </row>
    <row r="3" spans="1:15" ht="30" customHeight="1">
      <c r="A3" s="33" t="s">
        <v>402</v>
      </c>
    </row>
    <row r="4" spans="1:15" ht="15" customHeight="1">
      <c r="A4" s="3" t="s">
        <v>252</v>
      </c>
    </row>
    <row r="5" spans="1:15" ht="16.5" customHeight="1">
      <c r="A5" s="34" t="s">
        <v>253</v>
      </c>
      <c r="B5" s="35" t="s">
        <v>76</v>
      </c>
      <c r="C5" s="35" t="s">
        <v>254</v>
      </c>
      <c r="D5" s="35" t="s">
        <v>255</v>
      </c>
      <c r="E5" s="35" t="s">
        <v>148</v>
      </c>
      <c r="F5" s="35" t="s">
        <v>256</v>
      </c>
      <c r="G5" s="35" t="s">
        <v>257</v>
      </c>
      <c r="H5" s="35" t="s">
        <v>258</v>
      </c>
      <c r="I5" s="35" t="s">
        <v>259</v>
      </c>
      <c r="J5" s="35" t="s">
        <v>260</v>
      </c>
      <c r="K5" s="35" t="s">
        <v>261</v>
      </c>
      <c r="L5" s="35" t="s">
        <v>262</v>
      </c>
      <c r="M5" s="35" t="s">
        <v>263</v>
      </c>
      <c r="N5" s="35" t="s">
        <v>264</v>
      </c>
      <c r="O5" s="35" t="s">
        <v>265</v>
      </c>
    </row>
    <row r="6" spans="1:15" ht="16.5" customHeight="1">
      <c r="A6" s="20">
        <v>1</v>
      </c>
      <c r="B6" s="70" t="s">
        <v>575</v>
      </c>
      <c r="C6" s="20" t="s">
        <v>354</v>
      </c>
      <c r="D6" s="20">
        <v>5</v>
      </c>
      <c r="E6" s="20">
        <v>3</v>
      </c>
      <c r="F6" s="26" t="s">
        <v>289</v>
      </c>
      <c r="G6" s="26">
        <v>80</v>
      </c>
      <c r="H6" s="26">
        <v>70</v>
      </c>
      <c r="I6" s="26">
        <f t="shared" ref="I6:I15" si="0">IF(E6=0,0,ROUND((E6*(G6+H6)+O6)/60,1))</f>
        <v>7.5</v>
      </c>
      <c r="J6" s="21"/>
      <c r="K6" s="21" t="s">
        <v>576</v>
      </c>
      <c r="L6" s="21" t="s">
        <v>577</v>
      </c>
      <c r="O6" s="26"/>
    </row>
    <row r="7" spans="1:15" ht="16.5" customHeight="1">
      <c r="A7" s="20">
        <v>2</v>
      </c>
      <c r="B7" s="70" t="s">
        <v>578</v>
      </c>
      <c r="C7" s="20" t="s">
        <v>358</v>
      </c>
      <c r="D7" s="20">
        <v>5</v>
      </c>
      <c r="E7" s="20">
        <v>3</v>
      </c>
      <c r="F7" s="26" t="s">
        <v>289</v>
      </c>
      <c r="G7" s="26">
        <v>40</v>
      </c>
      <c r="H7" s="26">
        <v>70</v>
      </c>
      <c r="I7" s="26">
        <f t="shared" si="0"/>
        <v>5.5</v>
      </c>
      <c r="J7" s="21"/>
      <c r="K7" s="21" t="s">
        <v>579</v>
      </c>
      <c r="L7" s="21" t="s">
        <v>580</v>
      </c>
      <c r="O7" s="26"/>
    </row>
    <row r="8" spans="1:15" ht="16.5" customHeight="1">
      <c r="A8" s="20">
        <v>3</v>
      </c>
      <c r="B8" s="70" t="s">
        <v>508</v>
      </c>
      <c r="C8" s="20" t="s">
        <v>429</v>
      </c>
      <c r="D8" s="20" t="s">
        <v>581</v>
      </c>
      <c r="E8" s="20">
        <v>3</v>
      </c>
      <c r="F8" s="26" t="s">
        <v>314</v>
      </c>
      <c r="G8" s="26">
        <v>40</v>
      </c>
      <c r="H8" s="26">
        <v>120</v>
      </c>
      <c r="I8" s="26">
        <f t="shared" si="0"/>
        <v>8</v>
      </c>
      <c r="J8" s="21" t="s">
        <v>504</v>
      </c>
      <c r="K8" s="21" t="s">
        <v>582</v>
      </c>
      <c r="L8" s="21" t="s">
        <v>583</v>
      </c>
      <c r="O8" s="26"/>
    </row>
    <row r="9" spans="1:15" ht="16.5" customHeight="1">
      <c r="A9" s="20">
        <v>4</v>
      </c>
      <c r="B9" s="70" t="s">
        <v>529</v>
      </c>
      <c r="C9" s="20" t="s">
        <v>418</v>
      </c>
      <c r="D9" s="20" t="s">
        <v>530</v>
      </c>
      <c r="E9" s="20">
        <v>3</v>
      </c>
      <c r="F9" s="26" t="s">
        <v>289</v>
      </c>
      <c r="G9" s="26">
        <v>40</v>
      </c>
      <c r="H9" s="26">
        <v>60</v>
      </c>
      <c r="I9" s="26">
        <f t="shared" si="0"/>
        <v>5</v>
      </c>
      <c r="J9" s="21" t="s">
        <v>358</v>
      </c>
      <c r="K9" s="21" t="s">
        <v>584</v>
      </c>
      <c r="L9" s="21" t="s">
        <v>585</v>
      </c>
      <c r="O9" s="26"/>
    </row>
    <row r="10" spans="1:15" ht="16.5" customHeight="1">
      <c r="A10" s="20">
        <v>5</v>
      </c>
      <c r="B10" s="70" t="s">
        <v>586</v>
      </c>
      <c r="C10" s="20" t="s">
        <v>349</v>
      </c>
      <c r="D10" s="20">
        <v>8</v>
      </c>
      <c r="E10" s="20">
        <v>3</v>
      </c>
      <c r="F10" s="26" t="s">
        <v>350</v>
      </c>
      <c r="G10" s="26">
        <v>40</v>
      </c>
      <c r="H10" s="26">
        <v>105</v>
      </c>
      <c r="I10" s="26">
        <f t="shared" si="0"/>
        <v>7.3</v>
      </c>
      <c r="J10" s="21"/>
      <c r="K10" s="21" t="s">
        <v>587</v>
      </c>
      <c r="L10" s="21" t="s">
        <v>352</v>
      </c>
      <c r="O10" s="26"/>
    </row>
    <row r="11" spans="1:15" ht="16.5" customHeight="1">
      <c r="A11" s="20">
        <v>6</v>
      </c>
      <c r="B11" s="21" t="s">
        <v>588</v>
      </c>
      <c r="C11" s="20" t="s">
        <v>345</v>
      </c>
      <c r="D11" s="26">
        <v>15</v>
      </c>
      <c r="E11" s="20">
        <v>4</v>
      </c>
      <c r="F11" s="26" t="s">
        <v>274</v>
      </c>
      <c r="G11" s="26">
        <v>40</v>
      </c>
      <c r="H11" s="26">
        <v>75</v>
      </c>
      <c r="I11" s="26">
        <f t="shared" si="0"/>
        <v>7.7</v>
      </c>
      <c r="J11" s="21"/>
      <c r="K11" s="21" t="s">
        <v>589</v>
      </c>
      <c r="L11" s="21" t="s">
        <v>590</v>
      </c>
      <c r="O11" s="26"/>
    </row>
    <row r="12" spans="1:15" ht="16.5" customHeight="1">
      <c r="A12" s="20">
        <v>7</v>
      </c>
      <c r="B12" s="70" t="s">
        <v>591</v>
      </c>
      <c r="C12" s="20" t="s">
        <v>269</v>
      </c>
      <c r="D12" s="20">
        <v>6</v>
      </c>
      <c r="E12" s="20">
        <v>4</v>
      </c>
      <c r="F12" s="26" t="s">
        <v>274</v>
      </c>
      <c r="G12" s="26">
        <v>40</v>
      </c>
      <c r="H12" s="26">
        <v>70</v>
      </c>
      <c r="I12" s="26">
        <f t="shared" si="0"/>
        <v>7.3</v>
      </c>
      <c r="J12" s="21" t="s">
        <v>295</v>
      </c>
      <c r="K12" s="21" t="s">
        <v>592</v>
      </c>
      <c r="L12" s="21" t="s">
        <v>593</v>
      </c>
      <c r="O12" s="26"/>
    </row>
    <row r="13" spans="1:15" ht="16.5" customHeight="1">
      <c r="A13" s="20">
        <v>8</v>
      </c>
      <c r="B13" s="70" t="s">
        <v>594</v>
      </c>
      <c r="C13" s="20" t="s">
        <v>295</v>
      </c>
      <c r="D13" s="20">
        <v>10</v>
      </c>
      <c r="E13" s="20">
        <v>3</v>
      </c>
      <c r="F13" s="26" t="s">
        <v>436</v>
      </c>
      <c r="G13" s="26">
        <v>40</v>
      </c>
      <c r="H13" s="26">
        <v>60</v>
      </c>
      <c r="I13" s="26">
        <f t="shared" si="0"/>
        <v>5</v>
      </c>
      <c r="J13" s="21"/>
      <c r="K13" s="21" t="s">
        <v>595</v>
      </c>
      <c r="L13" s="21" t="s">
        <v>596</v>
      </c>
      <c r="O13" s="26"/>
    </row>
    <row r="14" spans="1:15" ht="16.5" customHeight="1">
      <c r="A14" s="20">
        <v>9</v>
      </c>
      <c r="B14" s="70" t="s">
        <v>387</v>
      </c>
      <c r="C14" s="20" t="s">
        <v>388</v>
      </c>
      <c r="D14" s="20" t="s">
        <v>597</v>
      </c>
      <c r="E14" s="20">
        <v>5</v>
      </c>
      <c r="F14" s="26" t="s">
        <v>289</v>
      </c>
      <c r="G14" s="26">
        <v>40</v>
      </c>
      <c r="H14" s="26">
        <v>10</v>
      </c>
      <c r="I14" s="26">
        <f t="shared" si="0"/>
        <v>4.2</v>
      </c>
      <c r="J14" s="21"/>
      <c r="K14" s="21" t="s">
        <v>598</v>
      </c>
      <c r="L14" s="21" t="s">
        <v>599</v>
      </c>
      <c r="N14" t="s">
        <v>391</v>
      </c>
      <c r="O14" s="26"/>
    </row>
    <row r="15" spans="1:15" ht="16.5" customHeight="1">
      <c r="A15" s="20">
        <v>10</v>
      </c>
      <c r="B15" s="70" t="s">
        <v>392</v>
      </c>
      <c r="C15" s="20" t="s">
        <v>393</v>
      </c>
      <c r="D15" s="20" t="s">
        <v>294</v>
      </c>
      <c r="E15" s="20">
        <v>5</v>
      </c>
      <c r="F15" s="26" t="s">
        <v>289</v>
      </c>
      <c r="G15" s="26">
        <v>40</v>
      </c>
      <c r="H15" s="26">
        <v>105</v>
      </c>
      <c r="I15" s="26">
        <f t="shared" si="0"/>
        <v>12.1</v>
      </c>
      <c r="J15" s="21"/>
      <c r="K15" s="21" t="s">
        <v>600</v>
      </c>
      <c r="L15" s="21" t="s">
        <v>601</v>
      </c>
      <c r="N15" t="s">
        <v>391</v>
      </c>
      <c r="O15" s="26"/>
    </row>
    <row r="16" spans="1:15" ht="16.5" customHeight="1">
      <c r="D16" s="3" t="s">
        <v>321</v>
      </c>
      <c r="E16" s="27">
        <f>SUM(E6:E15)</f>
        <v>36</v>
      </c>
      <c r="I16">
        <f>ROUND(SUM(I6:I15),0)</f>
        <v>70</v>
      </c>
    </row>
    <row r="17" spans="1:6" ht="16.5" customHeight="1">
      <c r="F17" s="76" t="s">
        <v>602</v>
      </c>
    </row>
    <row r="18" spans="1:6" ht="16.5" customHeight="1">
      <c r="A18" s="95" t="s">
        <v>603</v>
      </c>
    </row>
    <row r="19" spans="1:6" ht="16.5" customHeight="1">
      <c r="A19" t="s">
        <v>604</v>
      </c>
    </row>
    <row r="20" spans="1:6" ht="16.5" customHeight="1">
      <c r="A20" t="s">
        <v>605</v>
      </c>
    </row>
    <row r="21" spans="1:6" ht="16.5" customHeight="1">
      <c r="A21" t="s">
        <v>606</v>
      </c>
    </row>
    <row r="22" spans="1:6" ht="16.5" customHeight="1">
      <c r="A22" t="s">
        <v>607</v>
      </c>
    </row>
    <row r="23" spans="1:6" ht="16.5" customHeight="1"/>
    <row r="24" spans="1:6" ht="16.5" customHeight="1">
      <c r="A24" s="3" t="s">
        <v>608</v>
      </c>
    </row>
    <row r="25" spans="1:6" ht="16.5" customHeight="1">
      <c r="A25" s="31" t="s">
        <v>609</v>
      </c>
    </row>
    <row r="26" spans="1:6" ht="16.5" customHeight="1">
      <c r="A26" s="31" t="s">
        <v>610</v>
      </c>
    </row>
    <row r="27" spans="1:6" ht="16.5" customHeight="1">
      <c r="A27" s="31" t="s">
        <v>611</v>
      </c>
    </row>
    <row r="28" spans="1:6" ht="16.5" customHeight="1">
      <c r="A28" s="31" t="s">
        <v>612</v>
      </c>
    </row>
    <row r="29" spans="1:6" ht="16.5" customHeight="1">
      <c r="A29" s="3" t="s">
        <v>613</v>
      </c>
    </row>
    <row r="30" spans="1:6" ht="16.5" customHeight="1">
      <c r="A30" s="31" t="s">
        <v>614</v>
      </c>
    </row>
    <row r="31" spans="1:6" ht="16.5" customHeight="1">
      <c r="A31" s="31" t="s">
        <v>615</v>
      </c>
    </row>
    <row r="32" spans="1:6" ht="16.5" customHeight="1">
      <c r="A32" s="3" t="s">
        <v>616</v>
      </c>
    </row>
    <row r="33" spans="1:1" ht="16.5" customHeight="1">
      <c r="A33" s="31" t="s">
        <v>617</v>
      </c>
    </row>
    <row r="34" spans="1:1" ht="16.5" customHeight="1">
      <c r="A34" s="31" t="s">
        <v>618</v>
      </c>
    </row>
    <row r="35" spans="1:1" ht="16.5" customHeight="1">
      <c r="A35" s="31" t="s">
        <v>619</v>
      </c>
    </row>
    <row r="36" spans="1:1" ht="16.5" customHeight="1">
      <c r="A36" s="31" t="s">
        <v>620</v>
      </c>
    </row>
    <row r="37" spans="1:1" ht="16.5" customHeight="1">
      <c r="A37" s="3" t="s">
        <v>621</v>
      </c>
    </row>
    <row r="38" spans="1:1" ht="16.5" customHeight="1">
      <c r="A38" s="31" t="s">
        <v>622</v>
      </c>
    </row>
    <row r="39" spans="1:1" ht="16.5" customHeight="1">
      <c r="A39" s="31" t="s">
        <v>623</v>
      </c>
    </row>
    <row r="40" spans="1:1" ht="16.5" customHeight="1">
      <c r="A40" s="31" t="s">
        <v>624</v>
      </c>
    </row>
    <row r="41" spans="1:1">
      <c r="A41" s="31" t="s">
        <v>625</v>
      </c>
    </row>
    <row r="42" spans="1:1">
      <c r="A42" s="3" t="s">
        <v>626</v>
      </c>
    </row>
    <row r="43" spans="1:1">
      <c r="A43" s="31" t="s">
        <v>627</v>
      </c>
    </row>
    <row r="44" spans="1:1">
      <c r="A44" s="31" t="s">
        <v>628</v>
      </c>
    </row>
    <row r="45" spans="1:1">
      <c r="A45" s="31" t="s">
        <v>629</v>
      </c>
    </row>
    <row r="46" spans="1:1">
      <c r="A46" t="s">
        <v>630</v>
      </c>
    </row>
    <row r="47" spans="1:1">
      <c r="A47" t="s">
        <v>631</v>
      </c>
    </row>
    <row r="48" spans="1:1">
      <c r="A48" t="s">
        <v>632</v>
      </c>
    </row>
  </sheetData>
  <phoneticPr fontId="29" type="noConversion"/>
  <conditionalFormatting sqref="A6:O15">
    <cfRule type="expression" dxfId="3" priority="1">
      <formula>$E6=0</formula>
    </cfRule>
  </conditionalFormatting>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75"/>
  <sheetViews>
    <sheetView topLeftCell="A43" zoomScaleNormal="100" workbookViewId="0">
      <selection activeCell="A73" sqref="A73:H75"/>
    </sheetView>
  </sheetViews>
  <sheetFormatPr defaultColWidth="8.7109375" defaultRowHeight="15"/>
  <cols>
    <col min="1" max="1" width="14" customWidth="1"/>
    <col min="2" max="2" width="26" customWidth="1"/>
    <col min="3" max="3" width="18" customWidth="1"/>
    <col min="4" max="4" width="7" customWidth="1"/>
    <col min="5" max="6" width="9" customWidth="1"/>
    <col min="7" max="7" width="7" customWidth="1"/>
    <col min="8" max="8" width="42" customWidth="1"/>
  </cols>
  <sheetData>
    <row r="1" spans="1:8" ht="19.5" customHeight="1">
      <c r="A1" s="17" t="s">
        <v>633</v>
      </c>
    </row>
    <row r="2" spans="1:8" ht="30" customHeight="1">
      <c r="A2" s="148" t="s">
        <v>634</v>
      </c>
      <c r="B2" s="147"/>
      <c r="C2" s="147"/>
      <c r="D2" s="147"/>
      <c r="E2" s="147"/>
      <c r="F2" s="147"/>
      <c r="G2" s="147"/>
      <c r="H2" s="147"/>
    </row>
    <row r="3" spans="1:8">
      <c r="A3" t="s">
        <v>635</v>
      </c>
      <c r="F3">
        <f ca="1">COUNTIF($E$7:$E$80,"?")</f>
        <v>0</v>
      </c>
    </row>
    <row r="4" spans="1:8" ht="39.75" customHeight="1">
      <c r="A4" s="146" t="s">
        <v>636</v>
      </c>
      <c r="B4" s="147"/>
      <c r="C4" s="147"/>
      <c r="D4" s="147"/>
      <c r="E4" s="147"/>
      <c r="F4" s="147"/>
      <c r="G4" s="147"/>
      <c r="H4" s="147"/>
    </row>
    <row r="6" spans="1:8" ht="15" customHeight="1">
      <c r="A6" s="44" t="s">
        <v>637</v>
      </c>
      <c r="B6" s="44" t="s">
        <v>638</v>
      </c>
      <c r="C6" s="44" t="s">
        <v>639</v>
      </c>
      <c r="D6" s="44" t="s">
        <v>640</v>
      </c>
      <c r="E6" s="44" t="s">
        <v>641</v>
      </c>
      <c r="F6" s="44" t="s">
        <v>642</v>
      </c>
      <c r="G6" s="44" t="s">
        <v>643</v>
      </c>
      <c r="H6" s="44" t="s">
        <v>644</v>
      </c>
    </row>
    <row r="7" spans="1:8" ht="15" customHeight="1">
      <c r="A7" s="45" t="s">
        <v>645</v>
      </c>
      <c r="B7" s="45" t="s">
        <v>266</v>
      </c>
      <c r="C7" s="45" t="s">
        <v>269</v>
      </c>
      <c r="D7" s="46">
        <v>0.5</v>
      </c>
      <c r="E7" s="47">
        <f t="shared" ref="E7:E38" ca="1" si="0">IFERROR(INDEX(INDIRECT("'"&amp;$A7&amp;"'!$E$1:$E$45"),MATCH($B7,INDIRECT("'"&amp;$A7&amp;"'!$B$1:$B$45"),0)),"?")</f>
        <v>4</v>
      </c>
      <c r="F7" s="48">
        <f t="shared" ref="F7:F38" ca="1" si="1">IF(ISNUMBER(E7),$D7*E7,0)</f>
        <v>2</v>
      </c>
      <c r="G7" s="49" t="s">
        <v>646</v>
      </c>
      <c r="H7" s="50" t="s">
        <v>647</v>
      </c>
    </row>
    <row r="8" spans="1:8" ht="15" customHeight="1">
      <c r="A8" s="45" t="s">
        <v>645</v>
      </c>
      <c r="B8" s="45" t="s">
        <v>273</v>
      </c>
      <c r="C8" s="45" t="s">
        <v>269</v>
      </c>
      <c r="D8" s="46">
        <v>0.2</v>
      </c>
      <c r="E8" s="47">
        <f t="shared" ca="1" si="0"/>
        <v>3</v>
      </c>
      <c r="F8" s="48">
        <f t="shared" ca="1" si="1"/>
        <v>0.60000000000000009</v>
      </c>
      <c r="G8" s="49" t="s">
        <v>646</v>
      </c>
      <c r="H8" s="50" t="s">
        <v>648</v>
      </c>
    </row>
    <row r="9" spans="1:8" ht="15" customHeight="1">
      <c r="A9" s="45" t="s">
        <v>649</v>
      </c>
      <c r="B9" s="45" t="s">
        <v>465</v>
      </c>
      <c r="C9" s="45" t="s">
        <v>269</v>
      </c>
      <c r="D9" s="46">
        <v>0.2</v>
      </c>
      <c r="E9" s="47">
        <f t="shared" ca="1" si="0"/>
        <v>4</v>
      </c>
      <c r="F9" s="48">
        <f t="shared" ca="1" si="1"/>
        <v>0.8</v>
      </c>
      <c r="G9" s="49" t="s">
        <v>646</v>
      </c>
      <c r="H9" s="50" t="s">
        <v>650</v>
      </c>
    </row>
    <row r="10" spans="1:8" ht="15" customHeight="1">
      <c r="A10" s="45" t="s">
        <v>649</v>
      </c>
      <c r="B10" s="45" t="s">
        <v>469</v>
      </c>
      <c r="C10" s="45" t="s">
        <v>269</v>
      </c>
      <c r="D10" s="46">
        <v>0.33</v>
      </c>
      <c r="E10" s="47">
        <f t="shared" ca="1" si="0"/>
        <v>2</v>
      </c>
      <c r="F10" s="48">
        <f t="shared" ca="1" si="1"/>
        <v>0.66</v>
      </c>
      <c r="G10" s="49" t="s">
        <v>646</v>
      </c>
      <c r="H10" s="50" t="s">
        <v>651</v>
      </c>
    </row>
    <row r="11" spans="1:8" ht="15" customHeight="1">
      <c r="A11" s="45" t="s">
        <v>652</v>
      </c>
      <c r="B11" s="45" t="s">
        <v>336</v>
      </c>
      <c r="C11" s="45" t="s">
        <v>345</v>
      </c>
      <c r="D11" s="46">
        <v>0.33</v>
      </c>
      <c r="E11" s="47">
        <f t="shared" ca="1" si="0"/>
        <v>5</v>
      </c>
      <c r="F11" s="48">
        <f t="shared" ca="1" si="1"/>
        <v>1.6500000000000001</v>
      </c>
      <c r="G11" s="49" t="s">
        <v>646</v>
      </c>
      <c r="H11" s="50" t="s">
        <v>653</v>
      </c>
    </row>
    <row r="12" spans="1:8" ht="15" customHeight="1">
      <c r="A12" s="45" t="s">
        <v>652</v>
      </c>
      <c r="B12" s="45" t="s">
        <v>343</v>
      </c>
      <c r="C12" s="45" t="s">
        <v>345</v>
      </c>
      <c r="D12" s="46">
        <v>0.5</v>
      </c>
      <c r="E12" s="47">
        <f t="shared" ca="1" si="0"/>
        <v>4</v>
      </c>
      <c r="F12" s="48">
        <f t="shared" ca="1" si="1"/>
        <v>2</v>
      </c>
      <c r="G12" s="49" t="s">
        <v>646</v>
      </c>
      <c r="H12" s="50" t="s">
        <v>654</v>
      </c>
    </row>
    <row r="13" spans="1:8" ht="15" customHeight="1">
      <c r="A13" s="45" t="s">
        <v>655</v>
      </c>
      <c r="B13" s="45" t="s">
        <v>503</v>
      </c>
      <c r="C13" s="45" t="s">
        <v>345</v>
      </c>
      <c r="D13" s="46">
        <v>0.33</v>
      </c>
      <c r="E13" s="47">
        <f t="shared" ca="1" si="0"/>
        <v>3</v>
      </c>
      <c r="F13" s="48">
        <f t="shared" ca="1" si="1"/>
        <v>0.99</v>
      </c>
      <c r="G13" s="49" t="s">
        <v>646</v>
      </c>
      <c r="H13" s="50" t="s">
        <v>656</v>
      </c>
    </row>
    <row r="14" spans="1:8" ht="15" customHeight="1">
      <c r="A14" s="45" t="s">
        <v>655</v>
      </c>
      <c r="B14" s="45" t="s">
        <v>517</v>
      </c>
      <c r="C14" s="45" t="s">
        <v>345</v>
      </c>
      <c r="D14" s="46">
        <v>0.5</v>
      </c>
      <c r="E14" s="47">
        <f t="shared" ca="1" si="0"/>
        <v>3</v>
      </c>
      <c r="F14" s="48">
        <f t="shared" ca="1" si="1"/>
        <v>1.5</v>
      </c>
      <c r="G14" s="49" t="s">
        <v>646</v>
      </c>
      <c r="H14" s="50" t="s">
        <v>657</v>
      </c>
    </row>
    <row r="15" spans="1:8" ht="15" customHeight="1">
      <c r="A15" s="45" t="s">
        <v>658</v>
      </c>
      <c r="B15" s="45" t="s">
        <v>422</v>
      </c>
      <c r="C15" s="45" t="s">
        <v>345</v>
      </c>
      <c r="D15" s="46">
        <v>0.5</v>
      </c>
      <c r="E15" s="47">
        <f t="shared" ca="1" si="0"/>
        <v>3</v>
      </c>
      <c r="F15" s="48">
        <f t="shared" ca="1" si="1"/>
        <v>1.5</v>
      </c>
      <c r="G15" s="49" t="s">
        <v>659</v>
      </c>
      <c r="H15" s="50" t="s">
        <v>660</v>
      </c>
    </row>
    <row r="16" spans="1:8" ht="15" customHeight="1">
      <c r="A16" s="45" t="s">
        <v>661</v>
      </c>
      <c r="B16" s="45" t="s">
        <v>591</v>
      </c>
      <c r="C16" s="45" t="s">
        <v>295</v>
      </c>
      <c r="D16" s="46">
        <v>0.33</v>
      </c>
      <c r="E16" s="47">
        <f t="shared" ca="1" si="0"/>
        <v>4</v>
      </c>
      <c r="F16" s="48">
        <f t="shared" ca="1" si="1"/>
        <v>1.32</v>
      </c>
      <c r="G16" s="49" t="s">
        <v>646</v>
      </c>
      <c r="H16" s="50" t="s">
        <v>662</v>
      </c>
    </row>
    <row r="17" spans="1:8" ht="15" customHeight="1">
      <c r="A17" s="45" t="s">
        <v>649</v>
      </c>
      <c r="B17" s="45" t="s">
        <v>481</v>
      </c>
      <c r="C17" s="45" t="s">
        <v>295</v>
      </c>
      <c r="D17" s="46">
        <v>0.33</v>
      </c>
      <c r="E17" s="47">
        <f t="shared" ca="1" si="0"/>
        <v>4</v>
      </c>
      <c r="F17" s="48">
        <f t="shared" ca="1" si="1"/>
        <v>1.32</v>
      </c>
      <c r="G17" s="49" t="s">
        <v>646</v>
      </c>
      <c r="H17" s="50" t="s">
        <v>663</v>
      </c>
    </row>
    <row r="18" spans="1:8" ht="15" customHeight="1">
      <c r="A18" s="45" t="s">
        <v>649</v>
      </c>
      <c r="B18" s="45" t="s">
        <v>484</v>
      </c>
      <c r="C18" s="45" t="s">
        <v>295</v>
      </c>
      <c r="D18" s="46">
        <v>0</v>
      </c>
      <c r="E18" s="47">
        <f t="shared" ca="1" si="0"/>
        <v>4</v>
      </c>
      <c r="F18" s="48">
        <f t="shared" ca="1" si="1"/>
        <v>0</v>
      </c>
      <c r="G18" s="49" t="s">
        <v>646</v>
      </c>
      <c r="H18" s="50" t="s">
        <v>664</v>
      </c>
    </row>
    <row r="19" spans="1:8" ht="15" customHeight="1">
      <c r="A19" s="45" t="s">
        <v>652</v>
      </c>
      <c r="B19" s="45" t="s">
        <v>336</v>
      </c>
      <c r="C19" s="45" t="s">
        <v>429</v>
      </c>
      <c r="D19" s="46">
        <v>0.33</v>
      </c>
      <c r="E19" s="47">
        <f t="shared" ca="1" si="0"/>
        <v>5</v>
      </c>
      <c r="F19" s="48">
        <f t="shared" ca="1" si="1"/>
        <v>1.6500000000000001</v>
      </c>
      <c r="G19" s="49" t="s">
        <v>646</v>
      </c>
      <c r="H19" s="50" t="s">
        <v>665</v>
      </c>
    </row>
    <row r="20" spans="1:8" ht="15" customHeight="1">
      <c r="A20" s="45" t="s">
        <v>658</v>
      </c>
      <c r="B20" s="45" t="s">
        <v>422</v>
      </c>
      <c r="C20" s="45" t="s">
        <v>429</v>
      </c>
      <c r="D20" s="46">
        <v>0.5</v>
      </c>
      <c r="E20" s="47">
        <f t="shared" ca="1" si="0"/>
        <v>3</v>
      </c>
      <c r="F20" s="48">
        <f t="shared" ca="1" si="1"/>
        <v>1.5</v>
      </c>
      <c r="G20" s="49" t="s">
        <v>659</v>
      </c>
      <c r="H20" s="50" t="s">
        <v>666</v>
      </c>
    </row>
    <row r="21" spans="1:8" ht="15" customHeight="1">
      <c r="A21" s="45" t="s">
        <v>655</v>
      </c>
      <c r="B21" s="45" t="s">
        <v>517</v>
      </c>
      <c r="C21" s="45" t="s">
        <v>429</v>
      </c>
      <c r="D21" s="46">
        <v>0.5</v>
      </c>
      <c r="E21" s="47">
        <f t="shared" ca="1" si="0"/>
        <v>3</v>
      </c>
      <c r="F21" s="48">
        <f t="shared" ca="1" si="1"/>
        <v>1.5</v>
      </c>
      <c r="G21" s="49" t="s">
        <v>646</v>
      </c>
      <c r="H21" s="50" t="s">
        <v>667</v>
      </c>
    </row>
    <row r="22" spans="1:8" ht="15" customHeight="1">
      <c r="A22" s="45" t="s">
        <v>655</v>
      </c>
      <c r="B22" s="45" t="s">
        <v>503</v>
      </c>
      <c r="C22" s="45" t="s">
        <v>354</v>
      </c>
      <c r="D22" s="46">
        <v>0.33</v>
      </c>
      <c r="E22" s="47">
        <f t="shared" ca="1" si="0"/>
        <v>3</v>
      </c>
      <c r="F22" s="48">
        <f t="shared" ca="1" si="1"/>
        <v>0.99</v>
      </c>
      <c r="G22" s="49" t="s">
        <v>646</v>
      </c>
      <c r="H22" s="50" t="s">
        <v>668</v>
      </c>
    </row>
    <row r="23" spans="1:8" ht="15" customHeight="1">
      <c r="A23" s="45" t="s">
        <v>655</v>
      </c>
      <c r="B23" s="45" t="s">
        <v>508</v>
      </c>
      <c r="C23" s="45" t="s">
        <v>354</v>
      </c>
      <c r="D23" s="46">
        <v>0.33</v>
      </c>
      <c r="E23" s="47">
        <f t="shared" ca="1" si="0"/>
        <v>3</v>
      </c>
      <c r="F23" s="48">
        <f t="shared" ca="1" si="1"/>
        <v>0.99</v>
      </c>
      <c r="G23" s="52" t="s">
        <v>659</v>
      </c>
      <c r="H23" s="50" t="s">
        <v>669</v>
      </c>
    </row>
    <row r="24" spans="1:8" ht="15" customHeight="1">
      <c r="A24" s="45" t="s">
        <v>661</v>
      </c>
      <c r="B24" s="45" t="s">
        <v>508</v>
      </c>
      <c r="C24" s="45" t="s">
        <v>354</v>
      </c>
      <c r="D24" s="46">
        <v>0.33</v>
      </c>
      <c r="E24" s="47">
        <f t="shared" ca="1" si="0"/>
        <v>3</v>
      </c>
      <c r="F24" s="48">
        <f t="shared" ca="1" si="1"/>
        <v>0.99</v>
      </c>
      <c r="G24" s="52" t="s">
        <v>659</v>
      </c>
      <c r="H24" s="50" t="s">
        <v>670</v>
      </c>
    </row>
    <row r="25" spans="1:8" ht="15" customHeight="1">
      <c r="A25" s="45" t="s">
        <v>645</v>
      </c>
      <c r="B25" s="45" t="s">
        <v>288</v>
      </c>
      <c r="C25" s="45" t="s">
        <v>358</v>
      </c>
      <c r="D25" s="46">
        <v>0.5</v>
      </c>
      <c r="E25" s="47">
        <f t="shared" ca="1" si="0"/>
        <v>3</v>
      </c>
      <c r="F25" s="48">
        <f t="shared" ca="1" si="1"/>
        <v>1.5</v>
      </c>
      <c r="G25" s="49" t="s">
        <v>646</v>
      </c>
      <c r="H25" s="50" t="s">
        <v>671</v>
      </c>
    </row>
    <row r="26" spans="1:8" ht="15" customHeight="1">
      <c r="A26" s="45" t="s">
        <v>661</v>
      </c>
      <c r="B26" s="45" t="s">
        <v>529</v>
      </c>
      <c r="C26" s="45" t="s">
        <v>358</v>
      </c>
      <c r="D26" s="46">
        <v>0.5</v>
      </c>
      <c r="E26" s="47">
        <f t="shared" ca="1" si="0"/>
        <v>3</v>
      </c>
      <c r="F26" s="48">
        <f t="shared" ca="1" si="1"/>
        <v>1.5</v>
      </c>
      <c r="G26" s="52" t="s">
        <v>659</v>
      </c>
      <c r="H26" s="50" t="s">
        <v>672</v>
      </c>
    </row>
    <row r="27" spans="1:8" ht="15" customHeight="1">
      <c r="A27" s="45" t="s">
        <v>655</v>
      </c>
      <c r="B27" s="45" t="s">
        <v>529</v>
      </c>
      <c r="C27" s="45" t="s">
        <v>358</v>
      </c>
      <c r="D27" s="46">
        <v>0.5</v>
      </c>
      <c r="E27" s="47">
        <f t="shared" ca="1" si="0"/>
        <v>3</v>
      </c>
      <c r="F27" s="48">
        <f t="shared" ca="1" si="1"/>
        <v>1.5</v>
      </c>
      <c r="G27" s="49" t="s">
        <v>646</v>
      </c>
      <c r="H27" s="51" t="s">
        <v>673</v>
      </c>
    </row>
    <row r="28" spans="1:8" ht="15" customHeight="1">
      <c r="A28" s="45" t="s">
        <v>649</v>
      </c>
      <c r="B28" s="45" t="s">
        <v>465</v>
      </c>
      <c r="C28" s="45" t="s">
        <v>267</v>
      </c>
      <c r="D28" s="46">
        <v>0.5</v>
      </c>
      <c r="E28" s="47">
        <f t="shared" ca="1" si="0"/>
        <v>4</v>
      </c>
      <c r="F28" s="48">
        <f t="shared" ca="1" si="1"/>
        <v>2</v>
      </c>
      <c r="G28" s="49" t="s">
        <v>646</v>
      </c>
      <c r="H28" s="50" t="s">
        <v>674</v>
      </c>
    </row>
    <row r="29" spans="1:8" ht="15" customHeight="1">
      <c r="A29" s="45" t="s">
        <v>649</v>
      </c>
      <c r="B29" s="45" t="s">
        <v>469</v>
      </c>
      <c r="C29" s="45" t="s">
        <v>282</v>
      </c>
      <c r="D29" s="46">
        <v>0.5</v>
      </c>
      <c r="E29" s="47">
        <f t="shared" ca="1" si="0"/>
        <v>2</v>
      </c>
      <c r="F29" s="48">
        <f t="shared" ca="1" si="1"/>
        <v>1</v>
      </c>
      <c r="G29" s="49" t="s">
        <v>646</v>
      </c>
      <c r="H29" s="50" t="s">
        <v>675</v>
      </c>
    </row>
    <row r="30" spans="1:8" ht="15" customHeight="1">
      <c r="A30" s="45" t="s">
        <v>649</v>
      </c>
      <c r="B30" s="45" t="s">
        <v>410</v>
      </c>
      <c r="C30" s="45" t="s">
        <v>282</v>
      </c>
      <c r="D30" s="46">
        <v>0.5</v>
      </c>
      <c r="E30" s="47">
        <f t="shared" ca="1" si="0"/>
        <v>0</v>
      </c>
      <c r="F30" s="48">
        <f t="shared" ca="1" si="1"/>
        <v>0</v>
      </c>
      <c r="G30" s="49" t="s">
        <v>646</v>
      </c>
      <c r="H30" s="50" t="s">
        <v>675</v>
      </c>
    </row>
    <row r="31" spans="1:8" ht="15" customHeight="1">
      <c r="A31" s="45" t="s">
        <v>676</v>
      </c>
      <c r="B31" s="45" t="s">
        <v>556</v>
      </c>
      <c r="C31" s="45" t="s">
        <v>384</v>
      </c>
      <c r="D31" s="46">
        <v>0.2</v>
      </c>
      <c r="E31" s="47">
        <f t="shared" ca="1" si="0"/>
        <v>4</v>
      </c>
      <c r="F31" s="48">
        <f t="shared" ca="1" si="1"/>
        <v>0.8</v>
      </c>
      <c r="G31" s="49" t="s">
        <v>646</v>
      </c>
      <c r="H31" s="50" t="s">
        <v>677</v>
      </c>
    </row>
    <row r="32" spans="1:8" ht="15" customHeight="1">
      <c r="A32" s="45" t="s">
        <v>676</v>
      </c>
      <c r="B32" s="45" t="s">
        <v>550</v>
      </c>
      <c r="C32" s="45" t="s">
        <v>384</v>
      </c>
      <c r="D32" s="46">
        <v>0.33</v>
      </c>
      <c r="E32" s="47">
        <f t="shared" ca="1" si="0"/>
        <v>1</v>
      </c>
      <c r="F32" s="48">
        <f t="shared" ca="1" si="1"/>
        <v>0.33</v>
      </c>
      <c r="G32" s="49" t="s">
        <v>646</v>
      </c>
      <c r="H32" s="50" t="s">
        <v>678</v>
      </c>
    </row>
    <row r="33" spans="1:8" ht="15" customHeight="1">
      <c r="A33" s="45" t="s">
        <v>645</v>
      </c>
      <c r="B33" s="45" t="s">
        <v>312</v>
      </c>
      <c r="C33" s="45" t="s">
        <v>384</v>
      </c>
      <c r="D33" s="46">
        <v>0.5</v>
      </c>
      <c r="E33" s="47">
        <f t="shared" ca="1" si="0"/>
        <v>3</v>
      </c>
      <c r="F33" s="48">
        <f t="shared" ca="1" si="1"/>
        <v>1.5</v>
      </c>
      <c r="G33" s="49" t="s">
        <v>646</v>
      </c>
      <c r="H33" s="50" t="s">
        <v>679</v>
      </c>
    </row>
    <row r="34" spans="1:8" ht="15" customHeight="1">
      <c r="A34" s="45" t="s">
        <v>680</v>
      </c>
      <c r="B34" s="45" t="s">
        <v>368</v>
      </c>
      <c r="C34" s="45" t="s">
        <v>375</v>
      </c>
      <c r="D34" s="46">
        <v>0.5</v>
      </c>
      <c r="E34" s="47">
        <f t="shared" ca="1" si="0"/>
        <v>5</v>
      </c>
      <c r="F34" s="48">
        <f t="shared" ca="1" si="1"/>
        <v>2.5</v>
      </c>
      <c r="G34" s="49" t="s">
        <v>646</v>
      </c>
      <c r="H34" s="50" t="s">
        <v>681</v>
      </c>
    </row>
    <row r="35" spans="1:8" ht="15" customHeight="1">
      <c r="A35" s="45" t="s">
        <v>680</v>
      </c>
      <c r="B35" s="45" t="s">
        <v>374</v>
      </c>
      <c r="C35" s="45" t="s">
        <v>375</v>
      </c>
      <c r="D35" s="46">
        <v>0.33</v>
      </c>
      <c r="E35" s="47">
        <f t="shared" ca="1" si="0"/>
        <v>3</v>
      </c>
      <c r="F35" s="48">
        <f t="shared" ca="1" si="1"/>
        <v>0.99</v>
      </c>
      <c r="G35" s="49" t="s">
        <v>646</v>
      </c>
      <c r="H35" s="50" t="s">
        <v>682</v>
      </c>
    </row>
    <row r="36" spans="1:8" ht="15" customHeight="1">
      <c r="A36" s="45" t="s">
        <v>676</v>
      </c>
      <c r="B36" s="45" t="s">
        <v>550</v>
      </c>
      <c r="C36" s="45" t="s">
        <v>375</v>
      </c>
      <c r="D36" s="46">
        <v>0.5</v>
      </c>
      <c r="E36" s="47">
        <f t="shared" ca="1" si="0"/>
        <v>1</v>
      </c>
      <c r="F36" s="48">
        <f t="shared" ca="1" si="1"/>
        <v>0.5</v>
      </c>
      <c r="G36" s="49" t="s">
        <v>646</v>
      </c>
      <c r="H36" s="50" t="s">
        <v>683</v>
      </c>
    </row>
    <row r="37" spans="1:8" ht="15" customHeight="1">
      <c r="A37" s="45" t="s">
        <v>676</v>
      </c>
      <c r="B37" s="45" t="s">
        <v>559</v>
      </c>
      <c r="C37" s="45" t="s">
        <v>375</v>
      </c>
      <c r="D37" s="46">
        <v>0.5</v>
      </c>
      <c r="E37" s="47">
        <f t="shared" ca="1" si="0"/>
        <v>3</v>
      </c>
      <c r="F37" s="48">
        <f t="shared" ca="1" si="1"/>
        <v>1.5</v>
      </c>
      <c r="G37" s="49" t="s">
        <v>646</v>
      </c>
      <c r="H37" s="50" t="s">
        <v>684</v>
      </c>
    </row>
    <row r="38" spans="1:8" ht="15" customHeight="1">
      <c r="A38" s="45" t="s">
        <v>645</v>
      </c>
      <c r="B38" s="45" t="s">
        <v>312</v>
      </c>
      <c r="C38" s="45" t="s">
        <v>375</v>
      </c>
      <c r="D38" s="46">
        <v>0.5</v>
      </c>
      <c r="E38" s="47">
        <f t="shared" ca="1" si="0"/>
        <v>3</v>
      </c>
      <c r="F38" s="48">
        <f t="shared" ca="1" si="1"/>
        <v>1.5</v>
      </c>
      <c r="G38" s="49" t="s">
        <v>646</v>
      </c>
      <c r="H38" s="50" t="s">
        <v>685</v>
      </c>
    </row>
    <row r="39" spans="1:8" ht="15" customHeight="1">
      <c r="A39" s="45" t="s">
        <v>680</v>
      </c>
      <c r="B39" s="45" t="s">
        <v>368</v>
      </c>
      <c r="C39" s="45" t="s">
        <v>313</v>
      </c>
      <c r="D39" s="46">
        <v>0</v>
      </c>
      <c r="E39" s="47">
        <f t="shared" ref="E39:E75" ca="1" si="2">IFERROR(INDEX(INDIRECT("'"&amp;$A39&amp;"'!$E$1:$E$45"),MATCH($B39,INDIRECT("'"&amp;$A39&amp;"'!$B$1:$B$45"),0)),"?")</f>
        <v>5</v>
      </c>
      <c r="F39" s="48">
        <f t="shared" ref="F39:F70" ca="1" si="3">IF(ISNUMBER(E39),$D39*E39,0)</f>
        <v>0</v>
      </c>
      <c r="G39" s="49" t="s">
        <v>646</v>
      </c>
      <c r="H39" s="50" t="s">
        <v>686</v>
      </c>
    </row>
    <row r="40" spans="1:8" ht="15" customHeight="1">
      <c r="A40" s="45" t="s">
        <v>649</v>
      </c>
      <c r="B40" s="45" t="s">
        <v>484</v>
      </c>
      <c r="C40" s="45" t="s">
        <v>313</v>
      </c>
      <c r="D40" s="46">
        <v>0</v>
      </c>
      <c r="E40" s="47">
        <f t="shared" ca="1" si="2"/>
        <v>4</v>
      </c>
      <c r="F40" s="48">
        <f t="shared" ca="1" si="3"/>
        <v>0</v>
      </c>
      <c r="G40" s="49" t="s">
        <v>646</v>
      </c>
      <c r="H40" s="50" t="s">
        <v>687</v>
      </c>
    </row>
    <row r="41" spans="1:8" ht="15" customHeight="1">
      <c r="A41" s="45" t="s">
        <v>676</v>
      </c>
      <c r="B41" s="45" t="s">
        <v>559</v>
      </c>
      <c r="C41" s="45" t="s">
        <v>313</v>
      </c>
      <c r="D41" s="46">
        <v>0.5</v>
      </c>
      <c r="E41" s="47">
        <f t="shared" ca="1" si="2"/>
        <v>3</v>
      </c>
      <c r="F41" s="48">
        <f t="shared" ca="1" si="3"/>
        <v>1.5</v>
      </c>
      <c r="G41" s="49" t="s">
        <v>646</v>
      </c>
      <c r="H41" s="51" t="s">
        <v>688</v>
      </c>
    </row>
    <row r="42" spans="1:8" ht="15" customHeight="1">
      <c r="A42" s="45" t="s">
        <v>680</v>
      </c>
      <c r="B42" s="45" t="s">
        <v>378</v>
      </c>
      <c r="C42" s="45" t="s">
        <v>369</v>
      </c>
      <c r="D42" s="46">
        <v>0.5</v>
      </c>
      <c r="E42" s="47">
        <f t="shared" ca="1" si="2"/>
        <v>3</v>
      </c>
      <c r="F42" s="48">
        <f t="shared" ca="1" si="3"/>
        <v>1.5</v>
      </c>
      <c r="G42" s="49" t="s">
        <v>646</v>
      </c>
      <c r="H42" s="50" t="s">
        <v>689</v>
      </c>
    </row>
    <row r="43" spans="1:8" ht="15" customHeight="1">
      <c r="A43" s="45" t="s">
        <v>680</v>
      </c>
      <c r="B43" s="45" t="s">
        <v>378</v>
      </c>
      <c r="C43" s="45" t="s">
        <v>393</v>
      </c>
      <c r="D43" s="46">
        <v>0.33</v>
      </c>
      <c r="E43" s="47">
        <f t="shared" ca="1" si="2"/>
        <v>3</v>
      </c>
      <c r="F43" s="48">
        <f t="shared" ca="1" si="3"/>
        <v>0.99</v>
      </c>
      <c r="G43" s="49" t="s">
        <v>646</v>
      </c>
      <c r="H43" s="50" t="s">
        <v>690</v>
      </c>
    </row>
    <row r="44" spans="1:8" ht="15" customHeight="1">
      <c r="A44" s="45" t="s">
        <v>676</v>
      </c>
      <c r="B44" s="45" t="s">
        <v>550</v>
      </c>
      <c r="C44" s="45" t="s">
        <v>267</v>
      </c>
      <c r="D44" s="46">
        <v>0</v>
      </c>
      <c r="E44" s="47">
        <f t="shared" ca="1" si="2"/>
        <v>1</v>
      </c>
      <c r="F44" s="48">
        <f t="shared" ca="1" si="3"/>
        <v>0</v>
      </c>
      <c r="G44" s="52" t="s">
        <v>659</v>
      </c>
      <c r="H44" s="50" t="s">
        <v>691</v>
      </c>
    </row>
    <row r="45" spans="1:8" ht="15" customHeight="1">
      <c r="A45" s="45" t="s">
        <v>680</v>
      </c>
      <c r="B45" s="45" t="s">
        <v>368</v>
      </c>
      <c r="C45" s="45" t="s">
        <v>388</v>
      </c>
      <c r="D45" s="46">
        <v>0.33</v>
      </c>
      <c r="E45" s="47">
        <f t="shared" ca="1" si="2"/>
        <v>5</v>
      </c>
      <c r="F45" s="48">
        <f t="shared" ca="1" si="3"/>
        <v>1.6500000000000001</v>
      </c>
      <c r="G45" s="52" t="s">
        <v>659</v>
      </c>
      <c r="H45" s="50" t="s">
        <v>692</v>
      </c>
    </row>
    <row r="46" spans="1:8" ht="15" customHeight="1">
      <c r="A46" s="45" t="s">
        <v>680</v>
      </c>
      <c r="B46" s="45" t="s">
        <v>374</v>
      </c>
      <c r="C46" s="45" t="s">
        <v>388</v>
      </c>
      <c r="D46" s="46">
        <v>0.33</v>
      </c>
      <c r="E46" s="47">
        <f t="shared" ca="1" si="2"/>
        <v>3</v>
      </c>
      <c r="F46" s="48">
        <f t="shared" ca="1" si="3"/>
        <v>0.99</v>
      </c>
      <c r="G46" s="52" t="s">
        <v>659</v>
      </c>
      <c r="H46" s="50" t="s">
        <v>693</v>
      </c>
    </row>
    <row r="47" spans="1:8" ht="15" customHeight="1">
      <c r="A47" s="45" t="s">
        <v>680</v>
      </c>
      <c r="B47" s="45" t="s">
        <v>378</v>
      </c>
      <c r="C47" s="45" t="s">
        <v>388</v>
      </c>
      <c r="D47" s="46">
        <v>0.33</v>
      </c>
      <c r="E47" s="47">
        <f t="shared" ca="1" si="2"/>
        <v>3</v>
      </c>
      <c r="F47" s="48">
        <f t="shared" ca="1" si="3"/>
        <v>0.99</v>
      </c>
      <c r="G47" s="52" t="s">
        <v>659</v>
      </c>
      <c r="H47" s="50" t="s">
        <v>694</v>
      </c>
    </row>
    <row r="48" spans="1:8" ht="15" customHeight="1">
      <c r="A48" s="45" t="s">
        <v>652</v>
      </c>
      <c r="B48" s="45" t="s">
        <v>336</v>
      </c>
      <c r="C48" s="45" t="s">
        <v>349</v>
      </c>
      <c r="D48" s="46">
        <v>0</v>
      </c>
      <c r="E48" s="47">
        <f t="shared" ca="1" si="2"/>
        <v>5</v>
      </c>
      <c r="F48" s="48">
        <f t="shared" ca="1" si="3"/>
        <v>0</v>
      </c>
      <c r="G48" s="52" t="s">
        <v>659</v>
      </c>
      <c r="H48" s="50" t="s">
        <v>695</v>
      </c>
    </row>
    <row r="49" spans="1:8" ht="15" customHeight="1">
      <c r="A49" s="45" t="s">
        <v>655</v>
      </c>
      <c r="B49" s="45" t="s">
        <v>517</v>
      </c>
      <c r="C49" s="45" t="s">
        <v>337</v>
      </c>
      <c r="D49" s="46">
        <v>0</v>
      </c>
      <c r="E49" s="47">
        <f t="shared" ca="1" si="2"/>
        <v>3</v>
      </c>
      <c r="F49" s="48">
        <f t="shared" ca="1" si="3"/>
        <v>0</v>
      </c>
      <c r="G49" s="52" t="s">
        <v>659</v>
      </c>
      <c r="H49" s="50" t="s">
        <v>696</v>
      </c>
    </row>
    <row r="50" spans="1:8" ht="15" customHeight="1">
      <c r="A50" s="45" t="s">
        <v>649</v>
      </c>
      <c r="B50" s="45" t="s">
        <v>465</v>
      </c>
      <c r="C50" s="45" t="s">
        <v>407</v>
      </c>
      <c r="D50" s="46">
        <v>0</v>
      </c>
      <c r="E50" s="47">
        <f t="shared" ca="1" si="2"/>
        <v>4</v>
      </c>
      <c r="F50" s="48">
        <f t="shared" ca="1" si="3"/>
        <v>0</v>
      </c>
      <c r="G50" s="52" t="s">
        <v>659</v>
      </c>
      <c r="H50" s="50" t="s">
        <v>697</v>
      </c>
    </row>
    <row r="51" spans="1:8" ht="15" customHeight="1">
      <c r="A51" s="45" t="s">
        <v>655</v>
      </c>
      <c r="B51" s="45" t="s">
        <v>503</v>
      </c>
      <c r="C51" s="45" t="s">
        <v>407</v>
      </c>
      <c r="D51" s="46">
        <v>0.2</v>
      </c>
      <c r="E51" s="47">
        <f t="shared" ca="1" si="2"/>
        <v>3</v>
      </c>
      <c r="F51" s="48">
        <f t="shared" ca="1" si="3"/>
        <v>0.60000000000000009</v>
      </c>
      <c r="G51" s="52" t="s">
        <v>659</v>
      </c>
      <c r="H51" s="50" t="s">
        <v>698</v>
      </c>
    </row>
    <row r="52" spans="1:8" ht="15" customHeight="1">
      <c r="A52" s="45" t="s">
        <v>676</v>
      </c>
      <c r="B52" s="45" t="s">
        <v>550</v>
      </c>
      <c r="C52" s="45" t="s">
        <v>407</v>
      </c>
      <c r="D52" s="46">
        <v>0</v>
      </c>
      <c r="E52" s="47">
        <f t="shared" ca="1" si="2"/>
        <v>1</v>
      </c>
      <c r="F52" s="48">
        <f t="shared" ca="1" si="3"/>
        <v>0</v>
      </c>
      <c r="G52" s="52" t="s">
        <v>659</v>
      </c>
      <c r="H52" s="50" t="s">
        <v>699</v>
      </c>
    </row>
    <row r="53" spans="1:8" ht="15" customHeight="1">
      <c r="A53" s="45" t="s">
        <v>645</v>
      </c>
      <c r="B53" s="45" t="s">
        <v>266</v>
      </c>
      <c r="C53" s="45" t="s">
        <v>418</v>
      </c>
      <c r="D53" s="46">
        <v>0.2</v>
      </c>
      <c r="E53" s="47">
        <f t="shared" ca="1" si="2"/>
        <v>4</v>
      </c>
      <c r="F53" s="48">
        <f t="shared" ca="1" si="3"/>
        <v>0.8</v>
      </c>
      <c r="G53" s="52" t="s">
        <v>659</v>
      </c>
      <c r="H53" s="50" t="s">
        <v>700</v>
      </c>
    </row>
    <row r="54" spans="1:8" ht="15" customHeight="1">
      <c r="A54" s="45" t="s">
        <v>649</v>
      </c>
      <c r="B54" s="45" t="s">
        <v>465</v>
      </c>
      <c r="C54" s="45" t="s">
        <v>418</v>
      </c>
      <c r="D54" s="46">
        <v>0.2</v>
      </c>
      <c r="E54" s="47">
        <f t="shared" ca="1" si="2"/>
        <v>4</v>
      </c>
      <c r="F54" s="48">
        <f t="shared" ca="1" si="3"/>
        <v>0.8</v>
      </c>
      <c r="G54" s="52" t="s">
        <v>659</v>
      </c>
      <c r="H54" s="50" t="s">
        <v>701</v>
      </c>
    </row>
    <row r="55" spans="1:8" ht="15" customHeight="1">
      <c r="A55" s="45" t="s">
        <v>652</v>
      </c>
      <c r="B55" s="45" t="s">
        <v>357</v>
      </c>
      <c r="C55" s="45" t="s">
        <v>282</v>
      </c>
      <c r="D55" s="46">
        <v>0.33</v>
      </c>
      <c r="E55" s="47">
        <f t="shared" ca="1" si="2"/>
        <v>5</v>
      </c>
      <c r="F55" s="48">
        <f t="shared" ca="1" si="3"/>
        <v>1.6500000000000001</v>
      </c>
      <c r="G55" s="52" t="s">
        <v>659</v>
      </c>
      <c r="H55" s="50" t="s">
        <v>702</v>
      </c>
    </row>
    <row r="56" spans="1:8" ht="15" customHeight="1">
      <c r="A56" s="45" t="s">
        <v>676</v>
      </c>
      <c r="B56" s="45" t="s">
        <v>374</v>
      </c>
      <c r="C56" s="45" t="s">
        <v>375</v>
      </c>
      <c r="D56" s="46">
        <v>0.33</v>
      </c>
      <c r="E56" s="47">
        <f t="shared" ca="1" si="2"/>
        <v>3</v>
      </c>
      <c r="F56" s="48">
        <f t="shared" ca="1" si="3"/>
        <v>0.99</v>
      </c>
      <c r="G56" s="52" t="s">
        <v>646</v>
      </c>
      <c r="H56" s="50" t="s">
        <v>703</v>
      </c>
    </row>
    <row r="57" spans="1:8" ht="15" customHeight="1">
      <c r="A57" s="45" t="s">
        <v>676</v>
      </c>
      <c r="B57" s="45" t="s">
        <v>374</v>
      </c>
      <c r="C57" s="45" t="s">
        <v>388</v>
      </c>
      <c r="D57" s="46">
        <v>0.33</v>
      </c>
      <c r="E57" s="47">
        <f t="shared" ca="1" si="2"/>
        <v>3</v>
      </c>
      <c r="F57" s="48">
        <f t="shared" ca="1" si="3"/>
        <v>0.99</v>
      </c>
      <c r="G57" s="52" t="s">
        <v>659</v>
      </c>
      <c r="H57" s="50" t="s">
        <v>704</v>
      </c>
    </row>
    <row r="58" spans="1:8" ht="15" customHeight="1">
      <c r="A58" s="45" t="s">
        <v>655</v>
      </c>
      <c r="B58" s="45" t="s">
        <v>508</v>
      </c>
      <c r="C58" s="45" t="s">
        <v>345</v>
      </c>
      <c r="D58" s="46">
        <v>0.5</v>
      </c>
      <c r="E58" s="47">
        <f t="shared" ca="1" si="2"/>
        <v>3</v>
      </c>
      <c r="F58" s="48">
        <f t="shared" ca="1" si="3"/>
        <v>1.5</v>
      </c>
      <c r="G58" s="52" t="s">
        <v>659</v>
      </c>
      <c r="H58" s="50" t="s">
        <v>705</v>
      </c>
    </row>
    <row r="59" spans="1:8" ht="15" customHeight="1">
      <c r="A59" s="45" t="s">
        <v>661</v>
      </c>
      <c r="B59" s="45" t="s">
        <v>508</v>
      </c>
      <c r="C59" s="45" t="s">
        <v>345</v>
      </c>
      <c r="D59" s="46">
        <v>0.5</v>
      </c>
      <c r="E59" s="47">
        <f t="shared" ca="1" si="2"/>
        <v>3</v>
      </c>
      <c r="F59" s="48">
        <f t="shared" ca="1" si="3"/>
        <v>1.5</v>
      </c>
      <c r="G59" s="52" t="s">
        <v>659</v>
      </c>
      <c r="H59" s="50" t="s">
        <v>706</v>
      </c>
    </row>
    <row r="60" spans="1:8" ht="15" customHeight="1">
      <c r="A60" s="45" t="s">
        <v>655</v>
      </c>
      <c r="B60" s="45" t="s">
        <v>514</v>
      </c>
      <c r="C60" s="45" t="s">
        <v>345</v>
      </c>
      <c r="D60" s="46">
        <v>0.5</v>
      </c>
      <c r="E60" s="47">
        <f t="shared" ca="1" si="2"/>
        <v>3</v>
      </c>
      <c r="F60" s="48">
        <f t="shared" ca="1" si="3"/>
        <v>1.5</v>
      </c>
      <c r="G60" s="52" t="s">
        <v>659</v>
      </c>
      <c r="H60" s="50" t="s">
        <v>707</v>
      </c>
    </row>
    <row r="61" spans="1:8" ht="15" customHeight="1">
      <c r="A61" s="45" t="s">
        <v>652</v>
      </c>
      <c r="B61" s="45" t="s">
        <v>343</v>
      </c>
      <c r="C61" s="45" t="s">
        <v>429</v>
      </c>
      <c r="D61" s="46">
        <v>0.2</v>
      </c>
      <c r="E61" s="47">
        <f t="shared" ca="1" si="2"/>
        <v>4</v>
      </c>
      <c r="F61" s="48">
        <f t="shared" ca="1" si="3"/>
        <v>0.8</v>
      </c>
      <c r="G61" s="52" t="s">
        <v>659</v>
      </c>
      <c r="H61" s="50" t="s">
        <v>708</v>
      </c>
    </row>
    <row r="62" spans="1:8" ht="15" customHeight="1">
      <c r="A62" s="45" t="s">
        <v>655</v>
      </c>
      <c r="B62" s="45" t="s">
        <v>514</v>
      </c>
      <c r="C62" s="45" t="s">
        <v>429</v>
      </c>
      <c r="D62" s="46">
        <v>0.33</v>
      </c>
      <c r="E62" s="47">
        <f t="shared" ca="1" si="2"/>
        <v>3</v>
      </c>
      <c r="F62" s="48">
        <f t="shared" ca="1" si="3"/>
        <v>0.99</v>
      </c>
      <c r="G62" s="52" t="s">
        <v>659</v>
      </c>
      <c r="H62" s="50" t="s">
        <v>709</v>
      </c>
    </row>
    <row r="63" spans="1:8" ht="15" customHeight="1">
      <c r="A63" s="45" t="s">
        <v>658</v>
      </c>
      <c r="B63" s="45" t="s">
        <v>439</v>
      </c>
      <c r="C63" s="45" t="s">
        <v>269</v>
      </c>
      <c r="D63" s="46">
        <v>0.2</v>
      </c>
      <c r="E63" s="47">
        <f t="shared" ca="1" si="2"/>
        <v>4</v>
      </c>
      <c r="F63" s="48">
        <f t="shared" ca="1" si="3"/>
        <v>0.8</v>
      </c>
      <c r="G63" s="52" t="s">
        <v>659</v>
      </c>
      <c r="H63" s="50" t="s">
        <v>710</v>
      </c>
    </row>
    <row r="64" spans="1:8" ht="15" customHeight="1">
      <c r="A64" s="45" t="s">
        <v>658</v>
      </c>
      <c r="B64" s="45" t="s">
        <v>410</v>
      </c>
      <c r="C64" s="45" t="s">
        <v>282</v>
      </c>
      <c r="D64" s="46">
        <v>0.33</v>
      </c>
      <c r="E64" s="47">
        <f t="shared" ca="1" si="2"/>
        <v>3</v>
      </c>
      <c r="F64" s="48">
        <f t="shared" ca="1" si="3"/>
        <v>0.99</v>
      </c>
      <c r="G64" s="52" t="s">
        <v>659</v>
      </c>
      <c r="H64" s="50" t="s">
        <v>711</v>
      </c>
    </row>
    <row r="65" spans="1:8" ht="15" customHeight="1">
      <c r="A65" s="45" t="s">
        <v>658</v>
      </c>
      <c r="B65" s="45" t="s">
        <v>406</v>
      </c>
      <c r="C65" s="45" t="s">
        <v>407</v>
      </c>
      <c r="D65" s="46">
        <v>0.33</v>
      </c>
      <c r="E65" s="47">
        <f t="shared" ca="1" si="2"/>
        <v>3</v>
      </c>
      <c r="F65" s="48">
        <f t="shared" ca="1" si="3"/>
        <v>0.99</v>
      </c>
      <c r="G65" s="52" t="s">
        <v>659</v>
      </c>
      <c r="H65" s="50" t="s">
        <v>712</v>
      </c>
    </row>
    <row r="66" spans="1:8" ht="15" customHeight="1">
      <c r="A66" s="45" t="s">
        <v>658</v>
      </c>
      <c r="B66" s="45" t="s">
        <v>414</v>
      </c>
      <c r="C66" s="45" t="s">
        <v>282</v>
      </c>
      <c r="D66" s="46">
        <v>0.33</v>
      </c>
      <c r="E66" s="47">
        <f t="shared" ca="1" si="2"/>
        <v>3</v>
      </c>
      <c r="F66" s="48">
        <f t="shared" ca="1" si="3"/>
        <v>0.99</v>
      </c>
      <c r="G66" s="52" t="s">
        <v>659</v>
      </c>
      <c r="H66" s="50" t="s">
        <v>713</v>
      </c>
    </row>
    <row r="67" spans="1:8" ht="15" customHeight="1">
      <c r="A67" s="45" t="s">
        <v>658</v>
      </c>
      <c r="B67" s="45" t="s">
        <v>293</v>
      </c>
      <c r="C67" s="45" t="s">
        <v>295</v>
      </c>
      <c r="D67" s="46">
        <v>0.33</v>
      </c>
      <c r="E67" s="47">
        <f t="shared" ca="1" si="2"/>
        <v>3</v>
      </c>
      <c r="F67" s="48">
        <f t="shared" ca="1" si="3"/>
        <v>0.99</v>
      </c>
      <c r="G67" s="52" t="s">
        <v>659</v>
      </c>
      <c r="H67" s="50" t="s">
        <v>714</v>
      </c>
    </row>
    <row r="68" spans="1:8" ht="15" customHeight="1">
      <c r="A68" s="45" t="s">
        <v>676</v>
      </c>
      <c r="B68" s="45" t="s">
        <v>554</v>
      </c>
      <c r="C68" s="45" t="s">
        <v>384</v>
      </c>
      <c r="D68" s="46">
        <v>0.33</v>
      </c>
      <c r="E68" s="47">
        <f t="shared" ca="1" si="2"/>
        <v>2</v>
      </c>
      <c r="F68" s="48">
        <f t="shared" ca="1" si="3"/>
        <v>0.66</v>
      </c>
      <c r="G68" s="49" t="s">
        <v>646</v>
      </c>
      <c r="H68" s="50" t="s">
        <v>715</v>
      </c>
    </row>
    <row r="69" spans="1:8">
      <c r="A69" s="45" t="s">
        <v>676</v>
      </c>
      <c r="B69" s="45" t="s">
        <v>554</v>
      </c>
      <c r="C69" s="45" t="s">
        <v>375</v>
      </c>
      <c r="D69" s="46">
        <v>0.5</v>
      </c>
      <c r="E69" s="47">
        <f t="shared" ca="1" si="2"/>
        <v>2</v>
      </c>
      <c r="F69" s="48">
        <f t="shared" ca="1" si="3"/>
        <v>1</v>
      </c>
      <c r="G69" s="49" t="s">
        <v>646</v>
      </c>
      <c r="H69" s="50" t="s">
        <v>716</v>
      </c>
    </row>
    <row r="70" spans="1:8">
      <c r="A70" s="45" t="s">
        <v>676</v>
      </c>
      <c r="B70" s="45" t="s">
        <v>554</v>
      </c>
      <c r="C70" s="45" t="s">
        <v>407</v>
      </c>
      <c r="D70" s="46">
        <v>0</v>
      </c>
      <c r="E70" s="47">
        <f t="shared" ca="1" si="2"/>
        <v>2</v>
      </c>
      <c r="F70" s="48">
        <f t="shared" ca="1" si="3"/>
        <v>0</v>
      </c>
      <c r="G70" s="49" t="s">
        <v>659</v>
      </c>
      <c r="H70" s="50" t="s">
        <v>717</v>
      </c>
    </row>
    <row r="71" spans="1:8">
      <c r="A71" t="s">
        <v>645</v>
      </c>
      <c r="B71" t="s">
        <v>281</v>
      </c>
      <c r="C71" t="s">
        <v>267</v>
      </c>
      <c r="D71">
        <v>0.5</v>
      </c>
      <c r="E71">
        <f t="shared" ca="1" si="2"/>
        <v>4</v>
      </c>
      <c r="F71">
        <f t="shared" ref="F71:F75" ca="1" si="4">IF(ISNUMBER(E71),$D71*E71,0)</f>
        <v>2</v>
      </c>
      <c r="G71" t="s">
        <v>659</v>
      </c>
      <c r="H71" t="s">
        <v>718</v>
      </c>
    </row>
    <row r="72" spans="1:8">
      <c r="A72" t="s">
        <v>645</v>
      </c>
      <c r="B72" t="s">
        <v>281</v>
      </c>
      <c r="C72" t="s">
        <v>269</v>
      </c>
      <c r="D72">
        <v>0.2</v>
      </c>
      <c r="E72">
        <f t="shared" ca="1" si="2"/>
        <v>4</v>
      </c>
      <c r="F72">
        <f t="shared" ca="1" si="4"/>
        <v>0.8</v>
      </c>
      <c r="G72" t="s">
        <v>659</v>
      </c>
      <c r="H72" t="s">
        <v>719</v>
      </c>
    </row>
    <row r="73" spans="1:8">
      <c r="A73" t="s">
        <v>645</v>
      </c>
      <c r="B73" t="s">
        <v>277</v>
      </c>
      <c r="C73" t="s">
        <v>269</v>
      </c>
      <c r="D73">
        <v>0.33</v>
      </c>
      <c r="E73">
        <f t="shared" ca="1" si="2"/>
        <v>2</v>
      </c>
      <c r="F73">
        <f t="shared" ca="1" si="4"/>
        <v>0.66</v>
      </c>
      <c r="G73" t="s">
        <v>646</v>
      </c>
      <c r="H73" t="s">
        <v>720</v>
      </c>
    </row>
    <row r="74" spans="1:8">
      <c r="A74" t="s">
        <v>649</v>
      </c>
      <c r="B74" t="s">
        <v>472</v>
      </c>
      <c r="C74" t="s">
        <v>269</v>
      </c>
      <c r="D74">
        <v>0.33</v>
      </c>
      <c r="E74">
        <f t="shared" ca="1" si="2"/>
        <v>2</v>
      </c>
      <c r="F74">
        <f t="shared" ca="1" si="4"/>
        <v>0.66</v>
      </c>
      <c r="G74" t="s">
        <v>646</v>
      </c>
      <c r="H74" t="s">
        <v>721</v>
      </c>
    </row>
    <row r="75" spans="1:8">
      <c r="A75" t="s">
        <v>649</v>
      </c>
      <c r="B75" t="s">
        <v>472</v>
      </c>
      <c r="C75" t="s">
        <v>282</v>
      </c>
      <c r="D75">
        <v>0.5</v>
      </c>
      <c r="E75">
        <f t="shared" ca="1" si="2"/>
        <v>2</v>
      </c>
      <c r="F75">
        <f t="shared" ca="1" si="4"/>
        <v>1</v>
      </c>
      <c r="G75" t="s">
        <v>646</v>
      </c>
      <c r="H75" t="s">
        <v>722</v>
      </c>
    </row>
  </sheetData>
  <mergeCells count="2">
    <mergeCell ref="A4:H4"/>
    <mergeCell ref="A2:H2"/>
  </mergeCells>
  <phoneticPr fontId="29" type="noConversion"/>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68"/>
  <sheetViews>
    <sheetView zoomScaleNormal="100" workbookViewId="0">
      <selection activeCell="F30" sqref="F30"/>
    </sheetView>
  </sheetViews>
  <sheetFormatPr defaultColWidth="8.7109375" defaultRowHeight="15"/>
  <cols>
    <col min="1" max="1" width="20" customWidth="1"/>
    <col min="2" max="3" width="12" customWidth="1"/>
    <col min="4" max="4" width="10" customWidth="1"/>
    <col min="5" max="5" width="14" customWidth="1"/>
    <col min="6" max="6" width="46" customWidth="1"/>
    <col min="7" max="12" width="13" customWidth="1"/>
  </cols>
  <sheetData>
    <row r="1" spans="1:12" ht="18" customHeight="1">
      <c r="A1" s="1" t="s">
        <v>723</v>
      </c>
      <c r="G1" s="80" t="s">
        <v>724</v>
      </c>
    </row>
    <row r="2" spans="1:12" ht="15" customHeight="1">
      <c r="A2" s="2" t="s">
        <v>725</v>
      </c>
      <c r="G2" s="81" t="s">
        <v>726</v>
      </c>
      <c r="H2" s="82">
        <v>10</v>
      </c>
      <c r="I2" s="81" t="s">
        <v>727</v>
      </c>
      <c r="J2" s="82">
        <v>244</v>
      </c>
      <c r="K2" s="81" t="s">
        <v>728</v>
      </c>
      <c r="L2" s="83">
        <f>B25</f>
        <v>240</v>
      </c>
    </row>
    <row r="3" spans="1:12">
      <c r="A3" s="84" t="str">
        <f>IF($H$3&lt;0,"⚠ 총량 상한 "&amp;ABS($H$3)&amp;"세트 초과 — 다른 종목에서 그만큼 빼기 전에는 추가 금지. 상한을 올리려면 아래 '상한 변경 이력'에 한 줄 남길 것.","")</f>
        <v/>
      </c>
      <c r="G3" s="81" t="s">
        <v>729</v>
      </c>
      <c r="H3" s="85">
        <f>$J$2-$L$2</f>
        <v>4</v>
      </c>
      <c r="I3" s="81" t="s">
        <v>730</v>
      </c>
      <c r="J3" s="85">
        <f>ROUND($L$2*7/$H$2,1)</f>
        <v>168</v>
      </c>
      <c r="K3" s="81" t="s">
        <v>731</v>
      </c>
      <c r="L3" s="85" t="str">
        <f>IF($H$3&lt;0,"INVALID","VALID")</f>
        <v>VALID</v>
      </c>
    </row>
    <row r="4" spans="1:12" ht="15" customHeight="1">
      <c r="A4" s="5" t="s">
        <v>254</v>
      </c>
      <c r="B4" s="5" t="s">
        <v>732</v>
      </c>
      <c r="C4" s="5" t="s">
        <v>733</v>
      </c>
      <c r="D4" s="5" t="s">
        <v>734</v>
      </c>
      <c r="E4" s="5" t="s">
        <v>735</v>
      </c>
      <c r="F4" s="5" t="s">
        <v>736</v>
      </c>
      <c r="J4" s="86" t="str">
        <f>"주당 환산 (×7/"&amp;$H$2&amp;")"</f>
        <v>주당 환산 (×7/10)</v>
      </c>
    </row>
    <row r="5" spans="1:12" ht="15" customHeight="1">
      <c r="A5" s="53" t="s">
        <v>349</v>
      </c>
      <c r="B5" s="7">
        <f>SUMIFS(D1_당기기A!$E:$E,D1_당기기A!$C:$C,$A5)+SUMIFS(D2_밀기A!$E:$E,D2_밀기A!$C:$C,$A5)+SUMIFS(D3_하체A!$E:$E,D3_하체A!$C:$C,$A5)+SUMIFS(D4_어깨팔A!$E:$E,D4_어깨팔A!$C:$C,$A5)+SUMIFS(D6_당기기B!$E:$E,D6_당기기B!$C:$C,$A5)+SUMIFS(D7_밀기B!$E:$E,D7_밀기B!$C:$C,$A5)+SUMIFS(D8_하체B!$E:$E,D8_하체B!$C:$C,$A5)+SUMIFS(D9_어깨팔B!$E:$E,D9_어깨팔B!$C:$C,$A5)</f>
        <v>13</v>
      </c>
      <c r="C5" s="54">
        <f ca="1">MROUND(SUMIFS(간접계수맵!$F$7:$F$80,간접계수맵!$C$7:$C$80,$A5),0.5)</f>
        <v>0</v>
      </c>
      <c r="D5" s="55">
        <f t="shared" ref="D5:D24" ca="1" si="0">B5+C5</f>
        <v>13</v>
      </c>
      <c r="E5" s="7" t="str">
        <f t="shared" ref="E5:E24" ca="1" si="1">IF(J5&gt;20,"상한",IF(J5&gt;=10,"성장",IF(J5&gt;=8,"유지",IF(J5&gt;=1,"유지 미만","미배치"))))</f>
        <v>유지</v>
      </c>
      <c r="F5" s="53" t="s">
        <v>737</v>
      </c>
      <c r="G5" s="149" t="s">
        <v>738</v>
      </c>
      <c r="H5" s="56">
        <f ca="1">SUM(D5:D6)</f>
        <v>31</v>
      </c>
      <c r="I5" t="str">
        <f ca="1">IF(H5*7/$H$2&gt;20,"주당 환산 천장(20) 초과 — 2·4·7·9일차 예외 허용 · 세트 질 관찰","")</f>
        <v>주당 환산 천장(20) 초과 — 2·4·7·9일차 예외 허용 · 세트 질 관찰</v>
      </c>
      <c r="J5" s="55">
        <f t="shared" ref="J5:J25" ca="1" si="2">ROUND(D5*7/$H$2,1)</f>
        <v>9.1</v>
      </c>
      <c r="L5" s="55">
        <f t="shared" ref="L5:L25" si="3">ROUND(B5*7/$H$2,1)</f>
        <v>9.1</v>
      </c>
    </row>
    <row r="6" spans="1:12" ht="15" customHeight="1">
      <c r="A6" s="53" t="s">
        <v>337</v>
      </c>
      <c r="B6" s="7">
        <f>SUMIFS(D1_당기기A!$E:$E,D1_당기기A!$C:$C,$A6)+SUMIFS(D2_밀기A!$E:$E,D2_밀기A!$C:$C,$A6)+SUMIFS(D3_하체A!$E:$E,D3_하체A!$C:$C,$A6)+SUMIFS(D4_어깨팔A!$E:$E,D4_어깨팔A!$C:$C,$A6)+SUMIFS(D6_당기기B!$E:$E,D6_당기기B!$C:$C,$A6)+SUMIFS(D7_밀기B!$E:$E,D7_밀기B!$C:$C,$A6)+SUMIFS(D8_하체B!$E:$E,D8_하체B!$C:$C,$A6)+SUMIFS(D9_어깨팔B!$E:$E,D9_어깨팔B!$C:$C,$A6)</f>
        <v>18</v>
      </c>
      <c r="C6" s="54">
        <f ca="1">MROUND(SUMIFS(간접계수맵!$F$7:$F$80,간접계수맵!$C$7:$C$80,$A6),0.5)</f>
        <v>0</v>
      </c>
      <c r="D6" s="55">
        <f t="shared" ca="1" si="0"/>
        <v>18</v>
      </c>
      <c r="E6" s="7" t="str">
        <f t="shared" ca="1" si="1"/>
        <v>성장</v>
      </c>
      <c r="F6" s="53" t="s">
        <v>739</v>
      </c>
      <c r="G6" s="150"/>
      <c r="J6" s="55">
        <f t="shared" ca="1" si="2"/>
        <v>12.6</v>
      </c>
      <c r="L6" s="55">
        <f t="shared" si="3"/>
        <v>12.6</v>
      </c>
    </row>
    <row r="7" spans="1:12" ht="15" customHeight="1">
      <c r="A7" s="53" t="s">
        <v>267</v>
      </c>
      <c r="B7" s="7">
        <f>SUMIFS(D1_당기기A!$E:$E,D1_당기기A!$C:$C,$A7)+SUMIFS(D2_밀기A!$E:$E,D2_밀기A!$C:$C,$A7)+SUMIFS(D3_하체A!$E:$E,D3_하체A!$C:$C,$A7)+SUMIFS(D4_어깨팔A!$E:$E,D4_어깨팔A!$C:$C,$A7)+SUMIFS(D6_당기기B!$E:$E,D6_당기기B!$C:$C,$A7)+SUMIFS(D7_밀기B!$E:$E,D7_밀기B!$C:$C,$A7)+SUMIFS(D8_하체B!$E:$E,D8_하체B!$C:$C,$A7)+SUMIFS(D9_어깨팔B!$E:$E,D9_어깨팔B!$C:$C,$A7)</f>
        <v>13</v>
      </c>
      <c r="C7" s="54">
        <f ca="1">MROUND(SUMIFS(간접계수맵!$F$7:$F$80,간접계수맵!$C$7:$C$80,$A7),0.5)</f>
        <v>4</v>
      </c>
      <c r="D7" s="55">
        <f t="shared" ca="1" si="0"/>
        <v>17</v>
      </c>
      <c r="E7" s="7" t="str">
        <f t="shared" ca="1" si="1"/>
        <v>성장</v>
      </c>
      <c r="F7" s="53" t="s">
        <v>740</v>
      </c>
      <c r="G7" s="149" t="s">
        <v>741</v>
      </c>
      <c r="H7" s="56">
        <f ca="1">SUM(D7:D10)</f>
        <v>56.5</v>
      </c>
      <c r="J7" s="55">
        <f t="shared" ca="1" si="2"/>
        <v>11.9</v>
      </c>
      <c r="L7" s="55">
        <f t="shared" si="3"/>
        <v>9.1</v>
      </c>
    </row>
    <row r="8" spans="1:12" ht="15" customHeight="1">
      <c r="A8" s="53" t="s">
        <v>407</v>
      </c>
      <c r="B8" s="7">
        <f>SUMIFS(D1_당기기A!$E:$E,D1_당기기A!$C:$C,$A8)+SUMIFS(D2_밀기A!$E:$E,D2_밀기A!$C:$C,$A8)+SUMIFS(D3_하체A!$E:$E,D3_하체A!$C:$C,$A8)+SUMIFS(D4_어깨팔A!$E:$E,D4_어깨팔A!$C:$C,$A8)+SUMIFS(D6_당기기B!$E:$E,D6_당기기B!$C:$C,$A8)+SUMIFS(D7_밀기B!$E:$E,D7_밀기B!$C:$C,$A8)+SUMIFS(D8_하체B!$E:$E,D8_하체B!$C:$C,$A8)+SUMIFS(D9_어깨팔B!$E:$E,D9_어깨팔B!$C:$C,$A8)</f>
        <v>4</v>
      </c>
      <c r="C8" s="54">
        <f ca="1">MROUND(SUMIFS(간접계수맵!$F$7:$F$80,간접계수맵!$C$7:$C$80,$A8),0.5)</f>
        <v>1.5</v>
      </c>
      <c r="D8" s="55">
        <f t="shared" ca="1" si="0"/>
        <v>5.5</v>
      </c>
      <c r="E8" s="7" t="str">
        <f t="shared" ca="1" si="1"/>
        <v>유지 미만</v>
      </c>
      <c r="F8" s="53" t="s">
        <v>742</v>
      </c>
      <c r="G8" s="150"/>
      <c r="J8" s="55">
        <f t="shared" ca="1" si="2"/>
        <v>3.9</v>
      </c>
      <c r="L8" s="55">
        <f t="shared" si="3"/>
        <v>2.8</v>
      </c>
    </row>
    <row r="9" spans="1:12" ht="15" customHeight="1">
      <c r="A9" s="53" t="s">
        <v>418</v>
      </c>
      <c r="B9" s="7">
        <f>SUMIFS(D1_당기기A!$E:$E,D1_당기기A!$C:$C,$A9)+SUMIFS(D2_밀기A!$E:$E,D2_밀기A!$C:$C,$A9)+SUMIFS(D3_하체A!$E:$E,D3_하체A!$C:$C,$A9)+SUMIFS(D4_어깨팔A!$E:$E,D4_어깨팔A!$C:$C,$A9)+SUMIFS(D6_당기기B!$E:$E,D6_당기기B!$C:$C,$A9)+SUMIFS(D7_밀기B!$E:$E,D7_밀기B!$C:$C,$A9)+SUMIFS(D8_하체B!$E:$E,D8_하체B!$C:$C,$A9)+SUMIFS(D9_어깨팔B!$E:$E,D9_어깨팔B!$C:$C,$A9)</f>
        <v>12</v>
      </c>
      <c r="C9" s="54">
        <f ca="1">MROUND(SUMIFS(간접계수맵!$F$7:$F$80,간접계수맵!$C$7:$C$80,$A9),0.5)</f>
        <v>1.5</v>
      </c>
      <c r="D9" s="55">
        <f t="shared" ca="1" si="0"/>
        <v>13.5</v>
      </c>
      <c r="E9" s="7" t="str">
        <f t="shared" ca="1" si="1"/>
        <v>유지</v>
      </c>
      <c r="F9" s="53" t="s">
        <v>743</v>
      </c>
      <c r="G9" s="150"/>
      <c r="J9" s="55">
        <f t="shared" ca="1" si="2"/>
        <v>9.5</v>
      </c>
      <c r="L9" s="55">
        <f t="shared" si="3"/>
        <v>8.4</v>
      </c>
    </row>
    <row r="10" spans="1:12" ht="15" customHeight="1">
      <c r="A10" s="53" t="s">
        <v>282</v>
      </c>
      <c r="B10" s="7">
        <f>SUMIFS(D1_당기기A!$E:$E,D1_당기기A!$C:$C,$A10)+SUMIFS(D2_밀기A!$E:$E,D2_밀기A!$C:$C,$A10)+SUMIFS(D3_하체A!$E:$E,D3_하체A!$C:$C,$A10)+SUMIFS(D4_어깨팔A!$E:$E,D4_어깨팔A!$C:$C,$A10)+SUMIFS(D6_당기기B!$E:$E,D6_당기기B!$C:$C,$A10)+SUMIFS(D7_밀기B!$E:$E,D7_밀기B!$C:$C,$A10)+SUMIFS(D8_하체B!$E:$E,D8_하체B!$C:$C,$A10)+SUMIFS(D9_어깨팔B!$E:$E,D9_어깨팔B!$C:$C,$A10)</f>
        <v>15</v>
      </c>
      <c r="C10" s="54">
        <f ca="1">MROUND(SUMIFS(간접계수맵!$F$7:$F$80,간접계수맵!$C$7:$C$80,$A10),0.5)</f>
        <v>5.5</v>
      </c>
      <c r="D10" s="55">
        <f t="shared" ca="1" si="0"/>
        <v>20.5</v>
      </c>
      <c r="E10" s="7" t="str">
        <f t="shared" ca="1" si="1"/>
        <v>성장</v>
      </c>
      <c r="F10" s="53" t="s">
        <v>744</v>
      </c>
      <c r="G10" s="150"/>
      <c r="J10" s="55">
        <f t="shared" ca="1" si="2"/>
        <v>14.4</v>
      </c>
      <c r="L10" s="55">
        <f t="shared" si="3"/>
        <v>10.5</v>
      </c>
    </row>
    <row r="11" spans="1:12" ht="15" customHeight="1">
      <c r="A11" s="53" t="s">
        <v>313</v>
      </c>
      <c r="B11" s="7">
        <f>SUMIFS(D1_당기기A!$E:$E,D1_당기기A!$C:$C,$A11)+SUMIFS(D2_밀기A!$E:$E,D2_밀기A!$C:$C,$A11)+SUMIFS(D3_하체A!$E:$E,D3_하체A!$C:$C,$A11)+SUMIFS(D4_어깨팔A!$E:$E,D4_어깨팔A!$C:$C,$A11)+SUMIFS(D6_당기기B!$E:$E,D6_당기기B!$C:$C,$A11)+SUMIFS(D7_밀기B!$E:$E,D7_밀기B!$C:$C,$A11)+SUMIFS(D8_하체B!$E:$E,D8_하체B!$C:$C,$A11)+SUMIFS(D9_어깨팔B!$E:$E,D9_어깨팔B!$C:$C,$A11)</f>
        <v>12</v>
      </c>
      <c r="C11" s="54">
        <f ca="1">MROUND(SUMIFS(간접계수맵!$F$7:$F$80,간접계수맵!$C$7:$C$80,$A11),0.5)</f>
        <v>1.5</v>
      </c>
      <c r="D11" s="55">
        <f t="shared" ca="1" si="0"/>
        <v>13.5</v>
      </c>
      <c r="E11" s="7" t="str">
        <f t="shared" ca="1" si="1"/>
        <v>유지</v>
      </c>
      <c r="F11" s="53" t="s">
        <v>745</v>
      </c>
      <c r="G11" s="57"/>
      <c r="J11" s="55">
        <f t="shared" ca="1" si="2"/>
        <v>9.5</v>
      </c>
      <c r="L11" s="55">
        <f t="shared" si="3"/>
        <v>8.4</v>
      </c>
    </row>
    <row r="12" spans="1:12" ht="15" customHeight="1">
      <c r="A12" s="53" t="s">
        <v>429</v>
      </c>
      <c r="B12" s="7">
        <f>SUMIFS(D1_당기기A!$E:$E,D1_당기기A!$C:$C,$A12)+SUMIFS(D2_밀기A!$E:$E,D2_밀기A!$C:$C,$A12)+SUMIFS(D3_하체A!$E:$E,D3_하체A!$C:$C,$A12)+SUMIFS(D4_어깨팔A!$E:$E,D4_어깨팔A!$C:$C,$A12)+SUMIFS(D6_당기기B!$E:$E,D6_당기기B!$C:$C,$A12)+SUMIFS(D7_밀기B!$E:$E,D7_밀기B!$C:$C,$A12)+SUMIFS(D8_하체B!$E:$E,D8_하체B!$C:$C,$A12)+SUMIFS(D9_어깨팔B!$E:$E,D9_어깨팔B!$C:$C,$A12)</f>
        <v>9</v>
      </c>
      <c r="C12" s="54">
        <f ca="1">MROUND(SUMIFS(간접계수맵!$F$7:$F$80,간접계수맵!$C$7:$C$80,$A12),0.5)</f>
        <v>6.5</v>
      </c>
      <c r="D12" s="55">
        <f t="shared" ca="1" si="0"/>
        <v>15.5</v>
      </c>
      <c r="E12" s="7" t="str">
        <f t="shared" ca="1" si="1"/>
        <v>성장</v>
      </c>
      <c r="F12" s="53" t="s">
        <v>746</v>
      </c>
      <c r="G12" s="57"/>
      <c r="J12" s="55">
        <f t="shared" ca="1" si="2"/>
        <v>10.9</v>
      </c>
      <c r="L12" s="55">
        <f t="shared" si="3"/>
        <v>6.3</v>
      </c>
    </row>
    <row r="13" spans="1:12" ht="15" customHeight="1">
      <c r="A13" s="53" t="s">
        <v>354</v>
      </c>
      <c r="B13" s="7">
        <f>SUMIFS(D1_당기기A!$E:$E,D1_당기기A!$C:$C,$A13)+SUMIFS(D2_밀기A!$E:$E,D2_밀기A!$C:$C,$A13)+SUMIFS(D3_하체A!$E:$E,D3_하체A!$C:$C,$A13)+SUMIFS(D4_어깨팔A!$E:$E,D4_어깨팔A!$C:$C,$A13)+SUMIFS(D6_당기기B!$E:$E,D6_당기기B!$C:$C,$A13)+SUMIFS(D7_밀기B!$E:$E,D7_밀기B!$C:$C,$A13)+SUMIFS(D8_하체B!$E:$E,D8_하체B!$C:$C,$A13)+SUMIFS(D9_어깨팔B!$E:$E,D9_어깨팔B!$C:$C,$A13)</f>
        <v>18</v>
      </c>
      <c r="C13" s="54">
        <f ca="1">MROUND(SUMIFS(간접계수맵!$F$7:$F$80,간접계수맵!$C$7:$C$80,$A13),0.5)</f>
        <v>3</v>
      </c>
      <c r="D13" s="55">
        <f t="shared" ca="1" si="0"/>
        <v>21</v>
      </c>
      <c r="E13" s="7" t="str">
        <f t="shared" ca="1" si="1"/>
        <v>성장</v>
      </c>
      <c r="F13" s="53" t="s">
        <v>747</v>
      </c>
      <c r="G13" s="57"/>
      <c r="J13" s="55">
        <f t="shared" ca="1" si="2"/>
        <v>14.7</v>
      </c>
      <c r="L13" s="55">
        <f t="shared" si="3"/>
        <v>12.6</v>
      </c>
    </row>
    <row r="14" spans="1:12" ht="15" customHeight="1">
      <c r="A14" s="53" t="s">
        <v>358</v>
      </c>
      <c r="B14" s="7">
        <f>SUMIFS(D1_당기기A!$E:$E,D1_당기기A!$C:$C,$A14)+SUMIFS(D2_밀기A!$E:$E,D2_밀기A!$C:$C,$A14)+SUMIFS(D3_하체A!$E:$E,D3_하체A!$C:$C,$A14)+SUMIFS(D4_어깨팔A!$E:$E,D4_어깨팔A!$C:$C,$A14)+SUMIFS(D6_당기기B!$E:$E,D6_당기기B!$C:$C,$A14)+SUMIFS(D7_밀기B!$E:$E,D7_밀기B!$C:$C,$A14)+SUMIFS(D8_하체B!$E:$E,D8_하체B!$C:$C,$A14)+SUMIFS(D9_어깨팔B!$E:$E,D9_어깨팔B!$C:$C,$A14)</f>
        <v>17</v>
      </c>
      <c r="C14" s="54">
        <f ca="1">MROUND(SUMIFS(간접계수맵!$F$7:$F$80,간접계수맵!$C$7:$C$80,$A14),0.5)</f>
        <v>4.5</v>
      </c>
      <c r="D14" s="55">
        <f t="shared" ca="1" si="0"/>
        <v>21.5</v>
      </c>
      <c r="E14" s="7" t="str">
        <f t="shared" ca="1" si="1"/>
        <v>성장</v>
      </c>
      <c r="F14" s="53" t="s">
        <v>748</v>
      </c>
      <c r="G14" s="57"/>
      <c r="H14" s="56"/>
      <c r="J14" s="55">
        <f t="shared" ca="1" si="2"/>
        <v>15.1</v>
      </c>
      <c r="L14" s="55">
        <f t="shared" si="3"/>
        <v>11.9</v>
      </c>
    </row>
    <row r="15" spans="1:12" ht="15" customHeight="1">
      <c r="A15" s="53" t="s">
        <v>369</v>
      </c>
      <c r="B15" s="7">
        <f>SUMIFS(D1_당기기A!$E:$E,D1_당기기A!$C:$C,$A15)+SUMIFS(D2_밀기A!$E:$E,D2_밀기A!$C:$C,$A15)+SUMIFS(D3_하체A!$E:$E,D3_하체A!$C:$C,$A15)+SUMIFS(D4_어깨팔A!$E:$E,D4_어깨팔A!$C:$C,$A15)+SUMIFS(D6_당기기B!$E:$E,D6_당기기B!$C:$C,$A15)+SUMIFS(D7_밀기B!$E:$E,D7_밀기B!$C:$C,$A15)+SUMIFS(D8_하체B!$E:$E,D8_하체B!$C:$C,$A15)+SUMIFS(D9_어깨팔B!$E:$E,D9_어깨팔B!$C:$C,$A15)</f>
        <v>15</v>
      </c>
      <c r="C15" s="54">
        <f ca="1">MROUND(SUMIFS(간접계수맵!$F$7:$F$80,간접계수맵!$C$7:$C$80,$A15),0.5)</f>
        <v>1.5</v>
      </c>
      <c r="D15" s="55">
        <f t="shared" ca="1" si="0"/>
        <v>16.5</v>
      </c>
      <c r="E15" s="7" t="str">
        <f t="shared" ca="1" si="1"/>
        <v>성장</v>
      </c>
      <c r="F15" s="53" t="s">
        <v>378</v>
      </c>
      <c r="G15" s="58" t="s">
        <v>749</v>
      </c>
      <c r="H15" s="56">
        <f ca="1">SUM(D15:D16,D19)</f>
        <v>43</v>
      </c>
      <c r="J15" s="55">
        <f t="shared" ca="1" si="2"/>
        <v>11.6</v>
      </c>
      <c r="L15" s="55">
        <f t="shared" si="3"/>
        <v>10.5</v>
      </c>
    </row>
    <row r="16" spans="1:12" ht="15" customHeight="1">
      <c r="A16" s="53" t="s">
        <v>384</v>
      </c>
      <c r="B16" s="7">
        <f>SUMIFS(D1_당기기A!$E:$E,D1_당기기A!$C:$C,$A16)+SUMIFS(D2_밀기A!$E:$E,D2_밀기A!$C:$C,$A16)+SUMIFS(D3_하체A!$E:$E,D3_하체A!$C:$C,$A16)+SUMIFS(D4_어깨팔A!$E:$E,D4_어깨팔A!$C:$C,$A16)+SUMIFS(D6_당기기B!$E:$E,D6_당기기B!$C:$C,$A16)+SUMIFS(D7_밀기B!$E:$E,D7_밀기B!$C:$C,$A16)+SUMIFS(D8_하체B!$E:$E,D8_하체B!$C:$C,$A16)+SUMIFS(D9_어깨팔B!$E:$E,D9_어깨팔B!$C:$C,$A16)</f>
        <v>10</v>
      </c>
      <c r="C16" s="54">
        <f ca="1">MROUND(SUMIFS(간접계수맵!$F$7:$F$80,간접계수맵!$C$7:$C$80,$A16),0.5)</f>
        <v>3.5</v>
      </c>
      <c r="D16" s="55">
        <f t="shared" ca="1" si="0"/>
        <v>13.5</v>
      </c>
      <c r="E16" s="7" t="str">
        <f t="shared" ca="1" si="1"/>
        <v>유지</v>
      </c>
      <c r="F16" s="53" t="s">
        <v>750</v>
      </c>
      <c r="G16" s="57"/>
      <c r="J16" s="55">
        <f t="shared" ca="1" si="2"/>
        <v>9.5</v>
      </c>
      <c r="L16" s="55">
        <f t="shared" si="3"/>
        <v>7</v>
      </c>
    </row>
    <row r="17" spans="1:12" ht="15" customHeight="1">
      <c r="A17" s="53" t="s">
        <v>375</v>
      </c>
      <c r="B17" s="7">
        <f>SUMIFS(D1_당기기A!$E:$E,D1_당기기A!$C:$C,$A17)+SUMIFS(D2_밀기A!$E:$E,D2_밀기A!$C:$C,$A17)+SUMIFS(D3_하체A!$E:$E,D3_하체A!$C:$C,$A17)+SUMIFS(D4_어깨팔A!$E:$E,D4_어깨팔A!$C:$C,$A17)+SUMIFS(D6_당기기B!$E:$E,D6_당기기B!$C:$C,$A17)+SUMIFS(D7_밀기B!$E:$E,D7_밀기B!$C:$C,$A17)+SUMIFS(D8_하체B!$E:$E,D8_하체B!$C:$C,$A17)+SUMIFS(D9_어깨팔B!$E:$E,D9_어깨팔B!$C:$C,$A17)</f>
        <v>7</v>
      </c>
      <c r="C17" s="54">
        <f ca="1">MROUND(SUMIFS(간접계수맵!$F$7:$F$80,간접계수맵!$C$7:$C$80,$A17),0.5)</f>
        <v>9</v>
      </c>
      <c r="D17" s="55">
        <f t="shared" ca="1" si="0"/>
        <v>16</v>
      </c>
      <c r="E17" s="7" t="str">
        <f t="shared" ca="1" si="1"/>
        <v>성장</v>
      </c>
      <c r="F17" s="53" t="s">
        <v>751</v>
      </c>
      <c r="G17" s="149" t="s">
        <v>375</v>
      </c>
      <c r="H17" s="56">
        <f ca="1">SUM(D17:D18)</f>
        <v>29</v>
      </c>
      <c r="J17" s="55">
        <f t="shared" ca="1" si="2"/>
        <v>11.2</v>
      </c>
      <c r="L17" s="55">
        <f t="shared" si="3"/>
        <v>4.9000000000000004</v>
      </c>
    </row>
    <row r="18" spans="1:12" ht="15" customHeight="1">
      <c r="A18" s="53" t="s">
        <v>393</v>
      </c>
      <c r="B18" s="7">
        <f>SUMIFS(D1_당기기A!$E:$E,D1_당기기A!$C:$C,$A18)+SUMIFS(D2_밀기A!$E:$E,D2_밀기A!$C:$C,$A18)+SUMIFS(D3_하체A!$E:$E,D3_하체A!$C:$C,$A18)+SUMIFS(D4_어깨팔A!$E:$E,D4_어깨팔A!$C:$C,$A18)+SUMIFS(D6_당기기B!$E:$E,D6_당기기B!$C:$C,$A18)+SUMIFS(D7_밀기B!$E:$E,D7_밀기B!$C:$C,$A18)+SUMIFS(D8_하체B!$E:$E,D8_하체B!$C:$C,$A18)+SUMIFS(D9_어깨팔B!$E:$E,D9_어깨팔B!$C:$C,$A18)</f>
        <v>12</v>
      </c>
      <c r="C18" s="54">
        <f ca="1">MROUND(SUMIFS(간접계수맵!$F$7:$F$80,간접계수맵!$C$7:$C$80,$A18),0.5)</f>
        <v>1</v>
      </c>
      <c r="D18" s="55">
        <f t="shared" ca="1" si="0"/>
        <v>13</v>
      </c>
      <c r="E18" s="7" t="str">
        <f t="shared" ca="1" si="1"/>
        <v>유지</v>
      </c>
      <c r="F18" s="53" t="s">
        <v>752</v>
      </c>
      <c r="G18" s="150"/>
      <c r="J18" s="55">
        <f t="shared" ca="1" si="2"/>
        <v>9.1</v>
      </c>
      <c r="L18" s="55">
        <f t="shared" si="3"/>
        <v>8.4</v>
      </c>
    </row>
    <row r="19" spans="1:12" ht="15" customHeight="1">
      <c r="A19" s="53" t="s">
        <v>308</v>
      </c>
      <c r="B19" s="7">
        <f>SUMIFS(D1_당기기A!$E:$E,D1_당기기A!$C:$C,$A19)+SUMIFS(D2_밀기A!$E:$E,D2_밀기A!$C:$C,$A19)+SUMIFS(D3_하체A!$E:$E,D3_하체A!$C:$C,$A19)+SUMIFS(D4_어깨팔A!$E:$E,D4_어깨팔A!$C:$C,$A19)+SUMIFS(D6_당기기B!$E:$E,D6_당기기B!$C:$C,$A19)+SUMIFS(D7_밀기B!$E:$E,D7_밀기B!$C:$C,$A19)+SUMIFS(D8_하체B!$E:$E,D8_하체B!$C:$C,$A19)+SUMIFS(D9_어깨팔B!$E:$E,D9_어깨팔B!$C:$C,$A19)</f>
        <v>13</v>
      </c>
      <c r="C19" s="54">
        <f>MROUND(SUMIFS(간접계수맵!$F$7:$F$80,간접계수맵!$C$7:$C$80,$A19),0.5)</f>
        <v>0</v>
      </c>
      <c r="D19" s="55">
        <f t="shared" si="0"/>
        <v>13</v>
      </c>
      <c r="E19" s="7" t="str">
        <f t="shared" si="1"/>
        <v>유지</v>
      </c>
      <c r="F19" s="53" t="s">
        <v>753</v>
      </c>
      <c r="G19" s="57"/>
      <c r="J19" s="55">
        <f t="shared" si="2"/>
        <v>9.1</v>
      </c>
      <c r="L19" s="55">
        <f t="shared" si="3"/>
        <v>9.1</v>
      </c>
    </row>
    <row r="20" spans="1:12" ht="15" customHeight="1">
      <c r="A20" s="53" t="s">
        <v>269</v>
      </c>
      <c r="B20" s="7">
        <f>SUMIFS(D1_당기기A!$E:$E,D1_당기기A!$C:$C,$A20)+SUMIFS(D2_밀기A!$E:$E,D2_밀기A!$C:$C,$A20)+SUMIFS(D3_하체A!$E:$E,D3_하체A!$C:$C,$A20)+SUMIFS(D4_어깨팔A!$E:$E,D4_어깨팔A!$C:$C,$A20)+SUMIFS(D6_당기기B!$E:$E,D6_당기기B!$C:$C,$A20)+SUMIFS(D7_밀기B!$E:$E,D7_밀기B!$C:$C,$A20)+SUMIFS(D8_하체B!$E:$E,D8_하체B!$C:$C,$A20)+SUMIFS(D9_어깨팔B!$E:$E,D9_어깨팔B!$C:$C,$A20)</f>
        <v>11</v>
      </c>
      <c r="C20" s="54">
        <f ca="1">MROUND(SUMIFS(간접계수맵!$F$7:$F$80,간접계수맵!$C$7:$C$80,$A20),0.5)</f>
        <v>7</v>
      </c>
      <c r="D20" s="55">
        <f t="shared" ca="1" si="0"/>
        <v>18</v>
      </c>
      <c r="E20" s="7" t="str">
        <f t="shared" ca="1" si="1"/>
        <v>성장</v>
      </c>
      <c r="F20" s="53" t="s">
        <v>754</v>
      </c>
      <c r="G20" s="57"/>
      <c r="J20" s="55">
        <f t="shared" ca="1" si="2"/>
        <v>12.6</v>
      </c>
      <c r="L20" s="55">
        <f t="shared" si="3"/>
        <v>7.7</v>
      </c>
    </row>
    <row r="21" spans="1:12" ht="15" customHeight="1">
      <c r="A21" s="53" t="s">
        <v>345</v>
      </c>
      <c r="B21" s="7">
        <f>SUMIFS(D1_당기기A!$E:$E,D1_당기기A!$C:$C,$A21)+SUMIFS(D2_밀기A!$E:$E,D2_밀기A!$C:$C,$A21)+SUMIFS(D3_하체A!$E:$E,D3_하체A!$C:$C,$A21)+SUMIFS(D4_어깨팔A!$E:$E,D4_어깨팔A!$C:$C,$A21)+SUMIFS(D6_당기기B!$E:$E,D6_당기기B!$C:$C,$A21)+SUMIFS(D7_밀기B!$E:$E,D7_밀기B!$C:$C,$A21)+SUMIFS(D8_하체B!$E:$E,D8_하체B!$C:$C,$A21)+SUMIFS(D9_어깨팔B!$E:$E,D9_어깨팔B!$C:$C,$A21)</f>
        <v>8</v>
      </c>
      <c r="C21" s="54">
        <f ca="1">MROUND(SUMIFS(간접계수맵!$F$7:$F$80,간접계수맵!$C$7:$C$80,$A21),0.5)</f>
        <v>12</v>
      </c>
      <c r="D21" s="55">
        <f t="shared" ca="1" si="0"/>
        <v>20</v>
      </c>
      <c r="E21" s="7" t="str">
        <f t="shared" ca="1" si="1"/>
        <v>성장</v>
      </c>
      <c r="F21" s="53" t="s">
        <v>755</v>
      </c>
      <c r="G21" s="57"/>
      <c r="J21" s="55">
        <f t="shared" ca="1" si="2"/>
        <v>14</v>
      </c>
      <c r="L21" s="55">
        <f t="shared" si="3"/>
        <v>5.6</v>
      </c>
    </row>
    <row r="22" spans="1:12" ht="16.5" customHeight="1">
      <c r="A22" s="53" t="s">
        <v>295</v>
      </c>
      <c r="B22" s="7">
        <f>SUMIFS(D1_당기기A!$E:$E,D1_당기기A!$C:$C,$A22)+SUMIFS(D2_밀기A!$E:$E,D2_밀기A!$C:$C,$A22)+SUMIFS(D3_하체A!$E:$E,D3_하체A!$C:$C,$A22)+SUMIFS(D4_어깨팔A!$E:$E,D4_어깨팔A!$C:$C,$A22)+SUMIFS(D6_당기기B!$E:$E,D6_당기기B!$C:$C,$A22)+SUMIFS(D7_밀기B!$E:$E,D7_밀기B!$C:$C,$A22)+SUMIFS(D8_하체B!$E:$E,D8_하체B!$C:$C,$A22)+SUMIFS(D9_어깨팔B!$E:$E,D9_어깨팔B!$C:$C,$A22)</f>
        <v>11</v>
      </c>
      <c r="C22" s="54">
        <f ca="1">MROUND(SUMIFS(간접계수맵!$F$7:$F$80,간접계수맵!$C$7:$C$80,$A22),0.5)</f>
        <v>3.5</v>
      </c>
      <c r="D22" s="55">
        <f t="shared" ca="1" si="0"/>
        <v>14.5</v>
      </c>
      <c r="E22" s="7" t="str">
        <f t="shared" ca="1" si="1"/>
        <v>성장</v>
      </c>
      <c r="F22" s="53" t="s">
        <v>756</v>
      </c>
      <c r="G22" s="57"/>
      <c r="J22" s="55">
        <f t="shared" ca="1" si="2"/>
        <v>10.199999999999999</v>
      </c>
      <c r="L22" s="55">
        <f t="shared" si="3"/>
        <v>7.7</v>
      </c>
    </row>
    <row r="23" spans="1:12" ht="24" customHeight="1">
      <c r="A23" s="53" t="s">
        <v>299</v>
      </c>
      <c r="B23" s="59">
        <f>SUMIFS(D1_당기기A!$E:$E,D1_당기기A!$C:$C,$A23)+SUMIFS(D2_밀기A!$E:$E,D2_밀기A!$C:$C,$A23)+SUMIFS(D3_하체A!$E:$E,D3_하체A!$C:$C,$A23)+SUMIFS(D4_어깨팔A!$E:$E,D4_어깨팔A!$C:$C,$A23)+SUMIFS(D6_당기기B!$E:$E,D6_당기기B!$C:$C,$A23)+SUMIFS(D7_밀기B!$E:$E,D7_밀기B!$C:$C,$A23)+SUMIFS(D8_하체B!$E:$E,D8_하체B!$C:$C,$A23)+SUMIFS(D9_어깨팔B!$E:$E,D9_어깨팔B!$C:$C,$A23)</f>
        <v>13</v>
      </c>
      <c r="C23" s="54">
        <f>MROUND(SUMIFS(간접계수맵!$F$7:$F$80,간접계수맵!$C$7:$C$80,$A23),0.5)</f>
        <v>0</v>
      </c>
      <c r="D23" s="55">
        <f t="shared" si="0"/>
        <v>13</v>
      </c>
      <c r="E23" s="7" t="str">
        <f t="shared" si="1"/>
        <v>유지</v>
      </c>
      <c r="F23" s="53" t="s">
        <v>757</v>
      </c>
      <c r="G23" s="57"/>
      <c r="J23" s="55">
        <f t="shared" si="2"/>
        <v>9.1</v>
      </c>
      <c r="L23" s="55">
        <f t="shared" si="3"/>
        <v>9.1</v>
      </c>
    </row>
    <row r="24" spans="1:12" ht="15" customHeight="1">
      <c r="A24" s="53" t="s">
        <v>388</v>
      </c>
      <c r="B24" s="59">
        <f>SUMIFS(D1_당기기A!$E:$E,D1_당기기A!$C:$C,$A24)+SUMIFS(D2_밀기A!$E:$E,D2_밀기A!$C:$C,$A24)+SUMIFS(D3_하체A!$E:$E,D3_하체A!$C:$C,$A24)+SUMIFS(D4_어깨팔A!$E:$E,D4_어깨팔A!$C:$C,$A24)+SUMIFS(D6_당기기B!$E:$E,D6_당기기B!$C:$C,$A24)+SUMIFS(D7_밀기B!$E:$E,D7_밀기B!$C:$C,$A24)+SUMIFS(D8_하체B!$E:$E,D8_하체B!$C:$C,$A24)+SUMIFS(D9_어깨팔B!$E:$E,D9_어깨팔B!$C:$C,$A24)</f>
        <v>9</v>
      </c>
      <c r="C24" s="54">
        <f ca="1">MROUND(SUMIFS(간접계수맵!$F$7:$F$80,간접계수맵!$C$7:$C$80,$A24),0.5)</f>
        <v>4.5</v>
      </c>
      <c r="D24" s="55">
        <f t="shared" ca="1" si="0"/>
        <v>13.5</v>
      </c>
      <c r="E24" s="7" t="str">
        <f t="shared" ca="1" si="1"/>
        <v>유지</v>
      </c>
      <c r="F24" s="53" t="s">
        <v>758</v>
      </c>
      <c r="G24" s="57"/>
      <c r="J24" s="55">
        <f t="shared" ca="1" si="2"/>
        <v>9.5</v>
      </c>
      <c r="L24" s="55">
        <f t="shared" si="3"/>
        <v>6.3</v>
      </c>
    </row>
    <row r="25" spans="1:12" ht="36" customHeight="1">
      <c r="A25" s="60" t="s">
        <v>759</v>
      </c>
      <c r="B25" s="15">
        <f>SUM(B5:B24)</f>
        <v>240</v>
      </c>
      <c r="C25" s="61"/>
      <c r="D25" s="62">
        <f ca="1">SUM(D5:D24)</f>
        <v>310</v>
      </c>
      <c r="E25" s="61"/>
      <c r="F25" s="61"/>
      <c r="J25" s="62">
        <f t="shared" ca="1" si="2"/>
        <v>217</v>
      </c>
      <c r="L25" s="62">
        <f t="shared" si="3"/>
        <v>168</v>
      </c>
    </row>
    <row r="26" spans="1:12" ht="15" customHeight="1">
      <c r="A26" s="13" t="s">
        <v>760</v>
      </c>
    </row>
    <row r="27" spans="1:12" ht="16.5" customHeight="1">
      <c r="A27" s="11" t="s">
        <v>761</v>
      </c>
    </row>
    <row r="28" spans="1:12" ht="36" customHeight="1">
      <c r="A28" s="11" t="s">
        <v>762</v>
      </c>
    </row>
    <row r="29" spans="1:12" ht="48" customHeight="1">
      <c r="A29" s="11" t="s">
        <v>763</v>
      </c>
    </row>
    <row r="30" spans="1:12" ht="48" customHeight="1">
      <c r="A30" s="63"/>
    </row>
    <row r="31" spans="1:12" ht="15" customHeight="1">
      <c r="A31" s="13" t="s">
        <v>764</v>
      </c>
    </row>
    <row r="32" spans="1:12" ht="16.5" customHeight="1">
      <c r="A32" s="11" t="s">
        <v>765</v>
      </c>
    </row>
    <row r="33" spans="1:1" ht="48" customHeight="1">
      <c r="A33" s="11" t="s">
        <v>766</v>
      </c>
    </row>
    <row r="34" spans="1:1" ht="48" customHeight="1">
      <c r="A34" s="11" t="s">
        <v>767</v>
      </c>
    </row>
    <row r="35" spans="1:1" ht="15" customHeight="1">
      <c r="A35" s="63"/>
    </row>
    <row r="36" spans="1:1" ht="48" customHeight="1">
      <c r="A36" s="13" t="s">
        <v>768</v>
      </c>
    </row>
    <row r="37" spans="1:1" ht="77.25" customHeight="1">
      <c r="A37" s="11" t="s">
        <v>769</v>
      </c>
    </row>
    <row r="38" spans="1:1" ht="48" customHeight="1">
      <c r="A38" s="11" t="s">
        <v>770</v>
      </c>
    </row>
    <row r="39" spans="1:1" ht="39" customHeight="1">
      <c r="A39" s="63" t="s">
        <v>771</v>
      </c>
    </row>
    <row r="40" spans="1:1" ht="45" customHeight="1">
      <c r="A40" s="11" t="s">
        <v>772</v>
      </c>
    </row>
    <row r="41" spans="1:1" ht="48" customHeight="1">
      <c r="A41" s="11" t="s">
        <v>773</v>
      </c>
    </row>
    <row r="42" spans="1:1" ht="48" customHeight="1">
      <c r="A42" s="11" t="s">
        <v>774</v>
      </c>
    </row>
    <row r="43" spans="1:1" ht="48" customHeight="1">
      <c r="A43" s="11" t="s">
        <v>775</v>
      </c>
    </row>
    <row r="44" spans="1:1" ht="48" customHeight="1">
      <c r="A44" s="77" t="s">
        <v>776</v>
      </c>
    </row>
    <row r="45" spans="1:1" ht="51.75" customHeight="1">
      <c r="A45" t="s">
        <v>777</v>
      </c>
    </row>
    <row r="46" spans="1:1" ht="90" customHeight="1">
      <c r="A46" s="11" t="s">
        <v>778</v>
      </c>
    </row>
    <row r="47" spans="1:1" ht="51.75" customHeight="1">
      <c r="A47" s="11" t="s">
        <v>779</v>
      </c>
    </row>
    <row r="48" spans="1:1" ht="48" customHeight="1">
      <c r="A48" s="11" t="s">
        <v>780</v>
      </c>
    </row>
    <row r="49" spans="1:5" ht="48" customHeight="1">
      <c r="A49" s="11" t="s">
        <v>781</v>
      </c>
    </row>
    <row r="50" spans="1:5" ht="48" customHeight="1">
      <c r="A50" s="11" t="s">
        <v>782</v>
      </c>
    </row>
    <row r="51" spans="1:5">
      <c r="A51" t="s">
        <v>783</v>
      </c>
    </row>
    <row r="52" spans="1:5">
      <c r="A52" t="s">
        <v>784</v>
      </c>
    </row>
    <row r="53" spans="1:5">
      <c r="A53" t="s">
        <v>785</v>
      </c>
    </row>
    <row r="54" spans="1:5">
      <c r="A54" t="s">
        <v>786</v>
      </c>
    </row>
    <row r="55" spans="1:5">
      <c r="A55" t="s">
        <v>787</v>
      </c>
    </row>
    <row r="57" spans="1:5">
      <c r="A57" s="80" t="s">
        <v>788</v>
      </c>
    </row>
    <row r="58" spans="1:5">
      <c r="A58" s="87" t="s">
        <v>789</v>
      </c>
      <c r="B58" s="87" t="s">
        <v>790</v>
      </c>
      <c r="C58" s="87" t="s">
        <v>791</v>
      </c>
      <c r="D58" s="87" t="s">
        <v>792</v>
      </c>
      <c r="E58" s="87" t="s">
        <v>793</v>
      </c>
    </row>
    <row r="59" spans="1:5">
      <c r="A59" s="88">
        <v>46269</v>
      </c>
      <c r="B59" s="89" t="s">
        <v>27</v>
      </c>
      <c r="C59" s="89">
        <v>239</v>
      </c>
      <c r="D59" s="89" t="s">
        <v>794</v>
      </c>
      <c r="E59" s="89" t="s">
        <v>27</v>
      </c>
    </row>
    <row r="60" spans="1:5">
      <c r="A60" s="93">
        <v>46269</v>
      </c>
      <c r="B60" s="94">
        <v>239</v>
      </c>
      <c r="C60" s="94">
        <v>239</v>
      </c>
      <c r="D60" s="94" t="s">
        <v>795</v>
      </c>
      <c r="E60" s="94" t="s">
        <v>796</v>
      </c>
    </row>
    <row r="61" spans="1:5">
      <c r="A61" s="97">
        <v>46270</v>
      </c>
      <c r="B61" s="98">
        <v>239</v>
      </c>
      <c r="C61" s="98">
        <v>244</v>
      </c>
      <c r="D61" s="98" t="s">
        <v>797</v>
      </c>
      <c r="E61" s="98" t="s">
        <v>28</v>
      </c>
    </row>
    <row r="62" spans="1:5">
      <c r="A62" s="91" t="s">
        <v>798</v>
      </c>
    </row>
    <row r="63" spans="1:5">
      <c r="A63" t="s">
        <v>799</v>
      </c>
    </row>
    <row r="64" spans="1:5">
      <c r="A64" t="s">
        <v>800</v>
      </c>
    </row>
    <row r="65" spans="1:1">
      <c r="A65" t="s">
        <v>801</v>
      </c>
    </row>
    <row r="66" spans="1:1">
      <c r="A66" t="s">
        <v>802</v>
      </c>
    </row>
    <row r="67" spans="1:1">
      <c r="A67" t="s">
        <v>803</v>
      </c>
    </row>
    <row r="68" spans="1:1">
      <c r="A68" t="s">
        <v>804</v>
      </c>
    </row>
  </sheetData>
  <mergeCells count="3">
    <mergeCell ref="G5:G6"/>
    <mergeCell ref="G17:G18"/>
    <mergeCell ref="G7:G10"/>
  </mergeCells>
  <phoneticPr fontId="29" type="noConversion"/>
  <conditionalFormatting sqref="H3">
    <cfRule type="cellIs" dxfId="2" priority="3" operator="lessThan">
      <formula>0</formula>
    </cfRule>
  </conditionalFormatting>
  <conditionalFormatting sqref="L3">
    <cfRule type="cellIs" dxfId="1" priority="1" operator="equal">
      <formula>"INVALID"</formula>
    </cfRule>
    <cfRule type="cellIs" dxfId="0" priority="2" operator="equal">
      <formula>"VALID"</formula>
    </cfRule>
  </conditionalFormatting>
  <pageMargins left="0.75" right="0.75" top="1" bottom="1"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K66"/>
  <sheetViews>
    <sheetView zoomScaleNormal="100" workbookViewId="0">
      <selection activeCell="F28" sqref="F28"/>
    </sheetView>
  </sheetViews>
  <sheetFormatPr defaultColWidth="8.7109375" defaultRowHeight="15"/>
  <cols>
    <col min="1" max="1" width="9" customWidth="1"/>
    <col min="2" max="2" width="12" customWidth="1"/>
    <col min="3" max="3" width="13" customWidth="1"/>
    <col min="4" max="4" width="8" customWidth="1"/>
    <col min="5" max="5" width="13" customWidth="1"/>
    <col min="6" max="6" width="8" customWidth="1"/>
    <col min="7" max="7" width="13" customWidth="1"/>
    <col min="8" max="8" width="8" customWidth="1"/>
    <col min="9" max="9" width="13" customWidth="1"/>
    <col min="10" max="10" width="8" customWidth="1"/>
    <col min="11" max="11" width="34" customWidth="1"/>
    <col min="12" max="12" width="15" customWidth="1"/>
    <col min="13" max="13" width="14" customWidth="1"/>
    <col min="14" max="37" width="13" customWidth="1"/>
  </cols>
  <sheetData>
    <row r="1" spans="1:8" ht="18" customHeight="1">
      <c r="A1" s="1" t="s">
        <v>805</v>
      </c>
    </row>
    <row r="2" spans="1:8" ht="15" customHeight="1">
      <c r="A2" s="2" t="s">
        <v>806</v>
      </c>
    </row>
    <row r="4" spans="1:8" ht="15" customHeight="1">
      <c r="A4" s="3" t="s">
        <v>807</v>
      </c>
      <c r="E4" t="s">
        <v>808</v>
      </c>
      <c r="F4" t="s">
        <v>1557</v>
      </c>
    </row>
    <row r="5" spans="1:8" ht="15" customHeight="1">
      <c r="A5" s="64" t="s">
        <v>809</v>
      </c>
      <c r="C5" s="4">
        <v>2</v>
      </c>
      <c r="D5" s="63" t="s">
        <v>810</v>
      </c>
      <c r="E5">
        <v>1</v>
      </c>
    </row>
    <row r="6" spans="1:8" ht="15" customHeight="1">
      <c r="A6" s="64" t="s">
        <v>811</v>
      </c>
      <c r="C6" s="4">
        <v>2</v>
      </c>
      <c r="D6" s="63" t="s">
        <v>812</v>
      </c>
      <c r="E6">
        <v>1</v>
      </c>
    </row>
    <row r="7" spans="1:8" ht="15" customHeight="1">
      <c r="A7" s="64" t="s">
        <v>813</v>
      </c>
      <c r="C7" s="4">
        <v>1</v>
      </c>
      <c r="D7" s="63" t="s">
        <v>814</v>
      </c>
      <c r="E7">
        <v>1</v>
      </c>
      <c r="H7">
        <f>SUM(D7:D22)</f>
        <v>0</v>
      </c>
    </row>
    <row r="8" spans="1:8" ht="84" customHeight="1">
      <c r="A8" s="64" t="s">
        <v>815</v>
      </c>
      <c r="C8" s="4">
        <v>1</v>
      </c>
      <c r="D8" s="63" t="s">
        <v>816</v>
      </c>
      <c r="E8">
        <v>2</v>
      </c>
    </row>
    <row r="9" spans="1:8" ht="84" customHeight="1">
      <c r="A9" s="64" t="s">
        <v>1558</v>
      </c>
      <c r="C9" s="143">
        <v>1</v>
      </c>
      <c r="D9" s="63" t="s">
        <v>1559</v>
      </c>
      <c r="E9">
        <v>1</v>
      </c>
      <c r="F9">
        <v>13</v>
      </c>
    </row>
    <row r="10" spans="1:8" ht="84" customHeight="1">
      <c r="A10" s="64" t="s">
        <v>1560</v>
      </c>
      <c r="C10" s="143">
        <v>1</v>
      </c>
      <c r="D10" s="63" t="s">
        <v>1561</v>
      </c>
      <c r="E10">
        <v>1</v>
      </c>
      <c r="F10">
        <v>13</v>
      </c>
    </row>
    <row r="11" spans="1:8" ht="84" customHeight="1">
      <c r="A11" s="64" t="s">
        <v>1574</v>
      </c>
      <c r="C11" s="143">
        <v>2</v>
      </c>
      <c r="D11" s="63" t="s">
        <v>1575</v>
      </c>
      <c r="E11">
        <v>1</v>
      </c>
      <c r="F11">
        <v>13</v>
      </c>
    </row>
    <row r="12" spans="1:8" ht="84" customHeight="1">
      <c r="A12" s="64" t="s">
        <v>1578</v>
      </c>
      <c r="C12" s="143">
        <v>2</v>
      </c>
      <c r="D12" s="63" t="s">
        <v>1579</v>
      </c>
      <c r="E12">
        <v>2</v>
      </c>
      <c r="F12">
        <v>13</v>
      </c>
    </row>
    <row r="13" spans="1:8" ht="84" customHeight="1">
      <c r="A13" s="64" t="s">
        <v>1582</v>
      </c>
      <c r="C13" s="143">
        <v>1</v>
      </c>
      <c r="D13" s="63" t="s">
        <v>1583</v>
      </c>
      <c r="E13">
        <v>2</v>
      </c>
      <c r="F13">
        <v>13</v>
      </c>
    </row>
    <row r="14" spans="1:8" ht="84" customHeight="1">
      <c r="A14" s="64" t="s">
        <v>1587</v>
      </c>
      <c r="C14" s="143">
        <v>1</v>
      </c>
      <c r="D14" s="63" t="s">
        <v>1588</v>
      </c>
      <c r="E14">
        <v>2</v>
      </c>
      <c r="F14">
        <v>13</v>
      </c>
    </row>
    <row r="15" spans="1:8" ht="84" customHeight="1">
      <c r="A15" s="64" t="s">
        <v>1592</v>
      </c>
      <c r="C15" s="143">
        <v>1</v>
      </c>
      <c r="D15" s="63" t="s">
        <v>1593</v>
      </c>
      <c r="E15">
        <v>3</v>
      </c>
      <c r="F15">
        <v>13</v>
      </c>
    </row>
    <row r="16" spans="1:8" ht="84" customHeight="1">
      <c r="A16" s="64" t="s">
        <v>1597</v>
      </c>
      <c r="C16" s="143">
        <v>1</v>
      </c>
      <c r="D16" s="63" t="s">
        <v>1598</v>
      </c>
      <c r="E16">
        <v>2</v>
      </c>
      <c r="F16">
        <v>13</v>
      </c>
    </row>
    <row r="17" spans="1:37" ht="84" customHeight="1">
      <c r="A17" s="64" t="s">
        <v>1602</v>
      </c>
      <c r="C17" s="143">
        <v>1</v>
      </c>
      <c r="D17" s="63" t="s">
        <v>1661</v>
      </c>
      <c r="E17">
        <v>2</v>
      </c>
      <c r="F17">
        <v>13</v>
      </c>
    </row>
    <row r="18" spans="1:37" ht="84" customHeight="1">
      <c r="A18" s="64" t="s">
        <v>1605</v>
      </c>
      <c r="C18" s="143">
        <v>1</v>
      </c>
      <c r="D18" s="63" t="s">
        <v>1606</v>
      </c>
      <c r="E18">
        <v>3</v>
      </c>
      <c r="F18">
        <v>13</v>
      </c>
    </row>
    <row r="19" spans="1:37" ht="84" customHeight="1">
      <c r="A19" s="64" t="s">
        <v>1610</v>
      </c>
      <c r="C19" s="143">
        <v>1</v>
      </c>
      <c r="D19" s="63" t="s">
        <v>1606</v>
      </c>
      <c r="E19">
        <v>3</v>
      </c>
      <c r="F19">
        <v>13</v>
      </c>
    </row>
    <row r="20" spans="1:37" ht="84" customHeight="1">
      <c r="A20" s="64" t="s">
        <v>1615</v>
      </c>
      <c r="C20" s="143">
        <v>1</v>
      </c>
      <c r="D20" s="63" t="s">
        <v>1616</v>
      </c>
      <c r="E20">
        <v>1</v>
      </c>
      <c r="F20">
        <v>13</v>
      </c>
    </row>
    <row r="21" spans="1:37" ht="15" customHeight="1">
      <c r="A21" s="5" t="s">
        <v>114</v>
      </c>
      <c r="B21" s="5" t="s">
        <v>1246</v>
      </c>
      <c r="C21" s="5" t="s">
        <v>817</v>
      </c>
      <c r="D21" s="5" t="s">
        <v>818</v>
      </c>
      <c r="E21" s="5" t="s">
        <v>819</v>
      </c>
      <c r="F21" s="5" t="s">
        <v>818</v>
      </c>
      <c r="G21" s="5" t="s">
        <v>820</v>
      </c>
      <c r="H21" s="5" t="s">
        <v>818</v>
      </c>
      <c r="I21" s="5" t="s">
        <v>821</v>
      </c>
      <c r="J21" s="5" t="s">
        <v>818</v>
      </c>
      <c r="K21" s="5" t="s">
        <v>261</v>
      </c>
      <c r="L21" s="87" t="s">
        <v>822</v>
      </c>
      <c r="M21" s="87" t="s">
        <v>823</v>
      </c>
      <c r="N21" s="5" t="s">
        <v>1562</v>
      </c>
      <c r="O21" s="5" t="s">
        <v>1563</v>
      </c>
      <c r="P21" s="5" t="s">
        <v>1564</v>
      </c>
      <c r="Q21" s="5" t="s">
        <v>1563</v>
      </c>
      <c r="R21" s="5" t="s">
        <v>1576</v>
      </c>
      <c r="S21" s="5" t="s">
        <v>1563</v>
      </c>
      <c r="T21" s="5" t="s">
        <v>1580</v>
      </c>
      <c r="U21" s="5" t="s">
        <v>1563</v>
      </c>
      <c r="V21" s="5" t="s">
        <v>1584</v>
      </c>
      <c r="W21" s="5" t="s">
        <v>1563</v>
      </c>
      <c r="X21" s="5" t="s">
        <v>1589</v>
      </c>
      <c r="Y21" s="5" t="s">
        <v>1563</v>
      </c>
      <c r="Z21" s="5" t="s">
        <v>1594</v>
      </c>
      <c r="AA21" s="5" t="s">
        <v>1563</v>
      </c>
      <c r="AB21" s="5" t="s">
        <v>1599</v>
      </c>
      <c r="AC21" s="5" t="s">
        <v>1563</v>
      </c>
      <c r="AD21" s="5" t="s">
        <v>1603</v>
      </c>
      <c r="AE21" s="5" t="s">
        <v>1563</v>
      </c>
      <c r="AF21" s="5" t="s">
        <v>1607</v>
      </c>
      <c r="AG21" s="5" t="s">
        <v>1563</v>
      </c>
      <c r="AH21" s="5" t="s">
        <v>1611</v>
      </c>
      <c r="AI21" s="5" t="s">
        <v>1563</v>
      </c>
      <c r="AJ21" s="5" t="s">
        <v>1617</v>
      </c>
      <c r="AK21" s="5" t="s">
        <v>1563</v>
      </c>
    </row>
    <row r="22" spans="1:37" ht="15" customHeight="1">
      <c r="A22" s="8" t="s">
        <v>115</v>
      </c>
      <c r="B22" s="73">
        <v>46263</v>
      </c>
      <c r="C22" s="16">
        <f>시작중량_설정!$D$7</f>
        <v>62</v>
      </c>
      <c r="D22" s="4"/>
      <c r="E22" s="16">
        <f>시작중량_설정!$D$8</f>
        <v>67</v>
      </c>
      <c r="F22" s="4"/>
      <c r="G22" s="16">
        <f>시작중량_설정!$D$9</f>
        <v>35</v>
      </c>
      <c r="H22" s="4"/>
      <c r="I22" s="16">
        <f>시작중량_설정!$D$10</f>
        <v>28</v>
      </c>
      <c r="J22" s="4"/>
      <c r="K22" s="65" t="s">
        <v>824</v>
      </c>
      <c r="L22" s="90"/>
      <c r="M22" s="90"/>
      <c r="N22" s="16" t="s">
        <v>27</v>
      </c>
      <c r="O22" s="4"/>
      <c r="P22" s="16" t="s">
        <v>27</v>
      </c>
      <c r="Q22" s="4"/>
      <c r="R22" s="16" t="s">
        <v>27</v>
      </c>
      <c r="S22" s="4"/>
      <c r="T22" s="16" t="s">
        <v>27</v>
      </c>
      <c r="U22" s="4"/>
      <c r="V22" s="16" t="s">
        <v>27</v>
      </c>
      <c r="W22" s="4"/>
      <c r="X22" s="16" t="s">
        <v>27</v>
      </c>
      <c r="Y22" s="4"/>
      <c r="Z22" s="16" t="s">
        <v>27</v>
      </c>
      <c r="AA22" s="4"/>
      <c r="AB22" s="16" t="s">
        <v>27</v>
      </c>
      <c r="AC22" s="4"/>
      <c r="AD22" s="16" t="s">
        <v>27</v>
      </c>
      <c r="AE22" s="4"/>
      <c r="AF22" s="16" t="s">
        <v>27</v>
      </c>
      <c r="AG22" s="4"/>
      <c r="AH22" s="16" t="s">
        <v>27</v>
      </c>
      <c r="AI22" s="4"/>
      <c r="AJ22" s="16" t="s">
        <v>27</v>
      </c>
      <c r="AK22" s="4"/>
    </row>
    <row r="23" spans="1:37" ht="15" customHeight="1">
      <c r="A23" s="8" t="s">
        <v>116</v>
      </c>
      <c r="B23" s="73">
        <v>46270</v>
      </c>
      <c r="C23" s="16">
        <f t="shared" ref="C23:C51" si="0">IF(OR(D22="",D22="O"),IF(MOD(ROW()-22,$E$6)=0,C22+$C$6+(MOD(C22+$C$6,5)=4),C22),C22)</f>
        <v>65</v>
      </c>
      <c r="D23" s="4"/>
      <c r="E23" s="16">
        <f t="shared" ref="E23:E51" si="1">IF(OR(F22="",F22="O"),IF(MOD(ROW()-22,$E$5)=0,E22+$C$5+(MOD(E22+$C$5,5)=4),E22),E22)</f>
        <v>70</v>
      </c>
      <c r="F23" s="4"/>
      <c r="G23" s="16">
        <f t="shared" ref="G23:G51" si="2">IF(OR(H22="",H22="O"),IF(MOD(ROW()-22,$E$7)=0,G22+$C$7+(MOD(G22+$C$7,5)=4),G22),G22)</f>
        <v>36</v>
      </c>
      <c r="H23" s="4"/>
      <c r="I23" s="16">
        <f t="shared" ref="I23:I51" si="3">IF(OR(J22="",J22="O"),IF(MOD(ROW()-22,$E$8)=0,I22+$C$8+(MOD(I22+$C$8,5)=4),I22),I22)</f>
        <v>28</v>
      </c>
      <c r="J23" s="4"/>
      <c r="K23" s="65"/>
      <c r="L23" s="90"/>
      <c r="M23" s="90"/>
      <c r="N23" s="16" t="s">
        <v>27</v>
      </c>
      <c r="O23" s="4"/>
      <c r="P23" s="16" t="s">
        <v>27</v>
      </c>
      <c r="Q23" s="4"/>
      <c r="R23" s="16" t="s">
        <v>27</v>
      </c>
      <c r="S23" s="4"/>
      <c r="T23" s="16" t="s">
        <v>27</v>
      </c>
      <c r="U23" s="4"/>
      <c r="V23" s="16" t="s">
        <v>27</v>
      </c>
      <c r="W23" s="4"/>
      <c r="X23" s="16" t="s">
        <v>27</v>
      </c>
      <c r="Y23" s="4"/>
      <c r="Z23" s="16" t="s">
        <v>27</v>
      </c>
      <c r="AA23" s="4"/>
      <c r="AB23" s="16" t="s">
        <v>27</v>
      </c>
      <c r="AC23" s="4"/>
      <c r="AD23" s="16" t="s">
        <v>27</v>
      </c>
      <c r="AE23" s="4"/>
      <c r="AF23" s="16" t="s">
        <v>27</v>
      </c>
      <c r="AG23" s="4"/>
      <c r="AH23" s="16" t="s">
        <v>27</v>
      </c>
      <c r="AI23" s="4"/>
      <c r="AJ23" s="16" t="s">
        <v>27</v>
      </c>
      <c r="AK23" s="4"/>
    </row>
    <row r="24" spans="1:37" ht="15" customHeight="1">
      <c r="A24" s="8" t="s">
        <v>117</v>
      </c>
      <c r="B24" s="73">
        <v>46277</v>
      </c>
      <c r="C24" s="16">
        <f t="shared" si="0"/>
        <v>67</v>
      </c>
      <c r="D24" s="4"/>
      <c r="E24" s="16">
        <f t="shared" si="1"/>
        <v>72</v>
      </c>
      <c r="F24" s="4"/>
      <c r="G24" s="16">
        <f t="shared" si="2"/>
        <v>37</v>
      </c>
      <c r="H24" s="4"/>
      <c r="I24" s="16">
        <f t="shared" si="3"/>
        <v>30</v>
      </c>
      <c r="J24" s="4"/>
      <c r="K24" s="65"/>
      <c r="L24" s="90"/>
      <c r="M24" s="90"/>
      <c r="N24" s="16" t="s">
        <v>27</v>
      </c>
      <c r="O24" s="4"/>
      <c r="P24" s="16" t="s">
        <v>27</v>
      </c>
      <c r="Q24" s="4"/>
      <c r="R24" s="16" t="s">
        <v>27</v>
      </c>
      <c r="S24" s="4"/>
      <c r="T24" s="16" t="s">
        <v>27</v>
      </c>
      <c r="U24" s="4"/>
      <c r="V24" s="16" t="s">
        <v>27</v>
      </c>
      <c r="W24" s="4"/>
      <c r="X24" s="16" t="s">
        <v>27</v>
      </c>
      <c r="Y24" s="4"/>
      <c r="Z24" s="16" t="s">
        <v>27</v>
      </c>
      <c r="AA24" s="4"/>
      <c r="AB24" s="16" t="s">
        <v>27</v>
      </c>
      <c r="AC24" s="4"/>
      <c r="AD24" s="16" t="s">
        <v>27</v>
      </c>
      <c r="AE24" s="4"/>
      <c r="AF24" s="16" t="s">
        <v>27</v>
      </c>
      <c r="AG24" s="4"/>
      <c r="AH24" s="16" t="s">
        <v>27</v>
      </c>
      <c r="AI24" s="4"/>
      <c r="AJ24" s="16" t="s">
        <v>27</v>
      </c>
      <c r="AK24" s="4"/>
    </row>
    <row r="25" spans="1:37" ht="15" customHeight="1">
      <c r="A25" s="8" t="s">
        <v>118</v>
      </c>
      <c r="B25" s="73">
        <v>46284</v>
      </c>
      <c r="C25" s="16">
        <f t="shared" si="0"/>
        <v>70</v>
      </c>
      <c r="D25" s="4"/>
      <c r="E25" s="16">
        <f t="shared" si="1"/>
        <v>75</v>
      </c>
      <c r="F25" s="4"/>
      <c r="G25" s="16">
        <f t="shared" si="2"/>
        <v>38</v>
      </c>
      <c r="H25" s="4"/>
      <c r="I25" s="16">
        <f t="shared" si="3"/>
        <v>30</v>
      </c>
      <c r="J25" s="4"/>
      <c r="K25" s="65"/>
      <c r="L25" s="90"/>
      <c r="M25" s="90"/>
      <c r="N25" s="16" t="s">
        <v>27</v>
      </c>
      <c r="O25" s="4"/>
      <c r="P25" s="16" t="s">
        <v>27</v>
      </c>
      <c r="Q25" s="4"/>
      <c r="R25" s="16" t="s">
        <v>27</v>
      </c>
      <c r="S25" s="4"/>
      <c r="T25" s="16" t="s">
        <v>27</v>
      </c>
      <c r="U25" s="4"/>
      <c r="V25" s="16" t="s">
        <v>27</v>
      </c>
      <c r="W25" s="4"/>
      <c r="X25" s="16" t="s">
        <v>27</v>
      </c>
      <c r="Y25" s="4"/>
      <c r="Z25" s="16" t="s">
        <v>27</v>
      </c>
      <c r="AA25" s="4"/>
      <c r="AB25" s="16" t="s">
        <v>27</v>
      </c>
      <c r="AC25" s="4"/>
      <c r="AD25" s="16" t="s">
        <v>27</v>
      </c>
      <c r="AE25" s="4"/>
      <c r="AF25" s="16" t="s">
        <v>27</v>
      </c>
      <c r="AG25" s="4"/>
      <c r="AH25" s="16" t="s">
        <v>27</v>
      </c>
      <c r="AI25" s="4"/>
      <c r="AJ25" s="16" t="s">
        <v>27</v>
      </c>
      <c r="AK25" s="4"/>
    </row>
    <row r="26" spans="1:37" ht="15" customHeight="1">
      <c r="A26" s="8" t="s">
        <v>119</v>
      </c>
      <c r="B26" s="73">
        <v>46291</v>
      </c>
      <c r="C26" s="16">
        <f t="shared" si="0"/>
        <v>72</v>
      </c>
      <c r="D26" s="4"/>
      <c r="E26" s="16">
        <f t="shared" si="1"/>
        <v>77</v>
      </c>
      <c r="F26" s="4"/>
      <c r="G26" s="16">
        <f t="shared" si="2"/>
        <v>40</v>
      </c>
      <c r="H26" s="4"/>
      <c r="I26" s="16">
        <f t="shared" si="3"/>
        <v>31</v>
      </c>
      <c r="J26" s="4"/>
      <c r="K26" s="65"/>
      <c r="L26" s="90"/>
      <c r="M26" s="90"/>
      <c r="N26" s="16" t="s">
        <v>27</v>
      </c>
      <c r="O26" s="4"/>
      <c r="P26" s="16" t="s">
        <v>27</v>
      </c>
      <c r="Q26" s="4"/>
      <c r="R26" s="16" t="s">
        <v>27</v>
      </c>
      <c r="S26" s="4"/>
      <c r="T26" s="16" t="s">
        <v>27</v>
      </c>
      <c r="U26" s="4"/>
      <c r="V26" s="16" t="s">
        <v>27</v>
      </c>
      <c r="W26" s="4"/>
      <c r="X26" s="16" t="s">
        <v>27</v>
      </c>
      <c r="Y26" s="4"/>
      <c r="Z26" s="16" t="s">
        <v>27</v>
      </c>
      <c r="AA26" s="4"/>
      <c r="AB26" s="16" t="s">
        <v>27</v>
      </c>
      <c r="AC26" s="4"/>
      <c r="AD26" s="16" t="s">
        <v>27</v>
      </c>
      <c r="AE26" s="4"/>
      <c r="AF26" s="16" t="s">
        <v>27</v>
      </c>
      <c r="AG26" s="4"/>
      <c r="AH26" s="16" t="s">
        <v>27</v>
      </c>
      <c r="AI26" s="4"/>
      <c r="AJ26" s="16" t="s">
        <v>27</v>
      </c>
      <c r="AK26" s="4"/>
    </row>
    <row r="27" spans="1:37" ht="15" customHeight="1">
      <c r="A27" s="8" t="s">
        <v>120</v>
      </c>
      <c r="B27" s="73">
        <v>46298</v>
      </c>
      <c r="C27" s="16">
        <f t="shared" si="0"/>
        <v>75</v>
      </c>
      <c r="D27" s="4"/>
      <c r="E27" s="16">
        <f t="shared" si="1"/>
        <v>80</v>
      </c>
      <c r="F27" s="4"/>
      <c r="G27" s="16">
        <f t="shared" si="2"/>
        <v>41</v>
      </c>
      <c r="H27" s="4"/>
      <c r="I27" s="16">
        <f t="shared" si="3"/>
        <v>31</v>
      </c>
      <c r="J27" s="4"/>
      <c r="K27" s="65"/>
      <c r="L27" s="90"/>
      <c r="M27" s="90"/>
      <c r="N27" s="16" t="s">
        <v>27</v>
      </c>
      <c r="O27" s="4"/>
      <c r="P27" s="16" t="s">
        <v>27</v>
      </c>
      <c r="Q27" s="4"/>
      <c r="R27" s="16" t="s">
        <v>27</v>
      </c>
      <c r="S27" s="4"/>
      <c r="T27" s="16" t="s">
        <v>27</v>
      </c>
      <c r="U27" s="4"/>
      <c r="V27" s="16" t="s">
        <v>27</v>
      </c>
      <c r="W27" s="4"/>
      <c r="X27" s="16" t="s">
        <v>27</v>
      </c>
      <c r="Y27" s="4"/>
      <c r="Z27" s="16" t="s">
        <v>27</v>
      </c>
      <c r="AA27" s="4"/>
      <c r="AB27" s="16" t="s">
        <v>27</v>
      </c>
      <c r="AC27" s="4"/>
      <c r="AD27" s="16" t="s">
        <v>27</v>
      </c>
      <c r="AE27" s="4"/>
      <c r="AF27" s="16" t="s">
        <v>27</v>
      </c>
      <c r="AG27" s="4"/>
      <c r="AH27" s="16" t="s">
        <v>27</v>
      </c>
      <c r="AI27" s="4"/>
      <c r="AJ27" s="16" t="s">
        <v>27</v>
      </c>
      <c r="AK27" s="4"/>
    </row>
    <row r="28" spans="1:37" ht="15" customHeight="1">
      <c r="A28" s="8" t="s">
        <v>121</v>
      </c>
      <c r="B28" s="73">
        <v>46305</v>
      </c>
      <c r="C28" s="16">
        <f t="shared" si="0"/>
        <v>77</v>
      </c>
      <c r="D28" s="4"/>
      <c r="E28" s="16">
        <f t="shared" si="1"/>
        <v>82</v>
      </c>
      <c r="F28" s="4"/>
      <c r="G28" s="16">
        <f t="shared" si="2"/>
        <v>42</v>
      </c>
      <c r="H28" s="4"/>
      <c r="I28" s="16">
        <f t="shared" si="3"/>
        <v>32</v>
      </c>
      <c r="J28" s="4"/>
      <c r="K28" s="65"/>
      <c r="L28" s="90"/>
      <c r="M28" s="90"/>
      <c r="N28" s="16" t="s">
        <v>27</v>
      </c>
      <c r="O28" s="4"/>
      <c r="P28" s="16" t="s">
        <v>27</v>
      </c>
      <c r="Q28" s="4"/>
      <c r="R28" s="16" t="s">
        <v>27</v>
      </c>
      <c r="S28" s="4"/>
      <c r="T28" s="16" t="s">
        <v>27</v>
      </c>
      <c r="U28" s="4"/>
      <c r="V28" s="16" t="s">
        <v>27</v>
      </c>
      <c r="W28" s="4"/>
      <c r="X28" s="16" t="s">
        <v>27</v>
      </c>
      <c r="Y28" s="4"/>
      <c r="Z28" s="16" t="s">
        <v>27</v>
      </c>
      <c r="AA28" s="4"/>
      <c r="AB28" s="16" t="s">
        <v>27</v>
      </c>
      <c r="AC28" s="4"/>
      <c r="AD28" s="16" t="s">
        <v>27</v>
      </c>
      <c r="AE28" s="4"/>
      <c r="AF28" s="16" t="s">
        <v>27</v>
      </c>
      <c r="AG28" s="4"/>
      <c r="AH28" s="16" t="s">
        <v>27</v>
      </c>
      <c r="AI28" s="4"/>
      <c r="AJ28" s="16" t="s">
        <v>27</v>
      </c>
      <c r="AK28" s="4"/>
    </row>
    <row r="29" spans="1:37" ht="15" customHeight="1">
      <c r="A29" s="8" t="s">
        <v>122</v>
      </c>
      <c r="B29" s="73">
        <v>46312</v>
      </c>
      <c r="C29" s="16">
        <f t="shared" si="0"/>
        <v>80</v>
      </c>
      <c r="D29" s="4"/>
      <c r="E29" s="16">
        <f t="shared" si="1"/>
        <v>85</v>
      </c>
      <c r="F29" s="4"/>
      <c r="G29" s="16">
        <f t="shared" si="2"/>
        <v>43</v>
      </c>
      <c r="H29" s="4"/>
      <c r="I29" s="16">
        <f t="shared" si="3"/>
        <v>32</v>
      </c>
      <c r="J29" s="4"/>
      <c r="K29" s="65"/>
      <c r="L29" s="90"/>
      <c r="M29" s="90"/>
      <c r="N29" s="16">
        <f>시작중량_설정!$D$11</f>
        <v>60</v>
      </c>
      <c r="O29" s="4"/>
      <c r="P29" s="16">
        <f>시작중량_설정!$D$12</f>
        <v>42</v>
      </c>
      <c r="Q29" s="4"/>
      <c r="R29" s="16">
        <f>시작중량_설정!$D$13</f>
        <v>160</v>
      </c>
      <c r="S29" s="4"/>
      <c r="T29" s="16">
        <f>시작중량_설정!$D$14</f>
        <v>140</v>
      </c>
      <c r="U29" s="4"/>
      <c r="V29" s="16">
        <f>시작중량_설정!$D$15</f>
        <v>50</v>
      </c>
      <c r="W29" s="4"/>
      <c r="X29" s="16">
        <f>시작중량_설정!$D$16</f>
        <v>25</v>
      </c>
      <c r="Y29" s="4"/>
      <c r="Z29" s="16">
        <f>시작중량_설정!$D$17</f>
        <v>25</v>
      </c>
      <c r="AA29" s="4"/>
      <c r="AB29" s="16">
        <f>시작중량_설정!$D$18</f>
        <v>50</v>
      </c>
      <c r="AC29" s="4"/>
      <c r="AD29" s="16">
        <f>시작중량_설정!$D$19</f>
        <v>0</v>
      </c>
      <c r="AE29" s="4"/>
      <c r="AF29" s="16">
        <f>시작중량_설정!$D$20</f>
        <v>15</v>
      </c>
      <c r="AG29" s="4"/>
      <c r="AH29" s="16">
        <f>시작중량_설정!$D$21</f>
        <v>15</v>
      </c>
      <c r="AI29" s="4"/>
      <c r="AJ29" s="16">
        <f>시작중량_설정!$D$22</f>
        <v>40</v>
      </c>
      <c r="AK29" s="4"/>
    </row>
    <row r="30" spans="1:37" ht="15" customHeight="1">
      <c r="A30" s="8" t="s">
        <v>123</v>
      </c>
      <c r="B30" s="73">
        <v>46319</v>
      </c>
      <c r="C30" s="16">
        <f t="shared" si="0"/>
        <v>82</v>
      </c>
      <c r="D30" s="4"/>
      <c r="E30" s="16">
        <f t="shared" si="1"/>
        <v>87</v>
      </c>
      <c r="F30" s="4"/>
      <c r="G30" s="16">
        <f t="shared" si="2"/>
        <v>45</v>
      </c>
      <c r="H30" s="4"/>
      <c r="I30" s="16">
        <f t="shared" si="3"/>
        <v>33</v>
      </c>
      <c r="J30" s="4"/>
      <c r="K30" s="65"/>
      <c r="L30" s="90"/>
      <c r="M30" s="90"/>
      <c r="N30" s="16">
        <f t="shared" ref="N30:N51" si="4">IF(OR(O29="",O29="O"),IF(MOD(ROW()-29,$E$9)=0,N29+$C$9+(MOD(N29+$C$9,5)=4),N29),N29)</f>
        <v>61</v>
      </c>
      <c r="O30" s="4"/>
      <c r="P30" s="16">
        <f t="shared" ref="P30:P51" si="5">IF(OR(Q29="",Q29="O"),IF(MOD(ROW()-29,$E$10)=0,P29+$C$10+(MOD(P29+$C$10,5)=4),P29),P29)</f>
        <v>43</v>
      </c>
      <c r="Q30" s="4"/>
      <c r="R30" s="16">
        <f t="shared" ref="R30:R51" si="6">IF(OR(S29="",S29="O"),IF(MOD(ROW()-29,$E$11)=0,R29+$C$11+(MOD(R29+$C$11,5)=4),R29),R29)</f>
        <v>162</v>
      </c>
      <c r="S30" s="4"/>
      <c r="T30" s="16">
        <f t="shared" ref="T30:T51" si="7">IF(OR(U29="",U29="O"),IF(MOD(ROW()-29,$E$12)=0,T29+$C$12+(MOD(T29+$C$12,5)=4),T29),T29)</f>
        <v>140</v>
      </c>
      <c r="U30" s="4"/>
      <c r="V30" s="16">
        <f t="shared" ref="V30:V51" si="8">IF(OR(W29="",W29="O"),IF(MOD(ROW()-29,$E$13)=0,V29+$C$13+(MOD(V29+$C$13,5)=4),V29),V29)</f>
        <v>50</v>
      </c>
      <c r="W30" s="4"/>
      <c r="X30" s="16">
        <f t="shared" ref="X30:X51" si="9">IF(OR(Y29="",Y29="O"),IF(MOD(ROW()-29,$E$14)=0,X29+$C$14+(MOD(X29+$C$14,5)=4),X29),X29)</f>
        <v>25</v>
      </c>
      <c r="Y30" s="4"/>
      <c r="Z30" s="16">
        <f t="shared" ref="Z30:Z51" si="10">IF(OR(AA29="",AA29="O"),IF(MOD(ROW()-29,$E$15)=0,Z29+$C$15+(MOD(Z29+$C$15,5)=4),Z29),Z29)</f>
        <v>25</v>
      </c>
      <c r="AA30" s="4"/>
      <c r="AB30" s="16">
        <f t="shared" ref="AB30:AB51" si="11">IF(OR(AC29="",AC29="O"),IF(MOD(ROW()-29,$E$16)=0,AB29+$C$16+(MOD(AB29+$C$16,5)=4),AB29),AB29)</f>
        <v>50</v>
      </c>
      <c r="AC30" s="4"/>
      <c r="AD30" s="16">
        <f t="shared" ref="AD30:AD51" si="12">IF(OR(AE29="",AE29="O"),IF(MOD(ROW()-29,$E$17)=0,AD29+$C$17+(MOD(AD29+$C$17,5)=4),AD29),AD29)</f>
        <v>0</v>
      </c>
      <c r="AE30" s="4"/>
      <c r="AF30" s="16">
        <f>IF(OR(AG29="",AG29="O"),IF(MOD(ROW()-29,$E$18)=0,AF29+$C$18+(MOD(AF29+$C$18,5)=4),AF29),AF29)</f>
        <v>15</v>
      </c>
      <c r="AG30" s="4"/>
      <c r="AH30" s="16">
        <f>IF(OR(AI29="",AI29="O"),IF(MOD(ROW()-29,$E$19)=0,AH29+$C$19+(MOD(AH29+$C$19,5)=4),AH29),AH29)</f>
        <v>15</v>
      </c>
      <c r="AI30" s="4"/>
      <c r="AJ30" s="16">
        <f>IF(OR(AK29="",AK29="O"),IF(MOD(ROW()-29,$E$20)=0,AJ29+$C$20+(MOD(AJ29+$C$20,5)=4),AJ29),AJ29)</f>
        <v>41</v>
      </c>
      <c r="AK30" s="4"/>
    </row>
    <row r="31" spans="1:37" ht="15" customHeight="1">
      <c r="A31" s="8" t="s">
        <v>124</v>
      </c>
      <c r="B31" s="73">
        <v>46326</v>
      </c>
      <c r="C31" s="16">
        <f t="shared" si="0"/>
        <v>85</v>
      </c>
      <c r="D31" s="4"/>
      <c r="E31" s="16">
        <f t="shared" si="1"/>
        <v>90</v>
      </c>
      <c r="F31" s="4"/>
      <c r="G31" s="16">
        <f t="shared" si="2"/>
        <v>46</v>
      </c>
      <c r="H31" s="4"/>
      <c r="I31" s="16">
        <f t="shared" si="3"/>
        <v>33</v>
      </c>
      <c r="J31" s="4"/>
      <c r="K31" s="65"/>
      <c r="L31" s="90"/>
      <c r="M31" s="90"/>
      <c r="N31" s="16">
        <f t="shared" si="4"/>
        <v>62</v>
      </c>
      <c r="O31" s="4"/>
      <c r="P31" s="16">
        <f t="shared" si="5"/>
        <v>45</v>
      </c>
      <c r="Q31" s="4"/>
      <c r="R31" s="16">
        <f t="shared" si="6"/>
        <v>165</v>
      </c>
      <c r="S31" s="4"/>
      <c r="T31" s="16">
        <f t="shared" si="7"/>
        <v>142</v>
      </c>
      <c r="U31" s="4"/>
      <c r="V31" s="16">
        <f t="shared" si="8"/>
        <v>51</v>
      </c>
      <c r="W31" s="4"/>
      <c r="X31" s="16">
        <f t="shared" si="9"/>
        <v>26</v>
      </c>
      <c r="Y31" s="4"/>
      <c r="Z31" s="16">
        <f t="shared" si="10"/>
        <v>25</v>
      </c>
      <c r="AA31" s="4"/>
      <c r="AB31" s="16">
        <f t="shared" si="11"/>
        <v>51</v>
      </c>
      <c r="AC31" s="4"/>
      <c r="AD31" s="16">
        <f t="shared" si="12"/>
        <v>1</v>
      </c>
      <c r="AE31" s="4"/>
      <c r="AF31" s="16">
        <f t="shared" ref="AF31:AF51" si="13">IF(OR(AG30="",AG30="O"),IF(MOD(ROW()-29,$E$18)=0,AF30+$C$18+(MOD(AF30+$C$18,5)=4),AF30),AF30)</f>
        <v>15</v>
      </c>
      <c r="AG31" s="4"/>
      <c r="AH31" s="16">
        <f t="shared" ref="AH31:AH51" si="14">IF(OR(AI30="",AI30="O"),IF(MOD(ROW()-29,$E$19)=0,AH30+$C$19+(MOD(AH30+$C$19,5)=4),AH30),AH30)</f>
        <v>15</v>
      </c>
      <c r="AI31" s="4"/>
      <c r="AJ31" s="16">
        <f t="shared" ref="AJ31:AJ51" si="15">IF(OR(AK30="",AK30="O"),IF(MOD(ROW()-29,$E$20)=0,AJ30+$C$20+(MOD(AJ30+$C$20,5)=4),AJ30),AJ30)</f>
        <v>42</v>
      </c>
      <c r="AK31" s="4"/>
    </row>
    <row r="32" spans="1:37" ht="15" customHeight="1">
      <c r="A32" s="8" t="s">
        <v>125</v>
      </c>
      <c r="B32" s="73">
        <v>46333</v>
      </c>
      <c r="C32" s="16">
        <f t="shared" si="0"/>
        <v>87</v>
      </c>
      <c r="D32" s="4"/>
      <c r="E32" s="16">
        <f t="shared" si="1"/>
        <v>92</v>
      </c>
      <c r="F32" s="4"/>
      <c r="G32" s="16">
        <f t="shared" si="2"/>
        <v>47</v>
      </c>
      <c r="H32" s="4"/>
      <c r="I32" s="16">
        <f t="shared" si="3"/>
        <v>35</v>
      </c>
      <c r="J32" s="4"/>
      <c r="K32" s="65"/>
      <c r="L32" s="90"/>
      <c r="M32" s="90"/>
      <c r="N32" s="16">
        <f t="shared" si="4"/>
        <v>63</v>
      </c>
      <c r="O32" s="4"/>
      <c r="P32" s="16">
        <f t="shared" si="5"/>
        <v>46</v>
      </c>
      <c r="Q32" s="4"/>
      <c r="R32" s="16">
        <f t="shared" si="6"/>
        <v>167</v>
      </c>
      <c r="S32" s="4"/>
      <c r="T32" s="16">
        <f t="shared" si="7"/>
        <v>142</v>
      </c>
      <c r="U32" s="4"/>
      <c r="V32" s="16">
        <f t="shared" si="8"/>
        <v>51</v>
      </c>
      <c r="W32" s="4"/>
      <c r="X32" s="16">
        <f t="shared" si="9"/>
        <v>26</v>
      </c>
      <c r="Y32" s="4"/>
      <c r="Z32" s="16">
        <f t="shared" si="10"/>
        <v>26</v>
      </c>
      <c r="AA32" s="4"/>
      <c r="AB32" s="16">
        <f t="shared" si="11"/>
        <v>51</v>
      </c>
      <c r="AC32" s="4"/>
      <c r="AD32" s="16">
        <f t="shared" si="12"/>
        <v>1</v>
      </c>
      <c r="AE32" s="4"/>
      <c r="AF32" s="16">
        <f t="shared" si="13"/>
        <v>16</v>
      </c>
      <c r="AG32" s="4"/>
      <c r="AH32" s="16">
        <f t="shared" si="14"/>
        <v>16</v>
      </c>
      <c r="AI32" s="4"/>
      <c r="AJ32" s="16">
        <f t="shared" si="15"/>
        <v>43</v>
      </c>
      <c r="AK32" s="4"/>
    </row>
    <row r="33" spans="1:37" ht="15" customHeight="1">
      <c r="A33" s="8" t="s">
        <v>126</v>
      </c>
      <c r="B33" s="73">
        <v>46340</v>
      </c>
      <c r="C33" s="16">
        <f t="shared" si="0"/>
        <v>90</v>
      </c>
      <c r="D33" s="4"/>
      <c r="E33" s="16">
        <f t="shared" si="1"/>
        <v>95</v>
      </c>
      <c r="F33" s="4"/>
      <c r="G33" s="16">
        <f t="shared" si="2"/>
        <v>48</v>
      </c>
      <c r="H33" s="4"/>
      <c r="I33" s="16">
        <f t="shared" si="3"/>
        <v>35</v>
      </c>
      <c r="J33" s="4"/>
      <c r="K33" s="65"/>
      <c r="L33" s="90"/>
      <c r="M33" s="90"/>
      <c r="N33" s="16">
        <f t="shared" si="4"/>
        <v>65</v>
      </c>
      <c r="O33" s="4"/>
      <c r="P33" s="16">
        <f t="shared" si="5"/>
        <v>47</v>
      </c>
      <c r="Q33" s="4"/>
      <c r="R33" s="16">
        <f t="shared" si="6"/>
        <v>170</v>
      </c>
      <c r="S33" s="4"/>
      <c r="T33" s="16">
        <f t="shared" si="7"/>
        <v>145</v>
      </c>
      <c r="U33" s="4"/>
      <c r="V33" s="16">
        <f t="shared" si="8"/>
        <v>52</v>
      </c>
      <c r="W33" s="4"/>
      <c r="X33" s="16">
        <f t="shared" si="9"/>
        <v>27</v>
      </c>
      <c r="Y33" s="4"/>
      <c r="Z33" s="16">
        <f t="shared" si="10"/>
        <v>26</v>
      </c>
      <c r="AA33" s="4"/>
      <c r="AB33" s="16">
        <f t="shared" si="11"/>
        <v>52</v>
      </c>
      <c r="AC33" s="4"/>
      <c r="AD33" s="16">
        <f t="shared" si="12"/>
        <v>2</v>
      </c>
      <c r="AE33" s="4"/>
      <c r="AF33" s="16">
        <f t="shared" si="13"/>
        <v>16</v>
      </c>
      <c r="AG33" s="4"/>
      <c r="AH33" s="16">
        <f t="shared" si="14"/>
        <v>16</v>
      </c>
      <c r="AI33" s="4"/>
      <c r="AJ33" s="16">
        <f t="shared" si="15"/>
        <v>45</v>
      </c>
      <c r="AK33" s="4"/>
    </row>
    <row r="34" spans="1:37" ht="15" customHeight="1">
      <c r="A34" s="101" t="s">
        <v>825</v>
      </c>
      <c r="B34" s="105">
        <v>46347</v>
      </c>
      <c r="C34" s="103">
        <f t="shared" si="0"/>
        <v>92</v>
      </c>
      <c r="D34" s="102"/>
      <c r="E34" s="103">
        <f t="shared" si="1"/>
        <v>97</v>
      </c>
      <c r="F34" s="102"/>
      <c r="G34" s="103">
        <f t="shared" si="2"/>
        <v>50</v>
      </c>
      <c r="H34" s="102"/>
      <c r="I34" s="103">
        <f t="shared" si="3"/>
        <v>36</v>
      </c>
      <c r="J34" s="102"/>
      <c r="K34" s="104"/>
      <c r="L34" s="90"/>
      <c r="M34" s="90"/>
      <c r="N34" s="16">
        <f t="shared" si="4"/>
        <v>66</v>
      </c>
      <c r="O34" s="102"/>
      <c r="P34" s="16">
        <f t="shared" si="5"/>
        <v>48</v>
      </c>
      <c r="Q34" s="102"/>
      <c r="R34" s="16">
        <f t="shared" si="6"/>
        <v>172</v>
      </c>
      <c r="S34" s="102"/>
      <c r="T34" s="16">
        <f t="shared" si="7"/>
        <v>145</v>
      </c>
      <c r="U34" s="102"/>
      <c r="V34" s="16">
        <f t="shared" si="8"/>
        <v>52</v>
      </c>
      <c r="W34" s="102"/>
      <c r="X34" s="16">
        <f t="shared" si="9"/>
        <v>27</v>
      </c>
      <c r="Y34" s="102"/>
      <c r="Z34" s="16">
        <f t="shared" si="10"/>
        <v>26</v>
      </c>
      <c r="AA34" s="102"/>
      <c r="AB34" s="16">
        <f t="shared" si="11"/>
        <v>52</v>
      </c>
      <c r="AC34" s="102"/>
      <c r="AD34" s="16">
        <f t="shared" si="12"/>
        <v>2</v>
      </c>
      <c r="AE34" s="102"/>
      <c r="AF34" s="16">
        <f t="shared" si="13"/>
        <v>16</v>
      </c>
      <c r="AG34" s="102"/>
      <c r="AH34" s="16">
        <f t="shared" si="14"/>
        <v>16</v>
      </c>
      <c r="AI34" s="102"/>
      <c r="AJ34" s="16">
        <f t="shared" si="15"/>
        <v>46</v>
      </c>
      <c r="AK34" s="102"/>
    </row>
    <row r="35" spans="1:37" ht="15" customHeight="1">
      <c r="A35" s="101" t="s">
        <v>826</v>
      </c>
      <c r="B35" s="105">
        <v>46354</v>
      </c>
      <c r="C35" s="103">
        <f t="shared" si="0"/>
        <v>95</v>
      </c>
      <c r="D35" s="102"/>
      <c r="E35" s="103">
        <f t="shared" si="1"/>
        <v>100</v>
      </c>
      <c r="F35" s="102"/>
      <c r="G35" s="103">
        <f t="shared" si="2"/>
        <v>51</v>
      </c>
      <c r="H35" s="102"/>
      <c r="I35" s="103">
        <f t="shared" si="3"/>
        <v>36</v>
      </c>
      <c r="J35" s="102"/>
      <c r="K35" s="104"/>
      <c r="L35" s="90"/>
      <c r="M35" s="90"/>
      <c r="N35" s="16">
        <f t="shared" si="4"/>
        <v>67</v>
      </c>
      <c r="O35" s="102"/>
      <c r="P35" s="16">
        <f t="shared" si="5"/>
        <v>50</v>
      </c>
      <c r="Q35" s="102"/>
      <c r="R35" s="16">
        <f t="shared" si="6"/>
        <v>175</v>
      </c>
      <c r="S35" s="102"/>
      <c r="T35" s="16">
        <f t="shared" si="7"/>
        <v>147</v>
      </c>
      <c r="U35" s="102"/>
      <c r="V35" s="16">
        <f t="shared" si="8"/>
        <v>53</v>
      </c>
      <c r="W35" s="102"/>
      <c r="X35" s="16">
        <f t="shared" si="9"/>
        <v>28</v>
      </c>
      <c r="Y35" s="102"/>
      <c r="Z35" s="16">
        <f t="shared" si="10"/>
        <v>27</v>
      </c>
      <c r="AA35" s="102"/>
      <c r="AB35" s="16">
        <f t="shared" si="11"/>
        <v>53</v>
      </c>
      <c r="AC35" s="102"/>
      <c r="AD35" s="16">
        <f t="shared" si="12"/>
        <v>3</v>
      </c>
      <c r="AE35" s="102"/>
      <c r="AF35" s="16">
        <f t="shared" si="13"/>
        <v>17</v>
      </c>
      <c r="AG35" s="102"/>
      <c r="AH35" s="16">
        <f t="shared" si="14"/>
        <v>17</v>
      </c>
      <c r="AI35" s="102"/>
      <c r="AJ35" s="16">
        <f t="shared" si="15"/>
        <v>47</v>
      </c>
      <c r="AK35" s="102"/>
    </row>
    <row r="36" spans="1:37" ht="15" customHeight="1">
      <c r="A36" s="101" t="s">
        <v>827</v>
      </c>
      <c r="B36" s="105">
        <v>46361</v>
      </c>
      <c r="C36" s="103">
        <f t="shared" si="0"/>
        <v>97</v>
      </c>
      <c r="D36" s="102"/>
      <c r="E36" s="103">
        <f t="shared" si="1"/>
        <v>102</v>
      </c>
      <c r="F36" s="102"/>
      <c r="G36" s="103">
        <f t="shared" si="2"/>
        <v>52</v>
      </c>
      <c r="H36" s="102"/>
      <c r="I36" s="103">
        <f t="shared" si="3"/>
        <v>37</v>
      </c>
      <c r="J36" s="102"/>
      <c r="K36" s="104"/>
      <c r="L36" s="90"/>
      <c r="M36" s="90"/>
      <c r="N36" s="16">
        <f t="shared" si="4"/>
        <v>68</v>
      </c>
      <c r="O36" s="102"/>
      <c r="P36" s="16">
        <f t="shared" si="5"/>
        <v>51</v>
      </c>
      <c r="Q36" s="102"/>
      <c r="R36" s="16">
        <f t="shared" si="6"/>
        <v>177</v>
      </c>
      <c r="S36" s="102"/>
      <c r="T36" s="16">
        <f t="shared" si="7"/>
        <v>147</v>
      </c>
      <c r="U36" s="102"/>
      <c r="V36" s="16">
        <f t="shared" si="8"/>
        <v>53</v>
      </c>
      <c r="W36" s="102"/>
      <c r="X36" s="16">
        <f t="shared" si="9"/>
        <v>28</v>
      </c>
      <c r="Y36" s="102"/>
      <c r="Z36" s="16">
        <f t="shared" si="10"/>
        <v>27</v>
      </c>
      <c r="AA36" s="102"/>
      <c r="AB36" s="16">
        <f t="shared" si="11"/>
        <v>53</v>
      </c>
      <c r="AC36" s="102"/>
      <c r="AD36" s="16">
        <f t="shared" si="12"/>
        <v>3</v>
      </c>
      <c r="AE36" s="102"/>
      <c r="AF36" s="16">
        <f t="shared" si="13"/>
        <v>17</v>
      </c>
      <c r="AG36" s="102"/>
      <c r="AH36" s="16">
        <f t="shared" si="14"/>
        <v>17</v>
      </c>
      <c r="AI36" s="102"/>
      <c r="AJ36" s="16">
        <f t="shared" si="15"/>
        <v>48</v>
      </c>
      <c r="AK36" s="102"/>
    </row>
    <row r="37" spans="1:37" ht="15" customHeight="1">
      <c r="A37" s="101" t="s">
        <v>828</v>
      </c>
      <c r="B37" s="105">
        <v>46368</v>
      </c>
      <c r="C37" s="103">
        <f t="shared" si="0"/>
        <v>100</v>
      </c>
      <c r="D37" s="102"/>
      <c r="E37" s="103">
        <f t="shared" si="1"/>
        <v>105</v>
      </c>
      <c r="F37" s="102"/>
      <c r="G37" s="103">
        <f t="shared" si="2"/>
        <v>53</v>
      </c>
      <c r="H37" s="102"/>
      <c r="I37" s="103">
        <f t="shared" si="3"/>
        <v>37</v>
      </c>
      <c r="J37" s="102"/>
      <c r="K37" s="104"/>
      <c r="L37" s="90"/>
      <c r="M37" s="90"/>
      <c r="N37" s="16">
        <f t="shared" si="4"/>
        <v>70</v>
      </c>
      <c r="O37" s="102"/>
      <c r="P37" s="16">
        <f t="shared" si="5"/>
        <v>52</v>
      </c>
      <c r="Q37" s="102"/>
      <c r="R37" s="16">
        <f t="shared" si="6"/>
        <v>180</v>
      </c>
      <c r="S37" s="102"/>
      <c r="T37" s="16">
        <f t="shared" si="7"/>
        <v>150</v>
      </c>
      <c r="U37" s="102"/>
      <c r="V37" s="16">
        <f t="shared" si="8"/>
        <v>55</v>
      </c>
      <c r="W37" s="102"/>
      <c r="X37" s="16">
        <f t="shared" si="9"/>
        <v>30</v>
      </c>
      <c r="Y37" s="102"/>
      <c r="Z37" s="16">
        <f t="shared" si="10"/>
        <v>27</v>
      </c>
      <c r="AA37" s="102"/>
      <c r="AB37" s="16">
        <f t="shared" si="11"/>
        <v>55</v>
      </c>
      <c r="AC37" s="102"/>
      <c r="AD37" s="16">
        <f t="shared" si="12"/>
        <v>5</v>
      </c>
      <c r="AE37" s="102"/>
      <c r="AF37" s="16">
        <f t="shared" si="13"/>
        <v>17</v>
      </c>
      <c r="AG37" s="102"/>
      <c r="AH37" s="16">
        <f t="shared" si="14"/>
        <v>17</v>
      </c>
      <c r="AI37" s="102"/>
      <c r="AJ37" s="16">
        <f t="shared" si="15"/>
        <v>50</v>
      </c>
      <c r="AK37" s="102"/>
    </row>
    <row r="38" spans="1:37" ht="15" customHeight="1">
      <c r="A38" s="101" t="s">
        <v>829</v>
      </c>
      <c r="B38" s="105">
        <v>46375</v>
      </c>
      <c r="C38" s="103">
        <f t="shared" si="0"/>
        <v>102</v>
      </c>
      <c r="D38" s="102"/>
      <c r="E38" s="103">
        <f t="shared" si="1"/>
        <v>107</v>
      </c>
      <c r="F38" s="102"/>
      <c r="G38" s="103">
        <f t="shared" si="2"/>
        <v>55</v>
      </c>
      <c r="H38" s="102"/>
      <c r="I38" s="103">
        <f t="shared" si="3"/>
        <v>38</v>
      </c>
      <c r="J38" s="102"/>
      <c r="K38" s="104"/>
      <c r="L38" s="90"/>
      <c r="M38" s="90"/>
      <c r="N38" s="16">
        <f t="shared" si="4"/>
        <v>71</v>
      </c>
      <c r="O38" s="102"/>
      <c r="P38" s="16">
        <f t="shared" si="5"/>
        <v>53</v>
      </c>
      <c r="Q38" s="102"/>
      <c r="R38" s="16">
        <f t="shared" si="6"/>
        <v>182</v>
      </c>
      <c r="S38" s="102"/>
      <c r="T38" s="16">
        <f t="shared" si="7"/>
        <v>150</v>
      </c>
      <c r="U38" s="102"/>
      <c r="V38" s="16">
        <f t="shared" si="8"/>
        <v>55</v>
      </c>
      <c r="W38" s="102"/>
      <c r="X38" s="16">
        <f t="shared" si="9"/>
        <v>30</v>
      </c>
      <c r="Y38" s="102"/>
      <c r="Z38" s="16">
        <f t="shared" si="10"/>
        <v>28</v>
      </c>
      <c r="AA38" s="102"/>
      <c r="AB38" s="16">
        <f t="shared" si="11"/>
        <v>55</v>
      </c>
      <c r="AC38" s="102"/>
      <c r="AD38" s="16">
        <f t="shared" si="12"/>
        <v>5</v>
      </c>
      <c r="AE38" s="102"/>
      <c r="AF38" s="16">
        <f t="shared" si="13"/>
        <v>18</v>
      </c>
      <c r="AG38" s="102"/>
      <c r="AH38" s="16">
        <f t="shared" si="14"/>
        <v>18</v>
      </c>
      <c r="AI38" s="102"/>
      <c r="AJ38" s="16">
        <f t="shared" si="15"/>
        <v>51</v>
      </c>
      <c r="AK38" s="102"/>
    </row>
    <row r="39" spans="1:37" ht="15" customHeight="1">
      <c r="A39" s="101" t="s">
        <v>830</v>
      </c>
      <c r="B39" s="105">
        <v>46382</v>
      </c>
      <c r="C39" s="103">
        <f t="shared" si="0"/>
        <v>105</v>
      </c>
      <c r="D39" s="102"/>
      <c r="E39" s="103">
        <f t="shared" si="1"/>
        <v>110</v>
      </c>
      <c r="F39" s="102"/>
      <c r="G39" s="103">
        <f t="shared" si="2"/>
        <v>56</v>
      </c>
      <c r="H39" s="102"/>
      <c r="I39" s="103">
        <f t="shared" si="3"/>
        <v>38</v>
      </c>
      <c r="J39" s="102"/>
      <c r="K39" s="104"/>
      <c r="L39" s="90"/>
      <c r="M39" s="90"/>
      <c r="N39" s="16">
        <f t="shared" si="4"/>
        <v>72</v>
      </c>
      <c r="O39" s="102"/>
      <c r="P39" s="16">
        <f t="shared" si="5"/>
        <v>55</v>
      </c>
      <c r="Q39" s="102"/>
      <c r="R39" s="16">
        <f t="shared" si="6"/>
        <v>185</v>
      </c>
      <c r="S39" s="102"/>
      <c r="T39" s="16">
        <f t="shared" si="7"/>
        <v>152</v>
      </c>
      <c r="U39" s="102"/>
      <c r="V39" s="16">
        <f t="shared" si="8"/>
        <v>56</v>
      </c>
      <c r="W39" s="102"/>
      <c r="X39" s="16">
        <f t="shared" si="9"/>
        <v>31</v>
      </c>
      <c r="Y39" s="102"/>
      <c r="Z39" s="16">
        <f t="shared" si="10"/>
        <v>28</v>
      </c>
      <c r="AA39" s="102"/>
      <c r="AB39" s="16">
        <f t="shared" si="11"/>
        <v>56</v>
      </c>
      <c r="AC39" s="102"/>
      <c r="AD39" s="16">
        <f t="shared" si="12"/>
        <v>6</v>
      </c>
      <c r="AE39" s="102"/>
      <c r="AF39" s="16">
        <f t="shared" si="13"/>
        <v>18</v>
      </c>
      <c r="AG39" s="102"/>
      <c r="AH39" s="16">
        <f t="shared" si="14"/>
        <v>18</v>
      </c>
      <c r="AI39" s="102"/>
      <c r="AJ39" s="16">
        <f t="shared" si="15"/>
        <v>52</v>
      </c>
      <c r="AK39" s="102"/>
    </row>
    <row r="40" spans="1:37" ht="15" customHeight="1">
      <c r="A40" s="101" t="s">
        <v>831</v>
      </c>
      <c r="B40" s="105">
        <v>46389</v>
      </c>
      <c r="C40" s="103">
        <f t="shared" si="0"/>
        <v>107</v>
      </c>
      <c r="D40" s="102"/>
      <c r="E40" s="103">
        <f t="shared" si="1"/>
        <v>112</v>
      </c>
      <c r="F40" s="102"/>
      <c r="G40" s="103">
        <f t="shared" si="2"/>
        <v>57</v>
      </c>
      <c r="H40" s="102"/>
      <c r="I40" s="103">
        <f t="shared" si="3"/>
        <v>40</v>
      </c>
      <c r="J40" s="102"/>
      <c r="K40" s="104"/>
      <c r="L40" s="90"/>
      <c r="M40" s="90"/>
      <c r="N40" s="16">
        <f t="shared" si="4"/>
        <v>73</v>
      </c>
      <c r="O40" s="102"/>
      <c r="P40" s="16">
        <f t="shared" si="5"/>
        <v>56</v>
      </c>
      <c r="Q40" s="102"/>
      <c r="R40" s="16">
        <f t="shared" si="6"/>
        <v>187</v>
      </c>
      <c r="S40" s="102"/>
      <c r="T40" s="16">
        <f t="shared" si="7"/>
        <v>152</v>
      </c>
      <c r="U40" s="102"/>
      <c r="V40" s="16">
        <f t="shared" si="8"/>
        <v>56</v>
      </c>
      <c r="W40" s="102"/>
      <c r="X40" s="16">
        <f t="shared" si="9"/>
        <v>31</v>
      </c>
      <c r="Y40" s="102"/>
      <c r="Z40" s="16">
        <f t="shared" si="10"/>
        <v>28</v>
      </c>
      <c r="AA40" s="102"/>
      <c r="AB40" s="16">
        <f t="shared" si="11"/>
        <v>56</v>
      </c>
      <c r="AC40" s="102"/>
      <c r="AD40" s="16">
        <f t="shared" si="12"/>
        <v>6</v>
      </c>
      <c r="AE40" s="102"/>
      <c r="AF40" s="16">
        <f t="shared" si="13"/>
        <v>18</v>
      </c>
      <c r="AG40" s="102"/>
      <c r="AH40" s="16">
        <f t="shared" si="14"/>
        <v>18</v>
      </c>
      <c r="AI40" s="102"/>
      <c r="AJ40" s="16">
        <f t="shared" si="15"/>
        <v>53</v>
      </c>
      <c r="AK40" s="102"/>
    </row>
    <row r="41" spans="1:37" ht="15" customHeight="1">
      <c r="A41" s="101" t="s">
        <v>832</v>
      </c>
      <c r="B41" s="105">
        <v>46396</v>
      </c>
      <c r="C41" s="103">
        <f t="shared" si="0"/>
        <v>110</v>
      </c>
      <c r="D41" s="102"/>
      <c r="E41" s="103">
        <f t="shared" si="1"/>
        <v>115</v>
      </c>
      <c r="F41" s="102"/>
      <c r="G41" s="103">
        <f t="shared" si="2"/>
        <v>58</v>
      </c>
      <c r="H41" s="102"/>
      <c r="I41" s="103">
        <f t="shared" si="3"/>
        <v>40</v>
      </c>
      <c r="J41" s="102"/>
      <c r="K41" s="104"/>
      <c r="L41" s="90"/>
      <c r="M41" s="90"/>
      <c r="N41" s="16">
        <f t="shared" si="4"/>
        <v>75</v>
      </c>
      <c r="O41" s="102"/>
      <c r="P41" s="16">
        <f t="shared" si="5"/>
        <v>57</v>
      </c>
      <c r="Q41" s="102"/>
      <c r="R41" s="16">
        <f t="shared" si="6"/>
        <v>190</v>
      </c>
      <c r="S41" s="102"/>
      <c r="T41" s="16">
        <f t="shared" si="7"/>
        <v>155</v>
      </c>
      <c r="U41" s="102"/>
      <c r="V41" s="16">
        <f t="shared" si="8"/>
        <v>57</v>
      </c>
      <c r="W41" s="102"/>
      <c r="X41" s="16">
        <f t="shared" si="9"/>
        <v>32</v>
      </c>
      <c r="Y41" s="102"/>
      <c r="Z41" s="16">
        <f t="shared" si="10"/>
        <v>30</v>
      </c>
      <c r="AA41" s="102"/>
      <c r="AB41" s="16">
        <f t="shared" si="11"/>
        <v>57</v>
      </c>
      <c r="AC41" s="102"/>
      <c r="AD41" s="16">
        <f t="shared" si="12"/>
        <v>7</v>
      </c>
      <c r="AE41" s="102"/>
      <c r="AF41" s="16">
        <f t="shared" si="13"/>
        <v>20</v>
      </c>
      <c r="AG41" s="102"/>
      <c r="AH41" s="16">
        <f t="shared" si="14"/>
        <v>20</v>
      </c>
      <c r="AI41" s="102"/>
      <c r="AJ41" s="16">
        <f t="shared" si="15"/>
        <v>55</v>
      </c>
      <c r="AK41" s="102"/>
    </row>
    <row r="42" spans="1:37" ht="15" customHeight="1">
      <c r="A42" s="101" t="s">
        <v>833</v>
      </c>
      <c r="B42" s="105">
        <v>46403</v>
      </c>
      <c r="C42" s="103">
        <f t="shared" si="0"/>
        <v>112</v>
      </c>
      <c r="D42" s="102"/>
      <c r="E42" s="103">
        <f t="shared" si="1"/>
        <v>117</v>
      </c>
      <c r="F42" s="102"/>
      <c r="G42" s="103">
        <f t="shared" si="2"/>
        <v>60</v>
      </c>
      <c r="H42" s="102"/>
      <c r="I42" s="103">
        <f t="shared" si="3"/>
        <v>41</v>
      </c>
      <c r="J42" s="102"/>
      <c r="K42" s="104"/>
      <c r="L42" s="90"/>
      <c r="M42" s="90"/>
      <c r="N42" s="16">
        <f t="shared" si="4"/>
        <v>76</v>
      </c>
      <c r="O42" s="102"/>
      <c r="P42" s="16">
        <f t="shared" si="5"/>
        <v>58</v>
      </c>
      <c r="Q42" s="102"/>
      <c r="R42" s="16">
        <f t="shared" si="6"/>
        <v>192</v>
      </c>
      <c r="S42" s="102"/>
      <c r="T42" s="16">
        <f t="shared" si="7"/>
        <v>155</v>
      </c>
      <c r="U42" s="102"/>
      <c r="V42" s="16">
        <f t="shared" si="8"/>
        <v>57</v>
      </c>
      <c r="W42" s="102"/>
      <c r="X42" s="16">
        <f t="shared" si="9"/>
        <v>32</v>
      </c>
      <c r="Y42" s="102"/>
      <c r="Z42" s="16">
        <f t="shared" si="10"/>
        <v>30</v>
      </c>
      <c r="AA42" s="102"/>
      <c r="AB42" s="16">
        <f t="shared" si="11"/>
        <v>57</v>
      </c>
      <c r="AC42" s="102"/>
      <c r="AD42" s="16">
        <f t="shared" si="12"/>
        <v>7</v>
      </c>
      <c r="AE42" s="102"/>
      <c r="AF42" s="16">
        <f t="shared" si="13"/>
        <v>20</v>
      </c>
      <c r="AG42" s="102"/>
      <c r="AH42" s="16">
        <f t="shared" si="14"/>
        <v>20</v>
      </c>
      <c r="AI42" s="102"/>
      <c r="AJ42" s="16">
        <f t="shared" si="15"/>
        <v>56</v>
      </c>
      <c r="AK42" s="102"/>
    </row>
    <row r="43" spans="1:37" ht="15" customHeight="1">
      <c r="A43" s="101" t="s">
        <v>834</v>
      </c>
      <c r="B43" s="105">
        <v>46410</v>
      </c>
      <c r="C43" s="103">
        <f t="shared" si="0"/>
        <v>115</v>
      </c>
      <c r="D43" s="102"/>
      <c r="E43" s="103">
        <f t="shared" si="1"/>
        <v>120</v>
      </c>
      <c r="F43" s="102"/>
      <c r="G43" s="103">
        <f t="shared" si="2"/>
        <v>61</v>
      </c>
      <c r="H43" s="102"/>
      <c r="I43" s="103">
        <f t="shared" si="3"/>
        <v>41</v>
      </c>
      <c r="J43" s="102"/>
      <c r="K43" s="104"/>
      <c r="L43" s="90"/>
      <c r="M43" s="90"/>
      <c r="N43" s="16">
        <f t="shared" si="4"/>
        <v>77</v>
      </c>
      <c r="O43" s="102"/>
      <c r="P43" s="16">
        <f t="shared" si="5"/>
        <v>60</v>
      </c>
      <c r="Q43" s="102"/>
      <c r="R43" s="16">
        <f t="shared" si="6"/>
        <v>195</v>
      </c>
      <c r="S43" s="102"/>
      <c r="T43" s="16">
        <f t="shared" si="7"/>
        <v>157</v>
      </c>
      <c r="U43" s="102"/>
      <c r="V43" s="16">
        <f t="shared" si="8"/>
        <v>58</v>
      </c>
      <c r="W43" s="102"/>
      <c r="X43" s="16">
        <f t="shared" si="9"/>
        <v>33</v>
      </c>
      <c r="Y43" s="102"/>
      <c r="Z43" s="16">
        <f t="shared" si="10"/>
        <v>30</v>
      </c>
      <c r="AA43" s="102"/>
      <c r="AB43" s="16">
        <f t="shared" si="11"/>
        <v>58</v>
      </c>
      <c r="AC43" s="102"/>
      <c r="AD43" s="16">
        <f t="shared" si="12"/>
        <v>8</v>
      </c>
      <c r="AE43" s="102"/>
      <c r="AF43" s="16">
        <f t="shared" si="13"/>
        <v>20</v>
      </c>
      <c r="AG43" s="102"/>
      <c r="AH43" s="16">
        <f t="shared" si="14"/>
        <v>20</v>
      </c>
      <c r="AI43" s="102"/>
      <c r="AJ43" s="16">
        <f t="shared" si="15"/>
        <v>57</v>
      </c>
      <c r="AK43" s="102"/>
    </row>
    <row r="44" spans="1:37" ht="15" customHeight="1">
      <c r="A44" s="101" t="s">
        <v>835</v>
      </c>
      <c r="B44" s="105">
        <v>46417</v>
      </c>
      <c r="C44" s="103">
        <f t="shared" si="0"/>
        <v>117</v>
      </c>
      <c r="D44" s="102"/>
      <c r="E44" s="103">
        <f t="shared" si="1"/>
        <v>122</v>
      </c>
      <c r="F44" s="102"/>
      <c r="G44" s="103">
        <f t="shared" si="2"/>
        <v>62</v>
      </c>
      <c r="H44" s="102"/>
      <c r="I44" s="103">
        <f t="shared" si="3"/>
        <v>42</v>
      </c>
      <c r="J44" s="102"/>
      <c r="K44" s="104"/>
      <c r="L44" s="90"/>
      <c r="M44" s="90"/>
      <c r="N44" s="16">
        <f t="shared" si="4"/>
        <v>78</v>
      </c>
      <c r="O44" s="102"/>
      <c r="P44" s="16">
        <f t="shared" si="5"/>
        <v>61</v>
      </c>
      <c r="Q44" s="102"/>
      <c r="R44" s="16">
        <f t="shared" si="6"/>
        <v>197</v>
      </c>
      <c r="S44" s="102"/>
      <c r="T44" s="16">
        <f t="shared" si="7"/>
        <v>157</v>
      </c>
      <c r="U44" s="102"/>
      <c r="V44" s="16">
        <f t="shared" si="8"/>
        <v>58</v>
      </c>
      <c r="W44" s="102"/>
      <c r="X44" s="16">
        <f t="shared" si="9"/>
        <v>33</v>
      </c>
      <c r="Y44" s="102"/>
      <c r="Z44" s="16">
        <f t="shared" si="10"/>
        <v>31</v>
      </c>
      <c r="AA44" s="102"/>
      <c r="AB44" s="16">
        <f t="shared" si="11"/>
        <v>58</v>
      </c>
      <c r="AC44" s="102"/>
      <c r="AD44" s="16">
        <f t="shared" si="12"/>
        <v>8</v>
      </c>
      <c r="AE44" s="102"/>
      <c r="AF44" s="16">
        <f t="shared" si="13"/>
        <v>21</v>
      </c>
      <c r="AG44" s="102"/>
      <c r="AH44" s="16">
        <f t="shared" si="14"/>
        <v>21</v>
      </c>
      <c r="AI44" s="102"/>
      <c r="AJ44" s="16">
        <f t="shared" si="15"/>
        <v>58</v>
      </c>
      <c r="AK44" s="102"/>
    </row>
    <row r="45" spans="1:37" ht="15" customHeight="1">
      <c r="A45" s="101" t="s">
        <v>836</v>
      </c>
      <c r="B45" s="105">
        <v>46424</v>
      </c>
      <c r="C45" s="103">
        <f t="shared" si="0"/>
        <v>120</v>
      </c>
      <c r="D45" s="102"/>
      <c r="E45" s="103">
        <f t="shared" si="1"/>
        <v>125</v>
      </c>
      <c r="F45" s="102"/>
      <c r="G45" s="103">
        <f t="shared" si="2"/>
        <v>63</v>
      </c>
      <c r="H45" s="102"/>
      <c r="I45" s="103">
        <f t="shared" si="3"/>
        <v>42</v>
      </c>
      <c r="J45" s="102"/>
      <c r="K45" s="104"/>
      <c r="L45" s="90"/>
      <c r="M45" s="90"/>
      <c r="N45" s="16">
        <f t="shared" si="4"/>
        <v>80</v>
      </c>
      <c r="O45" s="102"/>
      <c r="P45" s="16">
        <f t="shared" si="5"/>
        <v>62</v>
      </c>
      <c r="Q45" s="102"/>
      <c r="R45" s="16">
        <f t="shared" si="6"/>
        <v>200</v>
      </c>
      <c r="S45" s="102"/>
      <c r="T45" s="16">
        <f t="shared" si="7"/>
        <v>160</v>
      </c>
      <c r="U45" s="102"/>
      <c r="V45" s="16">
        <f t="shared" si="8"/>
        <v>60</v>
      </c>
      <c r="W45" s="102"/>
      <c r="X45" s="16">
        <f t="shared" si="9"/>
        <v>35</v>
      </c>
      <c r="Y45" s="102"/>
      <c r="Z45" s="16">
        <f t="shared" si="10"/>
        <v>31</v>
      </c>
      <c r="AA45" s="102"/>
      <c r="AB45" s="16">
        <f t="shared" si="11"/>
        <v>60</v>
      </c>
      <c r="AC45" s="102"/>
      <c r="AD45" s="16">
        <f t="shared" si="12"/>
        <v>10</v>
      </c>
      <c r="AE45" s="102"/>
      <c r="AF45" s="16">
        <f t="shared" si="13"/>
        <v>21</v>
      </c>
      <c r="AG45" s="102"/>
      <c r="AH45" s="16">
        <f t="shared" si="14"/>
        <v>21</v>
      </c>
      <c r="AI45" s="102"/>
      <c r="AJ45" s="16">
        <f t="shared" si="15"/>
        <v>60</v>
      </c>
      <c r="AK45" s="102"/>
    </row>
    <row r="46" spans="1:37" ht="15" customHeight="1">
      <c r="A46" s="101" t="s">
        <v>837</v>
      </c>
      <c r="B46" s="105">
        <v>46431</v>
      </c>
      <c r="C46" s="103">
        <f t="shared" si="0"/>
        <v>122</v>
      </c>
      <c r="D46" s="102"/>
      <c r="E46" s="103">
        <f t="shared" si="1"/>
        <v>127</v>
      </c>
      <c r="F46" s="102"/>
      <c r="G46" s="103">
        <f t="shared" si="2"/>
        <v>65</v>
      </c>
      <c r="H46" s="102"/>
      <c r="I46" s="103">
        <f t="shared" si="3"/>
        <v>43</v>
      </c>
      <c r="J46" s="102"/>
      <c r="K46" s="104"/>
      <c r="L46" s="90"/>
      <c r="M46" s="90"/>
      <c r="N46" s="16">
        <f t="shared" si="4"/>
        <v>81</v>
      </c>
      <c r="O46" s="102"/>
      <c r="P46" s="16">
        <f t="shared" si="5"/>
        <v>63</v>
      </c>
      <c r="Q46" s="102"/>
      <c r="R46" s="16">
        <f t="shared" si="6"/>
        <v>202</v>
      </c>
      <c r="S46" s="102"/>
      <c r="T46" s="16">
        <f t="shared" si="7"/>
        <v>160</v>
      </c>
      <c r="U46" s="102"/>
      <c r="V46" s="16">
        <f t="shared" si="8"/>
        <v>60</v>
      </c>
      <c r="W46" s="102"/>
      <c r="X46" s="16">
        <f t="shared" si="9"/>
        <v>35</v>
      </c>
      <c r="Y46" s="102"/>
      <c r="Z46" s="16">
        <f t="shared" si="10"/>
        <v>31</v>
      </c>
      <c r="AA46" s="102"/>
      <c r="AB46" s="16">
        <f t="shared" si="11"/>
        <v>60</v>
      </c>
      <c r="AC46" s="102"/>
      <c r="AD46" s="16">
        <f t="shared" si="12"/>
        <v>10</v>
      </c>
      <c r="AE46" s="102"/>
      <c r="AF46" s="16">
        <f t="shared" si="13"/>
        <v>21</v>
      </c>
      <c r="AG46" s="102"/>
      <c r="AH46" s="16">
        <f t="shared" si="14"/>
        <v>21</v>
      </c>
      <c r="AI46" s="102"/>
      <c r="AJ46" s="16">
        <f t="shared" si="15"/>
        <v>61</v>
      </c>
      <c r="AK46" s="102"/>
    </row>
    <row r="47" spans="1:37" ht="15" customHeight="1">
      <c r="A47" s="101" t="s">
        <v>838</v>
      </c>
      <c r="B47" s="105">
        <v>46438</v>
      </c>
      <c r="C47" s="103">
        <f t="shared" si="0"/>
        <v>125</v>
      </c>
      <c r="D47" s="102"/>
      <c r="E47" s="103">
        <f t="shared" si="1"/>
        <v>130</v>
      </c>
      <c r="F47" s="102"/>
      <c r="G47" s="103">
        <f t="shared" si="2"/>
        <v>66</v>
      </c>
      <c r="H47" s="102"/>
      <c r="I47" s="103">
        <f t="shared" si="3"/>
        <v>43</v>
      </c>
      <c r="J47" s="102"/>
      <c r="K47" s="104"/>
      <c r="L47" s="90"/>
      <c r="M47" s="90"/>
      <c r="N47" s="16">
        <f t="shared" si="4"/>
        <v>82</v>
      </c>
      <c r="O47" s="102"/>
      <c r="P47" s="16">
        <f t="shared" si="5"/>
        <v>65</v>
      </c>
      <c r="Q47" s="102"/>
      <c r="R47" s="16">
        <f t="shared" si="6"/>
        <v>205</v>
      </c>
      <c r="S47" s="102"/>
      <c r="T47" s="16">
        <f t="shared" si="7"/>
        <v>162</v>
      </c>
      <c r="U47" s="102"/>
      <c r="V47" s="16">
        <f t="shared" si="8"/>
        <v>61</v>
      </c>
      <c r="W47" s="102"/>
      <c r="X47" s="16">
        <f t="shared" si="9"/>
        <v>36</v>
      </c>
      <c r="Y47" s="102"/>
      <c r="Z47" s="16">
        <f t="shared" si="10"/>
        <v>32</v>
      </c>
      <c r="AA47" s="102"/>
      <c r="AB47" s="16">
        <f t="shared" si="11"/>
        <v>61</v>
      </c>
      <c r="AC47" s="102"/>
      <c r="AD47" s="16">
        <f t="shared" si="12"/>
        <v>11</v>
      </c>
      <c r="AE47" s="102"/>
      <c r="AF47" s="16">
        <f t="shared" si="13"/>
        <v>22</v>
      </c>
      <c r="AG47" s="102"/>
      <c r="AH47" s="16">
        <f t="shared" si="14"/>
        <v>22</v>
      </c>
      <c r="AI47" s="102"/>
      <c r="AJ47" s="16">
        <f t="shared" si="15"/>
        <v>62</v>
      </c>
      <c r="AK47" s="102"/>
    </row>
    <row r="48" spans="1:37" ht="15" customHeight="1">
      <c r="A48" s="101" t="s">
        <v>839</v>
      </c>
      <c r="B48" s="105">
        <v>46445</v>
      </c>
      <c r="C48" s="103">
        <f t="shared" si="0"/>
        <v>127</v>
      </c>
      <c r="D48" s="102"/>
      <c r="E48" s="103">
        <f t="shared" si="1"/>
        <v>132</v>
      </c>
      <c r="F48" s="102"/>
      <c r="G48" s="103">
        <f t="shared" si="2"/>
        <v>67</v>
      </c>
      <c r="H48" s="102"/>
      <c r="I48" s="103">
        <f t="shared" si="3"/>
        <v>45</v>
      </c>
      <c r="J48" s="102"/>
      <c r="K48" s="104"/>
      <c r="L48" s="90"/>
      <c r="M48" s="90"/>
      <c r="N48" s="16">
        <f t="shared" si="4"/>
        <v>83</v>
      </c>
      <c r="O48" s="102"/>
      <c r="P48" s="16">
        <f t="shared" si="5"/>
        <v>66</v>
      </c>
      <c r="Q48" s="102"/>
      <c r="R48" s="16">
        <f t="shared" si="6"/>
        <v>207</v>
      </c>
      <c r="S48" s="102"/>
      <c r="T48" s="16">
        <f t="shared" si="7"/>
        <v>162</v>
      </c>
      <c r="U48" s="102"/>
      <c r="V48" s="16">
        <f t="shared" si="8"/>
        <v>61</v>
      </c>
      <c r="W48" s="102"/>
      <c r="X48" s="16">
        <f t="shared" si="9"/>
        <v>36</v>
      </c>
      <c r="Y48" s="102"/>
      <c r="Z48" s="16">
        <f t="shared" si="10"/>
        <v>32</v>
      </c>
      <c r="AA48" s="102"/>
      <c r="AB48" s="16">
        <f t="shared" si="11"/>
        <v>61</v>
      </c>
      <c r="AC48" s="102"/>
      <c r="AD48" s="16">
        <f t="shared" si="12"/>
        <v>11</v>
      </c>
      <c r="AE48" s="102"/>
      <c r="AF48" s="16">
        <f t="shared" si="13"/>
        <v>22</v>
      </c>
      <c r="AG48" s="102"/>
      <c r="AH48" s="16">
        <f t="shared" si="14"/>
        <v>22</v>
      </c>
      <c r="AI48" s="102"/>
      <c r="AJ48" s="16">
        <f t="shared" si="15"/>
        <v>63</v>
      </c>
      <c r="AK48" s="102"/>
    </row>
    <row r="49" spans="1:37" ht="15" customHeight="1">
      <c r="A49" s="101" t="s">
        <v>840</v>
      </c>
      <c r="B49" s="105">
        <v>46452</v>
      </c>
      <c r="C49" s="103">
        <f t="shared" si="0"/>
        <v>130</v>
      </c>
      <c r="D49" s="102"/>
      <c r="E49" s="103">
        <f t="shared" si="1"/>
        <v>135</v>
      </c>
      <c r="F49" s="102"/>
      <c r="G49" s="103">
        <f t="shared" si="2"/>
        <v>68</v>
      </c>
      <c r="H49" s="102"/>
      <c r="I49" s="103">
        <f t="shared" si="3"/>
        <v>45</v>
      </c>
      <c r="J49" s="102"/>
      <c r="K49" s="104"/>
      <c r="L49" s="90"/>
      <c r="M49" s="90"/>
      <c r="N49" s="16">
        <f t="shared" si="4"/>
        <v>85</v>
      </c>
      <c r="O49" s="102"/>
      <c r="P49" s="16">
        <f t="shared" si="5"/>
        <v>67</v>
      </c>
      <c r="Q49" s="102"/>
      <c r="R49" s="16">
        <f t="shared" si="6"/>
        <v>210</v>
      </c>
      <c r="S49" s="102"/>
      <c r="T49" s="16">
        <f t="shared" si="7"/>
        <v>165</v>
      </c>
      <c r="U49" s="102"/>
      <c r="V49" s="16">
        <f t="shared" si="8"/>
        <v>62</v>
      </c>
      <c r="W49" s="102"/>
      <c r="X49" s="16">
        <f t="shared" si="9"/>
        <v>37</v>
      </c>
      <c r="Y49" s="102"/>
      <c r="Z49" s="16">
        <f t="shared" si="10"/>
        <v>32</v>
      </c>
      <c r="AA49" s="102"/>
      <c r="AB49" s="16">
        <f t="shared" si="11"/>
        <v>62</v>
      </c>
      <c r="AC49" s="102"/>
      <c r="AD49" s="16">
        <f t="shared" si="12"/>
        <v>12</v>
      </c>
      <c r="AE49" s="102"/>
      <c r="AF49" s="16">
        <f t="shared" si="13"/>
        <v>22</v>
      </c>
      <c r="AG49" s="102"/>
      <c r="AH49" s="16">
        <f t="shared" si="14"/>
        <v>22</v>
      </c>
      <c r="AI49" s="102"/>
      <c r="AJ49" s="16">
        <f t="shared" si="15"/>
        <v>65</v>
      </c>
      <c r="AK49" s="102"/>
    </row>
    <row r="50" spans="1:37" ht="15" customHeight="1">
      <c r="A50" s="101" t="s">
        <v>841</v>
      </c>
      <c r="B50" s="105">
        <v>46459</v>
      </c>
      <c r="C50" s="103">
        <f t="shared" si="0"/>
        <v>132</v>
      </c>
      <c r="D50" s="102"/>
      <c r="E50" s="103">
        <f t="shared" si="1"/>
        <v>137</v>
      </c>
      <c r="F50" s="102"/>
      <c r="G50" s="103">
        <f t="shared" si="2"/>
        <v>70</v>
      </c>
      <c r="H50" s="102"/>
      <c r="I50" s="103">
        <f t="shared" si="3"/>
        <v>46</v>
      </c>
      <c r="J50" s="102"/>
      <c r="K50" s="104"/>
      <c r="L50" s="90"/>
      <c r="M50" s="90"/>
      <c r="N50" s="16">
        <f t="shared" si="4"/>
        <v>86</v>
      </c>
      <c r="O50" s="102"/>
      <c r="P50" s="16">
        <f t="shared" si="5"/>
        <v>68</v>
      </c>
      <c r="Q50" s="102"/>
      <c r="R50" s="16">
        <f t="shared" si="6"/>
        <v>212</v>
      </c>
      <c r="S50" s="102"/>
      <c r="T50" s="16">
        <f t="shared" si="7"/>
        <v>165</v>
      </c>
      <c r="U50" s="102"/>
      <c r="V50" s="16">
        <f t="shared" si="8"/>
        <v>62</v>
      </c>
      <c r="W50" s="102"/>
      <c r="X50" s="16">
        <f t="shared" si="9"/>
        <v>37</v>
      </c>
      <c r="Y50" s="102"/>
      <c r="Z50" s="16">
        <f t="shared" si="10"/>
        <v>33</v>
      </c>
      <c r="AA50" s="102"/>
      <c r="AB50" s="16">
        <f t="shared" si="11"/>
        <v>62</v>
      </c>
      <c r="AC50" s="102"/>
      <c r="AD50" s="16">
        <f t="shared" si="12"/>
        <v>12</v>
      </c>
      <c r="AE50" s="102"/>
      <c r="AF50" s="16">
        <f t="shared" si="13"/>
        <v>23</v>
      </c>
      <c r="AG50" s="102"/>
      <c r="AH50" s="16">
        <f t="shared" si="14"/>
        <v>23</v>
      </c>
      <c r="AI50" s="102"/>
      <c r="AJ50" s="16">
        <f t="shared" si="15"/>
        <v>66</v>
      </c>
      <c r="AK50" s="102"/>
    </row>
    <row r="51" spans="1:37" ht="15" customHeight="1">
      <c r="A51" s="101" t="s">
        <v>842</v>
      </c>
      <c r="B51" s="105">
        <v>46466</v>
      </c>
      <c r="C51" s="103">
        <f t="shared" si="0"/>
        <v>135</v>
      </c>
      <c r="D51" s="102"/>
      <c r="E51" s="103">
        <f t="shared" si="1"/>
        <v>140</v>
      </c>
      <c r="F51" s="102"/>
      <c r="G51" s="103">
        <f t="shared" si="2"/>
        <v>71</v>
      </c>
      <c r="H51" s="102"/>
      <c r="I51" s="103">
        <f t="shared" si="3"/>
        <v>46</v>
      </c>
      <c r="J51" s="102"/>
      <c r="K51" s="104"/>
      <c r="L51" s="90"/>
      <c r="M51" s="90"/>
      <c r="N51" s="16">
        <f t="shared" si="4"/>
        <v>87</v>
      </c>
      <c r="O51" s="102"/>
      <c r="P51" s="16">
        <f t="shared" si="5"/>
        <v>70</v>
      </c>
      <c r="Q51" s="102"/>
      <c r="R51" s="16">
        <f t="shared" si="6"/>
        <v>215</v>
      </c>
      <c r="S51" s="102"/>
      <c r="T51" s="16">
        <f t="shared" si="7"/>
        <v>167</v>
      </c>
      <c r="U51" s="102"/>
      <c r="V51" s="16">
        <f t="shared" si="8"/>
        <v>63</v>
      </c>
      <c r="W51" s="102"/>
      <c r="X51" s="16">
        <f t="shared" si="9"/>
        <v>38</v>
      </c>
      <c r="Y51" s="102"/>
      <c r="Z51" s="16">
        <f t="shared" si="10"/>
        <v>33</v>
      </c>
      <c r="AA51" s="102"/>
      <c r="AB51" s="16">
        <f t="shared" si="11"/>
        <v>63</v>
      </c>
      <c r="AC51" s="102"/>
      <c r="AD51" s="16">
        <f t="shared" si="12"/>
        <v>13</v>
      </c>
      <c r="AE51" s="102"/>
      <c r="AF51" s="16">
        <f t="shared" si="13"/>
        <v>23</v>
      </c>
      <c r="AG51" s="102"/>
      <c r="AH51" s="16">
        <f t="shared" si="14"/>
        <v>23</v>
      </c>
      <c r="AI51" s="102"/>
      <c r="AJ51" s="16">
        <f t="shared" si="15"/>
        <v>67</v>
      </c>
      <c r="AK51" s="102"/>
    </row>
    <row r="53" spans="1:37" ht="108" customHeight="1">
      <c r="A53" s="11" t="s">
        <v>843</v>
      </c>
    </row>
    <row r="54" spans="1:37" ht="84" customHeight="1">
      <c r="A54" s="11" t="s">
        <v>844</v>
      </c>
    </row>
    <row r="55" spans="1:37" ht="84" customHeight="1">
      <c r="A55" s="11" t="s">
        <v>845</v>
      </c>
    </row>
    <row r="56" spans="1:37" ht="120" customHeight="1">
      <c r="A56" s="11"/>
    </row>
    <row r="57" spans="1:37" ht="96" customHeight="1">
      <c r="A57" s="11" t="s">
        <v>846</v>
      </c>
    </row>
    <row r="58" spans="1:37" ht="108" customHeight="1">
      <c r="A58" s="11" t="s">
        <v>847</v>
      </c>
    </row>
    <row r="59" spans="1:37" ht="108" customHeight="1">
      <c r="A59" s="11" t="s">
        <v>848</v>
      </c>
    </row>
    <row r="60" spans="1:37" ht="156" customHeight="1">
      <c r="A60" s="11" t="s">
        <v>849</v>
      </c>
    </row>
    <row r="61" spans="1:37" ht="96" customHeight="1">
      <c r="A61" s="11" t="s">
        <v>850</v>
      </c>
    </row>
    <row r="62" spans="1:37">
      <c r="A62" t="s">
        <v>851</v>
      </c>
    </row>
    <row r="63" spans="1:37">
      <c r="A63" t="s">
        <v>852</v>
      </c>
    </row>
    <row r="64" spans="1:37">
      <c r="A64" t="s">
        <v>853</v>
      </c>
    </row>
    <row r="65" spans="1:1">
      <c r="A65" t="s">
        <v>854</v>
      </c>
    </row>
    <row r="66" spans="1:1">
      <c r="A66" t="s">
        <v>855</v>
      </c>
    </row>
  </sheetData>
  <phoneticPr fontId="29" type="noConversion"/>
  <pageMargins left="0.75" right="0.75" top="1" bottom="1"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C30"/>
  <sheetViews>
    <sheetView zoomScaleNormal="100" workbookViewId="0"/>
  </sheetViews>
  <sheetFormatPr defaultColWidth="8.7109375" defaultRowHeight="15"/>
  <cols>
    <col min="1" max="2" width="26" customWidth="1"/>
    <col min="3" max="3" width="60" customWidth="1"/>
  </cols>
  <sheetData>
    <row r="1" spans="1:3" ht="18" customHeight="1">
      <c r="A1" s="66" t="s">
        <v>856</v>
      </c>
    </row>
    <row r="2" spans="1:3" ht="15" customHeight="1">
      <c r="A2" s="2" t="s">
        <v>857</v>
      </c>
    </row>
    <row r="4" spans="1:3" ht="15" customHeight="1">
      <c r="A4" s="5" t="s">
        <v>858</v>
      </c>
      <c r="B4" s="5" t="s">
        <v>859</v>
      </c>
      <c r="C4" s="5" t="s">
        <v>5</v>
      </c>
    </row>
    <row r="5" spans="1:3" ht="15" customHeight="1">
      <c r="A5" s="7" t="s">
        <v>741</v>
      </c>
      <c r="B5" s="7" t="s">
        <v>860</v>
      </c>
      <c r="C5" s="53" t="s">
        <v>861</v>
      </c>
    </row>
    <row r="6" spans="1:3" ht="15" customHeight="1">
      <c r="A6" s="7" t="s">
        <v>862</v>
      </c>
      <c r="B6" s="7" t="s">
        <v>860</v>
      </c>
      <c r="C6" s="53" t="s">
        <v>863</v>
      </c>
    </row>
    <row r="7" spans="1:3" ht="15" customHeight="1">
      <c r="A7" s="7" t="s">
        <v>313</v>
      </c>
      <c r="B7" s="7" t="s">
        <v>864</v>
      </c>
      <c r="C7" s="53" t="s">
        <v>865</v>
      </c>
    </row>
    <row r="8" spans="1:3" ht="15" customHeight="1">
      <c r="A8" s="67" t="s">
        <v>866</v>
      </c>
      <c r="B8" s="67" t="s">
        <v>867</v>
      </c>
      <c r="C8" s="68" t="s">
        <v>868</v>
      </c>
    </row>
    <row r="9" spans="1:3" ht="15" customHeight="1">
      <c r="A9" s="67" t="s">
        <v>869</v>
      </c>
      <c r="B9" s="67" t="s">
        <v>867</v>
      </c>
      <c r="C9" s="68" t="s">
        <v>870</v>
      </c>
    </row>
    <row r="10" spans="1:3" ht="15" customHeight="1">
      <c r="A10" s="7" t="s">
        <v>9</v>
      </c>
      <c r="B10" s="7" t="s">
        <v>871</v>
      </c>
      <c r="C10" s="69" t="s">
        <v>872</v>
      </c>
    </row>
    <row r="11" spans="1:3" ht="15" customHeight="1">
      <c r="A11" s="7" t="s">
        <v>873</v>
      </c>
      <c r="B11" s="8" t="s">
        <v>874</v>
      </c>
      <c r="C11" s="53" t="s">
        <v>875</v>
      </c>
    </row>
    <row r="12" spans="1:3" ht="15" customHeight="1">
      <c r="A12" s="7" t="s">
        <v>876</v>
      </c>
      <c r="B12" s="7" t="s">
        <v>877</v>
      </c>
      <c r="C12" s="53" t="s">
        <v>878</v>
      </c>
    </row>
    <row r="15" spans="1:3" ht="24" customHeight="1">
      <c r="A15" s="11" t="s">
        <v>879</v>
      </c>
    </row>
    <row r="16" spans="1:3" ht="24" customHeight="1">
      <c r="A16" s="11" t="s">
        <v>880</v>
      </c>
    </row>
    <row r="17" spans="1:1" ht="36" customHeight="1">
      <c r="A17" s="11" t="s">
        <v>881</v>
      </c>
    </row>
    <row r="18" spans="1:1" ht="15" customHeight="1">
      <c r="A18" s="63"/>
    </row>
    <row r="19" spans="1:1" ht="36" customHeight="1">
      <c r="A19" s="11" t="s">
        <v>882</v>
      </c>
    </row>
    <row r="20" spans="1:1" ht="36" customHeight="1">
      <c r="A20" s="11" t="s">
        <v>883</v>
      </c>
    </row>
    <row r="22" spans="1:1" ht="48" customHeight="1">
      <c r="A22" s="13" t="s">
        <v>884</v>
      </c>
    </row>
    <row r="24" spans="1:1" ht="16.5" customHeight="1">
      <c r="A24" s="14" t="s">
        <v>885</v>
      </c>
    </row>
    <row r="25" spans="1:1" ht="16.5" customHeight="1">
      <c r="A25" t="s">
        <v>886</v>
      </c>
    </row>
    <row r="26" spans="1:1" ht="16.5" customHeight="1">
      <c r="A26" t="s">
        <v>887</v>
      </c>
    </row>
    <row r="27" spans="1:1" ht="16.5" customHeight="1">
      <c r="A27" t="s">
        <v>888</v>
      </c>
    </row>
    <row r="28" spans="1:1" ht="16.5" customHeight="1">
      <c r="A28" t="s">
        <v>889</v>
      </c>
    </row>
    <row r="30" spans="1:1" ht="16.5" customHeight="1">
      <c r="A30" t="s">
        <v>890</v>
      </c>
    </row>
  </sheetData>
  <phoneticPr fontId="29" type="noConversion"/>
  <pageMargins left="0.75" right="0.75" top="1" bottom="1"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G105"/>
  <sheetViews>
    <sheetView topLeftCell="A25" workbookViewId="0">
      <selection activeCell="A79" sqref="A79"/>
    </sheetView>
  </sheetViews>
  <sheetFormatPr defaultRowHeight="15"/>
  <cols>
    <col min="1" max="1" width="14" customWidth="1"/>
    <col min="2" max="2" width="16" customWidth="1"/>
    <col min="3" max="3" width="8" customWidth="1"/>
    <col min="4" max="4" width="24" customWidth="1"/>
    <col min="5" max="5" width="8" customWidth="1"/>
    <col min="6" max="6" width="22" customWidth="1"/>
    <col min="7" max="7" width="60" customWidth="1"/>
  </cols>
  <sheetData>
    <row r="1" spans="1:7" ht="18.75">
      <c r="A1" s="106" t="s">
        <v>891</v>
      </c>
    </row>
    <row r="2" spans="1:7">
      <c r="A2" s="119" t="s">
        <v>892</v>
      </c>
    </row>
    <row r="3" spans="1:7">
      <c r="A3" s="119" t="s">
        <v>893</v>
      </c>
    </row>
    <row r="5" spans="1:7">
      <c r="A5" s="111" t="s">
        <v>894</v>
      </c>
      <c r="B5" s="111" t="s">
        <v>895</v>
      </c>
      <c r="C5" s="111" t="s">
        <v>896</v>
      </c>
      <c r="D5" s="111" t="s">
        <v>897</v>
      </c>
      <c r="E5" s="111" t="s">
        <v>148</v>
      </c>
      <c r="F5" s="111" t="s">
        <v>149</v>
      </c>
      <c r="G5" s="111" t="s">
        <v>898</v>
      </c>
    </row>
    <row r="6" spans="1:7" ht="30" customHeight="1">
      <c r="A6" s="114" t="s">
        <v>899</v>
      </c>
      <c r="B6" s="120" t="s">
        <v>900</v>
      </c>
      <c r="C6" s="114" t="s">
        <v>896</v>
      </c>
      <c r="D6" s="115" t="s">
        <v>901</v>
      </c>
      <c r="E6" s="121">
        <f>복귀_토_하체전면!$E$31</f>
        <v>47</v>
      </c>
      <c r="F6" s="114" t="s">
        <v>1653</v>
      </c>
      <c r="G6" s="115" t="s">
        <v>1384</v>
      </c>
    </row>
    <row r="7" spans="1:7" ht="30" customHeight="1">
      <c r="A7" s="114" t="s">
        <v>902</v>
      </c>
      <c r="B7" s="120" t="s">
        <v>903</v>
      </c>
      <c r="C7" s="114" t="s">
        <v>896</v>
      </c>
      <c r="D7" s="115" t="s">
        <v>904</v>
      </c>
      <c r="E7" s="121">
        <f>복귀_일_수평당기기!$E$23</f>
        <v>39</v>
      </c>
      <c r="F7" s="114" t="s">
        <v>1553</v>
      </c>
      <c r="G7" s="115" t="s">
        <v>1639</v>
      </c>
    </row>
    <row r="8" spans="1:7" ht="30" customHeight="1">
      <c r="A8" s="114" t="s">
        <v>905</v>
      </c>
      <c r="B8" s="120" t="s">
        <v>906</v>
      </c>
      <c r="C8" s="114" t="s">
        <v>896</v>
      </c>
      <c r="D8" s="115" t="s">
        <v>1468</v>
      </c>
      <c r="E8" s="121">
        <f>복귀_월_가슴!$E$29</f>
        <v>37</v>
      </c>
      <c r="F8" s="114" t="s">
        <v>1552</v>
      </c>
      <c r="G8" s="115" t="s">
        <v>1469</v>
      </c>
    </row>
    <row r="9" spans="1:7" ht="30" customHeight="1">
      <c r="A9" s="114" t="s">
        <v>907</v>
      </c>
      <c r="B9" s="120" t="s">
        <v>908</v>
      </c>
      <c r="C9" s="114" t="s">
        <v>896</v>
      </c>
      <c r="D9" s="115" t="s">
        <v>1470</v>
      </c>
      <c r="E9" s="121">
        <f>복귀_화_팔!$E$24</f>
        <v>43</v>
      </c>
      <c r="F9" s="114" t="s">
        <v>1656</v>
      </c>
      <c r="G9" s="115" t="s">
        <v>1471</v>
      </c>
    </row>
    <row r="10" spans="1:7" ht="30" customHeight="1">
      <c r="A10" s="114" t="s">
        <v>909</v>
      </c>
      <c r="B10" s="120" t="s">
        <v>910</v>
      </c>
      <c r="C10" s="114" t="s">
        <v>896</v>
      </c>
      <c r="D10" s="115" t="s">
        <v>911</v>
      </c>
      <c r="E10" s="121">
        <f>복귀_수_하체후면!$E$39</f>
        <v>34</v>
      </c>
      <c r="F10" s="114" t="s">
        <v>1553</v>
      </c>
      <c r="G10" s="115" t="s">
        <v>1434</v>
      </c>
    </row>
    <row r="11" spans="1:7" ht="30" customHeight="1">
      <c r="A11" s="114" t="s">
        <v>912</v>
      </c>
      <c r="B11" s="120" t="s">
        <v>913</v>
      </c>
      <c r="C11" s="114" t="s">
        <v>896</v>
      </c>
      <c r="D11" s="115" t="s">
        <v>914</v>
      </c>
      <c r="E11" s="121">
        <f>복귀_목_수직당기기!$E$25</f>
        <v>42</v>
      </c>
      <c r="F11" s="114" t="s">
        <v>1451</v>
      </c>
      <c r="G11" s="115" t="s">
        <v>1571</v>
      </c>
    </row>
    <row r="12" spans="1:7" ht="30" customHeight="1">
      <c r="A12" s="114" t="s">
        <v>915</v>
      </c>
      <c r="B12" s="120" t="s">
        <v>160</v>
      </c>
      <c r="C12" s="114" t="s">
        <v>896</v>
      </c>
      <c r="D12" s="115" t="s">
        <v>160</v>
      </c>
      <c r="E12" s="121">
        <v>0</v>
      </c>
      <c r="F12" s="114" t="s">
        <v>27</v>
      </c>
      <c r="G12" s="115" t="s">
        <v>916</v>
      </c>
    </row>
    <row r="13" spans="1:7">
      <c r="A13" s="116" t="s">
        <v>171</v>
      </c>
      <c r="B13" s="122"/>
      <c r="C13" s="122"/>
      <c r="D13" s="122"/>
      <c r="E13" s="116">
        <f>SUM(E6:E12)</f>
        <v>242</v>
      </c>
      <c r="F13" s="116" t="s">
        <v>1654</v>
      </c>
      <c r="G13" s="119"/>
    </row>
    <row r="15" spans="1:7">
      <c r="A15" s="107" t="s">
        <v>917</v>
      </c>
    </row>
    <row r="16" spans="1:7">
      <c r="A16" s="123" t="s">
        <v>918</v>
      </c>
    </row>
    <row r="17" spans="1:1">
      <c r="A17" s="123" t="s">
        <v>919</v>
      </c>
    </row>
    <row r="18" spans="1:1">
      <c r="A18" s="123" t="s">
        <v>920</v>
      </c>
    </row>
    <row r="19" spans="1:1">
      <c r="A19" s="123" t="s">
        <v>921</v>
      </c>
    </row>
    <row r="20" spans="1:1">
      <c r="A20" s="123" t="s">
        <v>922</v>
      </c>
    </row>
    <row r="21" spans="1:1">
      <c r="A21" s="123" t="s">
        <v>923</v>
      </c>
    </row>
    <row r="22" spans="1:1">
      <c r="A22" s="123" t="s">
        <v>924</v>
      </c>
    </row>
    <row r="23" spans="1:1">
      <c r="A23" s="123" t="s">
        <v>925</v>
      </c>
    </row>
    <row r="24" spans="1:1">
      <c r="A24" s="123" t="s">
        <v>1491</v>
      </c>
    </row>
    <row r="25" spans="1:1">
      <c r="A25" s="123" t="s">
        <v>926</v>
      </c>
    </row>
    <row r="26" spans="1:1">
      <c r="A26" s="123" t="s">
        <v>927</v>
      </c>
    </row>
    <row r="27" spans="1:1">
      <c r="A27" s="123" t="s">
        <v>928</v>
      </c>
    </row>
    <row r="29" spans="1:1">
      <c r="A29" s="107" t="s">
        <v>929</v>
      </c>
    </row>
    <row r="30" spans="1:1">
      <c r="A30" s="123" t="s">
        <v>930</v>
      </c>
    </row>
    <row r="31" spans="1:1">
      <c r="A31" s="123" t="s">
        <v>931</v>
      </c>
    </row>
    <row r="32" spans="1:1">
      <c r="A32" s="123" t="s">
        <v>932</v>
      </c>
    </row>
    <row r="33" spans="1:1">
      <c r="A33" s="123" t="s">
        <v>933</v>
      </c>
    </row>
    <row r="34" spans="1:1">
      <c r="A34" s="123" t="s">
        <v>934</v>
      </c>
    </row>
    <row r="35" spans="1:1">
      <c r="A35" s="123" t="s">
        <v>935</v>
      </c>
    </row>
    <row r="36" spans="1:1">
      <c r="A36" s="123" t="s">
        <v>936</v>
      </c>
    </row>
    <row r="37" spans="1:1">
      <c r="A37" s="123" t="s">
        <v>937</v>
      </c>
    </row>
    <row r="38" spans="1:1">
      <c r="A38" s="123" t="s">
        <v>938</v>
      </c>
    </row>
    <row r="39" spans="1:1">
      <c r="A39" s="123" t="s">
        <v>939</v>
      </c>
    </row>
    <row r="40" spans="1:1">
      <c r="A40" s="123" t="s">
        <v>940</v>
      </c>
    </row>
    <row r="41" spans="1:1">
      <c r="A41" s="123" t="s">
        <v>941</v>
      </c>
    </row>
    <row r="42" spans="1:1">
      <c r="A42" s="123" t="s">
        <v>942</v>
      </c>
    </row>
    <row r="43" spans="1:1">
      <c r="A43" s="126" t="s">
        <v>1242</v>
      </c>
    </row>
    <row r="44" spans="1:1">
      <c r="A44" s="126" t="s">
        <v>1256</v>
      </c>
    </row>
    <row r="45" spans="1:1">
      <c r="A45" s="126" t="s">
        <v>1288</v>
      </c>
    </row>
    <row r="46" spans="1:1">
      <c r="A46" s="126" t="s">
        <v>1291</v>
      </c>
    </row>
    <row r="47" spans="1:1">
      <c r="A47" s="126" t="s">
        <v>1307</v>
      </c>
    </row>
    <row r="48" spans="1:1">
      <c r="A48" s="126" t="s">
        <v>1318</v>
      </c>
    </row>
    <row r="49" spans="1:1">
      <c r="A49" s="126" t="s">
        <v>1328</v>
      </c>
    </row>
    <row r="50" spans="1:1">
      <c r="A50" s="126" t="s">
        <v>1336</v>
      </c>
    </row>
    <row r="51" spans="1:1">
      <c r="A51" s="126" t="s">
        <v>1346</v>
      </c>
    </row>
    <row r="52" spans="1:1">
      <c r="A52" s="126" t="s">
        <v>1353</v>
      </c>
    </row>
    <row r="53" spans="1:1">
      <c r="A53" s="126" t="s">
        <v>1355</v>
      </c>
    </row>
    <row r="54" spans="1:1">
      <c r="A54" s="126" t="s">
        <v>1377</v>
      </c>
    </row>
    <row r="55" spans="1:1">
      <c r="A55" s="126" t="s">
        <v>1378</v>
      </c>
    </row>
    <row r="56" spans="1:1">
      <c r="A56" s="126" t="s">
        <v>1385</v>
      </c>
    </row>
    <row r="57" spans="1:1">
      <c r="A57" s="126" t="s">
        <v>1387</v>
      </c>
    </row>
    <row r="58" spans="1:1">
      <c r="A58" s="126" t="s">
        <v>1394</v>
      </c>
    </row>
    <row r="59" spans="1:1">
      <c r="A59" s="126" t="s">
        <v>1423</v>
      </c>
    </row>
    <row r="60" spans="1:1">
      <c r="A60" s="126" t="s">
        <v>1427</v>
      </c>
    </row>
    <row r="61" spans="1:1">
      <c r="A61" s="126" t="s">
        <v>1435</v>
      </c>
    </row>
    <row r="62" spans="1:1">
      <c r="A62" s="126" t="s">
        <v>1440</v>
      </c>
    </row>
    <row r="63" spans="1:1">
      <c r="A63" s="126" t="s">
        <v>1446</v>
      </c>
    </row>
    <row r="64" spans="1:1">
      <c r="A64" s="126" t="s">
        <v>1447</v>
      </c>
    </row>
    <row r="65" spans="1:1">
      <c r="A65" s="126" t="s">
        <v>1452</v>
      </c>
    </row>
    <row r="66" spans="1:1">
      <c r="A66" s="126" t="s">
        <v>1458</v>
      </c>
    </row>
    <row r="67" spans="1:1">
      <c r="A67" s="126" t="s">
        <v>1476</v>
      </c>
    </row>
    <row r="68" spans="1:1">
      <c r="A68" s="126" t="s">
        <v>1481</v>
      </c>
    </row>
    <row r="69" spans="1:1">
      <c r="A69" s="126" t="s">
        <v>1493</v>
      </c>
    </row>
    <row r="70" spans="1:1">
      <c r="A70" s="126" t="s">
        <v>1500</v>
      </c>
    </row>
    <row r="71" spans="1:1">
      <c r="A71" s="126" t="s">
        <v>1505</v>
      </c>
    </row>
    <row r="72" spans="1:1">
      <c r="A72" s="126" t="s">
        <v>1507</v>
      </c>
    </row>
    <row r="73" spans="1:1">
      <c r="A73" s="126" t="s">
        <v>1513</v>
      </c>
    </row>
    <row r="74" spans="1:1">
      <c r="A74" s="126" t="s">
        <v>1541</v>
      </c>
    </row>
    <row r="75" spans="1:1">
      <c r="A75" s="126" t="s">
        <v>1554</v>
      </c>
    </row>
    <row r="76" spans="1:1">
      <c r="A76" s="126" t="s">
        <v>1640</v>
      </c>
    </row>
    <row r="77" spans="1:1">
      <c r="A77" s="126" t="s">
        <v>1655</v>
      </c>
    </row>
    <row r="78" spans="1:1">
      <c r="A78" s="126" t="s">
        <v>1663</v>
      </c>
    </row>
    <row r="79" spans="1:1">
      <c r="A79" s="126" t="s">
        <v>1671</v>
      </c>
    </row>
    <row r="80" spans="1:1">
      <c r="A80" s="107" t="s">
        <v>943</v>
      </c>
    </row>
    <row r="81" spans="1:1">
      <c r="A81" s="123" t="s">
        <v>944</v>
      </c>
    </row>
    <row r="82" spans="1:1">
      <c r="A82" s="123" t="s">
        <v>945</v>
      </c>
    </row>
    <row r="83" spans="1:1">
      <c r="A83" s="123" t="s">
        <v>946</v>
      </c>
    </row>
    <row r="84" spans="1:1">
      <c r="A84" s="123" t="s">
        <v>947</v>
      </c>
    </row>
    <row r="86" spans="1:1">
      <c r="A86" s="107" t="s">
        <v>948</v>
      </c>
    </row>
    <row r="87" spans="1:1">
      <c r="A87" s="123" t="s">
        <v>949</v>
      </c>
    </row>
    <row r="88" spans="1:1">
      <c r="A88" s="123" t="s">
        <v>950</v>
      </c>
    </row>
    <row r="89" spans="1:1">
      <c r="A89" s="123" t="s">
        <v>951</v>
      </c>
    </row>
    <row r="90" spans="1:1">
      <c r="A90" s="123" t="s">
        <v>952</v>
      </c>
    </row>
    <row r="91" spans="1:1">
      <c r="A91" s="123" t="s">
        <v>953</v>
      </c>
    </row>
    <row r="93" spans="1:1">
      <c r="A93" s="107" t="s">
        <v>954</v>
      </c>
    </row>
    <row r="94" spans="1:1">
      <c r="A94" s="123" t="s">
        <v>1657</v>
      </c>
    </row>
    <row r="95" spans="1:1">
      <c r="A95" s="123" t="s">
        <v>1472</v>
      </c>
    </row>
    <row r="96" spans="1:1">
      <c r="A96" s="123" t="s">
        <v>955</v>
      </c>
    </row>
    <row r="97" spans="1:1">
      <c r="A97" s="123" t="s">
        <v>1439</v>
      </c>
    </row>
    <row r="98" spans="1:1">
      <c r="A98" s="123" t="s">
        <v>1317</v>
      </c>
    </row>
    <row r="99" spans="1:1">
      <c r="A99" s="123" t="s">
        <v>1411</v>
      </c>
    </row>
    <row r="101" spans="1:1">
      <c r="A101" s="107" t="s">
        <v>956</v>
      </c>
    </row>
    <row r="102" spans="1:1">
      <c r="A102" s="123" t="s">
        <v>1412</v>
      </c>
    </row>
    <row r="103" spans="1:1">
      <c r="A103" s="123" t="s">
        <v>957</v>
      </c>
    </row>
    <row r="104" spans="1:1">
      <c r="A104" s="123" t="s">
        <v>958</v>
      </c>
    </row>
    <row r="105" spans="1:1">
      <c r="A105" s="123" t="s">
        <v>959</v>
      </c>
    </row>
  </sheetData>
  <phoneticPr fontId="29" type="noConversion"/>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N51"/>
  <sheetViews>
    <sheetView workbookViewId="0">
      <selection activeCell="P5" sqref="P5"/>
    </sheetView>
  </sheetViews>
  <sheetFormatPr defaultRowHeight="15"/>
  <cols>
    <col min="1" max="1" width="5" customWidth="1"/>
    <col min="2" max="2" width="34" customWidth="1"/>
    <col min="3" max="3" width="20" customWidth="1"/>
    <col min="4" max="4" width="14" customWidth="1"/>
    <col min="5" max="5" width="7" customWidth="1"/>
    <col min="6" max="6" width="12" customWidth="1"/>
    <col min="7" max="8" width="10" customWidth="1"/>
    <col min="9" max="9" width="9" customWidth="1"/>
    <col min="10" max="10" width="70" customWidth="1"/>
    <col min="11" max="11" width="55" customWidth="1"/>
    <col min="12" max="12" width="24" customWidth="1"/>
    <col min="13" max="13" width="11" customWidth="1"/>
    <col min="14" max="14" width="10" customWidth="1"/>
  </cols>
  <sheetData>
    <row r="1" spans="1:3" ht="18.75">
      <c r="A1" s="106" t="s">
        <v>960</v>
      </c>
    </row>
    <row r="4" spans="1:3">
      <c r="A4" s="107" t="s">
        <v>367</v>
      </c>
    </row>
    <row r="5" spans="1:3">
      <c r="A5" s="108" t="s">
        <v>255</v>
      </c>
      <c r="B5" s="108" t="s">
        <v>330</v>
      </c>
      <c r="C5" s="108" t="s">
        <v>148</v>
      </c>
    </row>
    <row r="6" spans="1:3">
      <c r="A6" s="109">
        <f>MAX(20,(MROUND(시작중량_설정!$E$7*0.4,1)+(MOD(MROUND(시작중량_설정!$E$7*0.4,1),5)=4)))</f>
        <v>30</v>
      </c>
      <c r="B6" s="109">
        <v>5</v>
      </c>
      <c r="C6" s="109">
        <v>2</v>
      </c>
    </row>
    <row r="7" spans="1:3">
      <c r="A7" s="109">
        <f>IF(MAX(20,(MROUND(시작중량_설정!$E$7*0.6,1)+(MOD(MROUND(시작중량_설정!$E$7*0.6,1),5)=4)))&lt;=MAX(20,(MROUND(시작중량_설정!$E$7*0.4,1)+(MOD(MROUND(시작중량_설정!$E$7*0.4,1),5)=4))),"생략",MAX(20,(MROUND(시작중량_설정!$E$7*0.6,1)+(MOD(MROUND(시작중량_설정!$E$7*0.6,1),5)=4))))</f>
        <v>45</v>
      </c>
      <c r="B7" s="109">
        <v>5</v>
      </c>
      <c r="C7" s="109">
        <v>1</v>
      </c>
    </row>
    <row r="8" spans="1:3">
      <c r="A8" s="109">
        <f>IF(MAX(20,(MROUND(시작중량_설정!$E$7*0.75,1)+(MOD(MROUND(시작중량_설정!$E$7*0.75,1),5)=4)))&lt;=MAX(20,(MROUND(시작중량_설정!$E$7*0.6,1)+(MOD(MROUND(시작중량_설정!$E$7*0.6,1),5)=4))),"생략",MAX(20,(MROUND(시작중량_설정!$E$7*0.75,1)+(MOD(MROUND(시작중량_설정!$E$7*0.75,1),5)=4))))</f>
        <v>56</v>
      </c>
      <c r="B8" s="109">
        <v>3</v>
      </c>
      <c r="C8" s="109">
        <v>1</v>
      </c>
    </row>
    <row r="9" spans="1:3">
      <c r="A9" s="109">
        <f>IF(MAX(20,(MROUND(시작중량_설정!$E$7*0.9,1)+(MOD(MROUND(시작중량_설정!$E$7*0.9,1),5)=4)))&lt;=MAX(20,(MROUND(시작중량_설정!$E$7*0.75,1)+(MOD(MROUND(시작중량_설정!$E$7*0.75,1),5)=4))),"생략",MAX(20,(MROUND(시작중량_설정!$E$7*0.9,1)+(MOD(MROUND(시작중량_설정!$E$7*0.9,1),5)=4))))</f>
        <v>68</v>
      </c>
      <c r="B9" s="109">
        <v>2</v>
      </c>
      <c r="C9" s="109">
        <v>1</v>
      </c>
    </row>
    <row r="10" spans="1:3">
      <c r="A10" s="109">
        <f>시작중량_설정!$E$7</f>
        <v>75</v>
      </c>
      <c r="B10" s="109">
        <v>5</v>
      </c>
      <c r="C10" s="109">
        <v>5</v>
      </c>
    </row>
    <row r="12" spans="1:3">
      <c r="A12" s="107" t="s">
        <v>961</v>
      </c>
    </row>
    <row r="13" spans="1:3">
      <c r="A13" s="110" t="s">
        <v>962</v>
      </c>
    </row>
    <row r="14" spans="1:3">
      <c r="A14" s="110" t="s">
        <v>963</v>
      </c>
    </row>
    <row r="15" spans="1:3">
      <c r="A15" s="110" t="s">
        <v>964</v>
      </c>
    </row>
    <row r="16" spans="1:3">
      <c r="A16" s="110" t="s">
        <v>335</v>
      </c>
    </row>
    <row r="18" spans="1:14">
      <c r="A18" s="107" t="s">
        <v>252</v>
      </c>
    </row>
    <row r="19" spans="1:14" ht="15" customHeight="1">
      <c r="A19" s="111" t="s">
        <v>253</v>
      </c>
      <c r="B19" s="111" t="s">
        <v>76</v>
      </c>
      <c r="C19" s="111" t="s">
        <v>254</v>
      </c>
      <c r="D19" s="111" t="s">
        <v>255</v>
      </c>
      <c r="E19" s="111" t="s">
        <v>148</v>
      </c>
      <c r="F19" s="111" t="s">
        <v>256</v>
      </c>
      <c r="G19" s="111" t="s">
        <v>257</v>
      </c>
      <c r="H19" s="111" t="s">
        <v>258</v>
      </c>
      <c r="I19" s="111" t="s">
        <v>259</v>
      </c>
      <c r="J19" s="111" t="s">
        <v>261</v>
      </c>
      <c r="K19" s="111" t="s">
        <v>262</v>
      </c>
      <c r="L19" s="111" t="s">
        <v>263</v>
      </c>
      <c r="M19" s="111" t="s">
        <v>264</v>
      </c>
      <c r="N19" s="111" t="s">
        <v>265</v>
      </c>
    </row>
    <row r="20" spans="1:14" ht="30" customHeight="1">
      <c r="A20" s="112">
        <v>1</v>
      </c>
      <c r="B20" s="113" t="s">
        <v>82</v>
      </c>
      <c r="C20" s="112" t="s">
        <v>369</v>
      </c>
      <c r="D20" s="112">
        <f>시작중량_설정!$E$7</f>
        <v>75</v>
      </c>
      <c r="E20" s="112">
        <v>5</v>
      </c>
      <c r="F20" s="112">
        <v>5</v>
      </c>
      <c r="G20" s="112">
        <v>30</v>
      </c>
      <c r="H20" s="112">
        <v>180</v>
      </c>
      <c r="I20" s="112">
        <f t="shared" ref="I20:I29" si="0">IF(E20=0,0,ROUND((E20*(G20+H20)+N20)/60,1))</f>
        <v>17.5</v>
      </c>
      <c r="J20" s="113" t="s">
        <v>965</v>
      </c>
      <c r="K20" s="113" t="s">
        <v>966</v>
      </c>
      <c r="L20" s="112" t="s">
        <v>342</v>
      </c>
      <c r="M20" s="112"/>
      <c r="N20" s="112"/>
    </row>
    <row r="21" spans="1:14" ht="30" customHeight="1">
      <c r="A21" s="114">
        <v>2</v>
      </c>
      <c r="B21" s="115" t="s">
        <v>374</v>
      </c>
      <c r="C21" s="114" t="s">
        <v>369</v>
      </c>
      <c r="D21" s="144">
        <f>시작중량_설정!$E$13</f>
        <v>160</v>
      </c>
      <c r="E21" s="114">
        <v>4</v>
      </c>
      <c r="F21" s="114">
        <v>10</v>
      </c>
      <c r="G21" s="114">
        <v>45</v>
      </c>
      <c r="H21" s="114">
        <v>150</v>
      </c>
      <c r="I21" s="114">
        <f t="shared" si="0"/>
        <v>13</v>
      </c>
      <c r="J21" s="115" t="s">
        <v>1577</v>
      </c>
      <c r="K21" s="115" t="s">
        <v>967</v>
      </c>
      <c r="L21" s="114"/>
      <c r="M21" s="114"/>
      <c r="N21" s="114"/>
    </row>
    <row r="22" spans="1:14" ht="30" customHeight="1">
      <c r="A22" s="114">
        <v>3</v>
      </c>
      <c r="B22" s="115" t="s">
        <v>508</v>
      </c>
      <c r="C22" s="114" t="s">
        <v>429</v>
      </c>
      <c r="D22" s="114">
        <v>30</v>
      </c>
      <c r="E22" s="114">
        <v>4</v>
      </c>
      <c r="F22" s="114" t="s">
        <v>274</v>
      </c>
      <c r="G22" s="114">
        <v>40</v>
      </c>
      <c r="H22" s="114">
        <v>120</v>
      </c>
      <c r="I22" s="114">
        <f t="shared" si="0"/>
        <v>10.7</v>
      </c>
      <c r="J22" s="115" t="s">
        <v>1433</v>
      </c>
      <c r="K22" s="115" t="s">
        <v>583</v>
      </c>
      <c r="L22" s="114"/>
      <c r="M22" s="114"/>
      <c r="N22" s="114"/>
    </row>
    <row r="23" spans="1:14" ht="30" customHeight="1">
      <c r="A23" s="114">
        <v>4</v>
      </c>
      <c r="B23" s="115" t="s">
        <v>1379</v>
      </c>
      <c r="C23" s="114" t="s">
        <v>354</v>
      </c>
      <c r="D23" s="114">
        <v>20</v>
      </c>
      <c r="E23" s="114">
        <v>3</v>
      </c>
      <c r="F23" s="114" t="s">
        <v>350</v>
      </c>
      <c r="G23" s="114">
        <v>40</v>
      </c>
      <c r="H23" s="114">
        <v>90</v>
      </c>
      <c r="I23" s="114">
        <f t="shared" si="0"/>
        <v>6.5</v>
      </c>
      <c r="J23" s="115" t="s">
        <v>1428</v>
      </c>
      <c r="K23" s="115" t="s">
        <v>1380</v>
      </c>
      <c r="L23" s="114"/>
      <c r="M23" s="114"/>
      <c r="N23" s="114"/>
    </row>
    <row r="24" spans="1:14" ht="30" customHeight="1">
      <c r="A24" s="114">
        <v>5</v>
      </c>
      <c r="B24" s="135" t="s">
        <v>1437</v>
      </c>
      <c r="C24" s="114" t="s">
        <v>354</v>
      </c>
      <c r="D24" s="114">
        <v>8</v>
      </c>
      <c r="E24" s="114">
        <v>3</v>
      </c>
      <c r="F24" s="114" t="s">
        <v>289</v>
      </c>
      <c r="G24" s="114">
        <v>40</v>
      </c>
      <c r="H24" s="114">
        <v>60</v>
      </c>
      <c r="I24" s="114">
        <f t="shared" si="0"/>
        <v>6</v>
      </c>
      <c r="J24" s="115" t="s">
        <v>1381</v>
      </c>
      <c r="K24" s="115" t="s">
        <v>969</v>
      </c>
      <c r="L24" s="114"/>
      <c r="M24" s="114"/>
      <c r="N24" s="114">
        <v>60</v>
      </c>
    </row>
    <row r="25" spans="1:14" ht="30" customHeight="1">
      <c r="A25" s="114">
        <v>6</v>
      </c>
      <c r="B25" s="115" t="s">
        <v>970</v>
      </c>
      <c r="C25" s="114" t="s">
        <v>358</v>
      </c>
      <c r="D25" s="114">
        <v>30</v>
      </c>
      <c r="E25" s="114">
        <v>6</v>
      </c>
      <c r="F25" s="114" t="s">
        <v>289</v>
      </c>
      <c r="G25" s="114">
        <v>40</v>
      </c>
      <c r="H25" s="114">
        <v>60</v>
      </c>
      <c r="I25" s="114">
        <f t="shared" si="0"/>
        <v>11</v>
      </c>
      <c r="J25" s="115" t="s">
        <v>1386</v>
      </c>
      <c r="K25" s="115" t="s">
        <v>971</v>
      </c>
      <c r="L25" s="114"/>
      <c r="M25" s="114"/>
      <c r="N25" s="114">
        <v>60</v>
      </c>
    </row>
    <row r="26" spans="1:14" ht="30" customHeight="1">
      <c r="A26" s="114">
        <v>7</v>
      </c>
      <c r="B26" s="115" t="s">
        <v>1626</v>
      </c>
      <c r="C26" s="114" t="s">
        <v>285</v>
      </c>
      <c r="D26" s="114" t="s">
        <v>27</v>
      </c>
      <c r="E26" s="114">
        <v>2</v>
      </c>
      <c r="F26" s="145" t="s">
        <v>1498</v>
      </c>
      <c r="G26" s="114">
        <v>40</v>
      </c>
      <c r="H26" s="114">
        <v>60</v>
      </c>
      <c r="I26" s="114">
        <f>IF(E26=0,0,ROUND((E26*(G26+H26)+N26)/60,1))</f>
        <v>3.3</v>
      </c>
      <c r="J26" s="115" t="s">
        <v>1627</v>
      </c>
      <c r="K26" s="115" t="s">
        <v>1628</v>
      </c>
      <c r="L26" s="114"/>
      <c r="M26" s="114"/>
      <c r="N26" s="114"/>
    </row>
    <row r="27" spans="1:14" ht="30" customHeight="1">
      <c r="A27" s="114">
        <v>8</v>
      </c>
      <c r="B27" s="115" t="s">
        <v>387</v>
      </c>
      <c r="C27" s="114" t="s">
        <v>388</v>
      </c>
      <c r="D27" s="114">
        <v>41</v>
      </c>
      <c r="E27" s="114">
        <v>4</v>
      </c>
      <c r="F27" s="114" t="s">
        <v>289</v>
      </c>
      <c r="G27" s="114">
        <v>40</v>
      </c>
      <c r="H27" s="114">
        <v>10</v>
      </c>
      <c r="I27" s="114">
        <f t="shared" si="0"/>
        <v>3.3</v>
      </c>
      <c r="J27" s="115" t="s">
        <v>972</v>
      </c>
      <c r="K27" s="115" t="s">
        <v>973</v>
      </c>
      <c r="L27" s="114"/>
      <c r="M27" s="114" t="s">
        <v>391</v>
      </c>
      <c r="N27" s="114"/>
    </row>
    <row r="28" spans="1:14" ht="30" customHeight="1">
      <c r="A28" s="114">
        <v>9</v>
      </c>
      <c r="B28" s="115" t="s">
        <v>392</v>
      </c>
      <c r="C28" s="114" t="s">
        <v>393</v>
      </c>
      <c r="D28" s="114">
        <v>59</v>
      </c>
      <c r="E28" s="114">
        <v>4</v>
      </c>
      <c r="F28" s="114" t="s">
        <v>289</v>
      </c>
      <c r="G28" s="114">
        <v>40</v>
      </c>
      <c r="H28" s="114">
        <v>120</v>
      </c>
      <c r="I28" s="114">
        <f t="shared" si="0"/>
        <v>10.7</v>
      </c>
      <c r="J28" s="115" t="s">
        <v>974</v>
      </c>
      <c r="K28" s="115" t="s">
        <v>975</v>
      </c>
      <c r="L28" s="114"/>
      <c r="M28" s="114" t="s">
        <v>391</v>
      </c>
      <c r="N28" s="114"/>
    </row>
    <row r="29" spans="1:14" ht="30" customHeight="1">
      <c r="A29" s="114">
        <v>10</v>
      </c>
      <c r="B29" s="115" t="s">
        <v>488</v>
      </c>
      <c r="C29" s="114" t="s">
        <v>308</v>
      </c>
      <c r="D29" s="114">
        <v>16</v>
      </c>
      <c r="E29" s="114">
        <v>6</v>
      </c>
      <c r="F29" s="114" t="s">
        <v>289</v>
      </c>
      <c r="G29" s="114">
        <v>40</v>
      </c>
      <c r="H29" s="114">
        <v>75</v>
      </c>
      <c r="I29" s="114">
        <f t="shared" si="0"/>
        <v>11.5</v>
      </c>
      <c r="J29" s="115" t="s">
        <v>976</v>
      </c>
      <c r="K29" s="115" t="s">
        <v>977</v>
      </c>
      <c r="L29" s="114"/>
      <c r="M29" s="114"/>
      <c r="N29" s="114"/>
    </row>
    <row r="30" spans="1:14" ht="30" customHeight="1">
      <c r="A30" s="114">
        <v>11</v>
      </c>
      <c r="B30" s="115" t="s">
        <v>1664</v>
      </c>
      <c r="C30" s="114" t="s">
        <v>384</v>
      </c>
      <c r="D30" s="114" t="s">
        <v>27</v>
      </c>
      <c r="E30" s="114">
        <v>6</v>
      </c>
      <c r="F30" s="114" t="s">
        <v>350</v>
      </c>
      <c r="G30" s="114">
        <v>40</v>
      </c>
      <c r="H30" s="114">
        <v>120</v>
      </c>
      <c r="I30" s="114">
        <f>IF(E30=0,0,ROUND((E30*(G30+H30)+N30)/60,1))</f>
        <v>17.3</v>
      </c>
      <c r="J30" s="115" t="s">
        <v>1665</v>
      </c>
      <c r="K30" s="115" t="s">
        <v>1666</v>
      </c>
      <c r="L30" s="114"/>
      <c r="M30" s="114"/>
      <c r="N30" s="114">
        <v>75</v>
      </c>
    </row>
    <row r="31" spans="1:14">
      <c r="A31" s="116"/>
      <c r="B31" s="116"/>
      <c r="C31" s="116"/>
      <c r="D31" s="116" t="s">
        <v>321</v>
      </c>
      <c r="E31" s="116">
        <f>SUM(E20:E30)</f>
        <v>47</v>
      </c>
      <c r="F31" s="116"/>
      <c r="G31" s="116"/>
      <c r="H31" s="116"/>
      <c r="I31" s="116">
        <f>ROUND(SUM(I20:I30),0)</f>
        <v>111</v>
      </c>
    </row>
    <row r="33" spans="1:1">
      <c r="A33" s="107" t="s">
        <v>978</v>
      </c>
    </row>
    <row r="34" spans="1:1">
      <c r="A34" s="117" t="s">
        <v>979</v>
      </c>
    </row>
    <row r="35" spans="1:1">
      <c r="A35" s="117" t="s">
        <v>1453</v>
      </c>
    </row>
    <row r="36" spans="1:1">
      <c r="A36" s="117" t="s">
        <v>1383</v>
      </c>
    </row>
    <row r="37" spans="1:1">
      <c r="A37" s="117" t="s">
        <v>980</v>
      </c>
    </row>
    <row r="38" spans="1:1">
      <c r="A38" s="117" t="s">
        <v>981</v>
      </c>
    </row>
    <row r="39" spans="1:1">
      <c r="A39" s="117" t="s">
        <v>982</v>
      </c>
    </row>
    <row r="41" spans="1:1">
      <c r="A41" s="107" t="s">
        <v>954</v>
      </c>
    </row>
    <row r="42" spans="1:1">
      <c r="A42" s="117" t="s">
        <v>1454</v>
      </c>
    </row>
    <row r="43" spans="1:1">
      <c r="A43" s="117" t="s">
        <v>983</v>
      </c>
    </row>
    <row r="44" spans="1:1">
      <c r="A44" s="117" t="s">
        <v>984</v>
      </c>
    </row>
    <row r="46" spans="1:1">
      <c r="A46" s="107" t="s">
        <v>985</v>
      </c>
    </row>
    <row r="47" spans="1:1">
      <c r="A47" s="117" t="s">
        <v>1455</v>
      </c>
    </row>
    <row r="48" spans="1:1">
      <c r="A48" s="117" t="s">
        <v>986</v>
      </c>
    </row>
    <row r="49" spans="1:3">
      <c r="A49" s="117" t="s">
        <v>987</v>
      </c>
    </row>
    <row r="51" spans="1:3">
      <c r="C51" s="118" t="s">
        <v>988</v>
      </c>
    </row>
  </sheetData>
  <phoneticPr fontId="29" type="noConversion"/>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N50"/>
  <sheetViews>
    <sheetView tabSelected="1" workbookViewId="0">
      <selection activeCell="D11" sqref="D11"/>
    </sheetView>
  </sheetViews>
  <sheetFormatPr defaultRowHeight="15"/>
  <cols>
    <col min="1" max="1" width="5" customWidth="1"/>
    <col min="2" max="2" width="34" customWidth="1"/>
    <col min="3" max="3" width="20" customWidth="1"/>
    <col min="4" max="4" width="14" customWidth="1"/>
    <col min="5" max="5" width="7" customWidth="1"/>
    <col min="6" max="6" width="12" customWidth="1"/>
    <col min="7" max="8" width="10" customWidth="1"/>
    <col min="9" max="9" width="9" customWidth="1"/>
    <col min="10" max="10" width="70" customWidth="1"/>
    <col min="11" max="11" width="55" customWidth="1"/>
    <col min="12" max="12" width="24" customWidth="1"/>
    <col min="13" max="13" width="11" customWidth="1"/>
    <col min="14" max="14" width="10" customWidth="1"/>
  </cols>
  <sheetData>
    <row r="1" spans="1:14" ht="18.75">
      <c r="A1" s="106" t="s">
        <v>989</v>
      </c>
    </row>
    <row r="4" spans="1:14">
      <c r="A4" s="107" t="s">
        <v>990</v>
      </c>
    </row>
    <row r="5" spans="1:14">
      <c r="A5" s="110" t="s">
        <v>1501</v>
      </c>
    </row>
    <row r="6" spans="1:14">
      <c r="A6" s="110" t="s">
        <v>963</v>
      </c>
    </row>
    <row r="7" spans="1:14">
      <c r="A7" s="110" t="s">
        <v>991</v>
      </c>
    </row>
    <row r="9" spans="1:14">
      <c r="A9" s="107" t="s">
        <v>252</v>
      </c>
    </row>
    <row r="10" spans="1:14" ht="15" customHeight="1">
      <c r="A10" s="111" t="s">
        <v>253</v>
      </c>
      <c r="B10" s="111" t="s">
        <v>76</v>
      </c>
      <c r="C10" s="111" t="s">
        <v>254</v>
      </c>
      <c r="D10" s="111" t="s">
        <v>255</v>
      </c>
      <c r="E10" s="111" t="s">
        <v>148</v>
      </c>
      <c r="F10" s="111" t="s">
        <v>256</v>
      </c>
      <c r="G10" s="111" t="s">
        <v>257</v>
      </c>
      <c r="H10" s="111" t="s">
        <v>258</v>
      </c>
      <c r="I10" s="111" t="s">
        <v>259</v>
      </c>
      <c r="J10" s="111" t="s">
        <v>261</v>
      </c>
      <c r="K10" s="111" t="s">
        <v>262</v>
      </c>
      <c r="L10" s="111" t="s">
        <v>263</v>
      </c>
      <c r="M10" s="111" t="s">
        <v>264</v>
      </c>
      <c r="N10" s="111" t="s">
        <v>265</v>
      </c>
    </row>
    <row r="11" spans="1:14" ht="30" customHeight="1">
      <c r="A11" s="114">
        <v>1</v>
      </c>
      <c r="B11" s="115" t="s">
        <v>1314</v>
      </c>
      <c r="C11" s="114" t="s">
        <v>1494</v>
      </c>
      <c r="D11" s="144">
        <f>시작중량_설정!$E$11</f>
        <v>60</v>
      </c>
      <c r="E11" s="114">
        <v>4</v>
      </c>
      <c r="F11" s="114">
        <v>8</v>
      </c>
      <c r="G11" s="114">
        <v>40</v>
      </c>
      <c r="H11" s="114">
        <v>150</v>
      </c>
      <c r="I11" s="114">
        <f t="shared" ref="I11:I22" si="0">IF(E11=0,0,ROUND((E11*(G11+H11)+N11)/60,1))</f>
        <v>12.7</v>
      </c>
      <c r="J11" s="115" t="s">
        <v>1566</v>
      </c>
      <c r="K11" s="115" t="s">
        <v>1495</v>
      </c>
      <c r="L11" s="114" t="s">
        <v>1497</v>
      </c>
      <c r="M11" s="114"/>
      <c r="N11" s="114"/>
    </row>
    <row r="12" spans="1:14" ht="30" customHeight="1">
      <c r="A12" s="114">
        <v>2</v>
      </c>
      <c r="B12" s="115" t="s">
        <v>1482</v>
      </c>
      <c r="C12" s="114" t="s">
        <v>1494</v>
      </c>
      <c r="D12" s="114">
        <v>18</v>
      </c>
      <c r="E12" s="114">
        <v>3</v>
      </c>
      <c r="F12" s="114" t="s">
        <v>1498</v>
      </c>
      <c r="G12" s="114">
        <v>40</v>
      </c>
      <c r="H12" s="114">
        <v>150</v>
      </c>
      <c r="I12" s="114">
        <f t="shared" si="0"/>
        <v>9.5</v>
      </c>
      <c r="J12" s="134" t="s">
        <v>1499</v>
      </c>
      <c r="K12" s="115" t="s">
        <v>1483</v>
      </c>
      <c r="L12" s="114" t="s">
        <v>1496</v>
      </c>
      <c r="M12" s="114"/>
      <c r="N12" s="114"/>
    </row>
    <row r="13" spans="1:14" ht="30" customHeight="1">
      <c r="A13" s="114">
        <v>3</v>
      </c>
      <c r="B13" s="115" t="s">
        <v>1248</v>
      </c>
      <c r="C13" s="114" t="s">
        <v>1249</v>
      </c>
      <c r="D13" s="114">
        <v>55</v>
      </c>
      <c r="E13" s="114">
        <v>2</v>
      </c>
      <c r="F13" s="114" t="s">
        <v>1250</v>
      </c>
      <c r="G13" s="114">
        <v>40</v>
      </c>
      <c r="H13" s="114">
        <v>120</v>
      </c>
      <c r="I13" s="114">
        <f t="shared" ref="I13" si="1">IF(E13=0,0,ROUND((E13*(G13+H13)+N13)/60,1))</f>
        <v>5.3</v>
      </c>
      <c r="J13" s="115" t="s">
        <v>1511</v>
      </c>
      <c r="K13" s="115" t="s">
        <v>1251</v>
      </c>
      <c r="L13" s="114"/>
      <c r="M13" s="114"/>
      <c r="N13" s="114"/>
    </row>
    <row r="14" spans="1:14" ht="30" customHeight="1">
      <c r="A14" s="114">
        <v>4</v>
      </c>
      <c r="B14" s="115" t="s">
        <v>472</v>
      </c>
      <c r="C14" s="114" t="s">
        <v>267</v>
      </c>
      <c r="D14" s="114">
        <v>32</v>
      </c>
      <c r="E14" s="114">
        <v>4</v>
      </c>
      <c r="F14" s="114" t="s">
        <v>278</v>
      </c>
      <c r="G14" s="114">
        <v>60</v>
      </c>
      <c r="H14" s="114">
        <v>120</v>
      </c>
      <c r="I14" s="114">
        <f t="shared" si="0"/>
        <v>12</v>
      </c>
      <c r="J14" s="115" t="s">
        <v>1438</v>
      </c>
      <c r="K14" s="115" t="s">
        <v>993</v>
      </c>
      <c r="L14" s="114"/>
      <c r="M14" s="114"/>
      <c r="N14" s="114"/>
    </row>
    <row r="15" spans="1:14" ht="30" customHeight="1">
      <c r="A15" s="114">
        <v>5</v>
      </c>
      <c r="B15" s="115" t="s">
        <v>1509</v>
      </c>
      <c r="C15" s="114" t="s">
        <v>282</v>
      </c>
      <c r="D15" s="144">
        <f>시작중량_설정!$E$18</f>
        <v>50</v>
      </c>
      <c r="E15" s="114">
        <v>3</v>
      </c>
      <c r="F15" s="114">
        <v>15</v>
      </c>
      <c r="G15" s="114">
        <v>40</v>
      </c>
      <c r="H15" s="114">
        <v>75</v>
      </c>
      <c r="I15" s="114">
        <f t="shared" si="0"/>
        <v>6.8</v>
      </c>
      <c r="J15" s="115" t="s">
        <v>1600</v>
      </c>
      <c r="K15" s="115" t="s">
        <v>1510</v>
      </c>
      <c r="L15" s="114"/>
      <c r="M15" s="114"/>
      <c r="N15" s="114">
        <v>60</v>
      </c>
    </row>
    <row r="16" spans="1:14" ht="30" customHeight="1">
      <c r="A16" s="114">
        <v>6</v>
      </c>
      <c r="B16" s="115" t="s">
        <v>1629</v>
      </c>
      <c r="C16" s="114" t="s">
        <v>267</v>
      </c>
      <c r="D16" s="144">
        <v>60</v>
      </c>
      <c r="E16" s="114">
        <v>3</v>
      </c>
      <c r="F16" s="114" t="s">
        <v>289</v>
      </c>
      <c r="G16" s="114">
        <v>40</v>
      </c>
      <c r="H16" s="114">
        <v>90</v>
      </c>
      <c r="I16" s="114">
        <f>IF(E16=0,0,ROUND((E16*(G16+H16)+N16)/60,1))</f>
        <v>6.5</v>
      </c>
      <c r="J16" s="115" t="s">
        <v>1630</v>
      </c>
      <c r="K16" s="115" t="s">
        <v>1631</v>
      </c>
      <c r="L16" s="114"/>
      <c r="M16" s="114"/>
      <c r="N16" s="114"/>
    </row>
    <row r="17" spans="1:14" ht="30" customHeight="1">
      <c r="A17" s="114">
        <v>7</v>
      </c>
      <c r="B17" s="115" t="s">
        <v>484</v>
      </c>
      <c r="C17" s="114" t="s">
        <v>407</v>
      </c>
      <c r="D17" s="114">
        <v>20</v>
      </c>
      <c r="E17" s="114">
        <v>3</v>
      </c>
      <c r="F17" s="114" t="s">
        <v>350</v>
      </c>
      <c r="G17" s="114">
        <v>40</v>
      </c>
      <c r="H17" s="114">
        <v>90</v>
      </c>
      <c r="I17" s="114">
        <f t="shared" si="0"/>
        <v>6.5</v>
      </c>
      <c r="J17" s="115" t="s">
        <v>994</v>
      </c>
      <c r="K17" s="115" t="s">
        <v>995</v>
      </c>
      <c r="L17" s="114"/>
      <c r="M17" s="114"/>
      <c r="N17" s="114"/>
    </row>
    <row r="18" spans="1:14" ht="30" customHeight="1">
      <c r="A18" s="114">
        <v>8</v>
      </c>
      <c r="B18" s="115" t="s">
        <v>1442</v>
      </c>
      <c r="C18" s="114" t="s">
        <v>345</v>
      </c>
      <c r="D18" s="114">
        <v>20</v>
      </c>
      <c r="E18" s="114">
        <v>5</v>
      </c>
      <c r="F18" s="114" t="s">
        <v>274</v>
      </c>
      <c r="G18" s="114">
        <v>40</v>
      </c>
      <c r="H18" s="114">
        <v>75</v>
      </c>
      <c r="I18" s="114">
        <f t="shared" si="0"/>
        <v>10.6</v>
      </c>
      <c r="J18" s="115" t="s">
        <v>1548</v>
      </c>
      <c r="K18" s="115" t="s">
        <v>1443</v>
      </c>
      <c r="L18" s="114"/>
      <c r="M18" s="114"/>
      <c r="N18" s="114">
        <v>60</v>
      </c>
    </row>
    <row r="19" spans="1:14" ht="30" customHeight="1">
      <c r="A19" s="114">
        <v>9</v>
      </c>
      <c r="B19" s="115" t="s">
        <v>481</v>
      </c>
      <c r="C19" s="114" t="s">
        <v>269</v>
      </c>
      <c r="D19" s="114">
        <v>30</v>
      </c>
      <c r="E19" s="114">
        <v>3</v>
      </c>
      <c r="F19" s="114" t="s">
        <v>274</v>
      </c>
      <c r="G19" s="114">
        <v>40</v>
      </c>
      <c r="H19" s="114">
        <v>75</v>
      </c>
      <c r="I19" s="114">
        <f t="shared" si="0"/>
        <v>6.8</v>
      </c>
      <c r="J19" s="115" t="s">
        <v>996</v>
      </c>
      <c r="K19" s="115" t="s">
        <v>997</v>
      </c>
      <c r="L19" s="114"/>
      <c r="M19" s="114"/>
      <c r="N19" s="114">
        <v>60</v>
      </c>
    </row>
    <row r="20" spans="1:14" ht="30" customHeight="1">
      <c r="A20" s="114">
        <v>10</v>
      </c>
      <c r="B20" s="115" t="s">
        <v>998</v>
      </c>
      <c r="C20" s="114" t="s">
        <v>295</v>
      </c>
      <c r="D20" s="114">
        <v>15</v>
      </c>
      <c r="E20" s="114">
        <v>3</v>
      </c>
      <c r="F20" s="145" t="s">
        <v>1620</v>
      </c>
      <c r="G20" s="114">
        <v>40</v>
      </c>
      <c r="H20" s="114">
        <v>10</v>
      </c>
      <c r="I20" s="114">
        <f t="shared" si="0"/>
        <v>2.5</v>
      </c>
      <c r="J20" s="115" t="s">
        <v>1621</v>
      </c>
      <c r="K20" s="115" t="s">
        <v>999</v>
      </c>
      <c r="L20" s="114"/>
      <c r="M20" s="114" t="s">
        <v>391</v>
      </c>
      <c r="N20" s="114"/>
    </row>
    <row r="21" spans="1:14" ht="30" customHeight="1">
      <c r="A21" s="114">
        <v>11</v>
      </c>
      <c r="B21" s="115" t="s">
        <v>594</v>
      </c>
      <c r="C21" s="114" t="s">
        <v>295</v>
      </c>
      <c r="D21" s="114">
        <v>15</v>
      </c>
      <c r="E21" s="114">
        <v>3</v>
      </c>
      <c r="F21" s="145" t="s">
        <v>1620</v>
      </c>
      <c r="G21" s="114">
        <v>40</v>
      </c>
      <c r="H21" s="114">
        <v>60</v>
      </c>
      <c r="I21" s="114">
        <f t="shared" si="0"/>
        <v>5</v>
      </c>
      <c r="J21" s="115" t="s">
        <v>1622</v>
      </c>
      <c r="K21" s="115" t="s">
        <v>1000</v>
      </c>
      <c r="L21" s="114"/>
      <c r="M21" s="114" t="s">
        <v>391</v>
      </c>
      <c r="N21" s="114"/>
    </row>
    <row r="22" spans="1:14" ht="30" customHeight="1">
      <c r="A22" s="114">
        <v>12</v>
      </c>
      <c r="B22" s="115" t="s">
        <v>318</v>
      </c>
      <c r="C22" s="114" t="s">
        <v>313</v>
      </c>
      <c r="D22" s="114">
        <v>20</v>
      </c>
      <c r="E22" s="114">
        <v>3</v>
      </c>
      <c r="F22" s="114" t="s">
        <v>289</v>
      </c>
      <c r="G22" s="114">
        <v>40</v>
      </c>
      <c r="H22" s="114">
        <v>60</v>
      </c>
      <c r="I22" s="114">
        <f t="shared" si="0"/>
        <v>5</v>
      </c>
      <c r="J22" s="115" t="s">
        <v>1485</v>
      </c>
      <c r="K22" s="115" t="s">
        <v>1001</v>
      </c>
      <c r="L22" s="114"/>
      <c r="M22" s="114"/>
      <c r="N22" s="114"/>
    </row>
    <row r="23" spans="1:14">
      <c r="A23" s="116"/>
      <c r="B23" s="116"/>
      <c r="C23" s="116"/>
      <c r="D23" s="116" t="s">
        <v>321</v>
      </c>
      <c r="E23" s="116">
        <f>SUM(E11:E22)</f>
        <v>39</v>
      </c>
      <c r="F23" s="116"/>
      <c r="G23" s="116"/>
      <c r="H23" s="116"/>
      <c r="I23" s="116">
        <f>ROUND(SUM(I11:I22),0)</f>
        <v>89</v>
      </c>
    </row>
    <row r="25" spans="1:14">
      <c r="A25" s="107" t="s">
        <v>1002</v>
      </c>
    </row>
    <row r="26" spans="1:14">
      <c r="A26" s="117" t="s">
        <v>1003</v>
      </c>
    </row>
    <row r="27" spans="1:14">
      <c r="A27" s="117" t="s">
        <v>1004</v>
      </c>
    </row>
    <row r="28" spans="1:14">
      <c r="A28" s="117" t="s">
        <v>1005</v>
      </c>
    </row>
    <row r="29" spans="1:14">
      <c r="A29" s="117" t="s">
        <v>1503</v>
      </c>
    </row>
    <row r="30" spans="1:14">
      <c r="A30" s="117" t="s">
        <v>1006</v>
      </c>
    </row>
    <row r="32" spans="1:14">
      <c r="A32" s="107" t="s">
        <v>1007</v>
      </c>
    </row>
    <row r="33" spans="1:1">
      <c r="A33" s="117" t="s">
        <v>1008</v>
      </c>
    </row>
    <row r="34" spans="1:1">
      <c r="A34" s="117" t="s">
        <v>1252</v>
      </c>
    </row>
    <row r="35" spans="1:1">
      <c r="A35" s="117" t="s">
        <v>1009</v>
      </c>
    </row>
    <row r="37" spans="1:1">
      <c r="A37" s="107" t="s">
        <v>954</v>
      </c>
    </row>
    <row r="38" spans="1:1">
      <c r="A38" s="117" t="s">
        <v>1641</v>
      </c>
    </row>
    <row r="39" spans="1:1">
      <c r="A39" s="117" t="s">
        <v>1010</v>
      </c>
    </row>
    <row r="40" spans="1:1">
      <c r="A40" s="117" t="s">
        <v>1642</v>
      </c>
    </row>
    <row r="42" spans="1:1">
      <c r="A42" s="107" t="s">
        <v>985</v>
      </c>
    </row>
    <row r="43" spans="1:1">
      <c r="A43" s="117" t="s">
        <v>1512</v>
      </c>
    </row>
    <row r="44" spans="1:1">
      <c r="A44" s="117" t="s">
        <v>1011</v>
      </c>
    </row>
    <row r="45" spans="1:1">
      <c r="A45" s="117" t="s">
        <v>1484</v>
      </c>
    </row>
    <row r="46" spans="1:1">
      <c r="A46" s="117" t="s">
        <v>1253</v>
      </c>
    </row>
    <row r="47" spans="1:1">
      <c r="A47" s="117" t="s">
        <v>1012</v>
      </c>
    </row>
    <row r="48" spans="1:1">
      <c r="A48" s="117" t="s">
        <v>987</v>
      </c>
    </row>
    <row r="50" spans="3:3">
      <c r="C50" s="118" t="s">
        <v>1013</v>
      </c>
    </row>
  </sheetData>
  <phoneticPr fontId="29" type="noConversion"/>
  <hyperlinks>
    <hyperlink ref="J12" r:id="rId1" display="https://www.youtube.com/shorts/KGkE5bXQR24, 명치가 의자 최상단 높이에 맞게 설정" xr:uid="{FB7A3E7E-E2D3-45DE-85C6-B3A6CD805B29}"/>
  </hyperlinks>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E1EB96-3FB4-4EEC-91DF-8F1D1DE0F64B}">
  <dimension ref="A1:E19"/>
  <sheetViews>
    <sheetView workbookViewId="0">
      <selection activeCell="C30" sqref="C30"/>
    </sheetView>
  </sheetViews>
  <sheetFormatPr defaultRowHeight="15"/>
  <cols>
    <col min="1" max="1" width="14.7109375" customWidth="1"/>
    <col min="2" max="2" width="36.7109375" customWidth="1"/>
    <col min="3" max="3" width="22.7109375" customWidth="1"/>
    <col min="4" max="4" width="14.7109375" customWidth="1"/>
    <col min="5" max="5" width="24.7109375" customWidth="1"/>
  </cols>
  <sheetData>
    <row r="1" spans="1:5" ht="18.75">
      <c r="A1" s="128" t="s">
        <v>1375</v>
      </c>
    </row>
    <row r="2" spans="1:5">
      <c r="A2" t="s">
        <v>1356</v>
      </c>
    </row>
    <row r="4" spans="1:5">
      <c r="A4" s="99" t="s">
        <v>1376</v>
      </c>
    </row>
    <row r="5" spans="1:5">
      <c r="A5" s="140" t="s">
        <v>1357</v>
      </c>
      <c r="B5" s="140" t="s">
        <v>1358</v>
      </c>
      <c r="C5" s="140" t="s">
        <v>1359</v>
      </c>
      <c r="D5" s="140" t="s">
        <v>1360</v>
      </c>
      <c r="E5" s="140" t="s">
        <v>1263</v>
      </c>
    </row>
    <row r="6" spans="1:5">
      <c r="A6" s="139">
        <v>46301</v>
      </c>
      <c r="B6" t="s">
        <v>1361</v>
      </c>
      <c r="C6" t="s">
        <v>1362</v>
      </c>
      <c r="D6" t="s">
        <v>28</v>
      </c>
      <c r="E6" t="s">
        <v>1363</v>
      </c>
    </row>
    <row r="7" spans="1:5">
      <c r="A7" s="139">
        <v>46307</v>
      </c>
      <c r="B7" t="s">
        <v>1364</v>
      </c>
      <c r="C7" t="s">
        <v>1362</v>
      </c>
      <c r="D7" t="s">
        <v>28</v>
      </c>
      <c r="E7" t="s">
        <v>1363</v>
      </c>
    </row>
    <row r="8" spans="1:5">
      <c r="A8" s="139">
        <v>46319</v>
      </c>
      <c r="B8" t="s">
        <v>1364</v>
      </c>
      <c r="C8" t="s">
        <v>1362</v>
      </c>
      <c r="D8" t="s">
        <v>1365</v>
      </c>
      <c r="E8" t="s">
        <v>1363</v>
      </c>
    </row>
    <row r="10" spans="1:5">
      <c r="A10" s="99" t="s">
        <v>1258</v>
      </c>
    </row>
    <row r="11" spans="1:5">
      <c r="A11" t="s">
        <v>1366</v>
      </c>
    </row>
    <row r="12" spans="1:5">
      <c r="A12" t="s">
        <v>1367</v>
      </c>
    </row>
    <row r="13" spans="1:5">
      <c r="A13" t="s">
        <v>1368</v>
      </c>
    </row>
    <row r="14" spans="1:5">
      <c r="A14" t="s">
        <v>1369</v>
      </c>
    </row>
    <row r="15" spans="1:5">
      <c r="A15" t="s">
        <v>1370</v>
      </c>
    </row>
    <row r="16" spans="1:5">
      <c r="A16" t="s">
        <v>1371</v>
      </c>
    </row>
    <row r="17" spans="1:1">
      <c r="A17" t="s">
        <v>1372</v>
      </c>
    </row>
    <row r="18" spans="1:1">
      <c r="A18" t="s">
        <v>1373</v>
      </c>
    </row>
    <row r="19" spans="1:1">
      <c r="A19" t="s">
        <v>1374</v>
      </c>
    </row>
  </sheetData>
  <phoneticPr fontId="29" type="noConversion"/>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N50"/>
  <sheetViews>
    <sheetView workbookViewId="0">
      <selection activeCell="D25" sqref="D25"/>
    </sheetView>
  </sheetViews>
  <sheetFormatPr defaultRowHeight="15"/>
  <cols>
    <col min="1" max="1" width="5" customWidth="1"/>
    <col min="2" max="2" width="34" customWidth="1"/>
    <col min="3" max="3" width="20" customWidth="1"/>
    <col min="4" max="4" width="14" customWidth="1"/>
    <col min="5" max="5" width="7" customWidth="1"/>
    <col min="6" max="6" width="12" customWidth="1"/>
    <col min="7" max="8" width="10" customWidth="1"/>
    <col min="9" max="9" width="9" customWidth="1"/>
    <col min="10" max="10" width="70" customWidth="1"/>
    <col min="11" max="11" width="55" customWidth="1"/>
    <col min="12" max="12" width="24" customWidth="1"/>
    <col min="13" max="13" width="11" customWidth="1"/>
    <col min="14" max="14" width="10" customWidth="1"/>
  </cols>
  <sheetData>
    <row r="1" spans="1:3" ht="18.75">
      <c r="A1" s="106" t="s">
        <v>1461</v>
      </c>
    </row>
    <row r="4" spans="1:3">
      <c r="A4" s="107" t="s">
        <v>329</v>
      </c>
    </row>
    <row r="5" spans="1:3">
      <c r="A5" s="108" t="s">
        <v>255</v>
      </c>
      <c r="B5" s="108" t="s">
        <v>330</v>
      </c>
      <c r="C5" s="108" t="s">
        <v>148</v>
      </c>
    </row>
    <row r="6" spans="1:3">
      <c r="A6" s="109">
        <f>MAX(20,(MROUND(시작중량_설정!$E$9*0.4,1)+(MOD(MROUND(시작중량_설정!$E$9*0.4,1),5)=4)))</f>
        <v>20</v>
      </c>
      <c r="B6" s="109">
        <v>5</v>
      </c>
      <c r="C6" s="109">
        <v>2</v>
      </c>
    </row>
    <row r="7" spans="1:3">
      <c r="A7" s="109">
        <f>IF(MAX(20,(MROUND(시작중량_설정!$E$9*0.6,1)+(MOD(MROUND(시작중량_설정!$E$9*0.6,1),5)=4)))&lt;=MAX(20,(MROUND(시작중량_설정!$E$9*0.4,1)+(MOD(MROUND(시작중량_설정!$E$9*0.4,1),5)=4))),"생략",MAX(20,(MROUND(시작중량_설정!$E$9*0.6,1)+(MOD(MROUND(시작중량_설정!$E$9*0.6,1),5)=4))))</f>
        <v>25</v>
      </c>
      <c r="B7" s="109">
        <v>5</v>
      </c>
      <c r="C7" s="109">
        <v>1</v>
      </c>
    </row>
    <row r="8" spans="1:3">
      <c r="A8" s="109">
        <f>IF(MAX(20,(MROUND(시작중량_설정!$E$9*0.75,1)+(MOD(MROUND(시작중량_설정!$E$9*0.75,1),5)=4)))&lt;=MAX(20,(MROUND(시작중량_설정!$E$9*0.6,1)+(MOD(MROUND(시작중량_설정!$E$9*0.6,1),5)=4))),"생략",MAX(20,(MROUND(시작중량_설정!$E$9*0.75,1)+(MOD(MROUND(시작중량_설정!$E$9*0.75,1),5)=4))))</f>
        <v>31</v>
      </c>
      <c r="B8" s="109">
        <v>3</v>
      </c>
      <c r="C8" s="109">
        <v>1</v>
      </c>
    </row>
    <row r="9" spans="1:3">
      <c r="A9" s="109">
        <f>IF(MAX(20,(MROUND(시작중량_설정!$E$9*0.9,1)+(MOD(MROUND(시작중량_설정!$E$9*0.9,1),5)=4)))&lt;=MAX(20,(MROUND(시작중량_설정!$E$9*0.75,1)+(MOD(MROUND(시작중량_설정!$E$9*0.75,1),5)=4))),"생략",MAX(20,(MROUND(시작중량_설정!$E$9*0.9,1)+(MOD(MROUND(시작중량_설정!$E$9*0.9,1),5)=4))))</f>
        <v>37</v>
      </c>
      <c r="B9" s="109">
        <v>2</v>
      </c>
      <c r="C9" s="109">
        <v>1</v>
      </c>
    </row>
    <row r="10" spans="1:3">
      <c r="A10" s="109">
        <f>시작중량_설정!$E$9</f>
        <v>41</v>
      </c>
      <c r="B10" s="109">
        <v>8</v>
      </c>
      <c r="C10" s="109">
        <v>4</v>
      </c>
    </row>
    <row r="12" spans="1:3">
      <c r="A12" s="107" t="s">
        <v>332</v>
      </c>
    </row>
    <row r="13" spans="1:3">
      <c r="A13" s="110" t="s">
        <v>963</v>
      </c>
    </row>
    <row r="14" spans="1:3">
      <c r="A14" s="110" t="s">
        <v>335</v>
      </c>
    </row>
    <row r="16" spans="1:3">
      <c r="A16" s="107" t="s">
        <v>252</v>
      </c>
    </row>
    <row r="17" spans="1:14" ht="15" customHeight="1">
      <c r="A17" s="111" t="s">
        <v>253</v>
      </c>
      <c r="B17" s="111" t="s">
        <v>76</v>
      </c>
      <c r="C17" s="111" t="s">
        <v>254</v>
      </c>
      <c r="D17" s="111" t="s">
        <v>255</v>
      </c>
      <c r="E17" s="111" t="s">
        <v>148</v>
      </c>
      <c r="F17" s="111" t="s">
        <v>256</v>
      </c>
      <c r="G17" s="111" t="s">
        <v>257</v>
      </c>
      <c r="H17" s="111" t="s">
        <v>258</v>
      </c>
      <c r="I17" s="111" t="s">
        <v>259</v>
      </c>
      <c r="J17" s="111" t="s">
        <v>261</v>
      </c>
      <c r="K17" s="111" t="s">
        <v>262</v>
      </c>
      <c r="L17" s="111" t="s">
        <v>263</v>
      </c>
      <c r="M17" s="111" t="s">
        <v>264</v>
      </c>
      <c r="N17" s="111" t="s">
        <v>265</v>
      </c>
    </row>
    <row r="18" spans="1:14" ht="30" customHeight="1">
      <c r="A18" s="112">
        <v>1</v>
      </c>
      <c r="B18" s="113" t="s">
        <v>86</v>
      </c>
      <c r="C18" s="112" t="s">
        <v>337</v>
      </c>
      <c r="D18" s="112">
        <f>시작중량_설정!$E$9</f>
        <v>41</v>
      </c>
      <c r="E18" s="112">
        <v>4</v>
      </c>
      <c r="F18" s="112">
        <v>8</v>
      </c>
      <c r="G18" s="112">
        <v>50</v>
      </c>
      <c r="H18" s="112">
        <v>180</v>
      </c>
      <c r="I18" s="112">
        <f t="shared" ref="I18:I22" si="0">IF(E18=0,0,ROUND((E18*(G18+H18)+N18)/60,1))</f>
        <v>15.3</v>
      </c>
      <c r="J18" s="113" t="s">
        <v>1530</v>
      </c>
      <c r="K18" s="113" t="s">
        <v>1014</v>
      </c>
      <c r="L18" s="112" t="s">
        <v>1015</v>
      </c>
      <c r="M18" s="112"/>
      <c r="N18" s="112"/>
    </row>
    <row r="19" spans="1:14" ht="30" customHeight="1">
      <c r="A19" s="114">
        <v>2</v>
      </c>
      <c r="B19" s="115" t="s">
        <v>517</v>
      </c>
      <c r="C19" s="114" t="s">
        <v>349</v>
      </c>
      <c r="D19" s="144">
        <f>시작중량_설정!$E$12</f>
        <v>42</v>
      </c>
      <c r="E19" s="114">
        <v>3</v>
      </c>
      <c r="F19" s="114">
        <v>10</v>
      </c>
      <c r="G19" s="114">
        <v>40</v>
      </c>
      <c r="H19" s="114">
        <v>150</v>
      </c>
      <c r="I19" s="114">
        <f t="shared" si="0"/>
        <v>9.5</v>
      </c>
      <c r="J19" s="115" t="s">
        <v>1567</v>
      </c>
      <c r="K19" s="115" t="s">
        <v>1016</v>
      </c>
      <c r="L19" s="114"/>
      <c r="M19" s="114"/>
      <c r="N19" s="114"/>
    </row>
    <row r="20" spans="1:14" ht="30" customHeight="1">
      <c r="A20" s="114">
        <v>3</v>
      </c>
      <c r="B20" s="115" t="s">
        <v>586</v>
      </c>
      <c r="C20" s="114" t="s">
        <v>349</v>
      </c>
      <c r="D20" s="114">
        <v>10</v>
      </c>
      <c r="E20" s="114">
        <v>3</v>
      </c>
      <c r="F20" s="114" t="s">
        <v>350</v>
      </c>
      <c r="G20" s="114">
        <v>40</v>
      </c>
      <c r="H20" s="114">
        <v>105</v>
      </c>
      <c r="I20" s="114">
        <f t="shared" si="0"/>
        <v>7.3</v>
      </c>
      <c r="J20" s="115" t="s">
        <v>1017</v>
      </c>
      <c r="K20" s="115" t="s">
        <v>1018</v>
      </c>
      <c r="L20" s="114"/>
      <c r="M20" s="114"/>
      <c r="N20" s="114"/>
    </row>
    <row r="21" spans="1:14" ht="30" customHeight="1">
      <c r="A21" s="114">
        <v>4</v>
      </c>
      <c r="B21" s="115" t="s">
        <v>343</v>
      </c>
      <c r="C21" s="114" t="s">
        <v>337</v>
      </c>
      <c r="D21" s="114">
        <v>55</v>
      </c>
      <c r="E21" s="114">
        <v>3</v>
      </c>
      <c r="F21" s="114" t="s">
        <v>274</v>
      </c>
      <c r="G21" s="114">
        <v>40</v>
      </c>
      <c r="H21" s="114">
        <v>120</v>
      </c>
      <c r="I21" s="114">
        <f t="shared" si="0"/>
        <v>8</v>
      </c>
      <c r="J21" s="115" t="s">
        <v>1019</v>
      </c>
      <c r="K21" s="115" t="s">
        <v>1020</v>
      </c>
      <c r="L21" s="114" t="s">
        <v>1021</v>
      </c>
      <c r="M21" s="114"/>
      <c r="N21" s="114"/>
    </row>
    <row r="22" spans="1:14" ht="30" customHeight="1">
      <c r="A22" s="114">
        <v>5</v>
      </c>
      <c r="B22" s="115" t="s">
        <v>1022</v>
      </c>
      <c r="C22" s="114" t="s">
        <v>354</v>
      </c>
      <c r="D22" s="114">
        <v>5</v>
      </c>
      <c r="E22" s="114">
        <v>4</v>
      </c>
      <c r="F22" s="114" t="s">
        <v>304</v>
      </c>
      <c r="G22" s="114">
        <v>60</v>
      </c>
      <c r="H22" s="114">
        <v>60</v>
      </c>
      <c r="I22" s="114">
        <f t="shared" si="0"/>
        <v>8</v>
      </c>
      <c r="J22" s="115" t="s">
        <v>1225</v>
      </c>
      <c r="K22" s="115" t="s">
        <v>1023</v>
      </c>
      <c r="L22" s="114"/>
      <c r="M22" s="114"/>
      <c r="N22" s="114"/>
    </row>
    <row r="23" spans="1:14" ht="30" customHeight="1">
      <c r="A23" s="114">
        <v>6</v>
      </c>
      <c r="B23" s="115" t="s">
        <v>1230</v>
      </c>
      <c r="C23" s="114" t="s">
        <v>1235</v>
      </c>
      <c r="D23" s="114">
        <v>10</v>
      </c>
      <c r="E23" s="114">
        <v>3</v>
      </c>
      <c r="F23" s="114" t="s">
        <v>1231</v>
      </c>
      <c r="G23" s="114">
        <v>60</v>
      </c>
      <c r="H23" s="114">
        <v>60</v>
      </c>
      <c r="I23" s="114">
        <f>IF(E23=0,0,ROUND((E23*(G23+H23)+N23)/60,1))</f>
        <v>6</v>
      </c>
      <c r="J23" s="115" t="s">
        <v>1232</v>
      </c>
      <c r="K23" s="115" t="s">
        <v>1236</v>
      </c>
      <c r="L23" s="114"/>
      <c r="M23" s="114"/>
      <c r="N23" s="114"/>
    </row>
    <row r="24" spans="1:14" ht="30" customHeight="1">
      <c r="A24" s="114">
        <v>7</v>
      </c>
      <c r="B24" s="135" t="s">
        <v>1329</v>
      </c>
      <c r="C24" s="114" t="s">
        <v>1226</v>
      </c>
      <c r="D24" s="114">
        <v>8</v>
      </c>
      <c r="E24" s="114">
        <v>3</v>
      </c>
      <c r="F24" s="114" t="s">
        <v>1227</v>
      </c>
      <c r="G24" s="114">
        <v>40</v>
      </c>
      <c r="H24" s="114">
        <v>60</v>
      </c>
      <c r="I24" s="114">
        <f>IF(E24=0,0,ROUND((E24*(G24+H24)+N24)/60,1))</f>
        <v>6</v>
      </c>
      <c r="J24" s="115" t="s">
        <v>1228</v>
      </c>
      <c r="K24" s="115" t="s">
        <v>1229</v>
      </c>
      <c r="L24" s="114"/>
      <c r="M24" s="114"/>
      <c r="N24" s="114">
        <v>60</v>
      </c>
    </row>
    <row r="25" spans="1:14" ht="30" customHeight="1">
      <c r="A25" s="114">
        <v>8</v>
      </c>
      <c r="B25" s="115" t="s">
        <v>1237</v>
      </c>
      <c r="C25" s="114" t="s">
        <v>1235</v>
      </c>
      <c r="D25" s="114">
        <v>35</v>
      </c>
      <c r="E25" s="114">
        <v>4</v>
      </c>
      <c r="F25" s="114" t="s">
        <v>1227</v>
      </c>
      <c r="G25" s="114">
        <v>40</v>
      </c>
      <c r="H25" s="114">
        <v>60</v>
      </c>
      <c r="I25" s="114">
        <f>IF(E25=0,0,ROUND((E25*(G25+H25)+N25)/60,1))</f>
        <v>6.7</v>
      </c>
      <c r="J25" s="115" t="s">
        <v>1315</v>
      </c>
      <c r="K25" s="115" t="s">
        <v>1238</v>
      </c>
      <c r="L25" s="114"/>
      <c r="M25" s="114"/>
      <c r="N25" s="114"/>
    </row>
    <row r="26" spans="1:14" ht="30" customHeight="1">
      <c r="A26" s="114">
        <v>9</v>
      </c>
      <c r="B26" s="115" t="s">
        <v>1626</v>
      </c>
      <c r="C26" s="114" t="s">
        <v>285</v>
      </c>
      <c r="D26" s="144" t="s">
        <v>27</v>
      </c>
      <c r="E26" s="114">
        <v>4</v>
      </c>
      <c r="F26" s="114" t="s">
        <v>289</v>
      </c>
      <c r="G26" s="114">
        <v>40</v>
      </c>
      <c r="H26" s="114">
        <v>60</v>
      </c>
      <c r="I26" s="114">
        <f>IF(E26=0,0,ROUND((E26*(G26+H26)+N26)/60,1))</f>
        <v>6.7</v>
      </c>
      <c r="J26" s="115" t="s">
        <v>1658</v>
      </c>
      <c r="K26" s="115" t="s">
        <v>1659</v>
      </c>
      <c r="L26" s="114"/>
      <c r="M26" s="114"/>
      <c r="N26" s="114"/>
    </row>
    <row r="27" spans="1:14" ht="30" customHeight="1">
      <c r="A27" s="114">
        <v>10</v>
      </c>
      <c r="B27" s="115" t="s">
        <v>533</v>
      </c>
      <c r="C27" s="114" t="s">
        <v>299</v>
      </c>
      <c r="D27" s="114">
        <v>20</v>
      </c>
      <c r="E27" s="114">
        <v>3</v>
      </c>
      <c r="F27" s="114">
        <v>12</v>
      </c>
      <c r="G27" s="114">
        <v>40</v>
      </c>
      <c r="H27" s="114">
        <v>60</v>
      </c>
      <c r="I27" s="114">
        <f t="shared" ref="I27:I28" si="1">IF(E27=0,0,ROUND((E27*(G27+H27)+N27)/60,1))</f>
        <v>5</v>
      </c>
      <c r="J27" s="115" t="s">
        <v>1459</v>
      </c>
      <c r="K27" s="115" t="s">
        <v>1041</v>
      </c>
      <c r="L27" s="114"/>
      <c r="M27" s="114"/>
      <c r="N27" s="114"/>
    </row>
    <row r="28" spans="1:14" ht="30" customHeight="1">
      <c r="A28" s="114">
        <v>11</v>
      </c>
      <c r="B28" s="115" t="s">
        <v>298</v>
      </c>
      <c r="C28" s="114" t="s">
        <v>299</v>
      </c>
      <c r="D28" s="114" t="s">
        <v>283</v>
      </c>
      <c r="E28" s="114">
        <v>3</v>
      </c>
      <c r="F28" s="114" t="s">
        <v>289</v>
      </c>
      <c r="G28" s="114">
        <v>40</v>
      </c>
      <c r="H28" s="114">
        <v>60</v>
      </c>
      <c r="I28" s="114">
        <f t="shared" si="1"/>
        <v>5</v>
      </c>
      <c r="J28" s="115" t="s">
        <v>1460</v>
      </c>
      <c r="K28" s="115" t="s">
        <v>1042</v>
      </c>
      <c r="L28" s="114"/>
      <c r="M28" s="114"/>
      <c r="N28" s="114"/>
    </row>
    <row r="29" spans="1:14">
      <c r="A29" s="116"/>
      <c r="B29" s="116"/>
      <c r="C29" s="116"/>
      <c r="D29" s="116" t="s">
        <v>321</v>
      </c>
      <c r="E29" s="116">
        <f>SUM(E18:E28)</f>
        <v>37</v>
      </c>
      <c r="F29" s="116"/>
      <c r="G29" s="116"/>
      <c r="H29" s="116"/>
      <c r="I29" s="116">
        <f>ROUND(SUM(I18:I28),0)</f>
        <v>84</v>
      </c>
    </row>
    <row r="31" spans="1:14">
      <c r="A31" s="107" t="s">
        <v>1024</v>
      </c>
    </row>
    <row r="32" spans="1:14">
      <c r="A32" s="117" t="s">
        <v>979</v>
      </c>
    </row>
    <row r="33" spans="1:1">
      <c r="A33" s="117" t="s">
        <v>1025</v>
      </c>
    </row>
    <row r="34" spans="1:1">
      <c r="A34" s="117" t="s">
        <v>1026</v>
      </c>
    </row>
    <row r="35" spans="1:1">
      <c r="A35" s="117" t="s">
        <v>1027</v>
      </c>
    </row>
    <row r="37" spans="1:1">
      <c r="A37" s="107" t="s">
        <v>1028</v>
      </c>
    </row>
    <row r="38" spans="1:1">
      <c r="A38" s="117" t="s">
        <v>1029</v>
      </c>
    </row>
    <row r="39" spans="1:1">
      <c r="A39" s="117" t="s">
        <v>1030</v>
      </c>
    </row>
    <row r="41" spans="1:1">
      <c r="A41" s="107" t="s">
        <v>954</v>
      </c>
    </row>
    <row r="42" spans="1:1">
      <c r="A42" s="117" t="s">
        <v>1475</v>
      </c>
    </row>
    <row r="43" spans="1:1">
      <c r="A43" s="117" t="s">
        <v>1031</v>
      </c>
    </row>
    <row r="44" spans="1:1">
      <c r="A44" s="117" t="s">
        <v>1462</v>
      </c>
    </row>
    <row r="46" spans="1:1">
      <c r="A46" s="107" t="s">
        <v>1233</v>
      </c>
    </row>
    <row r="47" spans="1:1">
      <c r="A47" s="117" t="s">
        <v>1234</v>
      </c>
    </row>
    <row r="48" spans="1:1">
      <c r="A48" s="117" t="s">
        <v>1032</v>
      </c>
    </row>
    <row r="50" spans="3:3">
      <c r="C50" s="118" t="s">
        <v>1239</v>
      </c>
    </row>
  </sheetData>
  <phoneticPr fontId="29" type="noConversion"/>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N64"/>
  <sheetViews>
    <sheetView workbookViewId="0">
      <selection activeCell="D23" sqref="D23"/>
    </sheetView>
  </sheetViews>
  <sheetFormatPr defaultRowHeight="15"/>
  <cols>
    <col min="1" max="1" width="5" customWidth="1"/>
    <col min="2" max="2" width="34" customWidth="1"/>
    <col min="3" max="3" width="20" customWidth="1"/>
    <col min="4" max="4" width="14" customWidth="1"/>
    <col min="5" max="5" width="7" customWidth="1"/>
    <col min="6" max="6" width="12" customWidth="1"/>
    <col min="7" max="8" width="10" customWidth="1"/>
    <col min="9" max="9" width="9" customWidth="1"/>
    <col min="10" max="10" width="70" customWidth="1"/>
    <col min="11" max="11" width="55" customWidth="1"/>
    <col min="12" max="12" width="24" customWidth="1"/>
    <col min="13" max="13" width="11" customWidth="1"/>
    <col min="14" max="14" width="10" customWidth="1"/>
  </cols>
  <sheetData>
    <row r="1" spans="1:14" ht="18.75">
      <c r="A1" s="106" t="s">
        <v>1463</v>
      </c>
    </row>
    <row r="4" spans="1:14">
      <c r="A4" s="107" t="s">
        <v>990</v>
      </c>
    </row>
    <row r="5" spans="1:14">
      <c r="A5" s="110" t="s">
        <v>1418</v>
      </c>
    </row>
    <row r="6" spans="1:14">
      <c r="A6" s="110" t="s">
        <v>1419</v>
      </c>
    </row>
    <row r="7" spans="1:14">
      <c r="A7" s="110" t="s">
        <v>335</v>
      </c>
    </row>
    <row r="9" spans="1:14">
      <c r="A9" s="107" t="s">
        <v>252</v>
      </c>
    </row>
    <row r="10" spans="1:14" ht="15" customHeight="1">
      <c r="A10" s="111" t="s">
        <v>253</v>
      </c>
      <c r="B10" s="111" t="s">
        <v>76</v>
      </c>
      <c r="C10" s="111" t="s">
        <v>254</v>
      </c>
      <c r="D10" s="111" t="s">
        <v>255</v>
      </c>
      <c r="E10" s="111" t="s">
        <v>148</v>
      </c>
      <c r="F10" s="111" t="s">
        <v>256</v>
      </c>
      <c r="G10" s="111" t="s">
        <v>257</v>
      </c>
      <c r="H10" s="111" t="s">
        <v>258</v>
      </c>
      <c r="I10" s="111" t="s">
        <v>259</v>
      </c>
      <c r="J10" s="111" t="s">
        <v>261</v>
      </c>
      <c r="K10" s="111" t="s">
        <v>262</v>
      </c>
      <c r="L10" s="111" t="s">
        <v>263</v>
      </c>
      <c r="M10" s="111" t="s">
        <v>264</v>
      </c>
      <c r="N10" s="111" t="s">
        <v>265</v>
      </c>
    </row>
    <row r="11" spans="1:14" ht="30" customHeight="1">
      <c r="A11" s="114">
        <v>1</v>
      </c>
      <c r="B11" s="115" t="s">
        <v>556</v>
      </c>
      <c r="C11" s="114" t="s">
        <v>375</v>
      </c>
      <c r="D11" s="144">
        <f>시작중량_설정!$E$16</f>
        <v>25</v>
      </c>
      <c r="E11" s="114">
        <v>4</v>
      </c>
      <c r="F11" s="114">
        <v>12</v>
      </c>
      <c r="G11" s="114">
        <v>40</v>
      </c>
      <c r="H11" s="114">
        <v>120</v>
      </c>
      <c r="I11" s="114">
        <f>IF(E11=0,0,ROUND((E11*(G11+H11)+N11)/60,1))</f>
        <v>10.7</v>
      </c>
      <c r="J11" s="115" t="s">
        <v>1590</v>
      </c>
      <c r="K11" s="115" t="s">
        <v>1071</v>
      </c>
      <c r="L11" s="114"/>
      <c r="M11" s="114"/>
      <c r="N11" s="114"/>
    </row>
    <row r="12" spans="1:14" ht="30" customHeight="1">
      <c r="A12" s="114">
        <v>2</v>
      </c>
      <c r="B12" s="115" t="s">
        <v>492</v>
      </c>
      <c r="C12" s="114" t="s">
        <v>393</v>
      </c>
      <c r="D12" s="114">
        <v>15</v>
      </c>
      <c r="E12" s="114">
        <v>3</v>
      </c>
      <c r="F12" s="114" t="s">
        <v>304</v>
      </c>
      <c r="G12" s="114">
        <v>60</v>
      </c>
      <c r="H12" s="114">
        <v>75</v>
      </c>
      <c r="I12" s="114">
        <f>IF(E12=0,0,ROUND((E12*(G12+H12)+N12)/60,1))</f>
        <v>6.8</v>
      </c>
      <c r="J12" s="115" t="s">
        <v>1398</v>
      </c>
      <c r="K12" s="115" t="s">
        <v>1072</v>
      </c>
      <c r="L12" s="114"/>
      <c r="M12" s="114"/>
      <c r="N12" s="114"/>
    </row>
    <row r="13" spans="1:14" ht="30" customHeight="1">
      <c r="A13" s="114">
        <v>3</v>
      </c>
      <c r="B13" s="115" t="s">
        <v>387</v>
      </c>
      <c r="C13" s="114" t="s">
        <v>388</v>
      </c>
      <c r="D13" s="114">
        <v>40</v>
      </c>
      <c r="E13" s="114">
        <v>4</v>
      </c>
      <c r="F13" s="114" t="s">
        <v>289</v>
      </c>
      <c r="G13" s="114">
        <v>40</v>
      </c>
      <c r="H13" s="114">
        <v>10</v>
      </c>
      <c r="I13" s="114">
        <f>IF(E13=0,0,ROUND((E13*(G13+H13)+N13)/60,1))</f>
        <v>3.3</v>
      </c>
      <c r="J13" s="115" t="s">
        <v>1399</v>
      </c>
      <c r="K13" s="115" t="s">
        <v>973</v>
      </c>
      <c r="L13" s="114"/>
      <c r="M13" s="114" t="s">
        <v>391</v>
      </c>
      <c r="N13" s="114"/>
    </row>
    <row r="14" spans="1:14" ht="30" customHeight="1">
      <c r="A14" s="114">
        <v>4</v>
      </c>
      <c r="B14" s="115" t="s">
        <v>392</v>
      </c>
      <c r="C14" s="114" t="s">
        <v>393</v>
      </c>
      <c r="D14" s="114">
        <v>60</v>
      </c>
      <c r="E14" s="114">
        <v>4</v>
      </c>
      <c r="F14" s="114" t="s">
        <v>289</v>
      </c>
      <c r="G14" s="114">
        <v>40</v>
      </c>
      <c r="H14" s="114">
        <v>120</v>
      </c>
      <c r="I14" s="114">
        <f>IF(E14=0,0,ROUND((E14*(G14+H14)+N14)/60,1))</f>
        <v>10.7</v>
      </c>
      <c r="J14" s="115" t="s">
        <v>1417</v>
      </c>
      <c r="K14" s="115" t="s">
        <v>975</v>
      </c>
      <c r="L14" s="114"/>
      <c r="M14" s="114" t="s">
        <v>391</v>
      </c>
      <c r="N14" s="114"/>
    </row>
    <row r="15" spans="1:14" ht="30" customHeight="1">
      <c r="A15" s="114">
        <v>5</v>
      </c>
      <c r="B15" s="115" t="s">
        <v>567</v>
      </c>
      <c r="C15" s="114" t="s">
        <v>369</v>
      </c>
      <c r="D15" s="114">
        <v>47</v>
      </c>
      <c r="E15" s="114">
        <v>5</v>
      </c>
      <c r="F15" s="114" t="s">
        <v>350</v>
      </c>
      <c r="G15" s="114">
        <v>40</v>
      </c>
      <c r="H15" s="114">
        <v>120</v>
      </c>
      <c r="I15" s="114">
        <f t="shared" ref="I15" si="0">IF(E15=0,0,ROUND((E15*(G15+H15)+N15)/60,1))</f>
        <v>13.3</v>
      </c>
      <c r="J15" s="115" t="s">
        <v>1651</v>
      </c>
      <c r="K15" s="115" t="s">
        <v>968</v>
      </c>
      <c r="L15" s="114"/>
      <c r="M15" s="114"/>
      <c r="N15" s="114"/>
    </row>
    <row r="16" spans="1:14" ht="30" customHeight="1">
      <c r="A16" s="114">
        <v>6</v>
      </c>
      <c r="B16" s="115" t="s">
        <v>588</v>
      </c>
      <c r="C16" s="114" t="s">
        <v>345</v>
      </c>
      <c r="D16" s="144">
        <f>시작중량_설정!$E$20</f>
        <v>15</v>
      </c>
      <c r="E16" s="114">
        <v>4</v>
      </c>
      <c r="F16" s="114">
        <v>10</v>
      </c>
      <c r="G16" s="114">
        <v>40</v>
      </c>
      <c r="H16" s="114">
        <v>75</v>
      </c>
      <c r="I16" s="114">
        <f t="shared" ref="I16:I23" si="1">IF(E16=0,0,ROUND((E16*(G16+H16)+N16)/60,1))</f>
        <v>8.6999999999999993</v>
      </c>
      <c r="J16" s="115" t="s">
        <v>1608</v>
      </c>
      <c r="K16" s="115" t="s">
        <v>1448</v>
      </c>
      <c r="L16" s="114"/>
      <c r="M16" s="114"/>
      <c r="N16" s="114">
        <v>60</v>
      </c>
    </row>
    <row r="17" spans="1:14" ht="30" customHeight="1">
      <c r="A17" s="114">
        <v>7</v>
      </c>
      <c r="B17" s="115" t="s">
        <v>591</v>
      </c>
      <c r="C17" s="114" t="s">
        <v>269</v>
      </c>
      <c r="D17" s="114">
        <v>6</v>
      </c>
      <c r="E17" s="114">
        <v>4</v>
      </c>
      <c r="F17" s="114" t="s">
        <v>274</v>
      </c>
      <c r="G17" s="114">
        <v>40</v>
      </c>
      <c r="H17" s="114">
        <v>75</v>
      </c>
      <c r="I17" s="114">
        <f t="shared" si="1"/>
        <v>7.7</v>
      </c>
      <c r="J17" s="115" t="s">
        <v>1316</v>
      </c>
      <c r="K17" s="115" t="s">
        <v>1033</v>
      </c>
      <c r="L17" s="114"/>
      <c r="M17" s="114"/>
      <c r="N17" s="114"/>
    </row>
    <row r="18" spans="1:14" ht="30" customHeight="1">
      <c r="A18" s="114">
        <v>8</v>
      </c>
      <c r="B18" s="115" t="s">
        <v>1390</v>
      </c>
      <c r="C18" s="114" t="s">
        <v>269</v>
      </c>
      <c r="D18" s="114">
        <v>8</v>
      </c>
      <c r="E18" s="114">
        <v>3</v>
      </c>
      <c r="F18" s="114" t="s">
        <v>274</v>
      </c>
      <c r="G18" s="114">
        <v>40</v>
      </c>
      <c r="H18" s="114">
        <v>75</v>
      </c>
      <c r="I18" s="114">
        <f t="shared" si="1"/>
        <v>5.8</v>
      </c>
      <c r="J18" s="115" t="s">
        <v>1392</v>
      </c>
      <c r="K18" s="115" t="s">
        <v>1391</v>
      </c>
      <c r="L18" s="114"/>
      <c r="M18" s="114"/>
      <c r="N18" s="114"/>
    </row>
    <row r="19" spans="1:14" ht="30" customHeight="1">
      <c r="A19" s="114">
        <v>9</v>
      </c>
      <c r="B19" s="115" t="s">
        <v>439</v>
      </c>
      <c r="C19" s="114" t="s">
        <v>295</v>
      </c>
      <c r="D19" s="144">
        <f>시작중량_설정!$E$21</f>
        <v>15</v>
      </c>
      <c r="E19" s="114">
        <v>3</v>
      </c>
      <c r="F19" s="114">
        <v>12</v>
      </c>
      <c r="G19" s="114">
        <v>40</v>
      </c>
      <c r="H19" s="114">
        <v>70</v>
      </c>
      <c r="I19" s="114">
        <f t="shared" si="1"/>
        <v>5.5</v>
      </c>
      <c r="J19" s="115" t="s">
        <v>1612</v>
      </c>
      <c r="K19" s="115" t="s">
        <v>1034</v>
      </c>
      <c r="L19" s="114"/>
      <c r="M19" s="114"/>
      <c r="N19" s="114"/>
    </row>
    <row r="20" spans="1:14" ht="30" customHeight="1">
      <c r="A20" s="114">
        <v>10</v>
      </c>
      <c r="B20" s="115" t="s">
        <v>998</v>
      </c>
      <c r="C20" s="114" t="s">
        <v>295</v>
      </c>
      <c r="D20" s="114">
        <v>10</v>
      </c>
      <c r="E20" s="114">
        <v>0</v>
      </c>
      <c r="F20" s="145" t="s">
        <v>1620</v>
      </c>
      <c r="G20" s="114">
        <v>40</v>
      </c>
      <c r="H20" s="114">
        <v>10</v>
      </c>
      <c r="I20" s="114">
        <f t="shared" si="1"/>
        <v>0</v>
      </c>
      <c r="J20" s="115" t="s">
        <v>1623</v>
      </c>
      <c r="K20" s="115" t="s">
        <v>999</v>
      </c>
      <c r="L20" s="114"/>
      <c r="M20" s="114" t="s">
        <v>391</v>
      </c>
      <c r="N20" s="114"/>
    </row>
    <row r="21" spans="1:14" ht="30" customHeight="1">
      <c r="A21" s="114">
        <v>11</v>
      </c>
      <c r="B21" s="115" t="s">
        <v>594</v>
      </c>
      <c r="C21" s="114" t="s">
        <v>295</v>
      </c>
      <c r="D21" s="114">
        <v>7.5</v>
      </c>
      <c r="E21" s="114">
        <v>3</v>
      </c>
      <c r="F21" s="145" t="s">
        <v>1620</v>
      </c>
      <c r="G21" s="114">
        <v>40</v>
      </c>
      <c r="H21" s="114">
        <v>60</v>
      </c>
      <c r="I21" s="114">
        <f t="shared" si="1"/>
        <v>5</v>
      </c>
      <c r="J21" s="115" t="s">
        <v>1624</v>
      </c>
      <c r="K21" s="115" t="s">
        <v>1000</v>
      </c>
      <c r="L21" s="114"/>
      <c r="M21" s="114" t="s">
        <v>391</v>
      </c>
      <c r="N21" s="114"/>
    </row>
    <row r="22" spans="1:14" ht="30" customHeight="1">
      <c r="A22" s="114">
        <v>12</v>
      </c>
      <c r="B22" s="115" t="s">
        <v>1035</v>
      </c>
      <c r="C22" s="114" t="s">
        <v>912</v>
      </c>
      <c r="D22" s="114">
        <v>2.5</v>
      </c>
      <c r="E22" s="114">
        <v>3</v>
      </c>
      <c r="F22" s="114" t="s">
        <v>289</v>
      </c>
      <c r="G22" s="114">
        <v>40</v>
      </c>
      <c r="H22" s="114">
        <v>60</v>
      </c>
      <c r="I22" s="114">
        <f t="shared" si="1"/>
        <v>5</v>
      </c>
      <c r="J22" s="115" t="s">
        <v>1036</v>
      </c>
      <c r="K22" s="115" t="s">
        <v>1037</v>
      </c>
      <c r="L22" s="114"/>
      <c r="M22" s="114"/>
      <c r="N22" s="114"/>
    </row>
    <row r="23" spans="1:14" ht="30" customHeight="1">
      <c r="A23" s="114">
        <v>13</v>
      </c>
      <c r="B23" s="115" t="s">
        <v>1038</v>
      </c>
      <c r="C23" s="114" t="s">
        <v>912</v>
      </c>
      <c r="D23" s="114">
        <v>2.5</v>
      </c>
      <c r="E23" s="114">
        <v>3</v>
      </c>
      <c r="F23" s="114" t="s">
        <v>289</v>
      </c>
      <c r="G23" s="114">
        <v>40</v>
      </c>
      <c r="H23" s="114">
        <v>60</v>
      </c>
      <c r="I23" s="114">
        <f t="shared" si="1"/>
        <v>5</v>
      </c>
      <c r="J23" s="115" t="s">
        <v>1039</v>
      </c>
      <c r="K23" s="115" t="s">
        <v>1040</v>
      </c>
      <c r="L23" s="114"/>
      <c r="M23" s="114"/>
      <c r="N23" s="114"/>
    </row>
    <row r="24" spans="1:14">
      <c r="A24" s="116"/>
      <c r="B24" s="116"/>
      <c r="C24" s="116"/>
      <c r="D24" s="116" t="s">
        <v>321</v>
      </c>
      <c r="E24" s="116">
        <f>SUM(E11:E23)</f>
        <v>43</v>
      </c>
      <c r="F24" s="116"/>
      <c r="G24" s="116"/>
      <c r="H24" s="116"/>
      <c r="I24" s="116">
        <f>ROUND(SUM(I11:I23),0)</f>
        <v>88</v>
      </c>
    </row>
    <row r="26" spans="1:14">
      <c r="A26" s="107" t="s">
        <v>1401</v>
      </c>
    </row>
    <row r="27" spans="1:14">
      <c r="A27" s="117" t="s">
        <v>1464</v>
      </c>
    </row>
    <row r="28" spans="1:14">
      <c r="A28" s="117" t="s">
        <v>1043</v>
      </c>
    </row>
    <row r="29" spans="1:14">
      <c r="A29" s="117" t="s">
        <v>1044</v>
      </c>
    </row>
    <row r="31" spans="1:14">
      <c r="A31" s="107" t="s">
        <v>1465</v>
      </c>
    </row>
    <row r="32" spans="1:14">
      <c r="A32" s="117" t="s">
        <v>1045</v>
      </c>
    </row>
    <row r="33" spans="1:1">
      <c r="A33" s="117" t="s">
        <v>1046</v>
      </c>
    </row>
    <row r="34" spans="1:1">
      <c r="A34" s="117" t="s">
        <v>1047</v>
      </c>
    </row>
    <row r="35" spans="1:1">
      <c r="A35" s="117" t="s">
        <v>1048</v>
      </c>
    </row>
    <row r="36" spans="1:1">
      <c r="A36" s="117" t="s">
        <v>1049</v>
      </c>
    </row>
    <row r="38" spans="1:1">
      <c r="A38" s="107" t="s">
        <v>954</v>
      </c>
    </row>
    <row r="39" spans="1:1">
      <c r="A39" s="117" t="s">
        <v>1466</v>
      </c>
    </row>
    <row r="40" spans="1:1">
      <c r="A40" s="117" t="s">
        <v>1467</v>
      </c>
    </row>
    <row r="42" spans="1:1">
      <c r="A42" s="107" t="s">
        <v>1050</v>
      </c>
    </row>
    <row r="43" spans="1:1">
      <c r="A43" s="117" t="s">
        <v>1420</v>
      </c>
    </row>
    <row r="44" spans="1:1">
      <c r="A44" s="117" t="s">
        <v>1051</v>
      </c>
    </row>
    <row r="45" spans="1:1">
      <c r="A45" s="117" t="s">
        <v>1052</v>
      </c>
    </row>
    <row r="47" spans="1:1">
      <c r="A47" s="107" t="s">
        <v>985</v>
      </c>
    </row>
    <row r="48" spans="1:1">
      <c r="A48" s="117" t="s">
        <v>1053</v>
      </c>
    </row>
    <row r="49" spans="1:3">
      <c r="A49" s="117" t="s">
        <v>1054</v>
      </c>
    </row>
    <row r="50" spans="1:3">
      <c r="A50" s="117" t="s">
        <v>1055</v>
      </c>
    </row>
    <row r="51" spans="1:3">
      <c r="A51" s="117" t="s">
        <v>1056</v>
      </c>
    </row>
    <row r="52" spans="1:3">
      <c r="A52" s="117" t="s">
        <v>987</v>
      </c>
    </row>
    <row r="54" spans="1:3">
      <c r="C54" s="118" t="s">
        <v>1057</v>
      </c>
    </row>
    <row r="56" spans="1:3">
      <c r="A56" s="131" t="s">
        <v>1405</v>
      </c>
    </row>
    <row r="57" spans="1:3">
      <c r="A57" t="s">
        <v>1424</v>
      </c>
    </row>
    <row r="58" spans="1:3">
      <c r="A58" t="s">
        <v>1402</v>
      </c>
    </row>
    <row r="59" spans="1:3">
      <c r="A59" t="s">
        <v>1403</v>
      </c>
    </row>
    <row r="60" spans="1:3">
      <c r="A60" t="s">
        <v>1421</v>
      </c>
    </row>
    <row r="61" spans="1:3">
      <c r="A61" t="s">
        <v>1422</v>
      </c>
    </row>
    <row r="62" spans="1:3">
      <c r="A62" t="s">
        <v>1425</v>
      </c>
    </row>
    <row r="63" spans="1:3">
      <c r="A63" t="s">
        <v>1456</v>
      </c>
    </row>
    <row r="64" spans="1:3">
      <c r="C64" t="s">
        <v>1404</v>
      </c>
    </row>
  </sheetData>
  <phoneticPr fontId="29" type="noConversion"/>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N79"/>
  <sheetViews>
    <sheetView topLeftCell="A20" workbookViewId="0">
      <selection activeCell="D38" sqref="D38"/>
    </sheetView>
  </sheetViews>
  <sheetFormatPr defaultRowHeight="15"/>
  <cols>
    <col min="1" max="1" width="5" customWidth="1"/>
    <col min="2" max="2" width="34" customWidth="1"/>
    <col min="3" max="3" width="20" customWidth="1"/>
    <col min="4" max="4" width="14" customWidth="1"/>
    <col min="5" max="5" width="7" customWidth="1"/>
    <col min="6" max="6" width="12" customWidth="1"/>
    <col min="7" max="8" width="10" customWidth="1"/>
    <col min="9" max="9" width="9" customWidth="1"/>
    <col min="10" max="10" width="70" customWidth="1"/>
    <col min="11" max="11" width="55" customWidth="1"/>
    <col min="12" max="12" width="24" customWidth="1"/>
    <col min="13" max="13" width="11" customWidth="1"/>
    <col min="14" max="14" width="10" customWidth="1"/>
  </cols>
  <sheetData>
    <row r="1" spans="1:3" ht="18.75">
      <c r="A1" s="106" t="s">
        <v>1058</v>
      </c>
    </row>
    <row r="4" spans="1:3">
      <c r="A4" s="107" t="s">
        <v>549</v>
      </c>
    </row>
    <row r="5" spans="1:3">
      <c r="A5" s="108" t="s">
        <v>255</v>
      </c>
      <c r="B5" s="108" t="s">
        <v>330</v>
      </c>
      <c r="C5" s="108" t="s">
        <v>148</v>
      </c>
    </row>
    <row r="6" spans="1:3">
      <c r="A6" s="109">
        <f>MAX(20,(MROUND(시작중량_설정!$E$8*0.4,1)+(MOD(MROUND(시작중량_설정!$E$8*0.4,1),5)=4)))</f>
        <v>32</v>
      </c>
      <c r="B6" s="109">
        <v>5</v>
      </c>
      <c r="C6" s="109">
        <v>2</v>
      </c>
    </row>
    <row r="7" spans="1:3">
      <c r="A7" s="109">
        <f>IF(MAX(20,(MROUND(시작중량_설정!$E$8*0.6,1)+(MOD(MROUND(시작중량_설정!$E$8*0.6,1),5)=4)))&lt;=MAX(20,(MROUND(시작중량_설정!$E$8*0.4,1)+(MOD(MROUND(시작중량_설정!$E$8*0.4,1),5)=4))),"생략",MAX(20,(MROUND(시작중량_설정!$E$8*0.6,1)+(MOD(MROUND(시작중량_설정!$E$8*0.6,1),5)=4))))</f>
        <v>48</v>
      </c>
      <c r="B7" s="109">
        <v>5</v>
      </c>
      <c r="C7" s="109">
        <v>1</v>
      </c>
    </row>
    <row r="8" spans="1:3">
      <c r="A8" s="109">
        <f>IF(MAX(20,(MROUND(시작중량_설정!$E$8*0.75,1)+(MOD(MROUND(시작중량_설정!$E$8*0.75,1),5)=4)))&lt;=MAX(20,(MROUND(시작중량_설정!$E$8*0.6,1)+(MOD(MROUND(시작중량_설정!$E$8*0.6,1),5)=4))),"생략",MAX(20,(MROUND(시작중량_설정!$E$8*0.75,1)+(MOD(MROUND(시작중량_설정!$E$8*0.75,1),5)=4))))</f>
        <v>60</v>
      </c>
      <c r="B8" s="109">
        <v>3</v>
      </c>
      <c r="C8" s="109">
        <v>1</v>
      </c>
    </row>
    <row r="9" spans="1:3">
      <c r="A9" s="109">
        <f>IF(MAX(20,(MROUND(시작중량_설정!$E$8*0.9,1)+(MOD(MROUND(시작중량_설정!$E$8*0.9,1),5)=4)))&lt;=MAX(20,(MROUND(시작중량_설정!$E$8*0.75,1)+(MOD(MROUND(시작중량_설정!$E$8*0.75,1),5)=4))),"생략",MAX(20,(MROUND(시작중량_설정!$E$8*0.9,1)+(MOD(MROUND(시작중량_설정!$E$8*0.9,1),5)=4))))</f>
        <v>72</v>
      </c>
      <c r="B9" s="109">
        <v>2</v>
      </c>
      <c r="C9" s="109">
        <v>1</v>
      </c>
    </row>
    <row r="10" spans="1:3">
      <c r="A10" s="109">
        <f>시작중량_설정!$E$8</f>
        <v>80</v>
      </c>
      <c r="B10" s="109">
        <v>5</v>
      </c>
      <c r="C10" s="109">
        <v>1</v>
      </c>
    </row>
    <row r="12" spans="1:3">
      <c r="A12" s="107" t="s">
        <v>1429</v>
      </c>
    </row>
    <row r="13" spans="1:3">
      <c r="A13" s="108" t="s">
        <v>255</v>
      </c>
      <c r="B13" s="108" t="s">
        <v>330</v>
      </c>
      <c r="C13" s="108" t="s">
        <v>148</v>
      </c>
    </row>
    <row r="14" spans="1:3">
      <c r="A14" s="109">
        <f>MAX(20,(MROUND(시작중량_설정!$E$10*0.4,1)+(MOD(MROUND(시작중량_설정!$E$10*0.4,1),5)=4)))</f>
        <v>20</v>
      </c>
      <c r="B14" s="109">
        <v>5</v>
      </c>
      <c r="C14" s="109">
        <v>2</v>
      </c>
    </row>
    <row r="15" spans="1:3">
      <c r="A15" s="109" t="str">
        <f>IF(MAX(20,(MROUND(시작중량_설정!$E$10*0.6,1)+(MOD(MROUND(시작중량_설정!$E$10*0.6,1),5)=4)))&lt;=MAX(20,(MROUND(시작중량_설정!$E$10*0.4,1)+(MOD(MROUND(시작중량_설정!$E$10*0.4,1),5)=4))),"생략",MAX(20,(MROUND(시작중량_설정!$E$10*0.6,1)+(MOD(MROUND(시작중량_설정!$E$10*0.6,1),5)=4))))</f>
        <v>생략</v>
      </c>
      <c r="B15" s="109">
        <v>5</v>
      </c>
      <c r="C15" s="109">
        <v>1</v>
      </c>
    </row>
    <row r="16" spans="1:3">
      <c r="A16" s="109">
        <f>IF(MAX(20,(MROUND(시작중량_설정!$E$10*0.75,1)+(MOD(MROUND(시작중량_설정!$E$10*0.75,1),5)=4)))&lt;=MAX(20,(MROUND(시작중량_설정!$E$10*0.6,1)+(MOD(MROUND(시작중량_설정!$E$10*0.6,1),5)=4))),"생략",MAX(20,(MROUND(시작중량_설정!$E$10*0.75,1)+(MOD(MROUND(시작중량_설정!$E$10*0.75,1),5)=4))))</f>
        <v>23</v>
      </c>
      <c r="B16" s="109">
        <v>3</v>
      </c>
      <c r="C16" s="109">
        <v>1</v>
      </c>
    </row>
    <row r="17" spans="1:14">
      <c r="A17" s="109">
        <f>IF(MAX(20,(MROUND(시작중량_설정!$E$10*0.9,1)+(MOD(MROUND(시작중량_설정!$E$10*0.9,1),5)=4)))&lt;=MAX(20,(MROUND(시작중량_설정!$E$10*0.75,1)+(MOD(MROUND(시작중량_설정!$E$10*0.75,1),5)=4))),"생략",MAX(20,(MROUND(시작중량_설정!$E$10*0.9,1)+(MOD(MROUND(시작중량_설정!$E$10*0.9,1),5)=4))))</f>
        <v>28</v>
      </c>
      <c r="B17" s="109">
        <v>2</v>
      </c>
      <c r="C17" s="109">
        <v>1</v>
      </c>
    </row>
    <row r="18" spans="1:14">
      <c r="A18" s="109">
        <f>시작중량_설정!$E$10</f>
        <v>31</v>
      </c>
      <c r="B18" s="109">
        <v>8</v>
      </c>
      <c r="C18" s="109">
        <v>3</v>
      </c>
    </row>
    <row r="20" spans="1:14">
      <c r="A20" s="107" t="s">
        <v>1059</v>
      </c>
    </row>
    <row r="21" spans="1:14">
      <c r="A21" s="110" t="s">
        <v>1060</v>
      </c>
    </row>
    <row r="22" spans="1:14">
      <c r="A22" s="110" t="s">
        <v>963</v>
      </c>
    </row>
    <row r="23" spans="1:14">
      <c r="A23" s="110" t="s">
        <v>1061</v>
      </c>
    </row>
    <row r="24" spans="1:14">
      <c r="A24" s="110" t="s">
        <v>335</v>
      </c>
    </row>
    <row r="26" spans="1:14">
      <c r="A26" s="107" t="s">
        <v>252</v>
      </c>
    </row>
    <row r="27" spans="1:14" ht="15" customHeight="1">
      <c r="A27" s="111" t="s">
        <v>253</v>
      </c>
      <c r="B27" s="111" t="s">
        <v>76</v>
      </c>
      <c r="C27" s="111" t="s">
        <v>254</v>
      </c>
      <c r="D27" s="111" t="s">
        <v>255</v>
      </c>
      <c r="E27" s="111" t="s">
        <v>148</v>
      </c>
      <c r="F27" s="111" t="s">
        <v>256</v>
      </c>
      <c r="G27" s="111" t="s">
        <v>257</v>
      </c>
      <c r="H27" s="111" t="s">
        <v>258</v>
      </c>
      <c r="I27" s="111" t="s">
        <v>259</v>
      </c>
      <c r="J27" s="111" t="s">
        <v>261</v>
      </c>
      <c r="K27" s="111" t="s">
        <v>262</v>
      </c>
      <c r="L27" s="111" t="s">
        <v>263</v>
      </c>
      <c r="M27" s="111" t="s">
        <v>264</v>
      </c>
      <c r="N27" s="111" t="s">
        <v>265</v>
      </c>
    </row>
    <row r="28" spans="1:14" ht="30" customHeight="1">
      <c r="A28" s="112">
        <v>1</v>
      </c>
      <c r="B28" s="113" t="s">
        <v>84</v>
      </c>
      <c r="C28" s="112" t="s">
        <v>313</v>
      </c>
      <c r="D28" s="112">
        <f>시작중량_설정!$E$8</f>
        <v>80</v>
      </c>
      <c r="E28" s="112">
        <v>1</v>
      </c>
      <c r="F28" s="112">
        <v>5</v>
      </c>
      <c r="G28" s="112">
        <v>30</v>
      </c>
      <c r="H28" s="112">
        <v>180</v>
      </c>
      <c r="I28" s="112">
        <f t="shared" ref="I28:I38" si="0">IF(E28=0,0,ROUND((E28*(G28+H28)+N28)/60,1))</f>
        <v>3.5</v>
      </c>
      <c r="J28" s="113" t="s">
        <v>1062</v>
      </c>
      <c r="K28" s="113" t="s">
        <v>1063</v>
      </c>
      <c r="L28" s="112"/>
      <c r="M28" s="112"/>
      <c r="N28" s="112"/>
    </row>
    <row r="29" spans="1:14" ht="30" customHeight="1">
      <c r="A29" s="114">
        <v>2</v>
      </c>
      <c r="B29" s="115" t="s">
        <v>1064</v>
      </c>
      <c r="C29" s="114" t="s">
        <v>313</v>
      </c>
      <c r="D29" s="114">
        <f>MAX(20,MROUND(시작중량_설정!$E$8*0.82,1))</f>
        <v>66</v>
      </c>
      <c r="E29" s="114">
        <v>2</v>
      </c>
      <c r="F29" s="114">
        <v>5</v>
      </c>
      <c r="G29" s="114">
        <v>30</v>
      </c>
      <c r="H29" s="114">
        <v>180</v>
      </c>
      <c r="I29" s="114">
        <f t="shared" si="0"/>
        <v>7</v>
      </c>
      <c r="J29" s="115" t="s">
        <v>1508</v>
      </c>
      <c r="K29" s="115" t="s">
        <v>1065</v>
      </c>
      <c r="L29" s="114"/>
      <c r="M29" s="114"/>
      <c r="N29" s="114"/>
    </row>
    <row r="30" spans="1:14" ht="30" customHeight="1">
      <c r="A30" s="114">
        <v>3</v>
      </c>
      <c r="B30" s="115" t="s">
        <v>559</v>
      </c>
      <c r="C30" s="114" t="s">
        <v>384</v>
      </c>
      <c r="D30" s="144">
        <f>시작중량_설정!$E$15</f>
        <v>50</v>
      </c>
      <c r="E30" s="114">
        <v>3</v>
      </c>
      <c r="F30" s="114">
        <v>10</v>
      </c>
      <c r="G30" s="114">
        <v>45</v>
      </c>
      <c r="H30" s="114">
        <v>150</v>
      </c>
      <c r="I30" s="114">
        <f t="shared" si="0"/>
        <v>9.8000000000000007</v>
      </c>
      <c r="J30" s="115" t="s">
        <v>1585</v>
      </c>
      <c r="K30" s="115" t="s">
        <v>1066</v>
      </c>
      <c r="L30" s="114"/>
      <c r="M30" s="114"/>
      <c r="N30" s="114"/>
    </row>
    <row r="31" spans="1:14" ht="30" customHeight="1">
      <c r="A31" s="114">
        <v>4</v>
      </c>
      <c r="B31" s="115" t="s">
        <v>1067</v>
      </c>
      <c r="C31" s="114" t="s">
        <v>375</v>
      </c>
      <c r="D31" s="144">
        <f>시작중량_설정!$E$14</f>
        <v>140</v>
      </c>
      <c r="E31" s="114">
        <v>4</v>
      </c>
      <c r="F31" s="114">
        <v>10</v>
      </c>
      <c r="G31" s="114">
        <v>45</v>
      </c>
      <c r="H31" s="114">
        <v>150</v>
      </c>
      <c r="I31" s="114">
        <f t="shared" si="0"/>
        <v>13</v>
      </c>
      <c r="J31" s="115" t="s">
        <v>1581</v>
      </c>
      <c r="K31" s="115" t="s">
        <v>1068</v>
      </c>
      <c r="L31" s="114"/>
      <c r="M31" s="114"/>
      <c r="N31" s="114"/>
    </row>
    <row r="32" spans="1:14" ht="30" customHeight="1">
      <c r="A32" s="114">
        <v>5</v>
      </c>
      <c r="B32" s="115" t="s">
        <v>1667</v>
      </c>
      <c r="C32" s="114" t="s">
        <v>384</v>
      </c>
      <c r="D32" s="114">
        <v>30</v>
      </c>
      <c r="E32" s="114">
        <v>3</v>
      </c>
      <c r="F32" s="145" t="s">
        <v>350</v>
      </c>
      <c r="G32" s="114">
        <v>60</v>
      </c>
      <c r="H32" s="114">
        <v>120</v>
      </c>
      <c r="I32" s="114">
        <f t="shared" si="0"/>
        <v>9</v>
      </c>
      <c r="J32" s="115" t="s">
        <v>1668</v>
      </c>
      <c r="K32" s="115" t="s">
        <v>1669</v>
      </c>
      <c r="L32" s="114"/>
      <c r="M32" s="114"/>
      <c r="N32" s="114"/>
    </row>
    <row r="33" spans="1:14" ht="30" customHeight="1">
      <c r="A33" s="112">
        <v>6</v>
      </c>
      <c r="B33" s="113" t="s">
        <v>1430</v>
      </c>
      <c r="C33" s="112" t="s">
        <v>429</v>
      </c>
      <c r="D33" s="112">
        <f>시작중량_설정!$E$10</f>
        <v>31</v>
      </c>
      <c r="E33" s="112">
        <v>3</v>
      </c>
      <c r="F33" s="112">
        <v>8</v>
      </c>
      <c r="G33" s="112">
        <v>50</v>
      </c>
      <c r="H33" s="112">
        <v>180</v>
      </c>
      <c r="I33" s="112">
        <f t="shared" si="0"/>
        <v>11.5</v>
      </c>
      <c r="J33" s="113" t="s">
        <v>1514</v>
      </c>
      <c r="K33" s="113" t="s">
        <v>1515</v>
      </c>
      <c r="L33" s="112" t="s">
        <v>507</v>
      </c>
      <c r="M33" s="112"/>
      <c r="N33" s="112"/>
    </row>
    <row r="34" spans="1:14" ht="30" customHeight="1">
      <c r="A34" s="114">
        <v>7</v>
      </c>
      <c r="B34" s="135" t="s">
        <v>1519</v>
      </c>
      <c r="C34" s="114" t="s">
        <v>1520</v>
      </c>
      <c r="D34" s="114">
        <v>14</v>
      </c>
      <c r="E34" s="114">
        <v>3</v>
      </c>
      <c r="F34" s="114" t="s">
        <v>1498</v>
      </c>
      <c r="G34" s="114">
        <v>40</v>
      </c>
      <c r="H34" s="114">
        <v>120</v>
      </c>
      <c r="I34" s="114">
        <f t="shared" si="0"/>
        <v>8</v>
      </c>
      <c r="J34" s="115" t="s">
        <v>1521</v>
      </c>
      <c r="K34" s="115" t="s">
        <v>1522</v>
      </c>
      <c r="L34" s="114"/>
      <c r="M34" s="114"/>
      <c r="N34" s="114"/>
    </row>
    <row r="35" spans="1:14" ht="30" customHeight="1">
      <c r="A35" s="114">
        <v>8</v>
      </c>
      <c r="B35" s="115" t="s">
        <v>1516</v>
      </c>
      <c r="C35" s="114" t="s">
        <v>1226</v>
      </c>
      <c r="D35" s="114">
        <v>8</v>
      </c>
      <c r="E35" s="114">
        <v>3</v>
      </c>
      <c r="F35" s="114" t="s">
        <v>1227</v>
      </c>
      <c r="G35" s="114">
        <v>40</v>
      </c>
      <c r="H35" s="114">
        <v>60</v>
      </c>
      <c r="I35" s="114">
        <f t="shared" si="0"/>
        <v>6</v>
      </c>
      <c r="J35" s="115" t="s">
        <v>1517</v>
      </c>
      <c r="K35" s="115" t="s">
        <v>1518</v>
      </c>
      <c r="L35" s="114"/>
      <c r="M35" s="114"/>
      <c r="N35" s="114">
        <v>60</v>
      </c>
    </row>
    <row r="36" spans="1:14" ht="30" customHeight="1">
      <c r="A36" s="114">
        <v>9</v>
      </c>
      <c r="B36" s="115" t="s">
        <v>523</v>
      </c>
      <c r="C36" s="114" t="s">
        <v>358</v>
      </c>
      <c r="D36" s="114">
        <v>15</v>
      </c>
      <c r="E36" s="114">
        <v>3</v>
      </c>
      <c r="F36" s="114" t="s">
        <v>289</v>
      </c>
      <c r="G36" s="114">
        <v>40</v>
      </c>
      <c r="H36" s="114">
        <v>60</v>
      </c>
      <c r="I36" s="114">
        <f t="shared" si="0"/>
        <v>5</v>
      </c>
      <c r="J36" s="115" t="s">
        <v>1069</v>
      </c>
      <c r="K36" s="115" t="s">
        <v>1070</v>
      </c>
      <c r="L36" s="114"/>
      <c r="M36" s="114"/>
      <c r="N36" s="114"/>
    </row>
    <row r="37" spans="1:14" ht="30" customHeight="1">
      <c r="A37" s="114">
        <v>10</v>
      </c>
      <c r="B37" s="115" t="s">
        <v>1549</v>
      </c>
      <c r="C37" s="114" t="s">
        <v>285</v>
      </c>
      <c r="D37" s="114">
        <v>10</v>
      </c>
      <c r="E37" s="114">
        <v>3</v>
      </c>
      <c r="F37" s="114" t="s">
        <v>303</v>
      </c>
      <c r="G37" s="114">
        <v>40</v>
      </c>
      <c r="H37" s="114">
        <v>60</v>
      </c>
      <c r="I37" s="114">
        <f>IF(E37=0,0,ROUND((E37*(G37+H37)+N37)/60,1))</f>
        <v>5</v>
      </c>
      <c r="J37" s="115" t="s">
        <v>1550</v>
      </c>
      <c r="K37" s="115" t="s">
        <v>1551</v>
      </c>
      <c r="L37" s="114"/>
      <c r="M37" s="114"/>
      <c r="N37" s="114"/>
    </row>
    <row r="38" spans="1:14" ht="30" customHeight="1">
      <c r="A38" s="114">
        <v>11</v>
      </c>
      <c r="B38" s="115" t="s">
        <v>307</v>
      </c>
      <c r="C38" s="114" t="s">
        <v>308</v>
      </c>
      <c r="D38" s="114">
        <v>16</v>
      </c>
      <c r="E38" s="114">
        <v>6</v>
      </c>
      <c r="F38" s="114" t="s">
        <v>289</v>
      </c>
      <c r="G38" s="114">
        <v>40</v>
      </c>
      <c r="H38" s="114">
        <v>75</v>
      </c>
      <c r="I38" s="114">
        <f t="shared" si="0"/>
        <v>11.5</v>
      </c>
      <c r="J38" s="115" t="s">
        <v>1073</v>
      </c>
      <c r="K38" s="115" t="s">
        <v>1074</v>
      </c>
      <c r="L38" s="114"/>
      <c r="M38" s="114"/>
      <c r="N38" s="114"/>
    </row>
    <row r="39" spans="1:14">
      <c r="A39" s="116"/>
      <c r="B39" s="116"/>
      <c r="C39" s="116"/>
      <c r="D39" s="116" t="s">
        <v>321</v>
      </c>
      <c r="E39" s="116">
        <f>SUM(E28:E38)</f>
        <v>34</v>
      </c>
      <c r="F39" s="116"/>
      <c r="G39" s="116"/>
      <c r="H39" s="116"/>
      <c r="I39" s="116">
        <f>ROUND(SUM(I28:I38),0)</f>
        <v>89</v>
      </c>
    </row>
    <row r="41" spans="1:14">
      <c r="A41" s="107" t="s">
        <v>1075</v>
      </c>
    </row>
    <row r="42" spans="1:14">
      <c r="A42" s="117" t="s">
        <v>1076</v>
      </c>
    </row>
    <row r="43" spans="1:14">
      <c r="A43" s="117" t="s">
        <v>1077</v>
      </c>
    </row>
    <row r="44" spans="1:14">
      <c r="A44" s="117" t="s">
        <v>1078</v>
      </c>
    </row>
    <row r="45" spans="1:14">
      <c r="A45" s="117" t="s">
        <v>1431</v>
      </c>
    </row>
    <row r="46" spans="1:14">
      <c r="A46" s="117" t="s">
        <v>1432</v>
      </c>
    </row>
    <row r="47" spans="1:14">
      <c r="A47" s="117" t="s">
        <v>1406</v>
      </c>
    </row>
    <row r="49" spans="1:1">
      <c r="A49" s="107" t="s">
        <v>1079</v>
      </c>
    </row>
    <row r="50" spans="1:1">
      <c r="A50" s="117" t="s">
        <v>1080</v>
      </c>
    </row>
    <row r="51" spans="1:1">
      <c r="A51" s="117" t="s">
        <v>1407</v>
      </c>
    </row>
    <row r="52" spans="1:1">
      <c r="A52" s="117" t="s">
        <v>1081</v>
      </c>
    </row>
    <row r="53" spans="1:1">
      <c r="A53" s="117" t="s">
        <v>1408</v>
      </c>
    </row>
    <row r="54" spans="1:1">
      <c r="A54" s="117" t="s">
        <v>1409</v>
      </c>
    </row>
    <row r="56" spans="1:1">
      <c r="A56" s="107" t="s">
        <v>1082</v>
      </c>
    </row>
    <row r="57" spans="1:1">
      <c r="A57" s="117" t="s">
        <v>1083</v>
      </c>
    </row>
    <row r="58" spans="1:1">
      <c r="A58" s="117" t="s">
        <v>1084</v>
      </c>
    </row>
    <row r="59" spans="1:1">
      <c r="A59" s="117" t="s">
        <v>1085</v>
      </c>
    </row>
    <row r="60" spans="1:1">
      <c r="A60" s="117" t="s">
        <v>1086</v>
      </c>
    </row>
    <row r="61" spans="1:1">
      <c r="A61" s="117" t="s">
        <v>1457</v>
      </c>
    </row>
    <row r="63" spans="1:1">
      <c r="A63" s="107" t="s">
        <v>1087</v>
      </c>
    </row>
    <row r="64" spans="1:1">
      <c r="A64" s="117" t="s">
        <v>1088</v>
      </c>
    </row>
    <row r="65" spans="1:3">
      <c r="A65" s="117" t="s">
        <v>1089</v>
      </c>
    </row>
    <row r="66" spans="1:3">
      <c r="A66" s="117" t="s">
        <v>1090</v>
      </c>
    </row>
    <row r="68" spans="1:3">
      <c r="A68" s="107" t="s">
        <v>954</v>
      </c>
    </row>
    <row r="69" spans="1:3">
      <c r="A69" s="117" t="s">
        <v>1524</v>
      </c>
    </row>
    <row r="70" spans="1:3">
      <c r="A70" s="117" t="s">
        <v>1525</v>
      </c>
    </row>
    <row r="72" spans="1:3">
      <c r="A72" s="107" t="s">
        <v>985</v>
      </c>
    </row>
    <row r="73" spans="1:3">
      <c r="A73" s="117" t="s">
        <v>1523</v>
      </c>
    </row>
    <row r="74" spans="1:3">
      <c r="A74" s="117" t="s">
        <v>1091</v>
      </c>
    </row>
    <row r="75" spans="1:3">
      <c r="A75" s="117" t="s">
        <v>1092</v>
      </c>
    </row>
    <row r="76" spans="1:3">
      <c r="A76" s="117" t="s">
        <v>1410</v>
      </c>
    </row>
    <row r="77" spans="1:3">
      <c r="A77" s="117" t="s">
        <v>987</v>
      </c>
    </row>
    <row r="79" spans="1:3">
      <c r="C79" s="118" t="s">
        <v>1093</v>
      </c>
    </row>
  </sheetData>
  <phoneticPr fontId="29" type="noConversion"/>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N54"/>
  <sheetViews>
    <sheetView workbookViewId="0">
      <selection activeCell="D23" sqref="D23"/>
    </sheetView>
  </sheetViews>
  <sheetFormatPr defaultRowHeight="15"/>
  <cols>
    <col min="1" max="1" width="5" customWidth="1"/>
    <col min="2" max="2" width="34" customWidth="1"/>
    <col min="3" max="3" width="20" customWidth="1"/>
    <col min="4" max="4" width="14" customWidth="1"/>
    <col min="5" max="5" width="7" customWidth="1"/>
    <col min="6" max="6" width="12" customWidth="1"/>
    <col min="7" max="8" width="10" customWidth="1"/>
    <col min="9" max="9" width="9" customWidth="1"/>
    <col min="10" max="10" width="70" customWidth="1"/>
    <col min="11" max="11" width="55" customWidth="1"/>
    <col min="12" max="12" width="24" customWidth="1"/>
    <col min="13" max="13" width="11" customWidth="1"/>
    <col min="14" max="14" width="10" customWidth="1"/>
  </cols>
  <sheetData>
    <row r="1" spans="1:14" ht="18.75">
      <c r="A1" s="106" t="s">
        <v>1094</v>
      </c>
    </row>
    <row r="4" spans="1:14">
      <c r="A4" s="107" t="s">
        <v>990</v>
      </c>
    </row>
    <row r="5" spans="1:14">
      <c r="A5" s="110" t="s">
        <v>1095</v>
      </c>
    </row>
    <row r="6" spans="1:14">
      <c r="A6" s="110" t="s">
        <v>963</v>
      </c>
    </row>
    <row r="7" spans="1:14">
      <c r="A7" s="110" t="s">
        <v>991</v>
      </c>
    </row>
    <row r="9" spans="1:14">
      <c r="A9" s="107" t="s">
        <v>252</v>
      </c>
    </row>
    <row r="10" spans="1:14" ht="15" customHeight="1">
      <c r="A10" s="111" t="s">
        <v>253</v>
      </c>
      <c r="B10" s="111" t="s">
        <v>76</v>
      </c>
      <c r="C10" s="111" t="s">
        <v>254</v>
      </c>
      <c r="D10" s="111" t="s">
        <v>255</v>
      </c>
      <c r="E10" s="111" t="s">
        <v>148</v>
      </c>
      <c r="F10" s="111" t="s">
        <v>256</v>
      </c>
      <c r="G10" s="111" t="s">
        <v>257</v>
      </c>
      <c r="H10" s="111" t="s">
        <v>258</v>
      </c>
      <c r="I10" s="111" t="s">
        <v>259</v>
      </c>
      <c r="J10" s="111" t="s">
        <v>261</v>
      </c>
      <c r="K10" s="111" t="s">
        <v>262</v>
      </c>
      <c r="L10" s="111" t="s">
        <v>263</v>
      </c>
      <c r="M10" s="111" t="s">
        <v>264</v>
      </c>
      <c r="N10" s="111" t="s">
        <v>265</v>
      </c>
    </row>
    <row r="11" spans="1:14" ht="30" customHeight="1">
      <c r="A11" s="114">
        <v>1</v>
      </c>
      <c r="B11" s="115" t="s">
        <v>266</v>
      </c>
      <c r="C11" s="114" t="s">
        <v>267</v>
      </c>
      <c r="D11" s="114">
        <v>45</v>
      </c>
      <c r="E11" s="114">
        <v>4</v>
      </c>
      <c r="F11" s="114" t="s">
        <v>268</v>
      </c>
      <c r="G11" s="114">
        <v>35</v>
      </c>
      <c r="H11" s="114">
        <v>150</v>
      </c>
      <c r="I11" s="114">
        <f t="shared" ref="I11:I24" si="0">IF(E11=0,0,ROUND((E11*(G11+H11)+N11)/60,1))</f>
        <v>12.3</v>
      </c>
      <c r="J11" s="115" t="s">
        <v>1096</v>
      </c>
      <c r="K11" s="115" t="s">
        <v>1097</v>
      </c>
      <c r="L11" s="114" t="s">
        <v>992</v>
      </c>
      <c r="M11" s="114"/>
      <c r="N11" s="114"/>
    </row>
    <row r="12" spans="1:14" ht="30" customHeight="1">
      <c r="A12" s="114">
        <v>2</v>
      </c>
      <c r="B12" s="115" t="s">
        <v>1568</v>
      </c>
      <c r="C12" s="114" t="s">
        <v>349</v>
      </c>
      <c r="D12" s="144">
        <f>시작중량_설정!$E$22</f>
        <v>40</v>
      </c>
      <c r="E12" s="114">
        <v>3</v>
      </c>
      <c r="F12" s="114">
        <v>8</v>
      </c>
      <c r="G12" s="114">
        <v>40</v>
      </c>
      <c r="H12" s="114">
        <v>150</v>
      </c>
      <c r="I12" s="114">
        <f>IF(E12=0,0,ROUND((E12*(G12+H12)+N12)/60,1))</f>
        <v>9.5</v>
      </c>
      <c r="J12" s="115" t="s">
        <v>1618</v>
      </c>
      <c r="K12" s="115" t="s">
        <v>1569</v>
      </c>
      <c r="L12" s="114"/>
      <c r="M12" s="114"/>
      <c r="N12" s="114"/>
    </row>
    <row r="13" spans="1:14" ht="30" customHeight="1">
      <c r="A13" s="114">
        <v>3</v>
      </c>
      <c r="B13" s="115" t="s">
        <v>1098</v>
      </c>
      <c r="C13" s="114" t="s">
        <v>267</v>
      </c>
      <c r="D13" s="114">
        <v>40</v>
      </c>
      <c r="E13" s="114">
        <v>3</v>
      </c>
      <c r="F13" s="114" t="s">
        <v>274</v>
      </c>
      <c r="G13" s="114">
        <v>40</v>
      </c>
      <c r="H13" s="114">
        <v>120</v>
      </c>
      <c r="I13" s="114">
        <f t="shared" si="0"/>
        <v>8</v>
      </c>
      <c r="J13" s="115" t="s">
        <v>1502</v>
      </c>
      <c r="K13" s="115" t="s">
        <v>1099</v>
      </c>
      <c r="L13" s="114"/>
      <c r="M13" s="114"/>
      <c r="N13" s="114"/>
    </row>
    <row r="14" spans="1:14" ht="30" customHeight="1">
      <c r="A14" s="114">
        <v>4</v>
      </c>
      <c r="B14" s="115" t="s">
        <v>427</v>
      </c>
      <c r="C14" s="114" t="s">
        <v>337</v>
      </c>
      <c r="D14" s="114">
        <v>35</v>
      </c>
      <c r="E14" s="114">
        <v>4</v>
      </c>
      <c r="F14" s="114" t="s">
        <v>289</v>
      </c>
      <c r="G14" s="114">
        <v>40</v>
      </c>
      <c r="H14" s="114">
        <v>105</v>
      </c>
      <c r="I14" s="114">
        <f>IF(E14=0,0,ROUND((E14*(G14+H14)+N14)/60,1))</f>
        <v>9.6999999999999993</v>
      </c>
      <c r="J14" s="115" t="s">
        <v>1477</v>
      </c>
      <c r="K14" s="115" t="s">
        <v>1105</v>
      </c>
      <c r="L14" s="114"/>
      <c r="M14" s="114"/>
      <c r="N14" s="114"/>
    </row>
    <row r="15" spans="1:14" ht="30" customHeight="1">
      <c r="A15" s="114">
        <v>5</v>
      </c>
      <c r="B15" s="115" t="s">
        <v>1100</v>
      </c>
      <c r="C15" s="114" t="s">
        <v>267</v>
      </c>
      <c r="D15" s="114">
        <v>55</v>
      </c>
      <c r="E15" s="114">
        <v>3</v>
      </c>
      <c r="F15" s="114" t="s">
        <v>274</v>
      </c>
      <c r="G15" s="114">
        <v>40</v>
      </c>
      <c r="H15" s="114">
        <v>120</v>
      </c>
      <c r="I15" s="114">
        <f t="shared" si="0"/>
        <v>9</v>
      </c>
      <c r="J15" s="115" t="s">
        <v>1300</v>
      </c>
      <c r="K15" s="115" t="s">
        <v>1101</v>
      </c>
      <c r="L15" s="114"/>
      <c r="M15" s="114"/>
      <c r="N15" s="114">
        <v>60</v>
      </c>
    </row>
    <row r="16" spans="1:14" ht="30" customHeight="1">
      <c r="A16" s="114">
        <v>6</v>
      </c>
      <c r="B16" s="115" t="s">
        <v>520</v>
      </c>
      <c r="C16" s="114" t="s">
        <v>337</v>
      </c>
      <c r="D16" s="114">
        <v>10</v>
      </c>
      <c r="E16" s="114">
        <v>3</v>
      </c>
      <c r="F16" s="114" t="s">
        <v>289</v>
      </c>
      <c r="G16" s="114">
        <v>40</v>
      </c>
      <c r="H16" s="114">
        <v>105</v>
      </c>
      <c r="I16" s="114">
        <f>IF(E16=0,0,ROUND((E16*(G16+H16)+N16)/60,1))</f>
        <v>8.3000000000000007</v>
      </c>
      <c r="J16" s="115" t="s">
        <v>1478</v>
      </c>
      <c r="K16" s="115" t="s">
        <v>1106</v>
      </c>
      <c r="L16" s="114"/>
      <c r="M16" s="114"/>
      <c r="N16" s="114">
        <v>60</v>
      </c>
    </row>
    <row r="17" spans="1:14" ht="30" customHeight="1">
      <c r="A17" s="114">
        <v>7</v>
      </c>
      <c r="B17" s="115" t="s">
        <v>1301</v>
      </c>
      <c r="C17" s="114" t="s">
        <v>1249</v>
      </c>
      <c r="D17" s="114">
        <v>20</v>
      </c>
      <c r="E17" s="114">
        <v>2</v>
      </c>
      <c r="F17" s="114" t="s">
        <v>1227</v>
      </c>
      <c r="G17" s="114">
        <v>40</v>
      </c>
      <c r="H17" s="114">
        <v>75</v>
      </c>
      <c r="I17" s="114">
        <f t="shared" ref="I17" si="1">IF(E17=0,0,ROUND((E17*(G17+H17)+N17)/60,1))</f>
        <v>3.8</v>
      </c>
      <c r="J17" s="115" t="s">
        <v>1302</v>
      </c>
      <c r="K17" s="115" t="s">
        <v>1303</v>
      </c>
      <c r="L17" s="114"/>
      <c r="M17" s="114"/>
      <c r="N17" s="114"/>
    </row>
    <row r="18" spans="1:14" ht="30" customHeight="1">
      <c r="A18" s="114">
        <v>8</v>
      </c>
      <c r="B18" s="115" t="s">
        <v>417</v>
      </c>
      <c r="C18" s="114" t="s">
        <v>418</v>
      </c>
      <c r="D18" s="144">
        <f>시작중량_설정!$E$17</f>
        <v>25</v>
      </c>
      <c r="E18" s="114">
        <v>3</v>
      </c>
      <c r="F18" s="114">
        <v>15</v>
      </c>
      <c r="G18" s="114">
        <v>40</v>
      </c>
      <c r="H18" s="114">
        <v>75</v>
      </c>
      <c r="I18" s="114">
        <f t="shared" si="0"/>
        <v>5.8</v>
      </c>
      <c r="J18" s="115" t="s">
        <v>1595</v>
      </c>
      <c r="K18" s="115" t="s">
        <v>1102</v>
      </c>
      <c r="L18" s="114"/>
      <c r="M18" s="114"/>
      <c r="N18" s="114"/>
    </row>
    <row r="19" spans="1:14" ht="30" customHeight="1">
      <c r="A19" s="114">
        <v>9</v>
      </c>
      <c r="B19" s="115" t="s">
        <v>288</v>
      </c>
      <c r="C19" s="114" t="s">
        <v>282</v>
      </c>
      <c r="D19" s="114">
        <v>25</v>
      </c>
      <c r="E19" s="114">
        <v>3</v>
      </c>
      <c r="F19" s="114" t="s">
        <v>289</v>
      </c>
      <c r="G19" s="114">
        <v>45</v>
      </c>
      <c r="H19" s="114">
        <v>60</v>
      </c>
      <c r="I19" s="114">
        <f t="shared" si="0"/>
        <v>5.3</v>
      </c>
      <c r="J19" s="115" t="s">
        <v>1103</v>
      </c>
      <c r="K19" s="115" t="s">
        <v>1104</v>
      </c>
      <c r="L19" s="114"/>
      <c r="M19" s="114"/>
      <c r="N19" s="114"/>
    </row>
    <row r="20" spans="1:14" ht="30" customHeight="1">
      <c r="A20" s="114">
        <v>10</v>
      </c>
      <c r="B20" s="115" t="s">
        <v>1543</v>
      </c>
      <c r="C20" s="114" t="s">
        <v>345</v>
      </c>
      <c r="D20" s="114">
        <v>25</v>
      </c>
      <c r="E20" s="114">
        <v>3</v>
      </c>
      <c r="F20" s="114" t="s">
        <v>303</v>
      </c>
      <c r="G20" s="114">
        <v>40</v>
      </c>
      <c r="H20" s="114">
        <v>70</v>
      </c>
      <c r="I20" s="114">
        <f t="shared" si="0"/>
        <v>5.5</v>
      </c>
      <c r="J20" s="115" t="s">
        <v>1545</v>
      </c>
      <c r="K20" s="115" t="s">
        <v>1107</v>
      </c>
      <c r="L20" s="114"/>
      <c r="M20" s="114"/>
      <c r="N20" s="114"/>
    </row>
    <row r="21" spans="1:14" ht="30" customHeight="1">
      <c r="A21" s="114">
        <v>11</v>
      </c>
      <c r="B21" s="115" t="s">
        <v>1108</v>
      </c>
      <c r="C21" s="114" t="s">
        <v>269</v>
      </c>
      <c r="D21" s="114">
        <v>25</v>
      </c>
      <c r="E21" s="114">
        <v>3</v>
      </c>
      <c r="F21" s="114" t="s">
        <v>274</v>
      </c>
      <c r="G21" s="114">
        <v>40</v>
      </c>
      <c r="H21" s="114">
        <v>75</v>
      </c>
      <c r="I21" s="114">
        <f t="shared" si="0"/>
        <v>5.8</v>
      </c>
      <c r="J21" s="75" t="s">
        <v>1257</v>
      </c>
      <c r="K21" s="115" t="s">
        <v>1109</v>
      </c>
      <c r="L21" s="114"/>
      <c r="M21" s="114"/>
      <c r="N21" s="114"/>
    </row>
    <row r="22" spans="1:14" ht="30" customHeight="1">
      <c r="A22" s="114">
        <v>12</v>
      </c>
      <c r="B22" s="115" t="s">
        <v>998</v>
      </c>
      <c r="C22" s="114" t="s">
        <v>295</v>
      </c>
      <c r="D22" s="114">
        <v>20</v>
      </c>
      <c r="E22" s="114">
        <v>2</v>
      </c>
      <c r="F22" s="145" t="s">
        <v>1620</v>
      </c>
      <c r="G22" s="114">
        <v>40</v>
      </c>
      <c r="H22" s="114">
        <v>10</v>
      </c>
      <c r="I22" s="114">
        <f t="shared" si="0"/>
        <v>1.7</v>
      </c>
      <c r="J22" s="115" t="s">
        <v>1625</v>
      </c>
      <c r="K22" s="115" t="s">
        <v>999</v>
      </c>
      <c r="L22" s="114"/>
      <c r="M22" s="114" t="s">
        <v>391</v>
      </c>
      <c r="N22" s="114"/>
    </row>
    <row r="23" spans="1:14" ht="30" customHeight="1">
      <c r="A23" s="114">
        <v>13</v>
      </c>
      <c r="B23" s="115" t="s">
        <v>594</v>
      </c>
      <c r="C23" s="114" t="s">
        <v>295</v>
      </c>
      <c r="D23" s="114">
        <v>15</v>
      </c>
      <c r="E23" s="114">
        <v>3</v>
      </c>
      <c r="F23" s="145" t="s">
        <v>1620</v>
      </c>
      <c r="G23" s="114">
        <v>40</v>
      </c>
      <c r="H23" s="114">
        <v>60</v>
      </c>
      <c r="I23" s="114">
        <f t="shared" si="0"/>
        <v>5</v>
      </c>
      <c r="J23" s="115" t="s">
        <v>1622</v>
      </c>
      <c r="K23" s="115" t="s">
        <v>1000</v>
      </c>
      <c r="L23" s="114"/>
      <c r="M23" s="114" t="s">
        <v>391</v>
      </c>
      <c r="N23" s="114"/>
    </row>
    <row r="24" spans="1:14" ht="30" customHeight="1">
      <c r="A24" s="114">
        <v>14</v>
      </c>
      <c r="B24" s="115" t="s">
        <v>318</v>
      </c>
      <c r="C24" s="114" t="s">
        <v>313</v>
      </c>
      <c r="D24" s="114">
        <v>12</v>
      </c>
      <c r="E24" s="114">
        <v>3</v>
      </c>
      <c r="F24" s="114" t="s">
        <v>289</v>
      </c>
      <c r="G24" s="114">
        <v>40</v>
      </c>
      <c r="H24" s="114">
        <v>60</v>
      </c>
      <c r="I24" s="114">
        <f t="shared" si="0"/>
        <v>5</v>
      </c>
      <c r="J24" s="115" t="s">
        <v>1110</v>
      </c>
      <c r="K24" s="115" t="s">
        <v>1111</v>
      </c>
      <c r="L24" s="114"/>
      <c r="M24" s="114"/>
      <c r="N24" s="114"/>
    </row>
    <row r="25" spans="1:14">
      <c r="A25" s="116"/>
      <c r="B25" s="116"/>
      <c r="C25" s="116"/>
      <c r="D25" s="116" t="s">
        <v>321</v>
      </c>
      <c r="E25" s="116">
        <f>SUM(E11:E24)</f>
        <v>42</v>
      </c>
      <c r="F25" s="116"/>
      <c r="G25" s="116"/>
      <c r="H25" s="116"/>
      <c r="I25" s="116">
        <f>ROUND(SUM(I11:I24),0)</f>
        <v>95</v>
      </c>
    </row>
    <row r="27" spans="1:14">
      <c r="A27" s="107" t="s">
        <v>1112</v>
      </c>
    </row>
    <row r="28" spans="1:14">
      <c r="A28" s="117" t="s">
        <v>1113</v>
      </c>
    </row>
    <row r="29" spans="1:14">
      <c r="A29" s="117" t="s">
        <v>1114</v>
      </c>
    </row>
    <row r="30" spans="1:14">
      <c r="A30" s="117" t="s">
        <v>1115</v>
      </c>
    </row>
    <row r="31" spans="1:14">
      <c r="A31" s="117" t="s">
        <v>1492</v>
      </c>
    </row>
    <row r="32" spans="1:14">
      <c r="A32" s="117" t="s">
        <v>1116</v>
      </c>
    </row>
    <row r="34" spans="1:1">
      <c r="A34" s="107" t="s">
        <v>1117</v>
      </c>
    </row>
    <row r="35" spans="1:1">
      <c r="A35" s="117" t="s">
        <v>1479</v>
      </c>
    </row>
    <row r="36" spans="1:1">
      <c r="A36" s="117" t="s">
        <v>1118</v>
      </c>
    </row>
    <row r="37" spans="1:1">
      <c r="A37" s="117" t="s">
        <v>1570</v>
      </c>
    </row>
    <row r="38" spans="1:1">
      <c r="A38" s="117" t="s">
        <v>1544</v>
      </c>
    </row>
    <row r="40" spans="1:1">
      <c r="A40" s="107" t="s">
        <v>954</v>
      </c>
    </row>
    <row r="41" spans="1:1">
      <c r="A41" s="117" t="s">
        <v>1449</v>
      </c>
    </row>
    <row r="42" spans="1:1">
      <c r="A42" s="117" t="s">
        <v>1308</v>
      </c>
    </row>
    <row r="43" spans="1:1">
      <c r="A43" s="117" t="s">
        <v>1309</v>
      </c>
    </row>
    <row r="45" spans="1:1">
      <c r="A45" s="107" t="s">
        <v>985</v>
      </c>
    </row>
    <row r="46" spans="1:1">
      <c r="A46" s="117" t="s">
        <v>1119</v>
      </c>
    </row>
    <row r="47" spans="1:1">
      <c r="A47" s="117" t="s">
        <v>1120</v>
      </c>
    </row>
    <row r="48" spans="1:1">
      <c r="A48" s="117" t="s">
        <v>1121</v>
      </c>
    </row>
    <row r="49" spans="1:3">
      <c r="A49" s="117" t="s">
        <v>1480</v>
      </c>
    </row>
    <row r="50" spans="1:3">
      <c r="A50" s="117" t="s">
        <v>1122</v>
      </c>
    </row>
    <row r="51" spans="1:3">
      <c r="A51" s="117" t="s">
        <v>1123</v>
      </c>
    </row>
    <row r="52" spans="1:3">
      <c r="A52" s="117" t="s">
        <v>987</v>
      </c>
    </row>
    <row r="54" spans="1:3">
      <c r="C54" s="118" t="s">
        <v>1304</v>
      </c>
    </row>
  </sheetData>
  <phoneticPr fontId="29" type="noConversion"/>
  <hyperlinks>
    <hyperlink ref="J21" r:id="rId1" xr:uid="{23C18850-0E04-48B0-9034-D4ACB8232A2D}"/>
  </hyperlinks>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84DDD8-3AB2-43B2-A3B8-DBF53736B372}">
  <dimension ref="A1:G36"/>
  <sheetViews>
    <sheetView workbookViewId="0">
      <selection activeCell="A35" sqref="A35:XFD35"/>
    </sheetView>
  </sheetViews>
  <sheetFormatPr defaultRowHeight="12.75"/>
  <cols>
    <col min="1" max="1" width="14.7109375" style="127" customWidth="1"/>
    <col min="2" max="2" width="30.7109375" style="127" customWidth="1"/>
    <col min="3" max="5" width="14.7109375" style="127" customWidth="1"/>
    <col min="6" max="6" width="50.7109375" style="127" customWidth="1"/>
    <col min="7" max="16384" width="9.140625" style="127"/>
  </cols>
  <sheetData>
    <row r="1" spans="1:6" ht="18.75">
      <c r="A1" s="128" t="s">
        <v>1330</v>
      </c>
    </row>
    <row r="2" spans="1:6">
      <c r="A2" s="127" t="s">
        <v>1645</v>
      </c>
    </row>
    <row r="4" spans="1:6" ht="15">
      <c r="A4" s="99" t="s">
        <v>1258</v>
      </c>
    </row>
    <row r="5" spans="1:6">
      <c r="A5" s="129" t="s">
        <v>2</v>
      </c>
      <c r="B5" s="129" t="s">
        <v>145</v>
      </c>
      <c r="C5" s="130"/>
      <c r="D5" s="130"/>
      <c r="E5" s="130"/>
      <c r="F5" s="129" t="s">
        <v>5</v>
      </c>
    </row>
    <row r="6" spans="1:6">
      <c r="A6" s="127" t="s">
        <v>894</v>
      </c>
      <c r="B6" s="151" t="s">
        <v>1259</v>
      </c>
      <c r="C6" s="151"/>
      <c r="D6" s="151"/>
      <c r="E6" s="151"/>
      <c r="F6" s="127" t="s">
        <v>1260</v>
      </c>
    </row>
    <row r="7" spans="1:6">
      <c r="A7" s="127" t="s">
        <v>76</v>
      </c>
      <c r="B7" s="151" t="s">
        <v>1261</v>
      </c>
      <c r="C7" s="151"/>
      <c r="D7" s="151"/>
      <c r="E7" s="151"/>
      <c r="F7" s="127" t="s">
        <v>1262</v>
      </c>
    </row>
    <row r="8" spans="1:6">
      <c r="A8" s="127" t="s">
        <v>1263</v>
      </c>
      <c r="B8" s="151" t="s">
        <v>1646</v>
      </c>
      <c r="C8" s="151"/>
      <c r="D8" s="151"/>
      <c r="E8" s="151"/>
      <c r="F8" s="127" t="s">
        <v>1264</v>
      </c>
    </row>
    <row r="9" spans="1:6">
      <c r="A9" s="127" t="s">
        <v>1265</v>
      </c>
      <c r="B9" s="151" t="s">
        <v>1266</v>
      </c>
      <c r="C9" s="151"/>
      <c r="D9" s="151"/>
      <c r="E9" s="151"/>
      <c r="F9" s="127" t="s">
        <v>1267</v>
      </c>
    </row>
    <row r="10" spans="1:6">
      <c r="A10" s="127" t="s">
        <v>1268</v>
      </c>
      <c r="B10" s="151" t="s">
        <v>1650</v>
      </c>
      <c r="C10" s="151"/>
      <c r="D10" s="151"/>
      <c r="E10" s="151"/>
      <c r="F10" s="127" t="s">
        <v>1331</v>
      </c>
    </row>
    <row r="11" spans="1:6">
      <c r="A11" s="127" t="s">
        <v>1269</v>
      </c>
      <c r="B11" s="151" t="s">
        <v>1270</v>
      </c>
      <c r="C11" s="151"/>
      <c r="D11" s="151"/>
      <c r="E11" s="151"/>
      <c r="F11" s="127" t="s">
        <v>1325</v>
      </c>
    </row>
    <row r="12" spans="1:6">
      <c r="A12" s="127" t="s">
        <v>9</v>
      </c>
      <c r="B12" s="151" t="s">
        <v>1271</v>
      </c>
      <c r="C12" s="151"/>
      <c r="D12" s="151"/>
      <c r="E12" s="151"/>
      <c r="F12" s="127" t="s">
        <v>1326</v>
      </c>
    </row>
    <row r="13" spans="1:6">
      <c r="A13" s="127" t="s">
        <v>1272</v>
      </c>
      <c r="B13" s="151" t="s">
        <v>1332</v>
      </c>
      <c r="C13" s="151"/>
      <c r="D13" s="151"/>
      <c r="E13" s="151"/>
      <c r="F13" s="127" t="s">
        <v>1292</v>
      </c>
    </row>
    <row r="14" spans="1:6">
      <c r="A14" s="127" t="s">
        <v>1273</v>
      </c>
      <c r="B14" s="151" t="s">
        <v>1327</v>
      </c>
      <c r="C14" s="151"/>
      <c r="D14" s="151"/>
      <c r="E14" s="151"/>
      <c r="F14" s="127" t="s">
        <v>1274</v>
      </c>
    </row>
    <row r="16" spans="1:6" ht="15">
      <c r="A16" s="131" t="s">
        <v>1333</v>
      </c>
    </row>
    <row r="17" spans="1:7">
      <c r="A17" s="129" t="s">
        <v>1334</v>
      </c>
      <c r="B17" s="129" t="s">
        <v>1335</v>
      </c>
      <c r="C17" s="129" t="s">
        <v>1275</v>
      </c>
      <c r="D17" s="129" t="s">
        <v>1276</v>
      </c>
      <c r="E17" s="129" t="s">
        <v>1277</v>
      </c>
      <c r="F17" s="129" t="s">
        <v>1278</v>
      </c>
      <c r="G17" s="129" t="s">
        <v>1643</v>
      </c>
    </row>
    <row r="18" spans="1:7">
      <c r="A18" s="132">
        <v>1</v>
      </c>
      <c r="B18" s="136">
        <v>46298</v>
      </c>
      <c r="C18" s="132">
        <v>24</v>
      </c>
      <c r="D18" s="132">
        <f t="shared" ref="D18:D35" si="0">C18*2</f>
        <v>48</v>
      </c>
      <c r="E18" s="132"/>
      <c r="G18" s="127">
        <v>40</v>
      </c>
    </row>
    <row r="19" spans="1:7">
      <c r="A19" s="132">
        <v>2</v>
      </c>
      <c r="B19" s="136">
        <v>46302</v>
      </c>
      <c r="C19" s="132">
        <v>26</v>
      </c>
      <c r="D19" s="132">
        <f t="shared" si="0"/>
        <v>52</v>
      </c>
      <c r="E19" s="132"/>
      <c r="G19" s="127">
        <v>40</v>
      </c>
    </row>
    <row r="20" spans="1:7">
      <c r="A20" s="132">
        <v>3</v>
      </c>
      <c r="B20" s="136">
        <v>46305</v>
      </c>
      <c r="C20" s="132">
        <v>28</v>
      </c>
      <c r="D20" s="132">
        <f t="shared" si="0"/>
        <v>56</v>
      </c>
      <c r="E20" s="132"/>
      <c r="G20" s="127">
        <v>40</v>
      </c>
    </row>
    <row r="21" spans="1:7">
      <c r="A21" s="132">
        <v>4</v>
      </c>
      <c r="B21" s="136">
        <v>46309</v>
      </c>
      <c r="C21" s="132">
        <v>30</v>
      </c>
      <c r="D21" s="132">
        <f t="shared" si="0"/>
        <v>60</v>
      </c>
      <c r="E21" s="132"/>
      <c r="G21" s="127">
        <v>40</v>
      </c>
    </row>
    <row r="22" spans="1:7">
      <c r="A22" s="132">
        <v>5</v>
      </c>
      <c r="B22" s="136">
        <v>46312</v>
      </c>
      <c r="C22" s="132">
        <v>30</v>
      </c>
      <c r="D22" s="132">
        <f t="shared" si="0"/>
        <v>60</v>
      </c>
      <c r="E22" s="132"/>
      <c r="G22" s="127">
        <v>40</v>
      </c>
    </row>
    <row r="23" spans="1:7">
      <c r="A23" s="132">
        <v>6</v>
      </c>
      <c r="B23" s="136">
        <v>46316</v>
      </c>
      <c r="C23" s="132">
        <v>30</v>
      </c>
      <c r="D23" s="132">
        <f t="shared" si="0"/>
        <v>60</v>
      </c>
      <c r="E23" s="132"/>
      <c r="G23" s="127">
        <v>40</v>
      </c>
    </row>
    <row r="24" spans="1:7">
      <c r="A24" s="132">
        <v>7</v>
      </c>
      <c r="B24" s="136">
        <v>46319</v>
      </c>
      <c r="C24" s="132">
        <v>30</v>
      </c>
      <c r="D24" s="132">
        <f t="shared" si="0"/>
        <v>60</v>
      </c>
      <c r="E24" s="132">
        <v>30</v>
      </c>
      <c r="F24" s="127" t="s">
        <v>1644</v>
      </c>
      <c r="G24" s="127">
        <v>40</v>
      </c>
    </row>
    <row r="25" spans="1:7">
      <c r="A25" s="132">
        <v>8</v>
      </c>
      <c r="B25" s="136">
        <v>46323</v>
      </c>
      <c r="C25" s="132">
        <v>30</v>
      </c>
      <c r="D25" s="132">
        <f t="shared" si="0"/>
        <v>60</v>
      </c>
      <c r="E25" s="132"/>
      <c r="G25" s="127">
        <v>50</v>
      </c>
    </row>
    <row r="26" spans="1:7">
      <c r="A26" s="132">
        <v>9</v>
      </c>
      <c r="B26" s="136">
        <v>46326</v>
      </c>
      <c r="C26" s="132">
        <v>30</v>
      </c>
      <c r="D26" s="132">
        <f t="shared" si="0"/>
        <v>60</v>
      </c>
      <c r="E26" s="132"/>
      <c r="G26" s="127">
        <v>60</v>
      </c>
    </row>
    <row r="27" spans="1:7">
      <c r="A27" s="132">
        <v>10</v>
      </c>
      <c r="B27" s="136">
        <v>46330</v>
      </c>
      <c r="C27" s="132">
        <v>35</v>
      </c>
      <c r="D27" s="132">
        <f t="shared" si="0"/>
        <v>70</v>
      </c>
      <c r="E27" s="132"/>
      <c r="G27" s="127">
        <v>20</v>
      </c>
    </row>
    <row r="28" spans="1:7">
      <c r="A28" s="132">
        <v>11</v>
      </c>
      <c r="B28" s="136">
        <v>46333</v>
      </c>
      <c r="C28" s="132">
        <v>35</v>
      </c>
      <c r="D28" s="132">
        <f t="shared" si="0"/>
        <v>70</v>
      </c>
      <c r="E28" s="132"/>
      <c r="G28" s="127">
        <v>30</v>
      </c>
    </row>
    <row r="29" spans="1:7">
      <c r="A29" s="132">
        <v>12</v>
      </c>
      <c r="B29" s="136">
        <v>46337</v>
      </c>
      <c r="C29" s="132">
        <v>35</v>
      </c>
      <c r="D29" s="132">
        <f t="shared" si="0"/>
        <v>70</v>
      </c>
      <c r="E29" s="132"/>
      <c r="G29" s="127">
        <v>40</v>
      </c>
    </row>
    <row r="30" spans="1:7">
      <c r="A30" s="132">
        <v>13</v>
      </c>
      <c r="B30" s="136">
        <v>46340</v>
      </c>
      <c r="C30" s="132">
        <v>35</v>
      </c>
      <c r="D30" s="132">
        <f t="shared" si="0"/>
        <v>70</v>
      </c>
      <c r="E30" s="132"/>
      <c r="G30" s="127">
        <v>40</v>
      </c>
    </row>
    <row r="31" spans="1:7">
      <c r="A31" s="132">
        <v>14</v>
      </c>
      <c r="B31" s="136">
        <v>46344</v>
      </c>
      <c r="C31" s="132">
        <v>35</v>
      </c>
      <c r="D31" s="132">
        <f t="shared" si="0"/>
        <v>70</v>
      </c>
      <c r="E31" s="132"/>
      <c r="G31" s="127">
        <v>40</v>
      </c>
    </row>
    <row r="32" spans="1:7">
      <c r="A32" s="132">
        <v>15</v>
      </c>
      <c r="B32" s="136">
        <v>46347</v>
      </c>
      <c r="C32" s="132">
        <v>35</v>
      </c>
      <c r="D32" s="132">
        <f t="shared" si="0"/>
        <v>70</v>
      </c>
      <c r="E32" s="132"/>
      <c r="G32" s="127">
        <v>40</v>
      </c>
    </row>
    <row r="33" spans="1:7">
      <c r="A33" s="132">
        <v>16</v>
      </c>
      <c r="B33" s="136">
        <v>46351</v>
      </c>
      <c r="C33" s="132">
        <v>35</v>
      </c>
      <c r="D33" s="132">
        <f t="shared" si="0"/>
        <v>70</v>
      </c>
      <c r="E33" s="132"/>
      <c r="G33" s="127">
        <v>40</v>
      </c>
    </row>
    <row r="34" spans="1:7">
      <c r="A34" s="132">
        <v>17</v>
      </c>
      <c r="B34" s="136">
        <v>46354</v>
      </c>
      <c r="C34" s="132">
        <v>35</v>
      </c>
      <c r="D34" s="132">
        <f t="shared" si="0"/>
        <v>70</v>
      </c>
      <c r="E34" s="132"/>
      <c r="G34" s="127">
        <v>40</v>
      </c>
    </row>
    <row r="35" spans="1:7">
      <c r="A35" s="132">
        <v>18</v>
      </c>
      <c r="B35" s="136">
        <v>46358</v>
      </c>
      <c r="C35" s="132">
        <v>35</v>
      </c>
      <c r="D35" s="132">
        <f t="shared" si="0"/>
        <v>70</v>
      </c>
      <c r="E35" s="132"/>
      <c r="G35" s="127">
        <v>40</v>
      </c>
    </row>
    <row r="36" spans="1:7">
      <c r="A36" s="127" t="s">
        <v>1649</v>
      </c>
    </row>
  </sheetData>
  <mergeCells count="9">
    <mergeCell ref="B12:E12"/>
    <mergeCell ref="B13:E13"/>
    <mergeCell ref="B14:E14"/>
    <mergeCell ref="B6:E6"/>
    <mergeCell ref="B7:E7"/>
    <mergeCell ref="B8:E8"/>
    <mergeCell ref="B9:E9"/>
    <mergeCell ref="B10:E10"/>
    <mergeCell ref="B11:E11"/>
  </mergeCells>
  <phoneticPr fontId="29" type="noConversion"/>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62FE5C-3816-4CFA-A88D-950DD0B7A491}">
  <dimension ref="A1:J90"/>
  <sheetViews>
    <sheetView workbookViewId="0">
      <selection activeCell="I15" sqref="I15"/>
    </sheetView>
  </sheetViews>
  <sheetFormatPr defaultRowHeight="12.75"/>
  <cols>
    <col min="1" max="1" width="12.7109375" style="127" customWidth="1"/>
    <col min="2" max="2" width="14.7109375" style="127" customWidth="1"/>
    <col min="3" max="6" width="12.7109375" style="127" customWidth="1"/>
    <col min="7" max="8" width="13.7109375" style="127" customWidth="1"/>
    <col min="9" max="9" width="14.7109375" style="127" customWidth="1"/>
    <col min="10" max="16384" width="9.140625" style="127"/>
  </cols>
  <sheetData>
    <row r="1" spans="1:10" ht="18.75">
      <c r="A1" s="128" t="s">
        <v>1347</v>
      </c>
    </row>
    <row r="2" spans="1:10">
      <c r="A2" s="127" t="s">
        <v>1648</v>
      </c>
    </row>
    <row r="4" spans="1:10" ht="15">
      <c r="A4" s="99" t="s">
        <v>894</v>
      </c>
    </row>
    <row r="5" spans="1:10">
      <c r="A5" s="129" t="s">
        <v>894</v>
      </c>
      <c r="B5" s="129" t="s">
        <v>1279</v>
      </c>
      <c r="C5" s="130"/>
      <c r="D5" s="130"/>
      <c r="E5" s="130"/>
      <c r="F5" s="130"/>
      <c r="G5" s="130"/>
      <c r="H5" s="130"/>
      <c r="I5" s="129" t="s">
        <v>5</v>
      </c>
    </row>
    <row r="6" spans="1:10">
      <c r="A6" s="127" t="s">
        <v>899</v>
      </c>
      <c r="B6" s="151" t="s">
        <v>1280</v>
      </c>
      <c r="C6" s="151"/>
      <c r="D6" s="151"/>
      <c r="E6" s="151"/>
      <c r="F6" s="151"/>
      <c r="G6" s="151"/>
      <c r="H6" s="151"/>
      <c r="I6" s="127" t="s">
        <v>1281</v>
      </c>
    </row>
    <row r="7" spans="1:10">
      <c r="A7" s="127" t="s">
        <v>902</v>
      </c>
      <c r="B7" s="151" t="s">
        <v>1282</v>
      </c>
      <c r="C7" s="151"/>
      <c r="D7" s="151"/>
      <c r="E7" s="151"/>
      <c r="F7" s="151"/>
      <c r="G7" s="151"/>
      <c r="H7" s="151"/>
      <c r="I7" s="127" t="s">
        <v>1283</v>
      </c>
    </row>
    <row r="8" spans="1:10">
      <c r="A8" s="127" t="s">
        <v>905</v>
      </c>
      <c r="B8" s="151" t="s">
        <v>1282</v>
      </c>
      <c r="C8" s="151"/>
      <c r="D8" s="151"/>
      <c r="E8" s="151"/>
      <c r="F8" s="151"/>
      <c r="G8" s="151"/>
      <c r="H8" s="151"/>
      <c r="I8" s="127" t="s">
        <v>1283</v>
      </c>
    </row>
    <row r="9" spans="1:10">
      <c r="A9" s="127" t="s">
        <v>907</v>
      </c>
      <c r="B9" s="151" t="s">
        <v>28</v>
      </c>
      <c r="C9" s="151"/>
      <c r="D9" s="151"/>
      <c r="E9" s="151"/>
      <c r="F9" s="151"/>
      <c r="G9" s="151"/>
      <c r="H9" s="151"/>
      <c r="I9" s="127" t="s">
        <v>1284</v>
      </c>
    </row>
    <row r="10" spans="1:10">
      <c r="A10" s="127" t="s">
        <v>909</v>
      </c>
      <c r="B10" s="151" t="s">
        <v>1280</v>
      </c>
      <c r="C10" s="151"/>
      <c r="D10" s="151"/>
      <c r="E10" s="151"/>
      <c r="F10" s="151"/>
      <c r="G10" s="151"/>
      <c r="H10" s="151"/>
      <c r="I10" s="127" t="s">
        <v>1285</v>
      </c>
    </row>
    <row r="11" spans="1:10">
      <c r="A11" s="127" t="s">
        <v>912</v>
      </c>
      <c r="B11" s="151" t="s">
        <v>1282</v>
      </c>
      <c r="C11" s="151"/>
      <c r="D11" s="151"/>
      <c r="E11" s="151"/>
      <c r="F11" s="151"/>
      <c r="G11" s="151"/>
      <c r="H11" s="151"/>
      <c r="I11" s="127" t="s">
        <v>1283</v>
      </c>
    </row>
    <row r="12" spans="1:10">
      <c r="A12" s="127" t="s">
        <v>915</v>
      </c>
      <c r="B12" s="151" t="s">
        <v>1286</v>
      </c>
      <c r="C12" s="151"/>
      <c r="D12" s="151"/>
      <c r="E12" s="151"/>
      <c r="F12" s="151"/>
      <c r="G12" s="151"/>
      <c r="H12" s="151"/>
      <c r="I12" s="127" t="s">
        <v>1287</v>
      </c>
    </row>
    <row r="14" spans="1:10" ht="15">
      <c r="A14" s="131" t="s">
        <v>1337</v>
      </c>
    </row>
    <row r="15" spans="1:10">
      <c r="A15" s="129" t="s">
        <v>1338</v>
      </c>
      <c r="B15" s="129" t="s">
        <v>789</v>
      </c>
      <c r="C15" s="129" t="s">
        <v>1339</v>
      </c>
      <c r="D15" s="129" t="s">
        <v>1340</v>
      </c>
      <c r="E15" s="129" t="s">
        <v>1341</v>
      </c>
      <c r="F15" s="129" t="s">
        <v>1342</v>
      </c>
      <c r="G15" s="129" t="s">
        <v>1343</v>
      </c>
      <c r="H15" s="129" t="s">
        <v>1344</v>
      </c>
      <c r="I15" s="129" t="s">
        <v>1348</v>
      </c>
    </row>
    <row r="16" spans="1:10" ht="15">
      <c r="A16" s="137">
        <v>1</v>
      </c>
      <c r="B16" s="138">
        <v>46302</v>
      </c>
      <c r="C16" s="137">
        <v>16</v>
      </c>
      <c r="D16" s="137">
        <v>2</v>
      </c>
      <c r="E16" s="137">
        <v>2</v>
      </c>
      <c r="F16" s="137">
        <v>16</v>
      </c>
      <c r="G16" s="137">
        <v>3</v>
      </c>
      <c r="H16" s="137">
        <v>2</v>
      </c>
      <c r="I16" s="137" t="s">
        <v>1269</v>
      </c>
      <c r="J16"/>
    </row>
    <row r="17" spans="1:10" ht="15">
      <c r="A17" s="137">
        <v>2</v>
      </c>
      <c r="B17" s="138">
        <v>46305</v>
      </c>
      <c r="C17" s="137">
        <v>18</v>
      </c>
      <c r="D17" s="137">
        <v>2</v>
      </c>
      <c r="E17" s="137">
        <v>2</v>
      </c>
      <c r="F17" s="137">
        <v>18</v>
      </c>
      <c r="G17" s="137">
        <v>3</v>
      </c>
      <c r="H17" s="137">
        <v>2</v>
      </c>
      <c r="I17" s="137" t="s">
        <v>1269</v>
      </c>
      <c r="J17"/>
    </row>
    <row r="18" spans="1:10" ht="15">
      <c r="A18" s="137">
        <v>3</v>
      </c>
      <c r="B18" s="138">
        <v>46309</v>
      </c>
      <c r="C18" s="137">
        <v>20</v>
      </c>
      <c r="D18" s="137">
        <v>2</v>
      </c>
      <c r="E18" s="137">
        <v>2</v>
      </c>
      <c r="F18" s="137">
        <v>20</v>
      </c>
      <c r="G18" s="137">
        <v>3</v>
      </c>
      <c r="H18" s="137">
        <v>2</v>
      </c>
      <c r="I18" s="137" t="s">
        <v>1269</v>
      </c>
      <c r="J18"/>
    </row>
    <row r="19" spans="1:10" ht="15">
      <c r="A19" s="137">
        <v>4</v>
      </c>
      <c r="B19" s="138">
        <v>46312</v>
      </c>
      <c r="C19" s="137">
        <v>20</v>
      </c>
      <c r="D19" s="137">
        <v>2</v>
      </c>
      <c r="E19" s="137">
        <v>2</v>
      </c>
      <c r="F19" s="137">
        <v>20</v>
      </c>
      <c r="G19" s="137">
        <v>3</v>
      </c>
      <c r="H19" s="137">
        <v>2</v>
      </c>
      <c r="I19" s="137" t="s">
        <v>1269</v>
      </c>
      <c r="J19"/>
    </row>
    <row r="20" spans="1:10" ht="15">
      <c r="A20" s="137">
        <v>5</v>
      </c>
      <c r="B20" s="138">
        <v>46316</v>
      </c>
      <c r="C20" s="137">
        <v>20</v>
      </c>
      <c r="D20" s="137">
        <v>2</v>
      </c>
      <c r="E20" s="137">
        <v>2</v>
      </c>
      <c r="F20" s="137">
        <v>20</v>
      </c>
      <c r="G20" s="137">
        <v>3</v>
      </c>
      <c r="H20" s="137">
        <v>2</v>
      </c>
      <c r="I20" s="137" t="s">
        <v>1269</v>
      </c>
      <c r="J20"/>
    </row>
    <row r="21" spans="1:10" ht="15">
      <c r="A21" s="137">
        <v>6</v>
      </c>
      <c r="B21" s="138">
        <v>46319</v>
      </c>
      <c r="C21" s="137">
        <v>22</v>
      </c>
      <c r="D21" s="137">
        <v>2</v>
      </c>
      <c r="E21" s="137">
        <v>2</v>
      </c>
      <c r="F21" s="137">
        <v>22</v>
      </c>
      <c r="G21" s="137">
        <v>4</v>
      </c>
      <c r="H21" s="137">
        <v>2</v>
      </c>
      <c r="I21" s="137" t="s">
        <v>1269</v>
      </c>
      <c r="J21"/>
    </row>
    <row r="22" spans="1:10" ht="15">
      <c r="A22" s="137">
        <v>7</v>
      </c>
      <c r="B22" s="138">
        <v>46323</v>
      </c>
      <c r="C22" s="137">
        <v>24</v>
      </c>
      <c r="D22" s="137">
        <v>2</v>
      </c>
      <c r="E22" s="137">
        <v>2</v>
      </c>
      <c r="F22" s="137">
        <v>24</v>
      </c>
      <c r="G22" s="137">
        <v>4</v>
      </c>
      <c r="H22" s="137">
        <v>2</v>
      </c>
      <c r="I22" s="137" t="s">
        <v>1269</v>
      </c>
      <c r="J22"/>
    </row>
    <row r="23" spans="1:10" ht="15">
      <c r="A23" s="137">
        <v>8</v>
      </c>
      <c r="B23" s="138">
        <v>46326</v>
      </c>
      <c r="C23" s="137">
        <v>26</v>
      </c>
      <c r="D23" s="137">
        <v>2</v>
      </c>
      <c r="E23" s="137">
        <v>2</v>
      </c>
      <c r="F23" s="137">
        <v>26</v>
      </c>
      <c r="G23" s="137">
        <v>5</v>
      </c>
      <c r="H23" s="137">
        <v>2</v>
      </c>
      <c r="I23" s="137" t="s">
        <v>1269</v>
      </c>
      <c r="J23"/>
    </row>
    <row r="24" spans="1:10" ht="15">
      <c r="A24" s="137">
        <v>9</v>
      </c>
      <c r="B24" s="138">
        <v>46330</v>
      </c>
      <c r="C24" s="137">
        <v>28</v>
      </c>
      <c r="D24" s="137">
        <v>2</v>
      </c>
      <c r="E24" s="137">
        <v>2</v>
      </c>
      <c r="F24" s="137">
        <v>28</v>
      </c>
      <c r="G24" s="137">
        <v>5</v>
      </c>
      <c r="H24" s="137">
        <v>2</v>
      </c>
      <c r="I24" s="137" t="s">
        <v>1269</v>
      </c>
      <c r="J24"/>
    </row>
    <row r="25" spans="1:10" ht="15">
      <c r="A25" s="137">
        <v>10</v>
      </c>
      <c r="B25" s="138">
        <v>46333</v>
      </c>
      <c r="C25" s="137">
        <v>30</v>
      </c>
      <c r="D25" s="137">
        <v>2</v>
      </c>
      <c r="E25" s="137">
        <v>2</v>
      </c>
      <c r="F25" s="137">
        <v>30</v>
      </c>
      <c r="G25" s="137">
        <v>5</v>
      </c>
      <c r="H25" s="137">
        <v>2</v>
      </c>
      <c r="I25" s="137" t="s">
        <v>1269</v>
      </c>
      <c r="J25"/>
    </row>
    <row r="26" spans="1:10" ht="15">
      <c r="A26" s="137">
        <v>11</v>
      </c>
      <c r="B26" s="138">
        <v>46337</v>
      </c>
      <c r="C26" s="137">
        <v>35</v>
      </c>
      <c r="D26" s="137">
        <v>1</v>
      </c>
      <c r="E26" s="137">
        <v>2</v>
      </c>
      <c r="F26" s="137">
        <v>30</v>
      </c>
      <c r="G26" s="137">
        <v>5</v>
      </c>
      <c r="H26" s="137">
        <v>2</v>
      </c>
      <c r="I26" s="137" t="s">
        <v>1269</v>
      </c>
      <c r="J26"/>
    </row>
    <row r="27" spans="1:10" ht="15">
      <c r="A27" s="137">
        <v>12</v>
      </c>
      <c r="B27" s="138">
        <v>46340</v>
      </c>
      <c r="C27" s="137">
        <v>35</v>
      </c>
      <c r="D27" s="137">
        <v>1.5</v>
      </c>
      <c r="E27" s="137">
        <v>2</v>
      </c>
      <c r="F27" s="137">
        <v>35</v>
      </c>
      <c r="G27" s="137">
        <v>5</v>
      </c>
      <c r="H27" s="137">
        <v>2</v>
      </c>
      <c r="I27" s="137" t="s">
        <v>1269</v>
      </c>
      <c r="J27"/>
    </row>
    <row r="28" spans="1:10" ht="15">
      <c r="A28" s="137">
        <v>13</v>
      </c>
      <c r="B28" s="138">
        <v>46344</v>
      </c>
      <c r="C28" s="137">
        <v>35</v>
      </c>
      <c r="D28" s="137">
        <v>2</v>
      </c>
      <c r="E28" s="137">
        <v>2</v>
      </c>
      <c r="F28" s="137">
        <v>35</v>
      </c>
      <c r="G28" s="137">
        <v>5</v>
      </c>
      <c r="H28" s="137">
        <v>2</v>
      </c>
      <c r="I28" s="137" t="s">
        <v>1269</v>
      </c>
      <c r="J28"/>
    </row>
    <row r="29" spans="1:10" ht="15">
      <c r="A29" s="137">
        <v>14</v>
      </c>
      <c r="B29" s="138">
        <v>46347</v>
      </c>
      <c r="C29" s="137">
        <v>35</v>
      </c>
      <c r="D29" s="137">
        <v>3</v>
      </c>
      <c r="E29" s="137">
        <v>2</v>
      </c>
      <c r="F29" s="137">
        <v>35</v>
      </c>
      <c r="G29" s="137">
        <v>5</v>
      </c>
      <c r="H29" s="137">
        <v>2</v>
      </c>
      <c r="I29" s="137" t="s">
        <v>1269</v>
      </c>
      <c r="J29"/>
    </row>
    <row r="30" spans="1:10" ht="15">
      <c r="A30" s="137">
        <v>15</v>
      </c>
      <c r="B30" s="138">
        <v>46351</v>
      </c>
      <c r="C30" s="137">
        <v>35</v>
      </c>
      <c r="D30" s="137">
        <v>4</v>
      </c>
      <c r="E30" s="137">
        <v>2</v>
      </c>
      <c r="F30" s="137">
        <v>35</v>
      </c>
      <c r="G30" s="137">
        <v>5</v>
      </c>
      <c r="H30" s="137">
        <v>2</v>
      </c>
      <c r="I30" s="137" t="s">
        <v>1269</v>
      </c>
      <c r="J30"/>
    </row>
    <row r="31" spans="1:10" ht="15">
      <c r="A31" s="137">
        <v>16</v>
      </c>
      <c r="B31" s="138">
        <v>46354</v>
      </c>
      <c r="C31" s="137">
        <v>35</v>
      </c>
      <c r="D31" s="137">
        <v>5</v>
      </c>
      <c r="E31" s="137">
        <v>2</v>
      </c>
      <c r="F31" s="137">
        <v>35</v>
      </c>
      <c r="G31" s="137">
        <v>5</v>
      </c>
      <c r="H31" s="137">
        <v>2</v>
      </c>
      <c r="I31" s="137" t="s">
        <v>1269</v>
      </c>
      <c r="J31"/>
    </row>
    <row r="32" spans="1:10" ht="15">
      <c r="A32" s="137">
        <v>17</v>
      </c>
      <c r="B32" s="138">
        <v>46358</v>
      </c>
      <c r="C32" s="137">
        <v>35</v>
      </c>
      <c r="D32" s="137">
        <v>5</v>
      </c>
      <c r="E32" s="137">
        <v>2</v>
      </c>
      <c r="F32" s="137">
        <v>35</v>
      </c>
      <c r="G32" s="137">
        <v>5</v>
      </c>
      <c r="H32" s="137">
        <v>2</v>
      </c>
      <c r="I32" s="137" t="s">
        <v>1269</v>
      </c>
      <c r="J32"/>
    </row>
    <row r="33" spans="1:10" ht="15">
      <c r="A33" t="s">
        <v>1647</v>
      </c>
      <c r="B33"/>
      <c r="C33"/>
      <c r="D33"/>
      <c r="E33"/>
      <c r="F33"/>
      <c r="G33"/>
      <c r="H33"/>
      <c r="I33"/>
      <c r="J33"/>
    </row>
    <row r="34" spans="1:10" ht="15">
      <c r="A34"/>
      <c r="B34"/>
      <c r="C34"/>
      <c r="D34"/>
      <c r="E34"/>
      <c r="F34"/>
      <c r="G34"/>
      <c r="H34"/>
      <c r="I34"/>
      <c r="J34"/>
    </row>
    <row r="35" spans="1:10" ht="15">
      <c r="A35" t="s">
        <v>1258</v>
      </c>
      <c r="B35"/>
      <c r="C35"/>
      <c r="D35"/>
      <c r="E35"/>
      <c r="F35"/>
      <c r="G35"/>
      <c r="H35"/>
      <c r="I35"/>
      <c r="J35"/>
    </row>
    <row r="36" spans="1:10" ht="15">
      <c r="A36" t="s">
        <v>1349</v>
      </c>
      <c r="B36"/>
      <c r="C36"/>
      <c r="D36"/>
      <c r="E36"/>
      <c r="F36"/>
      <c r="G36"/>
      <c r="H36"/>
      <c r="I36"/>
      <c r="J36"/>
    </row>
    <row r="37" spans="1:10" ht="15">
      <c r="A37" t="s">
        <v>1354</v>
      </c>
      <c r="B37"/>
      <c r="C37"/>
      <c r="D37"/>
      <c r="E37"/>
      <c r="F37"/>
      <c r="G37"/>
      <c r="H37"/>
      <c r="I37"/>
      <c r="J37"/>
    </row>
    <row r="38" spans="1:10" ht="15">
      <c r="A38" t="s">
        <v>1350</v>
      </c>
      <c r="B38"/>
      <c r="C38"/>
      <c r="D38"/>
      <c r="E38"/>
      <c r="F38"/>
      <c r="G38"/>
      <c r="H38"/>
      <c r="I38"/>
      <c r="J38"/>
    </row>
    <row r="39" spans="1:10" ht="15">
      <c r="A39" t="s">
        <v>1351</v>
      </c>
      <c r="B39"/>
      <c r="C39"/>
      <c r="D39"/>
      <c r="E39"/>
      <c r="F39"/>
      <c r="G39"/>
      <c r="H39"/>
      <c r="I39"/>
      <c r="J39"/>
    </row>
    <row r="40" spans="1:10" ht="15">
      <c r="A40" t="s">
        <v>1320</v>
      </c>
      <c r="B40"/>
      <c r="C40"/>
      <c r="D40"/>
      <c r="E40"/>
      <c r="F40"/>
      <c r="G40"/>
      <c r="H40"/>
      <c r="I40"/>
      <c r="J40"/>
    </row>
    <row r="41" spans="1:10" ht="15">
      <c r="A41" t="s">
        <v>1321</v>
      </c>
      <c r="B41"/>
      <c r="C41"/>
      <c r="D41"/>
      <c r="E41"/>
      <c r="F41"/>
      <c r="G41"/>
      <c r="H41"/>
      <c r="I41"/>
      <c r="J41"/>
    </row>
    <row r="42" spans="1:10" ht="15">
      <c r="A42" t="s">
        <v>1322</v>
      </c>
      <c r="B42"/>
      <c r="C42"/>
      <c r="D42"/>
      <c r="E42"/>
      <c r="F42"/>
      <c r="G42"/>
      <c r="H42"/>
      <c r="I42"/>
      <c r="J42"/>
    </row>
    <row r="43" spans="1:10" ht="15">
      <c r="A43" t="s">
        <v>1323</v>
      </c>
      <c r="B43"/>
      <c r="C43"/>
      <c r="D43"/>
      <c r="E43"/>
      <c r="F43"/>
      <c r="G43"/>
      <c r="H43"/>
      <c r="I43"/>
      <c r="J43"/>
    </row>
    <row r="44" spans="1:10" ht="15">
      <c r="A44" t="s">
        <v>1324</v>
      </c>
      <c r="B44"/>
      <c r="C44"/>
      <c r="D44"/>
      <c r="E44"/>
      <c r="F44"/>
      <c r="G44"/>
      <c r="H44"/>
      <c r="I44"/>
      <c r="J44"/>
    </row>
    <row r="45" spans="1:10" ht="15">
      <c r="A45" t="s">
        <v>1352</v>
      </c>
      <c r="B45"/>
      <c r="C45"/>
      <c r="D45"/>
      <c r="E45"/>
      <c r="F45"/>
      <c r="G45"/>
      <c r="H45"/>
      <c r="I45"/>
      <c r="J45"/>
    </row>
    <row r="46" spans="1:10" ht="15">
      <c r="A46" t="s">
        <v>1345</v>
      </c>
      <c r="B46"/>
      <c r="C46"/>
      <c r="D46"/>
      <c r="E46"/>
      <c r="F46"/>
      <c r="G46"/>
      <c r="H46"/>
      <c r="I46"/>
      <c r="J46"/>
    </row>
    <row r="47" spans="1:10" ht="15">
      <c r="A47"/>
      <c r="B47"/>
      <c r="C47"/>
      <c r="D47"/>
      <c r="E47"/>
      <c r="F47"/>
      <c r="G47"/>
      <c r="H47"/>
      <c r="I47"/>
      <c r="J47"/>
    </row>
    <row r="48" spans="1:10" ht="15">
      <c r="A48"/>
      <c r="B48"/>
      <c r="C48"/>
      <c r="D48"/>
      <c r="E48"/>
      <c r="F48"/>
      <c r="G48"/>
      <c r="H48"/>
      <c r="I48"/>
      <c r="J48"/>
    </row>
    <row r="49" spans="1:10" ht="15">
      <c r="A49"/>
      <c r="B49"/>
      <c r="C49"/>
      <c r="D49"/>
      <c r="E49"/>
      <c r="F49"/>
      <c r="G49"/>
      <c r="H49"/>
      <c r="I49"/>
      <c r="J49"/>
    </row>
    <row r="50" spans="1:10" ht="15">
      <c r="A50"/>
      <c r="B50"/>
      <c r="C50"/>
      <c r="D50"/>
      <c r="E50"/>
      <c r="F50"/>
      <c r="G50"/>
      <c r="H50"/>
      <c r="I50"/>
      <c r="J50"/>
    </row>
    <row r="51" spans="1:10" ht="15">
      <c r="A51"/>
      <c r="B51"/>
      <c r="C51"/>
      <c r="D51"/>
      <c r="E51"/>
      <c r="F51"/>
      <c r="G51"/>
      <c r="H51"/>
      <c r="I51"/>
      <c r="J51"/>
    </row>
    <row r="52" spans="1:10" ht="15">
      <c r="A52"/>
      <c r="B52"/>
      <c r="C52"/>
      <c r="D52"/>
      <c r="E52"/>
      <c r="F52"/>
      <c r="G52"/>
      <c r="H52"/>
      <c r="I52"/>
      <c r="J52"/>
    </row>
    <row r="53" spans="1:10" ht="15">
      <c r="A53"/>
      <c r="B53"/>
      <c r="C53"/>
      <c r="D53"/>
      <c r="E53"/>
      <c r="F53"/>
      <c r="G53"/>
      <c r="H53"/>
      <c r="I53"/>
      <c r="J53"/>
    </row>
    <row r="54" spans="1:10" ht="15">
      <c r="A54"/>
      <c r="B54"/>
      <c r="C54"/>
      <c r="D54"/>
      <c r="E54"/>
      <c r="F54"/>
      <c r="G54"/>
      <c r="H54"/>
      <c r="I54"/>
      <c r="J54"/>
    </row>
    <row r="55" spans="1:10" ht="15">
      <c r="A55"/>
      <c r="B55"/>
      <c r="C55"/>
      <c r="D55"/>
      <c r="E55"/>
      <c r="F55"/>
      <c r="G55"/>
      <c r="H55"/>
      <c r="I55"/>
      <c r="J55"/>
    </row>
    <row r="56" spans="1:10" ht="15">
      <c r="A56"/>
      <c r="B56"/>
      <c r="C56"/>
      <c r="D56"/>
      <c r="E56"/>
      <c r="F56"/>
      <c r="G56"/>
      <c r="H56"/>
      <c r="I56"/>
      <c r="J56"/>
    </row>
    <row r="57" spans="1:10" ht="15">
      <c r="A57"/>
      <c r="B57"/>
      <c r="C57"/>
      <c r="D57"/>
      <c r="E57"/>
      <c r="F57"/>
      <c r="G57"/>
      <c r="H57"/>
      <c r="I57"/>
      <c r="J57"/>
    </row>
    <row r="58" spans="1:10" ht="15">
      <c r="A58"/>
      <c r="B58"/>
      <c r="C58"/>
      <c r="D58"/>
      <c r="E58"/>
      <c r="F58"/>
      <c r="G58"/>
      <c r="H58"/>
      <c r="I58"/>
      <c r="J58"/>
    </row>
    <row r="59" spans="1:10" ht="15">
      <c r="A59"/>
      <c r="B59"/>
      <c r="C59"/>
      <c r="D59"/>
      <c r="E59"/>
      <c r="F59"/>
      <c r="G59"/>
      <c r="H59"/>
      <c r="I59"/>
      <c r="J59"/>
    </row>
    <row r="60" spans="1:10" ht="15">
      <c r="A60"/>
      <c r="B60"/>
      <c r="C60"/>
      <c r="D60"/>
      <c r="E60"/>
      <c r="F60"/>
      <c r="G60"/>
      <c r="H60"/>
      <c r="I60"/>
      <c r="J60"/>
    </row>
    <row r="61" spans="1:10" ht="15">
      <c r="A61"/>
      <c r="B61"/>
      <c r="C61"/>
      <c r="D61"/>
      <c r="E61"/>
      <c r="F61"/>
      <c r="G61"/>
      <c r="H61"/>
      <c r="I61"/>
      <c r="J61"/>
    </row>
    <row r="62" spans="1:10" ht="15">
      <c r="A62"/>
      <c r="B62"/>
      <c r="C62"/>
      <c r="D62"/>
      <c r="E62"/>
      <c r="F62"/>
      <c r="G62"/>
      <c r="H62"/>
      <c r="I62"/>
      <c r="J62"/>
    </row>
    <row r="63" spans="1:10" ht="15">
      <c r="A63"/>
      <c r="B63"/>
      <c r="C63"/>
      <c r="D63"/>
      <c r="E63"/>
      <c r="F63"/>
      <c r="G63"/>
      <c r="H63"/>
      <c r="I63"/>
      <c r="J63"/>
    </row>
    <row r="64" spans="1:10" ht="15">
      <c r="A64"/>
      <c r="B64"/>
      <c r="C64"/>
      <c r="D64"/>
      <c r="E64"/>
      <c r="F64"/>
      <c r="G64"/>
      <c r="H64"/>
      <c r="I64"/>
      <c r="J64"/>
    </row>
    <row r="65" spans="1:10" ht="15">
      <c r="A65"/>
      <c r="B65"/>
      <c r="C65"/>
      <c r="D65"/>
      <c r="E65"/>
      <c r="F65"/>
      <c r="G65"/>
      <c r="H65"/>
      <c r="I65"/>
      <c r="J65"/>
    </row>
    <row r="66" spans="1:10" ht="15">
      <c r="A66"/>
      <c r="B66"/>
      <c r="C66"/>
      <c r="D66"/>
      <c r="E66"/>
      <c r="F66"/>
      <c r="G66"/>
      <c r="H66"/>
      <c r="I66"/>
      <c r="J66"/>
    </row>
    <row r="67" spans="1:10" ht="15">
      <c r="A67"/>
      <c r="B67"/>
      <c r="C67"/>
      <c r="D67"/>
      <c r="E67"/>
      <c r="F67"/>
      <c r="G67"/>
      <c r="H67"/>
      <c r="I67"/>
      <c r="J67"/>
    </row>
    <row r="68" spans="1:10" ht="15">
      <c r="A68"/>
      <c r="B68"/>
      <c r="C68"/>
      <c r="D68"/>
      <c r="E68"/>
      <c r="F68"/>
      <c r="G68"/>
      <c r="H68"/>
      <c r="I68"/>
      <c r="J68"/>
    </row>
    <row r="69" spans="1:10" ht="15">
      <c r="A69"/>
      <c r="B69"/>
      <c r="C69"/>
      <c r="D69"/>
      <c r="E69"/>
      <c r="F69"/>
      <c r="G69"/>
      <c r="H69"/>
      <c r="I69"/>
      <c r="J69"/>
    </row>
    <row r="70" spans="1:10" ht="15">
      <c r="A70"/>
      <c r="B70"/>
      <c r="C70"/>
      <c r="D70"/>
      <c r="E70"/>
      <c r="F70"/>
      <c r="G70"/>
      <c r="H70"/>
      <c r="I70"/>
      <c r="J70"/>
    </row>
    <row r="71" spans="1:10" ht="15">
      <c r="A71"/>
      <c r="B71"/>
      <c r="C71"/>
      <c r="D71"/>
      <c r="E71"/>
      <c r="F71"/>
      <c r="G71"/>
      <c r="H71"/>
      <c r="I71"/>
      <c r="J71"/>
    </row>
    <row r="72" spans="1:10" ht="15">
      <c r="A72"/>
      <c r="B72"/>
      <c r="C72"/>
      <c r="D72"/>
      <c r="E72"/>
      <c r="F72"/>
      <c r="G72"/>
      <c r="H72"/>
      <c r="I72"/>
      <c r="J72"/>
    </row>
    <row r="73" spans="1:10" ht="15">
      <c r="A73"/>
      <c r="B73"/>
      <c r="C73"/>
      <c r="D73"/>
      <c r="E73"/>
      <c r="F73"/>
      <c r="G73"/>
      <c r="H73"/>
      <c r="I73"/>
      <c r="J73"/>
    </row>
    <row r="74" spans="1:10" ht="15">
      <c r="A74"/>
      <c r="B74"/>
      <c r="C74"/>
      <c r="D74"/>
      <c r="E74"/>
      <c r="F74"/>
      <c r="G74"/>
      <c r="H74"/>
      <c r="I74"/>
      <c r="J74"/>
    </row>
    <row r="75" spans="1:10" ht="15">
      <c r="A75"/>
      <c r="B75"/>
      <c r="C75"/>
      <c r="D75"/>
      <c r="E75"/>
      <c r="F75"/>
      <c r="G75"/>
      <c r="H75"/>
      <c r="I75"/>
      <c r="J75"/>
    </row>
    <row r="76" spans="1:10" ht="15">
      <c r="A76"/>
      <c r="B76"/>
      <c r="C76"/>
      <c r="D76"/>
      <c r="E76"/>
      <c r="F76"/>
      <c r="G76"/>
      <c r="H76"/>
      <c r="I76"/>
      <c r="J76"/>
    </row>
    <row r="77" spans="1:10" ht="15">
      <c r="A77"/>
      <c r="B77"/>
      <c r="C77"/>
      <c r="D77"/>
      <c r="E77"/>
      <c r="F77"/>
      <c r="G77"/>
      <c r="H77"/>
      <c r="I77"/>
      <c r="J77"/>
    </row>
    <row r="78" spans="1:10" ht="15">
      <c r="A78"/>
      <c r="B78"/>
      <c r="C78"/>
      <c r="D78"/>
      <c r="E78"/>
      <c r="F78"/>
      <c r="G78"/>
      <c r="H78"/>
      <c r="I78"/>
      <c r="J78"/>
    </row>
    <row r="79" spans="1:10" ht="15">
      <c r="A79"/>
      <c r="B79"/>
      <c r="C79"/>
      <c r="D79"/>
      <c r="E79"/>
      <c r="F79"/>
      <c r="G79"/>
      <c r="H79"/>
      <c r="I79"/>
      <c r="J79"/>
    </row>
    <row r="80" spans="1:10" ht="15">
      <c r="A80"/>
      <c r="B80"/>
      <c r="C80"/>
      <c r="D80"/>
      <c r="E80"/>
      <c r="F80"/>
      <c r="G80"/>
      <c r="H80"/>
      <c r="I80"/>
      <c r="J80"/>
    </row>
    <row r="81" spans="1:10" ht="15">
      <c r="A81"/>
      <c r="B81"/>
      <c r="C81"/>
      <c r="D81"/>
      <c r="E81"/>
      <c r="F81"/>
      <c r="G81"/>
      <c r="H81"/>
      <c r="I81"/>
      <c r="J81"/>
    </row>
    <row r="82" spans="1:10" ht="15">
      <c r="A82"/>
      <c r="B82"/>
      <c r="C82"/>
      <c r="D82"/>
      <c r="E82"/>
      <c r="F82"/>
      <c r="G82"/>
      <c r="H82"/>
      <c r="I82"/>
      <c r="J82"/>
    </row>
    <row r="83" spans="1:10" ht="15">
      <c r="A83"/>
      <c r="B83"/>
      <c r="C83"/>
      <c r="D83"/>
      <c r="E83"/>
      <c r="F83"/>
      <c r="G83"/>
      <c r="H83"/>
      <c r="I83"/>
      <c r="J83"/>
    </row>
    <row r="84" spans="1:10" ht="15">
      <c r="A84"/>
      <c r="B84"/>
      <c r="C84"/>
      <c r="D84"/>
      <c r="E84"/>
      <c r="F84"/>
      <c r="G84"/>
      <c r="H84"/>
      <c r="I84"/>
      <c r="J84"/>
    </row>
    <row r="85" spans="1:10" ht="15">
      <c r="A85"/>
      <c r="B85"/>
      <c r="C85"/>
      <c r="D85"/>
      <c r="E85"/>
      <c r="F85"/>
      <c r="G85"/>
      <c r="H85"/>
      <c r="I85"/>
      <c r="J85"/>
    </row>
    <row r="86" spans="1:10" ht="15">
      <c r="A86"/>
      <c r="B86"/>
      <c r="C86"/>
      <c r="D86"/>
      <c r="E86"/>
      <c r="F86"/>
      <c r="G86"/>
      <c r="H86"/>
      <c r="I86"/>
      <c r="J86"/>
    </row>
    <row r="87" spans="1:10" ht="15">
      <c r="A87"/>
      <c r="B87"/>
      <c r="C87"/>
      <c r="D87"/>
      <c r="E87"/>
      <c r="F87"/>
      <c r="G87"/>
      <c r="H87"/>
      <c r="I87"/>
      <c r="J87"/>
    </row>
    <row r="88" spans="1:10" ht="15">
      <c r="A88"/>
      <c r="B88"/>
      <c r="C88"/>
      <c r="D88"/>
      <c r="E88"/>
      <c r="F88"/>
      <c r="G88"/>
      <c r="H88"/>
      <c r="I88"/>
      <c r="J88"/>
    </row>
    <row r="89" spans="1:10" ht="15">
      <c r="A89"/>
      <c r="B89"/>
      <c r="C89"/>
      <c r="D89"/>
      <c r="E89"/>
      <c r="F89"/>
      <c r="G89"/>
      <c r="H89"/>
      <c r="I89"/>
      <c r="J89"/>
    </row>
    <row r="90" spans="1:10" ht="15">
      <c r="A90"/>
      <c r="B90"/>
      <c r="C90"/>
      <c r="D90"/>
      <c r="E90"/>
      <c r="F90"/>
      <c r="G90"/>
      <c r="H90"/>
      <c r="I90"/>
      <c r="J90"/>
    </row>
  </sheetData>
  <mergeCells count="7">
    <mergeCell ref="B12:H12"/>
    <mergeCell ref="B6:H6"/>
    <mergeCell ref="B7:H7"/>
    <mergeCell ref="B8:H8"/>
    <mergeCell ref="B9:H9"/>
    <mergeCell ref="B10:H10"/>
    <mergeCell ref="B11:H11"/>
  </mergeCells>
  <phoneticPr fontId="29" type="noConversion"/>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D61"/>
  <sheetViews>
    <sheetView workbookViewId="0"/>
  </sheetViews>
  <sheetFormatPr defaultRowHeight="15"/>
  <cols>
    <col min="1" max="1" width="18" customWidth="1"/>
    <col min="2" max="2" width="22" customWidth="1"/>
    <col min="3" max="3" width="30" customWidth="1"/>
    <col min="4" max="4" width="62" customWidth="1"/>
  </cols>
  <sheetData>
    <row r="1" spans="1:4" ht="18.75">
      <c r="A1" s="106" t="s">
        <v>0</v>
      </c>
    </row>
    <row r="2" spans="1:4">
      <c r="A2" s="119" t="s">
        <v>1</v>
      </c>
    </row>
    <row r="4" spans="1:4">
      <c r="A4" s="111" t="s">
        <v>2</v>
      </c>
      <c r="B4" s="111" t="s">
        <v>3</v>
      </c>
      <c r="C4" s="111" t="s">
        <v>4</v>
      </c>
      <c r="D4" s="111" t="s">
        <v>5</v>
      </c>
    </row>
    <row r="5" spans="1:4" ht="30" customHeight="1">
      <c r="A5" s="114" t="s">
        <v>6</v>
      </c>
      <c r="B5" s="120" t="s">
        <v>7</v>
      </c>
      <c r="C5" s="115" t="s">
        <v>7</v>
      </c>
      <c r="D5" s="115" t="s">
        <v>8</v>
      </c>
    </row>
    <row r="6" spans="1:4" ht="30" customHeight="1">
      <c r="A6" s="114" t="s">
        <v>9</v>
      </c>
      <c r="B6" s="120" t="s">
        <v>10</v>
      </c>
      <c r="C6" s="115" t="s">
        <v>11</v>
      </c>
      <c r="D6" s="115" t="s">
        <v>12</v>
      </c>
    </row>
    <row r="7" spans="1:4" ht="30" customHeight="1">
      <c r="A7" s="114" t="s">
        <v>13</v>
      </c>
      <c r="B7" s="120" t="s">
        <v>14</v>
      </c>
      <c r="C7" s="115" t="s">
        <v>1396</v>
      </c>
      <c r="D7" s="115" t="s">
        <v>1397</v>
      </c>
    </row>
    <row r="8" spans="1:4" ht="30" customHeight="1">
      <c r="A8" s="114" t="s">
        <v>15</v>
      </c>
      <c r="B8" s="120" t="s">
        <v>16</v>
      </c>
      <c r="C8" s="115" t="s">
        <v>17</v>
      </c>
      <c r="D8" s="115" t="s">
        <v>18</v>
      </c>
    </row>
    <row r="9" spans="1:4" ht="30" customHeight="1">
      <c r="A9" s="114" t="s">
        <v>19</v>
      </c>
      <c r="B9" s="120" t="s">
        <v>20</v>
      </c>
      <c r="C9" s="115" t="s">
        <v>21</v>
      </c>
      <c r="D9" s="115" t="s">
        <v>22</v>
      </c>
    </row>
    <row r="10" spans="1:4" ht="30" customHeight="1">
      <c r="A10" s="114" t="s">
        <v>23</v>
      </c>
      <c r="B10" s="120" t="s">
        <v>24</v>
      </c>
      <c r="C10" s="115" t="s">
        <v>1528</v>
      </c>
      <c r="D10" s="115" t="s">
        <v>25</v>
      </c>
    </row>
    <row r="11" spans="1:4" ht="30" customHeight="1">
      <c r="A11" s="114" t="s">
        <v>26</v>
      </c>
      <c r="B11" s="120" t="s">
        <v>27</v>
      </c>
      <c r="C11" s="115" t="s">
        <v>28</v>
      </c>
      <c r="D11" s="115" t="s">
        <v>29</v>
      </c>
    </row>
    <row r="12" spans="1:4" ht="30" customHeight="1">
      <c r="A12" s="114" t="s">
        <v>30</v>
      </c>
      <c r="B12" s="120" t="s">
        <v>31</v>
      </c>
      <c r="C12" s="115" t="s">
        <v>31</v>
      </c>
      <c r="D12" s="115" t="s">
        <v>32</v>
      </c>
    </row>
    <row r="13" spans="1:4" ht="30" customHeight="1">
      <c r="A13" s="114" t="s">
        <v>33</v>
      </c>
      <c r="B13" s="120" t="s">
        <v>34</v>
      </c>
      <c r="C13" s="115" t="s">
        <v>1289</v>
      </c>
      <c r="D13" s="115" t="s">
        <v>1474</v>
      </c>
    </row>
    <row r="14" spans="1:4" ht="30" customHeight="1">
      <c r="A14" s="114" t="s">
        <v>35</v>
      </c>
      <c r="B14" s="120" t="s">
        <v>36</v>
      </c>
      <c r="C14" s="115" t="s">
        <v>37</v>
      </c>
      <c r="D14" s="115" t="s">
        <v>1490</v>
      </c>
    </row>
    <row r="17" spans="1:1">
      <c r="A17" s="107" t="s">
        <v>38</v>
      </c>
    </row>
    <row r="18" spans="1:1">
      <c r="A18" s="123" t="s">
        <v>39</v>
      </c>
    </row>
    <row r="19" spans="1:1">
      <c r="A19" s="123" t="s">
        <v>40</v>
      </c>
    </row>
    <row r="20" spans="1:1">
      <c r="A20" s="123" t="s">
        <v>41</v>
      </c>
    </row>
    <row r="21" spans="1:1">
      <c r="A21" s="123" t="s">
        <v>42</v>
      </c>
    </row>
    <row r="22" spans="1:1">
      <c r="A22" s="123" t="s">
        <v>43</v>
      </c>
    </row>
    <row r="24" spans="1:1">
      <c r="A24" s="107" t="s">
        <v>44</v>
      </c>
    </row>
    <row r="25" spans="1:1">
      <c r="A25" s="123" t="s">
        <v>45</v>
      </c>
    </row>
    <row r="26" spans="1:1">
      <c r="A26" s="123" t="s">
        <v>46</v>
      </c>
    </row>
    <row r="27" spans="1:1">
      <c r="A27" s="123" t="s">
        <v>47</v>
      </c>
    </row>
    <row r="29" spans="1:1">
      <c r="A29" s="107" t="s">
        <v>48</v>
      </c>
    </row>
    <row r="30" spans="1:1">
      <c r="A30" s="123" t="s">
        <v>49</v>
      </c>
    </row>
    <row r="31" spans="1:1">
      <c r="A31" s="123" t="s">
        <v>50</v>
      </c>
    </row>
    <row r="32" spans="1:1">
      <c r="A32" s="123" t="s">
        <v>51</v>
      </c>
    </row>
    <row r="33" spans="1:1">
      <c r="A33" s="123" t="s">
        <v>52</v>
      </c>
    </row>
    <row r="35" spans="1:1">
      <c r="A35" s="107" t="s">
        <v>53</v>
      </c>
    </row>
    <row r="36" spans="1:1">
      <c r="A36" s="123" t="s">
        <v>54</v>
      </c>
    </row>
    <row r="37" spans="1:1">
      <c r="A37" s="123" t="s">
        <v>55</v>
      </c>
    </row>
    <row r="38" spans="1:1">
      <c r="A38" s="123" t="s">
        <v>1416</v>
      </c>
    </row>
    <row r="39" spans="1:1">
      <c r="A39" s="123" t="s">
        <v>56</v>
      </c>
    </row>
    <row r="40" spans="1:1">
      <c r="A40" s="123" t="s">
        <v>57</v>
      </c>
    </row>
    <row r="42" spans="1:1">
      <c r="A42" s="107" t="s">
        <v>58</v>
      </c>
    </row>
    <row r="43" spans="1:1">
      <c r="A43" s="123" t="s">
        <v>59</v>
      </c>
    </row>
    <row r="44" spans="1:1">
      <c r="A44" s="123" t="s">
        <v>1529</v>
      </c>
    </row>
    <row r="45" spans="1:1">
      <c r="A45" s="123" t="s">
        <v>60</v>
      </c>
    </row>
    <row r="46" spans="1:1">
      <c r="A46" s="123" t="s">
        <v>1299</v>
      </c>
    </row>
    <row r="47" spans="1:1">
      <c r="A47" s="123" t="s">
        <v>1295</v>
      </c>
    </row>
    <row r="48" spans="1:1">
      <c r="A48" s="123" t="s">
        <v>61</v>
      </c>
    </row>
    <row r="49" spans="1:1">
      <c r="A49" s="123" t="s">
        <v>62</v>
      </c>
    </row>
    <row r="50" spans="1:1">
      <c r="A50" s="123" t="s">
        <v>63</v>
      </c>
    </row>
    <row r="52" spans="1:1">
      <c r="A52" s="107" t="s">
        <v>64</v>
      </c>
    </row>
    <row r="53" spans="1:1">
      <c r="A53" s="123" t="s">
        <v>65</v>
      </c>
    </row>
    <row r="54" spans="1:1">
      <c r="A54" s="123" t="s">
        <v>66</v>
      </c>
    </row>
    <row r="55" spans="1:1">
      <c r="A55" s="123" t="s">
        <v>1489</v>
      </c>
    </row>
    <row r="56" spans="1:1">
      <c r="A56" s="123" t="s">
        <v>67</v>
      </c>
    </row>
    <row r="58" spans="1:1">
      <c r="A58" s="107" t="s">
        <v>68</v>
      </c>
    </row>
    <row r="59" spans="1:1">
      <c r="A59" s="123" t="s">
        <v>69</v>
      </c>
    </row>
    <row r="60" spans="1:1">
      <c r="A60" s="123" t="s">
        <v>70</v>
      </c>
    </row>
    <row r="61" spans="1:1">
      <c r="A61" s="123" t="s">
        <v>71</v>
      </c>
    </row>
  </sheetData>
  <phoneticPr fontId="29" type="noConversion"/>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H83"/>
  <sheetViews>
    <sheetView workbookViewId="0">
      <selection activeCell="M14" sqref="M14"/>
    </sheetView>
  </sheetViews>
  <sheetFormatPr defaultRowHeight="15"/>
  <cols>
    <col min="1" max="1" width="18" customWidth="1"/>
    <col min="2" max="2" width="34" customWidth="1"/>
    <col min="3" max="3" width="20" customWidth="1"/>
    <col min="4" max="4" width="7" customWidth="1"/>
    <col min="5" max="6" width="10" customWidth="1"/>
    <col min="7" max="7" width="7" customWidth="1"/>
    <col min="8" max="8" width="60" customWidth="1"/>
  </cols>
  <sheetData>
    <row r="1" spans="1:8" ht="18.75">
      <c r="A1" s="106" t="s">
        <v>1124</v>
      </c>
    </row>
    <row r="2" spans="1:8">
      <c r="A2" s="119" t="s">
        <v>1125</v>
      </c>
    </row>
    <row r="3" spans="1:8">
      <c r="A3" s="119" t="s">
        <v>635</v>
      </c>
      <c r="F3" s="107">
        <f ca="1">COUNTIF($E$7:$E$100,"?")</f>
        <v>0</v>
      </c>
    </row>
    <row r="4" spans="1:8">
      <c r="A4" s="119" t="s">
        <v>1126</v>
      </c>
    </row>
    <row r="6" spans="1:8">
      <c r="A6" s="111" t="s">
        <v>1127</v>
      </c>
      <c r="B6" s="111" t="s">
        <v>638</v>
      </c>
      <c r="C6" s="111" t="s">
        <v>639</v>
      </c>
      <c r="D6" s="111" t="s">
        <v>640</v>
      </c>
      <c r="E6" s="111" t="s">
        <v>641</v>
      </c>
      <c r="F6" s="111" t="s">
        <v>642</v>
      </c>
      <c r="G6" s="111" t="s">
        <v>643</v>
      </c>
      <c r="H6" s="111" t="s">
        <v>644</v>
      </c>
    </row>
    <row r="7" spans="1:8" ht="51">
      <c r="A7" s="114" t="s">
        <v>1128</v>
      </c>
      <c r="B7" s="115" t="s">
        <v>86</v>
      </c>
      <c r="C7" s="114" t="s">
        <v>345</v>
      </c>
      <c r="D7" s="114">
        <v>0.5</v>
      </c>
      <c r="E7" s="114">
        <f t="shared" ref="E7:E45" ca="1" si="0">IFERROR(INDEX(INDIRECT("'"&amp;$A7&amp;"'!$E$1:$E$60"),MATCH($B7,INDIRECT("'"&amp;$A7&amp;"'!$B$1:$B$60"),0)),"?")</f>
        <v>4</v>
      </c>
      <c r="F7" s="114">
        <f t="shared" ref="F7:F44" ca="1" si="1">IF(ISNUMBER(E7),$D7*E7,0)</f>
        <v>2</v>
      </c>
      <c r="G7" s="114" t="s">
        <v>659</v>
      </c>
      <c r="H7" s="115" t="s">
        <v>1444</v>
      </c>
    </row>
    <row r="8" spans="1:8">
      <c r="A8" s="114" t="s">
        <v>1128</v>
      </c>
      <c r="B8" s="115" t="s">
        <v>517</v>
      </c>
      <c r="C8" s="114" t="s">
        <v>345</v>
      </c>
      <c r="D8" s="114">
        <v>0.5</v>
      </c>
      <c r="E8" s="114">
        <f t="shared" ca="1" si="0"/>
        <v>3</v>
      </c>
      <c r="F8" s="114">
        <f t="shared" ca="1" si="1"/>
        <v>1.5</v>
      </c>
      <c r="G8" s="114" t="s">
        <v>659</v>
      </c>
      <c r="H8" s="115" t="s">
        <v>1129</v>
      </c>
    </row>
    <row r="9" spans="1:8">
      <c r="A9" s="114" t="s">
        <v>1128</v>
      </c>
      <c r="B9" s="115" t="s">
        <v>343</v>
      </c>
      <c r="C9" s="114" t="s">
        <v>345</v>
      </c>
      <c r="D9" s="114">
        <v>0.5</v>
      </c>
      <c r="E9" s="114">
        <f t="shared" ca="1" si="0"/>
        <v>3</v>
      </c>
      <c r="F9" s="114">
        <f t="shared" ca="1" si="1"/>
        <v>1.5</v>
      </c>
      <c r="G9" s="114" t="s">
        <v>659</v>
      </c>
      <c r="H9" s="115" t="s">
        <v>1130</v>
      </c>
    </row>
    <row r="10" spans="1:8" ht="51">
      <c r="A10" s="114" t="s">
        <v>1131</v>
      </c>
      <c r="B10" s="115" t="s">
        <v>508</v>
      </c>
      <c r="C10" s="114" t="s">
        <v>345</v>
      </c>
      <c r="D10" s="114">
        <v>0.2</v>
      </c>
      <c r="E10" s="114">
        <f t="shared" ca="1" si="0"/>
        <v>4</v>
      </c>
      <c r="F10" s="114">
        <f t="shared" ca="1" si="1"/>
        <v>0.8</v>
      </c>
      <c r="G10" s="114" t="s">
        <v>659</v>
      </c>
      <c r="H10" s="115" t="s">
        <v>1542</v>
      </c>
    </row>
    <row r="11" spans="1:8" ht="63.75">
      <c r="A11" s="114" t="s">
        <v>1132</v>
      </c>
      <c r="B11" s="115" t="s">
        <v>1430</v>
      </c>
      <c r="C11" s="114" t="s">
        <v>345</v>
      </c>
      <c r="D11" s="114">
        <v>0.2</v>
      </c>
      <c r="E11" s="114">
        <f t="shared" ca="1" si="0"/>
        <v>3</v>
      </c>
      <c r="F11" s="114">
        <f t="shared" ca="1" si="1"/>
        <v>0.60000000000000009</v>
      </c>
      <c r="G11" s="114" t="s">
        <v>659</v>
      </c>
      <c r="H11" s="115" t="s">
        <v>1546</v>
      </c>
    </row>
    <row r="12" spans="1:8" ht="25.5">
      <c r="A12" s="114" t="s">
        <v>1133</v>
      </c>
      <c r="B12" s="115" t="s">
        <v>266</v>
      </c>
      <c r="C12" s="114" t="s">
        <v>269</v>
      </c>
      <c r="D12" s="114">
        <v>0.5</v>
      </c>
      <c r="E12" s="114">
        <f t="shared" ca="1" si="0"/>
        <v>4</v>
      </c>
      <c r="F12" s="114">
        <f t="shared" ca="1" si="1"/>
        <v>2</v>
      </c>
      <c r="G12" s="114" t="s">
        <v>659</v>
      </c>
      <c r="H12" s="115" t="s">
        <v>1134</v>
      </c>
    </row>
    <row r="13" spans="1:8" ht="25.5">
      <c r="A13" s="114" t="s">
        <v>1133</v>
      </c>
      <c r="B13" s="115" t="s">
        <v>1100</v>
      </c>
      <c r="C13" s="114" t="s">
        <v>269</v>
      </c>
      <c r="D13" s="114">
        <v>0.5</v>
      </c>
      <c r="E13" s="114">
        <f t="shared" ca="1" si="0"/>
        <v>3</v>
      </c>
      <c r="F13" s="114">
        <f t="shared" ca="1" si="1"/>
        <v>1.5</v>
      </c>
      <c r="G13" s="114" t="s">
        <v>659</v>
      </c>
      <c r="H13" s="115" t="s">
        <v>1135</v>
      </c>
    </row>
    <row r="14" spans="1:8" ht="25.5">
      <c r="A14" s="114" t="s">
        <v>1133</v>
      </c>
      <c r="B14" s="115" t="s">
        <v>1098</v>
      </c>
      <c r="C14" s="114" t="s">
        <v>269</v>
      </c>
      <c r="D14" s="114">
        <v>0.2</v>
      </c>
      <c r="E14" s="114">
        <f t="shared" ca="1" si="0"/>
        <v>3</v>
      </c>
      <c r="F14" s="114">
        <f t="shared" ca="1" si="1"/>
        <v>0.60000000000000009</v>
      </c>
      <c r="G14" s="114" t="s">
        <v>659</v>
      </c>
      <c r="H14" s="115" t="s">
        <v>1136</v>
      </c>
    </row>
    <row r="15" spans="1:8" ht="25.5">
      <c r="A15" s="114" t="s">
        <v>1137</v>
      </c>
      <c r="B15" s="115" t="s">
        <v>472</v>
      </c>
      <c r="C15" s="114" t="s">
        <v>269</v>
      </c>
      <c r="D15" s="114">
        <v>0.33</v>
      </c>
      <c r="E15" s="114">
        <f t="shared" ca="1" si="0"/>
        <v>4</v>
      </c>
      <c r="F15" s="114">
        <f t="shared" ca="1" si="1"/>
        <v>1.32</v>
      </c>
      <c r="G15" s="114" t="s">
        <v>659</v>
      </c>
      <c r="H15" s="115" t="s">
        <v>1138</v>
      </c>
    </row>
    <row r="16" spans="1:8" ht="51">
      <c r="A16" s="114" t="s">
        <v>1137</v>
      </c>
      <c r="B16" s="115" t="s">
        <v>1248</v>
      </c>
      <c r="C16" s="114" t="s">
        <v>269</v>
      </c>
      <c r="D16" s="114">
        <v>0.33</v>
      </c>
      <c r="E16" s="114">
        <f t="shared" ca="1" si="0"/>
        <v>2</v>
      </c>
      <c r="F16" s="114">
        <f t="shared" ref="F16" ca="1" si="2">IF(ISNUMBER(E16),$D16*E16,0)</f>
        <v>0.66</v>
      </c>
      <c r="G16" s="114" t="s">
        <v>659</v>
      </c>
      <c r="H16" s="115" t="s">
        <v>1254</v>
      </c>
    </row>
    <row r="17" spans="1:8" ht="25.5">
      <c r="A17" s="114" t="s">
        <v>1137</v>
      </c>
      <c r="B17" s="115" t="s">
        <v>1482</v>
      </c>
      <c r="C17" s="114" t="s">
        <v>269</v>
      </c>
      <c r="D17" s="114">
        <v>0.2</v>
      </c>
      <c r="E17" s="114">
        <f t="shared" ca="1" si="0"/>
        <v>3</v>
      </c>
      <c r="F17" s="114">
        <f t="shared" ca="1" si="1"/>
        <v>0.60000000000000009</v>
      </c>
      <c r="G17" s="114" t="s">
        <v>659</v>
      </c>
      <c r="H17" s="115" t="s">
        <v>1139</v>
      </c>
    </row>
    <row r="18" spans="1:8" ht="38.25">
      <c r="A18" s="114" t="s">
        <v>1137</v>
      </c>
      <c r="B18" s="115" t="s">
        <v>465</v>
      </c>
      <c r="C18" s="114" t="s">
        <v>269</v>
      </c>
      <c r="D18" s="114">
        <v>0.2</v>
      </c>
      <c r="E18" s="114">
        <f t="shared" ca="1" si="0"/>
        <v>4</v>
      </c>
      <c r="F18" s="114">
        <f t="shared" ca="1" si="1"/>
        <v>0.8</v>
      </c>
      <c r="G18" s="114" t="s">
        <v>659</v>
      </c>
      <c r="H18" s="115" t="s">
        <v>1140</v>
      </c>
    </row>
    <row r="19" spans="1:8" ht="38.25">
      <c r="A19" s="114" t="s">
        <v>1312</v>
      </c>
      <c r="B19" s="115" t="s">
        <v>1632</v>
      </c>
      <c r="C19" s="114" t="s">
        <v>1633</v>
      </c>
      <c r="D19" s="114">
        <v>0.5</v>
      </c>
      <c r="E19" s="114">
        <f t="shared" ca="1" si="0"/>
        <v>3</v>
      </c>
      <c r="F19" s="114">
        <f t="shared" ref="F19" ca="1" si="3">IF(ISNUMBER(E19),$D19*E19,0)</f>
        <v>1.5</v>
      </c>
      <c r="G19" s="114" t="s">
        <v>659</v>
      </c>
      <c r="H19" s="115" t="s">
        <v>1634</v>
      </c>
    </row>
    <row r="20" spans="1:8" ht="25.5">
      <c r="A20" s="114" t="s">
        <v>1141</v>
      </c>
      <c r="B20" s="115" t="s">
        <v>439</v>
      </c>
      <c r="C20" s="114" t="s">
        <v>269</v>
      </c>
      <c r="D20" s="114">
        <v>0.2</v>
      </c>
      <c r="E20" s="114">
        <f t="shared" ca="1" si="0"/>
        <v>3</v>
      </c>
      <c r="F20" s="114">
        <f t="shared" ca="1" si="1"/>
        <v>0.60000000000000009</v>
      </c>
      <c r="G20" s="114" t="s">
        <v>659</v>
      </c>
      <c r="H20" s="115" t="s">
        <v>1142</v>
      </c>
    </row>
    <row r="21" spans="1:8" ht="38.25">
      <c r="A21" s="114" t="s">
        <v>1141</v>
      </c>
      <c r="B21" s="115" t="s">
        <v>1390</v>
      </c>
      <c r="C21" s="114" t="s">
        <v>295</v>
      </c>
      <c r="D21" s="114">
        <v>0.5</v>
      </c>
      <c r="E21" s="114">
        <f t="shared" ca="1" si="0"/>
        <v>3</v>
      </c>
      <c r="F21" s="114">
        <f t="shared" ca="1" si="1"/>
        <v>1.5</v>
      </c>
      <c r="G21" s="114" t="s">
        <v>659</v>
      </c>
      <c r="H21" s="115" t="s">
        <v>1393</v>
      </c>
    </row>
    <row r="22" spans="1:8" ht="25.5">
      <c r="A22" s="114" t="s">
        <v>1128</v>
      </c>
      <c r="B22" s="115" t="s">
        <v>86</v>
      </c>
      <c r="C22" s="114" t="s">
        <v>429</v>
      </c>
      <c r="D22" s="114">
        <v>0.33</v>
      </c>
      <c r="E22" s="114">
        <f t="shared" ca="1" si="0"/>
        <v>4</v>
      </c>
      <c r="F22" s="114">
        <f t="shared" ca="1" si="1"/>
        <v>1.32</v>
      </c>
      <c r="G22" s="114" t="s">
        <v>659</v>
      </c>
      <c r="H22" s="115" t="s">
        <v>1143</v>
      </c>
    </row>
    <row r="23" spans="1:8">
      <c r="A23" s="114" t="s">
        <v>1128</v>
      </c>
      <c r="B23" s="115" t="s">
        <v>517</v>
      </c>
      <c r="C23" s="114" t="s">
        <v>429</v>
      </c>
      <c r="D23" s="114">
        <v>0.5</v>
      </c>
      <c r="E23" s="114">
        <f t="shared" ca="1" si="0"/>
        <v>3</v>
      </c>
      <c r="F23" s="114">
        <f t="shared" ca="1" si="1"/>
        <v>1.5</v>
      </c>
      <c r="G23" s="114" t="s">
        <v>659</v>
      </c>
      <c r="H23" s="115" t="s">
        <v>1144</v>
      </c>
    </row>
    <row r="24" spans="1:8">
      <c r="A24" s="114" t="s">
        <v>1128</v>
      </c>
      <c r="B24" s="115" t="s">
        <v>343</v>
      </c>
      <c r="C24" s="114" t="s">
        <v>429</v>
      </c>
      <c r="D24" s="114">
        <v>0.2</v>
      </c>
      <c r="E24" s="114">
        <f t="shared" ca="1" si="0"/>
        <v>3</v>
      </c>
      <c r="F24" s="114">
        <f t="shared" ca="1" si="1"/>
        <v>0.60000000000000009</v>
      </c>
      <c r="G24" s="114" t="s">
        <v>659</v>
      </c>
      <c r="H24" s="115" t="s">
        <v>1145</v>
      </c>
    </row>
    <row r="25" spans="1:8">
      <c r="A25" s="114" t="s">
        <v>1128</v>
      </c>
      <c r="B25" s="115" t="s">
        <v>586</v>
      </c>
      <c r="C25" s="114" t="s">
        <v>429</v>
      </c>
      <c r="D25" s="114">
        <v>0.2</v>
      </c>
      <c r="E25" s="114">
        <f t="shared" ca="1" si="0"/>
        <v>3</v>
      </c>
      <c r="F25" s="114">
        <f t="shared" ca="1" si="1"/>
        <v>0.60000000000000009</v>
      </c>
      <c r="G25" s="114" t="s">
        <v>659</v>
      </c>
      <c r="H25" s="115" t="s">
        <v>1146</v>
      </c>
    </row>
    <row r="26" spans="1:8">
      <c r="A26" s="114" t="s">
        <v>1133</v>
      </c>
      <c r="B26" s="115" t="s">
        <v>427</v>
      </c>
      <c r="C26" s="114" t="s">
        <v>429</v>
      </c>
      <c r="D26" s="114">
        <v>0.2</v>
      </c>
      <c r="E26" s="114">
        <f t="shared" ca="1" si="0"/>
        <v>4</v>
      </c>
      <c r="F26" s="114">
        <f t="shared" ca="1" si="1"/>
        <v>0.8</v>
      </c>
      <c r="G26" s="114" t="s">
        <v>659</v>
      </c>
      <c r="H26" s="115" t="s">
        <v>1147</v>
      </c>
    </row>
    <row r="27" spans="1:8" ht="25.5">
      <c r="A27" s="114" t="s">
        <v>1133</v>
      </c>
      <c r="B27" s="115" t="s">
        <v>1568</v>
      </c>
      <c r="C27" s="114" t="s">
        <v>429</v>
      </c>
      <c r="D27" s="114">
        <v>0.5</v>
      </c>
      <c r="E27" s="114">
        <f t="shared" ca="1" si="0"/>
        <v>3</v>
      </c>
      <c r="F27" s="114">
        <f t="shared" ca="1" si="1"/>
        <v>1.5</v>
      </c>
      <c r="G27" s="114" t="s">
        <v>659</v>
      </c>
      <c r="H27" s="115" t="s">
        <v>1148</v>
      </c>
    </row>
    <row r="28" spans="1:8" ht="25.5">
      <c r="A28" s="114" t="s">
        <v>1133</v>
      </c>
      <c r="B28" s="115" t="s">
        <v>1568</v>
      </c>
      <c r="C28" s="114" t="s">
        <v>345</v>
      </c>
      <c r="D28" s="114">
        <v>0.5</v>
      </c>
      <c r="E28" s="114">
        <f t="shared" ca="1" si="0"/>
        <v>3</v>
      </c>
      <c r="F28" s="114">
        <f t="shared" ca="1" si="1"/>
        <v>1.5</v>
      </c>
      <c r="G28" s="114" t="s">
        <v>659</v>
      </c>
      <c r="H28" s="115" t="s">
        <v>1149</v>
      </c>
    </row>
    <row r="29" spans="1:8" ht="25.5">
      <c r="A29" s="114" t="s">
        <v>1133</v>
      </c>
      <c r="B29" s="115" t="s">
        <v>288</v>
      </c>
      <c r="C29" s="114" t="s">
        <v>358</v>
      </c>
      <c r="D29" s="114">
        <v>0.5</v>
      </c>
      <c r="E29" s="114">
        <f t="shared" ca="1" si="0"/>
        <v>3</v>
      </c>
      <c r="F29" s="114">
        <f t="shared" ca="1" si="1"/>
        <v>1.5</v>
      </c>
      <c r="G29" s="114" t="s">
        <v>659</v>
      </c>
      <c r="H29" s="115" t="s">
        <v>1150</v>
      </c>
    </row>
    <row r="30" spans="1:8" ht="51">
      <c r="A30" s="114" t="s">
        <v>1312</v>
      </c>
      <c r="B30" s="115" t="s">
        <v>1482</v>
      </c>
      <c r="C30" s="114" t="s">
        <v>358</v>
      </c>
      <c r="D30" s="114">
        <v>0.33</v>
      </c>
      <c r="E30" s="114">
        <f t="shared" ca="1" si="0"/>
        <v>3</v>
      </c>
      <c r="F30" s="114">
        <f t="shared" ref="F30:F31" ca="1" si="4">IF(ISNUMBER(E30),$D30*E30,0)</f>
        <v>0.99</v>
      </c>
      <c r="G30" s="114" t="s">
        <v>659</v>
      </c>
      <c r="H30" s="115" t="s">
        <v>1313</v>
      </c>
    </row>
    <row r="31" spans="1:8" ht="25.5">
      <c r="A31" s="114" t="s">
        <v>1312</v>
      </c>
      <c r="B31" s="115" t="s">
        <v>1314</v>
      </c>
      <c r="C31" s="114" t="s">
        <v>358</v>
      </c>
      <c r="D31" s="114">
        <v>0.33</v>
      </c>
      <c r="E31" s="114">
        <f t="shared" ca="1" si="0"/>
        <v>4</v>
      </c>
      <c r="F31" s="114">
        <f t="shared" ca="1" si="4"/>
        <v>1.32</v>
      </c>
      <c r="G31" s="114" t="s">
        <v>659</v>
      </c>
      <c r="H31" s="115" t="s">
        <v>1487</v>
      </c>
    </row>
    <row r="32" spans="1:8" ht="51">
      <c r="A32" s="114" t="s">
        <v>1132</v>
      </c>
      <c r="B32" s="115" t="s">
        <v>1430</v>
      </c>
      <c r="C32" s="114" t="s">
        <v>354</v>
      </c>
      <c r="D32" s="114">
        <v>0.5</v>
      </c>
      <c r="E32" s="114">
        <f t="shared" ca="1" si="0"/>
        <v>3</v>
      </c>
      <c r="F32" s="114">
        <f t="shared" ca="1" si="1"/>
        <v>1.5</v>
      </c>
      <c r="G32" s="114" t="s">
        <v>659</v>
      </c>
      <c r="H32" s="115" t="s">
        <v>1531</v>
      </c>
    </row>
    <row r="33" spans="1:8" ht="38.25">
      <c r="A33" s="114" t="s">
        <v>1131</v>
      </c>
      <c r="B33" s="115" t="s">
        <v>508</v>
      </c>
      <c r="C33" s="114" t="s">
        <v>354</v>
      </c>
      <c r="D33" s="114">
        <v>0.33</v>
      </c>
      <c r="E33" s="114">
        <f t="shared" ca="1" si="0"/>
        <v>4</v>
      </c>
      <c r="F33" s="114">
        <f t="shared" ca="1" si="1"/>
        <v>1.32</v>
      </c>
      <c r="G33" s="114" t="s">
        <v>659</v>
      </c>
      <c r="H33" s="115" t="s">
        <v>1151</v>
      </c>
    </row>
    <row r="34" spans="1:8" ht="38.25">
      <c r="A34" s="114" t="s">
        <v>1131</v>
      </c>
      <c r="B34" s="115" t="s">
        <v>1379</v>
      </c>
      <c r="C34" s="114" t="s">
        <v>407</v>
      </c>
      <c r="D34" s="114">
        <v>0.33</v>
      </c>
      <c r="E34" s="114">
        <f t="shared" ca="1" si="0"/>
        <v>3</v>
      </c>
      <c r="F34" s="114">
        <f t="shared" ca="1" si="1"/>
        <v>0.99</v>
      </c>
      <c r="G34" s="114" t="s">
        <v>659</v>
      </c>
      <c r="H34" s="115" t="s">
        <v>1382</v>
      </c>
    </row>
    <row r="35" spans="1:8" ht="25.5">
      <c r="A35" s="114" t="s">
        <v>1132</v>
      </c>
      <c r="B35" s="115" t="s">
        <v>1067</v>
      </c>
      <c r="C35" s="114" t="s">
        <v>369</v>
      </c>
      <c r="D35" s="114">
        <v>0.33</v>
      </c>
      <c r="E35" s="114">
        <f t="shared" ca="1" si="0"/>
        <v>4</v>
      </c>
      <c r="F35" s="114">
        <f t="shared" ca="1" si="1"/>
        <v>1.32</v>
      </c>
      <c r="G35" s="114" t="s">
        <v>659</v>
      </c>
      <c r="H35" s="115" t="s">
        <v>1152</v>
      </c>
    </row>
    <row r="36" spans="1:8" ht="25.5">
      <c r="A36" s="114" t="s">
        <v>1137</v>
      </c>
      <c r="B36" s="115" t="s">
        <v>1482</v>
      </c>
      <c r="C36" s="114" t="s">
        <v>267</v>
      </c>
      <c r="D36" s="114">
        <v>0.5</v>
      </c>
      <c r="E36" s="114">
        <f t="shared" ca="1" si="0"/>
        <v>3</v>
      </c>
      <c r="F36" s="114">
        <f t="shared" ca="1" si="1"/>
        <v>1.5</v>
      </c>
      <c r="G36" s="114" t="s">
        <v>659</v>
      </c>
      <c r="H36" s="115" t="s">
        <v>1153</v>
      </c>
    </row>
    <row r="37" spans="1:8" ht="25.5">
      <c r="A37" s="114" t="s">
        <v>1137</v>
      </c>
      <c r="B37" s="115" t="s">
        <v>465</v>
      </c>
      <c r="C37" s="114" t="s">
        <v>267</v>
      </c>
      <c r="D37" s="114">
        <v>0.5</v>
      </c>
      <c r="E37" s="114">
        <f t="shared" ca="1" si="0"/>
        <v>4</v>
      </c>
      <c r="F37" s="114">
        <f t="shared" ca="1" si="1"/>
        <v>2</v>
      </c>
      <c r="G37" s="114" t="s">
        <v>659</v>
      </c>
      <c r="H37" s="115" t="s">
        <v>1153</v>
      </c>
    </row>
    <row r="38" spans="1:8" ht="38.25">
      <c r="A38" s="114" t="s">
        <v>1132</v>
      </c>
      <c r="B38" s="115" t="s">
        <v>84</v>
      </c>
      <c r="C38" s="114" t="s">
        <v>267</v>
      </c>
      <c r="D38" s="114">
        <v>0</v>
      </c>
      <c r="E38" s="114">
        <f t="shared" ca="1" si="0"/>
        <v>1</v>
      </c>
      <c r="F38" s="114">
        <f t="shared" ca="1" si="1"/>
        <v>0</v>
      </c>
      <c r="G38" s="114" t="s">
        <v>659</v>
      </c>
      <c r="H38" s="115" t="s">
        <v>1311</v>
      </c>
    </row>
    <row r="39" spans="1:8">
      <c r="A39" s="114" t="s">
        <v>1132</v>
      </c>
      <c r="B39" s="115" t="s">
        <v>1430</v>
      </c>
      <c r="C39" s="114" t="s">
        <v>407</v>
      </c>
      <c r="D39" s="114">
        <v>0.2</v>
      </c>
      <c r="E39" s="114">
        <f t="shared" ca="1" si="0"/>
        <v>3</v>
      </c>
      <c r="F39" s="114">
        <f t="shared" ca="1" si="1"/>
        <v>0.60000000000000009</v>
      </c>
      <c r="G39" s="114" t="s">
        <v>659</v>
      </c>
      <c r="H39" s="115" t="s">
        <v>1154</v>
      </c>
    </row>
    <row r="40" spans="1:8">
      <c r="A40" s="114" t="s">
        <v>1137</v>
      </c>
      <c r="B40" s="115" t="s">
        <v>1482</v>
      </c>
      <c r="C40" s="114" t="s">
        <v>407</v>
      </c>
      <c r="D40" s="114">
        <v>0.2</v>
      </c>
      <c r="E40" s="114">
        <f t="shared" ca="1" si="0"/>
        <v>3</v>
      </c>
      <c r="F40" s="114">
        <f t="shared" ca="1" si="1"/>
        <v>0.60000000000000009</v>
      </c>
      <c r="G40" s="114" t="s">
        <v>659</v>
      </c>
      <c r="H40" s="115" t="s">
        <v>1155</v>
      </c>
    </row>
    <row r="41" spans="1:8" ht="25.5">
      <c r="A41" s="114" t="s">
        <v>1132</v>
      </c>
      <c r="B41" s="115" t="s">
        <v>84</v>
      </c>
      <c r="C41" s="114" t="s">
        <v>407</v>
      </c>
      <c r="D41" s="114">
        <v>0</v>
      </c>
      <c r="E41" s="114">
        <f t="shared" ca="1" si="0"/>
        <v>1</v>
      </c>
      <c r="F41" s="114">
        <f t="shared" ca="1" si="1"/>
        <v>0</v>
      </c>
      <c r="G41" s="114" t="s">
        <v>659</v>
      </c>
      <c r="H41" s="115" t="s">
        <v>1156</v>
      </c>
    </row>
    <row r="42" spans="1:8">
      <c r="A42" s="114" t="s">
        <v>1133</v>
      </c>
      <c r="B42" s="115" t="s">
        <v>266</v>
      </c>
      <c r="C42" s="114" t="s">
        <v>418</v>
      </c>
      <c r="D42" s="114">
        <v>0.2</v>
      </c>
      <c r="E42" s="114">
        <f t="shared" ca="1" si="0"/>
        <v>4</v>
      </c>
      <c r="F42" s="114">
        <f t="shared" ca="1" si="1"/>
        <v>0.8</v>
      </c>
      <c r="G42" s="114" t="s">
        <v>659</v>
      </c>
      <c r="H42" s="115" t="s">
        <v>1157</v>
      </c>
    </row>
    <row r="43" spans="1:8">
      <c r="A43" s="114" t="s">
        <v>1133</v>
      </c>
      <c r="B43" s="115" t="s">
        <v>1100</v>
      </c>
      <c r="C43" s="114" t="s">
        <v>418</v>
      </c>
      <c r="D43" s="114">
        <v>0.2</v>
      </c>
      <c r="E43" s="114">
        <f t="shared" ca="1" si="0"/>
        <v>3</v>
      </c>
      <c r="F43" s="114">
        <f t="shared" ca="1" si="1"/>
        <v>0.60000000000000009</v>
      </c>
      <c r="G43" s="114" t="s">
        <v>659</v>
      </c>
      <c r="H43" s="115" t="s">
        <v>1158</v>
      </c>
    </row>
    <row r="44" spans="1:8">
      <c r="A44" s="114" t="s">
        <v>1133</v>
      </c>
      <c r="B44" s="115" t="s">
        <v>1098</v>
      </c>
      <c r="C44" s="114" t="s">
        <v>418</v>
      </c>
      <c r="D44" s="114">
        <v>0.2</v>
      </c>
      <c r="E44" s="114">
        <f t="shared" ca="1" si="0"/>
        <v>3</v>
      </c>
      <c r="F44" s="114">
        <f t="shared" ca="1" si="1"/>
        <v>0.60000000000000009</v>
      </c>
      <c r="G44" s="114" t="s">
        <v>659</v>
      </c>
      <c r="H44" s="115" t="s">
        <v>1159</v>
      </c>
    </row>
    <row r="45" spans="1:8" ht="25.5">
      <c r="A45" s="114" t="s">
        <v>1133</v>
      </c>
      <c r="B45" s="115" t="s">
        <v>1301</v>
      </c>
      <c r="C45" s="114" t="s">
        <v>418</v>
      </c>
      <c r="D45" s="114">
        <v>0.2</v>
      </c>
      <c r="E45" s="114">
        <f t="shared" ca="1" si="0"/>
        <v>2</v>
      </c>
      <c r="F45" s="114">
        <f t="shared" ref="F45" ca="1" si="5">IF(ISNUMBER(E45),$D45*E45,0)</f>
        <v>0.4</v>
      </c>
      <c r="G45" s="114" t="s">
        <v>659</v>
      </c>
      <c r="H45" s="115" t="s">
        <v>1305</v>
      </c>
    </row>
    <row r="46" spans="1:8" ht="25.5">
      <c r="A46" s="114" t="s">
        <v>1137</v>
      </c>
      <c r="B46" s="115" t="s">
        <v>465</v>
      </c>
      <c r="C46" s="114" t="s">
        <v>418</v>
      </c>
      <c r="D46" s="114">
        <v>0.2</v>
      </c>
      <c r="E46" s="114">
        <f t="shared" ref="E46:E83" ca="1" si="6">IFERROR(INDEX(INDIRECT("'"&amp;$A46&amp;"'!$E$1:$E$60"),MATCH($B46,INDIRECT("'"&amp;$A46&amp;"'!$B$1:$B$60"),0)),"?")</f>
        <v>4</v>
      </c>
      <c r="F46" s="114">
        <f t="shared" ref="F46:F80" ca="1" si="7">IF(ISNUMBER(E46),$D46*E46,0)</f>
        <v>0.8</v>
      </c>
      <c r="G46" s="114" t="s">
        <v>659</v>
      </c>
      <c r="H46" s="115" t="s">
        <v>1160</v>
      </c>
    </row>
    <row r="47" spans="1:8" ht="25.5">
      <c r="A47" s="114" t="s">
        <v>1312</v>
      </c>
      <c r="B47" s="115" t="s">
        <v>1632</v>
      </c>
      <c r="C47" s="114" t="s">
        <v>1635</v>
      </c>
      <c r="D47" s="114">
        <v>0.2</v>
      </c>
      <c r="E47" s="114">
        <f t="shared" ca="1" si="6"/>
        <v>3</v>
      </c>
      <c r="F47" s="114">
        <f t="shared" ref="F47" ca="1" si="8">IF(ISNUMBER(E47),$D47*E47,0)</f>
        <v>0.60000000000000009</v>
      </c>
      <c r="G47" s="114" t="s">
        <v>659</v>
      </c>
      <c r="H47" s="115" t="s">
        <v>1636</v>
      </c>
    </row>
    <row r="48" spans="1:8" ht="38.25">
      <c r="A48" s="114" t="s">
        <v>1128</v>
      </c>
      <c r="B48" s="115" t="s">
        <v>1230</v>
      </c>
      <c r="C48" s="114" t="s">
        <v>282</v>
      </c>
      <c r="D48" s="114">
        <v>0.33</v>
      </c>
      <c r="E48" s="114">
        <f t="shared" ca="1" si="6"/>
        <v>3</v>
      </c>
      <c r="F48" s="114">
        <f t="shared" ca="1" si="7"/>
        <v>0.99</v>
      </c>
      <c r="G48" s="114" t="s">
        <v>659</v>
      </c>
      <c r="H48" s="115" t="s">
        <v>1161</v>
      </c>
    </row>
    <row r="49" spans="1:8">
      <c r="A49" s="114" t="s">
        <v>1132</v>
      </c>
      <c r="B49" s="115" t="s">
        <v>523</v>
      </c>
      <c r="C49" s="114" t="s">
        <v>282</v>
      </c>
      <c r="D49" s="114">
        <v>0.33</v>
      </c>
      <c r="E49" s="114">
        <f t="shared" ca="1" si="6"/>
        <v>3</v>
      </c>
      <c r="F49" s="114">
        <f t="shared" ca="1" si="7"/>
        <v>0.99</v>
      </c>
      <c r="G49" s="114" t="s">
        <v>659</v>
      </c>
      <c r="H49" s="115" t="s">
        <v>1162</v>
      </c>
    </row>
    <row r="50" spans="1:8">
      <c r="A50" s="114" t="s">
        <v>1131</v>
      </c>
      <c r="B50" s="115" t="s">
        <v>970</v>
      </c>
      <c r="C50" s="114" t="s">
        <v>282</v>
      </c>
      <c r="D50" s="114">
        <v>0.33</v>
      </c>
      <c r="E50" s="114">
        <f t="shared" ca="1" si="6"/>
        <v>6</v>
      </c>
      <c r="F50" s="114">
        <f t="shared" ca="1" si="7"/>
        <v>1.98</v>
      </c>
      <c r="G50" s="114" t="s">
        <v>659</v>
      </c>
      <c r="H50" s="115" t="s">
        <v>1162</v>
      </c>
    </row>
    <row r="51" spans="1:8" ht="25.5">
      <c r="A51" s="114" t="s">
        <v>1240</v>
      </c>
      <c r="B51" s="115" t="s">
        <v>970</v>
      </c>
      <c r="C51" s="114" t="s">
        <v>282</v>
      </c>
      <c r="D51" s="114">
        <v>0.33</v>
      </c>
      <c r="E51" s="114">
        <f t="shared" ca="1" si="6"/>
        <v>4</v>
      </c>
      <c r="F51" s="114">
        <f t="shared" ref="F51" ca="1" si="9">IF(ISNUMBER(E51),$D51*E51,0)</f>
        <v>1.32</v>
      </c>
      <c r="G51" s="114" t="s">
        <v>659</v>
      </c>
      <c r="H51" s="115" t="s">
        <v>1241</v>
      </c>
    </row>
    <row r="52" spans="1:8">
      <c r="A52" s="114" t="s">
        <v>1137</v>
      </c>
      <c r="B52" s="115" t="s">
        <v>472</v>
      </c>
      <c r="C52" s="114" t="s">
        <v>282</v>
      </c>
      <c r="D52" s="114">
        <v>0.5</v>
      </c>
      <c r="E52" s="114">
        <f t="shared" ca="1" si="6"/>
        <v>4</v>
      </c>
      <c r="F52" s="114">
        <f t="shared" ca="1" si="7"/>
        <v>2</v>
      </c>
      <c r="G52" s="114" t="s">
        <v>659</v>
      </c>
      <c r="H52" s="115" t="s">
        <v>1163</v>
      </c>
    </row>
    <row r="53" spans="1:8" ht="25.5">
      <c r="A53" s="114" t="s">
        <v>1137</v>
      </c>
      <c r="B53" s="115" t="s">
        <v>1248</v>
      </c>
      <c r="C53" s="114" t="s">
        <v>282</v>
      </c>
      <c r="D53" s="114">
        <v>0.5</v>
      </c>
      <c r="E53" s="114">
        <f t="shared" ca="1" si="6"/>
        <v>2</v>
      </c>
      <c r="F53" s="114">
        <f t="shared" ref="F53" ca="1" si="10">IF(ISNUMBER(E53),$D53*E53,0)</f>
        <v>1</v>
      </c>
      <c r="G53" s="114" t="s">
        <v>659</v>
      </c>
      <c r="H53" s="115" t="s">
        <v>1255</v>
      </c>
    </row>
    <row r="54" spans="1:8" ht="38.25">
      <c r="A54" s="114" t="s">
        <v>1131</v>
      </c>
      <c r="B54" s="115" t="s">
        <v>82</v>
      </c>
      <c r="C54" s="114" t="s">
        <v>313</v>
      </c>
      <c r="D54" s="114">
        <v>0</v>
      </c>
      <c r="E54" s="114">
        <f t="shared" ca="1" si="6"/>
        <v>5</v>
      </c>
      <c r="F54" s="114">
        <f t="shared" ca="1" si="7"/>
        <v>0</v>
      </c>
      <c r="G54" s="114" t="s">
        <v>659</v>
      </c>
      <c r="H54" s="115" t="s">
        <v>1164</v>
      </c>
    </row>
    <row r="55" spans="1:8" ht="38.25">
      <c r="A55" s="114" t="s">
        <v>1137</v>
      </c>
      <c r="B55" s="115" t="s">
        <v>1482</v>
      </c>
      <c r="C55" s="114" t="s">
        <v>313</v>
      </c>
      <c r="D55" s="114">
        <v>0</v>
      </c>
      <c r="E55" s="114">
        <f t="shared" ca="1" si="6"/>
        <v>3</v>
      </c>
      <c r="F55" s="114">
        <f t="shared" ca="1" si="7"/>
        <v>0</v>
      </c>
      <c r="G55" s="114" t="s">
        <v>659</v>
      </c>
      <c r="H55" s="115" t="s">
        <v>1486</v>
      </c>
    </row>
    <row r="56" spans="1:8" ht="25.5">
      <c r="A56" s="114" t="s">
        <v>1133</v>
      </c>
      <c r="B56" s="115" t="s">
        <v>417</v>
      </c>
      <c r="C56" s="114" t="s">
        <v>313</v>
      </c>
      <c r="D56" s="114">
        <v>0</v>
      </c>
      <c r="E56" s="114">
        <f t="shared" ca="1" si="6"/>
        <v>3</v>
      </c>
      <c r="F56" s="114">
        <f t="shared" ca="1" si="7"/>
        <v>0</v>
      </c>
      <c r="G56" s="114" t="s">
        <v>659</v>
      </c>
      <c r="H56" s="115" t="s">
        <v>1310</v>
      </c>
    </row>
    <row r="57" spans="1:8" ht="51">
      <c r="A57" s="114" t="s">
        <v>1132</v>
      </c>
      <c r="B57" s="115" t="s">
        <v>559</v>
      </c>
      <c r="C57" s="114" t="s">
        <v>313</v>
      </c>
      <c r="D57" s="114">
        <v>0.5</v>
      </c>
      <c r="E57" s="114">
        <f t="shared" ca="1" si="6"/>
        <v>3</v>
      </c>
      <c r="F57" s="114">
        <f t="shared" ca="1" si="7"/>
        <v>1.5</v>
      </c>
      <c r="G57" s="114" t="s">
        <v>659</v>
      </c>
      <c r="H57" s="115" t="s">
        <v>1165</v>
      </c>
    </row>
    <row r="58" spans="1:8" ht="25.5">
      <c r="A58" s="114" t="s">
        <v>1137</v>
      </c>
      <c r="B58" s="115" t="s">
        <v>484</v>
      </c>
      <c r="C58" s="114" t="s">
        <v>313</v>
      </c>
      <c r="D58" s="114">
        <v>0</v>
      </c>
      <c r="E58" s="114">
        <f t="shared" ca="1" si="6"/>
        <v>3</v>
      </c>
      <c r="F58" s="114">
        <f t="shared" ca="1" si="7"/>
        <v>0</v>
      </c>
      <c r="G58" s="114" t="s">
        <v>659</v>
      </c>
      <c r="H58" s="115" t="s">
        <v>1166</v>
      </c>
    </row>
    <row r="59" spans="1:8">
      <c r="A59" s="114" t="s">
        <v>1131</v>
      </c>
      <c r="B59" s="115" t="s">
        <v>82</v>
      </c>
      <c r="C59" s="114" t="s">
        <v>375</v>
      </c>
      <c r="D59" s="114">
        <v>0.5</v>
      </c>
      <c r="E59" s="114">
        <f t="shared" ca="1" si="6"/>
        <v>5</v>
      </c>
      <c r="F59" s="114">
        <f t="shared" ca="1" si="7"/>
        <v>2.5</v>
      </c>
      <c r="G59" s="114" t="s">
        <v>659</v>
      </c>
      <c r="H59" s="115" t="s">
        <v>681</v>
      </c>
    </row>
    <row r="60" spans="1:8">
      <c r="A60" s="114" t="s">
        <v>1132</v>
      </c>
      <c r="B60" s="115" t="s">
        <v>84</v>
      </c>
      <c r="C60" s="114" t="s">
        <v>375</v>
      </c>
      <c r="D60" s="114">
        <v>0.5</v>
      </c>
      <c r="E60" s="114">
        <f t="shared" ca="1" si="6"/>
        <v>1</v>
      </c>
      <c r="F60" s="114">
        <f t="shared" ca="1" si="7"/>
        <v>0.5</v>
      </c>
      <c r="G60" s="114" t="s">
        <v>659</v>
      </c>
      <c r="H60" s="115" t="s">
        <v>1167</v>
      </c>
    </row>
    <row r="61" spans="1:8" ht="25.5">
      <c r="A61" s="114" t="s">
        <v>1132</v>
      </c>
      <c r="B61" s="115" t="s">
        <v>1064</v>
      </c>
      <c r="C61" s="114" t="s">
        <v>375</v>
      </c>
      <c r="D61" s="114">
        <v>0.5</v>
      </c>
      <c r="E61" s="114">
        <f t="shared" ca="1" si="6"/>
        <v>2</v>
      </c>
      <c r="F61" s="114">
        <f t="shared" ca="1" si="7"/>
        <v>1</v>
      </c>
      <c r="G61" s="114" t="s">
        <v>659</v>
      </c>
      <c r="H61" s="115" t="s">
        <v>1506</v>
      </c>
    </row>
    <row r="62" spans="1:8">
      <c r="A62" s="114" t="s">
        <v>1131</v>
      </c>
      <c r="B62" s="115" t="s">
        <v>374</v>
      </c>
      <c r="C62" s="114" t="s">
        <v>375</v>
      </c>
      <c r="D62" s="114">
        <v>0.33</v>
      </c>
      <c r="E62" s="114">
        <f t="shared" ca="1" si="6"/>
        <v>4</v>
      </c>
      <c r="F62" s="114">
        <f t="shared" ca="1" si="7"/>
        <v>1.32</v>
      </c>
      <c r="G62" s="114" t="s">
        <v>659</v>
      </c>
      <c r="H62" s="115" t="s">
        <v>682</v>
      </c>
    </row>
    <row r="63" spans="1:8">
      <c r="A63" s="114" t="s">
        <v>1132</v>
      </c>
      <c r="B63" s="115" t="s">
        <v>559</v>
      </c>
      <c r="C63" s="114" t="s">
        <v>375</v>
      </c>
      <c r="D63" s="114">
        <v>0.5</v>
      </c>
      <c r="E63" s="114">
        <f t="shared" ca="1" si="6"/>
        <v>3</v>
      </c>
      <c r="F63" s="114">
        <f t="shared" ca="1" si="7"/>
        <v>1.5</v>
      </c>
      <c r="G63" s="114" t="s">
        <v>659</v>
      </c>
      <c r="H63" s="115" t="s">
        <v>1168</v>
      </c>
    </row>
    <row r="64" spans="1:8" ht="38.25">
      <c r="A64" s="114" t="s">
        <v>1400</v>
      </c>
      <c r="B64" s="115" t="s">
        <v>556</v>
      </c>
      <c r="C64" s="114" t="s">
        <v>384</v>
      </c>
      <c r="D64" s="114">
        <v>0.2</v>
      </c>
      <c r="E64" s="114">
        <f t="shared" ca="1" si="6"/>
        <v>4</v>
      </c>
      <c r="F64" s="114">
        <f t="shared" ca="1" si="7"/>
        <v>0.8</v>
      </c>
      <c r="G64" s="114" t="s">
        <v>659</v>
      </c>
      <c r="H64" s="115" t="s">
        <v>1169</v>
      </c>
    </row>
    <row r="65" spans="1:8" ht="38.25">
      <c r="A65" s="114" t="s">
        <v>1132</v>
      </c>
      <c r="B65" s="115" t="s">
        <v>84</v>
      </c>
      <c r="C65" s="114" t="s">
        <v>384</v>
      </c>
      <c r="D65" s="114">
        <v>0.33</v>
      </c>
      <c r="E65" s="114">
        <f t="shared" ca="1" si="6"/>
        <v>1</v>
      </c>
      <c r="F65" s="114">
        <f t="shared" ca="1" si="7"/>
        <v>0.33</v>
      </c>
      <c r="G65" s="114" t="s">
        <v>659</v>
      </c>
      <c r="H65" s="115" t="s">
        <v>1170</v>
      </c>
    </row>
    <row r="66" spans="1:8" ht="25.5">
      <c r="A66" s="114" t="s">
        <v>1132</v>
      </c>
      <c r="B66" s="115" t="s">
        <v>1064</v>
      </c>
      <c r="C66" s="114" t="s">
        <v>384</v>
      </c>
      <c r="D66" s="114">
        <v>0.33</v>
      </c>
      <c r="E66" s="114">
        <f t="shared" ca="1" si="6"/>
        <v>2</v>
      </c>
      <c r="F66" s="114">
        <f t="shared" ca="1" si="7"/>
        <v>0.66</v>
      </c>
      <c r="G66" s="114" t="s">
        <v>659</v>
      </c>
      <c r="H66" s="115" t="s">
        <v>1171</v>
      </c>
    </row>
    <row r="67" spans="1:8" ht="51">
      <c r="A67" s="114" t="s">
        <v>1132</v>
      </c>
      <c r="B67" s="115" t="s">
        <v>1067</v>
      </c>
      <c r="C67" s="114" t="s">
        <v>384</v>
      </c>
      <c r="D67" s="114">
        <v>0.2</v>
      </c>
      <c r="E67" s="114">
        <f t="shared" ca="1" si="6"/>
        <v>4</v>
      </c>
      <c r="F67" s="114">
        <f t="shared" ca="1" si="7"/>
        <v>0.8</v>
      </c>
      <c r="G67" s="114" t="s">
        <v>659</v>
      </c>
      <c r="H67" s="115" t="s">
        <v>1172</v>
      </c>
    </row>
    <row r="68" spans="1:8" ht="38.25">
      <c r="A68" s="114" t="s">
        <v>1131</v>
      </c>
      <c r="B68" s="115" t="s">
        <v>82</v>
      </c>
      <c r="C68" s="114" t="s">
        <v>388</v>
      </c>
      <c r="D68" s="114">
        <v>0.33</v>
      </c>
      <c r="E68" s="114">
        <f t="shared" ca="1" si="6"/>
        <v>5</v>
      </c>
      <c r="F68" s="114">
        <f t="shared" ca="1" si="7"/>
        <v>1.6500000000000001</v>
      </c>
      <c r="G68" s="114" t="s">
        <v>659</v>
      </c>
      <c r="H68" s="115" t="s">
        <v>1173</v>
      </c>
    </row>
    <row r="69" spans="1:8" ht="25.5">
      <c r="A69" s="114" t="s">
        <v>1131</v>
      </c>
      <c r="B69" s="115" t="s">
        <v>374</v>
      </c>
      <c r="C69" s="114" t="s">
        <v>388</v>
      </c>
      <c r="D69" s="114">
        <v>0.33</v>
      </c>
      <c r="E69" s="114">
        <f t="shared" ca="1" si="6"/>
        <v>4</v>
      </c>
      <c r="F69" s="114">
        <f t="shared" ca="1" si="7"/>
        <v>1.32</v>
      </c>
      <c r="G69" s="114" t="s">
        <v>659</v>
      </c>
      <c r="H69" s="115" t="s">
        <v>1174</v>
      </c>
    </row>
    <row r="70" spans="1:8" ht="25.5">
      <c r="A70" s="114" t="s">
        <v>1132</v>
      </c>
      <c r="B70" s="115" t="s">
        <v>1067</v>
      </c>
      <c r="C70" s="114" t="s">
        <v>388</v>
      </c>
      <c r="D70" s="114">
        <v>0.33</v>
      </c>
      <c r="E70" s="114">
        <f t="shared" ca="1" si="6"/>
        <v>4</v>
      </c>
      <c r="F70" s="114">
        <f t="shared" ca="1" si="7"/>
        <v>1.32</v>
      </c>
      <c r="G70" s="114" t="s">
        <v>659</v>
      </c>
      <c r="H70" s="115" t="s">
        <v>1175</v>
      </c>
    </row>
    <row r="71" spans="1:8">
      <c r="A71" s="114" t="s">
        <v>1137</v>
      </c>
      <c r="B71" s="115" t="s">
        <v>481</v>
      </c>
      <c r="C71" s="114" t="s">
        <v>295</v>
      </c>
      <c r="D71" s="114">
        <v>0.33</v>
      </c>
      <c r="E71" s="114">
        <f t="shared" ca="1" si="6"/>
        <v>3</v>
      </c>
      <c r="F71" s="114">
        <f t="shared" ca="1" si="7"/>
        <v>0.99</v>
      </c>
      <c r="G71" s="114" t="s">
        <v>659</v>
      </c>
      <c r="H71" s="115" t="s">
        <v>662</v>
      </c>
    </row>
    <row r="72" spans="1:8">
      <c r="A72" s="114" t="s">
        <v>1141</v>
      </c>
      <c r="B72" s="115" t="s">
        <v>591</v>
      </c>
      <c r="C72" s="114" t="s">
        <v>295</v>
      </c>
      <c r="D72" s="114">
        <v>0.33</v>
      </c>
      <c r="E72" s="114">
        <f t="shared" ca="1" si="6"/>
        <v>4</v>
      </c>
      <c r="F72" s="114">
        <f t="shared" ca="1" si="7"/>
        <v>1.32</v>
      </c>
      <c r="G72" s="114" t="s">
        <v>659</v>
      </c>
      <c r="H72" s="115" t="s">
        <v>662</v>
      </c>
    </row>
    <row r="73" spans="1:8">
      <c r="A73" s="114" t="s">
        <v>1133</v>
      </c>
      <c r="B73" s="115" t="s">
        <v>1108</v>
      </c>
      <c r="C73" s="114" t="s">
        <v>295</v>
      </c>
      <c r="D73" s="114">
        <v>0.33</v>
      </c>
      <c r="E73" s="114">
        <f t="shared" ca="1" si="6"/>
        <v>3</v>
      </c>
      <c r="F73" s="114">
        <f t="shared" ca="1" si="7"/>
        <v>0.99</v>
      </c>
      <c r="G73" s="114" t="s">
        <v>659</v>
      </c>
      <c r="H73" s="115" t="s">
        <v>1176</v>
      </c>
    </row>
    <row r="74" spans="1:8" ht="38.25">
      <c r="A74" s="114" t="s">
        <v>1128</v>
      </c>
      <c r="B74" s="115" t="s">
        <v>86</v>
      </c>
      <c r="C74" s="114" t="s">
        <v>349</v>
      </c>
      <c r="D74" s="114">
        <v>0</v>
      </c>
      <c r="E74" s="114">
        <f t="shared" ca="1" si="6"/>
        <v>4</v>
      </c>
      <c r="F74" s="114">
        <f t="shared" ca="1" si="7"/>
        <v>0</v>
      </c>
      <c r="G74" s="114" t="s">
        <v>659</v>
      </c>
      <c r="H74" s="115" t="s">
        <v>1177</v>
      </c>
    </row>
    <row r="75" spans="1:8" ht="25.5">
      <c r="A75" s="114" t="s">
        <v>1133</v>
      </c>
      <c r="B75" s="115" t="s">
        <v>427</v>
      </c>
      <c r="C75" s="114" t="s">
        <v>349</v>
      </c>
      <c r="D75" s="114">
        <v>0</v>
      </c>
      <c r="E75" s="114">
        <f t="shared" ca="1" si="6"/>
        <v>4</v>
      </c>
      <c r="F75" s="114">
        <f t="shared" ca="1" si="7"/>
        <v>0</v>
      </c>
      <c r="G75" s="114" t="s">
        <v>659</v>
      </c>
      <c r="H75" s="115" t="s">
        <v>1178</v>
      </c>
    </row>
    <row r="76" spans="1:8" ht="25.5">
      <c r="A76" s="114" t="s">
        <v>1128</v>
      </c>
      <c r="B76" s="115" t="s">
        <v>517</v>
      </c>
      <c r="C76" s="114" t="s">
        <v>337</v>
      </c>
      <c r="D76" s="114">
        <v>0</v>
      </c>
      <c r="E76" s="114">
        <f t="shared" ca="1" si="6"/>
        <v>3</v>
      </c>
      <c r="F76" s="114">
        <f t="shared" ca="1" si="7"/>
        <v>0</v>
      </c>
      <c r="G76" s="114" t="s">
        <v>659</v>
      </c>
      <c r="H76" s="115" t="s">
        <v>1179</v>
      </c>
    </row>
    <row r="77" spans="1:8">
      <c r="A77" s="114" t="s">
        <v>1128</v>
      </c>
      <c r="B77" s="115" t="s">
        <v>586</v>
      </c>
      <c r="C77" s="114" t="s">
        <v>337</v>
      </c>
      <c r="D77" s="114">
        <v>0.2</v>
      </c>
      <c r="E77" s="114">
        <f t="shared" ca="1" si="6"/>
        <v>3</v>
      </c>
      <c r="F77" s="114">
        <f t="shared" ca="1" si="7"/>
        <v>0.60000000000000009</v>
      </c>
      <c r="G77" s="114" t="s">
        <v>659</v>
      </c>
      <c r="H77" s="115" t="s">
        <v>1180</v>
      </c>
    </row>
    <row r="78" spans="1:8">
      <c r="A78" s="114" t="s">
        <v>1131</v>
      </c>
      <c r="B78" s="115" t="s">
        <v>82</v>
      </c>
      <c r="C78" s="114" t="s">
        <v>299</v>
      </c>
      <c r="D78" s="114">
        <v>0</v>
      </c>
      <c r="E78" s="114">
        <f t="shared" ca="1" si="6"/>
        <v>5</v>
      </c>
      <c r="F78" s="114">
        <f t="shared" ca="1" si="7"/>
        <v>0</v>
      </c>
      <c r="G78" s="114" t="s">
        <v>659</v>
      </c>
      <c r="H78" s="115" t="s">
        <v>1181</v>
      </c>
    </row>
    <row r="79" spans="1:8">
      <c r="A79" s="114" t="s">
        <v>1131</v>
      </c>
      <c r="B79" s="115" t="s">
        <v>488</v>
      </c>
      <c r="C79" s="114" t="s">
        <v>308</v>
      </c>
      <c r="D79" s="114">
        <v>0</v>
      </c>
      <c r="E79" s="114">
        <f t="shared" ca="1" si="6"/>
        <v>6</v>
      </c>
      <c r="F79" s="114">
        <f t="shared" ca="1" si="7"/>
        <v>0</v>
      </c>
      <c r="G79" s="114" t="s">
        <v>659</v>
      </c>
      <c r="H79" s="115" t="s">
        <v>1182</v>
      </c>
    </row>
    <row r="80" spans="1:8" ht="25.5">
      <c r="A80" s="114" t="s">
        <v>1141</v>
      </c>
      <c r="B80" s="115" t="s">
        <v>1035</v>
      </c>
      <c r="C80" s="114" t="s">
        <v>912</v>
      </c>
      <c r="D80" s="114">
        <v>0</v>
      </c>
      <c r="E80" s="114">
        <f t="shared" ca="1" si="6"/>
        <v>3</v>
      </c>
      <c r="F80" s="114">
        <f t="shared" ca="1" si="7"/>
        <v>0</v>
      </c>
      <c r="G80" s="114" t="s">
        <v>659</v>
      </c>
      <c r="H80" s="115" t="s">
        <v>1183</v>
      </c>
    </row>
    <row r="81" spans="1:8" ht="25.5">
      <c r="A81" s="114" t="s">
        <v>1532</v>
      </c>
      <c r="B81" s="115" t="s">
        <v>1519</v>
      </c>
      <c r="C81" s="114" t="s">
        <v>1533</v>
      </c>
      <c r="D81" s="114">
        <v>0.5</v>
      </c>
      <c r="E81" s="114">
        <f t="shared" ca="1" si="6"/>
        <v>3</v>
      </c>
      <c r="F81" s="114">
        <f t="shared" ref="F81:F83" ca="1" si="11">IF(ISNUMBER(E81),$D81*E81,0)</f>
        <v>1.5</v>
      </c>
      <c r="G81" s="114" t="s">
        <v>1534</v>
      </c>
      <c r="H81" s="115" t="s">
        <v>1535</v>
      </c>
    </row>
    <row r="82" spans="1:8" ht="38.25">
      <c r="A82" s="114" t="s">
        <v>1532</v>
      </c>
      <c r="B82" s="115" t="s">
        <v>1519</v>
      </c>
      <c r="C82" s="114" t="s">
        <v>1226</v>
      </c>
      <c r="D82" s="114">
        <v>0.5</v>
      </c>
      <c r="E82" s="114">
        <f t="shared" ca="1" si="6"/>
        <v>3</v>
      </c>
      <c r="F82" s="114">
        <f t="shared" ca="1" si="11"/>
        <v>1.5</v>
      </c>
      <c r="G82" s="114" t="s">
        <v>1534</v>
      </c>
      <c r="H82" s="115" t="s">
        <v>1536</v>
      </c>
    </row>
    <row r="83" spans="1:8" ht="25.5">
      <c r="A83" s="114" t="s">
        <v>1532</v>
      </c>
      <c r="B83" s="115" t="s">
        <v>1519</v>
      </c>
      <c r="C83" s="114" t="s">
        <v>1537</v>
      </c>
      <c r="D83" s="114">
        <v>0.2</v>
      </c>
      <c r="E83" s="114">
        <f t="shared" ca="1" si="6"/>
        <v>3</v>
      </c>
      <c r="F83" s="114">
        <f t="shared" ca="1" si="11"/>
        <v>0.60000000000000009</v>
      </c>
      <c r="G83" s="114" t="s">
        <v>1534</v>
      </c>
      <c r="H83" s="115" t="s">
        <v>1538</v>
      </c>
    </row>
  </sheetData>
  <phoneticPr fontId="29" type="noConversion"/>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I72"/>
  <sheetViews>
    <sheetView topLeftCell="A22" workbookViewId="0">
      <selection activeCell="M19" sqref="M19"/>
    </sheetView>
  </sheetViews>
  <sheetFormatPr defaultRowHeight="15"/>
  <cols>
    <col min="1" max="1" width="22" customWidth="1"/>
    <col min="2" max="3" width="11" customWidth="1"/>
    <col min="4" max="4" width="9" customWidth="1"/>
    <col min="5" max="5" width="12" customWidth="1"/>
    <col min="6" max="6" width="95" customWidth="1"/>
    <col min="8" max="8" width="24" customWidth="1"/>
    <col min="9" max="9" width="10" customWidth="1"/>
  </cols>
  <sheetData>
    <row r="1" spans="1:9" ht="18.75">
      <c r="A1" s="106" t="s">
        <v>1184</v>
      </c>
    </row>
    <row r="2" spans="1:9">
      <c r="A2" s="119" t="s">
        <v>1185</v>
      </c>
    </row>
    <row r="4" spans="1:9">
      <c r="A4" s="111" t="s">
        <v>254</v>
      </c>
      <c r="B4" s="111" t="s">
        <v>732</v>
      </c>
      <c r="C4" s="111" t="s">
        <v>733</v>
      </c>
      <c r="D4" s="111" t="s">
        <v>734</v>
      </c>
      <c r="E4" s="111" t="s">
        <v>735</v>
      </c>
      <c r="F4" s="111" t="s">
        <v>736</v>
      </c>
    </row>
    <row r="5" spans="1:9" ht="30" customHeight="1">
      <c r="A5" s="114" t="s">
        <v>349</v>
      </c>
      <c r="B5" s="114">
        <f>SUMIFS(복귀_토_하체전면!$E:$E,복귀_토_하체전면!$C:$C,$A5)+SUMIFS(복귀_일_수평당기기!$E:$E,복귀_일_수평당기기!$C:$C,$A5)+SUMIFS(복귀_월_가슴!$E:$E,복귀_월_가슴!$C:$C,$A5)+SUMIFS(복귀_화_팔!$E:$E,복귀_화_팔!$C:$C,$A5)+SUMIFS(복귀_수_하체후면!$E:$E,복귀_수_하체후면!$C:$C,$A5)+SUMIFS(복귀_목_수직당기기!$E:$E,복귀_목_수직당기기!$C:$C,$A5)</f>
        <v>9</v>
      </c>
      <c r="C5" s="114">
        <f ca="1">MROUND(SUMIFS(복귀_간접계수맵!$F$7:$F$100,복귀_간접계수맵!$C$7:$C$100,$A5),0.5)</f>
        <v>0</v>
      </c>
      <c r="D5" s="114">
        <f t="shared" ref="D5:D26" ca="1" si="0">B5+C5</f>
        <v>9</v>
      </c>
      <c r="E5" s="114" t="str">
        <f t="shared" ref="E5:E26" ca="1" si="1">IF(D5&gt;20,"과다 점검",IF(D5&gt;=10,"충분",IF(D5&gt;=8,"하한",IF(D5&gt;=1,"보완 필요","미배치"))))</f>
        <v>하한</v>
      </c>
      <c r="F5" s="115" t="s">
        <v>1572</v>
      </c>
      <c r="H5" s="124" t="s">
        <v>738</v>
      </c>
      <c r="I5" s="125">
        <f ca="1">SUM(D5:D6)</f>
        <v>23.5</v>
      </c>
    </row>
    <row r="6" spans="1:9" ht="30" customHeight="1">
      <c r="A6" s="114" t="s">
        <v>337</v>
      </c>
      <c r="B6" s="114">
        <f>SUMIFS(복귀_토_하체전면!$E:$E,복귀_토_하체전면!$C:$C,$A6)+SUMIFS(복귀_일_수평당기기!$E:$E,복귀_일_수평당기기!$C:$C,$A6)+SUMIFS(복귀_월_가슴!$E:$E,복귀_월_가슴!$C:$C,$A6)+SUMIFS(복귀_화_팔!$E:$E,복귀_화_팔!$C:$C,$A6)+SUMIFS(복귀_수_하체후면!$E:$E,복귀_수_하체후면!$C:$C,$A6)+SUMIFS(복귀_목_수직당기기!$E:$E,복귀_목_수직당기기!$C:$C,$A6)</f>
        <v>14</v>
      </c>
      <c r="C6" s="114">
        <f ca="1">MROUND(SUMIFS(복귀_간접계수맵!$F$7:$F$100,복귀_간접계수맵!$C$7:$C$100,$A6),0.5)</f>
        <v>0.5</v>
      </c>
      <c r="D6" s="114">
        <f t="shared" ca="1" si="0"/>
        <v>14.5</v>
      </c>
      <c r="E6" s="114" t="str">
        <f t="shared" ca="1" si="1"/>
        <v>충분</v>
      </c>
      <c r="F6" s="115" t="s">
        <v>1186</v>
      </c>
    </row>
    <row r="7" spans="1:9" ht="30" customHeight="1">
      <c r="A7" s="114" t="s">
        <v>267</v>
      </c>
      <c r="B7" s="114">
        <f>SUMIFS(복귀_토_하체전면!$E:$E,복귀_토_하체전면!$C:$C,$A7)+SUMIFS(복귀_일_수평당기기!$E:$E,복귀_일_수평당기기!$C:$C,$A7)+SUMIFS(복귀_월_가슴!$E:$E,복귀_월_가슴!$C:$C,$A7)+SUMIFS(복귀_화_팔!$E:$E,복귀_화_팔!$C:$C,$A7)+SUMIFS(복귀_수_하체후면!$E:$E,복귀_수_하체후면!$C:$C,$A7)+SUMIFS(복귀_목_수직당기기!$E:$E,복귀_목_수직당기기!$C:$C,$A7)</f>
        <v>21</v>
      </c>
      <c r="C7" s="114">
        <f ca="1">MROUND(SUMIFS(복귀_간접계수맵!$F$7:$F$100,복귀_간접계수맵!$C$7:$C$100,$A7),0.5)</f>
        <v>3.5</v>
      </c>
      <c r="D7" s="114">
        <f t="shared" ca="1" si="0"/>
        <v>24.5</v>
      </c>
      <c r="E7" s="114" t="str">
        <f t="shared" ca="1" si="1"/>
        <v>과다 점검</v>
      </c>
      <c r="F7" s="115" t="s">
        <v>1637</v>
      </c>
      <c r="H7" s="124" t="s">
        <v>1187</v>
      </c>
      <c r="I7" s="125">
        <f ca="1">SUM(D7:D10)</f>
        <v>59</v>
      </c>
    </row>
    <row r="8" spans="1:9" ht="30" customHeight="1">
      <c r="A8" s="114" t="s">
        <v>407</v>
      </c>
      <c r="B8" s="114">
        <f>SUMIFS(복귀_토_하체전면!$E:$E,복귀_토_하체전면!$C:$C,$A8)+SUMIFS(복귀_일_수평당기기!$E:$E,복귀_일_수평당기기!$C:$C,$A8)+SUMIFS(복귀_월_가슴!$E:$E,복귀_월_가슴!$C:$C,$A8)+SUMIFS(복귀_화_팔!$E:$E,복귀_화_팔!$C:$C,$A8)+SUMIFS(복귀_수_하체후면!$E:$E,복귀_수_하체후면!$C:$C,$A8)+SUMIFS(복귀_목_수직당기기!$E:$E,복귀_목_수직당기기!$C:$C,$A8)</f>
        <v>3</v>
      </c>
      <c r="C8" s="114">
        <f ca="1">MROUND(SUMIFS(복귀_간접계수맵!$F$7:$F$100,복귀_간접계수맵!$C$7:$C$100,$A8),0.5)</f>
        <v>3</v>
      </c>
      <c r="D8" s="114">
        <f t="shared" ca="1" si="0"/>
        <v>6</v>
      </c>
      <c r="E8" s="114" t="str">
        <f t="shared" ca="1" si="1"/>
        <v>보완 필요</v>
      </c>
      <c r="F8" s="115" t="s">
        <v>1488</v>
      </c>
      <c r="H8" s="124" t="s">
        <v>1188</v>
      </c>
      <c r="I8" s="125">
        <f>SUM(복귀_일_수평당기기!E11:E15,복귀_목_수직당기기!E11,복귀_목_수직당기기!E13,복귀_목_수직당기기!E15,복귀_목_수직당기기!E17)</f>
        <v>28</v>
      </c>
    </row>
    <row r="9" spans="1:9" ht="30" customHeight="1">
      <c r="A9" s="114" t="s">
        <v>418</v>
      </c>
      <c r="B9" s="114">
        <f>SUMIFS(복귀_토_하체전면!$E:$E,복귀_토_하체전면!$C:$C,$A9)+SUMIFS(복귀_일_수평당기기!$E:$E,복귀_일_수평당기기!$C:$C,$A9)+SUMIFS(복귀_월_가슴!$E:$E,복귀_월_가슴!$C:$C,$A9)+SUMIFS(복귀_화_팔!$E:$E,복귀_화_팔!$C:$C,$A9)+SUMIFS(복귀_수_하체후면!$E:$E,복귀_수_하체후면!$C:$C,$A9)+SUMIFS(복귀_목_수직당기기!$E:$E,복귀_목_수직당기기!$C:$C,$A9)</f>
        <v>3</v>
      </c>
      <c r="C9" s="114">
        <f ca="1">MROUND(SUMIFS(복귀_간접계수맵!$F$7:$F$100,복귀_간접계수맵!$C$7:$C$100,$A9),0.5)</f>
        <v>4</v>
      </c>
      <c r="D9" s="114">
        <f t="shared" ca="1" si="0"/>
        <v>7</v>
      </c>
      <c r="E9" s="114" t="str">
        <f t="shared" ca="1" si="1"/>
        <v>보완 필요</v>
      </c>
      <c r="F9" s="115" t="s">
        <v>1306</v>
      </c>
    </row>
    <row r="10" spans="1:9" ht="30" customHeight="1">
      <c r="A10" s="114" t="s">
        <v>282</v>
      </c>
      <c r="B10" s="114">
        <f>SUMIFS(복귀_토_하체전면!$E:$E,복귀_토_하체전면!$C:$C,$A10)+SUMIFS(복귀_일_수평당기기!$E:$E,복귀_일_수평당기기!$C:$C,$A10)+SUMIFS(복귀_월_가슴!$E:$E,복귀_월_가슴!$C:$C,$A10)+SUMIFS(복귀_화_팔!$E:$E,복귀_화_팔!$C:$C,$A10)+SUMIFS(복귀_수_하체후면!$E:$E,복귀_수_하체후면!$C:$C,$A10)+SUMIFS(복귀_목_수직당기기!$E:$E,복귀_목_수직당기기!$C:$C,$A10)</f>
        <v>13</v>
      </c>
      <c r="C10" s="114">
        <f ca="1">MROUND(SUMIFS(복귀_간접계수맵!$F$7:$F$100,복귀_간접계수맵!$C$7:$C$100,$A10),0.5)</f>
        <v>8.5</v>
      </c>
      <c r="D10" s="114">
        <f t="shared" ca="1" si="0"/>
        <v>21.5</v>
      </c>
      <c r="E10" s="114" t="str">
        <f t="shared" ca="1" si="1"/>
        <v>과다 점검</v>
      </c>
      <c r="F10" s="115" t="s">
        <v>1504</v>
      </c>
    </row>
    <row r="11" spans="1:9" ht="30" customHeight="1">
      <c r="A11" s="114" t="s">
        <v>313</v>
      </c>
      <c r="B11" s="114">
        <f>SUMIFS(복귀_토_하체전면!$E:$E,복귀_토_하체전면!$C:$C,$A11)+SUMIFS(복귀_일_수평당기기!$E:$E,복귀_일_수평당기기!$C:$C,$A11)+SUMIFS(복귀_월_가슴!$E:$E,복귀_월_가슴!$C:$C,$A11)+SUMIFS(복귀_화_팔!$E:$E,복귀_화_팔!$C:$C,$A11)+SUMIFS(복귀_수_하체후면!$E:$E,복귀_수_하체후면!$C:$C,$A11)+SUMIFS(복귀_목_수직당기기!$E:$E,복귀_목_수직당기기!$C:$C,$A11)</f>
        <v>9</v>
      </c>
      <c r="C11" s="114">
        <f ca="1">MROUND(SUMIFS(복귀_간접계수맵!$F$7:$F$100,복귀_간접계수맵!$C$7:$C$100,$A11),0.5)</f>
        <v>1.5</v>
      </c>
      <c r="D11" s="114">
        <f t="shared" ca="1" si="0"/>
        <v>10.5</v>
      </c>
      <c r="E11" s="114" t="str">
        <f t="shared" ca="1" si="1"/>
        <v>충분</v>
      </c>
      <c r="F11" s="115" t="s">
        <v>1450</v>
      </c>
    </row>
    <row r="12" spans="1:9" ht="30" customHeight="1">
      <c r="A12" s="114" t="s">
        <v>429</v>
      </c>
      <c r="B12" s="114">
        <f>SUMIFS(복귀_토_하체전면!$E:$E,복귀_토_하체전면!$C:$C,$A12)+SUMIFS(복귀_일_수평당기기!$E:$E,복귀_일_수평당기기!$C:$C,$A12)+SUMIFS(복귀_월_가슴!$E:$E,복귀_월_가슴!$C:$C,$A12)+SUMIFS(복귀_화_팔!$E:$E,복귀_화_팔!$C:$C,$A12)+SUMIFS(복귀_수_하체후면!$E:$E,복귀_수_하체후면!$C:$C,$A12)+SUMIFS(복귀_목_수직당기기!$E:$E,복귀_목_수직당기기!$C:$C,$A12)</f>
        <v>10</v>
      </c>
      <c r="C12" s="114">
        <f ca="1">MROUND(SUMIFS(복귀_간접계수맵!$F$7:$F$100,복귀_간접계수맵!$C$7:$C$100,$A12),0.5)</f>
        <v>6.5</v>
      </c>
      <c r="D12" s="114">
        <f t="shared" ca="1" si="0"/>
        <v>16.5</v>
      </c>
      <c r="E12" s="114" t="str">
        <f t="shared" ca="1" si="1"/>
        <v>충분</v>
      </c>
      <c r="F12" s="115" t="s">
        <v>1539</v>
      </c>
    </row>
    <row r="13" spans="1:9" ht="30" customHeight="1">
      <c r="A13" s="114" t="s">
        <v>354</v>
      </c>
      <c r="B13" s="114">
        <f>SUMIFS(복귀_토_하체전면!$E:$E,복귀_토_하체전면!$C:$C,$A13)+SUMIFS(복귀_일_수평당기기!$E:$E,복귀_일_수평당기기!$C:$C,$A13)+SUMIFS(복귀_월_가슴!$E:$E,복귀_월_가슴!$C:$C,$A13)+SUMIFS(복귀_화_팔!$E:$E,복귀_화_팔!$C:$C,$A13)+SUMIFS(복귀_수_하체후면!$E:$E,복귀_수_하체후면!$C:$C,$A13)+SUMIFS(복귀_목_수직당기기!$E:$E,복귀_목_수직당기기!$C:$C,$A13)</f>
        <v>16</v>
      </c>
      <c r="C13" s="114">
        <f ca="1">MROUND(SUMIFS(복귀_간접계수맵!$F$7:$F$100,복귀_간접계수맵!$C$7:$C$100,$A13),0.5)</f>
        <v>4.5</v>
      </c>
      <c r="D13" s="114">
        <f t="shared" ca="1" si="0"/>
        <v>20.5</v>
      </c>
      <c r="E13" s="114" t="str">
        <f t="shared" ca="1" si="1"/>
        <v>과다 점검</v>
      </c>
      <c r="F13" s="115" t="s">
        <v>1540</v>
      </c>
    </row>
    <row r="14" spans="1:9" ht="30" customHeight="1">
      <c r="A14" s="114" t="s">
        <v>358</v>
      </c>
      <c r="B14" s="114">
        <f>SUMIFS(복귀_토_하체전면!$E:$E,복귀_토_하체전면!$C:$C,$A14)+SUMIFS(복귀_일_수평당기기!$E:$E,복귀_일_수평당기기!$C:$C,$A14)+SUMIFS(복귀_월_가슴!$E:$E,복귀_월_가슴!$C:$C,$A14)+SUMIFS(복귀_화_팔!$E:$E,복귀_화_팔!$C:$C,$A14)+SUMIFS(복귀_수_하체후면!$E:$E,복귀_수_하체후면!$C:$C,$A14)+SUMIFS(복귀_목_수직당기기!$E:$E,복귀_목_수직당기기!$C:$C,$A14)</f>
        <v>16</v>
      </c>
      <c r="C14" s="114">
        <f ca="1">MROUND(SUMIFS(복귀_간접계수맵!$F$7:$F$100,복귀_간접계수맵!$C$7:$C$100,$A14),0.5)</f>
        <v>4</v>
      </c>
      <c r="D14" s="114">
        <f t="shared" ca="1" si="0"/>
        <v>20</v>
      </c>
      <c r="E14" s="114" t="str">
        <f t="shared" ca="1" si="1"/>
        <v>충분</v>
      </c>
      <c r="F14" s="115" t="s">
        <v>1388</v>
      </c>
    </row>
    <row r="15" spans="1:9" ht="30" customHeight="1">
      <c r="A15" s="114" t="s">
        <v>285</v>
      </c>
      <c r="B15" s="114">
        <f>SUMIFS(복귀_토_하체전면!$E:$E,복귀_토_하체전면!$C:$C,$A15)+SUMIFS(복귀_일_수평당기기!$E:$E,복귀_일_수평당기기!$C:$C,$A15)+SUMIFS(복귀_월_가슴!$E:$E,복귀_월_가슴!$C:$C,$A15)+SUMIFS(복귀_화_팔!$E:$E,복귀_화_팔!$C:$C,$A15)+SUMIFS(복귀_수_하체후면!$E:$E,복귀_수_하체후면!$C:$C,$A15)+SUMIFS(복귀_목_수직당기기!$E:$E,복귀_목_수직당기기!$C:$C,$A15)</f>
        <v>9</v>
      </c>
      <c r="C15" s="114">
        <f>MROUND(SUMIFS(복귀_간접계수맵!$F$7:$F$100,복귀_간접계수맵!$C$7:$C$100,$A15),0.5)</f>
        <v>0</v>
      </c>
      <c r="D15" s="114">
        <f t="shared" ref="D15" si="2">B15+C15</f>
        <v>9</v>
      </c>
      <c r="E15" s="114" t="str">
        <f t="shared" ref="E15" si="3">IF(D15&gt;20,"과다 점검",IF(D15&gt;=10,"충분",IF(D15&gt;=8,"하한",IF(D15&gt;=1,"보완 필요","미배치"))))</f>
        <v>하한</v>
      </c>
      <c r="F15" s="115" t="s">
        <v>1662</v>
      </c>
    </row>
    <row r="16" spans="1:9" ht="30" customHeight="1">
      <c r="A16" s="114" t="s">
        <v>369</v>
      </c>
      <c r="B16" s="114">
        <f>SUMIFS(복귀_토_하체전면!$E:$E,복귀_토_하체전면!$C:$C,$A16)+SUMIFS(복귀_일_수평당기기!$E:$E,복귀_일_수평당기기!$C:$C,$A16)+SUMIFS(복귀_월_가슴!$E:$E,복귀_월_가슴!$C:$C,$A16)+SUMIFS(복귀_화_팔!$E:$E,복귀_화_팔!$C:$C,$A16)+SUMIFS(복귀_수_하체후면!$E:$E,복귀_수_하체후면!$C:$C,$A16)+SUMIFS(복귀_목_수직당기기!$E:$E,복귀_목_수직당기기!$C:$C,$A16)</f>
        <v>14</v>
      </c>
      <c r="C16" s="114">
        <f ca="1">MROUND(SUMIFS(복귀_간접계수맵!$F$7:$F$100,복귀_간접계수맵!$C$7:$C$100,$A16),0.5)</f>
        <v>1.5</v>
      </c>
      <c r="D16" s="114">
        <f t="shared" ca="1" si="0"/>
        <v>15.5</v>
      </c>
      <c r="E16" s="114" t="str">
        <f t="shared" ca="1" si="1"/>
        <v>충분</v>
      </c>
      <c r="F16" s="115" t="s">
        <v>1652</v>
      </c>
      <c r="H16" s="124" t="s">
        <v>1189</v>
      </c>
      <c r="I16" s="125">
        <f ca="1">SUM(D16:D17,D20)</f>
        <v>42</v>
      </c>
    </row>
    <row r="17" spans="1:6" ht="30" customHeight="1">
      <c r="A17" s="114" t="s">
        <v>384</v>
      </c>
      <c r="B17" s="114">
        <f>SUMIFS(복귀_토_하체전면!$E:$E,복귀_토_하체전면!$C:$C,$A17)+SUMIFS(복귀_일_수평당기기!$E:$E,복귀_일_수평당기기!$C:$C,$A17)+SUMIFS(복귀_월_가슴!$E:$E,복귀_월_가슴!$C:$C,$A17)+SUMIFS(복귀_화_팔!$E:$E,복귀_화_팔!$C:$C,$A17)+SUMIFS(복귀_수_하체후면!$E:$E,복귀_수_하체후면!$C:$C,$A17)+SUMIFS(복귀_목_수직당기기!$E:$E,복귀_목_수직당기기!$C:$C,$A17)</f>
        <v>12</v>
      </c>
      <c r="C17" s="114">
        <f ca="1">MROUND(SUMIFS(복귀_간접계수맵!$F$7:$F$100,복귀_간접계수맵!$C$7:$C$100,$A17),0.5)</f>
        <v>2.5</v>
      </c>
      <c r="D17" s="114">
        <f t="shared" ca="1" si="0"/>
        <v>14.5</v>
      </c>
      <c r="E17" s="114" t="str">
        <f t="shared" ca="1" si="1"/>
        <v>충분</v>
      </c>
      <c r="F17" s="115" t="s">
        <v>1670</v>
      </c>
    </row>
    <row r="18" spans="1:6" ht="30" customHeight="1">
      <c r="A18" s="114" t="s">
        <v>375</v>
      </c>
      <c r="B18" s="114">
        <f>SUMIFS(복귀_토_하체전면!$E:$E,복귀_토_하체전면!$C:$C,$A18)+SUMIFS(복귀_일_수평당기기!$E:$E,복귀_일_수평당기기!$C:$C,$A18)+SUMIFS(복귀_월_가슴!$E:$E,복귀_월_가슴!$C:$C,$A18)+SUMIFS(복귀_화_팔!$E:$E,복귀_화_팔!$C:$C,$A18)+SUMIFS(복귀_수_하체후면!$E:$E,복귀_수_하체후면!$C:$C,$A18)+SUMIFS(복귀_목_수직당기기!$E:$E,복귀_목_수직당기기!$C:$C,$A18)</f>
        <v>8</v>
      </c>
      <c r="C18" s="114">
        <f ca="1">MROUND(SUMIFS(복귀_간접계수맵!$F$7:$F$100,복귀_간접계수맵!$C$7:$C$100,$A18),0.5)</f>
        <v>7</v>
      </c>
      <c r="D18" s="114">
        <f t="shared" ca="1" si="0"/>
        <v>15</v>
      </c>
      <c r="E18" s="114" t="str">
        <f t="shared" ca="1" si="1"/>
        <v>충분</v>
      </c>
      <c r="F18" s="115" t="s">
        <v>1426</v>
      </c>
    </row>
    <row r="19" spans="1:6" ht="30" customHeight="1">
      <c r="A19" s="114" t="s">
        <v>393</v>
      </c>
      <c r="B19" s="114">
        <f>SUMIFS(복귀_토_하체전면!$E:$E,복귀_토_하체전면!$C:$C,$A19)+SUMIFS(복귀_일_수평당기기!$E:$E,복귀_일_수평당기기!$C:$C,$A19)+SUMIFS(복귀_월_가슴!$E:$E,복귀_월_가슴!$C:$C,$A19)+SUMIFS(복귀_화_팔!$E:$E,복귀_화_팔!$C:$C,$A19)+SUMIFS(복귀_수_하체후면!$E:$E,복귀_수_하체후면!$C:$C,$A19)+SUMIFS(복귀_목_수직당기기!$E:$E,복귀_목_수직당기기!$C:$C,$A19)</f>
        <v>11</v>
      </c>
      <c r="C19" s="114">
        <f>MROUND(SUMIFS(복귀_간접계수맵!$F$7:$F$100,복귀_간접계수맵!$C$7:$C$100,$A19),0.5)</f>
        <v>0</v>
      </c>
      <c r="D19" s="114">
        <f t="shared" si="0"/>
        <v>11</v>
      </c>
      <c r="E19" s="114" t="str">
        <f t="shared" si="1"/>
        <v>충분</v>
      </c>
      <c r="F19" s="115" t="s">
        <v>1413</v>
      </c>
    </row>
    <row r="20" spans="1:6" ht="30" customHeight="1">
      <c r="A20" s="114" t="s">
        <v>308</v>
      </c>
      <c r="B20" s="114">
        <f>SUMIFS(복귀_토_하체전면!$E:$E,복귀_토_하체전면!$C:$C,$A20)+SUMIFS(복귀_일_수평당기기!$E:$E,복귀_일_수평당기기!$C:$C,$A20)+SUMIFS(복귀_월_가슴!$E:$E,복귀_월_가슴!$C:$C,$A20)+SUMIFS(복귀_화_팔!$E:$E,복귀_화_팔!$C:$C,$A20)+SUMIFS(복귀_수_하체후면!$E:$E,복귀_수_하체후면!$C:$C,$A20)+SUMIFS(복귀_목_수직당기기!$E:$E,복귀_목_수직당기기!$C:$C,$A20)</f>
        <v>12</v>
      </c>
      <c r="C20" s="114">
        <f ca="1">MROUND(SUMIFS(복귀_간접계수맵!$F$7:$F$100,복귀_간접계수맵!$C$7:$C$100,$A20),0.5)</f>
        <v>0</v>
      </c>
      <c r="D20" s="114">
        <f t="shared" ca="1" si="0"/>
        <v>12</v>
      </c>
      <c r="E20" s="114" t="str">
        <f t="shared" ca="1" si="1"/>
        <v>충분</v>
      </c>
      <c r="F20" s="115" t="s">
        <v>1190</v>
      </c>
    </row>
    <row r="21" spans="1:6" ht="30" customHeight="1">
      <c r="A21" s="114" t="s">
        <v>269</v>
      </c>
      <c r="B21" s="114">
        <f>SUMIFS(복귀_토_하체전면!$E:$E,복귀_토_하체전면!$C:$C,$A21)+SUMIFS(복귀_일_수평당기기!$E:$E,복귀_일_수평당기기!$C:$C,$A21)+SUMIFS(복귀_월_가슴!$E:$E,복귀_월_가슴!$C:$C,$A21)+SUMIFS(복귀_화_팔!$E:$E,복귀_화_팔!$C:$C,$A21)+SUMIFS(복귀_수_하체후면!$E:$E,복귀_수_하체후면!$C:$C,$A21)+SUMIFS(복귀_목_수직당기기!$E:$E,복귀_목_수직당기기!$C:$C,$A21)</f>
        <v>13</v>
      </c>
      <c r="C21" s="114">
        <f ca="1">MROUND(SUMIFS(복귀_간접계수맵!$F$7:$F$100,복귀_간접계수맵!$C$7:$C$100,$A21),0.5)</f>
        <v>9.5</v>
      </c>
      <c r="D21" s="114">
        <f t="shared" ca="1" si="0"/>
        <v>22.5</v>
      </c>
      <c r="E21" s="114" t="str">
        <f t="shared" ca="1" si="1"/>
        <v>과다 점검</v>
      </c>
      <c r="F21" s="115" t="s">
        <v>1638</v>
      </c>
    </row>
    <row r="22" spans="1:6" ht="30" customHeight="1">
      <c r="A22" s="114" t="s">
        <v>345</v>
      </c>
      <c r="B22" s="114">
        <f>SUMIFS(복귀_토_하체전면!$E:$E,복귀_토_하체전면!$C:$C,$A22)+SUMIFS(복귀_일_수평당기기!$E:$E,복귀_일_수평당기기!$C:$C,$A22)+SUMIFS(복귀_월_가슴!$E:$E,복귀_월_가슴!$C:$C,$A22)+SUMIFS(복귀_화_팔!$E:$E,복귀_화_팔!$C:$C,$A22)+SUMIFS(복귀_수_하체후면!$E:$E,복귀_수_하체후면!$C:$C,$A22)+SUMIFS(복귀_목_수직당기기!$E:$E,복귀_목_수직당기기!$C:$C,$A22)</f>
        <v>12</v>
      </c>
      <c r="C22" s="114">
        <f ca="1">MROUND(SUMIFS(복귀_간접계수맵!$F$7:$F$100,복귀_간접계수맵!$C$7:$C$100,$A22),0.5)</f>
        <v>9.5</v>
      </c>
      <c r="D22" s="114">
        <f t="shared" ca="1" si="0"/>
        <v>21.5</v>
      </c>
      <c r="E22" s="114" t="str">
        <f t="shared" ca="1" si="1"/>
        <v>과다 점검</v>
      </c>
      <c r="F22" s="115" t="s">
        <v>1547</v>
      </c>
    </row>
    <row r="23" spans="1:6" ht="30" customHeight="1">
      <c r="A23" s="114" t="s">
        <v>295</v>
      </c>
      <c r="B23" s="114">
        <f>SUMIFS(복귀_토_하체전면!$E:$E,복귀_토_하체전면!$C:$C,$A23)+SUMIFS(복귀_일_수평당기기!$E:$E,복귀_일_수평당기기!$C:$C,$A23)+SUMIFS(복귀_월_가슴!$E:$E,복귀_월_가슴!$C:$C,$A23)+SUMIFS(복귀_화_팔!$E:$E,복귀_화_팔!$C:$C,$A23)+SUMIFS(복귀_수_하체후면!$E:$E,복귀_수_하체후면!$C:$C,$A23)+SUMIFS(복귀_목_수직당기기!$E:$E,복귀_목_수직당기기!$C:$C,$A23)</f>
        <v>17</v>
      </c>
      <c r="C23" s="114">
        <f ca="1">MROUND(SUMIFS(복귀_간접계수맵!$F$7:$F$100,복귀_간접계수맵!$C$7:$C$100,$A23),0.5)</f>
        <v>5</v>
      </c>
      <c r="D23" s="114">
        <f t="shared" ca="1" si="0"/>
        <v>22</v>
      </c>
      <c r="E23" s="114" t="str">
        <f t="shared" ca="1" si="1"/>
        <v>과다 점검</v>
      </c>
      <c r="F23" s="115" t="s">
        <v>1395</v>
      </c>
    </row>
    <row r="24" spans="1:6" ht="30" customHeight="1">
      <c r="A24" s="114" t="s">
        <v>299</v>
      </c>
      <c r="B24" s="114">
        <f>SUMIFS(복귀_토_하체전면!$E:$E,복귀_토_하체전면!$C:$C,$A24)+SUMIFS(복귀_일_수평당기기!$E:$E,복귀_일_수평당기기!$C:$C,$A24)+SUMIFS(복귀_월_가슴!$E:$E,복귀_월_가슴!$C:$C,$A24)+SUMIFS(복귀_화_팔!$E:$E,복귀_화_팔!$C:$C,$A24)+SUMIFS(복귀_수_하체후면!$E:$E,복귀_수_하체후면!$C:$C,$A24)+SUMIFS(복귀_목_수직당기기!$E:$E,복귀_목_수직당기기!$C:$C,$A24)</f>
        <v>6</v>
      </c>
      <c r="C24" s="114">
        <f ca="1">MROUND(SUMIFS(복귀_간접계수맵!$F$7:$F$100,복귀_간접계수맵!$C$7:$C$100,$A24),0.5)</f>
        <v>0</v>
      </c>
      <c r="D24" s="114">
        <f t="shared" ca="1" si="0"/>
        <v>6</v>
      </c>
      <c r="E24" s="114" t="str">
        <f t="shared" ca="1" si="1"/>
        <v>보완 필요</v>
      </c>
      <c r="F24" s="115" t="s">
        <v>1473</v>
      </c>
    </row>
    <row r="25" spans="1:6" ht="30" customHeight="1">
      <c r="A25" s="114" t="s">
        <v>388</v>
      </c>
      <c r="B25" s="114">
        <f>SUMIFS(복귀_토_하체전면!$E:$E,복귀_토_하체전면!$C:$C,$A25)+SUMIFS(복귀_일_수평당기기!$E:$E,복귀_일_수평당기기!$C:$C,$A25)+SUMIFS(복귀_월_가슴!$E:$E,복귀_월_가슴!$C:$C,$A25)+SUMIFS(복귀_화_팔!$E:$E,복귀_화_팔!$C:$C,$A25)+SUMIFS(복귀_수_하체후면!$E:$E,복귀_수_하체후면!$C:$C,$A25)+SUMIFS(복귀_목_수직당기기!$E:$E,복귀_목_수직당기기!$C:$C,$A25)</f>
        <v>8</v>
      </c>
      <c r="C25" s="114">
        <f ca="1">MROUND(SUMIFS(복귀_간접계수맵!$F$7:$F$100,복귀_간접계수맵!$C$7:$C$100,$A25),0.5)</f>
        <v>4.5</v>
      </c>
      <c r="D25" s="114">
        <f t="shared" ca="1" si="0"/>
        <v>12.5</v>
      </c>
      <c r="E25" s="114" t="str">
        <f t="shared" ca="1" si="1"/>
        <v>충분</v>
      </c>
      <c r="F25" s="115" t="s">
        <v>1414</v>
      </c>
    </row>
    <row r="26" spans="1:6" ht="30" customHeight="1">
      <c r="A26" s="114" t="s">
        <v>912</v>
      </c>
      <c r="B26" s="114">
        <f>SUMIFS(복귀_토_하체전면!$E:$E,복귀_토_하체전면!$C:$C,$A26)+SUMIFS(복귀_일_수평당기기!$E:$E,복귀_일_수평당기기!$C:$C,$A26)+SUMIFS(복귀_월_가슴!$E:$E,복귀_월_가슴!$C:$C,$A26)+SUMIFS(복귀_화_팔!$E:$E,복귀_화_팔!$C:$C,$A26)+SUMIFS(복귀_수_하체후면!$E:$E,복귀_수_하체후면!$C:$C,$A26)+SUMIFS(복귀_목_수직당기기!$E:$E,복귀_목_수직당기기!$C:$C,$A26)</f>
        <v>6</v>
      </c>
      <c r="C26" s="114">
        <f ca="1">MROUND(SUMIFS(복귀_간접계수맵!$F$7:$F$100,복귀_간접계수맵!$C$7:$C$100,$A26),0.5)</f>
        <v>0</v>
      </c>
      <c r="D26" s="114">
        <f t="shared" ca="1" si="0"/>
        <v>6</v>
      </c>
      <c r="E26" s="114" t="str">
        <f t="shared" ca="1" si="1"/>
        <v>보완 필요</v>
      </c>
      <c r="F26" s="115" t="s">
        <v>1191</v>
      </c>
    </row>
    <row r="27" spans="1:6">
      <c r="A27" s="107" t="s">
        <v>759</v>
      </c>
      <c r="B27" s="116">
        <f>SUM(B5:B26)</f>
        <v>242</v>
      </c>
      <c r="D27" s="116">
        <f ca="1">SUM(D5:D26)</f>
        <v>317.5</v>
      </c>
    </row>
    <row r="29" spans="1:6">
      <c r="A29" s="107" t="s">
        <v>760</v>
      </c>
    </row>
    <row r="30" spans="1:6">
      <c r="A30" s="123" t="s">
        <v>1192</v>
      </c>
    </row>
    <row r="31" spans="1:6">
      <c r="A31" s="123" t="s">
        <v>1193</v>
      </c>
    </row>
    <row r="32" spans="1:6">
      <c r="A32" s="123" t="s">
        <v>1194</v>
      </c>
    </row>
    <row r="33" spans="1:1">
      <c r="A33" s="123" t="s">
        <v>1195</v>
      </c>
    </row>
    <row r="35" spans="1:1">
      <c r="A35" s="107" t="s">
        <v>1196</v>
      </c>
    </row>
    <row r="36" spans="1:1">
      <c r="A36" s="123" t="s">
        <v>1197</v>
      </c>
    </row>
    <row r="37" spans="1:1">
      <c r="A37" s="123" t="s">
        <v>1198</v>
      </c>
    </row>
    <row r="38" spans="1:1">
      <c r="A38" s="123" t="s">
        <v>1199</v>
      </c>
    </row>
    <row r="39" spans="1:1">
      <c r="A39" s="123" t="s">
        <v>1200</v>
      </c>
    </row>
    <row r="40" spans="1:1">
      <c r="A40" s="123" t="s">
        <v>1201</v>
      </c>
    </row>
    <row r="41" spans="1:1">
      <c r="A41" s="123" t="s">
        <v>1202</v>
      </c>
    </row>
    <row r="42" spans="1:1">
      <c r="A42" s="123" t="s">
        <v>1203</v>
      </c>
    </row>
    <row r="43" spans="1:1">
      <c r="A43" s="123" t="s">
        <v>1204</v>
      </c>
    </row>
    <row r="44" spans="1:1">
      <c r="A44" s="123" t="s">
        <v>1205</v>
      </c>
    </row>
    <row r="45" spans="1:1">
      <c r="A45" s="123" t="s">
        <v>1319</v>
      </c>
    </row>
    <row r="47" spans="1:1">
      <c r="A47" s="107" t="s">
        <v>1206</v>
      </c>
    </row>
    <row r="48" spans="1:1">
      <c r="A48" s="123" t="s">
        <v>1207</v>
      </c>
    </row>
    <row r="49" spans="1:1">
      <c r="A49" s="123" t="s">
        <v>1208</v>
      </c>
    </row>
    <row r="50" spans="1:1">
      <c r="A50" s="123" t="s">
        <v>1209</v>
      </c>
    </row>
    <row r="51" spans="1:1">
      <c r="A51" s="123" t="s">
        <v>1210</v>
      </c>
    </row>
    <row r="53" spans="1:1">
      <c r="A53" s="107" t="s">
        <v>1211</v>
      </c>
    </row>
    <row r="54" spans="1:1">
      <c r="A54" s="123" t="s">
        <v>1212</v>
      </c>
    </row>
    <row r="55" spans="1:1">
      <c r="A55" s="123" t="s">
        <v>1445</v>
      </c>
    </row>
    <row r="56" spans="1:1">
      <c r="A56" s="123" t="s">
        <v>1213</v>
      </c>
    </row>
    <row r="57" spans="1:1">
      <c r="A57" s="123" t="s">
        <v>1214</v>
      </c>
    </row>
    <row r="58" spans="1:1">
      <c r="A58" s="123" t="s">
        <v>1215</v>
      </c>
    </row>
    <row r="59" spans="1:1">
      <c r="A59" s="123" t="s">
        <v>1216</v>
      </c>
    </row>
    <row r="60" spans="1:1">
      <c r="A60" s="123" t="s">
        <v>1290</v>
      </c>
    </row>
    <row r="61" spans="1:1">
      <c r="A61" s="123" t="s">
        <v>1217</v>
      </c>
    </row>
    <row r="62" spans="1:1">
      <c r="A62" s="123" t="s">
        <v>1389</v>
      </c>
    </row>
    <row r="63" spans="1:1">
      <c r="A63" s="123" t="s">
        <v>1441</v>
      </c>
    </row>
    <row r="65" spans="1:1">
      <c r="A65" s="107" t="s">
        <v>1218</v>
      </c>
    </row>
    <row r="66" spans="1:1">
      <c r="A66" s="123" t="s">
        <v>1219</v>
      </c>
    </row>
    <row r="67" spans="1:1">
      <c r="A67" s="123" t="s">
        <v>1220</v>
      </c>
    </row>
    <row r="68" spans="1:1">
      <c r="A68" s="123" t="s">
        <v>1221</v>
      </c>
    </row>
    <row r="69" spans="1:1">
      <c r="A69" s="123" t="s">
        <v>1222</v>
      </c>
    </row>
    <row r="70" spans="1:1">
      <c r="A70" s="123" t="s">
        <v>1223</v>
      </c>
    </row>
    <row r="71" spans="1:1">
      <c r="A71" s="123" t="s">
        <v>1415</v>
      </c>
    </row>
    <row r="72" spans="1:1">
      <c r="A72" s="123" t="s">
        <v>1224</v>
      </c>
    </row>
  </sheetData>
  <phoneticPr fontId="29"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27</vt:i4>
      </vt:variant>
    </vt:vector>
  </HeadingPairs>
  <TitlesOfParts>
    <vt:vector size="27" baseType="lpstr">
      <vt:lpstr>시작중량_설정</vt:lpstr>
      <vt:lpstr>주간계획</vt:lpstr>
      <vt:lpstr>D1_당기기A</vt:lpstr>
      <vt:lpstr>D2_밀기A</vt:lpstr>
      <vt:lpstr>D3_하체A</vt:lpstr>
      <vt:lpstr>D4_어깨팔A</vt:lpstr>
      <vt:lpstr>D6_당기기B</vt:lpstr>
      <vt:lpstr>D7_밀기B</vt:lpstr>
      <vt:lpstr>D8_하체B</vt:lpstr>
      <vt:lpstr>D9_어깨팔B</vt:lpstr>
      <vt:lpstr>간접계수맵</vt:lpstr>
      <vt:lpstr>세트검산</vt:lpstr>
      <vt:lpstr>증량기록</vt:lpstr>
      <vt:lpstr>9월이후조정</vt:lpstr>
      <vt:lpstr>복귀_주간계획</vt:lpstr>
      <vt:lpstr>복귀_토_하체전면</vt:lpstr>
      <vt:lpstr>복귀_일_수평당기기</vt:lpstr>
      <vt:lpstr>복귀_집계단</vt:lpstr>
      <vt:lpstr>복귀_월_가슴</vt:lpstr>
      <vt:lpstr>복귀_화_팔</vt:lpstr>
      <vt:lpstr>복귀_수_하체후면</vt:lpstr>
      <vt:lpstr>복귀_목_수직당기기</vt:lpstr>
      <vt:lpstr>복귀_캐리</vt:lpstr>
      <vt:lpstr>복귀_스텝박스</vt:lpstr>
      <vt:lpstr>복귀_증량원칙</vt:lpstr>
      <vt:lpstr>복귀_간접계수맵</vt:lpstr>
      <vt:lpstr>복귀_세트검산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승태 최</cp:lastModifiedBy>
  <cp:revision>0</cp:revision>
  <dcterms:created xsi:type="dcterms:W3CDTF">2026-07-28T16:37:37Z</dcterms:created>
  <dcterms:modified xsi:type="dcterms:W3CDTF">2026-10-26T06:09:55Z</dcterms:modified>
  <dc:language>en-US</dc:language>
</cp:coreProperties>
</file>