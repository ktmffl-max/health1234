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504" documentId="11_6AF0B42629B6F5CFF7DAC05DB27E968F34409905" xr6:coauthVersionLast="47" xr6:coauthVersionMax="47" xr10:uidLastSave="{C7623704-ED70-4B7F-8524-C41D7A60127A}"/>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1" l="1"/>
  <c r="D26" i="18" s="1"/>
  <c r="AD26" i="13"/>
  <c r="AD27" i="13" s="1"/>
  <c r="AD28" i="13" s="1"/>
  <c r="AD29" i="13" s="1"/>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E18" i="1"/>
  <c r="D15" i="17" s="1"/>
  <c r="AB26" i="13"/>
  <c r="AB27" i="13" s="1"/>
  <c r="AB28" i="13" s="1"/>
  <c r="AB29" i="13" s="1"/>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E17" i="1"/>
  <c r="D18" i="21" s="1"/>
  <c r="Z26" i="13"/>
  <c r="Z27" i="13" s="1"/>
  <c r="Z28" i="13" s="1"/>
  <c r="Z29" i="13" s="1"/>
  <c r="Z30" i="13" s="1"/>
  <c r="Z31" i="13" s="1"/>
  <c r="Z32" i="13" s="1"/>
  <c r="Z33" i="13" s="1"/>
  <c r="Z34" i="13" s="1"/>
  <c r="Z35" i="13" s="1"/>
  <c r="Z36" i="13" s="1"/>
  <c r="Z37" i="13" s="1"/>
  <c r="Z38" i="13" s="1"/>
  <c r="Z39" i="13" s="1"/>
  <c r="Z40" i="13" s="1"/>
  <c r="Z41" i="13" s="1"/>
  <c r="Z42" i="13" s="1"/>
  <c r="Z43" i="13" s="1"/>
  <c r="Z44" i="13" s="1"/>
  <c r="Z45" i="13" s="1"/>
  <c r="Z46" i="13" s="1"/>
  <c r="Z47" i="13" s="1"/>
  <c r="Z48" i="13" s="1"/>
  <c r="E16" i="1"/>
  <c r="D11" i="19" s="1"/>
  <c r="X26" i="13"/>
  <c r="X27" i="13" s="1"/>
  <c r="X28" i="13" s="1"/>
  <c r="X29" i="13" s="1"/>
  <c r="X30" i="13" s="1"/>
  <c r="X31" i="13" s="1"/>
  <c r="X32" i="13" s="1"/>
  <c r="X33" i="13" s="1"/>
  <c r="X34" i="13" s="1"/>
  <c r="X35" i="13" s="1"/>
  <c r="X36" i="13" s="1"/>
  <c r="X37" i="13" s="1"/>
  <c r="X38" i="13" s="1"/>
  <c r="X39" i="13" s="1"/>
  <c r="X40" i="13" s="1"/>
  <c r="X41" i="13" s="1"/>
  <c r="X42" i="13" s="1"/>
  <c r="X43" i="13" s="1"/>
  <c r="X44" i="13" s="1"/>
  <c r="X45" i="13" s="1"/>
  <c r="X46" i="13" s="1"/>
  <c r="X47" i="13" s="1"/>
  <c r="X48" i="13" s="1"/>
  <c r="E15" i="1"/>
  <c r="D30" i="20" s="1"/>
  <c r="V26" i="13"/>
  <c r="V27" i="13" s="1"/>
  <c r="V28" i="13" s="1"/>
  <c r="V29" i="13" s="1"/>
  <c r="V30" i="13" s="1"/>
  <c r="V31" i="13" s="1"/>
  <c r="V32" i="13" s="1"/>
  <c r="V33" i="13" s="1"/>
  <c r="V34" i="13" s="1"/>
  <c r="V35" i="13" s="1"/>
  <c r="V36" i="13" s="1"/>
  <c r="V37" i="13" s="1"/>
  <c r="V38" i="13" s="1"/>
  <c r="V39" i="13" s="1"/>
  <c r="V40" i="13" s="1"/>
  <c r="V41" i="13" s="1"/>
  <c r="V42" i="13" s="1"/>
  <c r="V43" i="13" s="1"/>
  <c r="V44" i="13" s="1"/>
  <c r="V45" i="13" s="1"/>
  <c r="V46" i="13" s="1"/>
  <c r="V47" i="13" s="1"/>
  <c r="V48" i="13" s="1"/>
  <c r="E14" i="1"/>
  <c r="D31" i="20" s="1"/>
  <c r="T26" i="13"/>
  <c r="T27" i="13" s="1"/>
  <c r="T28" i="13" s="1"/>
  <c r="T29" i="13" s="1"/>
  <c r="T30" i="13" s="1"/>
  <c r="T31" i="13" s="1"/>
  <c r="T32" i="13" s="1"/>
  <c r="T33" i="13" s="1"/>
  <c r="T34" i="13" s="1"/>
  <c r="T35" i="13" s="1"/>
  <c r="T36" i="13" s="1"/>
  <c r="T37" i="13" s="1"/>
  <c r="T38" i="13" s="1"/>
  <c r="T39" i="13" s="1"/>
  <c r="T40" i="13" s="1"/>
  <c r="T41" i="13" s="1"/>
  <c r="T42" i="13" s="1"/>
  <c r="T43" i="13" s="1"/>
  <c r="T44" i="13" s="1"/>
  <c r="T45" i="13" s="1"/>
  <c r="T46" i="13" s="1"/>
  <c r="T47" i="13" s="1"/>
  <c r="T48" i="13" s="1"/>
  <c r="E13" i="1"/>
  <c r="D21" i="16" s="1"/>
  <c r="R26" i="13"/>
  <c r="R27" i="13" s="1"/>
  <c r="R28" i="13" s="1"/>
  <c r="R29" i="13" s="1"/>
  <c r="R30" i="13" s="1"/>
  <c r="R31" i="13" s="1"/>
  <c r="R32" i="13" s="1"/>
  <c r="R33" i="13" s="1"/>
  <c r="R34" i="13" s="1"/>
  <c r="R35" i="13" s="1"/>
  <c r="R36" i="13" s="1"/>
  <c r="R37" i="13" s="1"/>
  <c r="R38" i="13" s="1"/>
  <c r="R39" i="13" s="1"/>
  <c r="R40" i="13" s="1"/>
  <c r="R41" i="13" s="1"/>
  <c r="R42" i="13" s="1"/>
  <c r="R43" i="13" s="1"/>
  <c r="R44" i="13" s="1"/>
  <c r="R45" i="13" s="1"/>
  <c r="R46" i="13" s="1"/>
  <c r="R47" i="13" s="1"/>
  <c r="R48" i="13" s="1"/>
  <c r="E12" i="1"/>
  <c r="D19" i="18" s="1"/>
  <c r="E11" i="1"/>
  <c r="D11" i="17" s="1"/>
  <c r="P26" i="13"/>
  <c r="P27" i="13" s="1"/>
  <c r="P28" i="13" s="1"/>
  <c r="P29" i="13" s="1"/>
  <c r="P30" i="13" s="1"/>
  <c r="P31" i="13" s="1"/>
  <c r="P32" i="13" s="1"/>
  <c r="P33" i="13" s="1"/>
  <c r="P34" i="13" s="1"/>
  <c r="P35" i="13" s="1"/>
  <c r="P36" i="13" s="1"/>
  <c r="P37" i="13" s="1"/>
  <c r="P38" i="13" s="1"/>
  <c r="P39" i="13" s="1"/>
  <c r="P40" i="13" s="1"/>
  <c r="P41" i="13" s="1"/>
  <c r="P42" i="13" s="1"/>
  <c r="P43" i="13" s="1"/>
  <c r="P44" i="13" s="1"/>
  <c r="P45" i="13" s="1"/>
  <c r="P46" i="13" s="1"/>
  <c r="P47" i="13" s="1"/>
  <c r="P48" i="13" s="1"/>
  <c r="N26" i="13"/>
  <c r="N27" i="13" s="1"/>
  <c r="N28" i="13" s="1"/>
  <c r="N29" i="13" s="1"/>
  <c r="N30" i="13" s="1"/>
  <c r="N31" i="13" s="1"/>
  <c r="N32" i="13" s="1"/>
  <c r="N33" i="13" s="1"/>
  <c r="N34" i="13" s="1"/>
  <c r="N35" i="13" s="1"/>
  <c r="N36" i="13" s="1"/>
  <c r="N37" i="13" s="1"/>
  <c r="N38" i="13" s="1"/>
  <c r="N39" i="13" s="1"/>
  <c r="N40" i="13" s="1"/>
  <c r="N41" i="13" s="1"/>
  <c r="N42" i="13" s="1"/>
  <c r="N43" i="13" s="1"/>
  <c r="N44" i="13" s="1"/>
  <c r="N45" i="13" s="1"/>
  <c r="N46" i="13" s="1"/>
  <c r="N47" i="13" s="1"/>
  <c r="N48" i="13" s="1"/>
  <c r="C15" i="24"/>
  <c r="B15" i="24"/>
  <c r="D15" i="24" s="1"/>
  <c r="E15" i="24" s="1"/>
  <c r="I37" i="20"/>
  <c r="I26" i="18"/>
  <c r="I26" i="16"/>
  <c r="E81" i="23"/>
  <c r="F81" i="23" s="1"/>
  <c r="E80" i="23"/>
  <c r="F80" i="23" s="1"/>
  <c r="E79" i="23"/>
  <c r="F79" i="23" s="1"/>
  <c r="I8" i="24"/>
  <c r="E29" i="18"/>
  <c r="E8" i="15" s="1"/>
  <c r="I28" i="18"/>
  <c r="I27"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78" i="23"/>
  <c r="F78" i="23" s="1"/>
  <c r="C26" i="24" s="1"/>
  <c r="E77" i="23"/>
  <c r="F77" i="23" s="1"/>
  <c r="C20" i="24" s="1"/>
  <c r="E76" i="23"/>
  <c r="F76" i="23" s="1"/>
  <c r="C24"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6"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2" i="17"/>
  <c r="E7" i="15" s="1"/>
  <c r="I21" i="17"/>
  <c r="I20" i="17"/>
  <c r="I19" i="17"/>
  <c r="I18" i="17"/>
  <c r="I17" i="17"/>
  <c r="I16" i="17"/>
  <c r="I15" i="17"/>
  <c r="I14" i="17"/>
  <c r="I12" i="17"/>
  <c r="I11" i="17"/>
  <c r="E31" i="16"/>
  <c r="E6" i="15" s="1"/>
  <c r="I30" i="16"/>
  <c r="I29" i="16"/>
  <c r="I28" i="16"/>
  <c r="I27" i="16"/>
  <c r="I25" i="16"/>
  <c r="I24" i="16"/>
  <c r="I22" i="16"/>
  <c r="I21" i="16"/>
  <c r="I20" i="16"/>
  <c r="I19" i="13"/>
  <c r="I20" i="13" s="1"/>
  <c r="I21" i="13" s="1"/>
  <c r="I22" i="13" s="1"/>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G19" i="13"/>
  <c r="G20" i="13" s="1"/>
  <c r="G21" i="13" s="1"/>
  <c r="G22" i="13" s="1"/>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E19" i="13"/>
  <c r="E20" i="13" s="1"/>
  <c r="E21" i="13" s="1"/>
  <c r="E22" i="13" s="1"/>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C19" i="13"/>
  <c r="C20" i="13" s="1"/>
  <c r="C21" i="13" s="1"/>
  <c r="C22" i="13" s="1"/>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E52" i="1" l="1"/>
  <c r="D52" i="1"/>
  <c r="I29" i="18"/>
  <c r="C52" i="1"/>
  <c r="B52"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7" i="24"/>
  <c r="F7" i="23"/>
  <c r="C22" i="24" s="1"/>
  <c r="D22" i="24" s="1"/>
  <c r="E22" i="24" s="1"/>
  <c r="F3" i="23"/>
  <c r="E53" i="1"/>
  <c r="D53"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3" i="1" l="1"/>
  <c r="B53" i="1"/>
  <c r="E5" i="24"/>
  <c r="I5" i="24"/>
  <c r="D27" i="24"/>
  <c r="E54" i="1"/>
  <c r="D54" i="1"/>
  <c r="H17" i="12"/>
  <c r="J17" i="12"/>
  <c r="E17" i="12" s="1"/>
  <c r="H15" i="12"/>
  <c r="J15" i="12"/>
  <c r="E15" i="12" s="1"/>
  <c r="H7" i="12"/>
  <c r="J7" i="12"/>
  <c r="E7" i="12" s="1"/>
  <c r="L25" i="12"/>
  <c r="L2" i="12"/>
  <c r="J5" i="12"/>
  <c r="E5" i="12" s="1"/>
  <c r="D25" i="12"/>
  <c r="J25" i="12" s="1"/>
  <c r="H5" i="12"/>
  <c r="I5" i="12" s="1"/>
  <c r="I16" i="24"/>
  <c r="E16" i="24"/>
  <c r="I7" i="24"/>
  <c r="E7" i="24"/>
  <c r="C54" i="1" l="1"/>
  <c r="B54" i="1"/>
  <c r="E55" i="1"/>
  <c r="D55" i="1"/>
  <c r="H3" i="12"/>
  <c r="J3" i="12"/>
  <c r="C55" i="1" l="1"/>
  <c r="B55" i="1"/>
  <c r="E10" i="1"/>
  <c r="E56" i="1"/>
  <c r="E9" i="1"/>
  <c r="D56" i="1"/>
  <c r="L3" i="12"/>
  <c r="A3" i="12"/>
  <c r="C56" i="1" l="1"/>
  <c r="B56" i="1"/>
  <c r="A6" i="8"/>
  <c r="A7" i="8"/>
  <c r="A8" i="8"/>
  <c r="A9" i="8"/>
  <c r="A10" i="8"/>
  <c r="D20" i="8"/>
  <c r="A14" i="20"/>
  <c r="A16" i="20"/>
  <c r="A15" i="20"/>
  <c r="A18" i="20"/>
  <c r="A17" i="20"/>
  <c r="D33" i="20"/>
  <c r="A7" i="18"/>
  <c r="A8" i="18"/>
  <c r="A10" i="18"/>
  <c r="A7" i="4"/>
  <c r="D18" i="18"/>
  <c r="A9" i="18"/>
  <c r="A6" i="18"/>
  <c r="A6" i="4"/>
  <c r="A8" i="4"/>
  <c r="A9" i="4"/>
  <c r="A10" i="4"/>
  <c r="D20" i="4"/>
  <c r="E57" i="1"/>
  <c r="D57" i="1"/>
  <c r="E8" i="1" l="1"/>
  <c r="C57" i="1"/>
  <c r="E7" i="1"/>
  <c r="B57" i="1"/>
  <c r="F11" i="2"/>
  <c r="E11" i="2"/>
  <c r="F6" i="2"/>
  <c r="E6" i="2"/>
  <c r="E58" i="1"/>
  <c r="D58" i="1"/>
  <c r="D29" i="20" l="1"/>
  <c r="A7" i="9"/>
  <c r="A6" i="9"/>
  <c r="A6" i="20"/>
  <c r="D28" i="20"/>
  <c r="A8" i="20"/>
  <c r="A7" i="20"/>
  <c r="A10" i="9"/>
  <c r="A9" i="20"/>
  <c r="D16" i="9"/>
  <c r="D15" i="9"/>
  <c r="A9" i="9"/>
  <c r="A8" i="9"/>
  <c r="A10" i="20"/>
  <c r="C58" i="1"/>
  <c r="B58" i="1"/>
  <c r="A7" i="5"/>
  <c r="A10" i="16"/>
  <c r="A9" i="5"/>
  <c r="A10" i="5"/>
  <c r="D20" i="16"/>
  <c r="A6" i="16"/>
  <c r="A8" i="16"/>
  <c r="D15" i="5"/>
  <c r="A8" i="5"/>
  <c r="A9" i="16"/>
  <c r="A6" i="5"/>
  <c r="A7" i="16"/>
  <c r="E59" i="1"/>
  <c r="D59" i="1"/>
  <c r="F12" i="2" l="1"/>
  <c r="E12" i="2"/>
  <c r="C59" i="1"/>
  <c r="B59" i="1"/>
  <c r="F15" i="2"/>
  <c r="E7" i="2"/>
  <c r="F7" i="2"/>
  <c r="E60" i="1"/>
  <c r="D60" i="1"/>
  <c r="E15" i="2" l="1"/>
  <c r="C60" i="1"/>
  <c r="B60" i="1"/>
  <c r="E61" i="1"/>
  <c r="D61" i="1"/>
  <c r="C61" i="1" l="1"/>
  <c r="B61" i="1"/>
  <c r="E62" i="1"/>
  <c r="D62" i="1"/>
  <c r="C62" i="1" l="1"/>
  <c r="B62" i="1"/>
  <c r="E63" i="1"/>
  <c r="D63" i="1"/>
  <c r="C63" i="1" l="1"/>
  <c r="B63" i="1"/>
</calcChain>
</file>

<file path=xl/sharedStrings.xml><?xml version="1.0" encoding="utf-8"?>
<sst xmlns="http://schemas.openxmlformats.org/spreadsheetml/2006/main" count="3106" uniqueCount="1645">
  <si>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</si>
  <si>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</si>
  <si>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</si>
  <si>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</si>
  <si>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</si>
  <si>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</si>
  <si>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</si>
  <si>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</si>
  <si>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</si>
  <si>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</si>
  <si>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</si>
  <si>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</si>
  <si>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</si>
  <si>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</si>
  <si>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</si>
  <si>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</si>
  <si>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</si>
  <si>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</si>
  <si>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</si>
  <si>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</si>
  <si>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</si>
  <si>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</si>
  <si>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</si>
  <si>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</si>
  <si>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</si>
  <si>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</si>
  <si>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</si>
  <si>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</si>
  <si>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</si>
  <si>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</si>
  <si>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</si>
  <si>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</si>
  <si>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</si>
  <si>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</si>
  <si>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</si>
  <si>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</si>
  <si>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</si>
  <si>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</si>
  <si>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</si>
  <si>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</si>
  <si>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</si>
  <si>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</si>
  <si>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</si>
  <si>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</si>
  <si>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</si>
  <si>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</si>
  <si>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</si>
  <si>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</si>
  <si>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</si>
  <si>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</si>
  <si>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</si>
  <si>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</si>
  <si>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</si>
  <si>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</si>
  <si>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</si>
  <si>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</si>
  <si>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</si>
  <si>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</si>
  <si>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</si>
  <si>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</si>
  <si>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</si>
  <si>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</si>
  <si>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</si>
  <si>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</si>
  <si>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</si>
  <si>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</si>
  <si>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</si>
  <si>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</si>
  <si>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</si>
  <si>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</si>
  <si>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</si>
  <si>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</si>
  <si>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</si>
  <si>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</si>
  <si>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</si>
  <si>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</si>
  <si>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</si>
  <si>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</si>
  <si>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</si>
  <si>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</si>
  <si>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</si>
  <si>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</si>
  <si>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</si>
  <si>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</si>
  <si>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</si>
  <si>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</si>
  <si>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</si>
  <si>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</si>
  <si>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</si>
  <si>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</si>
  <si>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</si>
  <si>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</si>
  <si>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</si>
  <si>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</si>
  <si>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</si>
  <si>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</si>
  <si>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</si>
  <si>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</si>
  <si>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</si>
  <si>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</si>
  <si>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</si>
  <si>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</si>
  <si>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</si>
  <si>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</si>
  <si>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</si>
  <si>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</si>
  <si>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</si>
  <si>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</si>
  <si>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</si>
  <si>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</si>
  <si>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</si>
  <si>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</si>
  <si>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</si>
  <si>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</si>
  <si>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</si>
  <si>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</si>
  <si>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</si>
  <si>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</si>
  <si>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</si>
  <si>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</si>
  <si>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</si>
  <si>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</si>
  <si>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</si>
  <si>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</si>
  <si>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</si>
  <si>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</si>
  <si>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</si>
  <si>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</si>
  <si>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</si>
  <si>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</si>
  <si>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</si>
  <si>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</si>
  <si>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</si>
  <si>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</si>
  <si>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</si>
  <si>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</si>
  <si>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</si>
  <si>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</si>
  <si>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</si>
  <si>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</si>
  <si>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</si>
  <si>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</si>
  <si>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</si>
  <si>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</si>
  <si>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</si>
  <si>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</si>
  <si>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</si>
  <si>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</si>
  <si>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</si>
  <si>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</si>
  <si>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</si>
  <si>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</si>
  <si>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</si>
  <si>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</si>
  <si>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</si>
  <si>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</si>
  <si>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</si>
  <si>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</si>
  <si>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</si>
  <si>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</si>
  <si>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</si>
  <si>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</si>
  <si>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</si>
  <si>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</si>
  <si>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</si>
  <si>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</si>
  <si>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</si>
  <si>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</si>
  <si>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</si>
  <si>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</si>
  <si>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</si>
  <si>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</si>
  <si>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</si>
  <si>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</si>
  <si>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</si>
  <si>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</si>
  <si>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</si>
  <si>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</si>
  <si>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</si>
  <si>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</si>
  <si>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</si>
  <si>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</si>
  <si>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</si>
  <si>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</si>
  <si>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</si>
  <si>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</si>
  <si>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</si>
  <si>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</si>
  <si>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</si>
  <si>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</si>
  <si>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</si>
  <si>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</si>
  <si>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</si>
  <si>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</si>
  <si>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</si>
  <si>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</si>
  <si>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</si>
  <si>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</si>
  <si>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</si>
  <si>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</si>
  <si>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</si>
  <si>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</si>
  <si>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</si>
  <si>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</si>
  <si>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</si>
  <si>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</si>
  <si>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</si>
  <si>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</si>
  <si>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</si>
  <si>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</si>
  <si>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</si>
  <si>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</si>
  <si>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</si>
  <si>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</si>
  <si>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</si>
  <si>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</si>
  <si>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</si>
  <si>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</si>
  <si>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</si>
  <si>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</si>
  <si>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</si>
  <si>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</si>
  <si>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</si>
  <si>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</si>
  <si>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</si>
  <si>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</si>
  <si>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</si>
  <si>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</si>
  <si>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</si>
  <si>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</si>
  <si>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</si>
  <si>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</si>
  <si>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</si>
  <si>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</si>
  <si>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</si>
  <si>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</si>
  <si>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</si>
  <si>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</si>
  <si>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</si>
  <si>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</si>
  <si>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</si>
  <si>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</si>
  <si>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</si>
  <si>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</si>
  <si>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</si>
  <si>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</si>
  <si>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</si>
  <si>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</si>
  <si>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</si>
  <si>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</si>
  <si>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</si>
  <si>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</si>
  <si>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</si>
  <si>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</si>
  <si>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</si>
  <si>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</si>
  <si>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</si>
  <si>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</si>
  <si>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</si>
  <si>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</si>
  <si>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</si>
  <si>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</si>
  <si>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</si>
  <si>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</si>
  <si>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</si>
  <si>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</si>
  <si>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</si>
  <si>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</si>
  <si>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</si>
  <si>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</si>
  <si>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</si>
  <si>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</si>
  <si>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</si>
  <si>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</si>
  <si>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</si>
  <si>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</si>
  <si>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</si>
  <si>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</si>
  <si>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</si>
  <si>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</si>
  <si>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</si>
  <si>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</si>
  <si>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</si>
  <si>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</si>
  <si>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</si>
  <si>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</si>
  <si>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</si>
  <si>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</si>
  <si>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</si>
  <si>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</si>
  <si>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</si>
  <si>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</si>
  <si>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</si>
  <si>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</si>
  <si>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</si>
  <si>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</si>
  <si>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</si>
  <si>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</si>
  <si>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</si>
  <si>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</si>
  <si>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</si>
  <si>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</si>
  <si>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</si>
  <si>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</si>
  <si>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</si>
  <si>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</si>
  <si>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</si>
  <si>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</si>
  <si>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</si>
  <si>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</si>
  <si>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</si>
  <si>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</si>
  <si>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</si>
  <si>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</si>
  <si>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</si>
  <si>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</si>
  <si>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</si>
  <si>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</si>
  <si>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</si>
  <si>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</si>
  <si>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</si>
  <si>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</si>
  <si>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</si>
  <si>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</si>
  <si>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</si>
  <si>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</si>
  <si>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</si>
  <si>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</si>
  <si>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</si>
  <si>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</si>
  <si>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</si>
  <si>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</si>
  <si>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</si>
  <si>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</si>
  <si>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</si>
  <si>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</si>
  <si>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</si>
  <si>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</si>
  <si>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</si>
  <si>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</si>
  <si>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</si>
  <si>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</si>
  <si>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</si>
  <si>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</si>
  <si>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</si>
  <si>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</si>
  <si>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</si>
  <si>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</si>
  <si>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</si>
  <si>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</si>
  <si>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</si>
  <si>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</si>
  <si>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</si>
  <si>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</si>
  <si>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</si>
  <si>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</si>
  <si>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</si>
  <si>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</si>
  <si>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</si>
  <si>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</si>
  <si>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</si>
  <si>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</si>
  <si>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</si>
  <si>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</si>
  <si>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</si>
  <si>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</si>
  <si>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</si>
  <si>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</si>
  <si>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</si>
  <si>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</si>
  <si>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</si>
  <si>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</si>
  <si>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</si>
  <si>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</si>
  <si>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</si>
  <si>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</si>
  <si>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</si>
  <si>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</si>
  <si>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</si>
  <si>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</si>
  <si>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</si>
  <si>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</si>
  <si>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</si>
  <si>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</si>
  <si>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</si>
  <si>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</si>
  <si>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</si>
  <si>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</si>
  <si>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</si>
  <si>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</si>
  <si>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</si>
  <si>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</si>
  <si>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</si>
  <si>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</si>
  <si>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</si>
  <si>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</si>
  <si>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</si>
  <si>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</si>
  <si>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</si>
  <si>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</si>
  <si>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</si>
  <si>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</si>
  <si>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</si>
  <si>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</si>
  <si>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</si>
  <si>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</si>
  <si>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</si>
  <si>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</si>
  <si>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</si>
  <si>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</si>
  <si>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</si>
  <si>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</si>
  <si>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</si>
  <si>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</si>
  <si>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</si>
  <si>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</si>
  <si>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</si>
  <si>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</si>
  <si>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</si>
  <si>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</si>
  <si>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</si>
  <si>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</si>
  <si>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</si>
  <si>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</si>
  <si>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</si>
  <si>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</si>
  <si>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</si>
  <si>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</si>
  <si>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</si>
  <si>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</si>
  <si>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</si>
  <si>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</si>
  <si>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</si>
  <si>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</si>
  <si>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</si>
  <si>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</si>
  <si>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</si>
  <si>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</si>
  <si>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</si>
  <si>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</si>
  <si>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</si>
  <si>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</si>
  <si>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</si>
  <si>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</si>
  <si>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</si>
  <si>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</si>
  <si>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</si>
  <si>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</si>
  <si>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</si>
  <si>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</si>
  <si>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</si>
  <si>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</si>
  <si>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</si>
  <si>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</si>
  <si>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</si>
  <si>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</si>
  <si>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</si>
  <si>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</si>
  <si>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</si>
  <si>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</si>
  <si>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</si>
  <si>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</si>
  <si>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</si>
  <si>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</si>
  <si>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</si>
  <si>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</si>
  <si>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</si>
  <si>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</si>
  <si>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</si>
  <si>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</si>
  <si>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</si>
  <si>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</si>
  <si>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</si>
  <si>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</si>
  <si>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</si>
  <si>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</si>
  <si>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</si>
  <si>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</si>
  <si>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</si>
  <si>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</si>
  <si>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</si>
  <si>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</si>
  <si>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</si>
  <si>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</si>
  <si>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</si>
  <si>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</si>
  <si>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</si>
  <si>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</si>
  <si>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</si>
  <si>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</si>
  <si>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</si>
  <si>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</si>
  <si>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</si>
  <si>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</si>
  <si>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</si>
  <si>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</si>
  <si>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</si>
  <si>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</si>
  <si>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</si>
  <si>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</si>
  <si>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</si>
  <si>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</si>
  <si>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</si>
  <si>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</si>
  <si>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</si>
  <si>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</si>
  <si>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</si>
  <si>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</si>
  <si>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</si>
  <si>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</si>
  <si>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</si>
  <si>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</si>
  <si>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</si>
  <si>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</si>
  <si>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</si>
  <si>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</si>
  <si>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</si>
  <si>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</si>
  <si>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</si>
  <si>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</si>
  <si>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</si>
  <si>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</si>
  <si>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</si>
  <si>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</si>
  <si>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</si>
  <si>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</si>
  <si>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</si>
  <si>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</si>
  <si>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</si>
  <si>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</si>
  <si>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</si>
  <si>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</si>
  <si>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</si>
  <si>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</si>
  <si>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</si>
  <si>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</si>
  <si>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</si>
  <si>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</si>
  <si>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</si>
  <si>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</si>
  <si>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</si>
  <si>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</si>
  <si>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</si>
  <si>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</si>
  <si>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</si>
  <si>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</si>
  <si>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</si>
  <si>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</si>
  <si>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</si>
  <si>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</si>
  <si>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</si>
  <si>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</si>
  <si>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</si>
  <si>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</si>
  <si>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</si>
  <si>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</si>
  <si>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</si>
  <si>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</si>
  <si>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</si>
  <si>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</si>
  <si>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</si>
  <si>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</si>
  <si>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</si>
  <si>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</si>
  <si>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</si>
  <si>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</si>
  <si>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</si>
  <si>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</si>
  <si>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</si>
  <si>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</si>
  <si>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</si>
  <si>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</si>
  <si>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</si>
  <si>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</si>
  <si>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</si>
  <si>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</si>
  <si>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</si>
  <si>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</si>
  <si>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</si>
  <si>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</si>
  <si>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</si>
  <si>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</si>
  <si>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</si>
  <si>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</si>
  <si>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</si>
  <si>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</si>
  <si>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</si>
  <si>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</si>
  <si>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</si>
  <si>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</si>
  <si>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</si>
  <si>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</si>
  <si>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</si>
  <si>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</si>
  <si>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</si>
  <si>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</si>
  <si>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</si>
  <si>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</si>
  <si>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</si>
  <si>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</si>
  <si>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</si>
  <si>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</si>
  <si>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</si>
  <si>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</si>
  <si>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</si>
  <si>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</si>
  <si>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</si>
  <si>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</si>
  <si>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</si>
  <si>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</si>
  <si>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</si>
  <si>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</si>
  <si>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</si>
  <si>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</si>
  <si>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</si>
  <si>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</si>
  <si>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</si>
  <si>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</si>
  <si>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</si>
  <si>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</si>
  <si>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</si>
  <si>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</si>
  <si>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</si>
  <si>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</si>
  <si>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</si>
  <si>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</si>
  <si>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</si>
  <si>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</si>
  <si>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</si>
  <si>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</si>
  <si>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</si>
  <si>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</si>
  <si>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</si>
  <si>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</si>
  <si>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</si>
  <si>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</si>
  <si>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</si>
  <si>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</si>
  <si>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</si>
  <si>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</si>
  <si>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</si>
  <si>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</si>
  <si>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</si>
  <si>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</si>
  <si>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</si>
  <si>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</si>
  <si>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</si>
  <si>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</si>
  <si>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</si>
  <si>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</si>
  <si>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</si>
  <si>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</si>
  <si>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</si>
  <si>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</si>
  <si>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</si>
  <si>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</si>
  <si>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</si>
  <si>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</si>
  <si>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</si>
  <si>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</si>
  <si>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</si>
  <si>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</si>
  <si>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</si>
  <si>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</si>
  <si>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</si>
  <si>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</si>
  <si>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</si>
  <si>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</si>
  <si>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</si>
  <si>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</si>
  <si>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</si>
  <si>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</si>
  <si>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</si>
  <si>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</si>
  <si>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</si>
  <si>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</si>
  <si>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</si>
  <si>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</si>
  <si>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</si>
  <si>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</si>
  <si>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</si>
  <si>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</si>
  <si>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</si>
  <si>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</si>
  <si>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</si>
  <si>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</si>
  <si>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</si>
  <si>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</si>
  <si>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</si>
  <si>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</si>
  <si>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</si>
  <si>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</si>
  <si>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</si>
  <si>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</si>
  <si>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</si>
  <si>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</si>
  <si>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</si>
  <si>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</si>
  <si>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</si>
  <si>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</si>
  <si>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</si>
  <si>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</si>
  <si>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</si>
  <si>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</si>
  <si>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</si>
  <si>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</si>
  <si>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</si>
  <si>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</si>
  <si>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</si>
  <si>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</si>
  <si>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</si>
  <si>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</si>
  <si>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</si>
  <si>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</si>
  <si>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</si>
  <si>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</si>
  <si>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</si>
  <si>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</si>
  <si>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</si>
  <si>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</si>
  <si>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</si>
  <si>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</si>
  <si>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</si>
  <si>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</si>
  <si>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</si>
  <si>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</si>
  <si>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</si>
  <si>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</si>
  <si>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</si>
  <si>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</si>
  <si>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</si>
  <si>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</si>
  <si>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</si>
  <si>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</si>
  <si>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</si>
  <si>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</si>
  <si>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</si>
  <si>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</si>
  <si>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</si>
  <si>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</si>
  <si>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</si>
  <si>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</si>
  <si>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</si>
  <si>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</si>
  <si>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</si>
  <si>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</si>
  <si>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</si>
  <si>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</si>
  <si>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</si>
  <si>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</si>
  <si>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</si>
  <si>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</si>
  <si>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</si>
  <si>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</si>
  <si>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</si>
  <si>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</si>
  <si>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</si>
  <si>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</si>
  <si>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</si>
  <si>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</si>
  <si>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</si>
  <si>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</si>
  <si>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</si>
  <si>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</si>
  <si>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</si>
  <si>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</si>
  <si>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</si>
  <si>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</si>
  <si>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</si>
  <si>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</si>
  <si>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</si>
  <si>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</si>
  <si>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</si>
  <si>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</si>
  <si>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</si>
  <si>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</si>
  <si>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</si>
  <si>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</si>
  <si>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</si>
  <si>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</si>
  <si>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</si>
  <si>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</si>
  <si>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</si>
  <si>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</si>
  <si>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</si>
  <si>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</si>
  <si>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</si>
  <si>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</si>
  <si>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</si>
  <si>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</si>
  <si>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</si>
  <si>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</si>
  <si>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</si>
  <si>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</si>
  <si>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</si>
  <si>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</si>
  <si>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</si>
  <si>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</si>
  <si>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</si>
  <si>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</si>
  <si>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</si>
  <si>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</si>
  <si>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</si>
  <si>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</si>
  <si>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</si>
  <si>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</si>
  <si>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</si>
  <si>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</si>
  <si>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</si>
  <si>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</si>
  <si>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</si>
  <si>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</si>
  <si>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</si>
  <si>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</si>
  <si>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</si>
  <si>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</si>
  <si>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</si>
  <si>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</si>
  <si>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</si>
  <si>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</si>
  <si>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</si>
  <si>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</si>
  <si>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</si>
  <si>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</si>
  <si>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</si>
  <si>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</si>
  <si>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</si>
  <si>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</si>
  <si>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</si>
  <si>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</si>
  <si>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</si>
  <si>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</si>
  <si>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</si>
  <si>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</si>
  <si>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</si>
  <si>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</si>
  <si>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</si>
  <si>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</si>
  <si>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</si>
  <si>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</si>
  <si>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</si>
  <si>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</si>
  <si>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</si>
  <si>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</si>
  <si>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</si>
  <si>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</si>
  <si>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</si>
  <si>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</si>
  <si>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</si>
  <si>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</si>
  <si>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</si>
  <si>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</si>
  <si>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</si>
  <si>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</si>
  <si>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</si>
  <si>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</si>
  <si>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</si>
  <si>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</si>
  <si>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</si>
  <si>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</si>
  <si>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</si>
  <si>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</si>
  <si>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</si>
  <si>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</si>
  <si>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</si>
  <si>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</si>
  <si>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</si>
  <si>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</si>
  <si>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</si>
  <si>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</si>
  <si>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</si>
  <si>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</si>
  <si>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</si>
  <si>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</si>
  <si>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</si>
  <si>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</si>
  <si>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</si>
  <si>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</si>
  <si>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</si>
  <si>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</si>
  <si>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</si>
  <si>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</si>
  <si>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</si>
  <si>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</si>
  <si>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</si>
  <si>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</si>
  <si>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</si>
  <si>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</si>
  <si>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</si>
  <si>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</si>
  <si>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</si>
  <si>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</si>
  <si>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</si>
  <si>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</si>
  <si>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</si>
  <si>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</si>
  <si>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</si>
  <si>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</si>
  <si>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</si>
  <si>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</si>
  <si>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</si>
  <si>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</si>
  <si>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</si>
  <si>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</si>
  <si>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</si>
  <si>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</si>
  <si>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</si>
  <si>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</si>
  <si>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</si>
  <si>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</si>
  <si>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</si>
  <si>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</si>
  <si>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</si>
  <si>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</si>
  <si>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</si>
  <si>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</si>
  <si>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</si>
  <si>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</si>
  <si>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</si>
  <si>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</si>
  <si>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</si>
  <si>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</si>
  <si>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</si>
  <si>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</si>
  <si>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</si>
  <si>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</si>
  <si>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</si>
  <si>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</si>
  <si>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</si>
  <si>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</si>
  <si>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</si>
  <si>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</si>
  <si>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</si>
  <si>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</si>
  <si>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</si>
  <si>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</si>
  <si>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</si>
  <si>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</si>
  <si>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</si>
  <si>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</si>
  <si>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</si>
  <si>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</si>
  <si>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</si>
  <si>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</si>
  <si>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</si>
  <si>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</si>
  <si>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</si>
  <si>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</si>
  <si>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</si>
  <si>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</si>
  <si>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</si>
  <si>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</si>
  <si>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</si>
  <si>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</si>
  <si>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</si>
  <si>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</si>
  <si>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</si>
  <si>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</si>
  <si>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</si>
  <si>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</si>
  <si>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</si>
  <si>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</si>
  <si>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</si>
  <si>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</si>
  <si>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</si>
  <si>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</si>
  <si>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</si>
  <si>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</si>
  <si>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</si>
  <si>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</si>
  <si>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</si>
  <si>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</si>
  <si>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</si>
  <si>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</si>
  <si>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</si>
  <si>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</si>
  <si>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</si>
  <si>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</si>
  <si>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</si>
  <si>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</si>
  <si>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</si>
  <si>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</si>
  <si>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</si>
  <si>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</si>
  <si>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</si>
  <si>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</si>
  <si>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</si>
  <si>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</si>
  <si>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</si>
  <si>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</si>
  <si>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</si>
  <si>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</si>
  <si>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</si>
  <si>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</si>
  <si>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</si>
  <si>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</si>
  <si>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</si>
  <si>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</si>
  <si>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</si>
  <si>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</si>
  <si>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</si>
  <si>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</si>
  <si>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</si>
  <si>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</si>
  <si>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</si>
  <si>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</si>
  <si>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</si>
  <si>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</si>
  <si>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</si>
  <si>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</si>
  <si>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</si>
  <si>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</si>
  <si>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</si>
  <si>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</si>
  <si>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</si>
  <si>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</si>
  <si>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</si>
  <si>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</si>
  <si>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</si>
  <si>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</si>
  <si>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</si>
  <si>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</si>
  <si>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</si>
  <si>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</si>
  <si>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</si>
  <si>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</si>
  <si>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</si>
  <si>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</si>
  <si>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</si>
  <si>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</si>
  <si>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</si>
  <si>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</si>
  <si>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</si>
  <si>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</si>
  <si>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</si>
  <si>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</si>
  <si>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</si>
  <si>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</si>
  <si>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</si>
  <si>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</si>
  <si>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</si>
  <si>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</si>
  <si>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</si>
  <si>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</si>
  <si>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</si>
  <si>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</si>
  <si>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</si>
  <si>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</si>
  <si>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</si>
  <si>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</si>
  <si>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</si>
  <si>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</si>
  <si>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</si>
  <si>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</si>
  <si>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</si>
  <si>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</si>
  <si>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</si>
  <si>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</si>
  <si>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</si>
  <si>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</si>
  <si>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</si>
  <si>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</si>
  <si>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</si>
  <si>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</si>
  <si>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</si>
  <si>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</si>
  <si>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</si>
  <si>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</si>
  <si>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</si>
  <si>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</si>
  <si>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</si>
  <si>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</si>
  <si>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</si>
  <si>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</si>
  <si>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</si>
  <si>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</si>
  <si>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</si>
  <si>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</si>
  <si>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</si>
  <si>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</si>
  <si>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</si>
  <si>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</si>
  <si>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</si>
  <si>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</si>
  <si>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</si>
  <si>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</si>
  <si>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</si>
  <si>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</si>
  <si>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</si>
  <si>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</si>
  <si>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</si>
  <si>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</si>
  <si>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</si>
  <si>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</si>
  <si>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</si>
  <si>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</si>
  <si>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</si>
  <si>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</si>
  <si>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</si>
  <si>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</si>
  <si>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</si>
  <si>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</si>
  <si>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</si>
  <si>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</si>
  <si>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</si>
  <si>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</si>
  <si>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</si>
  <si>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</si>
  <si>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</si>
  <si>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</si>
  <si>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</si>
  <si>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</si>
  <si>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</si>
  <si>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</si>
  <si>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</si>
  <si>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</si>
  <si>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</si>
  <si>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</si>
  <si>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</si>
  <si>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</si>
  <si>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</si>
  <si>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</si>
  <si>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</si>
  <si>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</si>
  <si>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</si>
  <si>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</si>
  <si>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</si>
  <si>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</si>
  <si>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</si>
  <si>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</si>
  <si>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</si>
  <si>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</si>
  <si>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</si>
  <si>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</si>
  <si>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</si>
  <si>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</si>
  <si>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</si>
  <si>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</si>
  <si>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</si>
  <si>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</si>
  <si>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</si>
  <si>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</si>
  <si>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</si>
  <si>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</si>
  <si>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</si>
  <si>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</si>
  <si>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</si>
  <si>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</si>
  <si>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</si>
  <si>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</si>
  <si>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</si>
  <si>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</si>
  <si>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</si>
  <si>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</si>
  <si>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</si>
  <si>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</si>
  <si>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</si>
  <si>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</si>
  <si>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</si>
  <si>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</si>
  <si>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</si>
  <si>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</si>
  <si>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</si>
  <si>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</si>
  <si>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</si>
  <si>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</si>
  <si>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</si>
  <si>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</si>
  <si>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</si>
  <si>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</si>
  <si>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</si>
  <si>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</si>
  <si>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</si>
  <si>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</si>
  <si>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</si>
  <si>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</si>
  <si>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</si>
  <si>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</si>
  <si>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</si>
  <si>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</si>
  <si>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</si>
  <si>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</si>
  <si>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</si>
  <si>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</si>
  <si>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</si>
  <si>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</si>
  <si>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</si>
  <si>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</si>
  <si>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</si>
  <si>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</si>
  <si>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</si>
  <si>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</si>
  <si>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</si>
  <si>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</si>
  <si>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</si>
  <si>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</si>
  <si>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</si>
  <si>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</si>
  <si>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</si>
  <si>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</si>
  <si>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</si>
  <si>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</si>
  <si>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</si>
  <si>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</si>
  <si>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</si>
  <si>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</si>
  <si>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</si>
  <si>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</si>
  <si>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</si>
  <si>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</si>
  <si>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</si>
  <si>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</si>
  <si>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</si>
  <si>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</si>
  <si>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</si>
  <si>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</si>
  <si>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</si>
  <si>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</si>
  <si>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</si>
  <si>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</si>
  <si>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</si>
  <si>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</si>
  <si>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</si>
  <si>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</si>
  <si>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</si>
  <si>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</si>
  <si>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</si>
  <si>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</si>
  <si>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</si>
  <si>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</si>
  <si>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</si>
  <si>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</si>
  <si>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</si>
  <si>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</si>
  <si>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</si>
  <si>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</si>
  <si>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</si>
  <si>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</si>
  <si>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</si>
  <si>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</si>
  <si>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</si>
  <si>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</si>
  <si>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</si>
  <si>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</si>
  <si>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</si>
  <si>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</si>
  <si>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</si>
  <si>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</si>
  <si>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</si>
  <si>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</si>
  <si>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</si>
  <si>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</si>
  <si>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</si>
  <si>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</si>
  <si>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</si>
  <si>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</si>
  <si>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</si>
  <si>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</si>
  <si>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</si>
  <si>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</si>
  <si>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</si>
  <si>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</si>
  <si>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</si>
  <si>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</si>
  <si>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</si>
  <si>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</si>
  <si>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</si>
  <si>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</si>
  <si>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</si>
  <si>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</si>
  <si>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</si>
  <si>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</si>
  <si>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</si>
  <si>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</si>
  <si>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</si>
  <si>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</si>
  <si>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</si>
  <si>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</si>
  <si>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</si>
  <si>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</si>
  <si>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</si>
  <si>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</si>
  <si>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</si>
  <si>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</si>
  <si>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</si>
  <si>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</si>
  <si>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</si>
  <si>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</si>
  <si>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</si>
  <si>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</si>
  <si>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</si>
  <si>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</si>
  <si>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</si>
  <si>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</si>
  <si>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</si>
  <si>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</si>
  <si>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</si>
  <si>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</si>
  <si>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</si>
  <si>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</si>
  <si>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</si>
  <si>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</si>
  <si>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</si>
  <si>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</si>
  <si>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</si>
  <si>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</si>
  <si>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</si>
  <si>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</si>
  <si>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</si>
  <si>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</si>
  <si>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</si>
  <si>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</si>
  <si>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</si>
  <si>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</si>
  <si>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</si>
  <si>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</si>
  <si>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</si>
  <si>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</si>
  <si>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</si>
  <si>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</si>
  <si>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</si>
  <si>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</si>
  <si>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</si>
  <si>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</si>
  <si>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</si>
  <si>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</si>
  <si>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</si>
  <si>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</si>
  <si>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</si>
  <si>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</si>
  <si>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</si>
  <si>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</si>
  <si>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</si>
  <si>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</si>
  <si>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</si>
  <si>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</si>
  <si>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</si>
  <si>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</si>
  <si>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</si>
  <si>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</si>
  <si>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</si>
  <si>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</si>
  <si>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</si>
  <si>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</si>
  <si>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</si>
  <si>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</si>
  <si>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</si>
  <si>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</si>
  <si>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</si>
  <si>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</si>
  <si>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</si>
  <si>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</si>
  <si>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</si>
  <si>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</si>
  <si>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</si>
  <si>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</si>
  <si>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</si>
  <si>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</si>
  <si>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</si>
  <si>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</si>
  <si>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</si>
  <si>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</si>
  <si>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</si>
  <si>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</si>
  <si>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</si>
  <si>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</si>
  <si>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</si>
  <si>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</si>
  <si>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</si>
  <si>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</si>
  <si>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</si>
  <si>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</si>
  <si>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</si>
  <si>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</si>
  <si>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</si>
  <si>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</si>
  <si>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</si>
  <si>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</si>
  <si>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</si>
  <si>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</si>
  <si>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</si>
  <si>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</si>
  <si>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</si>
  <si>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</si>
  <si>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</si>
  <si>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</si>
  <si>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</si>
  <si>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</si>
  <si>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</si>
  <si>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</si>
  <si>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</si>
  <si>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</si>
  <si>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</si>
  <si>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</si>
  <si>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</si>
  <si>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</si>
  <si>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</si>
  <si>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</si>
  <si>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</si>
  <si>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</si>
  <si>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</si>
  <si>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</si>
  <si>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</si>
  <si>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</si>
  <si>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</si>
  <si>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</si>
  <si>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</si>
  <si>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</si>
  <si>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</si>
  <si>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</si>
  <si>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</si>
  <si>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</si>
  <si>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</si>
  <si>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</si>
  <si>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</si>
  <si>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</si>
  <si>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</si>
  <si>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</si>
  <si>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</si>
  <si>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</si>
  <si>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</si>
  <si>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</si>
  <si>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</si>
  <si>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</si>
  <si>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</si>
  <si>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</si>
  <si>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</si>
  <si>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</si>
  <si>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</si>
  <si>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</si>
  <si>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</si>
  <si>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</si>
  <si>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</si>
  <si>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</si>
  <si>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</si>
  <si>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</si>
  <si>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</si>
  <si>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</si>
  <si>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</si>
  <si>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</si>
  <si>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</si>
  <si>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</si>
  <si>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</si>
  <si>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</si>
  <si>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</si>
  <si>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</si>
  <si>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</si>
  <si>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</si>
  <si>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</si>
  <si>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</si>
  <si>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</si>
  <si>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</si>
  <si>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</si>
  <si>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</si>
  <si>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</si>
  <si>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</si>
  <si>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</si>
  <si>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</si>
  <si>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</si>
  <si>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</si>
  <si>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</si>
  <si>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</si>
  <si>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</si>
  <si>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</si>
  <si>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</si>
  <si>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</si>
  <si>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</si>
  <si>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</si>
  <si>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</si>
  <si>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</si>
  <si>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</si>
  <si>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</si>
  <si>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</si>
  <si>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</si>
  <si>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</si>
  <si>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</si>
  <si>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</si>
  <si>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</si>
  <si>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</si>
  <si>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</si>
  <si>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</si>
  <si>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</si>
  <si>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</si>
  <si>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</si>
  <si>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</si>
  <si>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</si>
  <si>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</si>
  <si>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</si>
  <si>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</si>
  <si>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</si>
  <si>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</si>
  <si>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</si>
  <si>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</si>
  <si>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</si>
  <si>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</si>
  <si>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</si>
  <si>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</si>
  <si>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</si>
  <si>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</si>
  <si>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</si>
  <si>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</si>
  <si>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</si>
  <si>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</si>
  <si>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</si>
  <si>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</si>
  <si>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</si>
  <si>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</si>
  <si>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</si>
  <si>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</si>
  <si>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</si>
  <si>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</si>
  <si>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</si>
  <si>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</si>
  <si>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</si>
  <si>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</si>
  <si>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</si>
  <si>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</si>
  <si>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</si>
  <si>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</si>
  <si>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</si>
  <si>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</si>
  <si>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</si>
  <si>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</si>
  <si>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</si>
  <si>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</si>
  <si>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</si>
  <si>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</si>
  <si>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</si>
  <si>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</si>
  <si>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</si>
  <si>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</si>
  <si>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</si>
  <si>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</si>
  <si>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</si>
  <si>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</si>
  <si>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</si>
  <si>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</si>
  <si>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</si>
  <si>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</si>
  <si>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</si>
  <si>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</si>
  <si>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</si>
  <si>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</si>
  <si>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</si>
  <si>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</si>
  <si>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</si>
  <si>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</si>
  <si>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</si>
  <si>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</si>
  <si>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</si>
  <si>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</si>
  <si>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</si>
  <si>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</si>
  <si>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</si>
  <si>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</si>
  <si>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</si>
  <si>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</si>
  <si>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</si>
  <si>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</si>
  <si>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</si>
  <si>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</si>
  <si>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</si>
  <si>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</si>
  <si>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</si>
  <si>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</si>
  <si>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</si>
  <si>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</si>
  <si>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</si>
  <si>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</si>
  <si>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</si>
  <si>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</si>
  <si>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</si>
  <si>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</si>
  <si>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</si>
  <si>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원암 케이블 서라투스 펀치</t>
  </si>
  <si>
    <t>10~12 (좌우)</t>
  </si>
  <si>
    <t>[2026-10-23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</si>
  <si>
    <t>스미스 프로트랙션 / 인클라인 덤벨 프로트랙션</t>
  </si>
  <si>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</si>
  <si>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</si>
  <si>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</si>
  <si>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</si>
  <si>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</si>
  <si>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직접 9세트: 토 원암 케이블 서라투스 펀치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</si>
  <si>
    <t>약 106분</t>
    <phoneticPr fontId="29" type="noConversion"/>
  </si>
  <si>
    <t>약 83분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</si>
  <si>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</si>
  <si>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</si>
  <si>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</si>
  <si>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</si>
  <si>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</si>
  <si>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 토 45세트 106분 · 목 42세트 95분 · 화 41세트 82분 · 수 34세트 89분 · 월 37세트 84분 · 일 36세트 83분. (2026-10-23 전거근 신설 반영)</t>
    <phoneticPr fontId="29" type="noConversion"/>
  </si>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</sst>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86"/>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INDEX(증량기록!$C$19:$C$48,MAX(1,MIN(30,$C$4-5)))</f>
        <v>75</v>
      </c>
      <c r="F7" s="8" t="s">
        <v>83</v>
      </c>
    </row>
    <row r="8" spans="1:6" ht="15" customHeight="1">
      <c r="A8" s="7" t="s">
        <v>84</v>
      </c>
      <c r="B8" s="7">
        <v>105</v>
      </c>
      <c r="C8" s="8" t="str">
        <f>TEXT(D8/B8,"0%")</f>
        <v>64%</v>
      </c>
      <c r="D8" s="4">
        <v>67</v>
      </c>
      <c r="E8" s="9">
        <f>INDEX(증량기록!$E$19:$E$48,MAX(1,MIN(30,$C$4-5)))</f>
        <v>80</v>
      </c>
      <c r="F8" s="8" t="s">
        <v>85</v>
      </c>
    </row>
    <row r="9" spans="1:6" ht="15" customHeight="1">
      <c r="A9" s="7" t="s">
        <v>86</v>
      </c>
      <c r="B9" s="7">
        <v>47.25</v>
      </c>
      <c r="C9" s="8" t="str">
        <f>TEXT(D9/B9,"0%")</f>
        <v>74%</v>
      </c>
      <c r="D9" s="4">
        <v>35</v>
      </c>
      <c r="E9" s="9">
        <f>INDEX(증량기록!$G$19:$G$48,MAX(1,MIN(30,$C$4-5)))</f>
        <v>41</v>
      </c>
      <c r="F9" s="8" t="s">
        <v>87</v>
      </c>
    </row>
    <row r="10" spans="1:6" ht="15" customHeight="1">
      <c r="A10" s="7" t="s">
        <v>88</v>
      </c>
      <c r="B10" s="7">
        <v>40</v>
      </c>
      <c r="C10" s="8" t="str">
        <f>TEXT(D10/B10,"0%")</f>
        <v>70%</v>
      </c>
      <c r="D10" s="4">
        <v>28</v>
      </c>
      <c r="E10" s="9">
        <f>INDEX(증량기록!$I$19:$I$48,MAX(1,MIN(30,$C$4-5)))</f>
        <v>31</v>
      </c>
      <c r="F10" s="8" t="s">
        <v>1550</v>
      </c>
    </row>
    <row r="11" spans="1:6" ht="15" customHeight="1">
      <c r="A11" s="141" t="s">
        <v>1592</v>
      </c>
      <c r="B11" s="141" t="s">
        <v>27</v>
      </c>
      <c r="C11" s="101" t="s">
        <v>27</v>
      </c>
      <c r="D11" s="102">
        <v>60</v>
      </c>
      <c r="E11" s="142">
        <f>IF($C$4&lt;증량기록!$F$9,D11,INDEX(증량기록!$N$19:$N$48,MAX(1,MIN(30,$C$4-5))))</f>
        <v>60</v>
      </c>
      <c r="F11" s="101" t="s">
        <v>87</v>
      </c>
    </row>
    <row r="12" spans="1:6" ht="15" customHeight="1">
      <c r="A12" s="141" t="s">
        <v>517</v>
      </c>
      <c r="B12" s="141" t="s">
        <v>27</v>
      </c>
      <c r="C12" s="101" t="s">
        <v>27</v>
      </c>
      <c r="D12" s="102">
        <v>42</v>
      </c>
      <c r="E12" s="142">
        <f>IF($C$4&lt;증량기록!$F$10,D12,INDEX(증량기록!$P$19:$P$48,MAX(1,MIN(30,$C$4-5))))</f>
        <v>42</v>
      </c>
      <c r="F12" s="101" t="s">
        <v>1593</v>
      </c>
    </row>
    <row r="13" spans="1:6" ht="15" customHeight="1">
      <c r="A13" s="141" t="s">
        <v>374</v>
      </c>
      <c r="B13" s="141" t="s">
        <v>27</v>
      </c>
      <c r="C13" s="101" t="s">
        <v>27</v>
      </c>
      <c r="D13" s="102">
        <v>160</v>
      </c>
      <c r="E13" s="142">
        <f>IF($C$4&lt;증량기록!$F$11,D13,INDEX(증량기록!$R$19:$R$48,MAX(1,MIN(30,$C$4-5))))</f>
        <v>160</v>
      </c>
      <c r="F13" s="101" t="s">
        <v>1611</v>
      </c>
    </row>
    <row r="14" spans="1:6" ht="15" customHeight="1">
      <c r="A14" s="141" t="s">
        <v>1072</v>
      </c>
      <c r="B14" s="141" t="s">
        <v>27</v>
      </c>
      <c r="C14" s="101" t="s">
        <v>27</v>
      </c>
      <c r="D14" s="102">
        <v>140</v>
      </c>
      <c r="E14" s="142">
        <f>IF($C$4&lt;증량기록!$F$12,D14,INDEX(증량기록!$T$19:$T$48,MAX(1,MIN(30,$C$4-5))))</f>
        <v>140</v>
      </c>
      <c r="F14" s="101" t="s">
        <v>1611</v>
      </c>
    </row>
    <row r="15" spans="1:6" ht="15" customHeight="1">
      <c r="A15" s="141" t="s">
        <v>559</v>
      </c>
      <c r="B15" s="141" t="s">
        <v>27</v>
      </c>
      <c r="C15" s="101" t="s">
        <v>27</v>
      </c>
      <c r="D15" s="102">
        <v>50</v>
      </c>
      <c r="E15" s="142">
        <f>IF($C$4&lt;증량기록!$F$13,D15,INDEX(증량기록!$V$19:$V$48,MAX(1,MIN(30,$C$4-5))))</f>
        <v>50</v>
      </c>
      <c r="F15" s="101" t="s">
        <v>1593</v>
      </c>
    </row>
    <row r="16" spans="1:6" ht="15" customHeight="1">
      <c r="A16" s="141" t="s">
        <v>556</v>
      </c>
      <c r="B16" s="141" t="s">
        <v>27</v>
      </c>
      <c r="C16" s="101" t="s">
        <v>27</v>
      </c>
      <c r="D16" s="102">
        <v>25</v>
      </c>
      <c r="E16" s="142">
        <f>IF($C$4&lt;증량기록!$F$14,D16,INDEX(증량기록!$X$19:$X$48,MAX(1,MIN(30,$C$4-5))))</f>
        <v>25</v>
      </c>
      <c r="F16" s="101" t="s">
        <v>1624</v>
      </c>
    </row>
    <row r="17" spans="1:6" ht="15" customHeight="1">
      <c r="A17" s="141" t="s">
        <v>417</v>
      </c>
      <c r="B17" s="141" t="s">
        <v>27</v>
      </c>
      <c r="C17" s="101" t="s">
        <v>27</v>
      </c>
      <c r="D17" s="102">
        <v>25</v>
      </c>
      <c r="E17" s="142">
        <f>IF($C$4&lt;증량기록!$F$15,D17,INDEX(증량기록!$Z$19:$Z$48,MAX(1,MIN(30,$C$4-5))))</f>
        <v>25</v>
      </c>
      <c r="F17" s="101" t="s">
        <v>1629</v>
      </c>
    </row>
    <row r="18" spans="1:6" ht="15" customHeight="1">
      <c r="A18" s="141" t="s">
        <v>1634</v>
      </c>
      <c r="B18" s="141" t="s">
        <v>27</v>
      </c>
      <c r="C18" s="101" t="s">
        <v>27</v>
      </c>
      <c r="D18" s="102">
        <v>50</v>
      </c>
      <c r="E18" s="142">
        <f>IF($C$4&lt;증량기록!$F$16,D18,INDEX(증량기록!$AB$19:$AB$48,MAX(1,MIN(30,$C$4-5))))</f>
        <v>50</v>
      </c>
      <c r="F18" s="101" t="s">
        <v>1629</v>
      </c>
    </row>
    <row r="19" spans="1:6" ht="15" customHeight="1">
      <c r="A19" s="141" t="s">
        <v>1578</v>
      </c>
      <c r="B19" s="141" t="s">
        <v>27</v>
      </c>
      <c r="C19" s="101" t="s">
        <v>27</v>
      </c>
      <c r="D19" s="102">
        <v>0</v>
      </c>
      <c r="E19" s="142">
        <f>IF($C$4&lt;증량기록!$F$17,D19,INDEX(증량기록!$AD$19:$AD$48,MAX(1,MIN(30,$C$4-5))))</f>
        <v>0</v>
      </c>
      <c r="F19" s="101" t="s">
        <v>1639</v>
      </c>
    </row>
    <row r="20" spans="1:6" ht="15" customHeight="1">
      <c r="D20" s="10" t="s">
        <v>89</v>
      </c>
    </row>
    <row r="21" spans="1:6" ht="15" customHeight="1">
      <c r="A21" s="11"/>
    </row>
    <row r="22" spans="1:6" ht="32.25" customHeight="1">
      <c r="A22" s="12" t="s">
        <v>90</v>
      </c>
    </row>
    <row r="23" spans="1:6" ht="51.75" customHeight="1">
      <c r="A23" s="11" t="s">
        <v>91</v>
      </c>
    </row>
    <row r="24" spans="1:6" ht="51.75" customHeight="1">
      <c r="A24" s="11" t="s">
        <v>92</v>
      </c>
    </row>
    <row r="25" spans="1:6" ht="64.5" customHeight="1">
      <c r="A25" s="11" t="s">
        <v>93</v>
      </c>
    </row>
    <row r="26" spans="1:6" ht="51.75" customHeight="1">
      <c r="A26" s="11" t="s">
        <v>94</v>
      </c>
    </row>
    <row r="27" spans="1:6" ht="51.75" customHeight="1">
      <c r="A27" s="11"/>
    </row>
    <row r="28" spans="1:6" ht="15" customHeight="1">
      <c r="A28" s="12" t="s">
        <v>95</v>
      </c>
    </row>
    <row r="29" spans="1:6" ht="77.25" customHeight="1">
      <c r="A29" s="11" t="s">
        <v>96</v>
      </c>
    </row>
    <row r="30" spans="1:6" ht="51.75" customHeight="1">
      <c r="A30" s="11" t="s">
        <v>97</v>
      </c>
    </row>
    <row r="31" spans="1:6" ht="15" customHeight="1">
      <c r="A31" s="11" t="s">
        <v>98</v>
      </c>
    </row>
    <row r="32" spans="1:6" ht="16.5" customHeight="1">
      <c r="A32" s="11" t="s">
        <v>99</v>
      </c>
    </row>
    <row r="33" spans="1:1" ht="51.75" customHeight="1">
      <c r="A33" s="11" t="s">
        <v>100</v>
      </c>
    </row>
    <row r="34" spans="1:1" ht="39" customHeight="1">
      <c r="A34" s="11"/>
    </row>
    <row r="35" spans="1:1" ht="64.5" customHeight="1">
      <c r="A35" s="11" t="s">
        <v>101</v>
      </c>
    </row>
    <row r="36" spans="1:1" ht="15" customHeight="1">
      <c r="A36" s="11" t="s">
        <v>102</v>
      </c>
    </row>
    <row r="37" spans="1:1" ht="60" customHeight="1">
      <c r="A37" s="11"/>
    </row>
    <row r="38" spans="1:1" ht="51.75" customHeight="1">
      <c r="A38" s="13" t="s">
        <v>103</v>
      </c>
    </row>
    <row r="39" spans="1:1" ht="51.75" customHeight="1">
      <c r="A39" s="11" t="s">
        <v>104</v>
      </c>
    </row>
    <row r="40" spans="1:1" ht="64.5" customHeight="1">
      <c r="A40" s="11" t="s">
        <v>105</v>
      </c>
    </row>
    <row r="41" spans="1:1" ht="64.5" customHeight="1">
      <c r="A41" s="11" t="s">
        <v>106</v>
      </c>
    </row>
    <row r="42" spans="1:1" ht="15" customHeight="1">
      <c r="A42" s="11"/>
    </row>
    <row r="43" spans="1:1" ht="51.75" customHeight="1">
      <c r="A43" s="11" t="s">
        <v>107</v>
      </c>
    </row>
    <row r="44" spans="1:1" ht="64.5" customHeight="1">
      <c r="A44" s="11" t="s">
        <v>108</v>
      </c>
    </row>
    <row r="45" spans="1:1" ht="26.25" customHeight="1">
      <c r="A45" s="11" t="s">
        <v>109</v>
      </c>
    </row>
    <row r="46" spans="1:1" ht="26.25" customHeight="1">
      <c r="A46" s="11" t="s">
        <v>110</v>
      </c>
    </row>
    <row r="47" spans="1:1" ht="26.25" customHeight="1">
      <c r="A47" s="11" t="s">
        <v>111</v>
      </c>
    </row>
    <row r="48" spans="1:1" ht="26.25" customHeight="1">
      <c r="A48" s="11" t="s">
        <v>112</v>
      </c>
    </row>
    <row r="50" spans="1:5" ht="16.5" customHeight="1">
      <c r="A50" s="14" t="s">
        <v>113</v>
      </c>
    </row>
    <row r="51" spans="1:5" ht="15" customHeight="1">
      <c r="A51" s="5" t="s">
        <v>114</v>
      </c>
      <c r="B51" s="5" t="s">
        <v>82</v>
      </c>
      <c r="C51" s="5" t="s">
        <v>84</v>
      </c>
      <c r="D51" s="5" t="s">
        <v>86</v>
      </c>
      <c r="E51" s="5" t="s">
        <v>88</v>
      </c>
    </row>
    <row r="52" spans="1:5" ht="15" customHeight="1">
      <c r="A52" s="15" t="s">
        <v>115</v>
      </c>
      <c r="B52" s="9">
        <f>증량기록!C19</f>
        <v>62</v>
      </c>
      <c r="C52" s="9">
        <f>증량기록!E19</f>
        <v>67</v>
      </c>
      <c r="D52" s="9">
        <f>증량기록!G19</f>
        <v>35</v>
      </c>
      <c r="E52" s="9">
        <f>증량기록!I19</f>
        <v>28</v>
      </c>
    </row>
    <row r="53" spans="1:5" ht="15" customHeight="1">
      <c r="A53" s="8" t="s">
        <v>116</v>
      </c>
      <c r="B53" s="16">
        <f>증량기록!C20</f>
        <v>65</v>
      </c>
      <c r="C53" s="16">
        <f>증량기록!E20</f>
        <v>70</v>
      </c>
      <c r="D53" s="16">
        <f>증량기록!G20</f>
        <v>36</v>
      </c>
      <c r="E53" s="16">
        <f>증량기록!I20</f>
        <v>28</v>
      </c>
    </row>
    <row r="54" spans="1:5" ht="15" customHeight="1">
      <c r="A54" s="8" t="s">
        <v>117</v>
      </c>
      <c r="B54" s="16">
        <f>증량기록!C21</f>
        <v>67</v>
      </c>
      <c r="C54" s="16">
        <f>증량기록!E21</f>
        <v>72</v>
      </c>
      <c r="D54" s="16">
        <f>증량기록!G21</f>
        <v>37</v>
      </c>
      <c r="E54" s="16">
        <f>증량기록!I21</f>
        <v>30</v>
      </c>
    </row>
    <row r="55" spans="1:5" ht="15" customHeight="1">
      <c r="A55" s="8" t="s">
        <v>118</v>
      </c>
      <c r="B55" s="16">
        <f>증량기록!C22</f>
        <v>70</v>
      </c>
      <c r="C55" s="16">
        <f>증량기록!E22</f>
        <v>75</v>
      </c>
      <c r="D55" s="16">
        <f>증량기록!G22</f>
        <v>38</v>
      </c>
      <c r="E55" s="16">
        <f>증량기록!I22</f>
        <v>30</v>
      </c>
    </row>
    <row r="56" spans="1:5" ht="15" customHeight="1">
      <c r="A56" s="8" t="s">
        <v>119</v>
      </c>
      <c r="B56" s="16">
        <f>증량기록!C23</f>
        <v>72</v>
      </c>
      <c r="C56" s="16">
        <f>증량기록!E23</f>
        <v>77</v>
      </c>
      <c r="D56" s="16">
        <f>증량기록!G23</f>
        <v>40</v>
      </c>
      <c r="E56" s="16">
        <f>증량기록!I23</f>
        <v>31</v>
      </c>
    </row>
    <row r="57" spans="1:5" ht="15" customHeight="1">
      <c r="A57" s="8" t="s">
        <v>120</v>
      </c>
      <c r="B57" s="16">
        <f>증량기록!C24</f>
        <v>75</v>
      </c>
      <c r="C57" s="16">
        <f>증량기록!E24</f>
        <v>80</v>
      </c>
      <c r="D57" s="16">
        <f>증량기록!G24</f>
        <v>41</v>
      </c>
      <c r="E57" s="16">
        <f>증량기록!I24</f>
        <v>31</v>
      </c>
    </row>
    <row r="58" spans="1:5" ht="15" customHeight="1">
      <c r="A58" s="8" t="s">
        <v>121</v>
      </c>
      <c r="B58" s="16">
        <f>증량기록!C25</f>
        <v>77</v>
      </c>
      <c r="C58" s="16">
        <f>증량기록!E25</f>
        <v>82</v>
      </c>
      <c r="D58" s="16">
        <f>증량기록!G25</f>
        <v>42</v>
      </c>
      <c r="E58" s="16">
        <f>증량기록!I25</f>
        <v>32</v>
      </c>
    </row>
    <row r="59" spans="1:5" ht="15" customHeight="1">
      <c r="A59" s="8" t="s">
        <v>122</v>
      </c>
      <c r="B59" s="16">
        <f>증량기록!C26</f>
        <v>80</v>
      </c>
      <c r="C59" s="16">
        <f>증량기록!E26</f>
        <v>85</v>
      </c>
      <c r="D59" s="16">
        <f>증량기록!G26</f>
        <v>43</v>
      </c>
      <c r="E59" s="16">
        <f>증량기록!I26</f>
        <v>32</v>
      </c>
    </row>
    <row r="60" spans="1:5" ht="15" customHeight="1">
      <c r="A60" s="8" t="s">
        <v>123</v>
      </c>
      <c r="B60" s="16">
        <f>증량기록!C27</f>
        <v>82</v>
      </c>
      <c r="C60" s="16">
        <f>증량기록!E27</f>
        <v>87</v>
      </c>
      <c r="D60" s="16">
        <f>증량기록!G27</f>
        <v>45</v>
      </c>
      <c r="E60" s="16">
        <f>증량기록!I27</f>
        <v>33</v>
      </c>
    </row>
    <row r="61" spans="1:5" ht="15" customHeight="1">
      <c r="A61" s="8" t="s">
        <v>124</v>
      </c>
      <c r="B61" s="16">
        <f>증량기록!C28</f>
        <v>85</v>
      </c>
      <c r="C61" s="16">
        <f>증량기록!E28</f>
        <v>90</v>
      </c>
      <c r="D61" s="16">
        <f>증량기록!G28</f>
        <v>46</v>
      </c>
      <c r="E61" s="16">
        <f>증량기록!I28</f>
        <v>33</v>
      </c>
    </row>
    <row r="62" spans="1:5" ht="15" customHeight="1">
      <c r="A62" s="8" t="s">
        <v>125</v>
      </c>
      <c r="B62" s="16">
        <f>증량기록!C29</f>
        <v>87</v>
      </c>
      <c r="C62" s="16">
        <f>증량기록!E29</f>
        <v>92</v>
      </c>
      <c r="D62" s="16">
        <f>증량기록!G29</f>
        <v>47</v>
      </c>
      <c r="E62" s="16">
        <f>증량기록!I29</f>
        <v>35</v>
      </c>
    </row>
    <row r="63" spans="1:5" ht="15" customHeight="1">
      <c r="A63" s="8" t="s">
        <v>126</v>
      </c>
      <c r="B63" s="16">
        <f>증량기록!C30</f>
        <v>90</v>
      </c>
      <c r="C63" s="16">
        <f>증량기록!E30</f>
        <v>95</v>
      </c>
      <c r="D63" s="16">
        <f>증량기록!G30</f>
        <v>48</v>
      </c>
      <c r="E63" s="16">
        <f>증량기록!I30</f>
        <v>35</v>
      </c>
    </row>
    <row r="65" spans="1:4" ht="51.75" customHeight="1">
      <c r="A65" s="11" t="s">
        <v>127</v>
      </c>
    </row>
    <row r="67" spans="1:4">
      <c r="A67" t="s">
        <v>128</v>
      </c>
    </row>
    <row r="68" spans="1:4">
      <c r="A68" t="s">
        <v>129</v>
      </c>
      <c r="C68" s="100">
        <v>46228</v>
      </c>
      <c r="D68" t="s">
        <v>1250</v>
      </c>
    </row>
    <row r="69" spans="1:4">
      <c r="A69" t="s">
        <v>130</v>
      </c>
      <c r="C69" s="100">
        <v>46298</v>
      </c>
      <c r="D69" t="s">
        <v>1251</v>
      </c>
    </row>
    <row r="70" spans="1:4">
      <c r="A70" t="s">
        <v>131</v>
      </c>
      <c r="C70">
        <v>11</v>
      </c>
      <c r="D70" t="s">
        <v>132</v>
      </c>
    </row>
    <row r="71" spans="1:4">
      <c r="A71" t="s">
        <v>133</v>
      </c>
      <c r="C71">
        <v>1</v>
      </c>
      <c r="D71" t="s">
        <v>134</v>
      </c>
    </row>
    <row r="72" spans="1:4">
      <c r="A72" t="s">
        <v>1302</v>
      </c>
      <c r="C72" s="100">
        <v>46312</v>
      </c>
      <c r="D72" t="s">
        <v>1307</v>
      </c>
    </row>
    <row r="73" spans="1:4">
      <c r="A73" t="s">
        <v>1305</v>
      </c>
      <c r="C73" s="133">
        <v>7</v>
      </c>
      <c r="D73" t="s">
        <v>1306</v>
      </c>
    </row>
    <row r="74" spans="1:4">
      <c r="A74" t="s">
        <v>135</v>
      </c>
      <c r="C74" s="100">
        <v>46266</v>
      </c>
      <c r="D74" t="s">
        <v>136</v>
      </c>
    </row>
    <row r="75" spans="1:4">
      <c r="A75" t="s">
        <v>137</v>
      </c>
    </row>
    <row r="76" spans="1:4">
      <c r="A76" t="s">
        <v>138</v>
      </c>
    </row>
    <row r="77" spans="1:4">
      <c r="A77" t="s">
        <v>139</v>
      </c>
    </row>
    <row r="78" spans="1:4">
      <c r="A78" t="s">
        <v>1303</v>
      </c>
    </row>
    <row r="79" spans="1:4">
      <c r="A79" t="s">
        <v>140</v>
      </c>
    </row>
    <row r="80" spans="1:4">
      <c r="A80" t="s">
        <v>141</v>
      </c>
    </row>
    <row r="81" spans="1:1">
      <c r="A81" t="s">
        <v>1252</v>
      </c>
    </row>
    <row r="82" spans="1:1">
      <c r="A82" t="s">
        <v>1254</v>
      </c>
    </row>
    <row r="83" spans="1:1">
      <c r="A83" t="s">
        <v>1454</v>
      </c>
    </row>
    <row r="84" spans="1:1">
      <c r="A84" t="s">
        <v>1551</v>
      </c>
    </row>
    <row r="85" spans="1:1">
      <c r="A85" t="s">
        <v>1602</v>
      </c>
    </row>
    <row r="86" spans="1:1">
      <c r="A86" t="s">
        <v>1644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7" t="s">
        <v>634</v>
      </c>
      <c r="B2" s="146"/>
      <c r="C2" s="146"/>
      <c r="D2" s="146"/>
      <c r="E2" s="146"/>
      <c r="F2" s="146"/>
      <c r="G2" s="146"/>
      <c r="H2" s="146"/>
    </row>
    <row r="3" spans="1:8">
      <c r="A3" t="s">
        <v>635</v>
      </c>
      <c r="F3">
        <f ca="1">COUNTIF($E$7:$E$80,"?")</f>
        <v>0</v>
      </c>
    </row>
    <row r="4" spans="1:8" ht="39.75" customHeight="1">
      <c r="A4" s="145" t="s">
        <v>636</v>
      </c>
      <c r="B4" s="146"/>
      <c r="C4" s="146"/>
      <c r="D4" s="146"/>
      <c r="E4" s="146"/>
      <c r="F4" s="146"/>
      <c r="G4" s="146"/>
      <c r="H4" s="146"/>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8"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9"/>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8"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9"/>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9"/>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9"/>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8"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9"/>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63"/>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1" width="13" customWidth="1"/>
  </cols>
  <sheetData>
    <row r="1" spans="1:8" ht="18" customHeight="1">
      <c r="A1" s="1" t="s">
        <v>805</v>
      </c>
    </row>
    <row r="2" spans="1:8" ht="15" customHeight="1">
      <c r="A2" s="2" t="s">
        <v>806</v>
      </c>
    </row>
    <row r="4" spans="1:8" ht="15" customHeight="1">
      <c r="A4" s="3" t="s">
        <v>807</v>
      </c>
      <c r="E4" t="s">
        <v>808</v>
      </c>
      <c r="F4" t="s">
        <v>1594</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SUM(D7:D19)</f>
        <v>0</v>
      </c>
    </row>
    <row r="8" spans="1:8" ht="84" customHeight="1">
      <c r="A8" s="64" t="s">
        <v>815</v>
      </c>
      <c r="C8" s="4">
        <v>1</v>
      </c>
      <c r="D8" s="63" t="s">
        <v>816</v>
      </c>
      <c r="E8">
        <v>2</v>
      </c>
    </row>
    <row r="9" spans="1:8" ht="84" customHeight="1">
      <c r="A9" s="64" t="s">
        <v>1595</v>
      </c>
      <c r="C9" s="143">
        <v>1</v>
      </c>
      <c r="D9" s="63" t="s">
        <v>1596</v>
      </c>
      <c r="E9">
        <v>1</v>
      </c>
      <c r="F9">
        <v>13</v>
      </c>
    </row>
    <row r="10" spans="1:8" ht="84" customHeight="1">
      <c r="A10" s="64" t="s">
        <v>1597</v>
      </c>
      <c r="C10" s="143">
        <v>1</v>
      </c>
      <c r="D10" s="63" t="s">
        <v>1598</v>
      </c>
      <c r="E10">
        <v>1</v>
      </c>
      <c r="F10">
        <v>13</v>
      </c>
    </row>
    <row r="11" spans="1:8" ht="84" customHeight="1">
      <c r="A11" s="64" t="s">
        <v>1612</v>
      </c>
      <c r="C11" s="143">
        <v>2</v>
      </c>
      <c r="D11" s="63" t="s">
        <v>1613</v>
      </c>
      <c r="E11">
        <v>1</v>
      </c>
      <c r="F11">
        <v>13</v>
      </c>
    </row>
    <row r="12" spans="1:8" ht="84" customHeight="1">
      <c r="A12" s="64" t="s">
        <v>1616</v>
      </c>
      <c r="C12" s="143">
        <v>2</v>
      </c>
      <c r="D12" s="63" t="s">
        <v>1617</v>
      </c>
      <c r="E12">
        <v>2</v>
      </c>
      <c r="F12">
        <v>13</v>
      </c>
    </row>
    <row r="13" spans="1:8" ht="84" customHeight="1">
      <c r="A13" s="64" t="s">
        <v>1620</v>
      </c>
      <c r="C13" s="143">
        <v>1</v>
      </c>
      <c r="D13" s="63" t="s">
        <v>1621</v>
      </c>
      <c r="E13">
        <v>2</v>
      </c>
      <c r="F13">
        <v>13</v>
      </c>
    </row>
    <row r="14" spans="1:8" ht="84" customHeight="1">
      <c r="A14" s="64" t="s">
        <v>1625</v>
      </c>
      <c r="C14" s="143">
        <v>1</v>
      </c>
      <c r="D14" s="63" t="s">
        <v>1626</v>
      </c>
      <c r="E14">
        <v>2</v>
      </c>
      <c r="F14">
        <v>13</v>
      </c>
    </row>
    <row r="15" spans="1:8" ht="84" customHeight="1">
      <c r="A15" s="64" t="s">
        <v>1630</v>
      </c>
      <c r="C15" s="143">
        <v>1</v>
      </c>
      <c r="D15" s="63" t="s">
        <v>1631</v>
      </c>
      <c r="E15">
        <v>3</v>
      </c>
      <c r="F15">
        <v>13</v>
      </c>
    </row>
    <row r="16" spans="1:8" ht="84" customHeight="1">
      <c r="A16" s="64" t="s">
        <v>1635</v>
      </c>
      <c r="C16" s="143">
        <v>1</v>
      </c>
      <c r="D16" s="63" t="s">
        <v>1636</v>
      </c>
      <c r="E16">
        <v>2</v>
      </c>
      <c r="F16">
        <v>13</v>
      </c>
    </row>
    <row r="17" spans="1:31" ht="84" customHeight="1">
      <c r="A17" s="64" t="s">
        <v>1640</v>
      </c>
      <c r="C17" s="143">
        <v>1</v>
      </c>
      <c r="D17" s="63" t="s">
        <v>1641</v>
      </c>
      <c r="E17">
        <v>2</v>
      </c>
      <c r="F17">
        <v>13</v>
      </c>
    </row>
    <row r="18" spans="1:31" ht="15" customHeight="1">
      <c r="A18" s="5" t="s">
        <v>114</v>
      </c>
      <c r="B18" s="5" t="s">
        <v>1253</v>
      </c>
      <c r="C18" s="5" t="s">
        <v>817</v>
      </c>
      <c r="D18" s="5" t="s">
        <v>818</v>
      </c>
      <c r="E18" s="5" t="s">
        <v>819</v>
      </c>
      <c r="F18" s="5" t="s">
        <v>818</v>
      </c>
      <c r="G18" s="5" t="s">
        <v>820</v>
      </c>
      <c r="H18" s="5" t="s">
        <v>818</v>
      </c>
      <c r="I18" s="5" t="s">
        <v>821</v>
      </c>
      <c r="J18" s="5" t="s">
        <v>818</v>
      </c>
      <c r="K18" s="5" t="s">
        <v>261</v>
      </c>
      <c r="L18" s="87" t="s">
        <v>822</v>
      </c>
      <c r="M18" s="87" t="s">
        <v>823</v>
      </c>
      <c r="N18" s="5" t="s">
        <v>1599</v>
      </c>
      <c r="O18" s="5" t="s">
        <v>1600</v>
      </c>
      <c r="P18" s="5" t="s">
        <v>1601</v>
      </c>
      <c r="Q18" s="5" t="s">
        <v>1600</v>
      </c>
      <c r="R18" s="5" t="s">
        <v>1614</v>
      </c>
      <c r="S18" s="5" t="s">
        <v>1600</v>
      </c>
      <c r="T18" s="5" t="s">
        <v>1618</v>
      </c>
      <c r="U18" s="5" t="s">
        <v>1600</v>
      </c>
      <c r="V18" s="5" t="s">
        <v>1622</v>
      </c>
      <c r="W18" s="5" t="s">
        <v>1600</v>
      </c>
      <c r="X18" s="5" t="s">
        <v>1627</v>
      </c>
      <c r="Y18" s="5" t="s">
        <v>1600</v>
      </c>
      <c r="Z18" s="5" t="s">
        <v>1632</v>
      </c>
      <c r="AA18" s="5" t="s">
        <v>1600</v>
      </c>
      <c r="AB18" s="5" t="s">
        <v>1637</v>
      </c>
      <c r="AC18" s="5" t="s">
        <v>1600</v>
      </c>
      <c r="AD18" s="5" t="s">
        <v>1642</v>
      </c>
      <c r="AE18" s="5" t="s">
        <v>1600</v>
      </c>
    </row>
    <row r="19" spans="1:31" ht="15" customHeight="1">
      <c r="A19" s="8" t="s">
        <v>115</v>
      </c>
      <c r="B19" s="73">
        <v>46263</v>
      </c>
      <c r="C19" s="16">
        <f>시작중량_설정!$D$7</f>
        <v>62</v>
      </c>
      <c r="D19" s="4"/>
      <c r="E19" s="16">
        <f>시작중량_설정!$D$8</f>
        <v>67</v>
      </c>
      <c r="F19" s="4"/>
      <c r="G19" s="16">
        <f>시작중량_설정!$D$9</f>
        <v>35</v>
      </c>
      <c r="H19" s="4"/>
      <c r="I19" s="16">
        <f>시작중량_설정!$D$10</f>
        <v>28</v>
      </c>
      <c r="J19" s="4"/>
      <c r="K19" s="65" t="s">
        <v>824</v>
      </c>
      <c r="L19" s="90"/>
      <c r="M19" s="90"/>
      <c r="N19" s="16" t="s">
        <v>27</v>
      </c>
      <c r="O19" s="4"/>
      <c r="P19" s="16" t="s">
        <v>27</v>
      </c>
      <c r="Q19" s="4"/>
      <c r="R19" s="16" t="s">
        <v>27</v>
      </c>
      <c r="S19" s="4"/>
      <c r="T19" s="16" t="s">
        <v>27</v>
      </c>
      <c r="U19" s="4"/>
      <c r="V19" s="16" t="s">
        <v>27</v>
      </c>
      <c r="W19" s="4"/>
      <c r="X19" s="16" t="s">
        <v>27</v>
      </c>
      <c r="Y19" s="4"/>
      <c r="Z19" s="16" t="s">
        <v>27</v>
      </c>
      <c r="AA19" s="4"/>
      <c r="AB19" s="16" t="s">
        <v>27</v>
      </c>
      <c r="AC19" s="4"/>
      <c r="AD19" s="16" t="s">
        <v>27</v>
      </c>
      <c r="AE19" s="4"/>
    </row>
    <row r="20" spans="1:31" ht="15" customHeight="1">
      <c r="A20" s="8" t="s">
        <v>116</v>
      </c>
      <c r="B20" s="73">
        <v>46270</v>
      </c>
      <c r="C20" s="16">
        <f>IF(OR(D19="",D19="O"),IF(MOD(ROW()-19,$E$6)=0,C19+$C$6+(MOD(C19+$C$6,5)=4),C19),C19)</f>
        <v>65</v>
      </c>
      <c r="D20" s="4"/>
      <c r="E20" s="16">
        <f>IF(OR(F19="",F19="O"),IF(MOD(ROW()-19,$E$5)=0,E19+$C$5+(MOD(E19+$C$5,5)=4),E19),E19)</f>
        <v>70</v>
      </c>
      <c r="F20" s="4"/>
      <c r="G20" s="16">
        <f>IF(OR(H19="",H19="O"),IF(MOD(ROW()-19,$E$7)=0,G19+$C$7+(MOD(G19+$C$7,5)=4),G19),G19)</f>
        <v>36</v>
      </c>
      <c r="H20" s="4"/>
      <c r="I20" s="16">
        <f>IF(OR(J19="",J19="O"),IF(MOD(ROW()-19,$E$8)=0,I19+$C$8+(MOD(I19+$C$8,5)=4),I19),I19)</f>
        <v>28</v>
      </c>
      <c r="J20" s="4"/>
      <c r="K20" s="65"/>
      <c r="L20" s="90"/>
      <c r="M20" s="90"/>
      <c r="N20" s="16" t="s">
        <v>27</v>
      </c>
      <c r="O20" s="4"/>
      <c r="P20" s="16" t="s">
        <v>27</v>
      </c>
      <c r="Q20" s="4"/>
      <c r="R20" s="16" t="s">
        <v>27</v>
      </c>
      <c r="S20" s="4"/>
      <c r="T20" s="16" t="s">
        <v>27</v>
      </c>
      <c r="U20" s="4"/>
      <c r="V20" s="16" t="s">
        <v>27</v>
      </c>
      <c r="W20" s="4"/>
      <c r="X20" s="16" t="s">
        <v>27</v>
      </c>
      <c r="Y20" s="4"/>
      <c r="Z20" s="16" t="s">
        <v>27</v>
      </c>
      <c r="AA20" s="4"/>
      <c r="AB20" s="16" t="s">
        <v>27</v>
      </c>
      <c r="AC20" s="4"/>
      <c r="AD20" s="16" t="s">
        <v>27</v>
      </c>
      <c r="AE20" s="4"/>
    </row>
    <row r="21" spans="1:31" ht="15" customHeight="1">
      <c r="A21" s="8" t="s">
        <v>117</v>
      </c>
      <c r="B21" s="73">
        <v>46277</v>
      </c>
      <c r="C21" s="16">
        <f>IF(OR(D20="",D20="O"),IF(MOD(ROW()-19,$E$6)=0,C20+$C$6+(MOD(C20+$C$6,5)=4),C20),C20)</f>
        <v>67</v>
      </c>
      <c r="D21" s="4"/>
      <c r="E21" s="16">
        <f>IF(OR(F20="",F20="O"),IF(MOD(ROW()-19,$E$5)=0,E20+$C$5+(MOD(E20+$C$5,5)=4),E20),E20)</f>
        <v>72</v>
      </c>
      <c r="F21" s="4"/>
      <c r="G21" s="16">
        <f>IF(OR(H20="",H20="O"),IF(MOD(ROW()-19,$E$7)=0,G20+$C$7+(MOD(G20+$C$7,5)=4),G20),G20)</f>
        <v>37</v>
      </c>
      <c r="H21" s="4"/>
      <c r="I21" s="16">
        <f>IF(OR(J20="",J20="O"),IF(MOD(ROW()-19,$E$8)=0,I20+$C$8+(MOD(I20+$C$8,5)=4),I20),I20)</f>
        <v>30</v>
      </c>
      <c r="J21" s="4"/>
      <c r="K21" s="65"/>
      <c r="L21" s="90"/>
      <c r="M21" s="90"/>
      <c r="N21" s="16" t="s">
        <v>27</v>
      </c>
      <c r="O21" s="4"/>
      <c r="P21" s="16" t="s">
        <v>27</v>
      </c>
      <c r="Q21" s="4"/>
      <c r="R21" s="16" t="s">
        <v>27</v>
      </c>
      <c r="S21" s="4"/>
      <c r="T21" s="16" t="s">
        <v>27</v>
      </c>
      <c r="U21" s="4"/>
      <c r="V21" s="16" t="s">
        <v>27</v>
      </c>
      <c r="W21" s="4"/>
      <c r="X21" s="16" t="s">
        <v>27</v>
      </c>
      <c r="Y21" s="4"/>
      <c r="Z21" s="16" t="s">
        <v>27</v>
      </c>
      <c r="AA21" s="4"/>
      <c r="AB21" s="16" t="s">
        <v>27</v>
      </c>
      <c r="AC21" s="4"/>
      <c r="AD21" s="16" t="s">
        <v>27</v>
      </c>
      <c r="AE21" s="4"/>
    </row>
    <row r="22" spans="1:31" ht="15" customHeight="1">
      <c r="A22" s="8" t="s">
        <v>118</v>
      </c>
      <c r="B22" s="73">
        <v>46284</v>
      </c>
      <c r="C22" s="16">
        <f>IF(OR(D21="",D21="O"),IF(MOD(ROW()-19,$E$6)=0,C21+$C$6+(MOD(C21+$C$6,5)=4),C21),C21)</f>
        <v>70</v>
      </c>
      <c r="D22" s="4"/>
      <c r="E22" s="16">
        <f>IF(OR(F21="",F21="O"),IF(MOD(ROW()-19,$E$5)=0,E21+$C$5+(MOD(E21+$C$5,5)=4),E21),E21)</f>
        <v>75</v>
      </c>
      <c r="F22" s="4"/>
      <c r="G22" s="16">
        <f>IF(OR(H21="",H21="O"),IF(MOD(ROW()-19,$E$7)=0,G21+$C$7+(MOD(G21+$C$7,5)=4),G21),G21)</f>
        <v>38</v>
      </c>
      <c r="H22" s="4"/>
      <c r="I22" s="16">
        <f>IF(OR(J21="",J21="O"),IF(MOD(ROW()-19,$E$8)=0,I21+$C$8+(MOD(I21+$C$8,5)=4),I21),I21)</f>
        <v>30</v>
      </c>
      <c r="J22" s="4"/>
      <c r="K22" s="65"/>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row>
    <row r="23" spans="1:31" ht="15" customHeight="1">
      <c r="A23" s="8" t="s">
        <v>119</v>
      </c>
      <c r="B23" s="73">
        <v>46291</v>
      </c>
      <c r="C23" s="16">
        <f>IF(OR(D22="",D22="O"),IF(MOD(ROW()-19,$E$6)=0,C22+$C$6+(MOD(C22+$C$6,5)=4),C22),C22)</f>
        <v>72</v>
      </c>
      <c r="D23" s="4"/>
      <c r="E23" s="16">
        <f>IF(OR(F22="",F22="O"),IF(MOD(ROW()-19,$E$5)=0,E22+$C$5+(MOD(E22+$C$5,5)=4),E22),E22)</f>
        <v>77</v>
      </c>
      <c r="F23" s="4"/>
      <c r="G23" s="16">
        <f>IF(OR(H22="",H22="O"),IF(MOD(ROW()-19,$E$7)=0,G22+$C$7+(MOD(G22+$C$7,5)=4),G22),G22)</f>
        <v>40</v>
      </c>
      <c r="H23" s="4"/>
      <c r="I23" s="16">
        <f>IF(OR(J22="",J22="O"),IF(MOD(ROW()-19,$E$8)=0,I22+$C$8+(MOD(I22+$C$8,5)=4),I22),I22)</f>
        <v>31</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row>
    <row r="24" spans="1:31" ht="15" customHeight="1">
      <c r="A24" s="8" t="s">
        <v>120</v>
      </c>
      <c r="B24" s="73">
        <v>46298</v>
      </c>
      <c r="C24" s="16">
        <f>IF(OR(D23="",D23="O"),IF(MOD(ROW()-19,$E$6)=0,C23+$C$6+(MOD(C23+$C$6,5)=4),C23),C23)</f>
        <v>75</v>
      </c>
      <c r="D24" s="4"/>
      <c r="E24" s="16">
        <f>IF(OR(F23="",F23="O"),IF(MOD(ROW()-19,$E$5)=0,E23+$C$5+(MOD(E23+$C$5,5)=4),E23),E23)</f>
        <v>80</v>
      </c>
      <c r="F24" s="4"/>
      <c r="G24" s="16">
        <f>IF(OR(H23="",H23="O"),IF(MOD(ROW()-19,$E$7)=0,G23+$C$7+(MOD(G23+$C$7,5)=4),G23),G23)</f>
        <v>41</v>
      </c>
      <c r="H24" s="4"/>
      <c r="I24" s="16">
        <f>IF(OR(J23="",J23="O"),IF(MOD(ROW()-19,$E$8)=0,I23+$C$8+(MOD(I23+$C$8,5)=4),I23),I23)</f>
        <v>31</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row>
    <row r="25" spans="1:31" ht="15" customHeight="1">
      <c r="A25" s="8" t="s">
        <v>121</v>
      </c>
      <c r="B25" s="73">
        <v>46305</v>
      </c>
      <c r="C25" s="16">
        <f>IF(OR(D24="",D24="O"),IF(MOD(ROW()-19,$E$6)=0,C24+$C$6+(MOD(C24+$C$6,5)=4),C24),C24)</f>
        <v>77</v>
      </c>
      <c r="D25" s="4"/>
      <c r="E25" s="16">
        <f>IF(OR(F24="",F24="O"),IF(MOD(ROW()-19,$E$5)=0,E24+$C$5+(MOD(E24+$C$5,5)=4),E24),E24)</f>
        <v>82</v>
      </c>
      <c r="F25" s="4"/>
      <c r="G25" s="16">
        <f>IF(OR(H24="",H24="O"),IF(MOD(ROW()-19,$E$7)=0,G24+$C$7+(MOD(G24+$C$7,5)=4),G24),G24)</f>
        <v>42</v>
      </c>
      <c r="H25" s="4"/>
      <c r="I25" s="16">
        <f>IF(OR(J24="",J24="O"),IF(MOD(ROW()-19,$E$8)=0,I24+$C$8+(MOD(I24+$C$8,5)=4),I24),I24)</f>
        <v>32</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row>
    <row r="26" spans="1:31" ht="15" customHeight="1">
      <c r="A26" s="8" t="s">
        <v>122</v>
      </c>
      <c r="B26" s="73">
        <v>46312</v>
      </c>
      <c r="C26" s="16">
        <f>IF(OR(D25="",D25="O"),IF(MOD(ROW()-19,$E$6)=0,C25+$C$6+(MOD(C25+$C$6,5)=4),C25),C25)</f>
        <v>80</v>
      </c>
      <c r="D26" s="4"/>
      <c r="E26" s="16">
        <f>IF(OR(F25="",F25="O"),IF(MOD(ROW()-19,$E$5)=0,E25+$C$5+(MOD(E25+$C$5,5)=4),E25),E25)</f>
        <v>85</v>
      </c>
      <c r="F26" s="4"/>
      <c r="G26" s="16">
        <f>IF(OR(H25="",H25="O"),IF(MOD(ROW()-19,$E$7)=0,G25+$C$7+(MOD(G25+$C$7,5)=4),G25),G25)</f>
        <v>43</v>
      </c>
      <c r="H26" s="4"/>
      <c r="I26" s="16">
        <f>IF(OR(J25="",J25="O"),IF(MOD(ROW()-19,$E$8)=0,I25+$C$8+(MOD(I25+$C$8,5)=4),I25),I25)</f>
        <v>32</v>
      </c>
      <c r="J26" s="4"/>
      <c r="K26" s="65"/>
      <c r="L26" s="90"/>
      <c r="M26" s="90"/>
      <c r="N26" s="16">
        <f>시작중량_설정!$D$11</f>
        <v>60</v>
      </c>
      <c r="O26" s="4"/>
      <c r="P26" s="16">
        <f>시작중량_설정!$D$12</f>
        <v>42</v>
      </c>
      <c r="Q26" s="4"/>
      <c r="R26" s="16">
        <f>시작중량_설정!$D$13</f>
        <v>160</v>
      </c>
      <c r="S26" s="4"/>
      <c r="T26" s="16">
        <f>시작중량_설정!$D$14</f>
        <v>140</v>
      </c>
      <c r="U26" s="4"/>
      <c r="V26" s="16">
        <f>시작중량_설정!$D$15</f>
        <v>50</v>
      </c>
      <c r="W26" s="4"/>
      <c r="X26" s="16">
        <f>시작중량_설정!$D$16</f>
        <v>25</v>
      </c>
      <c r="Y26" s="4"/>
      <c r="Z26" s="16">
        <f>시작중량_설정!$D$17</f>
        <v>25</v>
      </c>
      <c r="AA26" s="4"/>
      <c r="AB26" s="16">
        <f>시작중량_설정!$D$18</f>
        <v>50</v>
      </c>
      <c r="AC26" s="4"/>
      <c r="AD26" s="16">
        <f>시작중량_설정!$D$19</f>
        <v>0</v>
      </c>
      <c r="AE26" s="4"/>
    </row>
    <row r="27" spans="1:31" ht="15" customHeight="1">
      <c r="A27" s="8" t="s">
        <v>123</v>
      </c>
      <c r="B27" s="73">
        <v>46319</v>
      </c>
      <c r="C27" s="16">
        <f>IF(OR(D26="",D26="O"),IF(MOD(ROW()-19,$E$6)=0,C26+$C$6+(MOD(C26+$C$6,5)=4),C26),C26)</f>
        <v>82</v>
      </c>
      <c r="D27" s="4"/>
      <c r="E27" s="16">
        <f>IF(OR(F26="",F26="O"),IF(MOD(ROW()-19,$E$5)=0,E26+$C$5+(MOD(E26+$C$5,5)=4),E26),E26)</f>
        <v>87</v>
      </c>
      <c r="F27" s="4"/>
      <c r="G27" s="16">
        <f>IF(OR(H26="",H26="O"),IF(MOD(ROW()-19,$E$7)=0,G26+$C$7+(MOD(G26+$C$7,5)=4),G26),G26)</f>
        <v>45</v>
      </c>
      <c r="H27" s="4"/>
      <c r="I27" s="16">
        <f>IF(OR(J26="",J26="O"),IF(MOD(ROW()-19,$E$8)=0,I26+$C$8+(MOD(I26+$C$8,5)=4),I26),I26)</f>
        <v>33</v>
      </c>
      <c r="J27" s="4"/>
      <c r="K27" s="65"/>
      <c r="L27" s="90"/>
      <c r="M27" s="90"/>
      <c r="N27" s="16">
        <f>IF(OR(O26="",O26="O"),IF(MOD(ROW()-26,$E$9)=0,N26+$C$9+(MOD(N26+$C$9,5)=4),N26),N26)</f>
        <v>61</v>
      </c>
      <c r="O27" s="4"/>
      <c r="P27" s="16">
        <f>IF(OR(Q26="",Q26="O"),IF(MOD(ROW()-26,$E$10)=0,P26+$C$10+(MOD(P26+$C$10,5)=4),P26),P26)</f>
        <v>43</v>
      </c>
      <c r="Q27" s="4"/>
      <c r="R27" s="16">
        <f>IF(OR(S26="",S26="O"),IF(MOD(ROW()-26,$E$11)=0,R26+$C$11+(MOD(R26+$C$11,5)=4),R26),R26)</f>
        <v>162</v>
      </c>
      <c r="S27" s="4"/>
      <c r="T27" s="16">
        <f>IF(OR(U26="",U26="O"),IF(MOD(ROW()-26,$E$12)=0,T26+$C$12+(MOD(T26+$C$12,5)=4),T26),T26)</f>
        <v>140</v>
      </c>
      <c r="U27" s="4"/>
      <c r="V27" s="16">
        <f>IF(OR(W26="",W26="O"),IF(MOD(ROW()-26,$E$13)=0,V26+$C$13+(MOD(V26+$C$13,5)=4),V26),V26)</f>
        <v>50</v>
      </c>
      <c r="W27" s="4"/>
      <c r="X27" s="16">
        <f>IF(OR(Y26="",Y26="O"),IF(MOD(ROW()-26,$E$14)=0,X26+$C$14+(MOD(X26+$C$14,5)=4),X26),X26)</f>
        <v>25</v>
      </c>
      <c r="Y27" s="4"/>
      <c r="Z27" s="16">
        <f>IF(OR(AA26="",AA26="O"),IF(MOD(ROW()-26,$E$15)=0,Z26+$C$15+(MOD(Z26+$C$15,5)=4),Z26),Z26)</f>
        <v>25</v>
      </c>
      <c r="AA27" s="4"/>
      <c r="AB27" s="16">
        <f>IF(OR(AC26="",AC26="O"),IF(MOD(ROW()-26,$E$16)=0,AB26+$C$16+(MOD(AB26+$C$16,5)=4),AB26),AB26)</f>
        <v>50</v>
      </c>
      <c r="AC27" s="4"/>
      <c r="AD27" s="16">
        <f>IF(OR(AE26="",AE26="O"),IF(MOD(ROW()-26,$E$17)=0,AD26+$C$17+(MOD(AD26+$C$17,5)=4),AD26),AD26)</f>
        <v>0</v>
      </c>
      <c r="AE27" s="4"/>
    </row>
    <row r="28" spans="1:31" ht="15" customHeight="1">
      <c r="A28" s="8" t="s">
        <v>124</v>
      </c>
      <c r="B28" s="73">
        <v>46326</v>
      </c>
      <c r="C28" s="16">
        <f>IF(OR(D27="",D27="O"),IF(MOD(ROW()-19,$E$6)=0,C27+$C$6+(MOD(C27+$C$6,5)=4),C27),C27)</f>
        <v>85</v>
      </c>
      <c r="D28" s="4"/>
      <c r="E28" s="16">
        <f>IF(OR(F27="",F27="O"),IF(MOD(ROW()-19,$E$5)=0,E27+$C$5+(MOD(E27+$C$5,5)=4),E27),E27)</f>
        <v>90</v>
      </c>
      <c r="F28" s="4"/>
      <c r="G28" s="16">
        <f>IF(OR(H27="",H27="O"),IF(MOD(ROW()-19,$E$7)=0,G27+$C$7+(MOD(G27+$C$7,5)=4),G27),G27)</f>
        <v>46</v>
      </c>
      <c r="H28" s="4"/>
      <c r="I28" s="16">
        <f>IF(OR(J27="",J27="O"),IF(MOD(ROW()-19,$E$8)=0,I27+$C$8+(MOD(I27+$C$8,5)=4),I27),I27)</f>
        <v>33</v>
      </c>
      <c r="J28" s="4"/>
      <c r="K28" s="65"/>
      <c r="L28" s="90"/>
      <c r="M28" s="90"/>
      <c r="N28" s="16">
        <f>IF(OR(O27="",O27="O"),IF(MOD(ROW()-26,$E$9)=0,N27+$C$9+(MOD(N27+$C$9,5)=4),N27),N27)</f>
        <v>62</v>
      </c>
      <c r="O28" s="4"/>
      <c r="P28" s="16">
        <f>IF(OR(Q27="",Q27="O"),IF(MOD(ROW()-26,$E$10)=0,P27+$C$10+(MOD(P27+$C$10,5)=4),P27),P27)</f>
        <v>45</v>
      </c>
      <c r="Q28" s="4"/>
      <c r="R28" s="16">
        <f t="shared" ref="R28:R48" si="0">IF(OR(S27="",S27="O"),IF(MOD(ROW()-26,$E$11)=0,R27+$C$11+(MOD(R27+$C$11,5)=4),R27),R27)</f>
        <v>165</v>
      </c>
      <c r="S28" s="4"/>
      <c r="T28" s="16">
        <f t="shared" ref="T28:T48" si="1">IF(OR(U27="",U27="O"),IF(MOD(ROW()-26,$E$12)=0,T27+$C$12+(MOD(T27+$C$12,5)=4),T27),T27)</f>
        <v>142</v>
      </c>
      <c r="U28" s="4"/>
      <c r="V28" s="16">
        <f t="shared" ref="V28:V48" si="2">IF(OR(W27="",W27="O"),IF(MOD(ROW()-26,$E$13)=0,V27+$C$13+(MOD(V27+$C$13,5)=4),V27),V27)</f>
        <v>51</v>
      </c>
      <c r="W28" s="4"/>
      <c r="X28" s="16">
        <f t="shared" ref="X28:X48" si="3">IF(OR(Y27="",Y27="O"),IF(MOD(ROW()-26,$E$14)=0,X27+$C$14+(MOD(X27+$C$14,5)=4),X27),X27)</f>
        <v>26</v>
      </c>
      <c r="Y28" s="4"/>
      <c r="Z28" s="16">
        <f t="shared" ref="Z28:Z48" si="4">IF(OR(AA27="",AA27="O"),IF(MOD(ROW()-26,$E$15)=0,Z27+$C$15+(MOD(Z27+$C$15,5)=4),Z27),Z27)</f>
        <v>25</v>
      </c>
      <c r="AA28" s="4"/>
      <c r="AB28" s="16">
        <f t="shared" ref="AB28:AB48" si="5">IF(OR(AC27="",AC27="O"),IF(MOD(ROW()-26,$E$16)=0,AB27+$C$16+(MOD(AB27+$C$16,5)=4),AB27),AB27)</f>
        <v>51</v>
      </c>
      <c r="AC28" s="4"/>
      <c r="AD28" s="16">
        <f t="shared" ref="AD28:AD48" si="6">IF(OR(AE27="",AE27="O"),IF(MOD(ROW()-26,$E$17)=0,AD27+$C$17+(MOD(AD27+$C$17,5)=4),AD27),AD27)</f>
        <v>1</v>
      </c>
      <c r="AE28" s="4"/>
    </row>
    <row r="29" spans="1:31" ht="15" customHeight="1">
      <c r="A29" s="8" t="s">
        <v>125</v>
      </c>
      <c r="B29" s="73">
        <v>46333</v>
      </c>
      <c r="C29" s="16">
        <f>IF(OR(D28="",D28="O"),IF(MOD(ROW()-19,$E$6)=0,C28+$C$6+(MOD(C28+$C$6,5)=4),C28),C28)</f>
        <v>87</v>
      </c>
      <c r="D29" s="4"/>
      <c r="E29" s="16">
        <f>IF(OR(F28="",F28="O"),IF(MOD(ROW()-19,$E$5)=0,E28+$C$5+(MOD(E28+$C$5,5)=4),E28),E28)</f>
        <v>92</v>
      </c>
      <c r="F29" s="4"/>
      <c r="G29" s="16">
        <f>IF(OR(H28="",H28="O"),IF(MOD(ROW()-19,$E$7)=0,G28+$C$7+(MOD(G28+$C$7,5)=4),G28),G28)</f>
        <v>47</v>
      </c>
      <c r="H29" s="4"/>
      <c r="I29" s="16">
        <f>IF(OR(J28="",J28="O"),IF(MOD(ROW()-19,$E$8)=0,I28+$C$8+(MOD(I28+$C$8,5)=4),I28),I28)</f>
        <v>35</v>
      </c>
      <c r="J29" s="4"/>
      <c r="K29" s="65"/>
      <c r="L29" s="90"/>
      <c r="M29" s="90"/>
      <c r="N29" s="16">
        <f>IF(OR(O28="",O28="O"),IF(MOD(ROW()-26,$E$9)=0,N28+$C$9+(MOD(N28+$C$9,5)=4),N28),N28)</f>
        <v>63</v>
      </c>
      <c r="O29" s="4"/>
      <c r="P29" s="16">
        <f>IF(OR(Q28="",Q28="O"),IF(MOD(ROW()-26,$E$10)=0,P28+$C$10+(MOD(P28+$C$10,5)=4),P28),P28)</f>
        <v>46</v>
      </c>
      <c r="Q29" s="4"/>
      <c r="R29" s="16">
        <f t="shared" si="0"/>
        <v>167</v>
      </c>
      <c r="S29" s="4"/>
      <c r="T29" s="16">
        <f t="shared" si="1"/>
        <v>142</v>
      </c>
      <c r="U29" s="4"/>
      <c r="V29" s="16">
        <f t="shared" si="2"/>
        <v>51</v>
      </c>
      <c r="W29" s="4"/>
      <c r="X29" s="16">
        <f t="shared" si="3"/>
        <v>26</v>
      </c>
      <c r="Y29" s="4"/>
      <c r="Z29" s="16">
        <f t="shared" si="4"/>
        <v>26</v>
      </c>
      <c r="AA29" s="4"/>
      <c r="AB29" s="16">
        <f t="shared" si="5"/>
        <v>51</v>
      </c>
      <c r="AC29" s="4"/>
      <c r="AD29" s="16">
        <f t="shared" si="6"/>
        <v>1</v>
      </c>
      <c r="AE29" s="4"/>
    </row>
    <row r="30" spans="1:31" ht="15" customHeight="1">
      <c r="A30" s="8" t="s">
        <v>126</v>
      </c>
      <c r="B30" s="73">
        <v>46340</v>
      </c>
      <c r="C30" s="16">
        <f>IF(OR(D29="",D29="O"),IF(MOD(ROW()-19,$E$6)=0,C29+$C$6+(MOD(C29+$C$6,5)=4),C29),C29)</f>
        <v>90</v>
      </c>
      <c r="D30" s="4"/>
      <c r="E30" s="16">
        <f>IF(OR(F29="",F29="O"),IF(MOD(ROW()-19,$E$5)=0,E29+$C$5+(MOD(E29+$C$5,5)=4),E29),E29)</f>
        <v>95</v>
      </c>
      <c r="F30" s="4"/>
      <c r="G30" s="16">
        <f>IF(OR(H29="",H29="O"),IF(MOD(ROW()-19,$E$7)=0,G29+$C$7+(MOD(G29+$C$7,5)=4),G29),G29)</f>
        <v>48</v>
      </c>
      <c r="H30" s="4"/>
      <c r="I30" s="16">
        <f>IF(OR(J29="",J29="O"),IF(MOD(ROW()-19,$E$8)=0,I29+$C$8+(MOD(I29+$C$8,5)=4),I29),I29)</f>
        <v>35</v>
      </c>
      <c r="J30" s="4"/>
      <c r="K30" s="65"/>
      <c r="L30" s="90"/>
      <c r="M30" s="90"/>
      <c r="N30" s="16">
        <f>IF(OR(O29="",O29="O"),IF(MOD(ROW()-26,$E$9)=0,N29+$C$9+(MOD(N29+$C$9,5)=4),N29),N29)</f>
        <v>65</v>
      </c>
      <c r="O30" s="4"/>
      <c r="P30" s="16">
        <f>IF(OR(Q29="",Q29="O"),IF(MOD(ROW()-26,$E$10)=0,P29+$C$10+(MOD(P29+$C$10,5)=4),P29),P29)</f>
        <v>47</v>
      </c>
      <c r="Q30" s="4"/>
      <c r="R30" s="16">
        <f t="shared" si="0"/>
        <v>170</v>
      </c>
      <c r="S30" s="4"/>
      <c r="T30" s="16">
        <f t="shared" si="1"/>
        <v>145</v>
      </c>
      <c r="U30" s="4"/>
      <c r="V30" s="16">
        <f t="shared" si="2"/>
        <v>52</v>
      </c>
      <c r="W30" s="4"/>
      <c r="X30" s="16">
        <f t="shared" si="3"/>
        <v>27</v>
      </c>
      <c r="Y30" s="4"/>
      <c r="Z30" s="16">
        <f t="shared" si="4"/>
        <v>26</v>
      </c>
      <c r="AA30" s="4"/>
      <c r="AB30" s="16">
        <f t="shared" si="5"/>
        <v>52</v>
      </c>
      <c r="AC30" s="4"/>
      <c r="AD30" s="16">
        <f t="shared" si="6"/>
        <v>2</v>
      </c>
      <c r="AE30" s="4"/>
    </row>
    <row r="31" spans="1:31" ht="15" customHeight="1">
      <c r="A31" s="101" t="s">
        <v>825</v>
      </c>
      <c r="B31" s="105">
        <v>46347</v>
      </c>
      <c r="C31" s="103">
        <f>IF(OR(D30="",D30="O"),IF(MOD(ROW()-19,$E$6)=0,C30+$C$6+(MOD(C30+$C$6,5)=4),C30),C30)</f>
        <v>92</v>
      </c>
      <c r="D31" s="102"/>
      <c r="E31" s="103">
        <f>IF(OR(F30="",F30="O"),IF(MOD(ROW()-19,$E$5)=0,E30+$C$5+(MOD(E30+$C$5,5)=4),E30),E30)</f>
        <v>97</v>
      </c>
      <c r="F31" s="102"/>
      <c r="G31" s="103">
        <f>IF(OR(H30="",H30="O"),IF(MOD(ROW()-19,$E$7)=0,G30+$C$7+(MOD(G30+$C$7,5)=4),G30),G30)</f>
        <v>50</v>
      </c>
      <c r="H31" s="102"/>
      <c r="I31" s="103">
        <f>IF(OR(J30="",J30="O"),IF(MOD(ROW()-19,$E$8)=0,I30+$C$8+(MOD(I30+$C$8,5)=4),I30),I30)</f>
        <v>36</v>
      </c>
      <c r="J31" s="102"/>
      <c r="K31" s="104"/>
      <c r="L31" s="90"/>
      <c r="M31" s="90"/>
      <c r="N31" s="16">
        <f>IF(OR(O30="",O30="O"),IF(MOD(ROW()-26,$E$9)=0,N30+$C$9+(MOD(N30+$C$9,5)=4),N30),N30)</f>
        <v>66</v>
      </c>
      <c r="O31" s="102"/>
      <c r="P31" s="16">
        <f>IF(OR(Q30="",Q30="O"),IF(MOD(ROW()-26,$E$10)=0,P30+$C$10+(MOD(P30+$C$10,5)=4),P30),P30)</f>
        <v>48</v>
      </c>
      <c r="Q31" s="102"/>
      <c r="R31" s="16">
        <f t="shared" si="0"/>
        <v>172</v>
      </c>
      <c r="S31" s="102"/>
      <c r="T31" s="16">
        <f t="shared" si="1"/>
        <v>145</v>
      </c>
      <c r="U31" s="102"/>
      <c r="V31" s="16">
        <f t="shared" si="2"/>
        <v>52</v>
      </c>
      <c r="W31" s="102"/>
      <c r="X31" s="16">
        <f t="shared" si="3"/>
        <v>27</v>
      </c>
      <c r="Y31" s="102"/>
      <c r="Z31" s="16">
        <f t="shared" si="4"/>
        <v>26</v>
      </c>
      <c r="AA31" s="102"/>
      <c r="AB31" s="16">
        <f t="shared" si="5"/>
        <v>52</v>
      </c>
      <c r="AC31" s="102"/>
      <c r="AD31" s="16">
        <f t="shared" si="6"/>
        <v>2</v>
      </c>
      <c r="AE31" s="102"/>
    </row>
    <row r="32" spans="1:31" ht="15" customHeight="1">
      <c r="A32" s="101" t="s">
        <v>826</v>
      </c>
      <c r="B32" s="105">
        <v>46354</v>
      </c>
      <c r="C32" s="103">
        <f>IF(OR(D31="",D31="O"),IF(MOD(ROW()-19,$E$6)=0,C31+$C$6+(MOD(C31+$C$6,5)=4),C31),C31)</f>
        <v>95</v>
      </c>
      <c r="D32" s="102"/>
      <c r="E32" s="103">
        <f>IF(OR(F31="",F31="O"),IF(MOD(ROW()-19,$E$5)=0,E31+$C$5+(MOD(E31+$C$5,5)=4),E31),E31)</f>
        <v>100</v>
      </c>
      <c r="F32" s="102"/>
      <c r="G32" s="103">
        <f>IF(OR(H31="",H31="O"),IF(MOD(ROW()-19,$E$7)=0,G31+$C$7+(MOD(G31+$C$7,5)=4),G31),G31)</f>
        <v>51</v>
      </c>
      <c r="H32" s="102"/>
      <c r="I32" s="103">
        <f>IF(OR(J31="",J31="O"),IF(MOD(ROW()-19,$E$8)=0,I31+$C$8+(MOD(I31+$C$8,5)=4),I31),I31)</f>
        <v>36</v>
      </c>
      <c r="J32" s="102"/>
      <c r="K32" s="104"/>
      <c r="L32" s="90"/>
      <c r="M32" s="90"/>
      <c r="N32" s="16">
        <f>IF(OR(O31="",O31="O"),IF(MOD(ROW()-26,$E$9)=0,N31+$C$9+(MOD(N31+$C$9,5)=4),N31),N31)</f>
        <v>67</v>
      </c>
      <c r="O32" s="102"/>
      <c r="P32" s="16">
        <f>IF(OR(Q31="",Q31="O"),IF(MOD(ROW()-26,$E$10)=0,P31+$C$10+(MOD(P31+$C$10,5)=4),P31),P31)</f>
        <v>50</v>
      </c>
      <c r="Q32" s="102"/>
      <c r="R32" s="16">
        <f t="shared" si="0"/>
        <v>175</v>
      </c>
      <c r="S32" s="102"/>
      <c r="T32" s="16">
        <f t="shared" si="1"/>
        <v>147</v>
      </c>
      <c r="U32" s="102"/>
      <c r="V32" s="16">
        <f t="shared" si="2"/>
        <v>53</v>
      </c>
      <c r="W32" s="102"/>
      <c r="X32" s="16">
        <f t="shared" si="3"/>
        <v>28</v>
      </c>
      <c r="Y32" s="102"/>
      <c r="Z32" s="16">
        <f t="shared" si="4"/>
        <v>27</v>
      </c>
      <c r="AA32" s="102"/>
      <c r="AB32" s="16">
        <f t="shared" si="5"/>
        <v>53</v>
      </c>
      <c r="AC32" s="102"/>
      <c r="AD32" s="16">
        <f t="shared" si="6"/>
        <v>3</v>
      </c>
      <c r="AE32" s="102"/>
    </row>
    <row r="33" spans="1:31" ht="15" customHeight="1">
      <c r="A33" s="101" t="s">
        <v>827</v>
      </c>
      <c r="B33" s="105">
        <v>46361</v>
      </c>
      <c r="C33" s="103">
        <f>IF(OR(D32="",D32="O"),IF(MOD(ROW()-19,$E$6)=0,C32+$C$6+(MOD(C32+$C$6,5)=4),C32),C32)</f>
        <v>97</v>
      </c>
      <c r="D33" s="102"/>
      <c r="E33" s="103">
        <f>IF(OR(F32="",F32="O"),IF(MOD(ROW()-19,$E$5)=0,E32+$C$5+(MOD(E32+$C$5,5)=4),E32),E32)</f>
        <v>102</v>
      </c>
      <c r="F33" s="102"/>
      <c r="G33" s="103">
        <f>IF(OR(H32="",H32="O"),IF(MOD(ROW()-19,$E$7)=0,G32+$C$7+(MOD(G32+$C$7,5)=4),G32),G32)</f>
        <v>52</v>
      </c>
      <c r="H33" s="102"/>
      <c r="I33" s="103">
        <f>IF(OR(J32="",J32="O"),IF(MOD(ROW()-19,$E$8)=0,I32+$C$8+(MOD(I32+$C$8,5)=4),I32),I32)</f>
        <v>37</v>
      </c>
      <c r="J33" s="102"/>
      <c r="K33" s="104"/>
      <c r="L33" s="90"/>
      <c r="M33" s="90"/>
      <c r="N33" s="16">
        <f>IF(OR(O32="",O32="O"),IF(MOD(ROW()-26,$E$9)=0,N32+$C$9+(MOD(N32+$C$9,5)=4),N32),N32)</f>
        <v>68</v>
      </c>
      <c r="O33" s="102"/>
      <c r="P33" s="16">
        <f>IF(OR(Q32="",Q32="O"),IF(MOD(ROW()-26,$E$10)=0,P32+$C$10+(MOD(P32+$C$10,5)=4),P32),P32)</f>
        <v>51</v>
      </c>
      <c r="Q33" s="102"/>
      <c r="R33" s="16">
        <f t="shared" si="0"/>
        <v>177</v>
      </c>
      <c r="S33" s="102"/>
      <c r="T33" s="16">
        <f t="shared" si="1"/>
        <v>147</v>
      </c>
      <c r="U33" s="102"/>
      <c r="V33" s="16">
        <f t="shared" si="2"/>
        <v>53</v>
      </c>
      <c r="W33" s="102"/>
      <c r="X33" s="16">
        <f t="shared" si="3"/>
        <v>28</v>
      </c>
      <c r="Y33" s="102"/>
      <c r="Z33" s="16">
        <f t="shared" si="4"/>
        <v>27</v>
      </c>
      <c r="AA33" s="102"/>
      <c r="AB33" s="16">
        <f t="shared" si="5"/>
        <v>53</v>
      </c>
      <c r="AC33" s="102"/>
      <c r="AD33" s="16">
        <f t="shared" si="6"/>
        <v>3</v>
      </c>
      <c r="AE33" s="102"/>
    </row>
    <row r="34" spans="1:31" ht="15" customHeight="1">
      <c r="A34" s="101" t="s">
        <v>828</v>
      </c>
      <c r="B34" s="105">
        <v>46368</v>
      </c>
      <c r="C34" s="103">
        <f>IF(OR(D33="",D33="O"),IF(MOD(ROW()-19,$E$6)=0,C33+$C$6+(MOD(C33+$C$6,5)=4),C33),C33)</f>
        <v>100</v>
      </c>
      <c r="D34" s="102"/>
      <c r="E34" s="103">
        <f>IF(OR(F33="",F33="O"),IF(MOD(ROW()-19,$E$5)=0,E33+$C$5+(MOD(E33+$C$5,5)=4),E33),E33)</f>
        <v>105</v>
      </c>
      <c r="F34" s="102"/>
      <c r="G34" s="103">
        <f>IF(OR(H33="",H33="O"),IF(MOD(ROW()-19,$E$7)=0,G33+$C$7+(MOD(G33+$C$7,5)=4),G33),G33)</f>
        <v>53</v>
      </c>
      <c r="H34" s="102"/>
      <c r="I34" s="103">
        <f>IF(OR(J33="",J33="O"),IF(MOD(ROW()-19,$E$8)=0,I33+$C$8+(MOD(I33+$C$8,5)=4),I33),I33)</f>
        <v>37</v>
      </c>
      <c r="J34" s="102"/>
      <c r="K34" s="104"/>
      <c r="L34" s="90"/>
      <c r="M34" s="90"/>
      <c r="N34" s="16">
        <f>IF(OR(O33="",O33="O"),IF(MOD(ROW()-26,$E$9)=0,N33+$C$9+(MOD(N33+$C$9,5)=4),N33),N33)</f>
        <v>70</v>
      </c>
      <c r="O34" s="102"/>
      <c r="P34" s="16">
        <f>IF(OR(Q33="",Q33="O"),IF(MOD(ROW()-26,$E$10)=0,P33+$C$10+(MOD(P33+$C$10,5)=4),P33),P33)</f>
        <v>52</v>
      </c>
      <c r="Q34" s="102"/>
      <c r="R34" s="16">
        <f t="shared" si="0"/>
        <v>180</v>
      </c>
      <c r="S34" s="102"/>
      <c r="T34" s="16">
        <f t="shared" si="1"/>
        <v>150</v>
      </c>
      <c r="U34" s="102"/>
      <c r="V34" s="16">
        <f t="shared" si="2"/>
        <v>55</v>
      </c>
      <c r="W34" s="102"/>
      <c r="X34" s="16">
        <f t="shared" si="3"/>
        <v>30</v>
      </c>
      <c r="Y34" s="102"/>
      <c r="Z34" s="16">
        <f t="shared" si="4"/>
        <v>27</v>
      </c>
      <c r="AA34" s="102"/>
      <c r="AB34" s="16">
        <f t="shared" si="5"/>
        <v>55</v>
      </c>
      <c r="AC34" s="102"/>
      <c r="AD34" s="16">
        <f t="shared" si="6"/>
        <v>5</v>
      </c>
      <c r="AE34" s="102"/>
    </row>
    <row r="35" spans="1:31" ht="15" customHeight="1">
      <c r="A35" s="101" t="s">
        <v>829</v>
      </c>
      <c r="B35" s="105">
        <v>46375</v>
      </c>
      <c r="C35" s="103">
        <f>IF(OR(D34="",D34="O"),IF(MOD(ROW()-19,$E$6)=0,C34+$C$6+(MOD(C34+$C$6,5)=4),C34),C34)</f>
        <v>102</v>
      </c>
      <c r="D35" s="102"/>
      <c r="E35" s="103">
        <f>IF(OR(F34="",F34="O"),IF(MOD(ROW()-19,$E$5)=0,E34+$C$5+(MOD(E34+$C$5,5)=4),E34),E34)</f>
        <v>107</v>
      </c>
      <c r="F35" s="102"/>
      <c r="G35" s="103">
        <f>IF(OR(H34="",H34="O"),IF(MOD(ROW()-19,$E$7)=0,G34+$C$7+(MOD(G34+$C$7,5)=4),G34),G34)</f>
        <v>55</v>
      </c>
      <c r="H35" s="102"/>
      <c r="I35" s="103">
        <f>IF(OR(J34="",J34="O"),IF(MOD(ROW()-19,$E$8)=0,I34+$C$8+(MOD(I34+$C$8,5)=4),I34),I34)</f>
        <v>38</v>
      </c>
      <c r="J35" s="102"/>
      <c r="K35" s="104"/>
      <c r="L35" s="90"/>
      <c r="M35" s="90"/>
      <c r="N35" s="16">
        <f>IF(OR(O34="",O34="O"),IF(MOD(ROW()-26,$E$9)=0,N34+$C$9+(MOD(N34+$C$9,5)=4),N34),N34)</f>
        <v>71</v>
      </c>
      <c r="O35" s="102"/>
      <c r="P35" s="16">
        <f>IF(OR(Q34="",Q34="O"),IF(MOD(ROW()-26,$E$10)=0,P34+$C$10+(MOD(P34+$C$10,5)=4),P34),P34)</f>
        <v>53</v>
      </c>
      <c r="Q35" s="102"/>
      <c r="R35" s="16">
        <f t="shared" si="0"/>
        <v>182</v>
      </c>
      <c r="S35" s="102"/>
      <c r="T35" s="16">
        <f t="shared" si="1"/>
        <v>150</v>
      </c>
      <c r="U35" s="102"/>
      <c r="V35" s="16">
        <f t="shared" si="2"/>
        <v>55</v>
      </c>
      <c r="W35" s="102"/>
      <c r="X35" s="16">
        <f t="shared" si="3"/>
        <v>30</v>
      </c>
      <c r="Y35" s="102"/>
      <c r="Z35" s="16">
        <f t="shared" si="4"/>
        <v>28</v>
      </c>
      <c r="AA35" s="102"/>
      <c r="AB35" s="16">
        <f t="shared" si="5"/>
        <v>55</v>
      </c>
      <c r="AC35" s="102"/>
      <c r="AD35" s="16">
        <f t="shared" si="6"/>
        <v>5</v>
      </c>
      <c r="AE35" s="102"/>
    </row>
    <row r="36" spans="1:31" ht="15" customHeight="1">
      <c r="A36" s="101" t="s">
        <v>830</v>
      </c>
      <c r="B36" s="105">
        <v>46382</v>
      </c>
      <c r="C36" s="103">
        <f>IF(OR(D35="",D35="O"),IF(MOD(ROW()-19,$E$6)=0,C35+$C$6+(MOD(C35+$C$6,5)=4),C35),C35)</f>
        <v>105</v>
      </c>
      <c r="D36" s="102"/>
      <c r="E36" s="103">
        <f>IF(OR(F35="",F35="O"),IF(MOD(ROW()-19,$E$5)=0,E35+$C$5+(MOD(E35+$C$5,5)=4),E35),E35)</f>
        <v>110</v>
      </c>
      <c r="F36" s="102"/>
      <c r="G36" s="103">
        <f>IF(OR(H35="",H35="O"),IF(MOD(ROW()-19,$E$7)=0,G35+$C$7+(MOD(G35+$C$7,5)=4),G35),G35)</f>
        <v>56</v>
      </c>
      <c r="H36" s="102"/>
      <c r="I36" s="103">
        <f>IF(OR(J35="",J35="O"),IF(MOD(ROW()-19,$E$8)=0,I35+$C$8+(MOD(I35+$C$8,5)=4),I35),I35)</f>
        <v>38</v>
      </c>
      <c r="J36" s="102"/>
      <c r="K36" s="104"/>
      <c r="L36" s="90"/>
      <c r="M36" s="90"/>
      <c r="N36" s="16">
        <f>IF(OR(O35="",O35="O"),IF(MOD(ROW()-26,$E$9)=0,N35+$C$9+(MOD(N35+$C$9,5)=4),N35),N35)</f>
        <v>72</v>
      </c>
      <c r="O36" s="102"/>
      <c r="P36" s="16">
        <f>IF(OR(Q35="",Q35="O"),IF(MOD(ROW()-26,$E$10)=0,P35+$C$10+(MOD(P35+$C$10,5)=4),P35),P35)</f>
        <v>55</v>
      </c>
      <c r="Q36" s="102"/>
      <c r="R36" s="16">
        <f t="shared" si="0"/>
        <v>185</v>
      </c>
      <c r="S36" s="102"/>
      <c r="T36" s="16">
        <f t="shared" si="1"/>
        <v>152</v>
      </c>
      <c r="U36" s="102"/>
      <c r="V36" s="16">
        <f t="shared" si="2"/>
        <v>56</v>
      </c>
      <c r="W36" s="102"/>
      <c r="X36" s="16">
        <f t="shared" si="3"/>
        <v>31</v>
      </c>
      <c r="Y36" s="102"/>
      <c r="Z36" s="16">
        <f t="shared" si="4"/>
        <v>28</v>
      </c>
      <c r="AA36" s="102"/>
      <c r="AB36" s="16">
        <f t="shared" si="5"/>
        <v>56</v>
      </c>
      <c r="AC36" s="102"/>
      <c r="AD36" s="16">
        <f t="shared" si="6"/>
        <v>6</v>
      </c>
      <c r="AE36" s="102"/>
    </row>
    <row r="37" spans="1:31" ht="15" customHeight="1">
      <c r="A37" s="101" t="s">
        <v>831</v>
      </c>
      <c r="B37" s="105">
        <v>46389</v>
      </c>
      <c r="C37" s="103">
        <f>IF(OR(D36="",D36="O"),IF(MOD(ROW()-19,$E$6)=0,C36+$C$6+(MOD(C36+$C$6,5)=4),C36),C36)</f>
        <v>107</v>
      </c>
      <c r="D37" s="102"/>
      <c r="E37" s="103">
        <f>IF(OR(F36="",F36="O"),IF(MOD(ROW()-19,$E$5)=0,E36+$C$5+(MOD(E36+$C$5,5)=4),E36),E36)</f>
        <v>112</v>
      </c>
      <c r="F37" s="102"/>
      <c r="G37" s="103">
        <f>IF(OR(H36="",H36="O"),IF(MOD(ROW()-19,$E$7)=0,G36+$C$7+(MOD(G36+$C$7,5)=4),G36),G36)</f>
        <v>57</v>
      </c>
      <c r="H37" s="102"/>
      <c r="I37" s="103">
        <f>IF(OR(J36="",J36="O"),IF(MOD(ROW()-19,$E$8)=0,I36+$C$8+(MOD(I36+$C$8,5)=4),I36),I36)</f>
        <v>40</v>
      </c>
      <c r="J37" s="102"/>
      <c r="K37" s="104"/>
      <c r="L37" s="90"/>
      <c r="M37" s="90"/>
      <c r="N37" s="16">
        <f>IF(OR(O36="",O36="O"),IF(MOD(ROW()-26,$E$9)=0,N36+$C$9+(MOD(N36+$C$9,5)=4),N36),N36)</f>
        <v>73</v>
      </c>
      <c r="O37" s="102"/>
      <c r="P37" s="16">
        <f>IF(OR(Q36="",Q36="O"),IF(MOD(ROW()-26,$E$10)=0,P36+$C$10+(MOD(P36+$C$10,5)=4),P36),P36)</f>
        <v>56</v>
      </c>
      <c r="Q37" s="102"/>
      <c r="R37" s="16">
        <f t="shared" si="0"/>
        <v>187</v>
      </c>
      <c r="S37" s="102"/>
      <c r="T37" s="16">
        <f t="shared" si="1"/>
        <v>152</v>
      </c>
      <c r="U37" s="102"/>
      <c r="V37" s="16">
        <f t="shared" si="2"/>
        <v>56</v>
      </c>
      <c r="W37" s="102"/>
      <c r="X37" s="16">
        <f t="shared" si="3"/>
        <v>31</v>
      </c>
      <c r="Y37" s="102"/>
      <c r="Z37" s="16">
        <f t="shared" si="4"/>
        <v>28</v>
      </c>
      <c r="AA37" s="102"/>
      <c r="AB37" s="16">
        <f t="shared" si="5"/>
        <v>56</v>
      </c>
      <c r="AC37" s="102"/>
      <c r="AD37" s="16">
        <f t="shared" si="6"/>
        <v>6</v>
      </c>
      <c r="AE37" s="102"/>
    </row>
    <row r="38" spans="1:31" ht="15" customHeight="1">
      <c r="A38" s="101" t="s">
        <v>832</v>
      </c>
      <c r="B38" s="105">
        <v>46396</v>
      </c>
      <c r="C38" s="103">
        <f>IF(OR(D37="",D37="O"),IF(MOD(ROW()-19,$E$6)=0,C37+$C$6+(MOD(C37+$C$6,5)=4),C37),C37)</f>
        <v>110</v>
      </c>
      <c r="D38" s="102"/>
      <c r="E38" s="103">
        <f>IF(OR(F37="",F37="O"),IF(MOD(ROW()-19,$E$5)=0,E37+$C$5+(MOD(E37+$C$5,5)=4),E37),E37)</f>
        <v>115</v>
      </c>
      <c r="F38" s="102"/>
      <c r="G38" s="103">
        <f>IF(OR(H37="",H37="O"),IF(MOD(ROW()-19,$E$7)=0,G37+$C$7+(MOD(G37+$C$7,5)=4),G37),G37)</f>
        <v>58</v>
      </c>
      <c r="H38" s="102"/>
      <c r="I38" s="103">
        <f>IF(OR(J37="",J37="O"),IF(MOD(ROW()-19,$E$8)=0,I37+$C$8+(MOD(I37+$C$8,5)=4),I37),I37)</f>
        <v>40</v>
      </c>
      <c r="J38" s="102"/>
      <c r="K38" s="104"/>
      <c r="L38" s="90"/>
      <c r="M38" s="90"/>
      <c r="N38" s="16">
        <f>IF(OR(O37="",O37="O"),IF(MOD(ROW()-26,$E$9)=0,N37+$C$9+(MOD(N37+$C$9,5)=4),N37),N37)</f>
        <v>75</v>
      </c>
      <c r="O38" s="102"/>
      <c r="P38" s="16">
        <f>IF(OR(Q37="",Q37="O"),IF(MOD(ROW()-26,$E$10)=0,P37+$C$10+(MOD(P37+$C$10,5)=4),P37),P37)</f>
        <v>57</v>
      </c>
      <c r="Q38" s="102"/>
      <c r="R38" s="16">
        <f t="shared" si="0"/>
        <v>190</v>
      </c>
      <c r="S38" s="102"/>
      <c r="T38" s="16">
        <f t="shared" si="1"/>
        <v>155</v>
      </c>
      <c r="U38" s="102"/>
      <c r="V38" s="16">
        <f t="shared" si="2"/>
        <v>57</v>
      </c>
      <c r="W38" s="102"/>
      <c r="X38" s="16">
        <f t="shared" si="3"/>
        <v>32</v>
      </c>
      <c r="Y38" s="102"/>
      <c r="Z38" s="16">
        <f t="shared" si="4"/>
        <v>30</v>
      </c>
      <c r="AA38" s="102"/>
      <c r="AB38" s="16">
        <f t="shared" si="5"/>
        <v>57</v>
      </c>
      <c r="AC38" s="102"/>
      <c r="AD38" s="16">
        <f t="shared" si="6"/>
        <v>7</v>
      </c>
      <c r="AE38" s="102"/>
    </row>
    <row r="39" spans="1:31" ht="15" customHeight="1">
      <c r="A39" s="101" t="s">
        <v>833</v>
      </c>
      <c r="B39" s="105">
        <v>46403</v>
      </c>
      <c r="C39" s="103">
        <f>IF(OR(D38="",D38="O"),IF(MOD(ROW()-19,$E$6)=0,C38+$C$6+(MOD(C38+$C$6,5)=4),C38),C38)</f>
        <v>112</v>
      </c>
      <c r="D39" s="102"/>
      <c r="E39" s="103">
        <f>IF(OR(F38="",F38="O"),IF(MOD(ROW()-19,$E$5)=0,E38+$C$5+(MOD(E38+$C$5,5)=4),E38),E38)</f>
        <v>117</v>
      </c>
      <c r="F39" s="102"/>
      <c r="G39" s="103">
        <f>IF(OR(H38="",H38="O"),IF(MOD(ROW()-19,$E$7)=0,G38+$C$7+(MOD(G38+$C$7,5)=4),G38),G38)</f>
        <v>60</v>
      </c>
      <c r="H39" s="102"/>
      <c r="I39" s="103">
        <f>IF(OR(J38="",J38="O"),IF(MOD(ROW()-19,$E$8)=0,I38+$C$8+(MOD(I38+$C$8,5)=4),I38),I38)</f>
        <v>41</v>
      </c>
      <c r="J39" s="102"/>
      <c r="K39" s="104"/>
      <c r="L39" s="90"/>
      <c r="M39" s="90"/>
      <c r="N39" s="16">
        <f>IF(OR(O38="",O38="O"),IF(MOD(ROW()-26,$E$9)=0,N38+$C$9+(MOD(N38+$C$9,5)=4),N38),N38)</f>
        <v>76</v>
      </c>
      <c r="O39" s="102"/>
      <c r="P39" s="16">
        <f>IF(OR(Q38="",Q38="O"),IF(MOD(ROW()-26,$E$10)=0,P38+$C$10+(MOD(P38+$C$10,5)=4),P38),P38)</f>
        <v>58</v>
      </c>
      <c r="Q39" s="102"/>
      <c r="R39" s="16">
        <f t="shared" si="0"/>
        <v>192</v>
      </c>
      <c r="S39" s="102"/>
      <c r="T39" s="16">
        <f t="shared" si="1"/>
        <v>155</v>
      </c>
      <c r="U39" s="102"/>
      <c r="V39" s="16">
        <f t="shared" si="2"/>
        <v>57</v>
      </c>
      <c r="W39" s="102"/>
      <c r="X39" s="16">
        <f t="shared" si="3"/>
        <v>32</v>
      </c>
      <c r="Y39" s="102"/>
      <c r="Z39" s="16">
        <f t="shared" si="4"/>
        <v>30</v>
      </c>
      <c r="AA39" s="102"/>
      <c r="AB39" s="16">
        <f t="shared" si="5"/>
        <v>57</v>
      </c>
      <c r="AC39" s="102"/>
      <c r="AD39" s="16">
        <f t="shared" si="6"/>
        <v>7</v>
      </c>
      <c r="AE39" s="102"/>
    </row>
    <row r="40" spans="1:31" ht="15" customHeight="1">
      <c r="A40" s="101" t="s">
        <v>834</v>
      </c>
      <c r="B40" s="105">
        <v>46410</v>
      </c>
      <c r="C40" s="103">
        <f>IF(OR(D39="",D39="O"),IF(MOD(ROW()-19,$E$6)=0,C39+$C$6+(MOD(C39+$C$6,5)=4),C39),C39)</f>
        <v>115</v>
      </c>
      <c r="D40" s="102"/>
      <c r="E40" s="103">
        <f>IF(OR(F39="",F39="O"),IF(MOD(ROW()-19,$E$5)=0,E39+$C$5+(MOD(E39+$C$5,5)=4),E39),E39)</f>
        <v>120</v>
      </c>
      <c r="F40" s="102"/>
      <c r="G40" s="103">
        <f>IF(OR(H39="",H39="O"),IF(MOD(ROW()-19,$E$7)=0,G39+$C$7+(MOD(G39+$C$7,5)=4),G39),G39)</f>
        <v>61</v>
      </c>
      <c r="H40" s="102"/>
      <c r="I40" s="103">
        <f>IF(OR(J39="",J39="O"),IF(MOD(ROW()-19,$E$8)=0,I39+$C$8+(MOD(I39+$C$8,5)=4),I39),I39)</f>
        <v>41</v>
      </c>
      <c r="J40" s="102"/>
      <c r="K40" s="104"/>
      <c r="L40" s="90"/>
      <c r="M40" s="90"/>
      <c r="N40" s="16">
        <f>IF(OR(O39="",O39="O"),IF(MOD(ROW()-26,$E$9)=0,N39+$C$9+(MOD(N39+$C$9,5)=4),N39),N39)</f>
        <v>77</v>
      </c>
      <c r="O40" s="102"/>
      <c r="P40" s="16">
        <f>IF(OR(Q39="",Q39="O"),IF(MOD(ROW()-26,$E$10)=0,P39+$C$10+(MOD(P39+$C$10,5)=4),P39),P39)</f>
        <v>60</v>
      </c>
      <c r="Q40" s="102"/>
      <c r="R40" s="16">
        <f t="shared" si="0"/>
        <v>195</v>
      </c>
      <c r="S40" s="102"/>
      <c r="T40" s="16">
        <f t="shared" si="1"/>
        <v>157</v>
      </c>
      <c r="U40" s="102"/>
      <c r="V40" s="16">
        <f t="shared" si="2"/>
        <v>58</v>
      </c>
      <c r="W40" s="102"/>
      <c r="X40" s="16">
        <f t="shared" si="3"/>
        <v>33</v>
      </c>
      <c r="Y40" s="102"/>
      <c r="Z40" s="16">
        <f t="shared" si="4"/>
        <v>30</v>
      </c>
      <c r="AA40" s="102"/>
      <c r="AB40" s="16">
        <f t="shared" si="5"/>
        <v>58</v>
      </c>
      <c r="AC40" s="102"/>
      <c r="AD40" s="16">
        <f t="shared" si="6"/>
        <v>8</v>
      </c>
      <c r="AE40" s="102"/>
    </row>
    <row r="41" spans="1:31" ht="15" customHeight="1">
      <c r="A41" s="101" t="s">
        <v>835</v>
      </c>
      <c r="B41" s="105">
        <v>46417</v>
      </c>
      <c r="C41" s="103">
        <f>IF(OR(D40="",D40="O"),IF(MOD(ROW()-19,$E$6)=0,C40+$C$6+(MOD(C40+$C$6,5)=4),C40),C40)</f>
        <v>117</v>
      </c>
      <c r="D41" s="102"/>
      <c r="E41" s="103">
        <f>IF(OR(F40="",F40="O"),IF(MOD(ROW()-19,$E$5)=0,E40+$C$5+(MOD(E40+$C$5,5)=4),E40),E40)</f>
        <v>122</v>
      </c>
      <c r="F41" s="102"/>
      <c r="G41" s="103">
        <f>IF(OR(H40="",H40="O"),IF(MOD(ROW()-19,$E$7)=0,G40+$C$7+(MOD(G40+$C$7,5)=4),G40),G40)</f>
        <v>62</v>
      </c>
      <c r="H41" s="102"/>
      <c r="I41" s="103">
        <f>IF(OR(J40="",J40="O"),IF(MOD(ROW()-19,$E$8)=0,I40+$C$8+(MOD(I40+$C$8,5)=4),I40),I40)</f>
        <v>42</v>
      </c>
      <c r="J41" s="102"/>
      <c r="K41" s="104"/>
      <c r="L41" s="90"/>
      <c r="M41" s="90"/>
      <c r="N41" s="16">
        <f>IF(OR(O40="",O40="O"),IF(MOD(ROW()-26,$E$9)=0,N40+$C$9+(MOD(N40+$C$9,5)=4),N40),N40)</f>
        <v>78</v>
      </c>
      <c r="O41" s="102"/>
      <c r="P41" s="16">
        <f>IF(OR(Q40="",Q40="O"),IF(MOD(ROW()-26,$E$10)=0,P40+$C$10+(MOD(P40+$C$10,5)=4),P40),P40)</f>
        <v>61</v>
      </c>
      <c r="Q41" s="102"/>
      <c r="R41" s="16">
        <f t="shared" si="0"/>
        <v>197</v>
      </c>
      <c r="S41" s="102"/>
      <c r="T41" s="16">
        <f t="shared" si="1"/>
        <v>157</v>
      </c>
      <c r="U41" s="102"/>
      <c r="V41" s="16">
        <f t="shared" si="2"/>
        <v>58</v>
      </c>
      <c r="W41" s="102"/>
      <c r="X41" s="16">
        <f t="shared" si="3"/>
        <v>33</v>
      </c>
      <c r="Y41" s="102"/>
      <c r="Z41" s="16">
        <f t="shared" si="4"/>
        <v>31</v>
      </c>
      <c r="AA41" s="102"/>
      <c r="AB41" s="16">
        <f t="shared" si="5"/>
        <v>58</v>
      </c>
      <c r="AC41" s="102"/>
      <c r="AD41" s="16">
        <f t="shared" si="6"/>
        <v>8</v>
      </c>
      <c r="AE41" s="102"/>
    </row>
    <row r="42" spans="1:31" ht="15" customHeight="1">
      <c r="A42" s="101" t="s">
        <v>836</v>
      </c>
      <c r="B42" s="105">
        <v>46424</v>
      </c>
      <c r="C42" s="103">
        <f>IF(OR(D41="",D41="O"),IF(MOD(ROW()-19,$E$6)=0,C41+$C$6+(MOD(C41+$C$6,5)=4),C41),C41)</f>
        <v>120</v>
      </c>
      <c r="D42" s="102"/>
      <c r="E42" s="103">
        <f>IF(OR(F41="",F41="O"),IF(MOD(ROW()-19,$E$5)=0,E41+$C$5+(MOD(E41+$C$5,5)=4),E41),E41)</f>
        <v>125</v>
      </c>
      <c r="F42" s="102"/>
      <c r="G42" s="103">
        <f>IF(OR(H41="",H41="O"),IF(MOD(ROW()-19,$E$7)=0,G41+$C$7+(MOD(G41+$C$7,5)=4),G41),G41)</f>
        <v>63</v>
      </c>
      <c r="H42" s="102"/>
      <c r="I42" s="103">
        <f>IF(OR(J41="",J41="O"),IF(MOD(ROW()-19,$E$8)=0,I41+$C$8+(MOD(I41+$C$8,5)=4),I41),I41)</f>
        <v>42</v>
      </c>
      <c r="J42" s="102"/>
      <c r="K42" s="104"/>
      <c r="L42" s="90"/>
      <c r="M42" s="90"/>
      <c r="N42" s="16">
        <f>IF(OR(O41="",O41="O"),IF(MOD(ROW()-26,$E$9)=0,N41+$C$9+(MOD(N41+$C$9,5)=4),N41),N41)</f>
        <v>80</v>
      </c>
      <c r="O42" s="102"/>
      <c r="P42" s="16">
        <f>IF(OR(Q41="",Q41="O"),IF(MOD(ROW()-26,$E$10)=0,P41+$C$10+(MOD(P41+$C$10,5)=4),P41),P41)</f>
        <v>62</v>
      </c>
      <c r="Q42" s="102"/>
      <c r="R42" s="16">
        <f t="shared" si="0"/>
        <v>200</v>
      </c>
      <c r="S42" s="102"/>
      <c r="T42" s="16">
        <f t="shared" si="1"/>
        <v>160</v>
      </c>
      <c r="U42" s="102"/>
      <c r="V42" s="16">
        <f t="shared" si="2"/>
        <v>60</v>
      </c>
      <c r="W42" s="102"/>
      <c r="X42" s="16">
        <f t="shared" si="3"/>
        <v>35</v>
      </c>
      <c r="Y42" s="102"/>
      <c r="Z42" s="16">
        <f t="shared" si="4"/>
        <v>31</v>
      </c>
      <c r="AA42" s="102"/>
      <c r="AB42" s="16">
        <f t="shared" si="5"/>
        <v>60</v>
      </c>
      <c r="AC42" s="102"/>
      <c r="AD42" s="16">
        <f t="shared" si="6"/>
        <v>10</v>
      </c>
      <c r="AE42" s="102"/>
    </row>
    <row r="43" spans="1:31" ht="15" customHeight="1">
      <c r="A43" s="101" t="s">
        <v>837</v>
      </c>
      <c r="B43" s="105">
        <v>46431</v>
      </c>
      <c r="C43" s="103">
        <f>IF(OR(D42="",D42="O"),IF(MOD(ROW()-19,$E$6)=0,C42+$C$6+(MOD(C42+$C$6,5)=4),C42),C42)</f>
        <v>122</v>
      </c>
      <c r="D43" s="102"/>
      <c r="E43" s="103">
        <f>IF(OR(F42="",F42="O"),IF(MOD(ROW()-19,$E$5)=0,E42+$C$5+(MOD(E42+$C$5,5)=4),E42),E42)</f>
        <v>127</v>
      </c>
      <c r="F43" s="102"/>
      <c r="G43" s="103">
        <f>IF(OR(H42="",H42="O"),IF(MOD(ROW()-19,$E$7)=0,G42+$C$7+(MOD(G42+$C$7,5)=4),G42),G42)</f>
        <v>65</v>
      </c>
      <c r="H43" s="102"/>
      <c r="I43" s="103">
        <f>IF(OR(J42="",J42="O"),IF(MOD(ROW()-19,$E$8)=0,I42+$C$8+(MOD(I42+$C$8,5)=4),I42),I42)</f>
        <v>43</v>
      </c>
      <c r="J43" s="102"/>
      <c r="K43" s="104"/>
      <c r="L43" s="90"/>
      <c r="M43" s="90"/>
      <c r="N43" s="16">
        <f>IF(OR(O42="",O42="O"),IF(MOD(ROW()-26,$E$9)=0,N42+$C$9+(MOD(N42+$C$9,5)=4),N42),N42)</f>
        <v>81</v>
      </c>
      <c r="O43" s="102"/>
      <c r="P43" s="16">
        <f>IF(OR(Q42="",Q42="O"),IF(MOD(ROW()-26,$E$10)=0,P42+$C$10+(MOD(P42+$C$10,5)=4),P42),P42)</f>
        <v>63</v>
      </c>
      <c r="Q43" s="102"/>
      <c r="R43" s="16">
        <f t="shared" si="0"/>
        <v>202</v>
      </c>
      <c r="S43" s="102"/>
      <c r="T43" s="16">
        <f t="shared" si="1"/>
        <v>160</v>
      </c>
      <c r="U43" s="102"/>
      <c r="V43" s="16">
        <f t="shared" si="2"/>
        <v>60</v>
      </c>
      <c r="W43" s="102"/>
      <c r="X43" s="16">
        <f t="shared" si="3"/>
        <v>35</v>
      </c>
      <c r="Y43" s="102"/>
      <c r="Z43" s="16">
        <f t="shared" si="4"/>
        <v>31</v>
      </c>
      <c r="AA43" s="102"/>
      <c r="AB43" s="16">
        <f t="shared" si="5"/>
        <v>60</v>
      </c>
      <c r="AC43" s="102"/>
      <c r="AD43" s="16">
        <f t="shared" si="6"/>
        <v>10</v>
      </c>
      <c r="AE43" s="102"/>
    </row>
    <row r="44" spans="1:31" ht="15" customHeight="1">
      <c r="A44" s="101" t="s">
        <v>838</v>
      </c>
      <c r="B44" s="105">
        <v>46438</v>
      </c>
      <c r="C44" s="103">
        <f>IF(OR(D43="",D43="O"),IF(MOD(ROW()-19,$E$6)=0,C43+$C$6+(MOD(C43+$C$6,5)=4),C43),C43)</f>
        <v>125</v>
      </c>
      <c r="D44" s="102"/>
      <c r="E44" s="103">
        <f>IF(OR(F43="",F43="O"),IF(MOD(ROW()-19,$E$5)=0,E43+$C$5+(MOD(E43+$C$5,5)=4),E43),E43)</f>
        <v>130</v>
      </c>
      <c r="F44" s="102"/>
      <c r="G44" s="103">
        <f>IF(OR(H43="",H43="O"),IF(MOD(ROW()-19,$E$7)=0,G43+$C$7+(MOD(G43+$C$7,5)=4),G43),G43)</f>
        <v>66</v>
      </c>
      <c r="H44" s="102"/>
      <c r="I44" s="103">
        <f>IF(OR(J43="",J43="O"),IF(MOD(ROW()-19,$E$8)=0,I43+$C$8+(MOD(I43+$C$8,5)=4),I43),I43)</f>
        <v>43</v>
      </c>
      <c r="J44" s="102"/>
      <c r="K44" s="104"/>
      <c r="L44" s="90"/>
      <c r="M44" s="90"/>
      <c r="N44" s="16">
        <f>IF(OR(O43="",O43="O"),IF(MOD(ROW()-26,$E$9)=0,N43+$C$9+(MOD(N43+$C$9,5)=4),N43),N43)</f>
        <v>82</v>
      </c>
      <c r="O44" s="102"/>
      <c r="P44" s="16">
        <f>IF(OR(Q43="",Q43="O"),IF(MOD(ROW()-26,$E$10)=0,P43+$C$10+(MOD(P43+$C$10,5)=4),P43),P43)</f>
        <v>65</v>
      </c>
      <c r="Q44" s="102"/>
      <c r="R44" s="16">
        <f t="shared" si="0"/>
        <v>205</v>
      </c>
      <c r="S44" s="102"/>
      <c r="T44" s="16">
        <f t="shared" si="1"/>
        <v>162</v>
      </c>
      <c r="U44" s="102"/>
      <c r="V44" s="16">
        <f t="shared" si="2"/>
        <v>61</v>
      </c>
      <c r="W44" s="102"/>
      <c r="X44" s="16">
        <f t="shared" si="3"/>
        <v>36</v>
      </c>
      <c r="Y44" s="102"/>
      <c r="Z44" s="16">
        <f t="shared" si="4"/>
        <v>32</v>
      </c>
      <c r="AA44" s="102"/>
      <c r="AB44" s="16">
        <f t="shared" si="5"/>
        <v>61</v>
      </c>
      <c r="AC44" s="102"/>
      <c r="AD44" s="16">
        <f t="shared" si="6"/>
        <v>11</v>
      </c>
      <c r="AE44" s="102"/>
    </row>
    <row r="45" spans="1:31" ht="15" customHeight="1">
      <c r="A45" s="101" t="s">
        <v>839</v>
      </c>
      <c r="B45" s="105">
        <v>46445</v>
      </c>
      <c r="C45" s="103">
        <f>IF(OR(D44="",D44="O"),IF(MOD(ROW()-19,$E$6)=0,C44+$C$6+(MOD(C44+$C$6,5)=4),C44),C44)</f>
        <v>127</v>
      </c>
      <c r="D45" s="102"/>
      <c r="E45" s="103">
        <f>IF(OR(F44="",F44="O"),IF(MOD(ROW()-19,$E$5)=0,E44+$C$5+(MOD(E44+$C$5,5)=4),E44),E44)</f>
        <v>132</v>
      </c>
      <c r="F45" s="102"/>
      <c r="G45" s="103">
        <f>IF(OR(H44="",H44="O"),IF(MOD(ROW()-19,$E$7)=0,G44+$C$7+(MOD(G44+$C$7,5)=4),G44),G44)</f>
        <v>67</v>
      </c>
      <c r="H45" s="102"/>
      <c r="I45" s="103">
        <f>IF(OR(J44="",J44="O"),IF(MOD(ROW()-19,$E$8)=0,I44+$C$8+(MOD(I44+$C$8,5)=4),I44),I44)</f>
        <v>45</v>
      </c>
      <c r="J45" s="102"/>
      <c r="K45" s="104"/>
      <c r="L45" s="90"/>
      <c r="M45" s="90"/>
      <c r="N45" s="16">
        <f>IF(OR(O44="",O44="O"),IF(MOD(ROW()-26,$E$9)=0,N44+$C$9+(MOD(N44+$C$9,5)=4),N44),N44)</f>
        <v>83</v>
      </c>
      <c r="O45" s="102"/>
      <c r="P45" s="16">
        <f>IF(OR(Q44="",Q44="O"),IF(MOD(ROW()-26,$E$10)=0,P44+$C$10+(MOD(P44+$C$10,5)=4),P44),P44)</f>
        <v>66</v>
      </c>
      <c r="Q45" s="102"/>
      <c r="R45" s="16">
        <f t="shared" si="0"/>
        <v>207</v>
      </c>
      <c r="S45" s="102"/>
      <c r="T45" s="16">
        <f t="shared" si="1"/>
        <v>162</v>
      </c>
      <c r="U45" s="102"/>
      <c r="V45" s="16">
        <f t="shared" si="2"/>
        <v>61</v>
      </c>
      <c r="W45" s="102"/>
      <c r="X45" s="16">
        <f t="shared" si="3"/>
        <v>36</v>
      </c>
      <c r="Y45" s="102"/>
      <c r="Z45" s="16">
        <f t="shared" si="4"/>
        <v>32</v>
      </c>
      <c r="AA45" s="102"/>
      <c r="AB45" s="16">
        <f t="shared" si="5"/>
        <v>61</v>
      </c>
      <c r="AC45" s="102"/>
      <c r="AD45" s="16">
        <f t="shared" si="6"/>
        <v>11</v>
      </c>
      <c r="AE45" s="102"/>
    </row>
    <row r="46" spans="1:31" ht="15" customHeight="1">
      <c r="A46" s="101" t="s">
        <v>840</v>
      </c>
      <c r="B46" s="105">
        <v>46452</v>
      </c>
      <c r="C46" s="103">
        <f>IF(OR(D45="",D45="O"),IF(MOD(ROW()-19,$E$6)=0,C45+$C$6+(MOD(C45+$C$6,5)=4),C45),C45)</f>
        <v>130</v>
      </c>
      <c r="D46" s="102"/>
      <c r="E46" s="103">
        <f>IF(OR(F45="",F45="O"),IF(MOD(ROW()-19,$E$5)=0,E45+$C$5+(MOD(E45+$C$5,5)=4),E45),E45)</f>
        <v>135</v>
      </c>
      <c r="F46" s="102"/>
      <c r="G46" s="103">
        <f>IF(OR(H45="",H45="O"),IF(MOD(ROW()-19,$E$7)=0,G45+$C$7+(MOD(G45+$C$7,5)=4),G45),G45)</f>
        <v>68</v>
      </c>
      <c r="H46" s="102"/>
      <c r="I46" s="103">
        <f>IF(OR(J45="",J45="O"),IF(MOD(ROW()-19,$E$8)=0,I45+$C$8+(MOD(I45+$C$8,5)=4),I45),I45)</f>
        <v>45</v>
      </c>
      <c r="J46" s="102"/>
      <c r="K46" s="104"/>
      <c r="L46" s="90"/>
      <c r="M46" s="90"/>
      <c r="N46" s="16">
        <f>IF(OR(O45="",O45="O"),IF(MOD(ROW()-26,$E$9)=0,N45+$C$9+(MOD(N45+$C$9,5)=4),N45),N45)</f>
        <v>85</v>
      </c>
      <c r="O46" s="102"/>
      <c r="P46" s="16">
        <f>IF(OR(Q45="",Q45="O"),IF(MOD(ROW()-26,$E$10)=0,P45+$C$10+(MOD(P45+$C$10,5)=4),P45),P45)</f>
        <v>67</v>
      </c>
      <c r="Q46" s="102"/>
      <c r="R46" s="16">
        <f t="shared" si="0"/>
        <v>210</v>
      </c>
      <c r="S46" s="102"/>
      <c r="T46" s="16">
        <f t="shared" si="1"/>
        <v>165</v>
      </c>
      <c r="U46" s="102"/>
      <c r="V46" s="16">
        <f t="shared" si="2"/>
        <v>62</v>
      </c>
      <c r="W46" s="102"/>
      <c r="X46" s="16">
        <f t="shared" si="3"/>
        <v>37</v>
      </c>
      <c r="Y46" s="102"/>
      <c r="Z46" s="16">
        <f t="shared" si="4"/>
        <v>32</v>
      </c>
      <c r="AA46" s="102"/>
      <c r="AB46" s="16">
        <f t="shared" si="5"/>
        <v>62</v>
      </c>
      <c r="AC46" s="102"/>
      <c r="AD46" s="16">
        <f t="shared" si="6"/>
        <v>12</v>
      </c>
      <c r="AE46" s="102"/>
    </row>
    <row r="47" spans="1:31" ht="15" customHeight="1">
      <c r="A47" s="101" t="s">
        <v>841</v>
      </c>
      <c r="B47" s="105">
        <v>46459</v>
      </c>
      <c r="C47" s="103">
        <f>IF(OR(D46="",D46="O"),IF(MOD(ROW()-19,$E$6)=0,C46+$C$6+(MOD(C46+$C$6,5)=4),C46),C46)</f>
        <v>132</v>
      </c>
      <c r="D47" s="102"/>
      <c r="E47" s="103">
        <f>IF(OR(F46="",F46="O"),IF(MOD(ROW()-19,$E$5)=0,E46+$C$5+(MOD(E46+$C$5,5)=4),E46),E46)</f>
        <v>137</v>
      </c>
      <c r="F47" s="102"/>
      <c r="G47" s="103">
        <f>IF(OR(H46="",H46="O"),IF(MOD(ROW()-19,$E$7)=0,G46+$C$7+(MOD(G46+$C$7,5)=4),G46),G46)</f>
        <v>70</v>
      </c>
      <c r="H47" s="102"/>
      <c r="I47" s="103">
        <f>IF(OR(J46="",J46="O"),IF(MOD(ROW()-19,$E$8)=0,I46+$C$8+(MOD(I46+$C$8,5)=4),I46),I46)</f>
        <v>46</v>
      </c>
      <c r="J47" s="102"/>
      <c r="K47" s="104"/>
      <c r="L47" s="90"/>
      <c r="M47" s="90"/>
      <c r="N47" s="16">
        <f>IF(OR(O46="",O46="O"),IF(MOD(ROW()-26,$E$9)=0,N46+$C$9+(MOD(N46+$C$9,5)=4),N46),N46)</f>
        <v>86</v>
      </c>
      <c r="O47" s="102"/>
      <c r="P47" s="16">
        <f>IF(OR(Q46="",Q46="O"),IF(MOD(ROW()-26,$E$10)=0,P46+$C$10+(MOD(P46+$C$10,5)=4),P46),P46)</f>
        <v>68</v>
      </c>
      <c r="Q47" s="102"/>
      <c r="R47" s="16">
        <f t="shared" si="0"/>
        <v>212</v>
      </c>
      <c r="S47" s="102"/>
      <c r="T47" s="16">
        <f t="shared" si="1"/>
        <v>165</v>
      </c>
      <c r="U47" s="102"/>
      <c r="V47" s="16">
        <f t="shared" si="2"/>
        <v>62</v>
      </c>
      <c r="W47" s="102"/>
      <c r="X47" s="16">
        <f t="shared" si="3"/>
        <v>37</v>
      </c>
      <c r="Y47" s="102"/>
      <c r="Z47" s="16">
        <f t="shared" si="4"/>
        <v>33</v>
      </c>
      <c r="AA47" s="102"/>
      <c r="AB47" s="16">
        <f t="shared" si="5"/>
        <v>62</v>
      </c>
      <c r="AC47" s="102"/>
      <c r="AD47" s="16">
        <f t="shared" si="6"/>
        <v>12</v>
      </c>
      <c r="AE47" s="102"/>
    </row>
    <row r="48" spans="1:31" ht="15" customHeight="1">
      <c r="A48" s="101" t="s">
        <v>842</v>
      </c>
      <c r="B48" s="105">
        <v>46466</v>
      </c>
      <c r="C48" s="103">
        <f>IF(OR(D47="",D47="O"),IF(MOD(ROW()-19,$E$6)=0,C47+$C$6+(MOD(C47+$C$6,5)=4),C47),C47)</f>
        <v>135</v>
      </c>
      <c r="D48" s="102"/>
      <c r="E48" s="103">
        <f>IF(OR(F47="",F47="O"),IF(MOD(ROW()-19,$E$5)=0,E47+$C$5+(MOD(E47+$C$5,5)=4),E47),E47)</f>
        <v>140</v>
      </c>
      <c r="F48" s="102"/>
      <c r="G48" s="103">
        <f>IF(OR(H47="",H47="O"),IF(MOD(ROW()-19,$E$7)=0,G47+$C$7+(MOD(G47+$C$7,5)=4),G47),G47)</f>
        <v>71</v>
      </c>
      <c r="H48" s="102"/>
      <c r="I48" s="103">
        <f>IF(OR(J47="",J47="O"),IF(MOD(ROW()-19,$E$8)=0,I47+$C$8+(MOD(I47+$C$8,5)=4),I47),I47)</f>
        <v>46</v>
      </c>
      <c r="J48" s="102"/>
      <c r="K48" s="104"/>
      <c r="L48" s="90"/>
      <c r="M48" s="90"/>
      <c r="N48" s="16">
        <f>IF(OR(O47="",O47="O"),IF(MOD(ROW()-26,$E$9)=0,N47+$C$9+(MOD(N47+$C$9,5)=4),N47),N47)</f>
        <v>87</v>
      </c>
      <c r="O48" s="102"/>
      <c r="P48" s="16">
        <f>IF(OR(Q47="",Q47="O"),IF(MOD(ROW()-26,$E$10)=0,P47+$C$10+(MOD(P47+$C$10,5)=4),P47),P47)</f>
        <v>70</v>
      </c>
      <c r="Q48" s="102"/>
      <c r="R48" s="16">
        <f t="shared" si="0"/>
        <v>215</v>
      </c>
      <c r="S48" s="102"/>
      <c r="T48" s="16">
        <f t="shared" si="1"/>
        <v>167</v>
      </c>
      <c r="U48" s="102"/>
      <c r="V48" s="16">
        <f t="shared" si="2"/>
        <v>63</v>
      </c>
      <c r="W48" s="102"/>
      <c r="X48" s="16">
        <f t="shared" si="3"/>
        <v>38</v>
      </c>
      <c r="Y48" s="102"/>
      <c r="Z48" s="16">
        <f t="shared" si="4"/>
        <v>33</v>
      </c>
      <c r="AA48" s="102"/>
      <c r="AB48" s="16">
        <f t="shared" si="5"/>
        <v>63</v>
      </c>
      <c r="AC48" s="102"/>
      <c r="AD48" s="16">
        <f t="shared" si="6"/>
        <v>13</v>
      </c>
      <c r="AE48" s="102"/>
    </row>
    <row r="50" spans="1:1" ht="108" customHeight="1">
      <c r="A50" s="11" t="s">
        <v>843</v>
      </c>
    </row>
    <row r="51" spans="1:1" ht="84" customHeight="1">
      <c r="A51" s="11" t="s">
        <v>844</v>
      </c>
    </row>
    <row r="52" spans="1:1" ht="84" customHeight="1">
      <c r="A52" s="11" t="s">
        <v>845</v>
      </c>
    </row>
    <row r="53" spans="1:1" ht="120" customHeight="1">
      <c r="A53" s="11"/>
    </row>
    <row r="54" spans="1:1" ht="96" customHeight="1">
      <c r="A54" s="11" t="s">
        <v>846</v>
      </c>
    </row>
    <row r="55" spans="1:1" ht="108" customHeight="1">
      <c r="A55" s="11" t="s">
        <v>847</v>
      </c>
    </row>
    <row r="56" spans="1:1" ht="108" customHeight="1">
      <c r="A56" s="11" t="s">
        <v>848</v>
      </c>
    </row>
    <row r="57" spans="1:1" ht="156" customHeight="1">
      <c r="A57" s="11" t="s">
        <v>849</v>
      </c>
    </row>
    <row r="58" spans="1:1" ht="96" customHeight="1">
      <c r="A58" s="11" t="s">
        <v>850</v>
      </c>
    </row>
    <row r="59" spans="1:1">
      <c r="A59" t="s">
        <v>851</v>
      </c>
    </row>
    <row r="60" spans="1:1">
      <c r="A60" t="s">
        <v>852</v>
      </c>
    </row>
    <row r="61" spans="1:1">
      <c r="A61" t="s">
        <v>853</v>
      </c>
    </row>
    <row r="62" spans="1:1">
      <c r="A62" t="s">
        <v>854</v>
      </c>
    </row>
    <row r="63" spans="1:1">
      <c r="A63"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1"/>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1584</v>
      </c>
      <c r="G6" s="115" t="s">
        <v>1400</v>
      </c>
    </row>
    <row r="7" spans="1:7" ht="30" customHeight="1">
      <c r="A7" s="114" t="s">
        <v>902</v>
      </c>
      <c r="B7" s="120" t="s">
        <v>903</v>
      </c>
      <c r="C7" s="114" t="s">
        <v>896</v>
      </c>
      <c r="D7" s="115" t="s">
        <v>904</v>
      </c>
      <c r="E7" s="121">
        <f>복귀_일_수평당기기!$E$22</f>
        <v>36</v>
      </c>
      <c r="F7" s="114" t="s">
        <v>1585</v>
      </c>
      <c r="G7" s="115" t="s">
        <v>1458</v>
      </c>
    </row>
    <row r="8" spans="1:7" ht="30" customHeight="1">
      <c r="A8" s="114" t="s">
        <v>905</v>
      </c>
      <c r="B8" s="120" t="s">
        <v>906</v>
      </c>
      <c r="C8" s="114" t="s">
        <v>896</v>
      </c>
      <c r="D8" s="115" t="s">
        <v>1490</v>
      </c>
      <c r="E8" s="121">
        <f>복귀_월_가슴!$E$29</f>
        <v>37</v>
      </c>
      <c r="F8" s="114" t="s">
        <v>1586</v>
      </c>
      <c r="G8" s="115" t="s">
        <v>1491</v>
      </c>
    </row>
    <row r="9" spans="1:7" ht="30" customHeight="1">
      <c r="A9" s="114" t="s">
        <v>907</v>
      </c>
      <c r="B9" s="120" t="s">
        <v>908</v>
      </c>
      <c r="C9" s="114" t="s">
        <v>896</v>
      </c>
      <c r="D9" s="115" t="s">
        <v>1492</v>
      </c>
      <c r="E9" s="121">
        <f>복귀_화_팔!$E$24</f>
        <v>41</v>
      </c>
      <c r="F9" s="114" t="s">
        <v>1587</v>
      </c>
      <c r="G9" s="115" t="s">
        <v>1493</v>
      </c>
    </row>
    <row r="10" spans="1:7" ht="30" customHeight="1">
      <c r="A10" s="114" t="s">
        <v>909</v>
      </c>
      <c r="B10" s="120" t="s">
        <v>910</v>
      </c>
      <c r="C10" s="114" t="s">
        <v>896</v>
      </c>
      <c r="D10" s="115" t="s">
        <v>911</v>
      </c>
      <c r="E10" s="121">
        <f>복귀_수_하체후면!$E$39</f>
        <v>34</v>
      </c>
      <c r="F10" s="114" t="s">
        <v>1588</v>
      </c>
      <c r="G10" s="115" t="s">
        <v>1452</v>
      </c>
    </row>
    <row r="11" spans="1:7" ht="30" customHeight="1">
      <c r="A11" s="114" t="s">
        <v>912</v>
      </c>
      <c r="B11" s="120" t="s">
        <v>913</v>
      </c>
      <c r="C11" s="114" t="s">
        <v>896</v>
      </c>
      <c r="D11" s="115" t="s">
        <v>914</v>
      </c>
      <c r="E11" s="121">
        <f>복귀_목_수직당기기!$E$25</f>
        <v>42</v>
      </c>
      <c r="F11" s="114" t="s">
        <v>1471</v>
      </c>
      <c r="G11" s="115" t="s">
        <v>1609</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235</v>
      </c>
      <c r="F13" s="116" t="s">
        <v>1589</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1513</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1249</v>
      </c>
    </row>
    <row r="44" spans="1:1">
      <c r="A44" s="126" t="s">
        <v>1263</v>
      </c>
    </row>
    <row r="45" spans="1:1">
      <c r="A45" s="126" t="s">
        <v>1297</v>
      </c>
    </row>
    <row r="46" spans="1:1">
      <c r="A46" s="126" t="s">
        <v>1300</v>
      </c>
    </row>
    <row r="47" spans="1:1">
      <c r="A47" s="126" t="s">
        <v>1316</v>
      </c>
    </row>
    <row r="48" spans="1:1">
      <c r="A48" s="126" t="s">
        <v>1327</v>
      </c>
    </row>
    <row r="49" spans="1:1">
      <c r="A49" s="126" t="s">
        <v>1340</v>
      </c>
    </row>
    <row r="50" spans="1:1">
      <c r="A50" s="126" t="s">
        <v>1350</v>
      </c>
    </row>
    <row r="51" spans="1:1">
      <c r="A51" s="126" t="s">
        <v>1360</v>
      </c>
    </row>
    <row r="52" spans="1:1">
      <c r="A52" s="126" t="s">
        <v>1369</v>
      </c>
    </row>
    <row r="53" spans="1:1">
      <c r="A53" s="126" t="s">
        <v>1371</v>
      </c>
    </row>
    <row r="54" spans="1:1">
      <c r="A54" s="126" t="s">
        <v>1393</v>
      </c>
    </row>
    <row r="55" spans="1:1">
      <c r="A55" s="126" t="s">
        <v>1394</v>
      </c>
    </row>
    <row r="56" spans="1:1">
      <c r="A56" s="126" t="s">
        <v>1401</v>
      </c>
    </row>
    <row r="57" spans="1:1">
      <c r="A57" s="126" t="s">
        <v>1403</v>
      </c>
    </row>
    <row r="58" spans="1:1">
      <c r="A58" s="126" t="s">
        <v>1410</v>
      </c>
    </row>
    <row r="59" spans="1:1">
      <c r="A59" s="126" t="s">
        <v>1440</v>
      </c>
    </row>
    <row r="60" spans="1:1">
      <c r="A60" s="126" t="s">
        <v>1444</v>
      </c>
    </row>
    <row r="61" spans="1:1">
      <c r="A61" s="126" t="s">
        <v>1453</v>
      </c>
    </row>
    <row r="62" spans="1:1">
      <c r="A62" s="126" t="s">
        <v>1460</v>
      </c>
    </row>
    <row r="63" spans="1:1">
      <c r="A63" s="126" t="s">
        <v>1466</v>
      </c>
    </row>
    <row r="64" spans="1:1">
      <c r="A64" s="126" t="s">
        <v>1467</v>
      </c>
    </row>
    <row r="65" spans="1:1">
      <c r="A65" s="126" t="s">
        <v>1472</v>
      </c>
    </row>
    <row r="66" spans="1:1">
      <c r="A66" s="126" t="s">
        <v>1480</v>
      </c>
    </row>
    <row r="67" spans="1:1">
      <c r="A67" s="126" t="s">
        <v>1498</v>
      </c>
    </row>
    <row r="68" spans="1:1">
      <c r="A68" s="126" t="s">
        <v>1503</v>
      </c>
    </row>
    <row r="69" spans="1:1">
      <c r="A69" s="126" t="s">
        <v>1515</v>
      </c>
    </row>
    <row r="70" spans="1:1">
      <c r="A70" s="126" t="s">
        <v>1523</v>
      </c>
    </row>
    <row r="71" spans="1:1">
      <c r="A71" s="126" t="s">
        <v>1529</v>
      </c>
    </row>
    <row r="72" spans="1:1">
      <c r="A72" s="126" t="s">
        <v>1531</v>
      </c>
    </row>
    <row r="73" spans="1:1">
      <c r="A73" s="126" t="s">
        <v>1537</v>
      </c>
    </row>
    <row r="74" spans="1:1">
      <c r="A74" s="126" t="s">
        <v>1565</v>
      </c>
    </row>
    <row r="75" spans="1:1">
      <c r="A75" s="126" t="s">
        <v>1590</v>
      </c>
    </row>
    <row r="76" spans="1:1">
      <c r="A76" s="107" t="s">
        <v>943</v>
      </c>
    </row>
    <row r="77" spans="1:1">
      <c r="A77" s="123" t="s">
        <v>944</v>
      </c>
    </row>
    <row r="78" spans="1:1">
      <c r="A78" s="123" t="s">
        <v>945</v>
      </c>
    </row>
    <row r="79" spans="1:1">
      <c r="A79" s="123" t="s">
        <v>946</v>
      </c>
    </row>
    <row r="80" spans="1:1">
      <c r="A80" s="123" t="s">
        <v>947</v>
      </c>
    </row>
    <row r="82" spans="1:1">
      <c r="A82" s="107" t="s">
        <v>948</v>
      </c>
    </row>
    <row r="83" spans="1:1">
      <c r="A83" s="123" t="s">
        <v>949</v>
      </c>
    </row>
    <row r="84" spans="1:1">
      <c r="A84" s="123" t="s">
        <v>950</v>
      </c>
    </row>
    <row r="85" spans="1:1">
      <c r="A85" s="123" t="s">
        <v>951</v>
      </c>
    </row>
    <row r="86" spans="1:1">
      <c r="A86" s="123" t="s">
        <v>952</v>
      </c>
    </row>
    <row r="87" spans="1:1">
      <c r="A87" s="123" t="s">
        <v>953</v>
      </c>
    </row>
    <row r="89" spans="1:1">
      <c r="A89" s="107" t="s">
        <v>954</v>
      </c>
    </row>
    <row r="90" spans="1:1">
      <c r="A90" s="123" t="s">
        <v>1591</v>
      </c>
    </row>
    <row r="91" spans="1:1">
      <c r="A91" s="123" t="s">
        <v>1494</v>
      </c>
    </row>
    <row r="92" spans="1:1">
      <c r="A92" s="123" t="s">
        <v>955</v>
      </c>
    </row>
    <row r="93" spans="1:1">
      <c r="A93" s="123" t="s">
        <v>1459</v>
      </c>
    </row>
    <row r="94" spans="1:1">
      <c r="A94" s="123" t="s">
        <v>1326</v>
      </c>
    </row>
    <row r="95" spans="1:1">
      <c r="A95" s="123" t="s">
        <v>1428</v>
      </c>
    </row>
    <row r="97" spans="1:1">
      <c r="A97" s="107" t="s">
        <v>956</v>
      </c>
    </row>
    <row r="98" spans="1:1">
      <c r="A98" s="123" t="s">
        <v>1429</v>
      </c>
    </row>
    <row r="99" spans="1:1">
      <c r="A99" s="123" t="s">
        <v>957</v>
      </c>
    </row>
    <row r="100" spans="1:1">
      <c r="A100" s="123" t="s">
        <v>958</v>
      </c>
    </row>
    <row r="101" spans="1:1">
      <c r="A101"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1615</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1451</v>
      </c>
      <c r="K22" s="115" t="s">
        <v>583</v>
      </c>
      <c r="L22" s="114"/>
      <c r="M22" s="114"/>
      <c r="N22" s="114"/>
    </row>
    <row r="23" spans="1:14" ht="30" customHeight="1">
      <c r="A23" s="114">
        <v>4</v>
      </c>
      <c r="B23" s="115" t="s">
        <v>1395</v>
      </c>
      <c r="C23" s="114" t="s">
        <v>354</v>
      </c>
      <c r="D23" s="114">
        <v>20</v>
      </c>
      <c r="E23" s="114">
        <v>3</v>
      </c>
      <c r="F23" s="114" t="s">
        <v>350</v>
      </c>
      <c r="G23" s="114">
        <v>40</v>
      </c>
      <c r="H23" s="114">
        <v>90</v>
      </c>
      <c r="I23" s="114">
        <f t="shared" si="0"/>
        <v>6.5</v>
      </c>
      <c r="J23" s="115" t="s">
        <v>1446</v>
      </c>
      <c r="K23" s="115" t="s">
        <v>1396</v>
      </c>
      <c r="L23" s="114"/>
      <c r="M23" s="114"/>
      <c r="N23" s="114"/>
    </row>
    <row r="24" spans="1:14" ht="30" customHeight="1">
      <c r="A24" s="114">
        <v>5</v>
      </c>
      <c r="B24" s="135" t="s">
        <v>1455</v>
      </c>
      <c r="C24" s="114" t="s">
        <v>354</v>
      </c>
      <c r="D24" s="114">
        <v>8</v>
      </c>
      <c r="E24" s="114">
        <v>3</v>
      </c>
      <c r="F24" s="114" t="s">
        <v>289</v>
      </c>
      <c r="G24" s="114">
        <v>40</v>
      </c>
      <c r="H24" s="114">
        <v>60</v>
      </c>
      <c r="I24" s="114">
        <f t="shared" si="0"/>
        <v>6</v>
      </c>
      <c r="J24" s="115" t="s">
        <v>1397</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1402</v>
      </c>
      <c r="K25" s="115" t="s">
        <v>971</v>
      </c>
      <c r="L25" s="114"/>
      <c r="M25" s="114"/>
      <c r="N25" s="114">
        <v>60</v>
      </c>
    </row>
    <row r="26" spans="1:14" ht="30" customHeight="1">
      <c r="A26" s="114">
        <v>7</v>
      </c>
      <c r="B26" s="115" t="s">
        <v>1574</v>
      </c>
      <c r="C26" s="114" t="s">
        <v>285</v>
      </c>
      <c r="D26" s="114">
        <v>10</v>
      </c>
      <c r="E26" s="114">
        <v>2</v>
      </c>
      <c r="F26" s="114" t="s">
        <v>1575</v>
      </c>
      <c r="G26" s="114">
        <v>60</v>
      </c>
      <c r="H26" s="114">
        <v>60</v>
      </c>
      <c r="I26" s="114">
        <f>IF(E26=0,0,ROUND((E26*(G26+H26)+N26)/60,1))</f>
        <v>4</v>
      </c>
      <c r="J26" s="115" t="s">
        <v>1576</v>
      </c>
      <c r="K26" s="115" t="s">
        <v>1577</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972</v>
      </c>
      <c r="K27" s="115" t="s">
        <v>973</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974</v>
      </c>
      <c r="K28" s="115" t="s">
        <v>975</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976</v>
      </c>
      <c r="K29" s="115" t="s">
        <v>977</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978</v>
      </c>
      <c r="K30" s="115" t="s">
        <v>979</v>
      </c>
      <c r="L30" s="114"/>
      <c r="M30" s="114"/>
      <c r="N30" s="114"/>
    </row>
    <row r="31" spans="1:14">
      <c r="A31" s="116"/>
      <c r="B31" s="116"/>
      <c r="C31" s="116"/>
      <c r="D31" s="116" t="s">
        <v>321</v>
      </c>
      <c r="E31" s="116">
        <f>SUM(E20:E30)</f>
        <v>45</v>
      </c>
      <c r="F31" s="116"/>
      <c r="G31" s="116"/>
      <c r="H31" s="116"/>
      <c r="I31" s="116">
        <f>ROUND(SUM(I20:I30),0)</f>
        <v>106</v>
      </c>
    </row>
    <row r="33" spans="1:1">
      <c r="A33" s="107" t="s">
        <v>980</v>
      </c>
    </row>
    <row r="34" spans="1:1">
      <c r="A34" s="117" t="s">
        <v>981</v>
      </c>
    </row>
    <row r="35" spans="1:1">
      <c r="A35" s="117" t="s">
        <v>1474</v>
      </c>
    </row>
    <row r="36" spans="1:1">
      <c r="A36" s="117" t="s">
        <v>1399</v>
      </c>
    </row>
    <row r="37" spans="1:1">
      <c r="A37" s="117" t="s">
        <v>982</v>
      </c>
    </row>
    <row r="38" spans="1:1">
      <c r="A38" s="117" t="s">
        <v>983</v>
      </c>
    </row>
    <row r="39" spans="1:1">
      <c r="A39" s="117" t="s">
        <v>984</v>
      </c>
    </row>
    <row r="41" spans="1:1">
      <c r="A41" s="107" t="s">
        <v>954</v>
      </c>
    </row>
    <row r="42" spans="1:1">
      <c r="A42" s="117" t="s">
        <v>1475</v>
      </c>
    </row>
    <row r="43" spans="1:1">
      <c r="A43" s="117" t="s">
        <v>985</v>
      </c>
    </row>
    <row r="44" spans="1:1">
      <c r="A44" s="117" t="s">
        <v>986</v>
      </c>
    </row>
    <row r="46" spans="1:1">
      <c r="A46" s="107" t="s">
        <v>987</v>
      </c>
    </row>
    <row r="47" spans="1:1">
      <c r="A47" s="117" t="s">
        <v>1476</v>
      </c>
    </row>
    <row r="48" spans="1:1">
      <c r="A48" s="117" t="s">
        <v>988</v>
      </c>
    </row>
    <row r="49" spans="1:3">
      <c r="A49" s="117" t="s">
        <v>989</v>
      </c>
    </row>
    <row r="51" spans="1:3">
      <c r="C51" s="118" t="s">
        <v>990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991</v>
      </c>
    </row>
    <row r="4" spans="1:14">
      <c r="A4" s="107" t="s">
        <v>992</v>
      </c>
    </row>
    <row r="5" spans="1:14">
      <c r="A5" s="110" t="s">
        <v>1524</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1323</v>
      </c>
      <c r="C11" s="114" t="s">
        <v>1516</v>
      </c>
      <c r="D11" s="144">
        <f>시작중량_설정!$E$11</f>
        <v>60</v>
      </c>
      <c r="E11" s="114">
        <v>4</v>
      </c>
      <c r="F11" s="114">
        <v>8</v>
      </c>
      <c r="G11" s="114">
        <v>40</v>
      </c>
      <c r="H11" s="114">
        <v>150</v>
      </c>
      <c r="I11" s="114">
        <f t="shared" ref="I11:I21" si="0">IF(E11=0,0,ROUND((E11*(G11+H11)+N11)/60,1))</f>
        <v>12.7</v>
      </c>
      <c r="J11" s="115" t="s">
        <v>1603</v>
      </c>
      <c r="K11" s="115" t="s">
        <v>1517</v>
      </c>
      <c r="L11" s="114" t="s">
        <v>1519</v>
      </c>
      <c r="M11" s="114"/>
      <c r="N11" s="114"/>
    </row>
    <row r="12" spans="1:14" ht="30" customHeight="1">
      <c r="A12" s="114">
        <v>2</v>
      </c>
      <c r="B12" s="115" t="s">
        <v>1504</v>
      </c>
      <c r="C12" s="114" t="s">
        <v>1516</v>
      </c>
      <c r="D12" s="114">
        <v>18</v>
      </c>
      <c r="E12" s="114">
        <v>3</v>
      </c>
      <c r="F12" s="114" t="s">
        <v>1520</v>
      </c>
      <c r="G12" s="114">
        <v>40</v>
      </c>
      <c r="H12" s="114">
        <v>150</v>
      </c>
      <c r="I12" s="114">
        <f t="shared" si="0"/>
        <v>9.5</v>
      </c>
      <c r="J12" s="134" t="s">
        <v>1521</v>
      </c>
      <c r="K12" s="115" t="s">
        <v>1505</v>
      </c>
      <c r="L12" s="114" t="s">
        <v>1518</v>
      </c>
      <c r="M12" s="114"/>
      <c r="N12" s="114"/>
    </row>
    <row r="13" spans="1:14" ht="30" customHeight="1">
      <c r="A13" s="114">
        <v>3</v>
      </c>
      <c r="B13" s="115" t="s">
        <v>1255</v>
      </c>
      <c r="C13" s="114" t="s">
        <v>1256</v>
      </c>
      <c r="D13" s="114">
        <v>55</v>
      </c>
      <c r="E13" s="114">
        <v>2</v>
      </c>
      <c r="F13" s="114" t="s">
        <v>1257</v>
      </c>
      <c r="G13" s="114">
        <v>40</v>
      </c>
      <c r="H13" s="114">
        <v>120</v>
      </c>
      <c r="I13" s="114">
        <f t="shared" ref="I13" si="1">IF(E13=0,0,ROUND((E13*(G13+H13)+N13)/60,1))</f>
        <v>5.3</v>
      </c>
      <c r="J13" s="115" t="s">
        <v>1535</v>
      </c>
      <c r="K13" s="115" t="s">
        <v>1258</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1456</v>
      </c>
      <c r="K14" s="115" t="s">
        <v>995</v>
      </c>
      <c r="L14" s="114"/>
      <c r="M14" s="114"/>
      <c r="N14" s="114"/>
    </row>
    <row r="15" spans="1:14" ht="30" customHeight="1">
      <c r="A15" s="114">
        <v>5</v>
      </c>
      <c r="B15" s="115" t="s">
        <v>1533</v>
      </c>
      <c r="C15" s="114" t="s">
        <v>282</v>
      </c>
      <c r="D15" s="144">
        <f>시작중량_설정!$E$18</f>
        <v>50</v>
      </c>
      <c r="E15" s="114">
        <v>3</v>
      </c>
      <c r="F15" s="114">
        <v>15</v>
      </c>
      <c r="G15" s="114">
        <v>40</v>
      </c>
      <c r="H15" s="114">
        <v>75</v>
      </c>
      <c r="I15" s="114">
        <f t="shared" si="0"/>
        <v>6.8</v>
      </c>
      <c r="J15" s="115" t="s">
        <v>1638</v>
      </c>
      <c r="K15" s="115" t="s">
        <v>1534</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996</v>
      </c>
      <c r="K16" s="115" t="s">
        <v>997</v>
      </c>
      <c r="L16" s="114"/>
      <c r="M16" s="114"/>
      <c r="N16" s="114"/>
    </row>
    <row r="17" spans="1:14" ht="30" customHeight="1">
      <c r="A17" s="114">
        <v>7</v>
      </c>
      <c r="B17" s="115" t="s">
        <v>1462</v>
      </c>
      <c r="C17" s="114" t="s">
        <v>345</v>
      </c>
      <c r="D17" s="114">
        <v>20</v>
      </c>
      <c r="E17" s="114">
        <v>5</v>
      </c>
      <c r="F17" s="114" t="s">
        <v>274</v>
      </c>
      <c r="G17" s="114">
        <v>40</v>
      </c>
      <c r="H17" s="114">
        <v>75</v>
      </c>
      <c r="I17" s="114">
        <f t="shared" si="0"/>
        <v>10.6</v>
      </c>
      <c r="J17" s="115" t="s">
        <v>1573</v>
      </c>
      <c r="K17" s="115" t="s">
        <v>1463</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998</v>
      </c>
      <c r="K18" s="115" t="s">
        <v>999</v>
      </c>
      <c r="L18" s="114"/>
      <c r="M18" s="114"/>
      <c r="N18" s="114">
        <v>60</v>
      </c>
    </row>
    <row r="19" spans="1:14" ht="30" customHeight="1">
      <c r="A19" s="114">
        <v>9</v>
      </c>
      <c r="B19" s="115" t="s">
        <v>1000</v>
      </c>
      <c r="C19" s="114" t="s">
        <v>295</v>
      </c>
      <c r="D19" s="114">
        <v>15</v>
      </c>
      <c r="E19" s="114">
        <v>3</v>
      </c>
      <c r="F19" s="114">
        <v>15</v>
      </c>
      <c r="G19" s="114">
        <v>40</v>
      </c>
      <c r="H19" s="114">
        <v>10</v>
      </c>
      <c r="I19" s="114">
        <f t="shared" si="0"/>
        <v>2.5</v>
      </c>
      <c r="J19" s="115" t="s">
        <v>1337</v>
      </c>
      <c r="K19" s="115" t="s">
        <v>1001</v>
      </c>
      <c r="L19" s="114"/>
      <c r="M19" s="114" t="s">
        <v>391</v>
      </c>
      <c r="N19" s="114"/>
    </row>
    <row r="20" spans="1:14" ht="30" customHeight="1">
      <c r="A20" s="114">
        <v>10</v>
      </c>
      <c r="B20" s="115" t="s">
        <v>594</v>
      </c>
      <c r="C20" s="114" t="s">
        <v>295</v>
      </c>
      <c r="D20" s="114">
        <v>15</v>
      </c>
      <c r="E20" s="114">
        <v>3</v>
      </c>
      <c r="F20" s="114">
        <v>15</v>
      </c>
      <c r="G20" s="114">
        <v>40</v>
      </c>
      <c r="H20" s="114">
        <v>60</v>
      </c>
      <c r="I20" s="114">
        <f t="shared" si="0"/>
        <v>5</v>
      </c>
      <c r="J20" s="115" t="s">
        <v>1002</v>
      </c>
      <c r="K20" s="115" t="s">
        <v>1003</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1507</v>
      </c>
      <c r="K21" s="115" t="s">
        <v>1004</v>
      </c>
      <c r="L21" s="114"/>
      <c r="M21" s="114"/>
      <c r="N21" s="114"/>
    </row>
    <row r="22" spans="1:14">
      <c r="A22" s="116"/>
      <c r="B22" s="116"/>
      <c r="C22" s="116"/>
      <c r="D22" s="116" t="s">
        <v>321</v>
      </c>
      <c r="E22" s="116">
        <f>SUM(E11:E21)</f>
        <v>36</v>
      </c>
      <c r="F22" s="116"/>
      <c r="G22" s="116"/>
      <c r="H22" s="116"/>
      <c r="I22" s="116">
        <f>ROUND(SUM(I11:I21),0)</f>
        <v>83</v>
      </c>
    </row>
    <row r="24" spans="1:14">
      <c r="A24" s="107" t="s">
        <v>1005</v>
      </c>
    </row>
    <row r="25" spans="1:14">
      <c r="A25" s="117" t="s">
        <v>1006</v>
      </c>
    </row>
    <row r="26" spans="1:14">
      <c r="A26" s="117" t="s">
        <v>1007</v>
      </c>
    </row>
    <row r="27" spans="1:14">
      <c r="A27" s="117" t="s">
        <v>1008</v>
      </c>
    </row>
    <row r="28" spans="1:14">
      <c r="A28" s="117" t="s">
        <v>1526</v>
      </c>
    </row>
    <row r="29" spans="1:14">
      <c r="A29" s="117" t="s">
        <v>1009</v>
      </c>
    </row>
    <row r="31" spans="1:14">
      <c r="A31" s="107" t="s">
        <v>1010</v>
      </c>
    </row>
    <row r="32" spans="1:14">
      <c r="A32" s="117" t="s">
        <v>1011</v>
      </c>
    </row>
    <row r="33" spans="1:1">
      <c r="A33" s="117" t="s">
        <v>1259</v>
      </c>
    </row>
    <row r="34" spans="1:1">
      <c r="A34" s="117" t="s">
        <v>1012</v>
      </c>
    </row>
    <row r="36" spans="1:1">
      <c r="A36" s="107" t="s">
        <v>954</v>
      </c>
    </row>
    <row r="37" spans="1:1">
      <c r="A37" s="117" t="s">
        <v>1457</v>
      </c>
    </row>
    <row r="38" spans="1:1">
      <c r="A38" s="117" t="s">
        <v>1013</v>
      </c>
    </row>
    <row r="39" spans="1:1">
      <c r="A39" s="117" t="s">
        <v>1522</v>
      </c>
    </row>
    <row r="41" spans="1:1">
      <c r="A41" s="107" t="s">
        <v>987</v>
      </c>
    </row>
    <row r="42" spans="1:1">
      <c r="A42" s="117" t="s">
        <v>1536</v>
      </c>
    </row>
    <row r="43" spans="1:1">
      <c r="A43" s="117" t="s">
        <v>1014</v>
      </c>
    </row>
    <row r="44" spans="1:1">
      <c r="A44" s="117" t="s">
        <v>1506</v>
      </c>
    </row>
    <row r="45" spans="1:1">
      <c r="A45" s="117" t="s">
        <v>1260</v>
      </c>
    </row>
    <row r="46" spans="1:1">
      <c r="A46" s="117" t="s">
        <v>1015</v>
      </c>
    </row>
    <row r="47" spans="1:1">
      <c r="A47" s="117" t="s">
        <v>989</v>
      </c>
    </row>
    <row r="49" spans="3:3">
      <c r="C49" s="118" t="s">
        <v>1016</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1391</v>
      </c>
    </row>
    <row r="2" spans="1:5">
      <c r="A2" t="s">
        <v>1372</v>
      </c>
    </row>
    <row r="4" spans="1:5">
      <c r="A4" s="99" t="s">
        <v>1392</v>
      </c>
    </row>
    <row r="5" spans="1:5">
      <c r="A5" s="140" t="s">
        <v>1373</v>
      </c>
      <c r="B5" s="140" t="s">
        <v>1374</v>
      </c>
      <c r="C5" s="140" t="s">
        <v>1375</v>
      </c>
      <c r="D5" s="140" t="s">
        <v>1376</v>
      </c>
      <c r="E5" s="140" t="s">
        <v>1271</v>
      </c>
    </row>
    <row r="6" spans="1:5">
      <c r="A6" s="139">
        <v>46301</v>
      </c>
      <c r="B6" t="s">
        <v>1377</v>
      </c>
      <c r="C6" t="s">
        <v>1378</v>
      </c>
      <c r="D6" t="s">
        <v>28</v>
      </c>
      <c r="E6" t="s">
        <v>1379</v>
      </c>
    </row>
    <row r="7" spans="1:5">
      <c r="A7" s="139">
        <v>46307</v>
      </c>
      <c r="B7" t="s">
        <v>1380</v>
      </c>
      <c r="C7" t="s">
        <v>1378</v>
      </c>
      <c r="D7" t="s">
        <v>28</v>
      </c>
      <c r="E7" t="s">
        <v>1379</v>
      </c>
    </row>
    <row r="8" spans="1:5">
      <c r="A8" s="139">
        <v>46319</v>
      </c>
      <c r="B8" t="s">
        <v>1380</v>
      </c>
      <c r="C8" t="s">
        <v>1378</v>
      </c>
      <c r="D8" t="s">
        <v>1381</v>
      </c>
      <c r="E8" t="s">
        <v>1379</v>
      </c>
    </row>
    <row r="10" spans="1:5">
      <c r="A10" s="99" t="s">
        <v>1266</v>
      </c>
    </row>
    <row r="11" spans="1:5">
      <c r="A11" t="s">
        <v>1382</v>
      </c>
    </row>
    <row r="12" spans="1:5">
      <c r="A12" t="s">
        <v>1383</v>
      </c>
    </row>
    <row r="13" spans="1:5">
      <c r="A13" t="s">
        <v>1384</v>
      </c>
    </row>
    <row r="14" spans="1:5">
      <c r="A14" t="s">
        <v>1385</v>
      </c>
    </row>
    <row r="15" spans="1:5">
      <c r="A15" t="s">
        <v>1386</v>
      </c>
    </row>
    <row r="16" spans="1:5">
      <c r="A16" t="s">
        <v>1387</v>
      </c>
    </row>
    <row r="17" spans="1:1">
      <c r="A17" t="s">
        <v>1388</v>
      </c>
    </row>
    <row r="18" spans="1:1">
      <c r="A18" t="s">
        <v>1389</v>
      </c>
    </row>
    <row r="19" spans="1:1">
      <c r="A19" t="s">
        <v>1390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1483</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1554</v>
      </c>
      <c r="K18" s="113" t="s">
        <v>1017</v>
      </c>
      <c r="L18" s="112" t="s">
        <v>1018</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1604</v>
      </c>
      <c r="K19" s="115" t="s">
        <v>1019</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1020</v>
      </c>
      <c r="K20" s="115" t="s">
        <v>1021</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1022</v>
      </c>
      <c r="K21" s="115" t="s">
        <v>1023</v>
      </c>
      <c r="L21" s="114" t="s">
        <v>1024</v>
      </c>
      <c r="M21" s="114"/>
      <c r="N21" s="114"/>
    </row>
    <row r="22" spans="1:14" ht="30" customHeight="1">
      <c r="A22" s="114">
        <v>5</v>
      </c>
      <c r="B22" s="115" t="s">
        <v>1025</v>
      </c>
      <c r="C22" s="114" t="s">
        <v>354</v>
      </c>
      <c r="D22" s="114">
        <v>5</v>
      </c>
      <c r="E22" s="114">
        <v>4</v>
      </c>
      <c r="F22" s="114" t="s">
        <v>304</v>
      </c>
      <c r="G22" s="114">
        <v>60</v>
      </c>
      <c r="H22" s="114">
        <v>60</v>
      </c>
      <c r="I22" s="114">
        <f t="shared" si="0"/>
        <v>8</v>
      </c>
      <c r="J22" s="115" t="s">
        <v>1232</v>
      </c>
      <c r="K22" s="115" t="s">
        <v>1026</v>
      </c>
      <c r="L22" s="114"/>
      <c r="M22" s="114"/>
      <c r="N22" s="114"/>
    </row>
    <row r="23" spans="1:14" ht="30" customHeight="1">
      <c r="A23" s="114">
        <v>6</v>
      </c>
      <c r="B23" s="115" t="s">
        <v>1237</v>
      </c>
      <c r="C23" s="114" t="s">
        <v>1242</v>
      </c>
      <c r="D23" s="114">
        <v>10</v>
      </c>
      <c r="E23" s="114">
        <v>3</v>
      </c>
      <c r="F23" s="114" t="s">
        <v>1238</v>
      </c>
      <c r="G23" s="114">
        <v>60</v>
      </c>
      <c r="H23" s="114">
        <v>60</v>
      </c>
      <c r="I23" s="114">
        <f>IF(E23=0,0,ROUND((E23*(G23+H23)+N23)/60,1))</f>
        <v>6</v>
      </c>
      <c r="J23" s="115" t="s">
        <v>1239</v>
      </c>
      <c r="K23" s="115" t="s">
        <v>1243</v>
      </c>
      <c r="L23" s="114"/>
      <c r="M23" s="114"/>
      <c r="N23" s="114"/>
    </row>
    <row r="24" spans="1:14" ht="30" customHeight="1">
      <c r="A24" s="114">
        <v>7</v>
      </c>
      <c r="B24" s="135" t="s">
        <v>1341</v>
      </c>
      <c r="C24" s="114" t="s">
        <v>1233</v>
      </c>
      <c r="D24" s="114">
        <v>8</v>
      </c>
      <c r="E24" s="114">
        <v>3</v>
      </c>
      <c r="F24" s="114" t="s">
        <v>1234</v>
      </c>
      <c r="G24" s="114">
        <v>40</v>
      </c>
      <c r="H24" s="114">
        <v>60</v>
      </c>
      <c r="I24" s="114">
        <f>IF(E24=0,0,ROUND((E24*(G24+H24)+N24)/60,1))</f>
        <v>6</v>
      </c>
      <c r="J24" s="115" t="s">
        <v>1235</v>
      </c>
      <c r="K24" s="115" t="s">
        <v>1236</v>
      </c>
      <c r="L24" s="114"/>
      <c r="M24" s="114"/>
      <c r="N24" s="114">
        <v>60</v>
      </c>
    </row>
    <row r="25" spans="1:14" ht="30" customHeight="1">
      <c r="A25" s="114">
        <v>8</v>
      </c>
      <c r="B25" s="115" t="s">
        <v>1244</v>
      </c>
      <c r="C25" s="114" t="s">
        <v>1242</v>
      </c>
      <c r="D25" s="114">
        <v>35</v>
      </c>
      <c r="E25" s="114">
        <v>4</v>
      </c>
      <c r="F25" s="114" t="s">
        <v>1234</v>
      </c>
      <c r="G25" s="114">
        <v>40</v>
      </c>
      <c r="H25" s="114">
        <v>60</v>
      </c>
      <c r="I25" s="114">
        <f>IF(E25=0,0,ROUND((E25*(G25+H25)+N25)/60,1))</f>
        <v>6.7</v>
      </c>
      <c r="J25" s="115" t="s">
        <v>1324</v>
      </c>
      <c r="K25" s="115" t="s">
        <v>1245</v>
      </c>
      <c r="L25" s="114"/>
      <c r="M25" s="114"/>
      <c r="N25" s="114"/>
    </row>
    <row r="26" spans="1:14" ht="30" customHeight="1">
      <c r="A26" s="114">
        <v>9</v>
      </c>
      <c r="B26" s="115" t="s">
        <v>1578</v>
      </c>
      <c r="C26" s="114" t="s">
        <v>285</v>
      </c>
      <c r="D26" s="144">
        <f>시작중량_설정!$E$19</f>
        <v>0</v>
      </c>
      <c r="E26" s="114">
        <v>4</v>
      </c>
      <c r="F26" s="114">
        <v>15</v>
      </c>
      <c r="G26" s="114">
        <v>40</v>
      </c>
      <c r="H26" s="114">
        <v>60</v>
      </c>
      <c r="I26" s="114">
        <f>IF(E26=0,0,ROUND((E26*(G26+H26)+N26)/60,1))</f>
        <v>6.7</v>
      </c>
      <c r="J26" s="115" t="s">
        <v>1643</v>
      </c>
      <c r="K26" s="115" t="s">
        <v>1579</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1481</v>
      </c>
      <c r="K27" s="115" t="s">
        <v>1046</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1482</v>
      </c>
      <c r="K28" s="115" t="s">
        <v>1047</v>
      </c>
      <c r="L28" s="114"/>
      <c r="M28" s="114"/>
      <c r="N28" s="114"/>
    </row>
    <row r="29" spans="1:14">
      <c r="A29" s="116"/>
      <c r="B29" s="116"/>
      <c r="C29" s="116"/>
      <c r="D29" s="116" t="s">
        <v>321</v>
      </c>
      <c r="E29" s="116">
        <f>SUM(E18:E28)</f>
        <v>37</v>
      </c>
      <c r="F29" s="116"/>
      <c r="G29" s="116"/>
      <c r="H29" s="116"/>
      <c r="I29" s="116">
        <f>ROUND(SUM(I18:I28),0)</f>
        <v>84</v>
      </c>
    </row>
    <row r="31" spans="1:14">
      <c r="A31" s="107" t="s">
        <v>1027</v>
      </c>
    </row>
    <row r="32" spans="1:14">
      <c r="A32" s="117" t="s">
        <v>981</v>
      </c>
    </row>
    <row r="33" spans="1:1">
      <c r="A33" s="117" t="s">
        <v>1028</v>
      </c>
    </row>
    <row r="34" spans="1:1">
      <c r="A34" s="117" t="s">
        <v>1029</v>
      </c>
    </row>
    <row r="35" spans="1:1">
      <c r="A35" s="117" t="s">
        <v>1030</v>
      </c>
    </row>
    <row r="37" spans="1:1">
      <c r="A37" s="107" t="s">
        <v>1031</v>
      </c>
    </row>
    <row r="38" spans="1:1">
      <c r="A38" s="117" t="s">
        <v>1032</v>
      </c>
    </row>
    <row r="39" spans="1:1">
      <c r="A39" s="117" t="s">
        <v>1033</v>
      </c>
    </row>
    <row r="41" spans="1:1">
      <c r="A41" s="107" t="s">
        <v>954</v>
      </c>
    </row>
    <row r="42" spans="1:1">
      <c r="A42" s="117" t="s">
        <v>1497</v>
      </c>
    </row>
    <row r="43" spans="1:1">
      <c r="A43" s="117" t="s">
        <v>1034</v>
      </c>
    </row>
    <row r="44" spans="1:1">
      <c r="A44" s="117" t="s">
        <v>1484</v>
      </c>
    </row>
    <row r="46" spans="1:1">
      <c r="A46" s="107" t="s">
        <v>1240</v>
      </c>
    </row>
    <row r="47" spans="1:1">
      <c r="A47" s="117" t="s">
        <v>1241</v>
      </c>
    </row>
    <row r="48" spans="1:1">
      <c r="A48" s="117" t="s">
        <v>1035</v>
      </c>
    </row>
    <row r="50" spans="3:3">
      <c r="C50" s="118" t="s">
        <v>1246</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1485</v>
      </c>
    </row>
    <row r="4" spans="1:14">
      <c r="A4" s="107" t="s">
        <v>992</v>
      </c>
    </row>
    <row r="5" spans="1:14">
      <c r="A5" s="110" t="s">
        <v>1435</v>
      </c>
    </row>
    <row r="6" spans="1:14">
      <c r="A6" s="110" t="s">
        <v>1436</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1628</v>
      </c>
      <c r="K11" s="115" t="s">
        <v>1078</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1415</v>
      </c>
      <c r="K12" s="115" t="s">
        <v>1079</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1416</v>
      </c>
      <c r="K13" s="115" t="s">
        <v>975</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1434</v>
      </c>
      <c r="K14" s="115" t="s">
        <v>977</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1473</v>
      </c>
      <c r="K15" s="115" t="s">
        <v>968</v>
      </c>
      <c r="L15" s="114"/>
      <c r="M15" s="114"/>
      <c r="N15" s="114"/>
    </row>
    <row r="16" spans="1:14" ht="30" customHeight="1">
      <c r="A16" s="114">
        <v>6</v>
      </c>
      <c r="B16" s="115" t="s">
        <v>588</v>
      </c>
      <c r="C16" s="114" t="s">
        <v>345</v>
      </c>
      <c r="D16" s="114">
        <v>15</v>
      </c>
      <c r="E16" s="114">
        <v>4</v>
      </c>
      <c r="F16" s="114" t="s">
        <v>274</v>
      </c>
      <c r="G16" s="114">
        <v>40</v>
      </c>
      <c r="H16" s="114">
        <v>75</v>
      </c>
      <c r="I16" s="114">
        <f t="shared" ref="I16:I23" si="1">IF(E16=0,0,ROUND((E16*(G16+H16)+N16)/60,1))</f>
        <v>8.6999999999999993</v>
      </c>
      <c r="J16" s="115" t="s">
        <v>1570</v>
      </c>
      <c r="K16" s="115" t="s">
        <v>1468</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1325</v>
      </c>
      <c r="K17" s="115" t="s">
        <v>1036</v>
      </c>
      <c r="L17" s="114"/>
      <c r="M17" s="114"/>
      <c r="N17" s="114"/>
    </row>
    <row r="18" spans="1:14" ht="30" customHeight="1">
      <c r="A18" s="114">
        <v>8</v>
      </c>
      <c r="B18" s="115" t="s">
        <v>1406</v>
      </c>
      <c r="C18" s="114" t="s">
        <v>269</v>
      </c>
      <c r="D18" s="114">
        <v>8</v>
      </c>
      <c r="E18" s="114">
        <v>3</v>
      </c>
      <c r="F18" s="114" t="s">
        <v>274</v>
      </c>
      <c r="G18" s="114">
        <v>40</v>
      </c>
      <c r="H18" s="114">
        <v>75</v>
      </c>
      <c r="I18" s="114">
        <f t="shared" si="1"/>
        <v>5.8</v>
      </c>
      <c r="J18" s="115" t="s">
        <v>1408</v>
      </c>
      <c r="K18" s="115" t="s">
        <v>1407</v>
      </c>
      <c r="L18" s="114"/>
      <c r="M18" s="114"/>
      <c r="N18" s="114"/>
    </row>
    <row r="19" spans="1:14" ht="30" customHeight="1">
      <c r="A19" s="114">
        <v>9</v>
      </c>
      <c r="B19" s="115" t="s">
        <v>439</v>
      </c>
      <c r="C19" s="114" t="s">
        <v>295</v>
      </c>
      <c r="D19" s="114">
        <v>15</v>
      </c>
      <c r="E19" s="114">
        <v>3</v>
      </c>
      <c r="F19" s="114" t="s">
        <v>303</v>
      </c>
      <c r="G19" s="114">
        <v>40</v>
      </c>
      <c r="H19" s="114">
        <v>70</v>
      </c>
      <c r="I19" s="114">
        <f t="shared" si="1"/>
        <v>5.5</v>
      </c>
      <c r="J19" s="115" t="s">
        <v>1037</v>
      </c>
      <c r="K19" s="115" t="s">
        <v>1038</v>
      </c>
      <c r="L19" s="114"/>
      <c r="M19" s="114"/>
      <c r="N19" s="114"/>
    </row>
    <row r="20" spans="1:14" ht="30" customHeight="1">
      <c r="A20" s="114">
        <v>10</v>
      </c>
      <c r="B20" s="115" t="s">
        <v>1000</v>
      </c>
      <c r="C20" s="114" t="s">
        <v>295</v>
      </c>
      <c r="D20" s="114">
        <v>10</v>
      </c>
      <c r="E20" s="114">
        <v>0</v>
      </c>
      <c r="F20" s="114">
        <v>15</v>
      </c>
      <c r="G20" s="114">
        <v>40</v>
      </c>
      <c r="H20" s="114">
        <v>10</v>
      </c>
      <c r="I20" s="114">
        <f t="shared" si="1"/>
        <v>0</v>
      </c>
      <c r="J20" s="115" t="s">
        <v>1338</v>
      </c>
      <c r="K20" s="115" t="s">
        <v>1001</v>
      </c>
      <c r="L20" s="114"/>
      <c r="M20" s="114" t="s">
        <v>391</v>
      </c>
      <c r="N20" s="114"/>
    </row>
    <row r="21" spans="1:14" ht="30" customHeight="1">
      <c r="A21" s="114">
        <v>11</v>
      </c>
      <c r="B21" s="115" t="s">
        <v>594</v>
      </c>
      <c r="C21" s="114" t="s">
        <v>295</v>
      </c>
      <c r="D21" s="114">
        <v>7.5</v>
      </c>
      <c r="E21" s="114">
        <v>3</v>
      </c>
      <c r="F21" s="114">
        <v>15</v>
      </c>
      <c r="G21" s="114">
        <v>40</v>
      </c>
      <c r="H21" s="114">
        <v>60</v>
      </c>
      <c r="I21" s="114">
        <f t="shared" si="1"/>
        <v>5</v>
      </c>
      <c r="J21" s="115" t="s">
        <v>1039</v>
      </c>
      <c r="K21" s="115" t="s">
        <v>1003</v>
      </c>
      <c r="L21" s="114"/>
      <c r="M21" s="114" t="s">
        <v>391</v>
      </c>
      <c r="N21" s="114"/>
    </row>
    <row r="22" spans="1:14" ht="30" customHeight="1">
      <c r="A22" s="114">
        <v>12</v>
      </c>
      <c r="B22" s="115" t="s">
        <v>1040</v>
      </c>
      <c r="C22" s="114" t="s">
        <v>912</v>
      </c>
      <c r="D22" s="114">
        <v>2.5</v>
      </c>
      <c r="E22" s="114">
        <v>3</v>
      </c>
      <c r="F22" s="114" t="s">
        <v>289</v>
      </c>
      <c r="G22" s="114">
        <v>40</v>
      </c>
      <c r="H22" s="114">
        <v>60</v>
      </c>
      <c r="I22" s="114">
        <f t="shared" si="1"/>
        <v>5</v>
      </c>
      <c r="J22" s="115" t="s">
        <v>1041</v>
      </c>
      <c r="K22" s="115" t="s">
        <v>1042</v>
      </c>
      <c r="L22" s="114"/>
      <c r="M22" s="114"/>
      <c r="N22" s="114"/>
    </row>
    <row r="23" spans="1:14" ht="30" customHeight="1">
      <c r="A23" s="114">
        <v>13</v>
      </c>
      <c r="B23" s="115" t="s">
        <v>1043</v>
      </c>
      <c r="C23" s="114" t="s">
        <v>912</v>
      </c>
      <c r="D23" s="114">
        <v>2.5</v>
      </c>
      <c r="E23" s="114">
        <v>3</v>
      </c>
      <c r="F23" s="114" t="s">
        <v>289</v>
      </c>
      <c r="G23" s="114">
        <v>40</v>
      </c>
      <c r="H23" s="114">
        <v>60</v>
      </c>
      <c r="I23" s="114">
        <f t="shared" si="1"/>
        <v>5</v>
      </c>
      <c r="J23" s="115" t="s">
        <v>1044</v>
      </c>
      <c r="K23" s="115" t="s">
        <v>1045</v>
      </c>
      <c r="L23" s="114"/>
      <c r="M23" s="114"/>
      <c r="N23" s="114"/>
    </row>
    <row r="24" spans="1:14">
      <c r="A24" s="116"/>
      <c r="B24" s="116"/>
      <c r="C24" s="116"/>
      <c r="D24" s="116" t="s">
        <v>321</v>
      </c>
      <c r="E24" s="116">
        <f>SUM(E11:E23)</f>
        <v>41</v>
      </c>
      <c r="F24" s="116"/>
      <c r="G24" s="116"/>
      <c r="H24" s="116"/>
      <c r="I24" s="116">
        <f>ROUND(SUM(I11:I23),0)</f>
        <v>82</v>
      </c>
    </row>
    <row r="26" spans="1:14">
      <c r="A26" s="107" t="s">
        <v>1418</v>
      </c>
    </row>
    <row r="27" spans="1:14">
      <c r="A27" s="117" t="s">
        <v>1486</v>
      </c>
    </row>
    <row r="28" spans="1:14">
      <c r="A28" s="117" t="s">
        <v>1048</v>
      </c>
    </row>
    <row r="29" spans="1:14">
      <c r="A29" s="117" t="s">
        <v>1049</v>
      </c>
    </row>
    <row r="31" spans="1:14">
      <c r="A31" s="107" t="s">
        <v>1487</v>
      </c>
    </row>
    <row r="32" spans="1:14">
      <c r="A32" s="117" t="s">
        <v>1050</v>
      </c>
    </row>
    <row r="33" spans="1:1">
      <c r="A33" s="117" t="s">
        <v>1051</v>
      </c>
    </row>
    <row r="34" spans="1:1">
      <c r="A34" s="117" t="s">
        <v>1052</v>
      </c>
    </row>
    <row r="35" spans="1:1">
      <c r="A35" s="117" t="s">
        <v>1053</v>
      </c>
    </row>
    <row r="36" spans="1:1">
      <c r="A36" s="117" t="s">
        <v>1054</v>
      </c>
    </row>
    <row r="38" spans="1:1">
      <c r="A38" s="107" t="s">
        <v>954</v>
      </c>
    </row>
    <row r="39" spans="1:1">
      <c r="A39" s="117" t="s">
        <v>1488</v>
      </c>
    </row>
    <row r="40" spans="1:1">
      <c r="A40" s="117" t="s">
        <v>1489</v>
      </c>
    </row>
    <row r="42" spans="1:1">
      <c r="A42" s="107" t="s">
        <v>1055</v>
      </c>
    </row>
    <row r="43" spans="1:1">
      <c r="A43" s="117" t="s">
        <v>1437</v>
      </c>
    </row>
    <row r="44" spans="1:1">
      <c r="A44" s="117" t="s">
        <v>1056</v>
      </c>
    </row>
    <row r="45" spans="1:1">
      <c r="A45" s="117" t="s">
        <v>1057</v>
      </c>
    </row>
    <row r="47" spans="1:1">
      <c r="A47" s="107" t="s">
        <v>987</v>
      </c>
    </row>
    <row r="48" spans="1:1">
      <c r="A48" s="117" t="s">
        <v>1058</v>
      </c>
    </row>
    <row r="49" spans="1:3">
      <c r="A49" s="117" t="s">
        <v>1059</v>
      </c>
    </row>
    <row r="50" spans="1:3">
      <c r="A50" s="117" t="s">
        <v>1060</v>
      </c>
    </row>
    <row r="51" spans="1:3">
      <c r="A51" s="117" t="s">
        <v>1061</v>
      </c>
    </row>
    <row r="52" spans="1:3">
      <c r="A52" s="117" t="s">
        <v>989</v>
      </c>
    </row>
    <row r="54" spans="1:3">
      <c r="C54" s="118" t="s">
        <v>1062</v>
      </c>
    </row>
    <row r="56" spans="1:3">
      <c r="A56" s="131" t="s">
        <v>1422</v>
      </c>
    </row>
    <row r="57" spans="1:3">
      <c r="A57" t="s">
        <v>1441</v>
      </c>
    </row>
    <row r="58" spans="1:3">
      <c r="A58" t="s">
        <v>1419</v>
      </c>
    </row>
    <row r="59" spans="1:3">
      <c r="A59" t="s">
        <v>1420</v>
      </c>
    </row>
    <row r="60" spans="1:3">
      <c r="A60" t="s">
        <v>1438</v>
      </c>
    </row>
    <row r="61" spans="1:3">
      <c r="A61" t="s">
        <v>1439</v>
      </c>
    </row>
    <row r="62" spans="1:3">
      <c r="A62" t="s">
        <v>1442</v>
      </c>
    </row>
    <row r="63" spans="1:3">
      <c r="A63" t="s">
        <v>1477</v>
      </c>
    </row>
    <row r="64" spans="1:3">
      <c r="C64" t="s">
        <v>1421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1063</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1447</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1064</v>
      </c>
    </row>
    <row r="21" spans="1:14">
      <c r="A21" s="110" t="s">
        <v>1065</v>
      </c>
    </row>
    <row r="22" spans="1:14">
      <c r="A22" s="110" t="s">
        <v>963</v>
      </c>
    </row>
    <row r="23" spans="1:14">
      <c r="A23" s="110" t="s">
        <v>1066</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1067</v>
      </c>
      <c r="K28" s="113" t="s">
        <v>1068</v>
      </c>
      <c r="L28" s="112"/>
      <c r="M28" s="112"/>
      <c r="N28" s="112"/>
    </row>
    <row r="29" spans="1:14" ht="30" customHeight="1">
      <c r="A29" s="114">
        <v>2</v>
      </c>
      <c r="B29" s="115" t="s">
        <v>1069</v>
      </c>
      <c r="C29" s="114" t="s">
        <v>313</v>
      </c>
      <c r="D29" s="114">
        <f>MAX(20,MROUND(시작중량_설정!$E$8*0.82,1))</f>
        <v>66</v>
      </c>
      <c r="E29" s="114">
        <v>2</v>
      </c>
      <c r="F29" s="114">
        <v>5</v>
      </c>
      <c r="G29" s="114">
        <v>30</v>
      </c>
      <c r="H29" s="114">
        <v>180</v>
      </c>
      <c r="I29" s="114">
        <f t="shared" si="0"/>
        <v>7</v>
      </c>
      <c r="J29" s="115" t="s">
        <v>1532</v>
      </c>
      <c r="K29" s="115" t="s">
        <v>1070</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1623</v>
      </c>
      <c r="K30" s="115" t="s">
        <v>1071</v>
      </c>
      <c r="L30" s="114"/>
      <c r="M30" s="114"/>
      <c r="N30" s="114"/>
    </row>
    <row r="31" spans="1:14" ht="30" customHeight="1">
      <c r="A31" s="114">
        <v>4</v>
      </c>
      <c r="B31" s="115" t="s">
        <v>1072</v>
      </c>
      <c r="C31" s="114" t="s">
        <v>375</v>
      </c>
      <c r="D31" s="144">
        <f>시작중량_설정!$E$14</f>
        <v>140</v>
      </c>
      <c r="E31" s="114">
        <v>4</v>
      </c>
      <c r="F31" s="114">
        <v>10</v>
      </c>
      <c r="G31" s="114">
        <v>45</v>
      </c>
      <c r="H31" s="114">
        <v>150</v>
      </c>
      <c r="I31" s="114">
        <f t="shared" si="0"/>
        <v>13</v>
      </c>
      <c r="J31" s="115" t="s">
        <v>1619</v>
      </c>
      <c r="K31" s="115" t="s">
        <v>1073</v>
      </c>
      <c r="L31" s="114"/>
      <c r="M31" s="114"/>
      <c r="N31" s="114"/>
    </row>
    <row r="32" spans="1:14" ht="30" customHeight="1">
      <c r="A32" s="114">
        <v>5</v>
      </c>
      <c r="B32" s="115" t="s">
        <v>562</v>
      </c>
      <c r="C32" s="114" t="s">
        <v>384</v>
      </c>
      <c r="D32" s="114">
        <v>30</v>
      </c>
      <c r="E32" s="114">
        <v>3</v>
      </c>
      <c r="F32" s="114">
        <v>10</v>
      </c>
      <c r="G32" s="114">
        <v>60</v>
      </c>
      <c r="H32" s="114">
        <v>120</v>
      </c>
      <c r="I32" s="114">
        <f t="shared" si="0"/>
        <v>9</v>
      </c>
      <c r="J32" s="115" t="s">
        <v>1074</v>
      </c>
      <c r="K32" s="115" t="s">
        <v>1075</v>
      </c>
      <c r="L32" s="114"/>
      <c r="M32" s="114"/>
      <c r="N32" s="114"/>
    </row>
    <row r="33" spans="1:14" ht="30" customHeight="1">
      <c r="A33" s="112">
        <v>6</v>
      </c>
      <c r="B33" s="113" t="s">
        <v>1448</v>
      </c>
      <c r="C33" s="112" t="s">
        <v>429</v>
      </c>
      <c r="D33" s="112">
        <f>시작중량_설정!$E$10</f>
        <v>31</v>
      </c>
      <c r="E33" s="112">
        <v>3</v>
      </c>
      <c r="F33" s="112">
        <v>8</v>
      </c>
      <c r="G33" s="112">
        <v>50</v>
      </c>
      <c r="H33" s="112">
        <v>180</v>
      </c>
      <c r="I33" s="112">
        <f t="shared" si="0"/>
        <v>11.5</v>
      </c>
      <c r="J33" s="113" t="s">
        <v>1538</v>
      </c>
      <c r="K33" s="113" t="s">
        <v>1539</v>
      </c>
      <c r="L33" s="112" t="s">
        <v>507</v>
      </c>
      <c r="M33" s="112"/>
      <c r="N33" s="112"/>
    </row>
    <row r="34" spans="1:14" ht="30" customHeight="1">
      <c r="A34" s="114">
        <v>7</v>
      </c>
      <c r="B34" s="135" t="s">
        <v>1543</v>
      </c>
      <c r="C34" s="114" t="s">
        <v>1544</v>
      </c>
      <c r="D34" s="114">
        <v>14</v>
      </c>
      <c r="E34" s="114">
        <v>3</v>
      </c>
      <c r="F34" s="114" t="s">
        <v>1520</v>
      </c>
      <c r="G34" s="114">
        <v>40</v>
      </c>
      <c r="H34" s="114">
        <v>120</v>
      </c>
      <c r="I34" s="114">
        <f t="shared" si="0"/>
        <v>8</v>
      </c>
      <c r="J34" s="115" t="s">
        <v>1545</v>
      </c>
      <c r="K34" s="115" t="s">
        <v>1546</v>
      </c>
      <c r="L34" s="114"/>
      <c r="M34" s="114"/>
      <c r="N34" s="114"/>
    </row>
    <row r="35" spans="1:14" ht="30" customHeight="1">
      <c r="A35" s="114">
        <v>8</v>
      </c>
      <c r="B35" s="115" t="s">
        <v>1540</v>
      </c>
      <c r="C35" s="114" t="s">
        <v>1233</v>
      </c>
      <c r="D35" s="114">
        <v>8</v>
      </c>
      <c r="E35" s="114">
        <v>3</v>
      </c>
      <c r="F35" s="114" t="s">
        <v>1234</v>
      </c>
      <c r="G35" s="114">
        <v>40</v>
      </c>
      <c r="H35" s="114">
        <v>60</v>
      </c>
      <c r="I35" s="114">
        <f t="shared" si="0"/>
        <v>6</v>
      </c>
      <c r="J35" s="115" t="s">
        <v>1541</v>
      </c>
      <c r="K35" s="115" t="s">
        <v>1542</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1076</v>
      </c>
      <c r="K36" s="115" t="s">
        <v>1077</v>
      </c>
      <c r="L36" s="114"/>
      <c r="M36" s="114"/>
      <c r="N36" s="114"/>
    </row>
    <row r="37" spans="1:14" ht="30" customHeight="1">
      <c r="A37" s="114">
        <v>10</v>
      </c>
      <c r="B37" s="115" t="s">
        <v>1580</v>
      </c>
      <c r="C37" s="114" t="s">
        <v>285</v>
      </c>
      <c r="D37" s="114">
        <v>10</v>
      </c>
      <c r="E37" s="114">
        <v>3</v>
      </c>
      <c r="F37" s="114" t="s">
        <v>303</v>
      </c>
      <c r="G37" s="114">
        <v>40</v>
      </c>
      <c r="H37" s="114">
        <v>60</v>
      </c>
      <c r="I37" s="114">
        <f>IF(E37=0,0,ROUND((E37*(G37+H37)+N37)/60,1))</f>
        <v>5</v>
      </c>
      <c r="J37" s="115" t="s">
        <v>1581</v>
      </c>
      <c r="K37" s="115" t="s">
        <v>1582</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1080</v>
      </c>
      <c r="K38" s="115" t="s">
        <v>1081</v>
      </c>
      <c r="L38" s="114"/>
      <c r="M38" s="114"/>
      <c r="N38" s="114"/>
    </row>
    <row r="39" spans="1:14">
      <c r="A39" s="116"/>
      <c r="B39" s="116"/>
      <c r="C39" s="116"/>
      <c r="D39" s="116" t="s">
        <v>321</v>
      </c>
      <c r="E39" s="116">
        <f>SUM(E28:E38)</f>
        <v>34</v>
      </c>
      <c r="F39" s="116"/>
      <c r="G39" s="116"/>
      <c r="H39" s="116"/>
      <c r="I39" s="116">
        <f>ROUND(SUM(I28:I38),0)</f>
        <v>89</v>
      </c>
    </row>
    <row r="41" spans="1:14">
      <c r="A41" s="107" t="s">
        <v>1082</v>
      </c>
    </row>
    <row r="42" spans="1:14">
      <c r="A42" s="117" t="s">
        <v>1083</v>
      </c>
    </row>
    <row r="43" spans="1:14">
      <c r="A43" s="117" t="s">
        <v>1084</v>
      </c>
    </row>
    <row r="44" spans="1:14">
      <c r="A44" s="117" t="s">
        <v>1085</v>
      </c>
    </row>
    <row r="45" spans="1:14">
      <c r="A45" s="117" t="s">
        <v>1449</v>
      </c>
    </row>
    <row r="46" spans="1:14">
      <c r="A46" s="117" t="s">
        <v>1450</v>
      </c>
    </row>
    <row r="47" spans="1:14">
      <c r="A47" s="117" t="s">
        <v>1423</v>
      </c>
    </row>
    <row r="49" spans="1:1">
      <c r="A49" s="107" t="s">
        <v>1086</v>
      </c>
    </row>
    <row r="50" spans="1:1">
      <c r="A50" s="117" t="s">
        <v>1087</v>
      </c>
    </row>
    <row r="51" spans="1:1">
      <c r="A51" s="117" t="s">
        <v>1424</v>
      </c>
    </row>
    <row r="52" spans="1:1">
      <c r="A52" s="117" t="s">
        <v>1088</v>
      </c>
    </row>
    <row r="53" spans="1:1">
      <c r="A53" s="117" t="s">
        <v>1425</v>
      </c>
    </row>
    <row r="54" spans="1:1">
      <c r="A54" s="117" t="s">
        <v>1426</v>
      </c>
    </row>
    <row r="56" spans="1:1">
      <c r="A56" s="107" t="s">
        <v>1089</v>
      </c>
    </row>
    <row r="57" spans="1:1">
      <c r="A57" s="117" t="s">
        <v>1090</v>
      </c>
    </row>
    <row r="58" spans="1:1">
      <c r="A58" s="117" t="s">
        <v>1091</v>
      </c>
    </row>
    <row r="59" spans="1:1">
      <c r="A59" s="117" t="s">
        <v>1092</v>
      </c>
    </row>
    <row r="60" spans="1:1">
      <c r="A60" s="117" t="s">
        <v>1093</v>
      </c>
    </row>
    <row r="61" spans="1:1">
      <c r="A61" s="117" t="s">
        <v>1478</v>
      </c>
    </row>
    <row r="63" spans="1:1">
      <c r="A63" s="107" t="s">
        <v>1094</v>
      </c>
    </row>
    <row r="64" spans="1:1">
      <c r="A64" s="117" t="s">
        <v>1095</v>
      </c>
    </row>
    <row r="65" spans="1:3">
      <c r="A65" s="117" t="s">
        <v>1096</v>
      </c>
    </row>
    <row r="66" spans="1:3">
      <c r="A66" s="117" t="s">
        <v>1097</v>
      </c>
    </row>
    <row r="68" spans="1:3">
      <c r="A68" s="107" t="s">
        <v>954</v>
      </c>
    </row>
    <row r="69" spans="1:3">
      <c r="A69" s="117" t="s">
        <v>1548</v>
      </c>
    </row>
    <row r="70" spans="1:3">
      <c r="A70" s="117" t="s">
        <v>1549</v>
      </c>
    </row>
    <row r="72" spans="1:3">
      <c r="A72" s="107" t="s">
        <v>987</v>
      </c>
    </row>
    <row r="73" spans="1:3">
      <c r="A73" s="117" t="s">
        <v>1547</v>
      </c>
    </row>
    <row r="74" spans="1:3">
      <c r="A74" s="117" t="s">
        <v>1098</v>
      </c>
    </row>
    <row r="75" spans="1:3">
      <c r="A75" s="117" t="s">
        <v>1099</v>
      </c>
    </row>
    <row r="76" spans="1:3">
      <c r="A76" s="117" t="s">
        <v>1427</v>
      </c>
    </row>
    <row r="77" spans="1:3">
      <c r="A77" s="117" t="s">
        <v>989</v>
      </c>
    </row>
    <row r="79" spans="1:3">
      <c r="C79" s="118" t="s">
        <v>1100</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1101</v>
      </c>
    </row>
    <row r="4" spans="1:14">
      <c r="A4" s="107" t="s">
        <v>992</v>
      </c>
    </row>
    <row r="5" spans="1:14">
      <c r="A5" s="110" t="s">
        <v>1102</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1103</v>
      </c>
      <c r="K11" s="115" t="s">
        <v>1104</v>
      </c>
      <c r="L11" s="114" t="s">
        <v>994</v>
      </c>
      <c r="M11" s="114"/>
      <c r="N11" s="114"/>
    </row>
    <row r="12" spans="1:14" ht="30" customHeight="1">
      <c r="A12" s="114">
        <v>2</v>
      </c>
      <c r="B12" s="115" t="s">
        <v>1605</v>
      </c>
      <c r="C12" s="114" t="s">
        <v>349</v>
      </c>
      <c r="D12" s="114">
        <v>40</v>
      </c>
      <c r="E12" s="114">
        <v>3</v>
      </c>
      <c r="F12" s="114" t="s">
        <v>274</v>
      </c>
      <c r="G12" s="114">
        <v>40</v>
      </c>
      <c r="H12" s="114">
        <v>150</v>
      </c>
      <c r="I12" s="114">
        <f>IF(E12=0,0,ROUND((E12*(G12+H12)+N12)/60,1))</f>
        <v>9.5</v>
      </c>
      <c r="J12" s="115" t="s">
        <v>1606</v>
      </c>
      <c r="K12" s="115" t="s">
        <v>1607</v>
      </c>
      <c r="L12" s="114"/>
      <c r="M12" s="114"/>
      <c r="N12" s="114"/>
    </row>
    <row r="13" spans="1:14" ht="30" customHeight="1">
      <c r="A13" s="114">
        <v>3</v>
      </c>
      <c r="B13" s="115" t="s">
        <v>1105</v>
      </c>
      <c r="C13" s="114" t="s">
        <v>267</v>
      </c>
      <c r="D13" s="114">
        <v>40</v>
      </c>
      <c r="E13" s="114">
        <v>3</v>
      </c>
      <c r="F13" s="114" t="s">
        <v>274</v>
      </c>
      <c r="G13" s="114">
        <v>40</v>
      </c>
      <c r="H13" s="114">
        <v>120</v>
      </c>
      <c r="I13" s="114">
        <f t="shared" si="0"/>
        <v>8</v>
      </c>
      <c r="J13" s="115" t="s">
        <v>1525</v>
      </c>
      <c r="K13" s="115" t="s">
        <v>1106</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1499</v>
      </c>
      <c r="K14" s="115" t="s">
        <v>1112</v>
      </c>
      <c r="L14" s="114"/>
      <c r="M14" s="114"/>
      <c r="N14" s="114"/>
    </row>
    <row r="15" spans="1:14" ht="30" customHeight="1">
      <c r="A15" s="114">
        <v>5</v>
      </c>
      <c r="B15" s="115" t="s">
        <v>1107</v>
      </c>
      <c r="C15" s="114" t="s">
        <v>267</v>
      </c>
      <c r="D15" s="114">
        <v>55</v>
      </c>
      <c r="E15" s="114">
        <v>3</v>
      </c>
      <c r="F15" s="114" t="s">
        <v>274</v>
      </c>
      <c r="G15" s="114">
        <v>40</v>
      </c>
      <c r="H15" s="114">
        <v>120</v>
      </c>
      <c r="I15" s="114">
        <f t="shared" si="0"/>
        <v>9</v>
      </c>
      <c r="J15" s="115" t="s">
        <v>1309</v>
      </c>
      <c r="K15" s="115" t="s">
        <v>1108</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1500</v>
      </c>
      <c r="K16" s="115" t="s">
        <v>1113</v>
      </c>
      <c r="L16" s="114"/>
      <c r="M16" s="114"/>
      <c r="N16" s="114">
        <v>60</v>
      </c>
    </row>
    <row r="17" spans="1:14" ht="30" customHeight="1">
      <c r="A17" s="114">
        <v>7</v>
      </c>
      <c r="B17" s="115" t="s">
        <v>1310</v>
      </c>
      <c r="C17" s="114" t="s">
        <v>1256</v>
      </c>
      <c r="D17" s="114">
        <v>20</v>
      </c>
      <c r="E17" s="114">
        <v>2</v>
      </c>
      <c r="F17" s="114" t="s">
        <v>1234</v>
      </c>
      <c r="G17" s="114">
        <v>40</v>
      </c>
      <c r="H17" s="114">
        <v>75</v>
      </c>
      <c r="I17" s="114">
        <f t="shared" ref="I17" si="1">IF(E17=0,0,ROUND((E17*(G17+H17)+N17)/60,1))</f>
        <v>3.8</v>
      </c>
      <c r="J17" s="115" t="s">
        <v>1311</v>
      </c>
      <c r="K17" s="115" t="s">
        <v>1312</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1633</v>
      </c>
      <c r="K18" s="115" t="s">
        <v>1109</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1110</v>
      </c>
      <c r="K19" s="115" t="s">
        <v>1111</v>
      </c>
      <c r="L19" s="114"/>
      <c r="M19" s="114"/>
      <c r="N19" s="114"/>
    </row>
    <row r="20" spans="1:14" ht="30" customHeight="1">
      <c r="A20" s="114">
        <v>10</v>
      </c>
      <c r="B20" s="115" t="s">
        <v>1567</v>
      </c>
      <c r="C20" s="114" t="s">
        <v>345</v>
      </c>
      <c r="D20" s="114">
        <v>25</v>
      </c>
      <c r="E20" s="114">
        <v>3</v>
      </c>
      <c r="F20" s="114" t="s">
        <v>303</v>
      </c>
      <c r="G20" s="114">
        <v>40</v>
      </c>
      <c r="H20" s="114">
        <v>70</v>
      </c>
      <c r="I20" s="114">
        <f t="shared" si="0"/>
        <v>5.5</v>
      </c>
      <c r="J20" s="115" t="s">
        <v>1569</v>
      </c>
      <c r="K20" s="115" t="s">
        <v>1114</v>
      </c>
      <c r="L20" s="114"/>
      <c r="M20" s="114"/>
      <c r="N20" s="114"/>
    </row>
    <row r="21" spans="1:14" ht="30" customHeight="1">
      <c r="A21" s="114">
        <v>11</v>
      </c>
      <c r="B21" s="115" t="s">
        <v>1115</v>
      </c>
      <c r="C21" s="114" t="s">
        <v>269</v>
      </c>
      <c r="D21" s="114">
        <v>25</v>
      </c>
      <c r="E21" s="114">
        <v>3</v>
      </c>
      <c r="F21" s="114" t="s">
        <v>274</v>
      </c>
      <c r="G21" s="114">
        <v>40</v>
      </c>
      <c r="H21" s="114">
        <v>75</v>
      </c>
      <c r="I21" s="114">
        <f t="shared" si="0"/>
        <v>5.8</v>
      </c>
      <c r="J21" s="75" t="s">
        <v>1264</v>
      </c>
      <c r="K21" s="115" t="s">
        <v>1116</v>
      </c>
      <c r="L21" s="114"/>
      <c r="M21" s="114"/>
      <c r="N21" s="114"/>
    </row>
    <row r="22" spans="1:14" ht="30" customHeight="1">
      <c r="A22" s="114">
        <v>12</v>
      </c>
      <c r="B22" s="115" t="s">
        <v>1000</v>
      </c>
      <c r="C22" s="114" t="s">
        <v>295</v>
      </c>
      <c r="D22" s="114">
        <v>20</v>
      </c>
      <c r="E22" s="114">
        <v>2</v>
      </c>
      <c r="F22" s="114">
        <v>15</v>
      </c>
      <c r="G22" s="114">
        <v>40</v>
      </c>
      <c r="H22" s="114">
        <v>10</v>
      </c>
      <c r="I22" s="114">
        <f t="shared" si="0"/>
        <v>1.7</v>
      </c>
      <c r="J22" s="115" t="s">
        <v>1339</v>
      </c>
      <c r="K22" s="115" t="s">
        <v>1001</v>
      </c>
      <c r="L22" s="114"/>
      <c r="M22" s="114" t="s">
        <v>391</v>
      </c>
      <c r="N22" s="114"/>
    </row>
    <row r="23" spans="1:14" ht="30" customHeight="1">
      <c r="A23" s="114">
        <v>13</v>
      </c>
      <c r="B23" s="115" t="s">
        <v>594</v>
      </c>
      <c r="C23" s="114" t="s">
        <v>295</v>
      </c>
      <c r="D23" s="114">
        <v>15</v>
      </c>
      <c r="E23" s="114">
        <v>3</v>
      </c>
      <c r="F23" s="114">
        <v>15</v>
      </c>
      <c r="G23" s="114">
        <v>40</v>
      </c>
      <c r="H23" s="114">
        <v>60</v>
      </c>
      <c r="I23" s="114">
        <f t="shared" si="0"/>
        <v>5</v>
      </c>
      <c r="J23" s="115" t="s">
        <v>1002</v>
      </c>
      <c r="K23" s="115" t="s">
        <v>1003</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1117</v>
      </c>
      <c r="K24" s="115" t="s">
        <v>1118</v>
      </c>
      <c r="L24" s="114"/>
      <c r="M24" s="114"/>
      <c r="N24" s="114"/>
    </row>
    <row r="25" spans="1:14">
      <c r="A25" s="116"/>
      <c r="B25" s="116"/>
      <c r="C25" s="116"/>
      <c r="D25" s="116" t="s">
        <v>321</v>
      </c>
      <c r="E25" s="116">
        <f>SUM(E11:E24)</f>
        <v>42</v>
      </c>
      <c r="F25" s="116"/>
      <c r="G25" s="116"/>
      <c r="H25" s="116"/>
      <c r="I25" s="116">
        <f>ROUND(SUM(I11:I24),0)</f>
        <v>95</v>
      </c>
    </row>
    <row r="27" spans="1:14">
      <c r="A27" s="107" t="s">
        <v>1119</v>
      </c>
    </row>
    <row r="28" spans="1:14">
      <c r="A28" s="117" t="s">
        <v>1120</v>
      </c>
    </row>
    <row r="29" spans="1:14">
      <c r="A29" s="117" t="s">
        <v>1121</v>
      </c>
    </row>
    <row r="30" spans="1:14">
      <c r="A30" s="117" t="s">
        <v>1122</v>
      </c>
    </row>
    <row r="31" spans="1:14">
      <c r="A31" s="117" t="s">
        <v>1514</v>
      </c>
    </row>
    <row r="32" spans="1:14">
      <c r="A32" s="117" t="s">
        <v>1123</v>
      </c>
    </row>
    <row r="34" spans="1:1">
      <c r="A34" s="107" t="s">
        <v>1124</v>
      </c>
    </row>
    <row r="35" spans="1:1">
      <c r="A35" s="117" t="s">
        <v>1501</v>
      </c>
    </row>
    <row r="36" spans="1:1">
      <c r="A36" s="117" t="s">
        <v>1125</v>
      </c>
    </row>
    <row r="37" spans="1:1">
      <c r="A37" s="117" t="s">
        <v>1608</v>
      </c>
    </row>
    <row r="38" spans="1:1">
      <c r="A38" s="117" t="s">
        <v>1568</v>
      </c>
    </row>
    <row r="40" spans="1:1">
      <c r="A40" s="107" t="s">
        <v>954</v>
      </c>
    </row>
    <row r="41" spans="1:1">
      <c r="A41" s="117" t="s">
        <v>1469</v>
      </c>
    </row>
    <row r="42" spans="1:1">
      <c r="A42" s="117" t="s">
        <v>1317</v>
      </c>
    </row>
    <row r="43" spans="1:1">
      <c r="A43" s="117" t="s">
        <v>1318</v>
      </c>
    </row>
    <row r="45" spans="1:1">
      <c r="A45" s="107" t="s">
        <v>987</v>
      </c>
    </row>
    <row r="46" spans="1:1">
      <c r="A46" s="117" t="s">
        <v>1126</v>
      </c>
    </row>
    <row r="47" spans="1:1">
      <c r="A47" s="117" t="s">
        <v>1127</v>
      </c>
    </row>
    <row r="48" spans="1:1">
      <c r="A48" s="117" t="s">
        <v>1128</v>
      </c>
    </row>
    <row r="49" spans="1:3">
      <c r="A49" s="117" t="s">
        <v>1502</v>
      </c>
    </row>
    <row r="50" spans="1:3">
      <c r="A50" s="117" t="s">
        <v>1129</v>
      </c>
    </row>
    <row r="51" spans="1:3">
      <c r="A51" s="117" t="s">
        <v>1130</v>
      </c>
    </row>
    <row r="52" spans="1:3">
      <c r="A52" s="117" t="s">
        <v>989</v>
      </c>
    </row>
    <row r="54" spans="1:3">
      <c r="C54" s="118" t="s">
        <v>1313</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1342</v>
      </c>
    </row>
    <row r="2" spans="1:6">
      <c r="A2" s="127" t="s">
        <v>1265</v>
      </c>
    </row>
    <row r="4" spans="1:6" ht="15">
      <c r="A4" s="99" t="s">
        <v>1266</v>
      </c>
    </row>
    <row r="5" spans="1:6">
      <c r="A5" s="129" t="s">
        <v>2</v>
      </c>
      <c r="B5" s="129" t="s">
        <v>145</v>
      </c>
      <c r="C5" s="130"/>
      <c r="D5" s="130"/>
      <c r="E5" s="130"/>
      <c r="F5" s="129" t="s">
        <v>5</v>
      </c>
    </row>
    <row r="6" spans="1:6">
      <c r="A6" s="127" t="s">
        <v>894</v>
      </c>
      <c r="B6" s="150" t="s">
        <v>1267</v>
      </c>
      <c r="C6" s="150"/>
      <c r="D6" s="150"/>
      <c r="E6" s="150"/>
      <c r="F6" s="127" t="s">
        <v>1268</v>
      </c>
    </row>
    <row r="7" spans="1:6">
      <c r="A7" s="127" t="s">
        <v>76</v>
      </c>
      <c r="B7" s="150" t="s">
        <v>1269</v>
      </c>
      <c r="C7" s="150"/>
      <c r="D7" s="150"/>
      <c r="E7" s="150"/>
      <c r="F7" s="127" t="s">
        <v>1270</v>
      </c>
    </row>
    <row r="8" spans="1:6">
      <c r="A8" s="127" t="s">
        <v>1271</v>
      </c>
      <c r="B8" s="150" t="s">
        <v>1272</v>
      </c>
      <c r="C8" s="150"/>
      <c r="D8" s="150"/>
      <c r="E8" s="150"/>
      <c r="F8" s="127" t="s">
        <v>1273</v>
      </c>
    </row>
    <row r="9" spans="1:6">
      <c r="A9" s="127" t="s">
        <v>1274</v>
      </c>
      <c r="B9" s="150" t="s">
        <v>1275</v>
      </c>
      <c r="C9" s="150"/>
      <c r="D9" s="150"/>
      <c r="E9" s="150"/>
      <c r="F9" s="127" t="s">
        <v>1276</v>
      </c>
    </row>
    <row r="10" spans="1:6">
      <c r="A10" s="127" t="s">
        <v>1277</v>
      </c>
      <c r="B10" s="150" t="s">
        <v>1343</v>
      </c>
      <c r="C10" s="150"/>
      <c r="D10" s="150"/>
      <c r="E10" s="150"/>
      <c r="F10" s="127" t="s">
        <v>1344</v>
      </c>
    </row>
    <row r="11" spans="1:6">
      <c r="A11" s="127" t="s">
        <v>1278</v>
      </c>
      <c r="B11" s="150" t="s">
        <v>1279</v>
      </c>
      <c r="C11" s="150"/>
      <c r="D11" s="150"/>
      <c r="E11" s="150"/>
      <c r="F11" s="127" t="s">
        <v>1334</v>
      </c>
    </row>
    <row r="12" spans="1:6">
      <c r="A12" s="127" t="s">
        <v>9</v>
      </c>
      <c r="B12" s="150" t="s">
        <v>1280</v>
      </c>
      <c r="C12" s="150"/>
      <c r="D12" s="150"/>
      <c r="E12" s="150"/>
      <c r="F12" s="127" t="s">
        <v>1335</v>
      </c>
    </row>
    <row r="13" spans="1:6">
      <c r="A13" s="127" t="s">
        <v>1281</v>
      </c>
      <c r="B13" s="150" t="s">
        <v>1345</v>
      </c>
      <c r="C13" s="150"/>
      <c r="D13" s="150"/>
      <c r="E13" s="150"/>
      <c r="F13" s="127" t="s">
        <v>1301</v>
      </c>
    </row>
    <row r="14" spans="1:6">
      <c r="A14" s="127" t="s">
        <v>1282</v>
      </c>
      <c r="B14" s="150" t="s">
        <v>1336</v>
      </c>
      <c r="C14" s="150"/>
      <c r="D14" s="150"/>
      <c r="E14" s="150"/>
      <c r="F14" s="127" t="s">
        <v>1283</v>
      </c>
    </row>
    <row r="16" spans="1:6" ht="15">
      <c r="A16" s="131" t="s">
        <v>1346</v>
      </c>
    </row>
    <row r="17" spans="1:6">
      <c r="A17" s="129" t="s">
        <v>1347</v>
      </c>
      <c r="B17" s="129" t="s">
        <v>1348</v>
      </c>
      <c r="C17" s="129" t="s">
        <v>1284</v>
      </c>
      <c r="D17" s="129" t="s">
        <v>1285</v>
      </c>
      <c r="E17" s="129" t="s">
        <v>1286</v>
      </c>
      <c r="F17" s="129" t="s">
        <v>1287</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1349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1361</v>
      </c>
    </row>
    <row r="2" spans="1:10">
      <c r="A2" s="127" t="s">
        <v>1362</v>
      </c>
    </row>
    <row r="4" spans="1:10" ht="15">
      <c r="A4" s="99" t="s">
        <v>894</v>
      </c>
    </row>
    <row r="5" spans="1:10">
      <c r="A5" s="129" t="s">
        <v>894</v>
      </c>
      <c r="B5" s="129" t="s">
        <v>1288</v>
      </c>
      <c r="C5" s="130"/>
      <c r="D5" s="130"/>
      <c r="E5" s="130"/>
      <c r="F5" s="130"/>
      <c r="G5" s="130"/>
      <c r="H5" s="130"/>
      <c r="I5" s="129" t="s">
        <v>5</v>
      </c>
    </row>
    <row r="6" spans="1:10">
      <c r="A6" s="127" t="s">
        <v>899</v>
      </c>
      <c r="B6" s="150" t="s">
        <v>1289</v>
      </c>
      <c r="C6" s="150"/>
      <c r="D6" s="150"/>
      <c r="E6" s="150"/>
      <c r="F6" s="150"/>
      <c r="G6" s="150"/>
      <c r="H6" s="150"/>
      <c r="I6" s="127" t="s">
        <v>1290</v>
      </c>
    </row>
    <row r="7" spans="1:10">
      <c r="A7" s="127" t="s">
        <v>902</v>
      </c>
      <c r="B7" s="150" t="s">
        <v>1291</v>
      </c>
      <c r="C7" s="150"/>
      <c r="D7" s="150"/>
      <c r="E7" s="150"/>
      <c r="F7" s="150"/>
      <c r="G7" s="150"/>
      <c r="H7" s="150"/>
      <c r="I7" s="127" t="s">
        <v>1292</v>
      </c>
    </row>
    <row r="8" spans="1:10">
      <c r="A8" s="127" t="s">
        <v>905</v>
      </c>
      <c r="B8" s="150" t="s">
        <v>1291</v>
      </c>
      <c r="C8" s="150"/>
      <c r="D8" s="150"/>
      <c r="E8" s="150"/>
      <c r="F8" s="150"/>
      <c r="G8" s="150"/>
      <c r="H8" s="150"/>
      <c r="I8" s="127" t="s">
        <v>1292</v>
      </c>
    </row>
    <row r="9" spans="1:10">
      <c r="A9" s="127" t="s">
        <v>907</v>
      </c>
      <c r="B9" s="150" t="s">
        <v>28</v>
      </c>
      <c r="C9" s="150"/>
      <c r="D9" s="150"/>
      <c r="E9" s="150"/>
      <c r="F9" s="150"/>
      <c r="G9" s="150"/>
      <c r="H9" s="150"/>
      <c r="I9" s="127" t="s">
        <v>1293</v>
      </c>
    </row>
    <row r="10" spans="1:10">
      <c r="A10" s="127" t="s">
        <v>909</v>
      </c>
      <c r="B10" s="150" t="s">
        <v>1289</v>
      </c>
      <c r="C10" s="150"/>
      <c r="D10" s="150"/>
      <c r="E10" s="150"/>
      <c r="F10" s="150"/>
      <c r="G10" s="150"/>
      <c r="H10" s="150"/>
      <c r="I10" s="127" t="s">
        <v>1294</v>
      </c>
    </row>
    <row r="11" spans="1:10">
      <c r="A11" s="127" t="s">
        <v>912</v>
      </c>
      <c r="B11" s="150" t="s">
        <v>1291</v>
      </c>
      <c r="C11" s="150"/>
      <c r="D11" s="150"/>
      <c r="E11" s="150"/>
      <c r="F11" s="150"/>
      <c r="G11" s="150"/>
      <c r="H11" s="150"/>
      <c r="I11" s="127" t="s">
        <v>1292</v>
      </c>
    </row>
    <row r="12" spans="1:10">
      <c r="A12" s="127" t="s">
        <v>915</v>
      </c>
      <c r="B12" s="150" t="s">
        <v>1295</v>
      </c>
      <c r="C12" s="150"/>
      <c r="D12" s="150"/>
      <c r="E12" s="150"/>
      <c r="F12" s="150"/>
      <c r="G12" s="150"/>
      <c r="H12" s="150"/>
      <c r="I12" s="127" t="s">
        <v>1296</v>
      </c>
    </row>
    <row r="14" spans="1:10" ht="15">
      <c r="A14" s="131" t="s">
        <v>1351</v>
      </c>
    </row>
    <row r="15" spans="1:10">
      <c r="A15" s="129" t="s">
        <v>1352</v>
      </c>
      <c r="B15" s="129" t="s">
        <v>789</v>
      </c>
      <c r="C15" s="129" t="s">
        <v>1353</v>
      </c>
      <c r="D15" s="129" t="s">
        <v>1354</v>
      </c>
      <c r="E15" s="129" t="s">
        <v>1355</v>
      </c>
      <c r="F15" s="129" t="s">
        <v>1356</v>
      </c>
      <c r="G15" s="129" t="s">
        <v>1357</v>
      </c>
      <c r="H15" s="129" t="s">
        <v>1358</v>
      </c>
      <c r="I15" s="129" t="s">
        <v>1363</v>
      </c>
    </row>
    <row r="16" spans="1:10" ht="15">
      <c r="A16" s="137">
        <v>1</v>
      </c>
      <c r="B16" s="138">
        <v>46302</v>
      </c>
      <c r="C16" s="137">
        <v>16</v>
      </c>
      <c r="D16" s="137">
        <v>2</v>
      </c>
      <c r="E16" s="137">
        <v>2</v>
      </c>
      <c r="F16" s="137">
        <v>16</v>
      </c>
      <c r="G16" s="137">
        <v>3</v>
      </c>
      <c r="H16" s="137">
        <v>2</v>
      </c>
      <c r="I16" s="137" t="s">
        <v>1278</v>
      </c>
      <c r="J16"/>
    </row>
    <row r="17" spans="1:10" ht="15">
      <c r="A17" s="137">
        <v>2</v>
      </c>
      <c r="B17" s="138">
        <v>46305</v>
      </c>
      <c r="C17" s="137">
        <v>18</v>
      </c>
      <c r="D17" s="137">
        <v>2</v>
      </c>
      <c r="E17" s="137">
        <v>2</v>
      </c>
      <c r="F17" s="137">
        <v>18</v>
      </c>
      <c r="G17" s="137">
        <v>3</v>
      </c>
      <c r="H17" s="137">
        <v>2</v>
      </c>
      <c r="I17" s="137" t="s">
        <v>1278</v>
      </c>
      <c r="J17"/>
    </row>
    <row r="18" spans="1:10" ht="15">
      <c r="A18" s="137">
        <v>3</v>
      </c>
      <c r="B18" s="138">
        <v>46309</v>
      </c>
      <c r="C18" s="137">
        <v>20</v>
      </c>
      <c r="D18" s="137">
        <v>2</v>
      </c>
      <c r="E18" s="137">
        <v>2</v>
      </c>
      <c r="F18" s="137">
        <v>20</v>
      </c>
      <c r="G18" s="137">
        <v>3</v>
      </c>
      <c r="H18" s="137">
        <v>2</v>
      </c>
      <c r="I18" s="137" t="s">
        <v>1278</v>
      </c>
      <c r="J18"/>
    </row>
    <row r="19" spans="1:10" ht="15">
      <c r="A19" s="137">
        <v>4</v>
      </c>
      <c r="B19" s="138">
        <v>46312</v>
      </c>
      <c r="C19" s="137">
        <v>20</v>
      </c>
      <c r="D19" s="137">
        <v>2</v>
      </c>
      <c r="E19" s="137">
        <v>2</v>
      </c>
      <c r="F19" s="137">
        <v>20</v>
      </c>
      <c r="G19" s="137">
        <v>3</v>
      </c>
      <c r="H19" s="137">
        <v>2</v>
      </c>
      <c r="I19" s="137" t="s">
        <v>1278</v>
      </c>
      <c r="J19"/>
    </row>
    <row r="20" spans="1:10" ht="15">
      <c r="A20" s="137">
        <v>5</v>
      </c>
      <c r="B20" s="138">
        <v>46316</v>
      </c>
      <c r="C20" s="137">
        <v>20</v>
      </c>
      <c r="D20" s="137">
        <v>2</v>
      </c>
      <c r="E20" s="137">
        <v>2</v>
      </c>
      <c r="F20" s="137">
        <v>20</v>
      </c>
      <c r="G20" s="137">
        <v>3</v>
      </c>
      <c r="H20" s="137">
        <v>2</v>
      </c>
      <c r="I20" s="137" t="s">
        <v>1278</v>
      </c>
      <c r="J20"/>
    </row>
    <row r="21" spans="1:10" ht="15">
      <c r="A21" s="137">
        <v>6</v>
      </c>
      <c r="B21" s="138">
        <v>46319</v>
      </c>
      <c r="C21" s="137">
        <v>22</v>
      </c>
      <c r="D21" s="137">
        <v>2</v>
      </c>
      <c r="E21" s="137">
        <v>2</v>
      </c>
      <c r="F21" s="137">
        <v>22</v>
      </c>
      <c r="G21" s="137">
        <v>4</v>
      </c>
      <c r="H21" s="137">
        <v>2</v>
      </c>
      <c r="I21" s="137" t="s">
        <v>1278</v>
      </c>
      <c r="J21"/>
    </row>
    <row r="22" spans="1:10" ht="15">
      <c r="A22" s="137">
        <v>7</v>
      </c>
      <c r="B22" s="138">
        <v>46323</v>
      </c>
      <c r="C22" s="137">
        <v>24</v>
      </c>
      <c r="D22" s="137">
        <v>2</v>
      </c>
      <c r="E22" s="137">
        <v>2</v>
      </c>
      <c r="F22" s="137">
        <v>24</v>
      </c>
      <c r="G22" s="137">
        <v>4</v>
      </c>
      <c r="H22" s="137">
        <v>2</v>
      </c>
      <c r="I22" s="137" t="s">
        <v>1278</v>
      </c>
      <c r="J22"/>
    </row>
    <row r="23" spans="1:10" ht="15">
      <c r="A23" s="137">
        <v>8</v>
      </c>
      <c r="B23" s="138">
        <v>46326</v>
      </c>
      <c r="C23" s="137">
        <v>26</v>
      </c>
      <c r="D23" s="137">
        <v>2</v>
      </c>
      <c r="E23" s="137">
        <v>2</v>
      </c>
      <c r="F23" s="137">
        <v>26</v>
      </c>
      <c r="G23" s="137">
        <v>5</v>
      </c>
      <c r="H23" s="137">
        <v>2</v>
      </c>
      <c r="I23" s="137" t="s">
        <v>1278</v>
      </c>
      <c r="J23"/>
    </row>
    <row r="24" spans="1:10" ht="15">
      <c r="A24" s="137">
        <v>9</v>
      </c>
      <c r="B24" s="138">
        <v>46330</v>
      </c>
      <c r="C24" s="137">
        <v>28</v>
      </c>
      <c r="D24" s="137">
        <v>2</v>
      </c>
      <c r="E24" s="137">
        <v>2</v>
      </c>
      <c r="F24" s="137">
        <v>28</v>
      </c>
      <c r="G24" s="137">
        <v>5</v>
      </c>
      <c r="H24" s="137">
        <v>2</v>
      </c>
      <c r="I24" s="137" t="s">
        <v>1278</v>
      </c>
      <c r="J24"/>
    </row>
    <row r="25" spans="1:10" ht="15">
      <c r="A25" s="137">
        <v>10</v>
      </c>
      <c r="B25" s="138">
        <v>46333</v>
      </c>
      <c r="C25" s="137">
        <v>30</v>
      </c>
      <c r="D25" s="137">
        <v>2</v>
      </c>
      <c r="E25" s="137">
        <v>2</v>
      </c>
      <c r="F25" s="137">
        <v>30</v>
      </c>
      <c r="G25" s="137">
        <v>5</v>
      </c>
      <c r="H25" s="137">
        <v>2</v>
      </c>
      <c r="I25" s="137" t="s">
        <v>1278</v>
      </c>
      <c r="J25"/>
    </row>
    <row r="26" spans="1:10" ht="15">
      <c r="A26" s="137">
        <v>11</v>
      </c>
      <c r="B26" s="138">
        <v>46337</v>
      </c>
      <c r="C26" s="137">
        <v>32</v>
      </c>
      <c r="D26" s="137">
        <v>2</v>
      </c>
      <c r="E26" s="137">
        <v>2</v>
      </c>
      <c r="F26" s="137">
        <v>32</v>
      </c>
      <c r="G26" s="137">
        <v>5</v>
      </c>
      <c r="H26" s="137">
        <v>2</v>
      </c>
      <c r="I26" s="137" t="s">
        <v>1278</v>
      </c>
      <c r="J26"/>
    </row>
    <row r="27" spans="1:10" ht="15">
      <c r="A27" s="137">
        <v>12</v>
      </c>
      <c r="B27" s="138">
        <v>46340</v>
      </c>
      <c r="C27" s="137">
        <v>34</v>
      </c>
      <c r="D27" s="137">
        <v>2</v>
      </c>
      <c r="E27" s="137">
        <v>2</v>
      </c>
      <c r="F27" s="137">
        <v>34</v>
      </c>
      <c r="G27" s="137">
        <v>5</v>
      </c>
      <c r="H27" s="137">
        <v>2</v>
      </c>
      <c r="I27" s="137" t="s">
        <v>1278</v>
      </c>
      <c r="J27"/>
    </row>
    <row r="28" spans="1:10" ht="15">
      <c r="A28" s="137">
        <v>13</v>
      </c>
      <c r="B28" s="138">
        <v>46344</v>
      </c>
      <c r="C28" s="137">
        <v>36</v>
      </c>
      <c r="D28" s="137">
        <v>2</v>
      </c>
      <c r="E28" s="137">
        <v>2</v>
      </c>
      <c r="F28" s="137">
        <v>36</v>
      </c>
      <c r="G28" s="137">
        <v>5</v>
      </c>
      <c r="H28" s="137">
        <v>2</v>
      </c>
      <c r="I28" s="137" t="s">
        <v>1278</v>
      </c>
      <c r="J28"/>
    </row>
    <row r="29" spans="1:10" ht="15">
      <c r="A29" s="137">
        <v>14</v>
      </c>
      <c r="B29" s="138">
        <v>46347</v>
      </c>
      <c r="C29" s="137">
        <v>36</v>
      </c>
      <c r="D29" s="137">
        <v>3</v>
      </c>
      <c r="E29" s="137">
        <v>2</v>
      </c>
      <c r="F29" s="137">
        <v>36</v>
      </c>
      <c r="G29" s="137">
        <v>5</v>
      </c>
      <c r="H29" s="137">
        <v>2</v>
      </c>
      <c r="I29" s="137" t="s">
        <v>1278</v>
      </c>
      <c r="J29"/>
    </row>
    <row r="30" spans="1:10" ht="15">
      <c r="A30" s="137">
        <v>15</v>
      </c>
      <c r="B30" s="138">
        <v>46351</v>
      </c>
      <c r="C30" s="137">
        <v>36</v>
      </c>
      <c r="D30" s="137">
        <v>4</v>
      </c>
      <c r="E30" s="137">
        <v>2</v>
      </c>
      <c r="F30" s="137">
        <v>36</v>
      </c>
      <c r="G30" s="137">
        <v>5</v>
      </c>
      <c r="H30" s="137">
        <v>2</v>
      </c>
      <c r="I30" s="137" t="s">
        <v>1278</v>
      </c>
      <c r="J30"/>
    </row>
    <row r="31" spans="1:10" ht="15">
      <c r="A31" s="137">
        <v>16</v>
      </c>
      <c r="B31" s="138">
        <v>46354</v>
      </c>
      <c r="C31" s="137">
        <v>36</v>
      </c>
      <c r="D31" s="137">
        <v>5</v>
      </c>
      <c r="E31" s="137">
        <v>2</v>
      </c>
      <c r="F31" s="137">
        <v>36</v>
      </c>
      <c r="G31" s="137">
        <v>5</v>
      </c>
      <c r="H31" s="137">
        <v>2</v>
      </c>
      <c r="I31" s="137" t="s">
        <v>1278</v>
      </c>
      <c r="J31"/>
    </row>
    <row r="32" spans="1:10" ht="15">
      <c r="A32" s="137">
        <v>17</v>
      </c>
      <c r="B32" s="138">
        <v>46358</v>
      </c>
      <c r="C32" s="137">
        <v>36</v>
      </c>
      <c r="D32" s="137">
        <v>5</v>
      </c>
      <c r="E32" s="137">
        <v>2</v>
      </c>
      <c r="F32" s="137">
        <v>36</v>
      </c>
      <c r="G32" s="137">
        <v>5</v>
      </c>
      <c r="H32" s="137">
        <v>2</v>
      </c>
      <c r="I32" s="137" t="s">
        <v>1278</v>
      </c>
      <c r="J32"/>
    </row>
    <row r="33" spans="1:10" ht="15">
      <c r="A33" t="s">
        <v>1364</v>
      </c>
      <c r="B33"/>
      <c r="C33"/>
      <c r="D33"/>
      <c r="E33"/>
      <c r="F33"/>
      <c r="G33"/>
      <c r="H33"/>
      <c r="I33"/>
      <c r="J33"/>
    </row>
    <row r="34" spans="1:10" ht="15">
      <c r="A34"/>
      <c r="B34"/>
      <c r="C34"/>
      <c r="D34"/>
      <c r="E34"/>
      <c r="F34"/>
      <c r="G34"/>
      <c r="H34"/>
      <c r="I34"/>
      <c r="J34"/>
    </row>
    <row r="35" spans="1:10" ht="15">
      <c r="A35" t="s">
        <v>1266</v>
      </c>
      <c r="B35"/>
      <c r="C35"/>
      <c r="D35"/>
      <c r="E35"/>
      <c r="F35"/>
      <c r="G35"/>
      <c r="H35"/>
      <c r="I35"/>
      <c r="J35"/>
    </row>
    <row r="36" spans="1:10" ht="15">
      <c r="A36" t="s">
        <v>1365</v>
      </c>
      <c r="B36"/>
      <c r="C36"/>
      <c r="D36"/>
      <c r="E36"/>
      <c r="F36"/>
      <c r="G36"/>
      <c r="H36"/>
      <c r="I36"/>
      <c r="J36"/>
    </row>
    <row r="37" spans="1:10" ht="15">
      <c r="A37" t="s">
        <v>1370</v>
      </c>
      <c r="B37"/>
      <c r="C37"/>
      <c r="D37"/>
      <c r="E37"/>
      <c r="F37"/>
      <c r="G37"/>
      <c r="H37"/>
      <c r="I37"/>
      <c r="J37"/>
    </row>
    <row r="38" spans="1:10" ht="15">
      <c r="A38" t="s">
        <v>1366</v>
      </c>
      <c r="B38"/>
      <c r="C38"/>
      <c r="D38"/>
      <c r="E38"/>
      <c r="F38"/>
      <c r="G38"/>
      <c r="H38"/>
      <c r="I38"/>
      <c r="J38"/>
    </row>
    <row r="39" spans="1:10" ht="15">
      <c r="A39" t="s">
        <v>1367</v>
      </c>
      <c r="B39"/>
      <c r="C39"/>
      <c r="D39"/>
      <c r="E39"/>
      <c r="F39"/>
      <c r="G39"/>
      <c r="H39"/>
      <c r="I39"/>
      <c r="J39"/>
    </row>
    <row r="40" spans="1:10" ht="15">
      <c r="A40" t="s">
        <v>1329</v>
      </c>
      <c r="B40"/>
      <c r="C40"/>
      <c r="D40"/>
      <c r="E40"/>
      <c r="F40"/>
      <c r="G40"/>
      <c r="H40"/>
      <c r="I40"/>
      <c r="J40"/>
    </row>
    <row r="41" spans="1:10" ht="15">
      <c r="A41" t="s">
        <v>1330</v>
      </c>
      <c r="B41"/>
      <c r="C41"/>
      <c r="D41"/>
      <c r="E41"/>
      <c r="F41"/>
      <c r="G41"/>
      <c r="H41"/>
      <c r="I41"/>
      <c r="J41"/>
    </row>
    <row r="42" spans="1:10" ht="15">
      <c r="A42" t="s">
        <v>1331</v>
      </c>
      <c r="B42"/>
      <c r="C42"/>
      <c r="D42"/>
      <c r="E42"/>
      <c r="F42"/>
      <c r="G42"/>
      <c r="H42"/>
      <c r="I42"/>
      <c r="J42"/>
    </row>
    <row r="43" spans="1:10" ht="15">
      <c r="A43" t="s">
        <v>1332</v>
      </c>
      <c r="B43"/>
      <c r="C43"/>
      <c r="D43"/>
      <c r="E43"/>
      <c r="F43"/>
      <c r="G43"/>
      <c r="H43"/>
      <c r="I43"/>
      <c r="J43"/>
    </row>
    <row r="44" spans="1:10" ht="15">
      <c r="A44" t="s">
        <v>1333</v>
      </c>
      <c r="B44"/>
      <c r="C44"/>
      <c r="D44"/>
      <c r="E44"/>
      <c r="F44"/>
      <c r="G44"/>
      <c r="H44"/>
      <c r="I44"/>
      <c r="J44"/>
    </row>
    <row r="45" spans="1:10" ht="15">
      <c r="A45" t="s">
        <v>1368</v>
      </c>
      <c r="B45"/>
      <c r="C45"/>
      <c r="D45"/>
      <c r="E45"/>
      <c r="F45"/>
      <c r="G45"/>
      <c r="H45"/>
      <c r="I45"/>
      <c r="J45"/>
    </row>
    <row r="46" spans="1:10" ht="15">
      <c r="A46" t="s">
        <v>1359</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1413</v>
      </c>
      <c r="D7" s="115" t="s">
        <v>1414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1552</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1298</v>
      </c>
      <c r="D13" s="115" t="s">
        <v>1496</v>
      </c>
    </row>
    <row r="14" spans="1:4" ht="30" customHeight="1">
      <c r="A14" s="114" t="s">
        <v>35</v>
      </c>
      <c r="B14" s="120" t="s">
        <v>36</v>
      </c>
      <c r="C14" s="115" t="s">
        <v>37</v>
      </c>
      <c r="D14" s="115" t="s">
        <v>1512</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1433</v>
      </c>
    </row>
    <row r="39" spans="1:1">
      <c r="A39" s="123" t="s">
        <v>56</v>
      </c>
    </row>
    <row r="40" spans="1:1">
      <c r="A40" s="123" t="s">
        <v>57</v>
      </c>
    </row>
    <row r="42" spans="1:1">
      <c r="A42" s="107" t="s">
        <v>58</v>
      </c>
    </row>
    <row r="43" spans="1:1">
      <c r="A43" s="123" t="s">
        <v>59</v>
      </c>
    </row>
    <row r="44" spans="1:1">
      <c r="A44" s="123" t="s">
        <v>1553</v>
      </c>
    </row>
    <row r="45" spans="1:1">
      <c r="A45" s="123" t="s">
        <v>60</v>
      </c>
    </row>
    <row r="46" spans="1:1">
      <c r="A46" s="123" t="s">
        <v>1308</v>
      </c>
    </row>
    <row r="47" spans="1:1">
      <c r="A47" s="123" t="s">
        <v>1304</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1511</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1131</v>
      </c>
    </row>
    <row r="2" spans="1:8">
      <c r="A2" s="119" t="s">
        <v>1132</v>
      </c>
    </row>
    <row r="3" spans="1:8">
      <c r="A3" s="119" t="s">
        <v>635</v>
      </c>
      <c r="F3" s="107">
        <f ca="1">COUNTIF($E$7:$E$98,"?")</f>
        <v>0</v>
      </c>
    </row>
    <row r="4" spans="1:8">
      <c r="A4" s="119" t="s">
        <v>1133</v>
      </c>
    </row>
    <row r="6" spans="1:8">
      <c r="A6" s="111" t="s">
        <v>1134</v>
      </c>
      <c r="B6" s="111" t="s">
        <v>638</v>
      </c>
      <c r="C6" s="111" t="s">
        <v>639</v>
      </c>
      <c r="D6" s="111" t="s">
        <v>640</v>
      </c>
      <c r="E6" s="111" t="s">
        <v>641</v>
      </c>
      <c r="F6" s="111" t="s">
        <v>642</v>
      </c>
      <c r="G6" s="111" t="s">
        <v>643</v>
      </c>
      <c r="H6" s="111" t="s">
        <v>644</v>
      </c>
    </row>
    <row r="7" spans="1:8" ht="51">
      <c r="A7" s="114" t="s">
        <v>1135</v>
      </c>
      <c r="B7" s="115" t="s">
        <v>86</v>
      </c>
      <c r="C7" s="114" t="s">
        <v>345</v>
      </c>
      <c r="D7" s="114">
        <v>0.5</v>
      </c>
      <c r="E7" s="114">
        <f t="shared" ref="E7:E44" ca="1" si="0">IFERROR(INDEX(INDIRECT("'"&amp;$A7&amp;"'!$E$1:$E$60"),MATCH($B7,INDIRECT("'"&amp;$A7&amp;"'!$B$1:$B$60"),0)),"?")</f>
        <v>4</v>
      </c>
      <c r="F7" s="114">
        <f t="shared" ref="F7:F43" ca="1" si="1">IF(ISNUMBER(E7),$D7*E7,0)</f>
        <v>2</v>
      </c>
      <c r="G7" s="114" t="s">
        <v>659</v>
      </c>
      <c r="H7" s="115" t="s">
        <v>1464</v>
      </c>
    </row>
    <row r="8" spans="1:8">
      <c r="A8" s="114" t="s">
        <v>1135</v>
      </c>
      <c r="B8" s="115" t="s">
        <v>517</v>
      </c>
      <c r="C8" s="114" t="s">
        <v>345</v>
      </c>
      <c r="D8" s="114">
        <v>0.5</v>
      </c>
      <c r="E8" s="114">
        <f t="shared" ca="1" si="0"/>
        <v>3</v>
      </c>
      <c r="F8" s="114">
        <f t="shared" ca="1" si="1"/>
        <v>1.5</v>
      </c>
      <c r="G8" s="114" t="s">
        <v>659</v>
      </c>
      <c r="H8" s="115" t="s">
        <v>1136</v>
      </c>
    </row>
    <row r="9" spans="1:8">
      <c r="A9" s="114" t="s">
        <v>1135</v>
      </c>
      <c r="B9" s="115" t="s">
        <v>343</v>
      </c>
      <c r="C9" s="114" t="s">
        <v>345</v>
      </c>
      <c r="D9" s="114">
        <v>0.5</v>
      </c>
      <c r="E9" s="114">
        <f t="shared" ca="1" si="0"/>
        <v>3</v>
      </c>
      <c r="F9" s="114">
        <f t="shared" ca="1" si="1"/>
        <v>1.5</v>
      </c>
      <c r="G9" s="114" t="s">
        <v>659</v>
      </c>
      <c r="H9" s="115" t="s">
        <v>1137</v>
      </c>
    </row>
    <row r="10" spans="1:8" ht="51">
      <c r="A10" s="114" t="s">
        <v>1138</v>
      </c>
      <c r="B10" s="115" t="s">
        <v>508</v>
      </c>
      <c r="C10" s="114" t="s">
        <v>345</v>
      </c>
      <c r="D10" s="114">
        <v>0.2</v>
      </c>
      <c r="E10" s="114">
        <f t="shared" ca="1" si="0"/>
        <v>4</v>
      </c>
      <c r="F10" s="114">
        <f t="shared" ca="1" si="1"/>
        <v>0.8</v>
      </c>
      <c r="G10" s="114" t="s">
        <v>659</v>
      </c>
      <c r="H10" s="115" t="s">
        <v>1566</v>
      </c>
    </row>
    <row r="11" spans="1:8" ht="63.75">
      <c r="A11" s="114" t="s">
        <v>1139</v>
      </c>
      <c r="B11" s="115" t="s">
        <v>1448</v>
      </c>
      <c r="C11" s="114" t="s">
        <v>345</v>
      </c>
      <c r="D11" s="114">
        <v>0.2</v>
      </c>
      <c r="E11" s="114">
        <f t="shared" ca="1" si="0"/>
        <v>3</v>
      </c>
      <c r="F11" s="114">
        <f t="shared" ca="1" si="1"/>
        <v>0.60000000000000009</v>
      </c>
      <c r="G11" s="114" t="s">
        <v>659</v>
      </c>
      <c r="H11" s="115" t="s">
        <v>1571</v>
      </c>
    </row>
    <row r="12" spans="1:8" ht="25.5">
      <c r="A12" s="114" t="s">
        <v>1140</v>
      </c>
      <c r="B12" s="115" t="s">
        <v>266</v>
      </c>
      <c r="C12" s="114" t="s">
        <v>269</v>
      </c>
      <c r="D12" s="114">
        <v>0.5</v>
      </c>
      <c r="E12" s="114">
        <f t="shared" ca="1" si="0"/>
        <v>4</v>
      </c>
      <c r="F12" s="114">
        <f t="shared" ca="1" si="1"/>
        <v>2</v>
      </c>
      <c r="G12" s="114" t="s">
        <v>659</v>
      </c>
      <c r="H12" s="115" t="s">
        <v>1141</v>
      </c>
    </row>
    <row r="13" spans="1:8" ht="25.5">
      <c r="A13" s="114" t="s">
        <v>1140</v>
      </c>
      <c r="B13" s="115" t="s">
        <v>1107</v>
      </c>
      <c r="C13" s="114" t="s">
        <v>269</v>
      </c>
      <c r="D13" s="114">
        <v>0.5</v>
      </c>
      <c r="E13" s="114">
        <f t="shared" ca="1" si="0"/>
        <v>3</v>
      </c>
      <c r="F13" s="114">
        <f t="shared" ca="1" si="1"/>
        <v>1.5</v>
      </c>
      <c r="G13" s="114" t="s">
        <v>659</v>
      </c>
      <c r="H13" s="115" t="s">
        <v>1142</v>
      </c>
    </row>
    <row r="14" spans="1:8" ht="25.5">
      <c r="A14" s="114" t="s">
        <v>1140</v>
      </c>
      <c r="B14" s="115" t="s">
        <v>1105</v>
      </c>
      <c r="C14" s="114" t="s">
        <v>269</v>
      </c>
      <c r="D14" s="114">
        <v>0.2</v>
      </c>
      <c r="E14" s="114">
        <f t="shared" ca="1" si="0"/>
        <v>3</v>
      </c>
      <c r="F14" s="114">
        <f t="shared" ca="1" si="1"/>
        <v>0.60000000000000009</v>
      </c>
      <c r="G14" s="114" t="s">
        <v>659</v>
      </c>
      <c r="H14" s="115" t="s">
        <v>1143</v>
      </c>
    </row>
    <row r="15" spans="1:8" ht="25.5">
      <c r="A15" s="114" t="s">
        <v>1144</v>
      </c>
      <c r="B15" s="115" t="s">
        <v>472</v>
      </c>
      <c r="C15" s="114" t="s">
        <v>269</v>
      </c>
      <c r="D15" s="114">
        <v>0.33</v>
      </c>
      <c r="E15" s="114">
        <f t="shared" ca="1" si="0"/>
        <v>4</v>
      </c>
      <c r="F15" s="114">
        <f t="shared" ca="1" si="1"/>
        <v>1.32</v>
      </c>
      <c r="G15" s="114" t="s">
        <v>659</v>
      </c>
      <c r="H15" s="115" t="s">
        <v>1145</v>
      </c>
    </row>
    <row r="16" spans="1:8" ht="51">
      <c r="A16" s="114" t="s">
        <v>1144</v>
      </c>
      <c r="B16" s="115" t="s">
        <v>1255</v>
      </c>
      <c r="C16" s="114" t="s">
        <v>269</v>
      </c>
      <c r="D16" s="114">
        <v>0.33</v>
      </c>
      <c r="E16" s="114">
        <f t="shared" ca="1" si="0"/>
        <v>2</v>
      </c>
      <c r="F16" s="114">
        <f t="shared" ref="F16" ca="1" si="2">IF(ISNUMBER(E16),$D16*E16,0)</f>
        <v>0.66</v>
      </c>
      <c r="G16" s="114" t="s">
        <v>659</v>
      </c>
      <c r="H16" s="115" t="s">
        <v>1261</v>
      </c>
    </row>
    <row r="17" spans="1:8" ht="25.5">
      <c r="A17" s="114" t="s">
        <v>1144</v>
      </c>
      <c r="B17" s="115" t="s">
        <v>1504</v>
      </c>
      <c r="C17" s="114" t="s">
        <v>269</v>
      </c>
      <c r="D17" s="114">
        <v>0.2</v>
      </c>
      <c r="E17" s="114">
        <f t="shared" ca="1" si="0"/>
        <v>3</v>
      </c>
      <c r="F17" s="114">
        <f t="shared" ca="1" si="1"/>
        <v>0.60000000000000009</v>
      </c>
      <c r="G17" s="114" t="s">
        <v>659</v>
      </c>
      <c r="H17" s="115" t="s">
        <v>1146</v>
      </c>
    </row>
    <row r="18" spans="1:8" ht="38.25">
      <c r="A18" s="114" t="s">
        <v>1144</v>
      </c>
      <c r="B18" s="115" t="s">
        <v>465</v>
      </c>
      <c r="C18" s="114" t="s">
        <v>269</v>
      </c>
      <c r="D18" s="114">
        <v>0.2</v>
      </c>
      <c r="E18" s="114">
        <f t="shared" ca="1" si="0"/>
        <v>4</v>
      </c>
      <c r="F18" s="114">
        <f t="shared" ca="1" si="1"/>
        <v>0.8</v>
      </c>
      <c r="G18" s="114" t="s">
        <v>659</v>
      </c>
      <c r="H18" s="115" t="s">
        <v>1147</v>
      </c>
    </row>
    <row r="19" spans="1:8" ht="25.5">
      <c r="A19" s="114" t="s">
        <v>1148</v>
      </c>
      <c r="B19" s="115" t="s">
        <v>439</v>
      </c>
      <c r="C19" s="114" t="s">
        <v>269</v>
      </c>
      <c r="D19" s="114">
        <v>0.2</v>
      </c>
      <c r="E19" s="114">
        <f t="shared" ca="1" si="0"/>
        <v>3</v>
      </c>
      <c r="F19" s="114">
        <f t="shared" ca="1" si="1"/>
        <v>0.60000000000000009</v>
      </c>
      <c r="G19" s="114" t="s">
        <v>659</v>
      </c>
      <c r="H19" s="115" t="s">
        <v>1149</v>
      </c>
    </row>
    <row r="20" spans="1:8" ht="38.25">
      <c r="A20" s="114" t="s">
        <v>1148</v>
      </c>
      <c r="B20" s="115" t="s">
        <v>1406</v>
      </c>
      <c r="C20" s="114" t="s">
        <v>295</v>
      </c>
      <c r="D20" s="114">
        <v>0.5</v>
      </c>
      <c r="E20" s="114">
        <f t="shared" ca="1" si="0"/>
        <v>3</v>
      </c>
      <c r="F20" s="114">
        <f t="shared" ca="1" si="1"/>
        <v>1.5</v>
      </c>
      <c r="G20" s="114" t="s">
        <v>659</v>
      </c>
      <c r="H20" s="115" t="s">
        <v>1409</v>
      </c>
    </row>
    <row r="21" spans="1:8" ht="25.5">
      <c r="A21" s="114" t="s">
        <v>1135</v>
      </c>
      <c r="B21" s="115" t="s">
        <v>86</v>
      </c>
      <c r="C21" s="114" t="s">
        <v>429</v>
      </c>
      <c r="D21" s="114">
        <v>0.33</v>
      </c>
      <c r="E21" s="114">
        <f t="shared" ca="1" si="0"/>
        <v>4</v>
      </c>
      <c r="F21" s="114">
        <f t="shared" ca="1" si="1"/>
        <v>1.32</v>
      </c>
      <c r="G21" s="114" t="s">
        <v>659</v>
      </c>
      <c r="H21" s="115" t="s">
        <v>1150</v>
      </c>
    </row>
    <row r="22" spans="1:8">
      <c r="A22" s="114" t="s">
        <v>1135</v>
      </c>
      <c r="B22" s="115" t="s">
        <v>517</v>
      </c>
      <c r="C22" s="114" t="s">
        <v>429</v>
      </c>
      <c r="D22" s="114">
        <v>0.5</v>
      </c>
      <c r="E22" s="114">
        <f t="shared" ca="1" si="0"/>
        <v>3</v>
      </c>
      <c r="F22" s="114">
        <f t="shared" ca="1" si="1"/>
        <v>1.5</v>
      </c>
      <c r="G22" s="114" t="s">
        <v>659</v>
      </c>
      <c r="H22" s="115" t="s">
        <v>1151</v>
      </c>
    </row>
    <row r="23" spans="1:8">
      <c r="A23" s="114" t="s">
        <v>1135</v>
      </c>
      <c r="B23" s="115" t="s">
        <v>343</v>
      </c>
      <c r="C23" s="114" t="s">
        <v>429</v>
      </c>
      <c r="D23" s="114">
        <v>0.2</v>
      </c>
      <c r="E23" s="114">
        <f t="shared" ca="1" si="0"/>
        <v>3</v>
      </c>
      <c r="F23" s="114">
        <f t="shared" ca="1" si="1"/>
        <v>0.60000000000000009</v>
      </c>
      <c r="G23" s="114" t="s">
        <v>659</v>
      </c>
      <c r="H23" s="115" t="s">
        <v>1152</v>
      </c>
    </row>
    <row r="24" spans="1:8">
      <c r="A24" s="114" t="s">
        <v>1135</v>
      </c>
      <c r="B24" s="115" t="s">
        <v>586</v>
      </c>
      <c r="C24" s="114" t="s">
        <v>429</v>
      </c>
      <c r="D24" s="114">
        <v>0.2</v>
      </c>
      <c r="E24" s="114">
        <f t="shared" ca="1" si="0"/>
        <v>3</v>
      </c>
      <c r="F24" s="114">
        <f t="shared" ca="1" si="1"/>
        <v>0.60000000000000009</v>
      </c>
      <c r="G24" s="114" t="s">
        <v>659</v>
      </c>
      <c r="H24" s="115" t="s">
        <v>1153</v>
      </c>
    </row>
    <row r="25" spans="1:8">
      <c r="A25" s="114" t="s">
        <v>1140</v>
      </c>
      <c r="B25" s="115" t="s">
        <v>427</v>
      </c>
      <c r="C25" s="114" t="s">
        <v>429</v>
      </c>
      <c r="D25" s="114">
        <v>0.2</v>
      </c>
      <c r="E25" s="114">
        <f t="shared" ca="1" si="0"/>
        <v>4</v>
      </c>
      <c r="F25" s="114">
        <f t="shared" ca="1" si="1"/>
        <v>0.8</v>
      </c>
      <c r="G25" s="114" t="s">
        <v>659</v>
      </c>
      <c r="H25" s="115" t="s">
        <v>1154</v>
      </c>
    </row>
    <row r="26" spans="1:8" ht="25.5">
      <c r="A26" s="114" t="s">
        <v>1140</v>
      </c>
      <c r="B26" s="115" t="s">
        <v>1605</v>
      </c>
      <c r="C26" s="114" t="s">
        <v>429</v>
      </c>
      <c r="D26" s="114">
        <v>0.5</v>
      </c>
      <c r="E26" s="114">
        <f t="shared" ca="1" si="0"/>
        <v>3</v>
      </c>
      <c r="F26" s="114">
        <f t="shared" ca="1" si="1"/>
        <v>1.5</v>
      </c>
      <c r="G26" s="114" t="s">
        <v>659</v>
      </c>
      <c r="H26" s="115" t="s">
        <v>1155</v>
      </c>
    </row>
    <row r="27" spans="1:8" ht="25.5">
      <c r="A27" s="114" t="s">
        <v>1140</v>
      </c>
      <c r="B27" s="115" t="s">
        <v>1605</v>
      </c>
      <c r="C27" s="114" t="s">
        <v>345</v>
      </c>
      <c r="D27" s="114">
        <v>0.5</v>
      </c>
      <c r="E27" s="114">
        <f t="shared" ca="1" si="0"/>
        <v>3</v>
      </c>
      <c r="F27" s="114">
        <f t="shared" ca="1" si="1"/>
        <v>1.5</v>
      </c>
      <c r="G27" s="114" t="s">
        <v>659</v>
      </c>
      <c r="H27" s="115" t="s">
        <v>1156</v>
      </c>
    </row>
    <row r="28" spans="1:8" ht="25.5">
      <c r="A28" s="114" t="s">
        <v>1140</v>
      </c>
      <c r="B28" s="115" t="s">
        <v>288</v>
      </c>
      <c r="C28" s="114" t="s">
        <v>358</v>
      </c>
      <c r="D28" s="114">
        <v>0.5</v>
      </c>
      <c r="E28" s="114">
        <f t="shared" ca="1" si="0"/>
        <v>3</v>
      </c>
      <c r="F28" s="114">
        <f t="shared" ca="1" si="1"/>
        <v>1.5</v>
      </c>
      <c r="G28" s="114" t="s">
        <v>659</v>
      </c>
      <c r="H28" s="115" t="s">
        <v>1157</v>
      </c>
    </row>
    <row r="29" spans="1:8" ht="51">
      <c r="A29" s="114" t="s">
        <v>1321</v>
      </c>
      <c r="B29" s="115" t="s">
        <v>1504</v>
      </c>
      <c r="C29" s="114" t="s">
        <v>358</v>
      </c>
      <c r="D29" s="114">
        <v>0.33</v>
      </c>
      <c r="E29" s="114">
        <f t="shared" ca="1" si="0"/>
        <v>3</v>
      </c>
      <c r="F29" s="114">
        <f t="shared" ref="F29:F30" ca="1" si="3">IF(ISNUMBER(E29),$D29*E29,0)</f>
        <v>0.99</v>
      </c>
      <c r="G29" s="114" t="s">
        <v>659</v>
      </c>
      <c r="H29" s="115" t="s">
        <v>1322</v>
      </c>
    </row>
    <row r="30" spans="1:8" ht="25.5">
      <c r="A30" s="114" t="s">
        <v>1321</v>
      </c>
      <c r="B30" s="115" t="s">
        <v>1323</v>
      </c>
      <c r="C30" s="114" t="s">
        <v>358</v>
      </c>
      <c r="D30" s="114">
        <v>0.33</v>
      </c>
      <c r="E30" s="114">
        <f t="shared" ca="1" si="0"/>
        <v>4</v>
      </c>
      <c r="F30" s="114">
        <f t="shared" ca="1" si="3"/>
        <v>1.32</v>
      </c>
      <c r="G30" s="114" t="s">
        <v>659</v>
      </c>
      <c r="H30" s="115" t="s">
        <v>1509</v>
      </c>
    </row>
    <row r="31" spans="1:8" ht="51">
      <c r="A31" s="114" t="s">
        <v>1139</v>
      </c>
      <c r="B31" s="115" t="s">
        <v>1448</v>
      </c>
      <c r="C31" s="114" t="s">
        <v>354</v>
      </c>
      <c r="D31" s="114">
        <v>0.5</v>
      </c>
      <c r="E31" s="114">
        <f t="shared" ca="1" si="0"/>
        <v>3</v>
      </c>
      <c r="F31" s="114">
        <f t="shared" ca="1" si="1"/>
        <v>1.5</v>
      </c>
      <c r="G31" s="114" t="s">
        <v>659</v>
      </c>
      <c r="H31" s="115" t="s">
        <v>1555</v>
      </c>
    </row>
    <row r="32" spans="1:8" ht="38.25">
      <c r="A32" s="114" t="s">
        <v>1138</v>
      </c>
      <c r="B32" s="115" t="s">
        <v>508</v>
      </c>
      <c r="C32" s="114" t="s">
        <v>354</v>
      </c>
      <c r="D32" s="114">
        <v>0.33</v>
      </c>
      <c r="E32" s="114">
        <f t="shared" ca="1" si="0"/>
        <v>4</v>
      </c>
      <c r="F32" s="114">
        <f t="shared" ca="1" si="1"/>
        <v>1.32</v>
      </c>
      <c r="G32" s="114" t="s">
        <v>659</v>
      </c>
      <c r="H32" s="115" t="s">
        <v>1158</v>
      </c>
    </row>
    <row r="33" spans="1:8" ht="38.25">
      <c r="A33" s="114" t="s">
        <v>1138</v>
      </c>
      <c r="B33" s="115" t="s">
        <v>1395</v>
      </c>
      <c r="C33" s="114" t="s">
        <v>407</v>
      </c>
      <c r="D33" s="114">
        <v>0.33</v>
      </c>
      <c r="E33" s="114">
        <f t="shared" ca="1" si="0"/>
        <v>3</v>
      </c>
      <c r="F33" s="114">
        <f t="shared" ca="1" si="1"/>
        <v>0.99</v>
      </c>
      <c r="G33" s="114" t="s">
        <v>659</v>
      </c>
      <c r="H33" s="115" t="s">
        <v>1398</v>
      </c>
    </row>
    <row r="34" spans="1:8" ht="25.5">
      <c r="A34" s="114" t="s">
        <v>1139</v>
      </c>
      <c r="B34" s="115" t="s">
        <v>1072</v>
      </c>
      <c r="C34" s="114" t="s">
        <v>369</v>
      </c>
      <c r="D34" s="114">
        <v>0.33</v>
      </c>
      <c r="E34" s="114">
        <f t="shared" ca="1" si="0"/>
        <v>4</v>
      </c>
      <c r="F34" s="114">
        <f t="shared" ca="1" si="1"/>
        <v>1.32</v>
      </c>
      <c r="G34" s="114" t="s">
        <v>659</v>
      </c>
      <c r="H34" s="115" t="s">
        <v>1159</v>
      </c>
    </row>
    <row r="35" spans="1:8" ht="25.5">
      <c r="A35" s="114" t="s">
        <v>1144</v>
      </c>
      <c r="B35" s="115" t="s">
        <v>1504</v>
      </c>
      <c r="C35" s="114" t="s">
        <v>267</v>
      </c>
      <c r="D35" s="114">
        <v>0.5</v>
      </c>
      <c r="E35" s="114">
        <f t="shared" ca="1" si="0"/>
        <v>3</v>
      </c>
      <c r="F35" s="114">
        <f t="shared" ca="1" si="1"/>
        <v>1.5</v>
      </c>
      <c r="G35" s="114" t="s">
        <v>659</v>
      </c>
      <c r="H35" s="115" t="s">
        <v>1160</v>
      </c>
    </row>
    <row r="36" spans="1:8" ht="25.5">
      <c r="A36" s="114" t="s">
        <v>1144</v>
      </c>
      <c r="B36" s="115" t="s">
        <v>465</v>
      </c>
      <c r="C36" s="114" t="s">
        <v>267</v>
      </c>
      <c r="D36" s="114">
        <v>0.5</v>
      </c>
      <c r="E36" s="114">
        <f t="shared" ca="1" si="0"/>
        <v>4</v>
      </c>
      <c r="F36" s="114">
        <f t="shared" ca="1" si="1"/>
        <v>2</v>
      </c>
      <c r="G36" s="114" t="s">
        <v>659</v>
      </c>
      <c r="H36" s="115" t="s">
        <v>1160</v>
      </c>
    </row>
    <row r="37" spans="1:8" ht="38.25">
      <c r="A37" s="114" t="s">
        <v>1139</v>
      </c>
      <c r="B37" s="115" t="s">
        <v>84</v>
      </c>
      <c r="C37" s="114" t="s">
        <v>267</v>
      </c>
      <c r="D37" s="114">
        <v>0</v>
      </c>
      <c r="E37" s="114">
        <f t="shared" ca="1" si="0"/>
        <v>1</v>
      </c>
      <c r="F37" s="114">
        <f t="shared" ca="1" si="1"/>
        <v>0</v>
      </c>
      <c r="G37" s="114" t="s">
        <v>659</v>
      </c>
      <c r="H37" s="115" t="s">
        <v>1320</v>
      </c>
    </row>
    <row r="38" spans="1:8">
      <c r="A38" s="114" t="s">
        <v>1139</v>
      </c>
      <c r="B38" s="115" t="s">
        <v>1448</v>
      </c>
      <c r="C38" s="114" t="s">
        <v>407</v>
      </c>
      <c r="D38" s="114">
        <v>0.2</v>
      </c>
      <c r="E38" s="114">
        <f t="shared" ca="1" si="0"/>
        <v>3</v>
      </c>
      <c r="F38" s="114">
        <f t="shared" ca="1" si="1"/>
        <v>0.60000000000000009</v>
      </c>
      <c r="G38" s="114" t="s">
        <v>659</v>
      </c>
      <c r="H38" s="115" t="s">
        <v>1161</v>
      </c>
    </row>
    <row r="39" spans="1:8">
      <c r="A39" s="114" t="s">
        <v>1144</v>
      </c>
      <c r="B39" s="115" t="s">
        <v>1504</v>
      </c>
      <c r="C39" s="114" t="s">
        <v>407</v>
      </c>
      <c r="D39" s="114">
        <v>0.2</v>
      </c>
      <c r="E39" s="114">
        <f t="shared" ca="1" si="0"/>
        <v>3</v>
      </c>
      <c r="F39" s="114">
        <f t="shared" ca="1" si="1"/>
        <v>0.60000000000000009</v>
      </c>
      <c r="G39" s="114" t="s">
        <v>659</v>
      </c>
      <c r="H39" s="115" t="s">
        <v>1162</v>
      </c>
    </row>
    <row r="40" spans="1:8" ht="25.5">
      <c r="A40" s="114" t="s">
        <v>1139</v>
      </c>
      <c r="B40" s="115" t="s">
        <v>84</v>
      </c>
      <c r="C40" s="114" t="s">
        <v>407</v>
      </c>
      <c r="D40" s="114">
        <v>0</v>
      </c>
      <c r="E40" s="114">
        <f t="shared" ca="1" si="0"/>
        <v>1</v>
      </c>
      <c r="F40" s="114">
        <f t="shared" ca="1" si="1"/>
        <v>0</v>
      </c>
      <c r="G40" s="114" t="s">
        <v>659</v>
      </c>
      <c r="H40" s="115" t="s">
        <v>1163</v>
      </c>
    </row>
    <row r="41" spans="1:8">
      <c r="A41" s="114" t="s">
        <v>1140</v>
      </c>
      <c r="B41" s="115" t="s">
        <v>266</v>
      </c>
      <c r="C41" s="114" t="s">
        <v>418</v>
      </c>
      <c r="D41" s="114">
        <v>0.2</v>
      </c>
      <c r="E41" s="114">
        <f t="shared" ca="1" si="0"/>
        <v>4</v>
      </c>
      <c r="F41" s="114">
        <f t="shared" ca="1" si="1"/>
        <v>0.8</v>
      </c>
      <c r="G41" s="114" t="s">
        <v>659</v>
      </c>
      <c r="H41" s="115" t="s">
        <v>1164</v>
      </c>
    </row>
    <row r="42" spans="1:8">
      <c r="A42" s="114" t="s">
        <v>1140</v>
      </c>
      <c r="B42" s="115" t="s">
        <v>1107</v>
      </c>
      <c r="C42" s="114" t="s">
        <v>418</v>
      </c>
      <c r="D42" s="114">
        <v>0.2</v>
      </c>
      <c r="E42" s="114">
        <f t="shared" ca="1" si="0"/>
        <v>3</v>
      </c>
      <c r="F42" s="114">
        <f t="shared" ca="1" si="1"/>
        <v>0.60000000000000009</v>
      </c>
      <c r="G42" s="114" t="s">
        <v>659</v>
      </c>
      <c r="H42" s="115" t="s">
        <v>1165</v>
      </c>
    </row>
    <row r="43" spans="1:8">
      <c r="A43" s="114" t="s">
        <v>1140</v>
      </c>
      <c r="B43" s="115" t="s">
        <v>1105</v>
      </c>
      <c r="C43" s="114" t="s">
        <v>418</v>
      </c>
      <c r="D43" s="114">
        <v>0.2</v>
      </c>
      <c r="E43" s="114">
        <f t="shared" ca="1" si="0"/>
        <v>3</v>
      </c>
      <c r="F43" s="114">
        <f t="shared" ca="1" si="1"/>
        <v>0.60000000000000009</v>
      </c>
      <c r="G43" s="114" t="s">
        <v>659</v>
      </c>
      <c r="H43" s="115" t="s">
        <v>1166</v>
      </c>
    </row>
    <row r="44" spans="1:8" ht="25.5">
      <c r="A44" s="114" t="s">
        <v>1140</v>
      </c>
      <c r="B44" s="115" t="s">
        <v>1310</v>
      </c>
      <c r="C44" s="114" t="s">
        <v>418</v>
      </c>
      <c r="D44" s="114">
        <v>0.2</v>
      </c>
      <c r="E44" s="114">
        <f t="shared" ca="1" si="0"/>
        <v>2</v>
      </c>
      <c r="F44" s="114">
        <f t="shared" ref="F44" ca="1" si="4">IF(ISNUMBER(E44),$D44*E44,0)</f>
        <v>0.4</v>
      </c>
      <c r="G44" s="114" t="s">
        <v>659</v>
      </c>
      <c r="H44" s="115" t="s">
        <v>1314</v>
      </c>
    </row>
    <row r="45" spans="1:8" ht="25.5">
      <c r="A45" s="114" t="s">
        <v>1144</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1167</v>
      </c>
    </row>
    <row r="46" spans="1:8" ht="38.25">
      <c r="A46" s="114" t="s">
        <v>1135</v>
      </c>
      <c r="B46" s="115" t="s">
        <v>1237</v>
      </c>
      <c r="C46" s="114" t="s">
        <v>282</v>
      </c>
      <c r="D46" s="114">
        <v>0.33</v>
      </c>
      <c r="E46" s="114">
        <f t="shared" ca="1" si="5"/>
        <v>3</v>
      </c>
      <c r="F46" s="114">
        <f t="shared" ca="1" si="6"/>
        <v>0.99</v>
      </c>
      <c r="G46" s="114" t="s">
        <v>659</v>
      </c>
      <c r="H46" s="115" t="s">
        <v>1168</v>
      </c>
    </row>
    <row r="47" spans="1:8">
      <c r="A47" s="114" t="s">
        <v>1139</v>
      </c>
      <c r="B47" s="115" t="s">
        <v>523</v>
      </c>
      <c r="C47" s="114" t="s">
        <v>282</v>
      </c>
      <c r="D47" s="114">
        <v>0.33</v>
      </c>
      <c r="E47" s="114">
        <f t="shared" ca="1" si="5"/>
        <v>3</v>
      </c>
      <c r="F47" s="114">
        <f t="shared" ca="1" si="6"/>
        <v>0.99</v>
      </c>
      <c r="G47" s="114" t="s">
        <v>659</v>
      </c>
      <c r="H47" s="115" t="s">
        <v>1169</v>
      </c>
    </row>
    <row r="48" spans="1:8">
      <c r="A48" s="114" t="s">
        <v>1138</v>
      </c>
      <c r="B48" s="115" t="s">
        <v>970</v>
      </c>
      <c r="C48" s="114" t="s">
        <v>282</v>
      </c>
      <c r="D48" s="114">
        <v>0.33</v>
      </c>
      <c r="E48" s="114">
        <f t="shared" ca="1" si="5"/>
        <v>6</v>
      </c>
      <c r="F48" s="114">
        <f t="shared" ca="1" si="6"/>
        <v>1.98</v>
      </c>
      <c r="G48" s="114" t="s">
        <v>659</v>
      </c>
      <c r="H48" s="115" t="s">
        <v>1169</v>
      </c>
    </row>
    <row r="49" spans="1:8" ht="25.5">
      <c r="A49" s="114" t="s">
        <v>1247</v>
      </c>
      <c r="B49" s="115" t="s">
        <v>970</v>
      </c>
      <c r="C49" s="114" t="s">
        <v>282</v>
      </c>
      <c r="D49" s="114">
        <v>0.33</v>
      </c>
      <c r="E49" s="114">
        <f t="shared" ca="1" si="5"/>
        <v>4</v>
      </c>
      <c r="F49" s="114">
        <f t="shared" ref="F49" ca="1" si="7">IF(ISNUMBER(E49),$D49*E49,0)</f>
        <v>1.32</v>
      </c>
      <c r="G49" s="114" t="s">
        <v>659</v>
      </c>
      <c r="H49" s="115" t="s">
        <v>1248</v>
      </c>
    </row>
    <row r="50" spans="1:8">
      <c r="A50" s="114" t="s">
        <v>1144</v>
      </c>
      <c r="B50" s="115" t="s">
        <v>472</v>
      </c>
      <c r="C50" s="114" t="s">
        <v>282</v>
      </c>
      <c r="D50" s="114">
        <v>0.5</v>
      </c>
      <c r="E50" s="114">
        <f t="shared" ca="1" si="5"/>
        <v>4</v>
      </c>
      <c r="F50" s="114">
        <f t="shared" ca="1" si="6"/>
        <v>2</v>
      </c>
      <c r="G50" s="114" t="s">
        <v>659</v>
      </c>
      <c r="H50" s="115" t="s">
        <v>1170</v>
      </c>
    </row>
    <row r="51" spans="1:8" ht="25.5">
      <c r="A51" s="114" t="s">
        <v>1144</v>
      </c>
      <c r="B51" s="115" t="s">
        <v>1255</v>
      </c>
      <c r="C51" s="114" t="s">
        <v>282</v>
      </c>
      <c r="D51" s="114">
        <v>0.5</v>
      </c>
      <c r="E51" s="114">
        <f t="shared" ca="1" si="5"/>
        <v>2</v>
      </c>
      <c r="F51" s="114">
        <f t="shared" ref="F51" ca="1" si="8">IF(ISNUMBER(E51),$D51*E51,0)</f>
        <v>1</v>
      </c>
      <c r="G51" s="114" t="s">
        <v>659</v>
      </c>
      <c r="H51" s="115" t="s">
        <v>1262</v>
      </c>
    </row>
    <row r="52" spans="1:8" ht="38.25">
      <c r="A52" s="114" t="s">
        <v>1138</v>
      </c>
      <c r="B52" s="115" t="s">
        <v>82</v>
      </c>
      <c r="C52" s="114" t="s">
        <v>313</v>
      </c>
      <c r="D52" s="114">
        <v>0</v>
      </c>
      <c r="E52" s="114">
        <f t="shared" ca="1" si="5"/>
        <v>5</v>
      </c>
      <c r="F52" s="114">
        <f t="shared" ca="1" si="6"/>
        <v>0</v>
      </c>
      <c r="G52" s="114" t="s">
        <v>659</v>
      </c>
      <c r="H52" s="115" t="s">
        <v>1171</v>
      </c>
    </row>
    <row r="53" spans="1:8" ht="38.25">
      <c r="A53" s="114" t="s">
        <v>1144</v>
      </c>
      <c r="B53" s="115" t="s">
        <v>1504</v>
      </c>
      <c r="C53" s="114" t="s">
        <v>313</v>
      </c>
      <c r="D53" s="114">
        <v>0</v>
      </c>
      <c r="E53" s="114">
        <f t="shared" ca="1" si="5"/>
        <v>3</v>
      </c>
      <c r="F53" s="114">
        <f t="shared" ca="1" si="6"/>
        <v>0</v>
      </c>
      <c r="G53" s="114" t="s">
        <v>659</v>
      </c>
      <c r="H53" s="115" t="s">
        <v>1508</v>
      </c>
    </row>
    <row r="54" spans="1:8" ht="25.5">
      <c r="A54" s="114" t="s">
        <v>1140</v>
      </c>
      <c r="B54" s="115" t="s">
        <v>417</v>
      </c>
      <c r="C54" s="114" t="s">
        <v>313</v>
      </c>
      <c r="D54" s="114">
        <v>0</v>
      </c>
      <c r="E54" s="114">
        <f t="shared" ca="1" si="5"/>
        <v>3</v>
      </c>
      <c r="F54" s="114">
        <f t="shared" ca="1" si="6"/>
        <v>0</v>
      </c>
      <c r="G54" s="114" t="s">
        <v>659</v>
      </c>
      <c r="H54" s="115" t="s">
        <v>1319</v>
      </c>
    </row>
    <row r="55" spans="1:8" ht="51">
      <c r="A55" s="114" t="s">
        <v>1139</v>
      </c>
      <c r="B55" s="115" t="s">
        <v>559</v>
      </c>
      <c r="C55" s="114" t="s">
        <v>313</v>
      </c>
      <c r="D55" s="114">
        <v>0.5</v>
      </c>
      <c r="E55" s="114">
        <f t="shared" ca="1" si="5"/>
        <v>3</v>
      </c>
      <c r="F55" s="114">
        <f t="shared" ca="1" si="6"/>
        <v>1.5</v>
      </c>
      <c r="G55" s="114" t="s">
        <v>659</v>
      </c>
      <c r="H55" s="115" t="s">
        <v>1172</v>
      </c>
    </row>
    <row r="56" spans="1:8" ht="25.5">
      <c r="A56" s="114" t="s">
        <v>1144</v>
      </c>
      <c r="B56" s="115" t="s">
        <v>484</v>
      </c>
      <c r="C56" s="114" t="s">
        <v>313</v>
      </c>
      <c r="D56" s="114">
        <v>0</v>
      </c>
      <c r="E56" s="114">
        <f t="shared" ca="1" si="5"/>
        <v>3</v>
      </c>
      <c r="F56" s="114">
        <f t="shared" ca="1" si="6"/>
        <v>0</v>
      </c>
      <c r="G56" s="114" t="s">
        <v>659</v>
      </c>
      <c r="H56" s="115" t="s">
        <v>1173</v>
      </c>
    </row>
    <row r="57" spans="1:8">
      <c r="A57" s="114" t="s">
        <v>1138</v>
      </c>
      <c r="B57" s="115" t="s">
        <v>82</v>
      </c>
      <c r="C57" s="114" t="s">
        <v>375</v>
      </c>
      <c r="D57" s="114">
        <v>0.5</v>
      </c>
      <c r="E57" s="114">
        <f t="shared" ca="1" si="5"/>
        <v>5</v>
      </c>
      <c r="F57" s="114">
        <f t="shared" ca="1" si="6"/>
        <v>2.5</v>
      </c>
      <c r="G57" s="114" t="s">
        <v>659</v>
      </c>
      <c r="H57" s="115" t="s">
        <v>681</v>
      </c>
    </row>
    <row r="58" spans="1:8">
      <c r="A58" s="114" t="s">
        <v>1139</v>
      </c>
      <c r="B58" s="115" t="s">
        <v>84</v>
      </c>
      <c r="C58" s="114" t="s">
        <v>375</v>
      </c>
      <c r="D58" s="114">
        <v>0.5</v>
      </c>
      <c r="E58" s="114">
        <f t="shared" ca="1" si="5"/>
        <v>1</v>
      </c>
      <c r="F58" s="114">
        <f t="shared" ca="1" si="6"/>
        <v>0.5</v>
      </c>
      <c r="G58" s="114" t="s">
        <v>659</v>
      </c>
      <c r="H58" s="115" t="s">
        <v>1174</v>
      </c>
    </row>
    <row r="59" spans="1:8" ht="25.5">
      <c r="A59" s="114" t="s">
        <v>1139</v>
      </c>
      <c r="B59" s="115" t="s">
        <v>1069</v>
      </c>
      <c r="C59" s="114" t="s">
        <v>375</v>
      </c>
      <c r="D59" s="114">
        <v>0.5</v>
      </c>
      <c r="E59" s="114">
        <f t="shared" ca="1" si="5"/>
        <v>2</v>
      </c>
      <c r="F59" s="114">
        <f t="shared" ca="1" si="6"/>
        <v>1</v>
      </c>
      <c r="G59" s="114" t="s">
        <v>659</v>
      </c>
      <c r="H59" s="115" t="s">
        <v>1530</v>
      </c>
    </row>
    <row r="60" spans="1:8">
      <c r="A60" s="114" t="s">
        <v>1138</v>
      </c>
      <c r="B60" s="115" t="s">
        <v>374</v>
      </c>
      <c r="C60" s="114" t="s">
        <v>375</v>
      </c>
      <c r="D60" s="114">
        <v>0.33</v>
      </c>
      <c r="E60" s="114">
        <f t="shared" ca="1" si="5"/>
        <v>4</v>
      </c>
      <c r="F60" s="114">
        <f t="shared" ca="1" si="6"/>
        <v>1.32</v>
      </c>
      <c r="G60" s="114" t="s">
        <v>659</v>
      </c>
      <c r="H60" s="115" t="s">
        <v>682</v>
      </c>
    </row>
    <row r="61" spans="1:8">
      <c r="A61" s="114" t="s">
        <v>1139</v>
      </c>
      <c r="B61" s="115" t="s">
        <v>559</v>
      </c>
      <c r="C61" s="114" t="s">
        <v>375</v>
      </c>
      <c r="D61" s="114">
        <v>0.5</v>
      </c>
      <c r="E61" s="114">
        <f t="shared" ca="1" si="5"/>
        <v>3</v>
      </c>
      <c r="F61" s="114">
        <f t="shared" ca="1" si="6"/>
        <v>1.5</v>
      </c>
      <c r="G61" s="114" t="s">
        <v>659</v>
      </c>
      <c r="H61" s="115" t="s">
        <v>1175</v>
      </c>
    </row>
    <row r="62" spans="1:8" ht="38.25">
      <c r="A62" s="114" t="s">
        <v>1417</v>
      </c>
      <c r="B62" s="115" t="s">
        <v>556</v>
      </c>
      <c r="C62" s="114" t="s">
        <v>384</v>
      </c>
      <c r="D62" s="114">
        <v>0.2</v>
      </c>
      <c r="E62" s="114">
        <f t="shared" ca="1" si="5"/>
        <v>4</v>
      </c>
      <c r="F62" s="114">
        <f t="shared" ca="1" si="6"/>
        <v>0.8</v>
      </c>
      <c r="G62" s="114" t="s">
        <v>659</v>
      </c>
      <c r="H62" s="115" t="s">
        <v>1176</v>
      </c>
    </row>
    <row r="63" spans="1:8" ht="38.25">
      <c r="A63" s="114" t="s">
        <v>1139</v>
      </c>
      <c r="B63" s="115" t="s">
        <v>84</v>
      </c>
      <c r="C63" s="114" t="s">
        <v>384</v>
      </c>
      <c r="D63" s="114">
        <v>0.33</v>
      </c>
      <c r="E63" s="114">
        <f t="shared" ca="1" si="5"/>
        <v>1</v>
      </c>
      <c r="F63" s="114">
        <f t="shared" ca="1" si="6"/>
        <v>0.33</v>
      </c>
      <c r="G63" s="114" t="s">
        <v>659</v>
      </c>
      <c r="H63" s="115" t="s">
        <v>1177</v>
      </c>
    </row>
    <row r="64" spans="1:8" ht="25.5">
      <c r="A64" s="114" t="s">
        <v>1139</v>
      </c>
      <c r="B64" s="115" t="s">
        <v>1069</v>
      </c>
      <c r="C64" s="114" t="s">
        <v>384</v>
      </c>
      <c r="D64" s="114">
        <v>0.33</v>
      </c>
      <c r="E64" s="114">
        <f t="shared" ca="1" si="5"/>
        <v>2</v>
      </c>
      <c r="F64" s="114">
        <f t="shared" ca="1" si="6"/>
        <v>0.66</v>
      </c>
      <c r="G64" s="114" t="s">
        <v>659</v>
      </c>
      <c r="H64" s="115" t="s">
        <v>1178</v>
      </c>
    </row>
    <row r="65" spans="1:8" ht="51">
      <c r="A65" s="114" t="s">
        <v>1139</v>
      </c>
      <c r="B65" s="115" t="s">
        <v>1072</v>
      </c>
      <c r="C65" s="114" t="s">
        <v>384</v>
      </c>
      <c r="D65" s="114">
        <v>0.2</v>
      </c>
      <c r="E65" s="114">
        <f t="shared" ca="1" si="5"/>
        <v>4</v>
      </c>
      <c r="F65" s="114">
        <f t="shared" ca="1" si="6"/>
        <v>0.8</v>
      </c>
      <c r="G65" s="114" t="s">
        <v>659</v>
      </c>
      <c r="H65" s="115" t="s">
        <v>1179</v>
      </c>
    </row>
    <row r="66" spans="1:8" ht="38.25">
      <c r="A66" s="114" t="s">
        <v>1138</v>
      </c>
      <c r="B66" s="115" t="s">
        <v>82</v>
      </c>
      <c r="C66" s="114" t="s">
        <v>388</v>
      </c>
      <c r="D66" s="114">
        <v>0.33</v>
      </c>
      <c r="E66" s="114">
        <f t="shared" ca="1" si="5"/>
        <v>5</v>
      </c>
      <c r="F66" s="114">
        <f t="shared" ca="1" si="6"/>
        <v>1.6500000000000001</v>
      </c>
      <c r="G66" s="114" t="s">
        <v>659</v>
      </c>
      <c r="H66" s="115" t="s">
        <v>1180</v>
      </c>
    </row>
    <row r="67" spans="1:8" ht="25.5">
      <c r="A67" s="114" t="s">
        <v>1138</v>
      </c>
      <c r="B67" s="115" t="s">
        <v>374</v>
      </c>
      <c r="C67" s="114" t="s">
        <v>388</v>
      </c>
      <c r="D67" s="114">
        <v>0.33</v>
      </c>
      <c r="E67" s="114">
        <f t="shared" ca="1" si="5"/>
        <v>4</v>
      </c>
      <c r="F67" s="114">
        <f t="shared" ca="1" si="6"/>
        <v>1.32</v>
      </c>
      <c r="G67" s="114" t="s">
        <v>659</v>
      </c>
      <c r="H67" s="115" t="s">
        <v>1181</v>
      </c>
    </row>
    <row r="68" spans="1:8" ht="25.5">
      <c r="A68" s="114" t="s">
        <v>1139</v>
      </c>
      <c r="B68" s="115" t="s">
        <v>1072</v>
      </c>
      <c r="C68" s="114" t="s">
        <v>388</v>
      </c>
      <c r="D68" s="114">
        <v>0.33</v>
      </c>
      <c r="E68" s="114">
        <f t="shared" ca="1" si="5"/>
        <v>4</v>
      </c>
      <c r="F68" s="114">
        <f t="shared" ca="1" si="6"/>
        <v>1.32</v>
      </c>
      <c r="G68" s="114" t="s">
        <v>659</v>
      </c>
      <c r="H68" s="115" t="s">
        <v>1182</v>
      </c>
    </row>
    <row r="69" spans="1:8">
      <c r="A69" s="114" t="s">
        <v>1144</v>
      </c>
      <c r="B69" s="115" t="s">
        <v>481</v>
      </c>
      <c r="C69" s="114" t="s">
        <v>295</v>
      </c>
      <c r="D69" s="114">
        <v>0.33</v>
      </c>
      <c r="E69" s="114">
        <f t="shared" ca="1" si="5"/>
        <v>3</v>
      </c>
      <c r="F69" s="114">
        <f t="shared" ca="1" si="6"/>
        <v>0.99</v>
      </c>
      <c r="G69" s="114" t="s">
        <v>659</v>
      </c>
      <c r="H69" s="115" t="s">
        <v>662</v>
      </c>
    </row>
    <row r="70" spans="1:8">
      <c r="A70" s="114" t="s">
        <v>1148</v>
      </c>
      <c r="B70" s="115" t="s">
        <v>591</v>
      </c>
      <c r="C70" s="114" t="s">
        <v>295</v>
      </c>
      <c r="D70" s="114">
        <v>0.33</v>
      </c>
      <c r="E70" s="114">
        <f t="shared" ca="1" si="5"/>
        <v>4</v>
      </c>
      <c r="F70" s="114">
        <f t="shared" ca="1" si="6"/>
        <v>1.32</v>
      </c>
      <c r="G70" s="114" t="s">
        <v>659</v>
      </c>
      <c r="H70" s="115" t="s">
        <v>662</v>
      </c>
    </row>
    <row r="71" spans="1:8">
      <c r="A71" s="114" t="s">
        <v>1140</v>
      </c>
      <c r="B71" s="115" t="s">
        <v>1115</v>
      </c>
      <c r="C71" s="114" t="s">
        <v>295</v>
      </c>
      <c r="D71" s="114">
        <v>0.33</v>
      </c>
      <c r="E71" s="114">
        <f t="shared" ca="1" si="5"/>
        <v>3</v>
      </c>
      <c r="F71" s="114">
        <f t="shared" ca="1" si="6"/>
        <v>0.99</v>
      </c>
      <c r="G71" s="114" t="s">
        <v>659</v>
      </c>
      <c r="H71" s="115" t="s">
        <v>1183</v>
      </c>
    </row>
    <row r="72" spans="1:8" ht="38.25">
      <c r="A72" s="114" t="s">
        <v>1135</v>
      </c>
      <c r="B72" s="115" t="s">
        <v>86</v>
      </c>
      <c r="C72" s="114" t="s">
        <v>349</v>
      </c>
      <c r="D72" s="114">
        <v>0</v>
      </c>
      <c r="E72" s="114">
        <f t="shared" ca="1" si="5"/>
        <v>4</v>
      </c>
      <c r="F72" s="114">
        <f t="shared" ca="1" si="6"/>
        <v>0</v>
      </c>
      <c r="G72" s="114" t="s">
        <v>659</v>
      </c>
      <c r="H72" s="115" t="s">
        <v>1184</v>
      </c>
    </row>
    <row r="73" spans="1:8" ht="25.5">
      <c r="A73" s="114" t="s">
        <v>1140</v>
      </c>
      <c r="B73" s="115" t="s">
        <v>427</v>
      </c>
      <c r="C73" s="114" t="s">
        <v>349</v>
      </c>
      <c r="D73" s="114">
        <v>0</v>
      </c>
      <c r="E73" s="114">
        <f t="shared" ca="1" si="5"/>
        <v>4</v>
      </c>
      <c r="F73" s="114">
        <f t="shared" ca="1" si="6"/>
        <v>0</v>
      </c>
      <c r="G73" s="114" t="s">
        <v>659</v>
      </c>
      <c r="H73" s="115" t="s">
        <v>1185</v>
      </c>
    </row>
    <row r="74" spans="1:8" ht="25.5">
      <c r="A74" s="114" t="s">
        <v>1135</v>
      </c>
      <c r="B74" s="115" t="s">
        <v>517</v>
      </c>
      <c r="C74" s="114" t="s">
        <v>337</v>
      </c>
      <c r="D74" s="114">
        <v>0</v>
      </c>
      <c r="E74" s="114">
        <f t="shared" ca="1" si="5"/>
        <v>3</v>
      </c>
      <c r="F74" s="114">
        <f t="shared" ca="1" si="6"/>
        <v>0</v>
      </c>
      <c r="G74" s="114" t="s">
        <v>659</v>
      </c>
      <c r="H74" s="115" t="s">
        <v>1186</v>
      </c>
    </row>
    <row r="75" spans="1:8">
      <c r="A75" s="114" t="s">
        <v>1135</v>
      </c>
      <c r="B75" s="115" t="s">
        <v>586</v>
      </c>
      <c r="C75" s="114" t="s">
        <v>337</v>
      </c>
      <c r="D75" s="114">
        <v>0.2</v>
      </c>
      <c r="E75" s="114">
        <f t="shared" ca="1" si="5"/>
        <v>3</v>
      </c>
      <c r="F75" s="114">
        <f t="shared" ca="1" si="6"/>
        <v>0.60000000000000009</v>
      </c>
      <c r="G75" s="114" t="s">
        <v>659</v>
      </c>
      <c r="H75" s="115" t="s">
        <v>1187</v>
      </c>
    </row>
    <row r="76" spans="1:8">
      <c r="A76" s="114" t="s">
        <v>1138</v>
      </c>
      <c r="B76" s="115" t="s">
        <v>82</v>
      </c>
      <c r="C76" s="114" t="s">
        <v>299</v>
      </c>
      <c r="D76" s="114">
        <v>0</v>
      </c>
      <c r="E76" s="114">
        <f t="shared" ca="1" si="5"/>
        <v>5</v>
      </c>
      <c r="F76" s="114">
        <f t="shared" ca="1" si="6"/>
        <v>0</v>
      </c>
      <c r="G76" s="114" t="s">
        <v>659</v>
      </c>
      <c r="H76" s="115" t="s">
        <v>1188</v>
      </c>
    </row>
    <row r="77" spans="1:8">
      <c r="A77" s="114" t="s">
        <v>1138</v>
      </c>
      <c r="B77" s="115" t="s">
        <v>488</v>
      </c>
      <c r="C77" s="114" t="s">
        <v>308</v>
      </c>
      <c r="D77" s="114">
        <v>0</v>
      </c>
      <c r="E77" s="114">
        <f t="shared" ca="1" si="5"/>
        <v>6</v>
      </c>
      <c r="F77" s="114">
        <f t="shared" ca="1" si="6"/>
        <v>0</v>
      </c>
      <c r="G77" s="114" t="s">
        <v>659</v>
      </c>
      <c r="H77" s="115" t="s">
        <v>1189</v>
      </c>
    </row>
    <row r="78" spans="1:8" ht="25.5">
      <c r="A78" s="114" t="s">
        <v>1148</v>
      </c>
      <c r="B78" s="115" t="s">
        <v>1040</v>
      </c>
      <c r="C78" s="114" t="s">
        <v>912</v>
      </c>
      <c r="D78" s="114">
        <v>0</v>
      </c>
      <c r="E78" s="114">
        <f t="shared" ca="1" si="5"/>
        <v>3</v>
      </c>
      <c r="F78" s="114">
        <f t="shared" ca="1" si="6"/>
        <v>0</v>
      </c>
      <c r="G78" s="114" t="s">
        <v>659</v>
      </c>
      <c r="H78" s="115" t="s">
        <v>1190</v>
      </c>
    </row>
    <row r="79" spans="1:8" ht="25.5">
      <c r="A79" s="114" t="s">
        <v>1556</v>
      </c>
      <c r="B79" s="115" t="s">
        <v>1543</v>
      </c>
      <c r="C79" s="114" t="s">
        <v>1557</v>
      </c>
      <c r="D79" s="114">
        <v>0.5</v>
      </c>
      <c r="E79" s="114">
        <f t="shared" ca="1" si="5"/>
        <v>3</v>
      </c>
      <c r="F79" s="114">
        <f t="shared" ref="F79:F81" ca="1" si="9">IF(ISNUMBER(E79),$D79*E79,0)</f>
        <v>1.5</v>
      </c>
      <c r="G79" s="114" t="s">
        <v>1558</v>
      </c>
      <c r="H79" s="115" t="s">
        <v>1559</v>
      </c>
    </row>
    <row r="80" spans="1:8" ht="38.25">
      <c r="A80" s="114" t="s">
        <v>1556</v>
      </c>
      <c r="B80" s="115" t="s">
        <v>1543</v>
      </c>
      <c r="C80" s="114" t="s">
        <v>1233</v>
      </c>
      <c r="D80" s="114">
        <v>0.5</v>
      </c>
      <c r="E80" s="114">
        <f t="shared" ca="1" si="5"/>
        <v>3</v>
      </c>
      <c r="F80" s="114">
        <f t="shared" ca="1" si="9"/>
        <v>1.5</v>
      </c>
      <c r="G80" s="114" t="s">
        <v>1558</v>
      </c>
      <c r="H80" s="115" t="s">
        <v>1560</v>
      </c>
    </row>
    <row r="81" spans="1:8" ht="25.5">
      <c r="A81" s="114" t="s">
        <v>1556</v>
      </c>
      <c r="B81" s="115" t="s">
        <v>1543</v>
      </c>
      <c r="C81" s="114" t="s">
        <v>1561</v>
      </c>
      <c r="D81" s="114">
        <v>0.2</v>
      </c>
      <c r="E81" s="114">
        <f t="shared" ca="1" si="5"/>
        <v>3</v>
      </c>
      <c r="F81" s="114">
        <f t="shared" ca="1" si="9"/>
        <v>0.60000000000000009</v>
      </c>
      <c r="G81" s="114" t="s">
        <v>1558</v>
      </c>
      <c r="H81" s="115" t="s">
        <v>1562</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1191</v>
      </c>
    </row>
    <row r="2" spans="1:9">
      <c r="A2" s="119" t="s">
        <v>1192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6" ca="1" si="0">B5+C5</f>
        <v>9</v>
      </c>
      <c r="E5" s="114" t="str">
        <f t="shared" ref="E5:E26" ca="1" si="1">IF(D5&gt;20,"과다 점검",IF(D5&gt;=10,"충분",IF(D5&gt;=8,"하한",IF(D5&gt;=1,"보완 필요","미배치"))))</f>
        <v>하한</v>
      </c>
      <c r="F5" s="115" t="s">
        <v>1610</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1193</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1527</v>
      </c>
      <c r="H7" s="124" t="s">
        <v>1194</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1510</v>
      </c>
      <c r="H8" s="124" t="s">
        <v>1195</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1315</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1528</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1470</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1563</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1564</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1404</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MROUND(SUMIFS(복귀_간접계수맵!$F$7:$F$98,복귀_간접계수맵!$C$7:$C$98,$A15),0.5)</f>
        <v>0</v>
      </c>
      <c r="D15" s="114">
        <f t="shared" ref="D15" si="2">B15+C15</f>
        <v>9</v>
      </c>
      <c r="E15" s="114" t="str">
        <f t="shared" ref="E15" si="3">IF(D15&gt;20,"과다 점검",IF(D15&gt;=10,"충분",IF(D15&gt;=8,"하한",IF(D15&gt;=1,"보완 필요","미배치"))))</f>
        <v>하한</v>
      </c>
      <c r="F15" s="115" t="s">
        <v>1583</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MROUND(SUMIFS(복귀_간접계수맵!$F$7:$F$98,복귀_간접계수맵!$C$7:$C$98,$A16),0.5)</f>
        <v>1.5</v>
      </c>
      <c r="D16" s="114">
        <f t="shared" ca="1" si="0"/>
        <v>13.5</v>
      </c>
      <c r="E16" s="114" t="str">
        <f t="shared" ca="1" si="1"/>
        <v>충분</v>
      </c>
      <c r="F16" s="115" t="s">
        <v>1479</v>
      </c>
      <c r="H16" s="124" t="s">
        <v>1196</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MROUND(SUMIFS(복귀_간접계수맵!$F$7:$F$98,복귀_간접계수맵!$C$7:$C$98,$A17),0.5)</f>
        <v>2.5</v>
      </c>
      <c r="D17" s="114">
        <f t="shared" ca="1" si="0"/>
        <v>12.5</v>
      </c>
      <c r="E17" s="114" t="str">
        <f t="shared" ca="1" si="1"/>
        <v>충분</v>
      </c>
      <c r="F17" s="115" t="s">
        <v>1445</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MROUND(SUMIFS(복귀_간접계수맵!$F$7:$F$98,복귀_간접계수맵!$C$7:$C$98,$A18),0.5)</f>
        <v>7</v>
      </c>
      <c r="D18" s="114">
        <f t="shared" ca="1" si="0"/>
        <v>15</v>
      </c>
      <c r="E18" s="114" t="str">
        <f t="shared" ca="1" si="1"/>
        <v>충분</v>
      </c>
      <c r="F18" s="115" t="s">
        <v>1443</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MROUND(SUMIFS(복귀_간접계수맵!$F$7:$F$98,복귀_간접계수맵!$C$7:$C$98,$A19),0.5)</f>
        <v>0</v>
      </c>
      <c r="D19" s="114">
        <f t="shared" si="0"/>
        <v>11</v>
      </c>
      <c r="E19" s="114" t="str">
        <f t="shared" si="1"/>
        <v>충분</v>
      </c>
      <c r="F19" s="115" t="s">
        <v>1430</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MROUND(SUMIFS(복귀_간접계수맵!$F$7:$F$98,복귀_간접계수맵!$C$7:$C$98,$A20),0.5)</f>
        <v>0</v>
      </c>
      <c r="D20" s="114">
        <f t="shared" ca="1" si="0"/>
        <v>12</v>
      </c>
      <c r="E20" s="114" t="str">
        <f t="shared" ca="1" si="1"/>
        <v>충분</v>
      </c>
      <c r="F20" s="115" t="s">
        <v>1197</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MROUND(SUMIFS(복귀_간접계수맵!$F$7:$F$98,복귀_간접계수맵!$C$7:$C$98,$A21),0.5)</f>
        <v>8</v>
      </c>
      <c r="D21" s="114">
        <f t="shared" ca="1" si="0"/>
        <v>21</v>
      </c>
      <c r="E21" s="114" t="str">
        <f t="shared" ca="1" si="1"/>
        <v>과다 점검</v>
      </c>
      <c r="F21" s="115" t="s">
        <v>1411</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MROUND(SUMIFS(복귀_간접계수맵!$F$7:$F$98,복귀_간접계수맵!$C$7:$C$98,$A22),0.5)</f>
        <v>9.5</v>
      </c>
      <c r="D22" s="114">
        <f t="shared" ca="1" si="0"/>
        <v>21.5</v>
      </c>
      <c r="E22" s="114" t="str">
        <f t="shared" ca="1" si="1"/>
        <v>과다 점검</v>
      </c>
      <c r="F22" s="115" t="s">
        <v>1572</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MROUND(SUMIFS(복귀_간접계수맵!$F$7:$F$98,복귀_간접계수맵!$C$7:$C$98,$A23),0.5)</f>
        <v>5</v>
      </c>
      <c r="D23" s="114">
        <f t="shared" ca="1" si="0"/>
        <v>22</v>
      </c>
      <c r="E23" s="114" t="str">
        <f t="shared" ca="1" si="1"/>
        <v>과다 점검</v>
      </c>
      <c r="F23" s="115" t="s">
        <v>1412</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MROUND(SUMIFS(복귀_간접계수맵!$F$7:$F$98,복귀_간접계수맵!$C$7:$C$98,$A24),0.5)</f>
        <v>0</v>
      </c>
      <c r="D24" s="114">
        <f t="shared" ca="1" si="0"/>
        <v>6</v>
      </c>
      <c r="E24" s="114" t="str">
        <f t="shared" ca="1" si="1"/>
        <v>보완 필요</v>
      </c>
      <c r="F24" s="115" t="s">
        <v>1495</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MROUND(SUMIFS(복귀_간접계수맵!$F$7:$F$98,복귀_간접계수맵!$C$7:$C$98,$A25),0.5)</f>
        <v>4.5</v>
      </c>
      <c r="D25" s="114">
        <f t="shared" ca="1" si="0"/>
        <v>12.5</v>
      </c>
      <c r="E25" s="114" t="str">
        <f t="shared" ca="1" si="1"/>
        <v>충분</v>
      </c>
      <c r="F25" s="115" t="s">
        <v>1431</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MROUND(SUMIFS(복귀_간접계수맵!$F$7:$F$98,복귀_간접계수맵!$C$7:$C$98,$A26),0.5)</f>
        <v>0</v>
      </c>
      <c r="D26" s="114">
        <f t="shared" ca="1" si="0"/>
        <v>6</v>
      </c>
      <c r="E26" s="114" t="str">
        <f t="shared" ca="1" si="1"/>
        <v>보완 필요</v>
      </c>
      <c r="F26" s="115" t="s">
        <v>1198</v>
      </c>
    </row>
    <row r="27" spans="1:6">
      <c r="A27" s="107" t="s">
        <v>759</v>
      </c>
      <c r="B27" s="116">
        <f>SUM(B5:B26)</f>
        <v>235</v>
      </c>
      <c r="D27" s="116">
        <f ca="1">SUM(D5:D26)</f>
        <v>308</v>
      </c>
    </row>
    <row r="29" spans="1:6">
      <c r="A29" s="107" t="s">
        <v>760</v>
      </c>
    </row>
    <row r="30" spans="1:6">
      <c r="A30" s="123" t="s">
        <v>1199</v>
      </c>
    </row>
    <row r="31" spans="1:6">
      <c r="A31" s="123" t="s">
        <v>1200</v>
      </c>
    </row>
    <row r="32" spans="1:6">
      <c r="A32" s="123" t="s">
        <v>1201</v>
      </c>
    </row>
    <row r="33" spans="1:1">
      <c r="A33" s="123" t="s">
        <v>1202</v>
      </c>
    </row>
    <row r="35" spans="1:1">
      <c r="A35" s="107" t="s">
        <v>1203</v>
      </c>
    </row>
    <row r="36" spans="1:1">
      <c r="A36" s="123" t="s">
        <v>1204</v>
      </c>
    </row>
    <row r="37" spans="1:1">
      <c r="A37" s="123" t="s">
        <v>1205</v>
      </c>
    </row>
    <row r="38" spans="1:1">
      <c r="A38" s="123" t="s">
        <v>1206</v>
      </c>
    </row>
    <row r="39" spans="1:1">
      <c r="A39" s="123" t="s">
        <v>1207</v>
      </c>
    </row>
    <row r="40" spans="1:1">
      <c r="A40" s="123" t="s">
        <v>1208</v>
      </c>
    </row>
    <row r="41" spans="1:1">
      <c r="A41" s="123" t="s">
        <v>1209</v>
      </c>
    </row>
    <row r="42" spans="1:1">
      <c r="A42" s="123" t="s">
        <v>1210</v>
      </c>
    </row>
    <row r="43" spans="1:1">
      <c r="A43" s="123" t="s">
        <v>1211</v>
      </c>
    </row>
    <row r="44" spans="1:1">
      <c r="A44" s="123" t="s">
        <v>1212</v>
      </c>
    </row>
    <row r="45" spans="1:1">
      <c r="A45" s="123" t="s">
        <v>1328</v>
      </c>
    </row>
    <row r="47" spans="1:1">
      <c r="A47" s="107" t="s">
        <v>1213</v>
      </c>
    </row>
    <row r="48" spans="1:1">
      <c r="A48" s="123" t="s">
        <v>1214</v>
      </c>
    </row>
    <row r="49" spans="1:1">
      <c r="A49" s="123" t="s">
        <v>1215</v>
      </c>
    </row>
    <row r="50" spans="1:1">
      <c r="A50" s="123" t="s">
        <v>1216</v>
      </c>
    </row>
    <row r="51" spans="1:1">
      <c r="A51" s="123" t="s">
        <v>1217</v>
      </c>
    </row>
    <row r="53" spans="1:1">
      <c r="A53" s="107" t="s">
        <v>1218</v>
      </c>
    </row>
    <row r="54" spans="1:1">
      <c r="A54" s="123" t="s">
        <v>1219</v>
      </c>
    </row>
    <row r="55" spans="1:1">
      <c r="A55" s="123" t="s">
        <v>1465</v>
      </c>
    </row>
    <row r="56" spans="1:1">
      <c r="A56" s="123" t="s">
        <v>1220</v>
      </c>
    </row>
    <row r="57" spans="1:1">
      <c r="A57" s="123" t="s">
        <v>1221</v>
      </c>
    </row>
    <row r="58" spans="1:1">
      <c r="A58" s="123" t="s">
        <v>1222</v>
      </c>
    </row>
    <row r="59" spans="1:1">
      <c r="A59" s="123" t="s">
        <v>1223</v>
      </c>
    </row>
    <row r="60" spans="1:1">
      <c r="A60" s="123" t="s">
        <v>1299</v>
      </c>
    </row>
    <row r="61" spans="1:1">
      <c r="A61" s="123" t="s">
        <v>1224</v>
      </c>
    </row>
    <row r="62" spans="1:1">
      <c r="A62" s="123" t="s">
        <v>1405</v>
      </c>
    </row>
    <row r="63" spans="1:1">
      <c r="A63" s="123" t="s">
        <v>1461</v>
      </c>
    </row>
    <row r="65" spans="1:1">
      <c r="A65" s="107" t="s">
        <v>1225</v>
      </c>
    </row>
    <row r="66" spans="1:1">
      <c r="A66" s="123" t="s">
        <v>1226</v>
      </c>
    </row>
    <row r="67" spans="1:1">
      <c r="A67" s="123" t="s">
        <v>1227</v>
      </c>
    </row>
    <row r="68" spans="1:1">
      <c r="A68" s="123" t="s">
        <v>1228</v>
      </c>
    </row>
    <row r="69" spans="1:1">
      <c r="A69" s="123" t="s">
        <v>1229</v>
      </c>
    </row>
    <row r="70" spans="1:1">
      <c r="A70" s="123" t="s">
        <v>1230</v>
      </c>
    </row>
    <row r="71" spans="1:1">
      <c r="A71" s="123" t="s">
        <v>1432</v>
      </c>
    </row>
    <row r="72" spans="1:1">
      <c r="A72" s="123" t="s">
        <v>1231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2026-10-23T05:28:27Z</dcterms:modified>
  <dc:language>en-US</dc:language>
</cp:coreProperties>
</file>