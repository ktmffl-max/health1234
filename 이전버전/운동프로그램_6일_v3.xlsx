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211" documentId="11_BE7D80F47901E0B751457FF3A2815780DFAC3918" xr6:coauthVersionLast="47" xr6:coauthVersionMax="47" xr10:uidLastSave="{09855542-5259-440A-A1F7-01DF67EE6C71}"/>
  <bookViews>
    <workbookView xWindow="-120" yWindow="-120" windowWidth="38640" windowHeight="21120" tabRatio="709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세트검산" sheetId="10" r:id="rId10"/>
    <sheet name="증량기록" sheetId="11" r:id="rId11"/>
    <sheet name="9월이후조정" sheetId="12" r:id="rId12"/>
    <sheet name="복귀_주간계획" sheetId="13" r:id="rId13"/>
    <sheet name="복귀_화_상체밀기" sheetId="14" r:id="rId14"/>
    <sheet name="복귀_토_하체" sheetId="15" r:id="rId15"/>
    <sheet name="복귀_일_등" sheetId="16" r:id="rId16"/>
    <sheet name="복귀_증량원칙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6" l="1"/>
  <c r="E12" i="13" s="1"/>
  <c r="E12" i="15"/>
  <c r="E11" i="13" s="1"/>
  <c r="E11" i="14"/>
  <c r="E7" i="13" s="1"/>
  <c r="I10" i="11"/>
  <c r="I11" i="11" s="1"/>
  <c r="G10" i="11"/>
  <c r="E9" i="1" s="1"/>
  <c r="E10" i="11"/>
  <c r="E11" i="11" s="1"/>
  <c r="C10" i="11"/>
  <c r="C11" i="11" s="1"/>
  <c r="C12" i="11" s="1"/>
  <c r="B23" i="10"/>
  <c r="D23" i="10" s="1"/>
  <c r="E23" i="10" s="1"/>
  <c r="B22" i="10"/>
  <c r="D22" i="10" s="1"/>
  <c r="E22" i="10" s="1"/>
  <c r="B21" i="10"/>
  <c r="D21" i="10" s="1"/>
  <c r="E21" i="10" s="1"/>
  <c r="B20" i="10"/>
  <c r="D20" i="10" s="1"/>
  <c r="E20" i="10" s="1"/>
  <c r="B19" i="10"/>
  <c r="D19" i="10" s="1"/>
  <c r="E19" i="10" s="1"/>
  <c r="B18" i="10"/>
  <c r="D18" i="10" s="1"/>
  <c r="E18" i="10" s="1"/>
  <c r="B17" i="10"/>
  <c r="D17" i="10" s="1"/>
  <c r="E17" i="10" s="1"/>
  <c r="B16" i="10"/>
  <c r="D16" i="10" s="1"/>
  <c r="E16" i="10" s="1"/>
  <c r="B15" i="10"/>
  <c r="D15" i="10" s="1"/>
  <c r="E15" i="10" s="1"/>
  <c r="B14" i="10"/>
  <c r="D14" i="10" s="1"/>
  <c r="E14" i="10" s="1"/>
  <c r="B13" i="10"/>
  <c r="D13" i="10" s="1"/>
  <c r="E13" i="10" s="1"/>
  <c r="B12" i="10"/>
  <c r="D12" i="10" s="1"/>
  <c r="E12" i="10" s="1"/>
  <c r="B11" i="10"/>
  <c r="D11" i="10" s="1"/>
  <c r="E11" i="10" s="1"/>
  <c r="B10" i="10"/>
  <c r="D10" i="10" s="1"/>
  <c r="E10" i="10" s="1"/>
  <c r="B9" i="10"/>
  <c r="D9" i="10" s="1"/>
  <c r="E9" i="10" s="1"/>
  <c r="B8" i="10"/>
  <c r="D8" i="10" s="1"/>
  <c r="E8" i="10" s="1"/>
  <c r="B7" i="10"/>
  <c r="D7" i="10" s="1"/>
  <c r="E7" i="10" s="1"/>
  <c r="B6" i="10"/>
  <c r="D6" i="10" s="1"/>
  <c r="E6" i="10" s="1"/>
  <c r="B5" i="10"/>
  <c r="D5" i="10" s="1"/>
  <c r="E5" i="10" s="1"/>
  <c r="E23" i="9"/>
  <c r="E10" i="3" s="1"/>
  <c r="E29" i="8"/>
  <c r="E9" i="3" s="1"/>
  <c r="E13" i="7"/>
  <c r="E8" i="3" s="1"/>
  <c r="E22" i="6"/>
  <c r="E7" i="3" s="1"/>
  <c r="E25" i="5"/>
  <c r="E6" i="3"/>
  <c r="C4" i="2"/>
  <c r="C5" i="2" s="1"/>
  <c r="E40" i="1"/>
  <c r="C40" i="1"/>
  <c r="B40" i="1"/>
  <c r="E10" i="1"/>
  <c r="D11" i="15" s="1"/>
  <c r="C10" i="1"/>
  <c r="C9" i="1"/>
  <c r="E8" i="1"/>
  <c r="A6" i="9" s="1"/>
  <c r="C8" i="1"/>
  <c r="E7" i="1"/>
  <c r="D5" i="15" s="1"/>
  <c r="C7" i="1"/>
  <c r="E14" i="4"/>
  <c r="E5" i="3" s="1"/>
  <c r="B41" i="1" l="1"/>
  <c r="A9" i="6"/>
  <c r="A6" i="6"/>
  <c r="D5" i="16"/>
  <c r="E13" i="13"/>
  <c r="C41" i="1"/>
  <c r="E12" i="11"/>
  <c r="C42" i="1" s="1"/>
  <c r="I12" i="11"/>
  <c r="E42" i="1" s="1"/>
  <c r="E41" i="1"/>
  <c r="J21" i="9"/>
  <c r="J13" i="4"/>
  <c r="J10" i="4"/>
  <c r="J7" i="4"/>
  <c r="J21" i="6"/>
  <c r="J16" i="9"/>
  <c r="J26" i="8"/>
  <c r="A8" i="8"/>
  <c r="A10" i="8"/>
  <c r="E12" i="3"/>
  <c r="A8" i="6"/>
  <c r="A10" i="6"/>
  <c r="D15" i="6"/>
  <c r="G11" i="11"/>
  <c r="A6" i="8"/>
  <c r="A9" i="8"/>
  <c r="D40" i="1"/>
  <c r="A7" i="6"/>
  <c r="D20" i="8"/>
  <c r="B42" i="1"/>
  <c r="C13" i="11"/>
  <c r="I13" i="11"/>
  <c r="D20" i="5"/>
  <c r="A9" i="5"/>
  <c r="A8" i="5"/>
  <c r="D5" i="14"/>
  <c r="A6" i="5"/>
  <c r="A10" i="5"/>
  <c r="A7" i="5"/>
  <c r="J6" i="7"/>
  <c r="J19" i="9"/>
  <c r="J21" i="5"/>
  <c r="J15" i="6"/>
  <c r="J9" i="7"/>
  <c r="J20" i="8"/>
  <c r="A7" i="9"/>
  <c r="J22" i="9"/>
  <c r="B24" i="10"/>
  <c r="J22" i="5"/>
  <c r="J16" i="6"/>
  <c r="J10" i="7"/>
  <c r="J21" i="8"/>
  <c r="A8" i="9"/>
  <c r="J6" i="4"/>
  <c r="J23" i="5"/>
  <c r="J17" i="6"/>
  <c r="J11" i="7"/>
  <c r="J22" i="8"/>
  <c r="A9" i="9"/>
  <c r="E13" i="11"/>
  <c r="J24" i="5"/>
  <c r="J18" i="6"/>
  <c r="J12" i="7"/>
  <c r="J23" i="8"/>
  <c r="A10" i="9"/>
  <c r="J8" i="4"/>
  <c r="J19" i="6"/>
  <c r="J24" i="8"/>
  <c r="D15" i="9"/>
  <c r="J9" i="4"/>
  <c r="J20" i="6"/>
  <c r="J25" i="8"/>
  <c r="J15" i="9"/>
  <c r="J11" i="4"/>
  <c r="A7" i="8"/>
  <c r="J27" i="8"/>
  <c r="J17" i="9"/>
  <c r="J12" i="4"/>
  <c r="J28" i="8"/>
  <c r="J18" i="9"/>
  <c r="J7" i="7"/>
  <c r="J20" i="9"/>
  <c r="J20" i="5"/>
  <c r="J8" i="7"/>
  <c r="J23" i="9" l="1"/>
  <c r="G12" i="11"/>
  <c r="D41" i="1"/>
  <c r="C43" i="1"/>
  <c r="E14" i="11"/>
  <c r="J29" i="8"/>
  <c r="E43" i="1"/>
  <c r="I14" i="11"/>
  <c r="J22" i="6"/>
  <c r="J14" i="4"/>
  <c r="J13" i="7"/>
  <c r="B43" i="1"/>
  <c r="C14" i="11"/>
  <c r="J25" i="5"/>
  <c r="G13" i="11" l="1"/>
  <c r="D42" i="1"/>
  <c r="C15" i="11"/>
  <c r="B44" i="1"/>
  <c r="E44" i="1"/>
  <c r="I15" i="11"/>
  <c r="E15" i="11"/>
  <c r="C44" i="1"/>
  <c r="D43" i="1" l="1"/>
  <c r="G14" i="11"/>
  <c r="E45" i="1"/>
  <c r="I16" i="11"/>
  <c r="C45" i="1"/>
  <c r="E16" i="11"/>
  <c r="B45" i="1"/>
  <c r="C16" i="11"/>
  <c r="G15" i="11" l="1"/>
  <c r="D44" i="1"/>
  <c r="B46" i="1"/>
  <c r="C17" i="11"/>
  <c r="C46" i="1"/>
  <c r="E17" i="11"/>
  <c r="E46" i="1"/>
  <c r="I17" i="11"/>
  <c r="D45" i="1" l="1"/>
  <c r="G16" i="11"/>
  <c r="E18" i="11"/>
  <c r="C47" i="1"/>
  <c r="E47" i="1"/>
  <c r="I18" i="11"/>
  <c r="C18" i="11"/>
  <c r="B47" i="1"/>
  <c r="G17" i="11" l="1"/>
  <c r="D46" i="1"/>
  <c r="B48" i="1"/>
  <c r="C19" i="11"/>
  <c r="E48" i="1"/>
  <c r="I19" i="11"/>
  <c r="C48" i="1"/>
  <c r="E19" i="11"/>
  <c r="G18" i="11" l="1"/>
  <c r="D47" i="1"/>
  <c r="C49" i="1"/>
  <c r="E20" i="11"/>
  <c r="E49" i="1"/>
  <c r="I20" i="11"/>
  <c r="B49" i="1"/>
  <c r="C20" i="11"/>
  <c r="G19" i="11" l="1"/>
  <c r="D48" i="1"/>
  <c r="C21" i="11"/>
  <c r="B51" i="1" s="1"/>
  <c r="B50" i="1"/>
  <c r="E50" i="1"/>
  <c r="I21" i="11"/>
  <c r="E51" i="1" s="1"/>
  <c r="E21" i="11"/>
  <c r="C51" i="1" s="1"/>
  <c r="C50" i="1"/>
  <c r="G20" i="11" l="1"/>
  <c r="D49" i="1"/>
  <c r="D50" i="1" l="1"/>
  <c r="G21" i="11"/>
  <c r="D51" i="1" s="1"/>
</calcChain>
</file>

<file path=xl/sharedStrings.xml><?xml version="1.0" encoding="utf-8"?>
<sst xmlns="http://schemas.openxmlformats.org/spreadsheetml/2006/main" count="992" uniqueCount="665">
  <si>
    <t>월요일 — 당기기 A (수직)</t>
  </si>
  <si>
    <t>광배 위쪽 · 견갑골 하강 · 이두. 목요일 당기기 B(수평)와 각도를 나눈다.</t>
  </si>
  <si>
    <t>운동 구성</t>
  </si>
  <si>
    <t>#</t>
  </si>
  <si>
    <t>종목</t>
  </si>
  <si>
    <t>근육군</t>
  </si>
  <si>
    <t>중량(Kg)</t>
  </si>
  <si>
    <t>세트</t>
  </si>
  <si>
    <t>횟수</t>
  </si>
  <si>
    <t>간접 자극</t>
  </si>
  <si>
    <t>메모</t>
  </si>
  <si>
    <t>대체 종목</t>
  </si>
  <si>
    <t>이번 주 세트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</si>
  <si>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</si>
  <si>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</si>
  <si>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</si>
  <si>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</si>
  <si>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</si>
  <si>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</si>
  <si>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</si>
  <si>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</si>
  <si>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—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</si>
  <si>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</si>
  <si>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</si>
  <si>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</si>
  <si>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</si>
  <si>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</si>
  <si>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</si>
  <si>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</si>
  <si>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</si>
  <si>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</si>
  <si>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바벨 컬</t>
  </si>
  <si>
    <t>30~35</t>
  </si>
  <si>
    <t>전완</t>
  </si>
  <si>
    <t>당기기 뒤 이두. 반동 쓰지 말 것</t>
  </si>
  <si>
    <t>EZ바 컬 (손목이 편함) / 케이블 컬 (전 구간 장력) / 해머 컬 (상완요골근 동시)</t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</si>
  <si>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</si>
  <si>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</si>
  <si>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</si>
  <si>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</si>
  <si>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</si>
  <si>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</si>
  <si>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</si>
  <si>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</si>
  <si>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</si>
  <si>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</si>
  <si>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10~15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</si>
  <si>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</si>
  <si>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</si>
  <si>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</si>
  <si>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</si>
  <si>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</si>
  <si>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</si>
  <si>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</si>
  <si>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</si>
  <si>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</si>
  <si>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</si>
  <si>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</si>
  <si>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</si>
  <si>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</si>
  <si>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5년 전 중량</t>
  </si>
  <si>
    <t>권장 시작 (40%)</t>
  </si>
  <si>
    <t>시작 중량 ★입력★</t>
  </si>
  <si>
    <t>현재 작업중량</t>
  </si>
  <si>
    <t>본세트</t>
  </si>
  <si>
    <t>스쿼트</t>
  </si>
  <si>
    <t>5회 × 5세트</t>
  </si>
  <si>
    <t>데드리프트</t>
  </si>
  <si>
    <t>5회 × 1세트</t>
  </si>
  <si>
    <t>벤치프레스</t>
  </si>
  <si>
    <t>밀리터리 프레스</t>
  </si>
  <si>
    <t>5회 × 3세트</t>
  </si>
  <si>
    <t>↑ 여기에 숫자를 직접 입력</t>
  </si>
  <si>
    <t>D열(시작 중량)을 바꾸는 법</t>
  </si>
  <si>
    <t>· D7~D10 노란 칸에 원하는 숫자를 그냥 입력하면 됩니다. 수식이 아니라 일반 숫자입니다.</t>
  </si>
  <si>
    <t>· 예: 스쿼트를 30kg으로 시작하고 싶으면 D7에 30을 입력. 나머지는 전부 자동으로 따라옵니다.</t>
  </si>
  <si>
    <t>· C열은 참고용 계산값이므로 건드리지 않아도 됩니다.</t>
  </si>
  <si>
    <t>· 그리고 C4의 '현재 주차'는 매주 1씩 올려주는 칸입니다. 이 두 곳 외에는 손댈 필요가 없습니다.</t>
  </si>
  <si>
    <t>5년 공백 후 시작 중량 잡는 법</t>
  </si>
  <si>
    <t>· 5년 쉬었으면 근력보다 관절 · 건 · 인대와 폼 감각이 먼저 무너져 있다. 근육은 빨리 돌아오지만 이쪽은 느리다.</t>
  </si>
  <si>
    <t>· 벤치와 프레스는 빈 봉(20kg)에서 시작하는 것이 맞다. 이것이 과한 것이 아니라 정상이다.</t>
  </si>
  <si>
    <t>· 기준: 10회는 할 수 있을 것 같은 무게로 5회만 하는 것. 여유가 크게 느껴져야 맞다.</t>
  </si>
  <si>
    <t>· 첫 3~4주는 훈련이 아니라 재적응 기간으로 본다. 가볍다고 느껴도 그대로 간다.</t>
  </si>
  <si>
    <t>· 너무 가볍게 시작해서 잃는 것은 3~4주뿐이다. 너무 무겁게 시작하면 몇 달을 잃는다.</t>
  </si>
  <si>
    <t>· 5년 전 중량은 참고치일 뿐 목표가 아니다. 다만 한 번 만들어본 근력은 처음 만들 때보다 빠르게 돌아온다.</t>
  </si>
  <si>
    <t>· 주당 2.5kg씩만 올라가도 20주면 스쿼트가 예전 중량에 닿는다. 조급해할 이유가 없다.</t>
  </si>
  <si>
    <t>사용법</t>
  </si>
  <si>
    <t>· 1단계: D7~D10에 시작 중량을 입력한다 (기본값은 5년 전 중량의 40%).</t>
  </si>
  <si>
    <t>· 2단계: 증량기록 시트에서 매주 달성 여부에 O / X를 입력한다.</t>
  </si>
  <si>
    <t>· 3단계: C4의 현재 주차를 바꾸면 요일 시트의 웜업과 본세트 중량이 자동으로 따라온다.</t>
  </si>
  <si>
    <t>· 웜업은 작업중량의 40 / 60 / 75 / 90%로 자동 계산되며 2.5kg 단위로 반올림된다.</t>
  </si>
  <si>
    <t>· 중량이 낮아 앞 세트와 겹치는 웜업은 '생략'으로 자동 표시된다 — 웜업 세트 수가 스스로 조정된다.</t>
  </si>
  <si>
    <t>· 20으로 표시되면 빈 봉이라는 뜻이다.</t>
  </si>
  <si>
    <t>12주 예상 진행 (X 입력이 없을 때)</t>
  </si>
  <si>
    <t>주차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</si>
  <si>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</si>
  <si>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</si>
  <si>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</si>
  <si>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</si>
  <si>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</si>
  <si>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</si>
  <si>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</si>
  <si>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</si>
  <si>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</si>
  <si>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</si>
  <si>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</si>
  <si>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</si>
  <si>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· 위 표는 X 입력이 없다고 가정한 계획선이다. 실제 진행은 증량기록 시트가 결정한다.</t>
  </si>
  <si>
    <t>볼륨 램프 — 재적응 구간 세트 조절</t>
  </si>
  <si>
    <t>중량은 40%에서 시작하는데 세트는 1주차부터 100%였다. 5년 공백에서 먼저 무너지는 것은 건·인대이고, 그쪽은 중량보다 총 반복 횟수에 반응한다.</t>
  </si>
  <si>
    <t>← '시작중량_설정' C4와 자동 연동. 여기서 고치지 말 것</t>
  </si>
  <si>
    <t>현재 볼륨 계수</t>
  </si>
  <si>
    <t>← 각 요일 시트 J열(이번 주 세트)이 이 값을 곱해서 계산된다</t>
  </si>
  <si>
    <t>구간</t>
  </si>
  <si>
    <t>계수</t>
  </si>
  <si>
    <t>성격</t>
  </si>
  <si>
    <t>1단계</t>
  </si>
  <si>
    <t>1~2주</t>
  </si>
  <si>
    <t>2026-08-10 해제 — 계수 0.5 → 1. 되살리려면 여기 C9에 0.5를 다시 입력</t>
  </si>
  <si>
    <t>2단계</t>
  </si>
  <si>
    <t>3~4주</t>
  </si>
  <si>
    <t>2026-08-10 해제 — 계수 0.7 → 1. 되살리려면 여기 C10에 0.7을 다시 입력</t>
  </si>
  <si>
    <t>본구간</t>
  </si>
  <si>
    <t>5주~</t>
  </si>
  <si>
    <t>설계 볼륨 100%</t>
  </si>
  <si>
    <t>설계 논리</t>
  </si>
  <si>
    <t>· 시작중량_설정 A20: "근력보다 관절·건·인대와 폼 감각이 먼저 무너져 있다" — 맞는 판단이다.</t>
  </si>
  <si>
    <t>· 그런데 그 판단이 중량에만 적용돼 있었다. 중량 40% + 볼륨 100%는 방향이 서로 반대다.</t>
  </si>
  <si>
    <t>· 건·인대는 최대 중량보다 누적 반복 수와 부하 시간에 반응한다. 20kg 벤치 20세트가 40kg 벤치 8세트보다 팔꿈치에 나쁠 수 있다.</t>
  </si>
  <si>
    <t>· 가벼운 무게는 그 자체로 안전장치가 아니다. 5년 공백에서 3~4주차에 무너지는 원인은 대개 무게가 아니라 누적 볼륨이다.</t>
  </si>
  <si>
    <t>· 각 요일 시트에 J열 "이번 주 세트"가 있다. 실제로 수행할 세트는 E열이 아니라 J열이다.</t>
  </si>
  <si>
    <t>· E열(설계 세트)은 건드리지 않는다. 검산 시트는 E열을 기준으로 집계하므로 목표 볼륨을 그대로 보여준다.</t>
  </si>
  <si>
    <t>· 주차를 올리면 J열이 자동으로 따라온다. 5주차부터는 J = E가 된다.</t>
  </si>
  <si>
    <t>· 계수를 곱해 1 미만이 되는 종목은 1세트로 유지된다 — 종목이 사라지지 않게 하기 위함.</t>
  </si>
  <si>
    <t>계수를 내려야 하는 신호</t>
  </si>
  <si>
    <t>· 팔꿈치 내측 · 어깨 앞쪽 · 무릎 힘줄에 운동 중이 아니라 다음날 통증이 남을 때</t>
  </si>
  <si>
    <t>· 3주차에 접어들었는데 이전 세션의 근육통이 안 빠질 때</t>
  </si>
  <si>
    <t>· 메인 리프트에서 X가 연속으로 뜰 때 — 중량이 아니라 볼륨이 원인일 수 있다</t>
  </si>
  <si>
    <t>· 이때는 C9~C11의 숫자를 직접 내린다. 예: 0.5 → 0.4</t>
  </si>
  <si>
    <t>· 대안 운용: 계수 대신 종목 수를 줄여 시작하고 4주마다 하나씩 되살리는 방법도 있다.</t>
  </si>
  <si>
    <t>· 5년 공백이면 후자가 낫다. 12종목을 어설프게 배우는 것보다 6종목을 제대로 배우는 쪽이 남는다.</t>
  </si>
  <si>
    <t>· 이 시트는 전자(계수 방식)로 구현돼 있다. 후자를 쓰려면 J열을 무시하고 종목 자체를 빼면 된다.</t>
  </si>
  <si>
    <t>현재 상태 (2026-08-10) — 램프 해제됨</t>
  </si>
  <si>
    <t>· C9 · C10을 1로 바꿔 1주차부터 설계 볼륨 100%로 간다. J열(이번 주 세트) = E열(설계 세트).</t>
  </si>
  <si>
    <t>· 위 [설계 논리]와 [사용법]은 램프를 켰을 때의 근거이며 기록용으로 남겨둔 것이다.</t>
  </si>
  <si>
    <t>· 되살리려면 C9에 0.5, C10에 0.7. J열과 앱이 자동으로 따라온다.</t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</si>
  <si>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</si>
  <si>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</si>
  <si>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</si>
  <si>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</si>
  <si>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</si>
  <si>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</si>
  <si>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예상 시간</t>
  </si>
  <si>
    <t>월</t>
  </si>
  <si>
    <t>당기기 A (수직)</t>
  </si>
  <si>
    <t>광배 · 이두 · 전완 · 기립근</t>
  </si>
  <si>
    <t>약 65분</t>
  </si>
  <si>
    <t>화</t>
  </si>
  <si>
    <t>밀기 A (수평)</t>
  </si>
  <si>
    <t>벤치프레스 5×5</t>
  </si>
  <si>
    <t>흉근 · 삼두 · 측면삼각</t>
  </si>
  <si>
    <t>수</t>
  </si>
  <si>
    <t>하체 A (무릎)</t>
  </si>
  <si>
    <t>스쿼트 5×5</t>
  </si>
  <si>
    <t>대퇴사두 · 햄스트링</t>
  </si>
  <si>
    <t>약 75분</t>
  </si>
  <si>
    <t>목</t>
  </si>
  <si>
    <t>당기기 B (수평)</t>
  </si>
  <si>
    <t>광배 · 능형근 · 후면삼각</t>
  </si>
  <si>
    <t>약 70분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</si>
  <si>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</si>
  <si>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</si>
  <si>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</si>
  <si>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</si>
  <si>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</si>
  <si>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</si>
  <si>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</si>
  <si>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</si>
  <si>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</si>
  <si>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</si>
  <si>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</si>
  <si>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</si>
  <si>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</si>
  <si>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t>· 스쿼트(수) → 데드(토) 3일 간격. 데드 다음날은 일요일 휴식 — 척추에 가장 안전한 자리.</t>
  </si>
  <si>
    <t>· 벤치(화) → 밀리터리(금) 3일 간격. 5일 버전의 "전날 벤치 여파로 프레스 무게가 덜 나온다"는 대가가 사라졌다.</t>
  </si>
  <si>
    <t>· 월요일은 당기기 — 월요일 벤치 자리 경쟁을 피한다는 원래 논리 그대로.</t>
  </si>
  <si>
    <t>· 당기기 A(수직) / B(수평), 밀기 A(수평) / B(수직), 하체 A(무릎) / B(고관절).</t>
  </si>
  <si>
    <t>· 같은 부위를 3일 뒤에 다시 치되 각도를 바꾼다 — 같은 자극의 반복이 아니라 다른 축의 자극.</t>
  </si>
  <si>
    <t>· 기립근: 데드(토) + 덤벨 RDL(월) 주 2회. RDL은 20kg으로 가볍게 — 척추 부하가 아니라 자세 유지가 목적.</t>
  </si>
  <si>
    <t>5일 버전과의 차이</t>
  </si>
  <si>
    <t>· 총 세트 147 → 147. 총량은 그대로 두고 빈도만 올렸다.</t>
  </si>
  <si>
    <t>· 세션당 세트 21~28 (5일 버전은 23~43). 토요일 43세트 문제가 사라졌다.</t>
  </si>
  <si>
    <t>· 주요 부위 빈도 주 1회 → 주 2회. 한 세션에 부위당 8~9세트를 넘지 않는다.</t>
  </si>
  <si>
    <t>· 대가: 휴식일이 2일 → 1일. 6일 연속 훈련은 회복이 따라오는지 직접 확인해야 한다.</t>
  </si>
  <si>
    <t>빈도를 올린 이유</t>
  </si>
  <si>
    <t>· 한 세션에서 부위당 대략 8~10세트를 넘어가면 뒤쪽 세트는 앞의 피로 위에 얹혀 자극당 값이 떨어진다.</t>
  </si>
  <si>
    <t>· 5일 버전의 흉근 20 / 삼각근 21 / 광배 14는 그 구간을 넘어서 있었다.</t>
  </si>
  <si>
    <t>· 다만 "20세트 1회보다 10세트씩 2회가 낫다"는 직접 검증된 결과가 아니라 추론이다. 견고한 것은 "빈도를 올려도 손해는 없다" 정도.</t>
  </si>
  <si>
    <t>· 5년 공백 구간에서는 동작 반복 횟수 자체가 중요하다. 벤치·스쿼트 폼을 다시 배우는 시기이므로 빈도가 그 자체로 이득.</t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</si>
  <si>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</si>
  <si>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</si>
  <si>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</si>
  <si>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</si>
  <si>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t>· 6일 연속은 5년 공백에서 회복이 미지수다. 볼륨램프 1~4주를 그 판단 구간으로 쓸 것.</t>
  </si>
  <si>
    <t>· 판단 기준: 3주차에 접어들었는데 이전 세션의 근육통이 안 빠지거나 메인 리프트에 X가 연속으로 뜨면 주 5일로 내린다.</t>
  </si>
  <si>
    <t>· 주 5일로 내릴 때는 하체 B를 빼고 그 종목을 하체 A와 당기기 B에 나눠 붙인다 — 데드는 당기기 B로.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</si>
  <si>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</si>
  <si>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</si>
  <si>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</si>
  <si>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</si>
  <si>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t>↑ '시작중량_설정'과 자동 연동. 20 = 빈 봉. '생략'은 앞 세트와 중량이 겹쳐 불필요하다는 뜻.</t>
  </si>
  <si>
    <t>웜업 — 회전근개 (세트 카운트 제외)</t>
  </si>
  <si>
    <t>· 케이블 외회전 2세트 × 12~15회. 팔꿈치 90도로 접어 옆구리에 붙이고 바깥으로만 회전.</t>
  </si>
  <si>
    <t>· 매우 가볍게 — 2.5~5kg. 무거우면 광배와 후면 삼각근이 대신 일하며 목적을 잃는다.</t>
  </si>
  <si>
    <t>· 근비대 항목이 아니라 관절 준비 항목이므로 세트 합계에 넣지 않는다.</t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</si>
  <si>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</si>
  <si>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</si>
  <si>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</si>
  <si>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</si>
  <si>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</si>
  <si>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</si>
  <si>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</si>
  <si>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</si>
  <si>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</si>
  <si>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</si>
  <si>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</si>
  <si>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</si>
  <si>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12~15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</si>
  <si>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</si>
  <si>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</si>
  <si>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</si>
  <si>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</si>
  <si>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</si>
  <si>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</si>
  <si>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</si>
  <si>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</si>
  <si>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</si>
  <si>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</si>
  <si>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</si>
  <si>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</si>
  <si>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</si>
  <si>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</si>
  <si>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</si>
  <si>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</si>
  <si>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</si>
  <si>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</si>
  <si>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</si>
  <si>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궤도 고정이라 대퇴사두가 확실히 한계까지 간다. 발판 위치는 중간</t>
  </si>
  <si>
    <t>핵 스쿼트 / 레그 익스텐션 (완전 고립) / 프론트 스쿼트</t>
  </si>
  <si>
    <t>불가리안 스플릿 스쿼트</t>
  </si>
  <si>
    <t>10 (좌우)</t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</si>
  <si>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</si>
  <si>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</si>
  <si>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</si>
  <si>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</si>
  <si>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</si>
  <si>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</si>
  <si>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</si>
  <si>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</si>
  <si>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</si>
  <si>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</si>
  <si>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</si>
  <si>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</si>
  <si>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</si>
  <si>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</si>
  <si>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</si>
  <si>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플랭크</t>
  </si>
  <si>
    <t>30초</t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</si>
  <si>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</si>
  <si>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</si>
  <si>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</si>
  <si>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</si>
  <si>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</si>
  <si>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</si>
  <si>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</si>
  <si>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</si>
  <si>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</si>
  <si>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</si>
  <si>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</si>
  <si>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켈소 슈러그</t>
  </si>
  <si>
    <t>승모(중부)·능형근</t>
  </si>
  <si>
    <t>20~30</t>
  </si>
  <si>
    <t>후면 삼각근</t>
  </si>
  <si>
    <t>팔 각도 고정하고 견갑골만 모은다. 후인 직접 종목 — 로우에 묻히지 않는다</t>
  </si>
  <si>
    <t>시티드 케이블 로우에서 팔 고정하고 견갑골만 / 리버스 펙덱을 팔 편 채로 / 체스트 서포티드 슈러그</t>
  </si>
  <si>
    <t>케이블 리버스 플라이</t>
  </si>
  <si>
    <t>삼각근(후면)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</si>
  <si>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</si>
  <si>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</si>
  <si>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</si>
  <si>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</si>
  <si>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</si>
  <si>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</si>
  <si>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t>EZ바 프리처 컬 / 머신 프리처 컬 / 컨센트레이션 컬</t>
  </si>
  <si>
    <t>시티드 리스트 컬</t>
  </si>
  <si>
    <t>손목 굴근. 월요일 리버스와 대항쌍</t>
  </si>
  <si>
    <t>덤벨 리스트 컬 (한 손씩) / 케이블 리스트 컬 / 비하인드백 리스트 컬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</si>
  <si>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</si>
  <si>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</si>
  <si>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</si>
  <si>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</si>
  <si>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</si>
  <si>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</si>
  <si>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</si>
  <si>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</si>
  <si>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</si>
  <si>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</si>
  <si>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</si>
  <si>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</si>
  <si>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</si>
  <si>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</si>
  <si>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</si>
  <si>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</si>
  <si>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</si>
  <si>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</si>
  <si>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</si>
  <si>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</si>
  <si>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</si>
  <si>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</si>
  <si>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</si>
  <si>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</si>
  <si>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</si>
  <si>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</si>
  <si>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</si>
  <si>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</si>
  <si>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</si>
  <si>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</si>
  <si>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</si>
  <si>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</si>
  <si>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</si>
  <si>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</si>
  <si>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</si>
  <si>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</si>
  <si>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</si>
  <si>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</si>
  <si>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</si>
  <si>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</si>
  <si>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</si>
  <si>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t>· 하부 승모의 일은 두 갈래다: 견갑골 하강, 그리고 팔이 올라갈 때의 상방회전.</t>
  </si>
  <si>
    <t>· 스캡 풀업(월) = 순수 하강 · 프론 Y(금) = 하강 + 후인 · 오버헤드 슈러그(금) = 상방회전.</t>
  </si>
  <si>
    <t>· 상방회전은 팔이 머리 위로 간 각도에서만 훈련된다 — 지금까지 프로그램에 통째로 비어 있던 패턴.</t>
  </si>
  <si>
    <t>· 전거근이 함께 온다. 전거근이 약하면 하부 승모를 키워도 견갑골이 제 위치로 안 간다.</t>
  </si>
  <si>
    <t>· 가동범위가 아주 작다. 견갑골만 2~3cm 올렸다 내리는 동작이고, 그 이상은 팔꿈치가 굽은 것이다.</t>
  </si>
  <si>
    <t>· 무게는 오버헤드로 안정적으로 지지할 수 있는 것보다 가볍게. 스미스나 머신 권장.</t>
  </si>
  <si>
    <t>· 하부 승모는 무게로 밀어붙일 수 없다. 과부하는 정지 2~3초 · 하강 3초 · 반복 수 확장으로.</t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</si>
  <si>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</si>
  <si>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</si>
  <si>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</si>
  <si>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</si>
  <si>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</si>
  <si>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</si>
  <si>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</si>
  <si>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</si>
  <si>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</si>
  <si>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</si>
  <si>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</si>
  <si>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</si>
  <si>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</si>
  <si>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</si>
  <si>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</si>
  <si>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</si>
  <si>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</si>
  <si>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</si>
  <si>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</si>
  <si>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</si>
  <si>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</si>
  <si>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</si>
  <si>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케이블 힙 외전</t>
  </si>
  <si>
    <t>중둔근</t>
  </si>
  <si>
    <t>12~15 (좌우)</t>
  </si>
  <si>
    <t>관상면 외전. 앉아 있으면 대둔근보다 중둔근이 먼저 잠든다</t>
  </si>
  <si>
    <t>밴드 몬스터 워크 / 사이드 라잉 힙 외전 / 힙 어브덕션 머신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</si>
  <si>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</si>
  <si>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</si>
  <si>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</si>
  <si>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</si>
  <si>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t>8~10 (좌우)</t>
  </si>
  <si>
    <t>복사근·회전. 다음날 휴식이라 항회전 피로가 다음 세션에 안 걸린다</t>
  </si>
  <si>
    <t>케이블 우드촙 / 러시안 트위스트 / 팔로프 프레스 / 덤벨 사이드 밴드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</si>
  <si>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</si>
  <si>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</si>
  <si>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</si>
  <si>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</si>
  <si>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</si>
  <si>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</si>
  <si>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</si>
  <si>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</si>
  <si>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인클라인 6세트가 흉늑지에도 일부 기여</t>
  </si>
  <si>
    <t>데드리프트 간접</t>
  </si>
  <si>
    <t>친업 · 랫풀다운의 견갑골 하강 — 동작 개시에만 관여하므로 하향 (5 → 3)</t>
  </si>
  <si>
    <t>해머 로우 4 · 케이블 리버스 플라이 4 · 벤트오버 레터럴 4 — 전부 견갑골 후인. 켈소 슈러그가 직접 종목으로 잡히면서 간접은 11 → 8로 하향 (v15)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</si>
  <si>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</si>
  <si>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</si>
  <si>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</si>
  <si>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켈소 슈러그</t>
  </si>
  <si>
    <t>데드리프트 · 힙 쓰러스트</t>
  </si>
  <si>
    <t>스쿼트 · RDL · 데드</t>
  </si>
  <si>
    <t>불가리안 스플릿 스쿼트 · 스쿼트 · 런지의 관상면 안정화 (한 다리 지지 구간)</t>
  </si>
  <si>
    <t>금 스탠딩 4 · 토 시티드 4 — 무릎 각도로 비복근/가자미근 분담 (2026-08 보강)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</si>
  <si>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</si>
  <si>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</si>
  <si>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</si>
  <si>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 코어 안정화</t>
  </si>
  <si>
    <t>스쿼트 · 레그 프레스 · 불가리안의 벌어진 스탠스 구간</t>
  </si>
  <si>
    <t>직접 세트 총계</t>
  </si>
  <si>
    <t>기준선</t>
  </si>
  <si>
    <t>· 주 10~20세트 = 성장 구간</t>
  </si>
  <si>
    <t>· 주 8세트 = 유지 하한</t>
  </si>
  <si>
    <t>· 실패지점 2~3회 이내 세트만 카운트 (웜업 · 여유 세트 제외)</t>
  </si>
  <si>
    <t>따로 세야 하는 경우</t>
  </si>
  <si>
    <t>· 판단 기준은 하나 — 다른 종목이 그 부위를 대신 키워주는가.</t>
  </si>
  <si>
    <t>· 안 키워주면 따로 센다: 햄스트링(스쿼트로 안 자람), 후면 삼각근(프레스로 안 자람), 종아리</t>
  </si>
  <si>
    <t>· 키워주면 합쳐 센다: 흉근 상/하, 광배 상/하 — 하나의 근육이며 함께 수축한다</t>
  </si>
  <si>
    <t>현재 보완 필요 항목</t>
  </si>
  <si>
    <t>· 종아리 보강 완료 (2026-08): 금 카프 4 + 토 시티드 카프 4 = 주 8세트 — 유지 하한 충족. 더 키우려면 10세트부터.</t>
  </si>
  <si>
    <t>· 주 6일 버전 (당기기·밀기·하체 × 2). 총량은 5일 버전과 같고 빈도만 주 2회로 올렸다.</t>
  </si>
  <si>
    <t>· 하부 승모: 스캡 풀업(하강) 3 + 프론 Y(하강+후인) 2 + 오버헤드 슈러그(상방회전) 3 = 직접 8. 패턴 셋을 나눠 배치.</t>
  </si>
  <si>
    <t>· 나머지 하한선 부위(중둔근 · 내전근 · 종아리)는 성장이 아니라 유지 목적이므로 현재로선 충분.</t>
  </si>
  <si>
    <t>웜업 · 관절 준비 항목 (세트 카운트 제외)</t>
  </si>
  <si>
    <t>· 회전근개 외회전 — 월 · 화 프레싱 날 웜업에 2세트씩. 케이블 외회전 또는 페이스풀.</t>
  </si>
  <si>
    <t>· 근육군 표에 넣지 않는 이유: 실패지점 근처까지 가지 않는 웜업 세트는 카운트 대상이 아니다.</t>
  </si>
  <si>
    <t>· 벤트오버 레터럴 4세트와 리버스 펙덱은 수평 외전이라 외회전을 대신하지 못한다 — 직접 0세트였던 부위.</t>
  </si>
  <si>
    <t>· 벤치 5×5가 최우선 종목이고 12주간 계속 오른다. 근비대가 아니라 어깨 관절 유지 목적.</t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</si>
  <si>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</si>
  <si>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</si>
  <si>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</si>
  <si>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</si>
  <si>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</si>
  <si>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</si>
  <si>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</si>
  <si>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</si>
  <si>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</si>
  <si>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</si>
  <si>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</si>
  <si>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</si>
  <si>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</si>
  <si>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</si>
  <si>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</si>
  <si>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</si>
  <si>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</si>
  <si>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t>· 공란 또는 O = 계획대로 증량. X = 그 중량을 다음 주에도 유지.</t>
  </si>
  <si>
    <t>· 1주차 중량은 '시작중량_설정' 시트 D열과 연동됨. 여기서 직접 수정하지 말 것.</t>
  </si>
  <si>
    <t>· 같은 종목에 X가 3주 연속이면 그 종목만 10% 디로드 후 재상승.</t>
  </si>
  <si>
    <t>· 증량폭을 종목별로 나눈 이유: 절대값이 같아도 부담이 전혀 다르다.</t>
  </si>
  <si>
    <t>· 20kg 프레스에 2.25kg은 11% 증가지만, 105kg 데드에 2.5kg은 2.4%다.</t>
  </si>
  <si>
    <t>· 균일 증량을 쓰면 작은 종목만 비현실적으로 빨리 오르고 큰 종목은 제자리에 머문다.</t>
  </si>
  <si>
    <t>· 하체 5kg이 커 보이지만 복귀 구간 첫 두세 달은 정상 범위다. 근력을 새로 만드는 것이 아니라 되찾는 구간이기 때문.</t>
  </si>
  <si>
    <t>· 이 속도가 버거워지면(X가 반복되면) 해당 칸 숫자를 절반으로 내린다.</t>
  </si>
  <si>
    <t>9월 이후 — 현장 복귀 시 조정</t>
  </si>
  <si>
    <t>이 프로그램은 재택 = 생활 부하 0 전제. 현장 복귀 시 그대로 쓰면 과부하.</t>
  </si>
  <si>
    <t>부위 / 항목</t>
  </si>
  <si>
    <t>조정</t>
  </si>
  <si>
    <t>이유</t>
  </si>
  <si>
    <t>등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</si>
  <si>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</si>
  <si>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</si>
  <si>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</si>
  <si>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</si>
  <si>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</si>
  <si>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</si>
  <si>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</si>
  <si>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</si>
  <si>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</si>
  <si>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</si>
  <si>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</si>
  <si>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</si>
  <si>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</si>
  <si>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t>8시간 근무 기준. 12시간 근무일과 그 다음날은 회피</t>
  </si>
  <si>
    <t>메인 리프트 배치</t>
  </si>
  <si>
    <t>12시간 근무일 회피</t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</si>
  <si>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</si>
  <si>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</si>
  <si>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</si>
  <si>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</si>
  <si>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t>· 같은 프로그램이라도 생활 부하에 따라 적정선이 움직인다.</t>
  </si>
  <si>
    <t>· 지금은 쌓는 시기, 복귀 후는 지키는 시기.</t>
  </si>
  <si>
    <t>· 재택 기간에 근력 베이스를 만들어두면 복귀 후에는 유지 모드로만 가도 된다.</t>
  </si>
  <si>
    <t>· 헬스보다 중요한 것: 일하는 중간의 움직임. 50분 앉으면 5분 일어나기, 하루 30분 걷기.</t>
  </si>
  <si>
    <t>· 헬스는 하루 1시간이고 앉아 있는 건 8시간 — 총량으로 보면 앉은 시간이 이긴다.</t>
  </si>
  <si>
    <t>→ 실제 요일 배치와 종목표는 '복귀_주간계획' 이하 4개 탭에 작성됨.</t>
  </si>
  <si>
    <t>9월 전 완충 구간 (v15 추가)</t>
  </si>
  <si>
    <t>· 146세트를 4개월 하다가 47세트로 떨어뜨리면 근육량이 빠진다. 유지 하한은 대개 성장 볼륨의 1/3~1/2인데 47은 그 아래다.</t>
  </si>
  <si>
    <t>· 복귀 2~3주 전을 완충 구간으로 둘 것 — 주 4회 · 약 90세트로 한 단계 걸치고 내려간다.</t>
  </si>
  <si>
    <t>· 감축 순서: 팔 전용 → 전완 → 등 · 하체 보조 종목. 메인 리프트와 프레싱은 마지막까지 유지.</t>
  </si>
  <si>
    <t>· 완충 구간에서 중량은 내리지 않는다. 볼륨만 줄이고 강도를 유지해야 근력이 남는다.</t>
  </si>
  <si>
    <t>· 복귀_주간계획 시트의 "108세트 → 47세트"는 낡은 수치다. 현재 재택 버전은 146세트이므로 실제 감축률은 68%.</t>
  </si>
  <si>
    <t>현장 복귀 버전 — 주간 계획</t>
  </si>
  <si>
    <t>12시간 근무 주 2회 (수·목 또는 목·금) · 나머지 8시간 · 토요일 오전 근무 · 일요일 휴무</t>
  </si>
  <si>
    <t>훈련 주 3회 — 화 · 토 · 일</t>
  </si>
  <si>
    <t>근무 (패턴 A: 수·목)</t>
  </si>
  <si>
    <t>근무 (패턴 B: 목·금)</t>
  </si>
  <si>
    <t>훈련</t>
  </si>
  <si>
    <t>비고</t>
  </si>
  <si>
    <t>8시간</t>
  </si>
  <si>
    <t>주말 이틀 연속 훈련 뒤 회복일</t>
  </si>
  <si>
    <t>상체 밀기</t>
  </si>
  <si>
    <t>12시간 근무 구간 직전. 프레싱은 현장 일과 회복 경쟁 없음</t>
  </si>
  <si>
    <t>12시간</t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</si>
  <si>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</si>
  <si>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</si>
  <si>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</si>
  <si>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</si>
  <si>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</si>
  <si>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</si>
  <si>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</si>
  <si>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</si>
  <si>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t>· 12시간 근무가 수·목 또는 목·금으로 걸리므로, 양 패턴 모두 안전한 날은 월·화·토·일뿐이다.</t>
  </si>
  <si>
    <t>· 금요일은 패턴 A에서 8시간이지만 전날이 12시간이라 회복이 안 된 상태 — 제외.</t>
  </si>
  <si>
    <t>· 월요일은 일요일 훈련 직후라 회복일로 비운다.</t>
  </si>
  <si>
    <t>· 패턴이 목·금으로 바뀌어도 화·토·일은 영향받지 않는다. 이것이 이 조합을 고른 이유.</t>
  </si>
  <si>
    <t>종목 배치 논리</t>
  </si>
  <si>
    <t>· 화요일에 상체 밀기 — 다음이 12시간 근무 구간. 프레싱은 현장 일이 쓰지 않는 영역이라 겹치지 않는다.</t>
  </si>
  <si>
    <t>· 여기에 등이나 하체를 두면 수·목 근무를 망친다.</t>
  </si>
  <si>
    <t>· 토요일에 하체 — 오전 근무 후이나 다음날 일요일이 완충.</t>
  </si>
  <si>
    <t>· 일요일에 등 + 데드 — 완전 휴무일이라 전날 밤 회복 후 시작하고 하루가 통째로 남는다.</t>
  </si>
  <si>
    <t>· 토(스쿼트) → 일(데드) 순서가 그 반대보다 낫다. 데드 다음날 스쿼트는 허리가 안 받쳐준다.</t>
  </si>
  <si>
    <t>재택 버전과의 차이</t>
  </si>
  <si>
    <t>· 등 · 하체 · 기립근 · 전완 감축 — 현장 일이 하루 종일 채우는 부위</t>
  </si>
  <si>
    <t>· 프레싱 · 어깨 후면 · 코어 유지 — 현장 일이 채우지 않는 부위</t>
  </si>
  <si>
    <t>· 종목은 전부 재택 6일 프로그램에 있는 것으로만 구성했다 — 복귀하면서 새로 익힐 동작이 없다.</t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</si>
  <si>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</si>
  <si>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</si>
  <si>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</si>
  <si>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</si>
  <si>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</si>
  <si>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</si>
  <si>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</si>
  <si>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</si>
  <si>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간접 자극이 0인 부위 — 직접 세트로만 채워짐</t>
  </si>
  <si>
    <t>케이블 레터럴 레이즈</t>
  </si>
  <si>
    <t>[배치 이유]</t>
  </si>
  <si>
    <t>· 다음이 12시간 근무 구간(수·목 또는 목·금)인데, 프레싱은 현장 일이 쓰지 않는 영역이라 겹치지 않는다.</t>
  </si>
  <si>
    <t>· 여기에 등이나 하체를 두면 12시간 근무일을 망친다. 이 자리는 상체 밀기 전용.</t>
  </si>
  <si>
    <t>· 실패지점은 3~4회 남기고 종료. 재택 버전(2~3회)보다 한 단계 더 보수적으로.</t>
  </si>
  <si>
    <t>토요일 — 하체 (오전 근무 후)</t>
  </si>
  <si>
    <t>[허리가 부담되면]</t>
  </si>
  <si>
    <t>· 스쿼트를 레그 프레스로 교체하면 기립근이 완전히 빠져 다음날 데드가 온전히 나온다.</t>
  </si>
  <si>
    <t>· 토·일 연속은 이상적이지 않으나 이 근무 스케줄에서는 다른 선택지가 없다. 스쿼트를 3×5로 낮춘 것이 그 보정.</t>
  </si>
  <si>
    <t>· 스쿼트(토) → 데드(일) 순서가 그 반대보다 낫다. 데드 다음날 스쿼트는 허리가 받쳐주지 않는다.</t>
  </si>
  <si>
    <t>일요일 — 등 (완전 휴무일)</t>
  </si>
  <si>
    <t>완전 휴무일이라 회복된 상태에서 시작하고 하루가 통째로 남는다. 데드리프트는 반드시 이 날.</t>
  </si>
  <si>
    <t>[데드리프트 운용 규칙]</t>
  </si>
  <si>
    <t>· 무게는 재택에서 도달한 중량을 그대로 이어간다. D5가 시작중량_설정의 현재 작업중량과 연동돼 있다.</t>
  </si>
  <si>
    <t>· 다음날(월)이 8시간 근무라 완충이 하루뿐이다. 주 1회, 1세트를 넘기지 않는다.</t>
  </si>
  <si>
    <t>· 허리가 무거운 주에는 트랩바로 바꾸거나 건너뛴다. 건너뛰는 것이 규율이지 나태가 아니다.</t>
  </si>
  <si>
    <t>[등 볼륨을 유지한 이유]</t>
  </si>
  <si>
    <t>· 광배 9세트 + 현장 일의 상시 부하 = 실질은 충분. 재택 버전 11세트에서 소폭만 감축했다.</t>
  </si>
  <si>
    <t>· 단, 12시간 근무일 바로 다음날이 일요일이 되는 주에는 데드를 빼거나 트랩바로 대체할 것.</t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</si>
  <si>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</si>
  <si>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</si>
  <si>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</si>
  <si>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</si>
  <si>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</si>
  <si>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</si>
  <si>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</si>
  <si>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t>12시간 근무일과 그 다음날을 피하면 남는 날이 화·토·일뿐</t>
  </si>
  <si>
    <t>총 세트</t>
  </si>
  <si>
    <t>153세트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</si>
  <si>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</si>
  <si>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</si>
  <si>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</si>
  <si>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</si>
  <si>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</si>
  <si>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</si>
  <si>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</si>
  <si>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</si>
  <si>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</si>
  <si>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</si>
  <si>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t>2~3회 남기고</t>
  </si>
  <si>
    <t>3~4회 남기고</t>
  </si>
  <si>
    <t>다음날 현장에서 청구서로 돌아온다</t>
  </si>
  <si>
    <t>5×5</t>
  </si>
  <si>
    <t>3×5</t>
  </si>
  <si>
    <t>서 있기·걷기로 하체 볼륨이 이미 누적</t>
  </si>
  <si>
    <t>· 유일한 지표는 다음 근무일 아침의 허리 상태다.</t>
  </si>
  <si>
    <t>· 뻐근하면 그 주 무게가 과했던 것 — 다음 주에 내린다. 어떤 프로그램 표보다 정확하다.</t>
  </si>
  <si>
    <t>· 몸 상태가 안 좋은 날은 건너뛴다. 주 3회 중 2회만 가는 주가 있어도 된다.</t>
  </si>
  <si>
    <t>· 그것은 의지박약이 아니라 그 상황에서의 규율이다.</t>
  </si>
  <si>
    <t>· 12시간 근무일이 수·목인지 목·금인지에 관계없이 화·토·일 배치는 유효하다.</t>
  </si>
  <si>
    <t>· 다만 근무 패턴이 이 두 가지에서 벗어나면 요일부터 다시 짜야 한다.</t>
  </si>
  <si>
    <t>· 복귀 후의 목표는 성장이 아니라 유지다. 재택 기간에 쌓은 근력 베이스를 지키는 것.</t>
  </si>
  <si>
    <t>· 쌓는 시기와 지키는 시기는 다르게 설계해야 한다.</t>
  </si>
  <si>
    <t>스쿼트</t>
    <phoneticPr fontId="27" type="noConversion"/>
  </si>
  <si>
    <t>대퇴사두</t>
    <phoneticPr fontId="27" type="noConversion"/>
  </si>
  <si>
    <t>유일한 프리웨이트. 재택 5×5 → 3×5로 감축. 서 있기·걷기로 하체 볼륨이 이미 누적됨</t>
    <phoneticPr fontId="27" type="noConversion"/>
  </si>
  <si>
    <t>레그 프레스 (허리 부담 시 1순위) / 스미스 스쿼트 / 핵 스쿼트</t>
    <phoneticPr fontId="27" type="noConversion"/>
  </si>
  <si>
    <t>레그 익스텐션</t>
    <phoneticPr fontId="27" type="noConversion"/>
  </si>
  <si>
    <t>—</t>
    <phoneticPr fontId="27" type="noConversion"/>
  </si>
  <si>
    <t>10~12</t>
    <phoneticPr fontId="27" type="noConversion"/>
  </si>
  <si>
    <t>사두 고립. 스쿼트 뒤 남은 볼륨을 척추 부하 없이 채운다</t>
    <phoneticPr fontId="27" type="noConversion"/>
  </si>
  <si>
    <t>레그 프레스 (고립은 아니나 궤도 고정) / 시시 스쿼트 머신</t>
    <phoneticPr fontId="27" type="noConversion"/>
  </si>
  <si>
    <t>원 레그 컬</t>
    <phoneticPr fontId="27" type="noConversion"/>
  </si>
  <si>
    <t>햄스트링</t>
    <phoneticPr fontId="27" type="noConversion"/>
  </si>
  <si>
    <t>루마니안 데드 대체. 힌지를 빼서 다음날 데드가 온전히 나온다. 편측이라 좌우 차이도 잡힌다</t>
    <phoneticPr fontId="27" type="noConversion"/>
  </si>
  <si>
    <t>라잉 / 시티드 레그 컬 (양측) / 케이블 풀스루</t>
    <phoneticPr fontId="27" type="noConversion"/>
  </si>
  <si>
    <t>시티드 카프 레이즈</t>
    <phoneticPr fontId="27" type="noConversion"/>
  </si>
  <si>
    <t>종아리</t>
    <phoneticPr fontId="27" type="noConversion"/>
  </si>
  <si>
    <t>12~15</t>
    <phoneticPr fontId="27" type="noConversion"/>
  </si>
  <si>
    <t>앉아서 하는 쪽. 온종일 서 있던 날 스탠딩보다 부담이 적다</t>
  </si>
  <si>
    <t>스탠딩 카프 레이즈 머신 / 레그 프레스 카프 레이즈</t>
    <phoneticPr fontId="27" type="noConversion"/>
  </si>
  <si>
    <t>스미스 오버헤드 프레스</t>
    <phoneticPr fontId="27" type="noConversion"/>
  </si>
  <si>
    <t>삼각근(전면)</t>
    <phoneticPr fontId="27" type="noConversion"/>
  </si>
  <si>
    <t>밀리터리 대체. 궤도가 고정돼 안정화 부담이 없으면서 중량은 바벨처럼 세므로 증량기록이 그대로 살아 있다</t>
    <phoneticPr fontId="27" type="noConversion"/>
  </si>
  <si>
    <t>머신 숄더 프레스 (완전 머신을 원할 때 — 단 증량 추적은 끊긴다) / 덤벨 숄더 프레스</t>
    <phoneticPr fontId="27" type="noConversion"/>
  </si>
  <si>
    <t>데드리프트</t>
    <phoneticPr fontId="27" type="noConversion"/>
  </si>
  <si>
    <t>기립근</t>
    <phoneticPr fontId="27" type="noConversion"/>
  </si>
  <si>
    <t>재택에서 도달한 중량을 그대로 이어간다. 주 1회 · 1세트를 넘기지 않는다</t>
    <phoneticPr fontId="27" type="noConversion"/>
  </si>
  <si>
    <t>트랩바 데드 (요추 전단력 ↓) / 랙풀</t>
    <phoneticPr fontId="27" type="noConversion"/>
  </si>
  <si>
    <t>해머 스트랭스 로우</t>
    <phoneticPr fontId="27" type="noConversion"/>
  </si>
  <si>
    <t>광배</t>
    <phoneticPr fontId="27" type="noConversion"/>
  </si>
  <si>
    <t>8~10</t>
    <phoneticPr fontId="27" type="noConversion"/>
  </si>
  <si>
    <t>체스트 서포티드라 척추 부하가 없다. 현장에서 허리를 쓰고 온 주에 바벨 로우보다 안전</t>
    <phoneticPr fontId="27" type="noConversion"/>
  </si>
  <si>
    <t>시티드 케이블 로우 / 티바 로우 / 바벨 로우 (허리에 여유가 있는 주)</t>
    <phoneticPr fontId="27" type="noConversion"/>
  </si>
  <si>
    <t>시티드 케이블 로우</t>
    <phoneticPr fontId="27" type="noConversion"/>
  </si>
  <si>
    <t>8~12</t>
    <phoneticPr fontId="27" type="noConversion"/>
  </si>
  <si>
    <t>수평 당기기 보강. 해머 로우와 그립·각도를 다르게 (해머가 뉴트럴이면 여기선 와이드)</t>
    <phoneticPr fontId="27" type="noConversion"/>
  </si>
  <si>
    <t>머신 로우 / 원암 케이블 로우 (좌우 독립)</t>
    <phoneticPr fontId="27" type="noConversion"/>
  </si>
  <si>
    <t>친업 (어시스트 가능)</t>
    <phoneticPr fontId="27" type="noConversion"/>
  </si>
  <si>
    <t>맨몸</t>
    <phoneticPr fontId="27" type="noConversion"/>
  </si>
  <si>
    <t>6~8</t>
    <phoneticPr fontId="27" type="noConversion"/>
  </si>
  <si>
    <t>수직 당기기. 그립이 지쳐 있으면 주저 말고 어시스트 머신으로</t>
    <phoneticPr fontId="27" type="noConversion"/>
  </si>
  <si>
    <t>어시스트 풀업 머신 (1순위 — 그립 부담 ↓) / 랫풀다운</t>
    <phoneticPr fontId="27" type="noConversion"/>
  </si>
  <si>
    <t>수직 당기기를 무게로 조절하는 자리</t>
  </si>
  <si>
    <t>뉴트럴 그립 랫풀다운 / 원암 랫풀다운 / 케이블 풀오버</t>
  </si>
  <si>
    <t>중량 크런치</t>
    <phoneticPr fontId="27" type="noConversion"/>
  </si>
  <si>
    <t>복부</t>
    <phoneticPr fontId="27" type="noConversion"/>
  </si>
  <si>
    <t>복귀판에 코어가 통째로 비어 있었다. 현장 일은 코어를 버티게만 하지 굴곡시키지 않는다</t>
    <phoneticPr fontId="27" type="noConversion"/>
  </si>
  <si>
    <t>케이블 크런치 (머신) / 앱스 머신 / 캡틴 체어 니 레이즈</t>
    <phoneticPr fontId="27" type="noConversion"/>
  </si>
  <si>
    <t>· 광배 12세트 + 현장 일의 상시 부하 = 실질은 충분. 완전 휴무일이라 재택 14세트에서 소폭만 감축했다.</t>
    <phoneticPr fontId="27" type="noConversion"/>
  </si>
  <si>
    <r>
      <t xml:space="preserve">· </t>
    </r>
    <r>
      <rPr>
        <sz val="9"/>
        <color rgb="FF595959"/>
        <rFont val="Calibri"/>
        <family val="2"/>
        <charset val="1"/>
      </rPr>
      <t>무거운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프리웨이트는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스쿼트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벤치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데드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셋뿐이다</t>
    </r>
    <r>
      <rPr>
        <sz val="9"/>
        <color rgb="FF595959"/>
        <rFont val="Arial"/>
        <family val="2"/>
      </rPr>
      <t xml:space="preserve">. </t>
    </r>
    <r>
      <rPr>
        <sz val="9"/>
        <color rgb="FF595959"/>
        <rFont val="Calibri"/>
        <family val="2"/>
        <charset val="1"/>
      </rPr>
      <t>밀리터리는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스미스</t>
    </r>
    <r>
      <rPr>
        <sz val="9"/>
        <color rgb="FF595959"/>
        <rFont val="Arial"/>
        <family val="2"/>
      </rPr>
      <t xml:space="preserve">, </t>
    </r>
    <r>
      <rPr>
        <sz val="9"/>
        <color rgb="FF595959"/>
        <rFont val="Calibri"/>
        <family val="2"/>
        <charset val="1"/>
      </rPr>
      <t>나머지는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전부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머신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케이블</t>
    </r>
    <r>
      <rPr>
        <sz val="9"/>
        <color rgb="FF595959"/>
        <rFont val="Arial"/>
        <family val="2"/>
      </rPr>
      <t xml:space="preserve"> — </t>
    </r>
    <r>
      <rPr>
        <sz val="9"/>
        <color rgb="FF595959"/>
        <rFont val="Calibri"/>
        <family val="2"/>
        <charset val="1"/>
      </rPr>
      <t>현장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일이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안정화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근육을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이미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하루치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쓰고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온다</t>
    </r>
    <r>
      <rPr>
        <sz val="9"/>
        <color rgb="FF595959"/>
        <rFont val="Arial"/>
        <family val="2"/>
      </rPr>
      <t>.</t>
    </r>
  </si>
  <si>
    <t>1×5 · 주 +5kg</t>
    <phoneticPr fontId="27" type="noConversion"/>
  </si>
  <si>
    <t>1×5 · 주 +2.5kg</t>
    <phoneticPr fontId="27" type="noConversion"/>
  </si>
  <si>
    <t>중량은 9월 복귀 시점의 도달 중량에서 계속. 낮출 이유 없음</t>
    <phoneticPr fontId="27" type="noConversion"/>
  </si>
  <si>
    <r>
      <rPr>
        <sz val="10"/>
        <color rgb="FF000000"/>
        <rFont val="Calibri"/>
        <family val="2"/>
        <charset val="1"/>
      </rPr>
      <t>장비</t>
    </r>
  </si>
  <si>
    <r>
      <rPr>
        <sz val="10"/>
        <color rgb="FF000000"/>
        <rFont val="Calibri"/>
        <family val="2"/>
        <charset val="1"/>
      </rPr>
      <t>프리웨이트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중심</t>
    </r>
  </si>
  <si>
    <r>
      <rPr>
        <sz val="10"/>
        <color rgb="FF000000"/>
        <rFont val="Calibri"/>
        <family val="2"/>
        <charset val="1"/>
      </rPr>
      <t>머신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케이블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중심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Calibri"/>
        <family val="2"/>
        <charset val="1"/>
      </rPr>
      <t>스쿼트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벤치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데드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제외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</si>
  <si>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Calibri"/>
        <family val="2"/>
        <charset val="1"/>
      </rPr>
      <t>현장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일이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안정화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근육을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이미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하루치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쓴다</t>
    </r>
    <r>
      <rPr>
        <sz val="10"/>
        <color rgb="FF000000"/>
        <rFont val="Noto Sans CJK SC"/>
        <family val="2"/>
      </rPr>
      <t xml:space="preserve">. </t>
    </r>
    <r>
      <rPr>
        <sz val="10"/>
        <color rgb="FF000000"/>
        <rFont val="Calibri"/>
        <family val="2"/>
        <charset val="1"/>
      </rPr>
      <t>남은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힘을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표적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근육에만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쓰는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편이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남는다</t>
    </r>
  </si>
  <si>
    <t>라잉 트라이셉스 익스텐션</t>
    <phoneticPr fontId="27" type="noConversion"/>
  </si>
  <si>
    <t>삼두</t>
    <phoneticPr fontId="27" type="noConversion"/>
  </si>
  <si>
    <t>30~35</t>
    <phoneticPr fontId="27" type="noConversion"/>
  </si>
  <si>
    <t>프레싱 끝에 삼두. 재택 4세트 → 3세트. 팔꿈치가 시큰하면 EZ바로 바꾸거나 케이블 푸쉬다운으로</t>
    <phoneticPr fontId="27" type="noConversion"/>
  </si>
  <si>
    <t>EZ바 라잉 익스텐션 (손목·팔꿈치 부담 ↓) / 케이블 오버헤드 익스텐션 / 케이블 푸쉬다운</t>
    <phoneticPr fontId="27" type="noConversion"/>
  </si>
  <si>
    <t>벤트오버 레터럴 레이즈 머신</t>
    <phoneticPr fontId="27" type="noConversion"/>
  </si>
  <si>
    <t>삼각근(후면)</t>
    <phoneticPr fontId="27" type="noConversion"/>
  </si>
  <si>
    <t>현장 자세가 앞으로 말리므로 오히려 더 필요해짐</t>
    <phoneticPr fontId="27" type="noConversion"/>
  </si>
  <si>
    <t>리버스 펙덱 / 케이블 리버스 플라이</t>
    <phoneticPr fontId="27" type="noConversion"/>
  </si>
  <si>
    <t>프론 Y 레이즈</t>
    <phoneticPr fontId="27" type="noConversion"/>
  </si>
  <si>
    <t>승모(하부)</t>
    <phoneticPr fontId="27" type="noConversion"/>
  </si>
  <si>
    <t>2~5</t>
    <phoneticPr fontId="27" type="noConversion"/>
  </si>
  <si>
    <t>현장 자세가 견갑골을 올리고 앞으로 말므로 유지</t>
    <phoneticPr fontId="27" type="noConversion"/>
  </si>
  <si>
    <t>케이블 Y 레이즈 / 페이스풀</t>
    <phoneticPr fontId="27" type="noConversion"/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</si>
  <si>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</si>
  <si>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</si>
  <si>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팔 전용 종목</t>
    <phoneticPr fontId="27" type="noConversion"/>
  </si>
  <si>
    <t>25세트</t>
    <phoneticPr fontId="27" type="noConversion"/>
  </si>
  <si>
    <t>6세트 (이두 3 · 삼두 3)</t>
    <phoneticPr fontId="27" type="noConversion"/>
  </si>
  <si>
    <t>전완만 삭제 — 그립은 현장에서 온종일 쓴다. 이두·삼두 굴곡/신전은 현장에서 거의 안 나오므로 유지분만 남긴다</t>
    <phoneticPr fontId="27" type="noConversion"/>
  </si>
  <si>
    <t>· 전완 전용 종목만 삭제 — 그립은 현장에서 온종일 쓴다. 이두 3 · 삼두 3은 유지 목적으로 남겼다 (재택 25세트 → 6세트).</t>
    <phoneticPr fontId="27" type="noConversion"/>
  </si>
  <si>
    <t>스쿼트만 프리웨이트로 두고 나머지는 전부 머신. 다음날 데드가 있으므로 힌지를 빼서 기립근 부하를 0에 가깝게 만든다.</t>
    <phoneticPr fontId="27" type="noConversion"/>
  </si>
  <si>
    <t>스쿼트 뒤 사두 볼륨을 척추 부하 없이 채운다. 발 위치를 높게 두면 둔근·햄스트링도 걸린다</t>
  </si>
  <si>
    <t>핵 스쿼트 / 45도 레그 프레스 / 스미스 스쿼트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</si>
  <si>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</si>
  <si>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</si>
  <si>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약 66세트</t>
    <phoneticPr fontId="27" type="noConversion"/>
  </si>
  <si>
    <t>· 주 6회 153세트 → 주 3회 66세트 (57% 감축). 9월 전 2~3주는 주 4회 90세트로 완충할 것 — 당기기 B · 밀기 B를 빼면 그 언저리가 된다.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</si>
</sst>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sz val="11"/>
      <name val="Arial"/>
      <family val="2"/>
    </font>
    <font>
      <b/>
      <sz val="10"/>
      <name val="Noto Sans CJK SC"/>
      <family val="2"/>
      <charset val="1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</font>
    <font>
      <b/>
      <sz val="11"/>
      <color rgb="FF000000"/>
      <name val="Noto Sans CJK SC"/>
      <family val="2"/>
    </font>
    <font>
      <b/>
      <sz val="14"/>
      <name val="Arial"/>
      <family val="2"/>
      <charset val="1"/>
    </font>
    <font>
      <sz val="8"/>
      <name val="돋움"/>
      <family val="3"/>
      <charset val="129"/>
    </font>
    <font>
      <sz val="11"/>
      <name val="Noto Sans CJK SC"/>
      <family val="3"/>
      <charset val="129"/>
    </font>
    <font>
      <sz val="11"/>
      <color rgb="FF000000"/>
      <name val="Arial"/>
      <family val="2"/>
    </font>
    <font>
      <sz val="9"/>
      <color rgb="FF595959"/>
      <name val="Arial"/>
      <family val="2"/>
    </font>
    <font>
      <sz val="9"/>
      <color rgb="FF595959"/>
      <name val="Calibri"/>
      <family val="2"/>
      <charset val="1"/>
    </font>
    <font>
      <sz val="10"/>
      <color rgb="FF000000"/>
      <name val="Noto Sans CJK SC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0" fontId="9" fillId="4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2" fontId="11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5" fillId="0" borderId="1" xfId="0" applyFont="1" applyBorder="1"/>
    <xf numFmtId="2" fontId="17" fillId="5" borderId="1" xfId="0" applyNumberFormat="1" applyFont="1" applyFill="1" applyBorder="1" applyAlignment="1">
      <alignment horizontal="center"/>
    </xf>
    <xf numFmtId="0" fontId="14" fillId="0" borderId="1" xfId="0" applyFont="1" applyBorder="1"/>
    <xf numFmtId="0" fontId="16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0" fontId="20" fillId="0" borderId="0" xfId="0" applyFont="1"/>
    <xf numFmtId="0" fontId="14" fillId="0" borderId="0" xfId="0" applyFont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20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2" fontId="18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5" fillId="0" borderId="0" xfId="0" applyFont="1"/>
    <xf numFmtId="0" fontId="24" fillId="4" borderId="1" xfId="0" applyFont="1" applyFill="1" applyBorder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left" vertical="center" wrapText="1"/>
    </xf>
    <xf numFmtId="0" fontId="26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19" fillId="0" borderId="0" xfId="0" applyFont="1"/>
    <xf numFmtId="0" fontId="28" fillId="0" borderId="1" xfId="0" applyFont="1" applyBorder="1" applyAlignment="1">
      <alignment horizontal="left" vertical="center"/>
    </xf>
    <xf numFmtId="0" fontId="29" fillId="0" borderId="0" xfId="0" applyFont="1"/>
    <xf numFmtId="2" fontId="7" fillId="4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30" fillId="0" borderId="0" xfId="0" applyFont="1"/>
    <xf numFmtId="0" fontId="32" fillId="0" borderId="0" xfId="0" applyFont="1"/>
    <xf numFmtId="0" fontId="3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Normal="100" workbookViewId="0">
      <selection activeCell="P19" sqref="P19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56</v>
      </c>
    </row>
    <row r="2" spans="1:6" ht="15" customHeight="1">
      <c r="A2" s="2" t="s">
        <v>57</v>
      </c>
    </row>
    <row r="4" spans="1:6" ht="15" customHeight="1">
      <c r="A4" s="3" t="s">
        <v>58</v>
      </c>
      <c r="C4" s="4">
        <v>1</v>
      </c>
      <c r="D4" s="2" t="s">
        <v>59</v>
      </c>
    </row>
    <row r="6" spans="1:6" ht="15" customHeight="1">
      <c r="A6" s="5" t="s">
        <v>4</v>
      </c>
      <c r="B6" s="6" t="s">
        <v>60</v>
      </c>
      <c r="C6" s="5" t="s">
        <v>61</v>
      </c>
      <c r="D6" s="5" t="s">
        <v>62</v>
      </c>
      <c r="E6" s="5" t="s">
        <v>63</v>
      </c>
      <c r="F6" s="5" t="s">
        <v>64</v>
      </c>
    </row>
    <row r="7" spans="1:6" ht="15" customHeight="1">
      <c r="A7" s="7" t="s">
        <v>65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37.5</v>
      </c>
      <c r="F7" s="8" t="s">
        <v>66</v>
      </c>
    </row>
    <row r="8" spans="1:6" ht="15" customHeight="1">
      <c r="A8" s="7" t="s">
        <v>67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42.5</v>
      </c>
      <c r="F8" s="8" t="s">
        <v>68</v>
      </c>
    </row>
    <row r="9" spans="1:6" ht="15" customHeight="1">
      <c r="A9" s="7" t="s">
        <v>69</v>
      </c>
      <c r="B9" s="7">
        <v>47.25</v>
      </c>
      <c r="C9" s="8">
        <f>MAX(20,MROUND(B9*0.4,2.5))</f>
        <v>20</v>
      </c>
      <c r="D9" s="4">
        <v>20</v>
      </c>
      <c r="E9" s="9">
        <f>INDEX(증량기록!$G$10:$G$21,$C$4)</f>
        <v>20</v>
      </c>
      <c r="F9" s="8" t="s">
        <v>66</v>
      </c>
    </row>
    <row r="10" spans="1:6" ht="15" customHeight="1">
      <c r="A10" s="7" t="s">
        <v>70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20</v>
      </c>
      <c r="F10" s="8" t="s">
        <v>71</v>
      </c>
    </row>
    <row r="11" spans="1:6" ht="15" customHeight="1">
      <c r="D11" s="10" t="s">
        <v>72</v>
      </c>
    </row>
    <row r="12" spans="1:6" ht="15" customHeight="1">
      <c r="A12" s="11"/>
    </row>
    <row r="13" spans="1:6" ht="32.25" customHeight="1">
      <c r="A13" s="12" t="s">
        <v>73</v>
      </c>
    </row>
    <row r="14" spans="1:6" ht="51.75" customHeight="1">
      <c r="A14" s="11" t="s">
        <v>74</v>
      </c>
    </row>
    <row r="15" spans="1:6" ht="51.75" customHeight="1">
      <c r="A15" s="11" t="s">
        <v>75</v>
      </c>
    </row>
    <row r="16" spans="1:6" ht="64.5" customHeight="1">
      <c r="A16" s="11" t="s">
        <v>76</v>
      </c>
    </row>
    <row r="17" spans="1:1" ht="51.75" customHeight="1">
      <c r="A17" s="11" t="s">
        <v>77</v>
      </c>
    </row>
    <row r="18" spans="1:1" ht="51.75" customHeight="1">
      <c r="A18" s="11"/>
    </row>
    <row r="19" spans="1:1" ht="15" customHeight="1">
      <c r="A19" s="12" t="s">
        <v>78</v>
      </c>
    </row>
    <row r="20" spans="1:1" ht="77.25" customHeight="1">
      <c r="A20" s="11" t="s">
        <v>79</v>
      </c>
    </row>
    <row r="21" spans="1:1" ht="51.75" customHeight="1">
      <c r="A21" s="11" t="s">
        <v>80</v>
      </c>
    </row>
    <row r="22" spans="1:1" ht="15" customHeight="1">
      <c r="A22" s="11" t="s">
        <v>81</v>
      </c>
    </row>
    <row r="23" spans="1:1" ht="16.5" customHeight="1">
      <c r="A23" s="11" t="s">
        <v>82</v>
      </c>
    </row>
    <row r="24" spans="1:1" ht="51.75" customHeight="1">
      <c r="A24" s="11" t="s">
        <v>83</v>
      </c>
    </row>
    <row r="25" spans="1:1" ht="39" customHeight="1">
      <c r="A25" s="11"/>
    </row>
    <row r="26" spans="1:1" ht="64.5" customHeight="1">
      <c r="A26" s="11" t="s">
        <v>84</v>
      </c>
    </row>
    <row r="27" spans="1:1" ht="15" customHeight="1">
      <c r="A27" s="11" t="s">
        <v>85</v>
      </c>
    </row>
    <row r="28" spans="1:1" ht="60" customHeight="1">
      <c r="A28" s="11"/>
    </row>
    <row r="29" spans="1:1" ht="51.75" customHeight="1">
      <c r="A29" s="13" t="s">
        <v>86</v>
      </c>
    </row>
    <row r="30" spans="1:1" ht="51.75" customHeight="1">
      <c r="A30" s="11" t="s">
        <v>87</v>
      </c>
    </row>
    <row r="31" spans="1:1" ht="64.5" customHeight="1">
      <c r="A31" s="11" t="s">
        <v>88</v>
      </c>
    </row>
    <row r="32" spans="1:1" ht="64.5" customHeight="1">
      <c r="A32" s="11" t="s">
        <v>89</v>
      </c>
    </row>
    <row r="33" spans="1:5" ht="15" customHeight="1">
      <c r="A33" s="11"/>
    </row>
    <row r="34" spans="1:5" ht="51.75" customHeight="1">
      <c r="A34" s="11" t="s">
        <v>90</v>
      </c>
    </row>
    <row r="35" spans="1:5" ht="64.5" customHeight="1">
      <c r="A35" s="11" t="s">
        <v>91</v>
      </c>
    </row>
    <row r="36" spans="1:5" ht="26.25" customHeight="1">
      <c r="A36" s="11" t="s">
        <v>92</v>
      </c>
    </row>
    <row r="38" spans="1:5" ht="16.5" customHeight="1">
      <c r="A38" s="14" t="s">
        <v>93</v>
      </c>
    </row>
    <row r="39" spans="1:5" ht="15" customHeight="1">
      <c r="A39" s="5" t="s">
        <v>94</v>
      </c>
      <c r="B39" s="5" t="s">
        <v>65</v>
      </c>
      <c r="C39" s="5" t="s">
        <v>67</v>
      </c>
      <c r="D39" s="5" t="s">
        <v>69</v>
      </c>
      <c r="E39" s="5" t="s">
        <v>70</v>
      </c>
    </row>
    <row r="40" spans="1:5" ht="15" customHeight="1">
      <c r="A40" s="15" t="s">
        <v>95</v>
      </c>
      <c r="B40" s="9">
        <f>증량기록!C10</f>
        <v>37.5</v>
      </c>
      <c r="C40" s="9">
        <f>증량기록!E10</f>
        <v>42.5</v>
      </c>
      <c r="D40" s="9">
        <f>증량기록!G10</f>
        <v>20</v>
      </c>
      <c r="E40" s="9">
        <f>증량기록!I10</f>
        <v>20</v>
      </c>
    </row>
    <row r="41" spans="1:5" ht="15" customHeight="1">
      <c r="A41" s="8" t="s">
        <v>96</v>
      </c>
      <c r="B41" s="16">
        <f>증량기록!C11</f>
        <v>42.5</v>
      </c>
      <c r="C41" s="16">
        <f>증량기록!E11</f>
        <v>47.5</v>
      </c>
      <c r="D41" s="16">
        <f>증량기록!G11</f>
        <v>22.25</v>
      </c>
      <c r="E41" s="16">
        <f>증량기록!I11</f>
        <v>21.25</v>
      </c>
    </row>
    <row r="42" spans="1:5" ht="15" customHeight="1">
      <c r="A42" s="8" t="s">
        <v>97</v>
      </c>
      <c r="B42" s="16">
        <f>증량기록!C12</f>
        <v>47.5</v>
      </c>
      <c r="C42" s="16">
        <f>증량기록!E12</f>
        <v>52.5</v>
      </c>
      <c r="D42" s="16">
        <f>증량기록!G12</f>
        <v>24.5</v>
      </c>
      <c r="E42" s="16">
        <f>증량기록!I12</f>
        <v>22.5</v>
      </c>
    </row>
    <row r="43" spans="1:5" ht="15" customHeight="1">
      <c r="A43" s="8" t="s">
        <v>98</v>
      </c>
      <c r="B43" s="16">
        <f>증량기록!C13</f>
        <v>52.5</v>
      </c>
      <c r="C43" s="16">
        <f>증량기록!E13</f>
        <v>57.5</v>
      </c>
      <c r="D43" s="16">
        <f>증량기록!G13</f>
        <v>26.75</v>
      </c>
      <c r="E43" s="16">
        <f>증량기록!I13</f>
        <v>23.75</v>
      </c>
    </row>
    <row r="44" spans="1:5" ht="15" customHeight="1">
      <c r="A44" s="8" t="s">
        <v>99</v>
      </c>
      <c r="B44" s="16">
        <f>증량기록!C14</f>
        <v>57.5</v>
      </c>
      <c r="C44" s="16">
        <f>증량기록!E14</f>
        <v>62.5</v>
      </c>
      <c r="D44" s="16">
        <f>증량기록!G14</f>
        <v>29</v>
      </c>
      <c r="E44" s="16">
        <f>증량기록!I14</f>
        <v>25</v>
      </c>
    </row>
    <row r="45" spans="1:5" ht="15" customHeight="1">
      <c r="A45" s="8" t="s">
        <v>100</v>
      </c>
      <c r="B45" s="16">
        <f>증량기록!C15</f>
        <v>62.5</v>
      </c>
      <c r="C45" s="16">
        <f>증량기록!E15</f>
        <v>67.5</v>
      </c>
      <c r="D45" s="16">
        <f>증량기록!G15</f>
        <v>31.25</v>
      </c>
      <c r="E45" s="16">
        <f>증량기록!I15</f>
        <v>26.25</v>
      </c>
    </row>
    <row r="46" spans="1:5" ht="15" customHeight="1">
      <c r="A46" s="8" t="s">
        <v>101</v>
      </c>
      <c r="B46" s="16">
        <f>증량기록!C16</f>
        <v>67.5</v>
      </c>
      <c r="C46" s="16">
        <f>증량기록!E16</f>
        <v>72.5</v>
      </c>
      <c r="D46" s="16">
        <f>증량기록!G16</f>
        <v>33.5</v>
      </c>
      <c r="E46" s="16">
        <f>증량기록!I16</f>
        <v>27.5</v>
      </c>
    </row>
    <row r="47" spans="1:5" ht="15" customHeight="1">
      <c r="A47" s="8" t="s">
        <v>102</v>
      </c>
      <c r="B47" s="16">
        <f>증량기록!C17</f>
        <v>72.5</v>
      </c>
      <c r="C47" s="16">
        <f>증량기록!E17</f>
        <v>77.5</v>
      </c>
      <c r="D47" s="16">
        <f>증량기록!G17</f>
        <v>35.75</v>
      </c>
      <c r="E47" s="16">
        <f>증량기록!I17</f>
        <v>28.75</v>
      </c>
    </row>
    <row r="48" spans="1:5" ht="15" customHeight="1">
      <c r="A48" s="8" t="s">
        <v>103</v>
      </c>
      <c r="B48" s="16">
        <f>증량기록!C18</f>
        <v>77.5</v>
      </c>
      <c r="C48" s="16">
        <f>증량기록!E18</f>
        <v>82.5</v>
      </c>
      <c r="D48" s="16">
        <f>증량기록!G18</f>
        <v>38</v>
      </c>
      <c r="E48" s="16">
        <f>증량기록!I18</f>
        <v>30</v>
      </c>
    </row>
    <row r="49" spans="1:5" ht="15" customHeight="1">
      <c r="A49" s="8" t="s">
        <v>104</v>
      </c>
      <c r="B49" s="16">
        <f>증량기록!C19</f>
        <v>82.5</v>
      </c>
      <c r="C49" s="16">
        <f>증량기록!E19</f>
        <v>87.5</v>
      </c>
      <c r="D49" s="16">
        <f>증량기록!G19</f>
        <v>40.25</v>
      </c>
      <c r="E49" s="16">
        <f>증량기록!I19</f>
        <v>31.25</v>
      </c>
    </row>
    <row r="50" spans="1:5" ht="15" customHeight="1">
      <c r="A50" s="8" t="s">
        <v>105</v>
      </c>
      <c r="B50" s="16">
        <f>증량기록!C20</f>
        <v>87.5</v>
      </c>
      <c r="C50" s="16">
        <f>증량기록!E20</f>
        <v>92.5</v>
      </c>
      <c r="D50" s="16">
        <f>증량기록!G20</f>
        <v>42.5</v>
      </c>
      <c r="E50" s="16">
        <f>증량기록!I20</f>
        <v>32.5</v>
      </c>
    </row>
    <row r="51" spans="1:5" ht="15" customHeight="1">
      <c r="A51" s="8" t="s">
        <v>106</v>
      </c>
      <c r="B51" s="16">
        <f>증량기록!C21</f>
        <v>92.5</v>
      </c>
      <c r="C51" s="16">
        <f>증량기록!E21</f>
        <v>97.5</v>
      </c>
      <c r="D51" s="16">
        <f>증량기록!G21</f>
        <v>44.75</v>
      </c>
      <c r="E51" s="16">
        <f>증량기록!I21</f>
        <v>33.75</v>
      </c>
    </row>
    <row r="53" spans="1:5" ht="51.75" customHeight="1">
      <c r="A53" s="11" t="s">
        <v>107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108</v>
      </c>
    </row>
    <row r="2" spans="1:4" ht="16.5" customHeight="1">
      <c r="A2" s="18" t="s">
        <v>109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58</v>
      </c>
      <c r="B4" s="18"/>
      <c r="C4" s="19">
        <f>시작중량_설정!$C$4</f>
        <v>1</v>
      </c>
      <c r="D4" s="20" t="s">
        <v>110</v>
      </c>
    </row>
    <row r="5" spans="1:4" ht="16.5" customHeight="1">
      <c r="A5" s="3" t="s">
        <v>111</v>
      </c>
      <c r="B5" s="18"/>
      <c r="C5" s="21">
        <f>IF($C$4&lt;=2,$C$9,IF($C$4&lt;=4,$C$10,$C$11))</f>
        <v>1</v>
      </c>
      <c r="D5" s="18" t="s">
        <v>112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113</v>
      </c>
      <c r="B7" s="22" t="s">
        <v>94</v>
      </c>
      <c r="C7" s="22" t="s">
        <v>114</v>
      </c>
      <c r="D7" s="22" t="s">
        <v>115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116</v>
      </c>
      <c r="B9" s="23" t="s">
        <v>117</v>
      </c>
      <c r="C9" s="24">
        <v>1</v>
      </c>
      <c r="D9" s="25" t="s">
        <v>118</v>
      </c>
    </row>
    <row r="10" spans="1:4" ht="16.5" customHeight="1">
      <c r="A10" s="23" t="s">
        <v>119</v>
      </c>
      <c r="B10" s="23" t="s">
        <v>120</v>
      </c>
      <c r="C10" s="24">
        <v>1</v>
      </c>
      <c r="D10" s="25" t="s">
        <v>121</v>
      </c>
    </row>
    <row r="11" spans="1:4" ht="16.5" customHeight="1">
      <c r="A11" s="25" t="s">
        <v>122</v>
      </c>
      <c r="B11" s="23" t="s">
        <v>123</v>
      </c>
      <c r="C11" s="24">
        <v>1</v>
      </c>
      <c r="D11" s="25" t="s">
        <v>124</v>
      </c>
    </row>
    <row r="12" spans="1:4" ht="15" customHeight="1">
      <c r="A12" s="18"/>
      <c r="B12" s="18"/>
      <c r="C12" s="18"/>
      <c r="D12" s="18"/>
    </row>
    <row r="13" spans="1:4" ht="15" customHeight="1">
      <c r="A13" s="3" t="s">
        <v>125</v>
      </c>
      <c r="B13" s="18"/>
      <c r="C13" s="18"/>
      <c r="D13" s="18"/>
    </row>
    <row r="14" spans="1:4" ht="16.5" customHeight="1">
      <c r="A14" s="20" t="s">
        <v>126</v>
      </c>
      <c r="B14" s="18"/>
      <c r="C14" s="18"/>
      <c r="D14" s="18"/>
    </row>
    <row r="15" spans="1:4" ht="16.5" customHeight="1">
      <c r="A15" s="20" t="s">
        <v>127</v>
      </c>
      <c r="B15" s="18"/>
      <c r="C15" s="18"/>
      <c r="D15" s="18"/>
    </row>
    <row r="16" spans="1:4" ht="16.5" customHeight="1">
      <c r="A16" s="20" t="s">
        <v>128</v>
      </c>
      <c r="B16" s="18"/>
      <c r="C16" s="18"/>
      <c r="D16" s="18"/>
    </row>
    <row r="17" spans="1:4" ht="16.5" customHeight="1">
      <c r="A17" s="20" t="s">
        <v>129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86</v>
      </c>
      <c r="B19" s="18"/>
      <c r="C19" s="18"/>
      <c r="D19" s="18"/>
    </row>
    <row r="20" spans="1:4" ht="16.5" customHeight="1">
      <c r="A20" s="20" t="s">
        <v>130</v>
      </c>
      <c r="B20" s="18"/>
      <c r="C20" s="18"/>
      <c r="D20" s="18"/>
    </row>
    <row r="21" spans="1:4" ht="16.5" customHeight="1">
      <c r="A21" s="20" t="s">
        <v>131</v>
      </c>
      <c r="B21" s="18"/>
      <c r="C21" s="18"/>
      <c r="D21" s="18"/>
    </row>
    <row r="22" spans="1:4" ht="16.5" customHeight="1">
      <c r="A22" s="20" t="s">
        <v>132</v>
      </c>
      <c r="B22" s="18"/>
      <c r="C22" s="18"/>
      <c r="D22" s="18"/>
    </row>
    <row r="23" spans="1:4" ht="16.5" customHeight="1">
      <c r="A23" s="20" t="s">
        <v>133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 t="s">
        <v>134</v>
      </c>
      <c r="B25" s="18"/>
      <c r="C25" s="18"/>
      <c r="D25" s="18"/>
    </row>
    <row r="26" spans="1:4" ht="16.5" customHeight="1">
      <c r="A26" s="20" t="s">
        <v>135</v>
      </c>
      <c r="B26" s="18"/>
      <c r="C26" s="18"/>
      <c r="D26" s="18"/>
    </row>
    <row r="27" spans="1:4" ht="16.5" customHeight="1">
      <c r="A27" s="20" t="s">
        <v>136</v>
      </c>
      <c r="B27" s="18"/>
      <c r="C27" s="18"/>
      <c r="D27" s="18"/>
    </row>
    <row r="28" spans="1:4" ht="16.5" customHeight="1">
      <c r="A28" s="20" t="s">
        <v>137</v>
      </c>
      <c r="B28" s="18"/>
      <c r="C28" s="18"/>
      <c r="D28" s="18"/>
    </row>
    <row r="29" spans="1:4" ht="16.5" customHeight="1">
      <c r="A29" s="20" t="s">
        <v>138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139</v>
      </c>
      <c r="B31" s="18"/>
      <c r="C31" s="18"/>
      <c r="D31" s="18"/>
    </row>
    <row r="32" spans="1:4" ht="16.5" customHeight="1">
      <c r="A32" s="20" t="s">
        <v>140</v>
      </c>
      <c r="B32" s="18"/>
      <c r="C32" s="18"/>
      <c r="D32" s="18"/>
    </row>
    <row r="33" spans="1:4" ht="16.5" customHeight="1">
      <c r="A33" s="20" t="s">
        <v>141</v>
      </c>
      <c r="B33" s="18"/>
      <c r="C33" s="18"/>
      <c r="D33" s="18"/>
    </row>
    <row r="35" spans="1:4">
      <c r="A35" s="74" t="s">
        <v>142</v>
      </c>
    </row>
    <row r="36" spans="1:4">
      <c r="A36" s="74" t="s">
        <v>143</v>
      </c>
    </row>
    <row r="37" spans="1:4">
      <c r="A37" s="74" t="s">
        <v>144</v>
      </c>
    </row>
    <row r="38" spans="1:4">
      <c r="A38" s="74" t="s">
        <v>145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146</v>
      </c>
    </row>
    <row r="2" spans="1:6" ht="15" customHeight="1">
      <c r="A2" s="18" t="s">
        <v>147</v>
      </c>
    </row>
    <row r="4" spans="1:6" ht="15" customHeight="1">
      <c r="A4" s="26" t="s">
        <v>148</v>
      </c>
      <c r="B4" s="26" t="s">
        <v>149</v>
      </c>
      <c r="C4" s="26" t="s">
        <v>150</v>
      </c>
      <c r="D4" s="26" t="s">
        <v>151</v>
      </c>
      <c r="E4" s="26" t="s">
        <v>7</v>
      </c>
      <c r="F4" s="26" t="s">
        <v>152</v>
      </c>
    </row>
    <row r="5" spans="1:6" ht="15" customHeight="1">
      <c r="A5" s="27" t="s">
        <v>153</v>
      </c>
      <c r="B5" s="28" t="s">
        <v>154</v>
      </c>
      <c r="C5" s="29" t="s">
        <v>21</v>
      </c>
      <c r="D5" s="28" t="s">
        <v>155</v>
      </c>
      <c r="E5" s="27">
        <f>월_당기기A!$E$14</f>
        <v>26</v>
      </c>
      <c r="F5" s="27" t="s">
        <v>156</v>
      </c>
    </row>
    <row r="6" spans="1:6" ht="15" customHeight="1">
      <c r="A6" s="27" t="s">
        <v>157</v>
      </c>
      <c r="B6" s="28" t="s">
        <v>158</v>
      </c>
      <c r="C6" s="28" t="s">
        <v>159</v>
      </c>
      <c r="D6" s="28" t="s">
        <v>160</v>
      </c>
      <c r="E6" s="27">
        <f>화_밀기A!$E$25</f>
        <v>24</v>
      </c>
      <c r="F6" s="27" t="s">
        <v>156</v>
      </c>
    </row>
    <row r="7" spans="1:6" ht="15" customHeight="1">
      <c r="A7" s="27" t="s">
        <v>161</v>
      </c>
      <c r="B7" s="28" t="s">
        <v>162</v>
      </c>
      <c r="C7" s="28" t="s">
        <v>163</v>
      </c>
      <c r="D7" s="28" t="s">
        <v>164</v>
      </c>
      <c r="E7" s="27">
        <f>수_하체A!$E$22</f>
        <v>26</v>
      </c>
      <c r="F7" s="27" t="s">
        <v>165</v>
      </c>
    </row>
    <row r="8" spans="1:6" ht="15" customHeight="1">
      <c r="A8" s="30" t="s">
        <v>166</v>
      </c>
      <c r="B8" s="31" t="s">
        <v>167</v>
      </c>
      <c r="C8" s="32" t="s">
        <v>21</v>
      </c>
      <c r="D8" s="31" t="s">
        <v>168</v>
      </c>
      <c r="E8" s="30">
        <f>목_당기기B!$E$13</f>
        <v>24</v>
      </c>
      <c r="F8" s="27" t="s">
        <v>169</v>
      </c>
    </row>
    <row r="9" spans="1:6" ht="15" customHeight="1">
      <c r="A9" s="27" t="s">
        <v>170</v>
      </c>
      <c r="B9" s="28" t="s">
        <v>171</v>
      </c>
      <c r="C9" s="28" t="s">
        <v>172</v>
      </c>
      <c r="D9" s="28" t="s">
        <v>173</v>
      </c>
      <c r="E9" s="27">
        <f>금_밀기B!$E$29</f>
        <v>29</v>
      </c>
      <c r="F9" s="27" t="s">
        <v>165</v>
      </c>
    </row>
    <row r="10" spans="1:6" ht="15" customHeight="1">
      <c r="A10" s="27" t="s">
        <v>174</v>
      </c>
      <c r="B10" s="28" t="s">
        <v>175</v>
      </c>
      <c r="C10" s="28" t="s">
        <v>176</v>
      </c>
      <c r="D10" s="28" t="s">
        <v>177</v>
      </c>
      <c r="E10" s="27">
        <f>토_하체B!$E$23</f>
        <v>24</v>
      </c>
      <c r="F10" s="27" t="s">
        <v>178</v>
      </c>
    </row>
    <row r="11" spans="1:6" ht="15" customHeight="1">
      <c r="A11" s="30" t="s">
        <v>179</v>
      </c>
      <c r="B11" s="31" t="s">
        <v>180</v>
      </c>
      <c r="C11" s="32" t="s">
        <v>21</v>
      </c>
      <c r="D11" s="32" t="s">
        <v>21</v>
      </c>
      <c r="E11" s="30">
        <v>0</v>
      </c>
      <c r="F11" s="33" t="s">
        <v>21</v>
      </c>
    </row>
    <row r="12" spans="1:6" ht="15" customHeight="1">
      <c r="A12" s="34" t="s">
        <v>181</v>
      </c>
      <c r="B12" s="35"/>
      <c r="C12" s="36"/>
      <c r="D12" s="35"/>
      <c r="E12" s="34">
        <f>SUM(E5:E11)</f>
        <v>153</v>
      </c>
    </row>
    <row r="14" spans="1:6" ht="16.5" customHeight="1">
      <c r="A14" s="13" t="s">
        <v>182</v>
      </c>
    </row>
    <row r="15" spans="1:6" ht="89.25" customHeight="1">
      <c r="A15" s="37" t="s">
        <v>183</v>
      </c>
    </row>
    <row r="16" spans="1:6" ht="76.5" customHeight="1">
      <c r="A16" s="37" t="s">
        <v>184</v>
      </c>
    </row>
    <row r="17" spans="1:1" ht="38.25" customHeight="1">
      <c r="A17" s="37" t="s">
        <v>185</v>
      </c>
    </row>
    <row r="18" spans="1:1" ht="114.75" customHeight="1">
      <c r="A18" s="37" t="s">
        <v>186</v>
      </c>
    </row>
    <row r="19" spans="1:1" ht="16.5" customHeight="1">
      <c r="A19" s="38" t="s">
        <v>187</v>
      </c>
    </row>
    <row r="20" spans="1:1" ht="16.5" customHeight="1">
      <c r="A20" t="s">
        <v>188</v>
      </c>
    </row>
    <row r="21" spans="1:1" ht="15" customHeight="1">
      <c r="A21" s="39" t="s">
        <v>189</v>
      </c>
    </row>
    <row r="22" spans="1:1" ht="15" customHeight="1">
      <c r="A22" s="38" t="s">
        <v>190</v>
      </c>
    </row>
    <row r="23" spans="1:1" ht="15" customHeight="1">
      <c r="A23" s="38" t="s">
        <v>191</v>
      </c>
    </row>
    <row r="24" spans="1:1" ht="15" customHeight="1">
      <c r="A24" s="38" t="s">
        <v>192</v>
      </c>
    </row>
    <row r="25" spans="1:1" ht="16.5" customHeight="1">
      <c r="A25" s="38" t="s">
        <v>193</v>
      </c>
    </row>
    <row r="26" spans="1:1" ht="15" customHeight="1">
      <c r="A26" s="2"/>
    </row>
    <row r="27" spans="1:1" ht="15" customHeight="1">
      <c r="A27" s="3" t="s">
        <v>194</v>
      </c>
    </row>
    <row r="28" spans="1:1" ht="79.5" customHeight="1">
      <c r="A28" s="37" t="s">
        <v>195</v>
      </c>
    </row>
    <row r="29" spans="1:1" ht="64.5" customHeight="1">
      <c r="A29" s="37" t="s">
        <v>196</v>
      </c>
    </row>
    <row r="30" spans="1:1" ht="90" customHeight="1">
      <c r="A30" s="37" t="s">
        <v>197</v>
      </c>
    </row>
    <row r="31" spans="1:1" ht="102.75" customHeight="1">
      <c r="A31" s="37" t="s">
        <v>198</v>
      </c>
    </row>
    <row r="32" spans="1:1" ht="100.5" customHeight="1">
      <c r="A32" s="11"/>
    </row>
    <row r="33" spans="1:1" ht="15" customHeight="1">
      <c r="A33" s="13" t="s">
        <v>199</v>
      </c>
    </row>
    <row r="34" spans="1:1" ht="90" customHeight="1">
      <c r="A34" s="40" t="s">
        <v>200</v>
      </c>
    </row>
    <row r="35" spans="1:1" ht="51.75" customHeight="1">
      <c r="A35" s="40" t="s">
        <v>201</v>
      </c>
    </row>
    <row r="36" spans="1:1" ht="77.25" customHeight="1">
      <c r="A36" s="11"/>
    </row>
    <row r="37" spans="1:1" ht="64.5" customHeight="1">
      <c r="A37" s="13" t="s">
        <v>202</v>
      </c>
    </row>
    <row r="38" spans="1:1" ht="16.5" customHeight="1">
      <c r="A38" s="38" t="s">
        <v>203</v>
      </c>
    </row>
    <row r="39" spans="1:1" ht="16.5" customHeight="1">
      <c r="A39" s="38" t="s">
        <v>204</v>
      </c>
    </row>
    <row r="40" spans="1:1" ht="16.5" customHeight="1">
      <c r="A40" s="38" t="s">
        <v>205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0</v>
      </c>
    </row>
    <row r="2" spans="1:10" ht="16.5" customHeight="1">
      <c r="A2" s="18" t="s">
        <v>1</v>
      </c>
    </row>
    <row r="4" spans="1:10" ht="15" customHeight="1">
      <c r="A4" s="3" t="s">
        <v>2</v>
      </c>
    </row>
    <row r="5" spans="1:10" ht="16.5" customHeight="1">
      <c r="A5" s="41" t="s">
        <v>3</v>
      </c>
      <c r="B5" s="42" t="s">
        <v>4</v>
      </c>
      <c r="C5" s="42" t="s">
        <v>5</v>
      </c>
      <c r="D5" s="42" t="s">
        <v>6</v>
      </c>
      <c r="E5" s="42" t="s">
        <v>7</v>
      </c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</row>
    <row r="6" spans="1:10" ht="16.5" customHeight="1">
      <c r="A6" s="27">
        <v>1</v>
      </c>
      <c r="B6" s="28" t="s">
        <v>13</v>
      </c>
      <c r="C6" s="27" t="s">
        <v>14</v>
      </c>
      <c r="D6" s="27" t="s">
        <v>15</v>
      </c>
      <c r="E6" s="27">
        <v>4</v>
      </c>
      <c r="F6" s="33" t="s">
        <v>16</v>
      </c>
      <c r="G6" s="28" t="s">
        <v>17</v>
      </c>
      <c r="H6" s="28" t="s">
        <v>18</v>
      </c>
      <c r="I6" s="28" t="s">
        <v>19</v>
      </c>
      <c r="J6" s="43">
        <f>MAX(1,ROUND(E6*볼륨램프!$C$5,0))</f>
        <v>4</v>
      </c>
    </row>
    <row r="7" spans="1:10" ht="16.5" customHeight="1">
      <c r="A7" s="27">
        <v>2</v>
      </c>
      <c r="B7" s="28" t="s">
        <v>20</v>
      </c>
      <c r="C7" s="27" t="s">
        <v>14</v>
      </c>
      <c r="D7" s="33" t="s">
        <v>21</v>
      </c>
      <c r="E7" s="27">
        <v>3</v>
      </c>
      <c r="F7" s="33" t="s">
        <v>22</v>
      </c>
      <c r="G7" s="28" t="s">
        <v>17</v>
      </c>
      <c r="H7" s="28" t="s">
        <v>23</v>
      </c>
      <c r="I7" s="28" t="s">
        <v>24</v>
      </c>
      <c r="J7" s="43">
        <f>MAX(1,ROUND(E7*볼륨램프!$C$5,0))</f>
        <v>3</v>
      </c>
    </row>
    <row r="8" spans="1:10" ht="16.5" customHeight="1">
      <c r="A8" s="27">
        <v>3</v>
      </c>
      <c r="B8" s="28" t="s">
        <v>25</v>
      </c>
      <c r="C8" s="27" t="s">
        <v>26</v>
      </c>
      <c r="D8" s="27" t="s">
        <v>15</v>
      </c>
      <c r="E8" s="27">
        <v>3</v>
      </c>
      <c r="F8" s="33" t="s">
        <v>27</v>
      </c>
      <c r="G8" s="28" t="s">
        <v>28</v>
      </c>
      <c r="H8" s="28" t="s">
        <v>29</v>
      </c>
      <c r="I8" s="28" t="s">
        <v>30</v>
      </c>
      <c r="J8" s="43">
        <f>MAX(1,ROUND(E8*볼륨램프!$C$5,0))</f>
        <v>3</v>
      </c>
    </row>
    <row r="9" spans="1:10" ht="16.5" customHeight="1">
      <c r="A9" s="27">
        <v>4</v>
      </c>
      <c r="B9" s="28" t="s">
        <v>31</v>
      </c>
      <c r="C9" s="27" t="s">
        <v>17</v>
      </c>
      <c r="D9" s="33" t="s">
        <v>32</v>
      </c>
      <c r="E9" s="27">
        <v>3</v>
      </c>
      <c r="F9" s="33" t="s">
        <v>22</v>
      </c>
      <c r="G9" s="28" t="s">
        <v>33</v>
      </c>
      <c r="H9" s="28" t="s">
        <v>34</v>
      </c>
      <c r="I9" s="29" t="s">
        <v>35</v>
      </c>
      <c r="J9" s="43">
        <f>MAX(1,ROUND(E9*볼륨램프!$C$5,0))</f>
        <v>3</v>
      </c>
    </row>
    <row r="10" spans="1:10" ht="16.5" customHeight="1">
      <c r="A10" s="27">
        <v>5</v>
      </c>
      <c r="B10" s="28" t="s">
        <v>36</v>
      </c>
      <c r="C10" s="27" t="s">
        <v>17</v>
      </c>
      <c r="D10" s="33" t="s">
        <v>37</v>
      </c>
      <c r="E10" s="27">
        <v>3</v>
      </c>
      <c r="F10" s="33" t="s">
        <v>22</v>
      </c>
      <c r="G10" s="28" t="s">
        <v>33</v>
      </c>
      <c r="H10" s="28" t="s">
        <v>38</v>
      </c>
      <c r="I10" s="28" t="s">
        <v>39</v>
      </c>
      <c r="J10" s="43">
        <f>MAX(1,ROUND(E10*볼륨램프!$C$5,0))</f>
        <v>3</v>
      </c>
    </row>
    <row r="11" spans="1:10" ht="16.5" customHeight="1">
      <c r="A11" s="27">
        <v>6</v>
      </c>
      <c r="B11" s="28" t="s">
        <v>40</v>
      </c>
      <c r="C11" s="27" t="s">
        <v>33</v>
      </c>
      <c r="D11" s="27">
        <v>10</v>
      </c>
      <c r="E11" s="27">
        <v>4</v>
      </c>
      <c r="F11" s="33" t="s">
        <v>41</v>
      </c>
      <c r="G11" s="28"/>
      <c r="H11" s="28" t="s">
        <v>42</v>
      </c>
      <c r="I11" s="28" t="s">
        <v>43</v>
      </c>
      <c r="J11" s="43">
        <f>MAX(1,ROUND(E11*볼륨램프!$C$5,0))</f>
        <v>4</v>
      </c>
    </row>
    <row r="12" spans="1:10" ht="16.5" customHeight="1">
      <c r="A12" s="27">
        <v>7</v>
      </c>
      <c r="B12" s="28" t="s">
        <v>44</v>
      </c>
      <c r="C12" s="27" t="s">
        <v>45</v>
      </c>
      <c r="D12" s="27" t="s">
        <v>15</v>
      </c>
      <c r="E12" s="27">
        <v>3</v>
      </c>
      <c r="F12" s="33" t="s">
        <v>46</v>
      </c>
      <c r="G12" s="28"/>
      <c r="H12" s="28" t="s">
        <v>47</v>
      </c>
      <c r="I12" s="28" t="s">
        <v>48</v>
      </c>
      <c r="J12" s="43">
        <f>MAX(1,ROUND(E12*볼륨램프!$C$5,0))</f>
        <v>3</v>
      </c>
    </row>
    <row r="13" spans="1:10" ht="15" customHeight="1">
      <c r="A13" s="27">
        <v>8</v>
      </c>
      <c r="B13" s="28" t="s">
        <v>49</v>
      </c>
      <c r="C13" s="27" t="s">
        <v>50</v>
      </c>
      <c r="D13" s="27">
        <v>20</v>
      </c>
      <c r="E13" s="27">
        <v>3</v>
      </c>
      <c r="F13" s="33" t="s">
        <v>51</v>
      </c>
      <c r="G13" s="28" t="s">
        <v>52</v>
      </c>
      <c r="H13" s="28" t="s">
        <v>53</v>
      </c>
      <c r="I13" s="28" t="s">
        <v>54</v>
      </c>
      <c r="J13" s="43">
        <f>MAX(1,ROUND(E13*볼륨램프!$C$5,0))</f>
        <v>3</v>
      </c>
    </row>
    <row r="14" spans="1:10" ht="15" customHeight="1">
      <c r="D14" s="44" t="s">
        <v>55</v>
      </c>
      <c r="E14" s="45">
        <f>SUM(E6:E13)</f>
        <v>26</v>
      </c>
      <c r="J14" s="46">
        <f>SUM(J6:J13)</f>
        <v>26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zoomScaleNormal="100" workbookViewId="0">
      <pane ySplit="19" topLeftCell="A20" activePane="bottomLeft" state="frozen"/>
      <selection pane="bottomLeft" activeCell="I30" sqref="I3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3" ht="19.5" customHeight="1">
      <c r="A1" s="17" t="s">
        <v>206</v>
      </c>
    </row>
    <row r="2" spans="1:3" ht="16.5" customHeight="1">
      <c r="A2" s="18" t="s">
        <v>207</v>
      </c>
    </row>
    <row r="4" spans="1:3" ht="16.5" customHeight="1">
      <c r="A4" s="3" t="s">
        <v>208</v>
      </c>
    </row>
    <row r="5" spans="1:3" ht="16.5" customHeight="1">
      <c r="A5" s="26" t="s">
        <v>6</v>
      </c>
      <c r="B5" s="26" t="s">
        <v>209</v>
      </c>
      <c r="C5" s="26" t="s">
        <v>7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IF(MAX(20,MROUND(시작중량_설정!$E$9*0.9,2.5))&lt;=MAX(20,MROUND(시작중량_설정!$E$9*0.75,2.5)),"생략",MAX(20,MROUND(시작중량_설정!$E$9*0.9,2.5)))</f>
        <v>생략</v>
      </c>
      <c r="B9" s="27">
        <v>2</v>
      </c>
      <c r="C9" s="27">
        <v>1</v>
      </c>
    </row>
    <row r="10" spans="1:3" ht="15" customHeight="1">
      <c r="A10" s="47">
        <f>시작중량_설정!$E$9</f>
        <v>20</v>
      </c>
      <c r="B10" s="34">
        <v>5</v>
      </c>
      <c r="C10" s="34">
        <v>5</v>
      </c>
    </row>
    <row r="11" spans="1:3" ht="16.5" customHeight="1">
      <c r="A11" s="38" t="s">
        <v>210</v>
      </c>
    </row>
    <row r="13" spans="1:3" ht="16.5" customHeight="1">
      <c r="A13" s="3" t="s">
        <v>211</v>
      </c>
    </row>
    <row r="14" spans="1:3" ht="16.5" customHeight="1">
      <c r="A14" s="38" t="s">
        <v>212</v>
      </c>
    </row>
    <row r="15" spans="1:3" ht="16.5" customHeight="1">
      <c r="A15" s="38" t="s">
        <v>213</v>
      </c>
    </row>
    <row r="16" spans="1:3" ht="16.5" customHeight="1">
      <c r="A16" s="38" t="s">
        <v>214</v>
      </c>
    </row>
    <row r="18" spans="1:10" ht="15" customHeight="1">
      <c r="A18" s="3" t="s">
        <v>2</v>
      </c>
    </row>
    <row r="19" spans="1:10" ht="16.5" customHeight="1">
      <c r="A19" s="41" t="s">
        <v>3</v>
      </c>
      <c r="B19" s="42" t="s">
        <v>4</v>
      </c>
      <c r="C19" s="42" t="s">
        <v>5</v>
      </c>
      <c r="D19" s="42" t="s">
        <v>6</v>
      </c>
      <c r="E19" s="42" t="s">
        <v>7</v>
      </c>
      <c r="F19" s="42" t="s">
        <v>8</v>
      </c>
      <c r="G19" s="42" t="s">
        <v>9</v>
      </c>
      <c r="H19" s="42" t="s">
        <v>10</v>
      </c>
      <c r="I19" s="42" t="s">
        <v>11</v>
      </c>
      <c r="J19" s="42" t="s">
        <v>12</v>
      </c>
    </row>
    <row r="20" spans="1:10" ht="16.5" customHeight="1">
      <c r="A20" s="48">
        <v>1</v>
      </c>
      <c r="B20" s="49" t="s">
        <v>215</v>
      </c>
      <c r="C20" s="50" t="s">
        <v>216</v>
      </c>
      <c r="D20" s="51">
        <f>시작중량_설정!$E$9</f>
        <v>20</v>
      </c>
      <c r="E20" s="50">
        <v>5</v>
      </c>
      <c r="F20" s="48" t="s">
        <v>217</v>
      </c>
      <c r="G20" s="49" t="s">
        <v>218</v>
      </c>
      <c r="H20" s="49" t="s">
        <v>219</v>
      </c>
      <c r="I20" s="49" t="s">
        <v>220</v>
      </c>
      <c r="J20" s="52">
        <f>MAX(1,ROUND(E20*볼륨램프!$C$5,0))</f>
        <v>5</v>
      </c>
    </row>
    <row r="21" spans="1:10" ht="16.5" customHeight="1">
      <c r="A21" s="27">
        <v>2</v>
      </c>
      <c r="B21" s="28" t="s">
        <v>221</v>
      </c>
      <c r="C21" s="27" t="s">
        <v>216</v>
      </c>
      <c r="D21" s="27" t="s">
        <v>15</v>
      </c>
      <c r="E21" s="27">
        <v>4</v>
      </c>
      <c r="F21" s="33" t="s">
        <v>27</v>
      </c>
      <c r="G21" s="28" t="s">
        <v>222</v>
      </c>
      <c r="H21" s="28" t="s">
        <v>223</v>
      </c>
      <c r="I21" s="28" t="s">
        <v>224</v>
      </c>
      <c r="J21" s="43">
        <f>MAX(1,ROUND(E21*볼륨램프!$C$5,0))</f>
        <v>4</v>
      </c>
    </row>
    <row r="22" spans="1:10" ht="16.5" customHeight="1">
      <c r="A22" s="27">
        <v>3</v>
      </c>
      <c r="B22" s="28" t="s">
        <v>225</v>
      </c>
      <c r="C22" s="27" t="s">
        <v>226</v>
      </c>
      <c r="D22" s="33" t="s">
        <v>227</v>
      </c>
      <c r="E22" s="27">
        <v>4</v>
      </c>
      <c r="F22" s="33" t="s">
        <v>37</v>
      </c>
      <c r="G22" s="28"/>
      <c r="H22" s="28" t="s">
        <v>228</v>
      </c>
      <c r="I22" s="28" t="s">
        <v>229</v>
      </c>
      <c r="J22" s="43">
        <f>MAX(1,ROUND(E22*볼륨램프!$C$5,0))</f>
        <v>4</v>
      </c>
    </row>
    <row r="23" spans="1:10" ht="16.5" customHeight="1">
      <c r="A23" s="27">
        <v>4</v>
      </c>
      <c r="B23" s="28" t="s">
        <v>230</v>
      </c>
      <c r="C23" s="27" t="s">
        <v>222</v>
      </c>
      <c r="D23" s="33" t="s">
        <v>32</v>
      </c>
      <c r="E23" s="27">
        <v>4</v>
      </c>
      <c r="F23" s="33" t="s">
        <v>22</v>
      </c>
      <c r="G23" s="28"/>
      <c r="H23" s="28" t="s">
        <v>231</v>
      </c>
      <c r="I23" s="28" t="s">
        <v>232</v>
      </c>
      <c r="J23" s="43">
        <f>MAX(1,ROUND(E23*볼륨램프!$C$5,0))</f>
        <v>4</v>
      </c>
    </row>
    <row r="24" spans="1:10" ht="16.5" customHeight="1">
      <c r="A24" s="27">
        <v>5</v>
      </c>
      <c r="B24" s="28" t="s">
        <v>233</v>
      </c>
      <c r="C24" s="27" t="s">
        <v>234</v>
      </c>
      <c r="D24" s="33" t="s">
        <v>27</v>
      </c>
      <c r="E24" s="27">
        <v>7</v>
      </c>
      <c r="F24" s="33" t="s">
        <v>227</v>
      </c>
      <c r="G24" s="28"/>
      <c r="H24" s="28" t="s">
        <v>235</v>
      </c>
      <c r="I24" s="28" t="s">
        <v>236</v>
      </c>
      <c r="J24" s="43">
        <f>MAX(1,ROUND(E24*볼륨램프!$C$5,0))</f>
        <v>7</v>
      </c>
    </row>
    <row r="25" spans="1:10" ht="15" customHeight="1">
      <c r="D25" s="3" t="s">
        <v>55</v>
      </c>
      <c r="E25" s="34">
        <f>SUM(E20:E24)</f>
        <v>24</v>
      </c>
      <c r="J25" s="43">
        <f>SUM(J20:J24)</f>
        <v>24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zoomScaleNormal="100" workbookViewId="0">
      <pane ySplit="14" topLeftCell="A15" activePane="bottomLeft" state="frozen"/>
      <selection pane="bottomLeft" activeCell="H40" sqref="H4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237</v>
      </c>
    </row>
    <row r="2" spans="1:10" ht="16.5" customHeight="1">
      <c r="A2" s="18" t="s">
        <v>238</v>
      </c>
    </row>
    <row r="4" spans="1:10" ht="16.5" customHeight="1">
      <c r="A4" s="3" t="s">
        <v>239</v>
      </c>
    </row>
    <row r="5" spans="1:10" ht="16.5" customHeight="1">
      <c r="A5" s="26" t="s">
        <v>6</v>
      </c>
      <c r="B5" s="26" t="s">
        <v>209</v>
      </c>
      <c r="C5" s="26" t="s">
        <v>7</v>
      </c>
    </row>
    <row r="6" spans="1:10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0" ht="15" customHeight="1">
      <c r="A7" s="27">
        <f>IF(MAX(20,MROUND(시작중량_설정!$E$7*0.6,2.5))&lt;=MAX(20,MROUND(시작중량_설정!$E$7*0.4,2.5)),"생략",MAX(20,MROUND(시작중량_설정!$E$7*0.6,2.5)))</f>
        <v>22.5</v>
      </c>
      <c r="B7" s="27">
        <v>5</v>
      </c>
      <c r="C7" s="27">
        <v>1</v>
      </c>
    </row>
    <row r="8" spans="1:10" ht="15" customHeight="1">
      <c r="A8" s="27">
        <f>IF(MAX(20,MROUND(시작중량_설정!$E$7*0.75,2.5))&lt;=MAX(20,MROUND(시작중량_설정!$E$7*0.6,2.5)),"생략",MAX(20,MROUND(시작중량_설정!$E$7*0.75,2.5)))</f>
        <v>27.5</v>
      </c>
      <c r="B8" s="27">
        <v>3</v>
      </c>
      <c r="C8" s="27">
        <v>1</v>
      </c>
    </row>
    <row r="9" spans="1:10" ht="15" customHeight="1">
      <c r="A9" s="27">
        <f>IF(MAX(20,MROUND(시작중량_설정!$E$7*0.9,2.5))&lt;=MAX(20,MROUND(시작중량_설정!$E$7*0.75,2.5)),"생략",MAX(20,MROUND(시작중량_설정!$E$7*0.9,2.5)))</f>
        <v>35</v>
      </c>
      <c r="B9" s="27">
        <v>2</v>
      </c>
      <c r="C9" s="27">
        <v>1</v>
      </c>
    </row>
    <row r="10" spans="1:10" ht="15" customHeight="1">
      <c r="A10" s="47">
        <f>시작중량_설정!$E$7</f>
        <v>37.5</v>
      </c>
      <c r="B10" s="34">
        <v>5</v>
      </c>
      <c r="C10" s="34">
        <v>5</v>
      </c>
    </row>
    <row r="11" spans="1:10" ht="16.5" customHeight="1">
      <c r="A11" s="38" t="s">
        <v>210</v>
      </c>
    </row>
    <row r="13" spans="1:10" ht="15" customHeight="1">
      <c r="A13" s="3" t="s">
        <v>2</v>
      </c>
    </row>
    <row r="14" spans="1:10" ht="16.5" customHeight="1">
      <c r="A14" s="41" t="s">
        <v>3</v>
      </c>
      <c r="B14" s="42" t="s">
        <v>4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</row>
    <row r="15" spans="1:10" ht="16.5" customHeight="1">
      <c r="A15" s="50">
        <v>1</v>
      </c>
      <c r="B15" s="49" t="s">
        <v>240</v>
      </c>
      <c r="C15" s="50" t="s">
        <v>241</v>
      </c>
      <c r="D15" s="51">
        <f>시작중량_설정!$E$7</f>
        <v>37.5</v>
      </c>
      <c r="E15" s="50">
        <v>5</v>
      </c>
      <c r="F15" s="48" t="s">
        <v>217</v>
      </c>
      <c r="G15" s="49" t="s">
        <v>242</v>
      </c>
      <c r="H15" s="49" t="s">
        <v>243</v>
      </c>
      <c r="I15" s="49" t="s">
        <v>244</v>
      </c>
      <c r="J15" s="52">
        <f>MAX(1,ROUND(E15*볼륨램프!$C$5,0))</f>
        <v>5</v>
      </c>
    </row>
    <row r="16" spans="1:10" ht="16.5" customHeight="1">
      <c r="A16" s="27">
        <v>2</v>
      </c>
      <c r="B16" s="28" t="s">
        <v>245</v>
      </c>
      <c r="C16" s="27" t="s">
        <v>241</v>
      </c>
      <c r="D16" s="33" t="s">
        <v>21</v>
      </c>
      <c r="E16" s="27">
        <v>4</v>
      </c>
      <c r="F16" s="33" t="s">
        <v>22</v>
      </c>
      <c r="G16" s="28" t="s">
        <v>246</v>
      </c>
      <c r="H16" s="28" t="s">
        <v>247</v>
      </c>
      <c r="I16" s="28" t="s">
        <v>248</v>
      </c>
      <c r="J16" s="43">
        <f>MAX(1,ROUND(E16*볼륨램프!$C$5,0))</f>
        <v>4</v>
      </c>
    </row>
    <row r="17" spans="1:10" ht="16.5" customHeight="1">
      <c r="A17" s="27">
        <v>3</v>
      </c>
      <c r="B17" s="28" t="s">
        <v>249</v>
      </c>
      <c r="C17" s="27" t="s">
        <v>246</v>
      </c>
      <c r="D17" s="27">
        <v>15</v>
      </c>
      <c r="E17" s="27">
        <v>3</v>
      </c>
      <c r="F17" s="33" t="s">
        <v>250</v>
      </c>
      <c r="G17" s="28" t="s">
        <v>251</v>
      </c>
      <c r="H17" s="28" t="s">
        <v>252</v>
      </c>
      <c r="I17" s="28" t="s">
        <v>253</v>
      </c>
      <c r="J17" s="43">
        <f>MAX(1,ROUND(E17*볼륨램프!$C$5,0))</f>
        <v>3</v>
      </c>
    </row>
    <row r="18" spans="1:10" ht="16.5" customHeight="1">
      <c r="A18" s="27">
        <v>4</v>
      </c>
      <c r="B18" s="28" t="s">
        <v>254</v>
      </c>
      <c r="C18" s="27" t="s">
        <v>255</v>
      </c>
      <c r="D18" s="33" t="s">
        <v>21</v>
      </c>
      <c r="E18" s="27">
        <v>4</v>
      </c>
      <c r="F18" s="33" t="s">
        <v>37</v>
      </c>
      <c r="G18" s="28"/>
      <c r="H18" s="28" t="s">
        <v>256</v>
      </c>
      <c r="I18" s="28" t="s">
        <v>257</v>
      </c>
      <c r="J18" s="43">
        <f>MAX(1,ROUND(E18*볼륨램프!$C$5,0))</f>
        <v>4</v>
      </c>
    </row>
    <row r="19" spans="1:10" ht="16.5" customHeight="1">
      <c r="A19" s="27">
        <v>5</v>
      </c>
      <c r="B19" s="28" t="s">
        <v>258</v>
      </c>
      <c r="C19" s="27" t="s">
        <v>259</v>
      </c>
      <c r="D19" s="33" t="s">
        <v>21</v>
      </c>
      <c r="E19" s="27">
        <v>4</v>
      </c>
      <c r="F19" s="33" t="s">
        <v>227</v>
      </c>
      <c r="G19" s="28"/>
      <c r="H19" s="28" t="s">
        <v>260</v>
      </c>
      <c r="I19" s="28" t="s">
        <v>261</v>
      </c>
      <c r="J19" s="43">
        <f>MAX(1,ROUND(E19*볼륨램프!$C$5,0))</f>
        <v>4</v>
      </c>
    </row>
    <row r="20" spans="1:10" ht="16.5" customHeight="1">
      <c r="A20" s="27">
        <v>6</v>
      </c>
      <c r="B20" s="28" t="s">
        <v>262</v>
      </c>
      <c r="C20" s="27" t="s">
        <v>263</v>
      </c>
      <c r="D20" s="33" t="s">
        <v>21</v>
      </c>
      <c r="E20" s="27">
        <v>4</v>
      </c>
      <c r="F20" s="33" t="s">
        <v>227</v>
      </c>
      <c r="G20" s="28"/>
      <c r="H20" s="28" t="s">
        <v>264</v>
      </c>
      <c r="I20" s="28" t="s">
        <v>265</v>
      </c>
      <c r="J20" s="43">
        <f>MAX(1,ROUND(E20*볼륨램프!$C$5,0))</f>
        <v>4</v>
      </c>
    </row>
    <row r="21" spans="1:10" ht="16.5" customHeight="1">
      <c r="A21" s="27">
        <v>7</v>
      </c>
      <c r="B21" s="28" t="s">
        <v>266</v>
      </c>
      <c r="C21" s="27" t="s">
        <v>45</v>
      </c>
      <c r="D21" s="33" t="s">
        <v>21</v>
      </c>
      <c r="E21" s="27">
        <v>2</v>
      </c>
      <c r="F21" s="33" t="s">
        <v>267</v>
      </c>
      <c r="G21" s="28"/>
      <c r="H21" s="28" t="s">
        <v>268</v>
      </c>
      <c r="I21" s="28" t="s">
        <v>269</v>
      </c>
      <c r="J21" s="43">
        <f>MAX(1,ROUND(E21*볼륨램프!$C$5,0))</f>
        <v>2</v>
      </c>
    </row>
    <row r="22" spans="1:10" ht="15" customHeight="1">
      <c r="D22" s="3" t="s">
        <v>55</v>
      </c>
      <c r="E22" s="34">
        <f>SUM(E15:E21)</f>
        <v>26</v>
      </c>
      <c r="J22" s="43">
        <f>SUM(J15:J21)</f>
        <v>26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270</v>
      </c>
    </row>
    <row r="2" spans="1:10" ht="16.5" customHeight="1">
      <c r="A2" s="18" t="s">
        <v>271</v>
      </c>
    </row>
    <row r="4" spans="1:10" ht="15" customHeight="1">
      <c r="A4" s="3" t="s">
        <v>2</v>
      </c>
    </row>
    <row r="5" spans="1:10" ht="16.5" customHeight="1">
      <c r="A5" s="41" t="s">
        <v>3</v>
      </c>
      <c r="B5" s="42" t="s">
        <v>4</v>
      </c>
      <c r="C5" s="42" t="s">
        <v>5</v>
      </c>
      <c r="D5" s="42" t="s">
        <v>6</v>
      </c>
      <c r="E5" s="42" t="s">
        <v>7</v>
      </c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</row>
    <row r="6" spans="1:10" ht="16.5" customHeight="1">
      <c r="A6" s="27">
        <v>1</v>
      </c>
      <c r="B6" s="28" t="s">
        <v>272</v>
      </c>
      <c r="C6" s="27" t="s">
        <v>14</v>
      </c>
      <c r="D6" s="33" t="s">
        <v>21</v>
      </c>
      <c r="E6" s="27">
        <v>4</v>
      </c>
      <c r="F6" s="33" t="s">
        <v>27</v>
      </c>
      <c r="G6" s="28" t="s">
        <v>273</v>
      </c>
      <c r="H6" s="28" t="s">
        <v>274</v>
      </c>
      <c r="I6" s="28" t="s">
        <v>275</v>
      </c>
      <c r="J6" s="43">
        <f>MAX(1,ROUND(E6*볼륨램프!$C$5,0))</f>
        <v>4</v>
      </c>
    </row>
    <row r="7" spans="1:10" ht="16.5" customHeight="1">
      <c r="A7" s="27">
        <v>2</v>
      </c>
      <c r="B7" s="28" t="s">
        <v>276</v>
      </c>
      <c r="C7" s="27" t="s">
        <v>14</v>
      </c>
      <c r="D7" s="33" t="s">
        <v>21</v>
      </c>
      <c r="E7" s="27">
        <v>3</v>
      </c>
      <c r="F7" s="33" t="s">
        <v>22</v>
      </c>
      <c r="G7" s="28" t="s">
        <v>273</v>
      </c>
      <c r="H7" s="28" t="s">
        <v>277</v>
      </c>
      <c r="I7" s="28" t="s">
        <v>278</v>
      </c>
      <c r="J7" s="43">
        <f>MAX(1,ROUND(E7*볼륨램프!$C$5,0))</f>
        <v>3</v>
      </c>
    </row>
    <row r="8" spans="1:10" ht="16.5" customHeight="1">
      <c r="A8" s="27">
        <v>3</v>
      </c>
      <c r="B8" s="28" t="s">
        <v>279</v>
      </c>
      <c r="C8" s="27" t="s">
        <v>280</v>
      </c>
      <c r="D8" s="33" t="s">
        <v>281</v>
      </c>
      <c r="E8" s="27">
        <v>3</v>
      </c>
      <c r="F8" s="33" t="s">
        <v>227</v>
      </c>
      <c r="G8" s="28" t="s">
        <v>282</v>
      </c>
      <c r="H8" s="28" t="s">
        <v>283</v>
      </c>
      <c r="I8" s="28" t="s">
        <v>284</v>
      </c>
      <c r="J8" s="43">
        <f>MAX(1,ROUND(E8*볼륨램프!$C$5,0))</f>
        <v>3</v>
      </c>
    </row>
    <row r="9" spans="1:10" ht="16.5" customHeight="1">
      <c r="A9" s="27">
        <v>4</v>
      </c>
      <c r="B9" s="28" t="s">
        <v>285</v>
      </c>
      <c r="C9" s="27" t="s">
        <v>286</v>
      </c>
      <c r="D9" s="33" t="s">
        <v>227</v>
      </c>
      <c r="E9" s="27">
        <v>4</v>
      </c>
      <c r="F9" s="33" t="s">
        <v>51</v>
      </c>
      <c r="G9" s="28" t="s">
        <v>287</v>
      </c>
      <c r="H9" s="28" t="s">
        <v>288</v>
      </c>
      <c r="I9" s="28" t="s">
        <v>289</v>
      </c>
      <c r="J9" s="43">
        <f>MAX(1,ROUND(E9*볼륨램프!$C$5,0))</f>
        <v>4</v>
      </c>
    </row>
    <row r="10" spans="1:10" ht="16.5" customHeight="1">
      <c r="A10" s="27">
        <v>5</v>
      </c>
      <c r="B10" s="28" t="s">
        <v>290</v>
      </c>
      <c r="C10" s="27" t="s">
        <v>17</v>
      </c>
      <c r="D10" s="33" t="s">
        <v>291</v>
      </c>
      <c r="E10" s="27">
        <v>3</v>
      </c>
      <c r="F10" s="33" t="s">
        <v>22</v>
      </c>
      <c r="G10" s="28" t="s">
        <v>33</v>
      </c>
      <c r="H10" s="28" t="s">
        <v>292</v>
      </c>
      <c r="I10" s="29" t="s">
        <v>293</v>
      </c>
      <c r="J10" s="43">
        <f>MAX(1,ROUND(E10*볼륨램프!$C$5,0))</f>
        <v>3</v>
      </c>
    </row>
    <row r="11" spans="1:10" ht="16.5" customHeight="1">
      <c r="A11" s="27">
        <v>6</v>
      </c>
      <c r="B11" s="28" t="s">
        <v>294</v>
      </c>
      <c r="C11" s="27" t="s">
        <v>33</v>
      </c>
      <c r="D11" s="27">
        <v>10</v>
      </c>
      <c r="E11" s="27">
        <v>4</v>
      </c>
      <c r="F11" s="33" t="s">
        <v>41</v>
      </c>
      <c r="G11" s="28"/>
      <c r="H11" s="28" t="s">
        <v>295</v>
      </c>
      <c r="I11" s="28" t="s">
        <v>296</v>
      </c>
      <c r="J11" s="43">
        <f>MAX(1,ROUND(E11*볼륨램프!$C$5,0))</f>
        <v>4</v>
      </c>
    </row>
    <row r="12" spans="1:10" ht="16.5" customHeight="1">
      <c r="A12" s="27">
        <v>7</v>
      </c>
      <c r="B12" s="28" t="s">
        <v>297</v>
      </c>
      <c r="C12" s="27" t="s">
        <v>45</v>
      </c>
      <c r="D12" s="27">
        <v>2.5</v>
      </c>
      <c r="E12" s="27">
        <v>3</v>
      </c>
      <c r="F12" s="33" t="s">
        <v>51</v>
      </c>
      <c r="G12" s="28"/>
      <c r="H12" s="28" t="s">
        <v>298</v>
      </c>
      <c r="I12" s="28" t="s">
        <v>299</v>
      </c>
      <c r="J12" s="43">
        <f>MAX(1,ROUND(E12*볼륨램프!$C$5,0))</f>
        <v>3</v>
      </c>
    </row>
    <row r="13" spans="1:10" ht="15" customHeight="1">
      <c r="D13" s="3" t="s">
        <v>55</v>
      </c>
      <c r="E13" s="34">
        <f>SUM(E6:E12)</f>
        <v>24</v>
      </c>
      <c r="J13" s="43">
        <f>SUM(J6:J12)</f>
        <v>24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zoomScaleNormal="100" workbookViewId="0">
      <pane ySplit="19" topLeftCell="A20" activePane="bottomLeft" state="frozen"/>
      <selection pane="bottomLeft" activeCell="B23" sqref="B23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3" ht="19.5" customHeight="1">
      <c r="A1" s="17" t="s">
        <v>300</v>
      </c>
    </row>
    <row r="2" spans="1:3" ht="16.5" customHeight="1">
      <c r="A2" s="18" t="s">
        <v>301</v>
      </c>
    </row>
    <row r="4" spans="1:3" ht="16.5" customHeight="1">
      <c r="A4" s="3" t="s">
        <v>302</v>
      </c>
    </row>
    <row r="5" spans="1:3" ht="16.5" customHeight="1">
      <c r="A5" s="26" t="s">
        <v>6</v>
      </c>
      <c r="B5" s="26" t="s">
        <v>209</v>
      </c>
      <c r="C5" s="26" t="s">
        <v>7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20</v>
      </c>
      <c r="B10" s="34">
        <v>5</v>
      </c>
      <c r="C10" s="34">
        <v>3</v>
      </c>
    </row>
    <row r="11" spans="1:3" ht="16.5" customHeight="1">
      <c r="A11" s="38" t="s">
        <v>210</v>
      </c>
    </row>
    <row r="13" spans="1:3" ht="16.5" customHeight="1">
      <c r="A13" s="3" t="s">
        <v>211</v>
      </c>
    </row>
    <row r="14" spans="1:3" ht="16.5" customHeight="1">
      <c r="A14" s="38" t="s">
        <v>212</v>
      </c>
    </row>
    <row r="15" spans="1:3" ht="16.5" customHeight="1">
      <c r="A15" s="38" t="s">
        <v>213</v>
      </c>
    </row>
    <row r="16" spans="1:3" ht="16.5" customHeight="1">
      <c r="A16" s="38" t="s">
        <v>214</v>
      </c>
    </row>
    <row r="18" spans="1:10" ht="15" customHeight="1">
      <c r="A18" s="3" t="s">
        <v>2</v>
      </c>
    </row>
    <row r="19" spans="1:10" ht="16.5" customHeight="1">
      <c r="A19" s="41" t="s">
        <v>3</v>
      </c>
      <c r="B19" s="42" t="s">
        <v>4</v>
      </c>
      <c r="C19" s="42" t="s">
        <v>5</v>
      </c>
      <c r="D19" s="42" t="s">
        <v>6</v>
      </c>
      <c r="E19" s="42" t="s">
        <v>7</v>
      </c>
      <c r="F19" s="42" t="s">
        <v>8</v>
      </c>
      <c r="G19" s="42" t="s">
        <v>9</v>
      </c>
      <c r="H19" s="42" t="s">
        <v>10</v>
      </c>
      <c r="I19" s="42" t="s">
        <v>11</v>
      </c>
      <c r="J19" s="42" t="s">
        <v>12</v>
      </c>
    </row>
    <row r="20" spans="1:10" ht="16.5" customHeight="1">
      <c r="A20" s="50">
        <v>1</v>
      </c>
      <c r="B20" s="49" t="s">
        <v>303</v>
      </c>
      <c r="C20" s="50" t="s">
        <v>304</v>
      </c>
      <c r="D20" s="51">
        <f>시작중량_설정!$E$10</f>
        <v>20</v>
      </c>
      <c r="E20" s="50">
        <v>3</v>
      </c>
      <c r="F20" s="48" t="s">
        <v>217</v>
      </c>
      <c r="G20" s="49" t="s">
        <v>305</v>
      </c>
      <c r="H20" s="49" t="s">
        <v>306</v>
      </c>
      <c r="I20" s="49" t="s">
        <v>307</v>
      </c>
      <c r="J20" s="52">
        <f>MAX(1,ROUND(E20*볼륨램프!$C$5,0))</f>
        <v>3</v>
      </c>
    </row>
    <row r="21" spans="1:10" ht="16.5" customHeight="1">
      <c r="A21" s="27">
        <v>2</v>
      </c>
      <c r="B21" s="28" t="s">
        <v>308</v>
      </c>
      <c r="C21" s="27" t="s">
        <v>304</v>
      </c>
      <c r="D21" s="27">
        <v>15</v>
      </c>
      <c r="E21" s="27">
        <v>3</v>
      </c>
      <c r="F21" s="33" t="s">
        <v>51</v>
      </c>
      <c r="G21" s="28" t="s">
        <v>309</v>
      </c>
      <c r="H21" s="28" t="s">
        <v>310</v>
      </c>
      <c r="I21" s="28" t="s">
        <v>311</v>
      </c>
      <c r="J21" s="43">
        <f>MAX(1,ROUND(E21*볼륨램프!$C$5,0))</f>
        <v>3</v>
      </c>
    </row>
    <row r="22" spans="1:10" ht="16.5" customHeight="1">
      <c r="A22" s="27">
        <v>3</v>
      </c>
      <c r="B22" s="73" t="s">
        <v>312</v>
      </c>
      <c r="C22" s="27" t="s">
        <v>26</v>
      </c>
      <c r="D22" s="27" t="s">
        <v>313</v>
      </c>
      <c r="E22" s="27">
        <v>3</v>
      </c>
      <c r="F22" s="33" t="s">
        <v>227</v>
      </c>
      <c r="G22" s="28" t="s">
        <v>28</v>
      </c>
      <c r="H22" s="28" t="s">
        <v>314</v>
      </c>
      <c r="I22" s="28" t="s">
        <v>315</v>
      </c>
      <c r="J22" s="43">
        <f>MAX(1,ROUND(E22*볼륨램프!$C$5,0))</f>
        <v>3</v>
      </c>
    </row>
    <row r="23" spans="1:10" ht="16.5" customHeight="1">
      <c r="A23" s="27">
        <v>4</v>
      </c>
      <c r="B23" s="28" t="s">
        <v>316</v>
      </c>
      <c r="C23" s="27" t="s">
        <v>216</v>
      </c>
      <c r="D23" s="33" t="s">
        <v>317</v>
      </c>
      <c r="E23" s="27">
        <v>3</v>
      </c>
      <c r="F23" s="33" t="s">
        <v>22</v>
      </c>
      <c r="G23" s="28" t="s">
        <v>222</v>
      </c>
      <c r="H23" s="28" t="s">
        <v>318</v>
      </c>
      <c r="I23" s="28" t="s">
        <v>319</v>
      </c>
      <c r="J23" s="43">
        <f>MAX(1,ROUND(E23*볼륨램프!$C$5,0))</f>
        <v>3</v>
      </c>
    </row>
    <row r="24" spans="1:10" ht="16.5" customHeight="1">
      <c r="A24" s="27">
        <v>5</v>
      </c>
      <c r="B24" s="28" t="s">
        <v>320</v>
      </c>
      <c r="C24" s="27" t="s">
        <v>226</v>
      </c>
      <c r="D24" s="33" t="s">
        <v>321</v>
      </c>
      <c r="E24" s="27">
        <v>4</v>
      </c>
      <c r="F24" s="33" t="s">
        <v>27</v>
      </c>
      <c r="G24" s="28" t="s">
        <v>218</v>
      </c>
      <c r="H24" s="28" t="s">
        <v>322</v>
      </c>
      <c r="I24" s="28" t="s">
        <v>323</v>
      </c>
      <c r="J24" s="43">
        <f>MAX(1,ROUND(E24*볼륨램프!$C$5,0))</f>
        <v>4</v>
      </c>
    </row>
    <row r="25" spans="1:10" ht="16.5" customHeight="1">
      <c r="A25" s="27">
        <v>6</v>
      </c>
      <c r="B25" s="28" t="s">
        <v>324</v>
      </c>
      <c r="C25" s="27" t="s">
        <v>286</v>
      </c>
      <c r="D25" s="33" t="s">
        <v>27</v>
      </c>
      <c r="E25" s="27">
        <v>4</v>
      </c>
      <c r="F25" s="33" t="s">
        <v>227</v>
      </c>
      <c r="G25" s="28"/>
      <c r="H25" s="28" t="s">
        <v>325</v>
      </c>
      <c r="I25" s="28" t="s">
        <v>326</v>
      </c>
      <c r="J25" s="43">
        <f>MAX(1,ROUND(E25*볼륨램프!$C$5,0))</f>
        <v>4</v>
      </c>
    </row>
    <row r="26" spans="1:10" ht="16.5" customHeight="1">
      <c r="A26" s="27">
        <v>7</v>
      </c>
      <c r="B26" s="28" t="s">
        <v>327</v>
      </c>
      <c r="C26" s="27" t="s">
        <v>234</v>
      </c>
      <c r="D26" s="33" t="s">
        <v>27</v>
      </c>
      <c r="E26" s="27">
        <v>3</v>
      </c>
      <c r="F26" s="33" t="s">
        <v>37</v>
      </c>
      <c r="G26" s="28"/>
      <c r="H26" s="28" t="s">
        <v>328</v>
      </c>
      <c r="I26" s="28" t="s">
        <v>329</v>
      </c>
      <c r="J26" s="43">
        <f>MAX(1,ROUND(E26*볼륨램프!$C$5,0))</f>
        <v>3</v>
      </c>
    </row>
    <row r="27" spans="1:10" ht="16.5" customHeight="1">
      <c r="A27" s="27">
        <v>8</v>
      </c>
      <c r="B27" s="28" t="s">
        <v>330</v>
      </c>
      <c r="C27" s="27" t="s">
        <v>26</v>
      </c>
      <c r="D27" s="33" t="s">
        <v>331</v>
      </c>
      <c r="E27" s="27">
        <v>2</v>
      </c>
      <c r="F27" s="33" t="s">
        <v>227</v>
      </c>
      <c r="G27" s="28" t="s">
        <v>282</v>
      </c>
      <c r="H27" s="28" t="s">
        <v>332</v>
      </c>
      <c r="I27" s="28" t="s">
        <v>333</v>
      </c>
      <c r="J27" s="43">
        <f>MAX(1,ROUND(E27*볼륨램프!$C$5,0))</f>
        <v>2</v>
      </c>
    </row>
    <row r="28" spans="1:10" ht="15" customHeight="1">
      <c r="A28" s="27">
        <v>9</v>
      </c>
      <c r="B28" s="28" t="s">
        <v>334</v>
      </c>
      <c r="C28" s="27" t="s">
        <v>222</v>
      </c>
      <c r="D28" s="33" t="s">
        <v>21</v>
      </c>
      <c r="E28" s="27">
        <v>4</v>
      </c>
      <c r="F28" s="33" t="s">
        <v>22</v>
      </c>
      <c r="G28" s="28"/>
      <c r="H28" s="28" t="s">
        <v>335</v>
      </c>
      <c r="I28" s="28" t="s">
        <v>336</v>
      </c>
      <c r="J28" s="43">
        <f>MAX(1,ROUND(E28*볼륨램프!$C$5,0))</f>
        <v>4</v>
      </c>
    </row>
    <row r="29" spans="1:10">
      <c r="D29" s="53" t="s">
        <v>55</v>
      </c>
      <c r="E29" s="54">
        <f>SUM(E20:E28)</f>
        <v>29</v>
      </c>
      <c r="J29" s="46">
        <f>SUM(J20:J28)</f>
        <v>29</v>
      </c>
    </row>
    <row r="31" spans="1:10">
      <c r="A31" s="55" t="s">
        <v>337</v>
      </c>
    </row>
    <row r="32" spans="1:10">
      <c r="A32" s="38" t="s">
        <v>338</v>
      </c>
    </row>
    <row r="33" spans="1:1">
      <c r="A33" s="38" t="s">
        <v>339</v>
      </c>
    </row>
    <row r="34" spans="1:1">
      <c r="A34" s="38" t="s">
        <v>340</v>
      </c>
    </row>
    <row r="35" spans="1:1">
      <c r="A35" s="38" t="s">
        <v>341</v>
      </c>
    </row>
    <row r="36" spans="1:1">
      <c r="A36" s="38" t="s">
        <v>342</v>
      </c>
    </row>
    <row r="37" spans="1:1">
      <c r="A37" s="38" t="s">
        <v>343</v>
      </c>
    </row>
    <row r="38" spans="1:1">
      <c r="A38" s="38" t="s">
        <v>344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zoomScaleNormal="100" workbookViewId="0">
      <pane ySplit="14" topLeftCell="A15" activePane="bottomLeft" state="frozen"/>
      <selection pane="bottomLeft" activeCell="H38" sqref="H38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345</v>
      </c>
    </row>
    <row r="2" spans="1:10" ht="16.5" customHeight="1">
      <c r="A2" s="18" t="s">
        <v>346</v>
      </c>
    </row>
    <row r="4" spans="1:10" ht="16.5" customHeight="1">
      <c r="A4" s="3" t="s">
        <v>347</v>
      </c>
    </row>
    <row r="5" spans="1:10" ht="16.5" customHeight="1">
      <c r="A5" s="26" t="s">
        <v>6</v>
      </c>
      <c r="B5" s="26" t="s">
        <v>209</v>
      </c>
      <c r="C5" s="26" t="s">
        <v>7</v>
      </c>
    </row>
    <row r="6" spans="1:10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0" ht="15" customHeight="1">
      <c r="A7" s="27">
        <f>IF(MAX(20,MROUND(시작중량_설정!$E$8*0.6,2.5))&lt;=MAX(20,MROUND(시작중량_설정!$E$8*0.4,2.5)),"생략",MAX(20,MROUND(시작중량_설정!$E$8*0.6,2.5)))</f>
        <v>25</v>
      </c>
      <c r="B7" s="27">
        <v>5</v>
      </c>
      <c r="C7" s="27">
        <v>1</v>
      </c>
    </row>
    <row r="8" spans="1:10" ht="15" customHeight="1">
      <c r="A8" s="27">
        <f>IF(MAX(20,MROUND(시작중량_설정!$E$8*0.75,2.5))&lt;=MAX(20,MROUND(시작중량_설정!$E$8*0.6,2.5)),"생략",MAX(20,MROUND(시작중량_설정!$E$8*0.75,2.5)))</f>
        <v>32.5</v>
      </c>
      <c r="B8" s="27">
        <v>3</v>
      </c>
      <c r="C8" s="27">
        <v>1</v>
      </c>
    </row>
    <row r="9" spans="1:10" ht="15" customHeight="1">
      <c r="A9" s="27">
        <f>IF(MAX(20,MROUND(시작중량_설정!$E$8*0.9,2.5))&lt;=MAX(20,MROUND(시작중량_설정!$E$8*0.75,2.5)),"생략",MAX(20,MROUND(시작중량_설정!$E$8*0.9,2.5)))</f>
        <v>37.5</v>
      </c>
      <c r="B9" s="27">
        <v>2</v>
      </c>
      <c r="C9" s="27">
        <v>1</v>
      </c>
    </row>
    <row r="10" spans="1:10" ht="15" customHeight="1">
      <c r="A10" s="47">
        <f>시작중량_설정!$E$8</f>
        <v>42.5</v>
      </c>
      <c r="B10" s="34">
        <v>5</v>
      </c>
      <c r="C10" s="34">
        <v>1</v>
      </c>
    </row>
    <row r="11" spans="1:10" ht="16.5" customHeight="1">
      <c r="A11" s="38" t="s">
        <v>210</v>
      </c>
    </row>
    <row r="13" spans="1:10" ht="15" customHeight="1">
      <c r="A13" s="3" t="s">
        <v>2</v>
      </c>
    </row>
    <row r="14" spans="1:10" ht="16.5" customHeight="1">
      <c r="A14" s="41" t="s">
        <v>3</v>
      </c>
      <c r="B14" s="42" t="s">
        <v>4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</row>
    <row r="15" spans="1:10" ht="16.5" customHeight="1">
      <c r="A15" s="50">
        <v>1</v>
      </c>
      <c r="B15" s="49" t="s">
        <v>348</v>
      </c>
      <c r="C15" s="50" t="s">
        <v>50</v>
      </c>
      <c r="D15" s="51">
        <f>시작중량_설정!$E$8</f>
        <v>42.5</v>
      </c>
      <c r="E15" s="50">
        <v>1</v>
      </c>
      <c r="F15" s="48" t="s">
        <v>217</v>
      </c>
      <c r="G15" s="49" t="s">
        <v>349</v>
      </c>
      <c r="H15" s="49" t="s">
        <v>350</v>
      </c>
      <c r="I15" s="49" t="s">
        <v>351</v>
      </c>
      <c r="J15" s="52">
        <f>MAX(1,ROUND(E15*볼륨램프!$C$5,0))</f>
        <v>1</v>
      </c>
    </row>
    <row r="16" spans="1:10" ht="16.5" customHeight="1">
      <c r="A16" s="27">
        <v>2</v>
      </c>
      <c r="B16" s="28" t="s">
        <v>352</v>
      </c>
      <c r="C16" s="27" t="s">
        <v>246</v>
      </c>
      <c r="D16" s="33" t="s">
        <v>353</v>
      </c>
      <c r="E16" s="27">
        <v>4</v>
      </c>
      <c r="F16" s="33" t="s">
        <v>22</v>
      </c>
      <c r="G16" s="28" t="s">
        <v>255</v>
      </c>
      <c r="H16" s="28" t="s">
        <v>354</v>
      </c>
      <c r="I16" s="28" t="s">
        <v>355</v>
      </c>
      <c r="J16" s="43">
        <f>MAX(1,ROUND(E16*볼륨램프!$C$5,0))</f>
        <v>4</v>
      </c>
    </row>
    <row r="17" spans="1:10" ht="16.5" customHeight="1">
      <c r="A17" s="27">
        <v>3</v>
      </c>
      <c r="B17" s="28" t="s">
        <v>356</v>
      </c>
      <c r="C17" s="27" t="s">
        <v>255</v>
      </c>
      <c r="D17" s="27">
        <v>70</v>
      </c>
      <c r="E17" s="27">
        <v>3</v>
      </c>
      <c r="F17" s="33" t="s">
        <v>357</v>
      </c>
      <c r="G17" s="28" t="s">
        <v>242</v>
      </c>
      <c r="H17" s="28" t="s">
        <v>358</v>
      </c>
      <c r="I17" s="28" t="s">
        <v>359</v>
      </c>
      <c r="J17" s="43">
        <f>MAX(1,ROUND(E17*볼륨램프!$C$5,0))</f>
        <v>3</v>
      </c>
    </row>
    <row r="18" spans="1:10" ht="16.5" customHeight="1">
      <c r="A18" s="27">
        <v>4</v>
      </c>
      <c r="B18" s="28" t="s">
        <v>360</v>
      </c>
      <c r="C18" s="27" t="s">
        <v>255</v>
      </c>
      <c r="D18" s="33" t="s">
        <v>21</v>
      </c>
      <c r="E18" s="27">
        <v>3</v>
      </c>
      <c r="F18" s="33" t="s">
        <v>361</v>
      </c>
      <c r="G18" s="28"/>
      <c r="H18" s="28" t="s">
        <v>362</v>
      </c>
      <c r="I18" s="28" t="s">
        <v>363</v>
      </c>
      <c r="J18" s="43">
        <f>MAX(1,ROUND(E18*볼륨램프!$C$5,0))</f>
        <v>3</v>
      </c>
    </row>
    <row r="19" spans="1:10" ht="16.5" customHeight="1">
      <c r="A19" s="27">
        <v>5</v>
      </c>
      <c r="B19" s="28" t="s">
        <v>364</v>
      </c>
      <c r="C19" s="27" t="s">
        <v>241</v>
      </c>
      <c r="D19" s="33" t="s">
        <v>21</v>
      </c>
      <c r="E19" s="27">
        <v>3</v>
      </c>
      <c r="F19" s="33" t="s">
        <v>37</v>
      </c>
      <c r="G19" s="28"/>
      <c r="H19" s="28" t="s">
        <v>365</v>
      </c>
      <c r="I19" s="28" t="s">
        <v>366</v>
      </c>
      <c r="J19" s="43">
        <f>MAX(1,ROUND(E19*볼륨램프!$C$5,0))</f>
        <v>3</v>
      </c>
    </row>
    <row r="20" spans="1:10" ht="16.5" customHeight="1">
      <c r="A20" s="27">
        <v>6</v>
      </c>
      <c r="B20" s="28" t="s">
        <v>367</v>
      </c>
      <c r="C20" s="27" t="s">
        <v>368</v>
      </c>
      <c r="D20" s="33" t="s">
        <v>21</v>
      </c>
      <c r="E20" s="27">
        <v>3</v>
      </c>
      <c r="F20" s="33" t="s">
        <v>369</v>
      </c>
      <c r="G20" s="28"/>
      <c r="H20" s="28" t="s">
        <v>370</v>
      </c>
      <c r="I20" s="28" t="s">
        <v>371</v>
      </c>
      <c r="J20" s="43">
        <f>MAX(1,ROUND(E20*볼륨램프!$C$5,0))</f>
        <v>3</v>
      </c>
    </row>
    <row r="21" spans="1:10" ht="16.5" customHeight="1">
      <c r="A21" s="27">
        <v>7</v>
      </c>
      <c r="B21" s="28" t="s">
        <v>372</v>
      </c>
      <c r="C21" s="27" t="s">
        <v>263</v>
      </c>
      <c r="D21" s="33" t="s">
        <v>21</v>
      </c>
      <c r="E21" s="27">
        <v>4</v>
      </c>
      <c r="F21" s="33" t="s">
        <v>227</v>
      </c>
      <c r="G21" s="28"/>
      <c r="H21" s="28" t="s">
        <v>373</v>
      </c>
      <c r="I21" s="28" t="s">
        <v>374</v>
      </c>
      <c r="J21" s="43">
        <f>MAX(1,ROUND(E21*볼륨램프!$C$5,0))</f>
        <v>4</v>
      </c>
    </row>
    <row r="22" spans="1:10" ht="16.5" customHeight="1">
      <c r="A22" s="27">
        <v>8</v>
      </c>
      <c r="B22" s="28" t="s">
        <v>375</v>
      </c>
      <c r="C22" s="27" t="s">
        <v>45</v>
      </c>
      <c r="D22" s="33" t="s">
        <v>21</v>
      </c>
      <c r="E22" s="27">
        <v>3</v>
      </c>
      <c r="F22" s="33" t="s">
        <v>376</v>
      </c>
      <c r="G22" s="28"/>
      <c r="H22" s="28" t="s">
        <v>377</v>
      </c>
      <c r="I22" s="28" t="s">
        <v>378</v>
      </c>
      <c r="J22" s="43">
        <f>MAX(1,ROUND(E22*볼륨램프!$C$5,0))</f>
        <v>3</v>
      </c>
    </row>
    <row r="23" spans="1:10" ht="16.5" customHeight="1">
      <c r="D23" s="3" t="s">
        <v>55</v>
      </c>
      <c r="E23" s="34">
        <f>SUM(E15:E22)</f>
        <v>24</v>
      </c>
      <c r="J23" s="43">
        <f>SUM(J15:J22)</f>
        <v>24</v>
      </c>
    </row>
    <row r="24" spans="1:10" ht="15" customHeight="1"/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"/>
  <sheetViews>
    <sheetView zoomScaleNormal="100" workbookViewId="0">
      <selection activeCell="D5" sqref="D5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6" ht="18" customHeight="1">
      <c r="A1" s="1" t="s">
        <v>379</v>
      </c>
    </row>
    <row r="2" spans="1:6" ht="15" customHeight="1">
      <c r="A2" s="2" t="s">
        <v>380</v>
      </c>
    </row>
    <row r="4" spans="1:6" ht="15" customHeight="1">
      <c r="A4" s="5" t="s">
        <v>5</v>
      </c>
      <c r="B4" s="5" t="s">
        <v>381</v>
      </c>
      <c r="C4" s="5" t="s">
        <v>382</v>
      </c>
      <c r="D4" s="5" t="s">
        <v>383</v>
      </c>
      <c r="E4" s="5" t="s">
        <v>384</v>
      </c>
      <c r="F4" s="5" t="s">
        <v>385</v>
      </c>
    </row>
    <row r="5" spans="1:6" ht="15" customHeight="1">
      <c r="A5" s="56" t="s">
        <v>226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4">
        <v>3</v>
      </c>
      <c r="D5" s="57">
        <f t="shared" ref="D5:D23" si="0">B5+C5</f>
        <v>11</v>
      </c>
      <c r="E5" s="7" t="str">
        <f t="shared" ref="E5:E23" si="1">IF(D5&gt;=10,"충분",IF(D5&gt;=8,"하한",IF(D5&gt;=1,"보완 필요","미배치")))</f>
        <v>충분</v>
      </c>
      <c r="F5" s="56" t="s">
        <v>386</v>
      </c>
    </row>
    <row r="6" spans="1:6" ht="15" customHeight="1">
      <c r="A6" s="56" t="s">
        <v>216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12</v>
      </c>
      <c r="C6" s="4">
        <v>3</v>
      </c>
      <c r="D6" s="57">
        <f t="shared" si="0"/>
        <v>15</v>
      </c>
      <c r="E6" s="7" t="str">
        <f t="shared" si="1"/>
        <v>충분</v>
      </c>
      <c r="F6" s="56" t="s">
        <v>387</v>
      </c>
    </row>
    <row r="7" spans="1:6" ht="15" customHeight="1">
      <c r="A7" s="56" t="s">
        <v>14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4">
        <v>0</v>
      </c>
      <c r="D7" s="57">
        <f t="shared" si="0"/>
        <v>14</v>
      </c>
      <c r="E7" s="7" t="str">
        <f t="shared" si="1"/>
        <v>충분</v>
      </c>
      <c r="F7" s="56" t="s">
        <v>388</v>
      </c>
    </row>
    <row r="8" spans="1:6" ht="15" customHeight="1">
      <c r="A8" s="56" t="s">
        <v>26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8</v>
      </c>
      <c r="C8" s="4">
        <v>3</v>
      </c>
      <c r="D8" s="57">
        <f t="shared" si="0"/>
        <v>11</v>
      </c>
      <c r="E8" s="7" t="str">
        <f t="shared" si="1"/>
        <v>충분</v>
      </c>
      <c r="F8" s="56" t="s">
        <v>389</v>
      </c>
    </row>
    <row r="9" spans="1:6" ht="15" customHeight="1">
      <c r="A9" s="56" t="s">
        <v>280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3</v>
      </c>
      <c r="C9" s="4">
        <v>8</v>
      </c>
      <c r="D9" s="57">
        <f t="shared" si="0"/>
        <v>11</v>
      </c>
      <c r="E9" s="7" t="str">
        <f t="shared" si="1"/>
        <v>충분</v>
      </c>
      <c r="F9" s="56" t="s">
        <v>390</v>
      </c>
    </row>
    <row r="10" spans="1:6" ht="15" customHeight="1">
      <c r="A10" s="56" t="s">
        <v>50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4</v>
      </c>
      <c r="C10" s="4">
        <v>7</v>
      </c>
      <c r="D10" s="57">
        <f t="shared" si="0"/>
        <v>11</v>
      </c>
      <c r="E10" s="7" t="str">
        <f t="shared" si="1"/>
        <v>충분</v>
      </c>
      <c r="F10" s="56" t="s">
        <v>391</v>
      </c>
    </row>
    <row r="11" spans="1:6" ht="15" customHeight="1">
      <c r="A11" s="56" t="s">
        <v>304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6</v>
      </c>
      <c r="C11" s="4">
        <v>8</v>
      </c>
      <c r="D11" s="57">
        <f t="shared" si="0"/>
        <v>14</v>
      </c>
      <c r="E11" s="7" t="str">
        <f t="shared" si="1"/>
        <v>충분</v>
      </c>
      <c r="F11" s="56" t="s">
        <v>392</v>
      </c>
    </row>
    <row r="12" spans="1:6" ht="15" customHeight="1">
      <c r="A12" s="56" t="s">
        <v>234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10</v>
      </c>
      <c r="C12" s="4">
        <v>3</v>
      </c>
      <c r="D12" s="57">
        <f t="shared" si="0"/>
        <v>13</v>
      </c>
      <c r="E12" s="7" t="str">
        <f t="shared" si="1"/>
        <v>충분</v>
      </c>
      <c r="F12" s="56" t="s">
        <v>393</v>
      </c>
    </row>
    <row r="13" spans="1:6" ht="15" customHeight="1">
      <c r="A13" s="56" t="s">
        <v>286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8</v>
      </c>
      <c r="C13" s="4">
        <v>3</v>
      </c>
      <c r="D13" s="57">
        <f t="shared" si="0"/>
        <v>11</v>
      </c>
      <c r="E13" s="7" t="str">
        <f t="shared" si="1"/>
        <v>충분</v>
      </c>
      <c r="F13" s="56" t="s">
        <v>394</v>
      </c>
    </row>
    <row r="14" spans="1:6" ht="15" customHeight="1">
      <c r="A14" s="56" t="s">
        <v>241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12</v>
      </c>
      <c r="C14" s="4">
        <v>3</v>
      </c>
      <c r="D14" s="57">
        <f t="shared" si="0"/>
        <v>15</v>
      </c>
      <c r="E14" s="7" t="str">
        <f t="shared" si="1"/>
        <v>충분</v>
      </c>
      <c r="F14" s="56" t="s">
        <v>249</v>
      </c>
    </row>
    <row r="15" spans="1:6" ht="15" customHeight="1">
      <c r="A15" s="56" t="s">
        <v>255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10</v>
      </c>
      <c r="C15" s="4">
        <v>2</v>
      </c>
      <c r="D15" s="57">
        <f t="shared" si="0"/>
        <v>12</v>
      </c>
      <c r="E15" s="7" t="str">
        <f t="shared" si="1"/>
        <v>충분</v>
      </c>
      <c r="F15" s="56" t="s">
        <v>395</v>
      </c>
    </row>
    <row r="16" spans="1:6" ht="15" customHeight="1">
      <c r="A16" s="56" t="s">
        <v>246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7</v>
      </c>
      <c r="C16" s="4">
        <v>5</v>
      </c>
      <c r="D16" s="57">
        <f t="shared" si="0"/>
        <v>12</v>
      </c>
      <c r="E16" s="7" t="str">
        <f t="shared" si="1"/>
        <v>충분</v>
      </c>
      <c r="F16" s="56" t="s">
        <v>396</v>
      </c>
    </row>
    <row r="17" spans="1:6" ht="15" customHeight="1">
      <c r="A17" s="56" t="s">
        <v>368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3</v>
      </c>
      <c r="C17" s="4">
        <v>5</v>
      </c>
      <c r="D17" s="57">
        <f t="shared" si="0"/>
        <v>8</v>
      </c>
      <c r="E17" s="7" t="str">
        <f t="shared" si="1"/>
        <v>하한</v>
      </c>
      <c r="F17" s="56" t="s">
        <v>397</v>
      </c>
    </row>
    <row r="18" spans="1:6" ht="15" customHeight="1">
      <c r="A18" s="56" t="s">
        <v>263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8</v>
      </c>
      <c r="C18" s="4">
        <v>0</v>
      </c>
      <c r="D18" s="57">
        <f t="shared" si="0"/>
        <v>8</v>
      </c>
      <c r="E18" s="7" t="str">
        <f t="shared" si="1"/>
        <v>하한</v>
      </c>
      <c r="F18" s="56" t="s">
        <v>398</v>
      </c>
    </row>
    <row r="19" spans="1:6" ht="15" customHeight="1">
      <c r="A19" s="56" t="s">
        <v>17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9</v>
      </c>
      <c r="C19" s="4">
        <v>8</v>
      </c>
      <c r="D19" s="57">
        <f t="shared" si="0"/>
        <v>17</v>
      </c>
      <c r="E19" s="7" t="str">
        <f t="shared" si="1"/>
        <v>충분</v>
      </c>
      <c r="F19" s="56" t="s">
        <v>399</v>
      </c>
    </row>
    <row r="20" spans="1:6" ht="15" customHeight="1">
      <c r="A20" s="56" t="s">
        <v>222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8</v>
      </c>
      <c r="C20" s="4">
        <v>9</v>
      </c>
      <c r="D20" s="57">
        <f t="shared" si="0"/>
        <v>17</v>
      </c>
      <c r="E20" s="7" t="str">
        <f t="shared" si="1"/>
        <v>충분</v>
      </c>
      <c r="F20" s="56" t="s">
        <v>400</v>
      </c>
    </row>
    <row r="21" spans="1:6" ht="15" customHeight="1">
      <c r="A21" s="56" t="s">
        <v>33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8</v>
      </c>
      <c r="C21" s="4">
        <v>6</v>
      </c>
      <c r="D21" s="57">
        <f t="shared" si="0"/>
        <v>14</v>
      </c>
      <c r="E21" s="7" t="str">
        <f t="shared" si="1"/>
        <v>충분</v>
      </c>
      <c r="F21" s="56" t="s">
        <v>401</v>
      </c>
    </row>
    <row r="22" spans="1:6" ht="16.5" customHeight="1">
      <c r="A22" s="56" t="s">
        <v>45</v>
      </c>
      <c r="B22" s="58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11</v>
      </c>
      <c r="C22" s="4">
        <v>0</v>
      </c>
      <c r="D22" s="57">
        <f t="shared" si="0"/>
        <v>11</v>
      </c>
      <c r="E22" s="7" t="str">
        <f t="shared" si="1"/>
        <v>충분</v>
      </c>
      <c r="F22" s="56" t="s">
        <v>402</v>
      </c>
    </row>
    <row r="23" spans="1:6" ht="24" customHeight="1">
      <c r="A23" s="56" t="s">
        <v>259</v>
      </c>
      <c r="B23" s="58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4</v>
      </c>
      <c r="C23" s="4">
        <v>4</v>
      </c>
      <c r="D23" s="57">
        <f t="shared" si="0"/>
        <v>8</v>
      </c>
      <c r="E23" s="7" t="str">
        <f t="shared" si="1"/>
        <v>하한</v>
      </c>
      <c r="F23" s="56" t="s">
        <v>403</v>
      </c>
    </row>
    <row r="24" spans="1:6" ht="15" customHeight="1">
      <c r="A24" s="59" t="s">
        <v>404</v>
      </c>
      <c r="B24" s="15">
        <f>SUM(B5:B23)</f>
        <v>153</v>
      </c>
      <c r="C24" s="60"/>
      <c r="D24" s="60"/>
      <c r="E24" s="60"/>
      <c r="F24" s="60"/>
    </row>
    <row r="25" spans="1:6" ht="36" customHeight="1">
      <c r="A25" s="13" t="s">
        <v>405</v>
      </c>
    </row>
    <row r="26" spans="1:6" ht="15" customHeight="1">
      <c r="A26" s="11" t="s">
        <v>406</v>
      </c>
    </row>
    <row r="27" spans="1:6" ht="16.5" customHeight="1">
      <c r="A27" s="11" t="s">
        <v>407</v>
      </c>
    </row>
    <row r="28" spans="1:6" ht="36" customHeight="1">
      <c r="A28" s="11" t="s">
        <v>408</v>
      </c>
    </row>
    <row r="29" spans="1:6" ht="48" customHeight="1">
      <c r="A29" s="61"/>
    </row>
    <row r="30" spans="1:6" ht="48" customHeight="1">
      <c r="A30" s="13" t="s">
        <v>409</v>
      </c>
    </row>
    <row r="31" spans="1:6" ht="15" customHeight="1">
      <c r="A31" s="11" t="s">
        <v>410</v>
      </c>
    </row>
    <row r="32" spans="1:6" ht="16.5" customHeight="1">
      <c r="A32" s="11" t="s">
        <v>411</v>
      </c>
    </row>
    <row r="33" spans="1:1" ht="48" customHeight="1">
      <c r="A33" s="11" t="s">
        <v>412</v>
      </c>
    </row>
    <row r="34" spans="1:1" ht="48" customHeight="1">
      <c r="A34" s="61"/>
    </row>
    <row r="35" spans="1:1" ht="15" customHeight="1">
      <c r="A35" s="13" t="s">
        <v>413</v>
      </c>
    </row>
    <row r="36" spans="1:1" ht="48" customHeight="1">
      <c r="A36" s="11" t="s">
        <v>414</v>
      </c>
    </row>
    <row r="37" spans="1:1" ht="77.25" customHeight="1">
      <c r="A37" s="11" t="s">
        <v>415</v>
      </c>
    </row>
    <row r="38" spans="1:1" ht="48" customHeight="1">
      <c r="A38" s="61" t="s">
        <v>416</v>
      </c>
    </row>
    <row r="39" spans="1:1" ht="39" customHeight="1">
      <c r="A39" s="11" t="s">
        <v>417</v>
      </c>
    </row>
    <row r="40" spans="1:1" ht="45" customHeight="1"/>
    <row r="41" spans="1:1" ht="48" customHeight="1">
      <c r="A41" s="13" t="s">
        <v>418</v>
      </c>
    </row>
    <row r="42" spans="1:1" ht="48" customHeight="1">
      <c r="A42" s="11" t="s">
        <v>419</v>
      </c>
    </row>
    <row r="43" spans="1:1" ht="60" customHeight="1">
      <c r="A43" s="11" t="s">
        <v>420</v>
      </c>
    </row>
    <row r="44" spans="1:1" ht="48" customHeight="1">
      <c r="A44" s="11" t="s">
        <v>421</v>
      </c>
    </row>
    <row r="45" spans="1:1" ht="51.75" customHeight="1">
      <c r="A45" s="11" t="s">
        <v>422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423</v>
      </c>
    </row>
    <row r="2" spans="1:11" ht="15" customHeight="1">
      <c r="A2" s="2" t="s">
        <v>424</v>
      </c>
    </row>
    <row r="4" spans="1:11" ht="15" customHeight="1">
      <c r="A4" s="3" t="s">
        <v>425</v>
      </c>
    </row>
    <row r="5" spans="1:11" ht="15" customHeight="1">
      <c r="A5" s="62" t="s">
        <v>426</v>
      </c>
      <c r="C5" s="4">
        <v>5</v>
      </c>
      <c r="D5" s="61" t="s">
        <v>427</v>
      </c>
    </row>
    <row r="6" spans="1:11" ht="15" customHeight="1">
      <c r="A6" s="62" t="s">
        <v>428</v>
      </c>
      <c r="C6" s="4">
        <v>5</v>
      </c>
      <c r="D6" s="61" t="s">
        <v>429</v>
      </c>
    </row>
    <row r="7" spans="1:11" ht="15" customHeight="1">
      <c r="A7" s="62" t="s">
        <v>430</v>
      </c>
      <c r="C7" s="4">
        <v>2.25</v>
      </c>
      <c r="D7" s="61" t="s">
        <v>431</v>
      </c>
    </row>
    <row r="8" spans="1:11" ht="84" customHeight="1">
      <c r="A8" s="62" t="s">
        <v>432</v>
      </c>
      <c r="C8" s="4">
        <v>1.25</v>
      </c>
      <c r="D8" s="61" t="s">
        <v>433</v>
      </c>
    </row>
    <row r="9" spans="1:11" ht="15" customHeight="1">
      <c r="A9" s="5" t="s">
        <v>94</v>
      </c>
      <c r="B9" s="5" t="s">
        <v>434</v>
      </c>
      <c r="C9" s="5" t="s">
        <v>435</v>
      </c>
      <c r="D9" s="5" t="s">
        <v>436</v>
      </c>
      <c r="E9" s="5" t="s">
        <v>437</v>
      </c>
      <c r="F9" s="5" t="s">
        <v>436</v>
      </c>
      <c r="G9" s="5" t="s">
        <v>438</v>
      </c>
      <c r="H9" s="5" t="s">
        <v>436</v>
      </c>
      <c r="I9" s="5" t="s">
        <v>439</v>
      </c>
      <c r="J9" s="5" t="s">
        <v>436</v>
      </c>
      <c r="K9" s="5" t="s">
        <v>10</v>
      </c>
    </row>
    <row r="10" spans="1:11" ht="15" customHeight="1">
      <c r="A10" s="8" t="s">
        <v>95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20</v>
      </c>
      <c r="H10" s="4"/>
      <c r="I10" s="16">
        <f>시작중량_설정!$D$10</f>
        <v>20</v>
      </c>
      <c r="J10" s="4"/>
      <c r="K10" s="63"/>
    </row>
    <row r="11" spans="1:11" ht="15" customHeight="1">
      <c r="A11" s="8" t="s">
        <v>96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22.25</v>
      </c>
      <c r="H11" s="4"/>
      <c r="I11" s="16">
        <f t="shared" ref="I11:I21" si="3">IF(J10="X",I10,I10+$C$8)</f>
        <v>21.25</v>
      </c>
      <c r="J11" s="4"/>
      <c r="K11" s="63"/>
    </row>
    <row r="12" spans="1:11" ht="15" customHeight="1">
      <c r="A12" s="8" t="s">
        <v>97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24.5</v>
      </c>
      <c r="H12" s="4"/>
      <c r="I12" s="16">
        <f t="shared" si="3"/>
        <v>22.5</v>
      </c>
      <c r="J12" s="4"/>
      <c r="K12" s="63"/>
    </row>
    <row r="13" spans="1:11" ht="15" customHeight="1">
      <c r="A13" s="8" t="s">
        <v>98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26.75</v>
      </c>
      <c r="H13" s="4"/>
      <c r="I13" s="16">
        <f t="shared" si="3"/>
        <v>23.75</v>
      </c>
      <c r="J13" s="4"/>
      <c r="K13" s="63"/>
    </row>
    <row r="14" spans="1:11" ht="15" customHeight="1">
      <c r="A14" s="8" t="s">
        <v>99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29</v>
      </c>
      <c r="H14" s="4"/>
      <c r="I14" s="16">
        <f t="shared" si="3"/>
        <v>25</v>
      </c>
      <c r="J14" s="4"/>
      <c r="K14" s="63"/>
    </row>
    <row r="15" spans="1:11" ht="15" customHeight="1">
      <c r="A15" s="8" t="s">
        <v>100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31.25</v>
      </c>
      <c r="H15" s="4"/>
      <c r="I15" s="16">
        <f t="shared" si="3"/>
        <v>26.25</v>
      </c>
      <c r="J15" s="4"/>
      <c r="K15" s="63"/>
    </row>
    <row r="16" spans="1:11" ht="15" customHeight="1">
      <c r="A16" s="8" t="s">
        <v>101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33.5</v>
      </c>
      <c r="H16" s="4"/>
      <c r="I16" s="16">
        <f t="shared" si="3"/>
        <v>27.5</v>
      </c>
      <c r="J16" s="4"/>
      <c r="K16" s="63"/>
    </row>
    <row r="17" spans="1:11" ht="15" customHeight="1">
      <c r="A17" s="8" t="s">
        <v>102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35.75</v>
      </c>
      <c r="H17" s="4"/>
      <c r="I17" s="16">
        <f t="shared" si="3"/>
        <v>28.75</v>
      </c>
      <c r="J17" s="4"/>
      <c r="K17" s="63"/>
    </row>
    <row r="18" spans="1:11" ht="15" customHeight="1">
      <c r="A18" s="8" t="s">
        <v>103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38</v>
      </c>
      <c r="H18" s="4"/>
      <c r="I18" s="16">
        <f t="shared" si="3"/>
        <v>30</v>
      </c>
      <c r="J18" s="4"/>
      <c r="K18" s="63"/>
    </row>
    <row r="19" spans="1:11" ht="15" customHeight="1">
      <c r="A19" s="8" t="s">
        <v>104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40.25</v>
      </c>
      <c r="H19" s="4"/>
      <c r="I19" s="16">
        <f t="shared" si="3"/>
        <v>31.25</v>
      </c>
      <c r="J19" s="4"/>
      <c r="K19" s="63"/>
    </row>
    <row r="20" spans="1:11" ht="15" customHeight="1">
      <c r="A20" s="8" t="s">
        <v>105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42.5</v>
      </c>
      <c r="H20" s="4"/>
      <c r="I20" s="16">
        <f t="shared" si="3"/>
        <v>32.5</v>
      </c>
      <c r="J20" s="4"/>
      <c r="K20" s="63"/>
    </row>
    <row r="21" spans="1:11" ht="15" customHeight="1">
      <c r="A21" s="8" t="s">
        <v>106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44.75</v>
      </c>
      <c r="H21" s="4"/>
      <c r="I21" s="16">
        <f t="shared" si="3"/>
        <v>33.75</v>
      </c>
      <c r="J21" s="4"/>
      <c r="K21" s="63"/>
    </row>
    <row r="23" spans="1:11" ht="108" customHeight="1">
      <c r="A23" s="11" t="s">
        <v>440</v>
      </c>
    </row>
    <row r="24" spans="1:11" ht="84" customHeight="1">
      <c r="A24" s="11" t="s">
        <v>441</v>
      </c>
    </row>
    <row r="25" spans="1:11" ht="84" customHeight="1">
      <c r="A25" s="11" t="s">
        <v>442</v>
      </c>
    </row>
    <row r="26" spans="1:11" ht="120" customHeight="1">
      <c r="A26" s="11"/>
    </row>
    <row r="27" spans="1:11" ht="96" customHeight="1">
      <c r="A27" s="11" t="s">
        <v>443</v>
      </c>
    </row>
    <row r="28" spans="1:11" ht="108" customHeight="1">
      <c r="A28" s="11" t="s">
        <v>444</v>
      </c>
    </row>
    <row r="29" spans="1:11" ht="108" customHeight="1">
      <c r="A29" s="11" t="s">
        <v>445</v>
      </c>
    </row>
    <row r="30" spans="1:11" ht="156" customHeight="1">
      <c r="A30" s="11" t="s">
        <v>446</v>
      </c>
    </row>
    <row r="31" spans="1:11" ht="96" customHeight="1">
      <c r="A31" s="11" t="s">
        <v>447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64" t="s">
        <v>448</v>
      </c>
    </row>
    <row r="2" spans="1:3" ht="15" customHeight="1">
      <c r="A2" s="2" t="s">
        <v>449</v>
      </c>
    </row>
    <row r="4" spans="1:3" ht="15" customHeight="1">
      <c r="A4" s="5" t="s">
        <v>450</v>
      </c>
      <c r="B4" s="5" t="s">
        <v>451</v>
      </c>
      <c r="C4" s="5" t="s">
        <v>452</v>
      </c>
    </row>
    <row r="5" spans="1:3" ht="15" customHeight="1">
      <c r="A5" s="7" t="s">
        <v>453</v>
      </c>
      <c r="B5" s="7" t="s">
        <v>454</v>
      </c>
      <c r="C5" s="56" t="s">
        <v>455</v>
      </c>
    </row>
    <row r="6" spans="1:3" ht="15" customHeight="1">
      <c r="A6" s="7" t="s">
        <v>456</v>
      </c>
      <c r="B6" s="7" t="s">
        <v>454</v>
      </c>
      <c r="C6" s="56" t="s">
        <v>457</v>
      </c>
    </row>
    <row r="7" spans="1:3" ht="15" customHeight="1">
      <c r="A7" s="7" t="s">
        <v>50</v>
      </c>
      <c r="B7" s="7" t="s">
        <v>458</v>
      </c>
      <c r="C7" s="56" t="s">
        <v>459</v>
      </c>
    </row>
    <row r="8" spans="1:3" ht="15" customHeight="1">
      <c r="A8" s="65" t="s">
        <v>460</v>
      </c>
      <c r="B8" s="65" t="s">
        <v>461</v>
      </c>
      <c r="C8" s="66" t="s">
        <v>462</v>
      </c>
    </row>
    <row r="9" spans="1:3" ht="15" customHeight="1">
      <c r="A9" s="65" t="s">
        <v>463</v>
      </c>
      <c r="B9" s="65" t="s">
        <v>461</v>
      </c>
      <c r="C9" s="66" t="s">
        <v>464</v>
      </c>
    </row>
    <row r="10" spans="1:3" ht="15" customHeight="1">
      <c r="A10" s="7" t="s">
        <v>465</v>
      </c>
      <c r="B10" s="7" t="s">
        <v>466</v>
      </c>
      <c r="C10" s="67" t="s">
        <v>467</v>
      </c>
    </row>
    <row r="11" spans="1:3" ht="15" customHeight="1">
      <c r="A11" s="7" t="s">
        <v>468</v>
      </c>
      <c r="B11" s="8" t="s">
        <v>469</v>
      </c>
      <c r="C11" s="56" t="s">
        <v>470</v>
      </c>
    </row>
    <row r="12" spans="1:3" ht="15" customHeight="1">
      <c r="A12" s="7" t="s">
        <v>471</v>
      </c>
      <c r="B12" s="7" t="s">
        <v>472</v>
      </c>
      <c r="C12" s="56" t="s">
        <v>473</v>
      </c>
    </row>
    <row r="15" spans="1:3" ht="24" customHeight="1">
      <c r="A15" s="11" t="s">
        <v>474</v>
      </c>
    </row>
    <row r="16" spans="1:3" ht="24" customHeight="1">
      <c r="A16" s="11" t="s">
        <v>475</v>
      </c>
    </row>
    <row r="17" spans="1:1" ht="36" customHeight="1">
      <c r="A17" s="11" t="s">
        <v>476</v>
      </c>
    </row>
    <row r="18" spans="1:1" ht="15" customHeight="1">
      <c r="A18" s="61"/>
    </row>
    <row r="19" spans="1:1" ht="36" customHeight="1">
      <c r="A19" s="11" t="s">
        <v>477</v>
      </c>
    </row>
    <row r="20" spans="1:1" ht="36" customHeight="1">
      <c r="A20" s="11" t="s">
        <v>478</v>
      </c>
    </row>
    <row r="22" spans="1:1" ht="48" customHeight="1">
      <c r="A22" s="13" t="s">
        <v>479</v>
      </c>
    </row>
    <row r="24" spans="1:1" ht="16.5" customHeight="1">
      <c r="A24" s="14" t="s">
        <v>480</v>
      </c>
    </row>
    <row r="25" spans="1:1" ht="16.5" customHeight="1">
      <c r="A25" t="s">
        <v>481</v>
      </c>
    </row>
    <row r="26" spans="1:1" ht="16.5" customHeight="1">
      <c r="A26" t="s">
        <v>482</v>
      </c>
    </row>
    <row r="27" spans="1:1" ht="16.5" customHeight="1">
      <c r="A27" t="s">
        <v>483</v>
      </c>
    </row>
    <row r="28" spans="1:1" ht="16.5" customHeight="1">
      <c r="A28" t="s">
        <v>484</v>
      </c>
    </row>
    <row r="30" spans="1:1" ht="16.5" customHeight="1">
      <c r="A30" t="s">
        <v>485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486</v>
      </c>
    </row>
    <row r="2" spans="1:6" ht="15" customHeight="1">
      <c r="A2" s="68" t="s">
        <v>487</v>
      </c>
    </row>
    <row r="3" spans="1:6" ht="16.5" customHeight="1">
      <c r="A3" s="3" t="s">
        <v>488</v>
      </c>
    </row>
    <row r="5" spans="1:6" ht="15" customHeight="1">
      <c r="A5" s="5" t="s">
        <v>148</v>
      </c>
      <c r="B5" s="5" t="s">
        <v>489</v>
      </c>
      <c r="C5" s="5" t="s">
        <v>490</v>
      </c>
      <c r="D5" s="5" t="s">
        <v>491</v>
      </c>
      <c r="E5" s="5" t="s">
        <v>7</v>
      </c>
      <c r="F5" s="5" t="s">
        <v>492</v>
      </c>
    </row>
    <row r="6" spans="1:6" ht="15" customHeight="1">
      <c r="A6" s="69" t="s">
        <v>153</v>
      </c>
      <c r="B6" s="70" t="s">
        <v>493</v>
      </c>
      <c r="C6" s="70" t="s">
        <v>493</v>
      </c>
      <c r="D6" s="69" t="s">
        <v>180</v>
      </c>
      <c r="E6" s="69">
        <v>0</v>
      </c>
      <c r="F6" s="71" t="s">
        <v>494</v>
      </c>
    </row>
    <row r="7" spans="1:6" ht="15" customHeight="1">
      <c r="A7" s="7" t="s">
        <v>157</v>
      </c>
      <c r="B7" s="8" t="s">
        <v>493</v>
      </c>
      <c r="C7" s="8" t="s">
        <v>493</v>
      </c>
      <c r="D7" s="65" t="s">
        <v>495</v>
      </c>
      <c r="E7" s="7">
        <f>복귀_화_상체밀기!$E$11</f>
        <v>22</v>
      </c>
      <c r="F7" s="67" t="s">
        <v>496</v>
      </c>
    </row>
    <row r="8" spans="1:6" ht="15" customHeight="1">
      <c r="A8" s="69" t="s">
        <v>161</v>
      </c>
      <c r="B8" s="70" t="s">
        <v>497</v>
      </c>
      <c r="C8" s="70" t="s">
        <v>493</v>
      </c>
      <c r="D8" s="69" t="s">
        <v>180</v>
      </c>
      <c r="E8" s="69">
        <v>0</v>
      </c>
      <c r="F8" s="71" t="s">
        <v>498</v>
      </c>
    </row>
    <row r="9" spans="1:6" ht="15" customHeight="1">
      <c r="A9" s="69" t="s">
        <v>166</v>
      </c>
      <c r="B9" s="70" t="s">
        <v>497</v>
      </c>
      <c r="C9" s="70" t="s">
        <v>497</v>
      </c>
      <c r="D9" s="69" t="s">
        <v>180</v>
      </c>
      <c r="E9" s="69">
        <v>0</v>
      </c>
      <c r="F9" s="71" t="s">
        <v>499</v>
      </c>
    </row>
    <row r="10" spans="1:6" ht="15" customHeight="1">
      <c r="A10" s="69" t="s">
        <v>170</v>
      </c>
      <c r="B10" s="70" t="s">
        <v>493</v>
      </c>
      <c r="C10" s="70" t="s">
        <v>497</v>
      </c>
      <c r="D10" s="69" t="s">
        <v>180</v>
      </c>
      <c r="E10" s="69">
        <v>0</v>
      </c>
      <c r="F10" s="71" t="s">
        <v>500</v>
      </c>
    </row>
    <row r="11" spans="1:6" ht="15" customHeight="1">
      <c r="A11" s="7" t="s">
        <v>174</v>
      </c>
      <c r="B11" s="7" t="s">
        <v>501</v>
      </c>
      <c r="C11" s="7" t="s">
        <v>501</v>
      </c>
      <c r="D11" s="65" t="s">
        <v>456</v>
      </c>
      <c r="E11" s="7">
        <f>복귀_토_하체!$E$12</f>
        <v>22</v>
      </c>
      <c r="F11" s="56" t="s">
        <v>502</v>
      </c>
    </row>
    <row r="12" spans="1:6" ht="15" customHeight="1">
      <c r="A12" s="7" t="s">
        <v>179</v>
      </c>
      <c r="B12" s="7" t="s">
        <v>503</v>
      </c>
      <c r="C12" s="7" t="s">
        <v>503</v>
      </c>
      <c r="D12" s="65" t="s">
        <v>453</v>
      </c>
      <c r="E12" s="7">
        <f>복귀_일_등!$E$13</f>
        <v>22</v>
      </c>
      <c r="F12" s="56" t="s">
        <v>504</v>
      </c>
    </row>
    <row r="13" spans="1:6" ht="15" customHeight="1">
      <c r="A13" s="35" t="s">
        <v>181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505</v>
      </c>
    </row>
    <row r="16" spans="1:6" ht="141" customHeight="1">
      <c r="A16" s="11" t="s">
        <v>506</v>
      </c>
    </row>
    <row r="17" spans="1:1" ht="126" customHeight="1">
      <c r="A17" s="11" t="s">
        <v>507</v>
      </c>
    </row>
    <row r="18" spans="1:1" ht="77.25" customHeight="1">
      <c r="A18" s="11" t="s">
        <v>508</v>
      </c>
    </row>
    <row r="19" spans="1:1" ht="115.5" customHeight="1">
      <c r="A19" s="11" t="s">
        <v>509</v>
      </c>
    </row>
    <row r="20" spans="1:1" ht="15" customHeight="1">
      <c r="A20" s="61"/>
    </row>
    <row r="21" spans="1:1" ht="48" customHeight="1">
      <c r="A21" s="13" t="s">
        <v>510</v>
      </c>
    </row>
    <row r="22" spans="1:1" ht="141" customHeight="1">
      <c r="A22" s="11" t="s">
        <v>511</v>
      </c>
    </row>
    <row r="23" spans="1:1" ht="77.25" customHeight="1">
      <c r="A23" s="11" t="s">
        <v>512</v>
      </c>
    </row>
    <row r="24" spans="1:1" ht="90" customHeight="1">
      <c r="A24" s="11" t="s">
        <v>513</v>
      </c>
    </row>
    <row r="25" spans="1:1" ht="128.25" customHeight="1">
      <c r="A25" s="11" t="s">
        <v>514</v>
      </c>
    </row>
    <row r="26" spans="1:1" ht="128.25" customHeight="1">
      <c r="A26" s="11" t="s">
        <v>515</v>
      </c>
    </row>
    <row r="27" spans="1:1" ht="15" customHeight="1">
      <c r="A27" s="61"/>
    </row>
    <row r="28" spans="1:1" ht="48" customHeight="1">
      <c r="A28" s="13" t="s">
        <v>516</v>
      </c>
    </row>
    <row r="29" spans="1:1" ht="75" customHeight="1">
      <c r="A29" s="11" t="s">
        <v>664</v>
      </c>
    </row>
    <row r="30" spans="1:1" ht="102.75" customHeight="1">
      <c r="A30" s="11" t="s">
        <v>517</v>
      </c>
    </row>
    <row r="31" spans="1:1" ht="90" customHeight="1">
      <c r="A31" s="11" t="s">
        <v>518</v>
      </c>
    </row>
    <row r="32" spans="1:1" ht="128.25" customHeight="1">
      <c r="A32" s="11" t="s">
        <v>657</v>
      </c>
    </row>
    <row r="33" spans="1:1" ht="144" customHeight="1">
      <c r="A33" s="11" t="s">
        <v>519</v>
      </c>
    </row>
    <row r="34" spans="1:1">
      <c r="A34" s="78" t="s">
        <v>629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520</v>
      </c>
    </row>
    <row r="2" spans="1:8" ht="15" customHeight="1">
      <c r="A2" s="2" t="s">
        <v>521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15" customHeight="1">
      <c r="A5" s="65">
        <v>1</v>
      </c>
      <c r="B5" s="66" t="s">
        <v>69</v>
      </c>
      <c r="C5" s="65" t="s">
        <v>216</v>
      </c>
      <c r="D5" s="65">
        <f>시작중량_설정!$E$9</f>
        <v>20</v>
      </c>
      <c r="E5" s="65">
        <v>5</v>
      </c>
      <c r="F5" s="58" t="s">
        <v>217</v>
      </c>
      <c r="G5" s="66" t="s">
        <v>522</v>
      </c>
      <c r="H5" s="66" t="s">
        <v>523</v>
      </c>
    </row>
    <row r="6" spans="1:8" ht="15" customHeight="1">
      <c r="A6" s="7">
        <v>2</v>
      </c>
      <c r="B6" s="56" t="s">
        <v>316</v>
      </c>
      <c r="C6" s="7" t="s">
        <v>216</v>
      </c>
      <c r="D6" s="8" t="s">
        <v>317</v>
      </c>
      <c r="E6" s="7">
        <v>3</v>
      </c>
      <c r="F6" s="8" t="s">
        <v>22</v>
      </c>
      <c r="G6" s="56" t="s">
        <v>524</v>
      </c>
      <c r="H6" s="56" t="s">
        <v>525</v>
      </c>
    </row>
    <row r="7" spans="1:8" ht="15" customHeight="1">
      <c r="A7" s="7">
        <v>3</v>
      </c>
      <c r="B7" s="56" t="s">
        <v>320</v>
      </c>
      <c r="C7" s="7" t="s">
        <v>226</v>
      </c>
      <c r="D7" s="8" t="s">
        <v>321</v>
      </c>
      <c r="E7" s="7">
        <v>3</v>
      </c>
      <c r="F7" s="8" t="s">
        <v>27</v>
      </c>
      <c r="G7" s="56" t="s">
        <v>526</v>
      </c>
      <c r="H7" s="56" t="s">
        <v>527</v>
      </c>
    </row>
    <row r="8" spans="1:8" ht="15" customHeight="1">
      <c r="A8" s="7">
        <v>4</v>
      </c>
      <c r="B8" s="56" t="s">
        <v>637</v>
      </c>
      <c r="C8" s="7" t="s">
        <v>638</v>
      </c>
      <c r="D8" s="8" t="s">
        <v>639</v>
      </c>
      <c r="E8" s="7">
        <v>3</v>
      </c>
      <c r="F8" s="8" t="s">
        <v>614</v>
      </c>
      <c r="G8" s="56" t="s">
        <v>640</v>
      </c>
      <c r="H8" s="56" t="s">
        <v>641</v>
      </c>
    </row>
    <row r="9" spans="1:8" ht="15" customHeight="1">
      <c r="A9" s="7">
        <v>5</v>
      </c>
      <c r="B9" s="56" t="s">
        <v>233</v>
      </c>
      <c r="C9" s="7" t="s">
        <v>234</v>
      </c>
      <c r="D9" s="8" t="s">
        <v>27</v>
      </c>
      <c r="E9" s="7">
        <v>4</v>
      </c>
      <c r="F9" s="8" t="s">
        <v>227</v>
      </c>
      <c r="G9" s="56" t="s">
        <v>528</v>
      </c>
      <c r="H9" s="56" t="s">
        <v>529</v>
      </c>
    </row>
    <row r="10" spans="1:8" ht="15" customHeight="1">
      <c r="A10" s="7">
        <v>6</v>
      </c>
      <c r="B10" s="56" t="s">
        <v>642</v>
      </c>
      <c r="C10" s="7" t="s">
        <v>643</v>
      </c>
      <c r="D10" s="8" t="s">
        <v>610</v>
      </c>
      <c r="E10" s="7">
        <v>4</v>
      </c>
      <c r="F10" s="8" t="s">
        <v>597</v>
      </c>
      <c r="G10" s="56" t="s">
        <v>644</v>
      </c>
      <c r="H10" s="56" t="s">
        <v>645</v>
      </c>
    </row>
    <row r="11" spans="1:8" ht="15" customHeight="1">
      <c r="D11" s="72" t="s">
        <v>55</v>
      </c>
      <c r="E11" s="35">
        <f>SUM(E5:E10)</f>
        <v>22</v>
      </c>
    </row>
    <row r="13" spans="1:8" ht="32.25" customHeight="1">
      <c r="A13" s="12" t="s">
        <v>530</v>
      </c>
    </row>
    <row r="14" spans="1:8" ht="278.25" customHeight="1">
      <c r="A14" s="11" t="s">
        <v>531</v>
      </c>
    </row>
    <row r="15" spans="1:8" ht="237.75" customHeight="1">
      <c r="A15" s="11" t="s">
        <v>532</v>
      </c>
    </row>
    <row r="16" spans="1:8" ht="237.75" customHeight="1">
      <c r="A16" s="11" t="s">
        <v>533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534</v>
      </c>
    </row>
    <row r="2" spans="1:8" ht="15" customHeight="1">
      <c r="A2" s="2" t="s">
        <v>658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29.25" customHeight="1">
      <c r="A5" s="65">
        <v>1</v>
      </c>
      <c r="B5" s="66" t="s">
        <v>582</v>
      </c>
      <c r="C5" s="65" t="s">
        <v>583</v>
      </c>
      <c r="D5" s="75">
        <f>시작중량_설정!$E$7</f>
        <v>37.5</v>
      </c>
      <c r="E5" s="65">
        <v>3</v>
      </c>
      <c r="F5" s="58">
        <v>5</v>
      </c>
      <c r="G5" s="66" t="s">
        <v>584</v>
      </c>
      <c r="H5" s="66" t="s">
        <v>585</v>
      </c>
    </row>
    <row r="6" spans="1:8" ht="29.25" customHeight="1">
      <c r="A6" s="65">
        <v>2</v>
      </c>
      <c r="B6" s="66" t="s">
        <v>245</v>
      </c>
      <c r="C6" s="65" t="s">
        <v>241</v>
      </c>
      <c r="D6" s="75" t="s">
        <v>21</v>
      </c>
      <c r="E6" s="65">
        <v>4</v>
      </c>
      <c r="F6" s="58" t="s">
        <v>22</v>
      </c>
      <c r="G6" s="66" t="s">
        <v>659</v>
      </c>
      <c r="H6" s="66" t="s">
        <v>660</v>
      </c>
    </row>
    <row r="7" spans="1:8" ht="15" customHeight="1">
      <c r="A7" s="7">
        <v>3</v>
      </c>
      <c r="B7" s="56" t="s">
        <v>586</v>
      </c>
      <c r="C7" s="7" t="s">
        <v>583</v>
      </c>
      <c r="D7" s="8" t="s">
        <v>587</v>
      </c>
      <c r="E7" s="7">
        <v>3</v>
      </c>
      <c r="F7" s="8" t="s">
        <v>588</v>
      </c>
      <c r="G7" s="56" t="s">
        <v>589</v>
      </c>
      <c r="H7" s="56" t="s">
        <v>590</v>
      </c>
    </row>
    <row r="8" spans="1:8" ht="15" customHeight="1">
      <c r="A8" s="7">
        <v>4</v>
      </c>
      <c r="B8" s="56" t="s">
        <v>254</v>
      </c>
      <c r="C8" s="7" t="s">
        <v>255</v>
      </c>
      <c r="D8" s="8" t="s">
        <v>21</v>
      </c>
      <c r="E8" s="7">
        <v>3</v>
      </c>
      <c r="F8" s="8" t="s">
        <v>37</v>
      </c>
      <c r="G8" s="56" t="s">
        <v>661</v>
      </c>
      <c r="H8" s="56" t="s">
        <v>662</v>
      </c>
    </row>
    <row r="9" spans="1:8" ht="15" customHeight="1">
      <c r="A9" s="7">
        <v>5</v>
      </c>
      <c r="B9" s="56" t="s">
        <v>591</v>
      </c>
      <c r="C9" s="7" t="s">
        <v>592</v>
      </c>
      <c r="D9" s="8" t="s">
        <v>587</v>
      </c>
      <c r="E9" s="7">
        <v>3</v>
      </c>
      <c r="F9" s="8">
        <v>10</v>
      </c>
      <c r="G9" s="56" t="s">
        <v>593</v>
      </c>
      <c r="H9" s="56" t="s">
        <v>594</v>
      </c>
    </row>
    <row r="10" spans="1:8" ht="15" customHeight="1">
      <c r="A10" s="7">
        <v>6</v>
      </c>
      <c r="B10" s="56" t="s">
        <v>595</v>
      </c>
      <c r="C10" s="7" t="s">
        <v>596</v>
      </c>
      <c r="D10" s="8" t="s">
        <v>587</v>
      </c>
      <c r="E10" s="7">
        <v>3</v>
      </c>
      <c r="F10" s="8" t="s">
        <v>597</v>
      </c>
      <c r="G10" s="56" t="s">
        <v>598</v>
      </c>
      <c r="H10" s="56" t="s">
        <v>599</v>
      </c>
    </row>
    <row r="11" spans="1:8" ht="15" customHeight="1">
      <c r="A11" s="7">
        <v>7</v>
      </c>
      <c r="B11" s="56" t="s">
        <v>600</v>
      </c>
      <c r="C11" s="7" t="s">
        <v>601</v>
      </c>
      <c r="D11" s="76">
        <f>시작중량_설정!$E$10</f>
        <v>20</v>
      </c>
      <c r="E11" s="7">
        <v>3</v>
      </c>
      <c r="F11" s="8">
        <v>5</v>
      </c>
      <c r="G11" s="56" t="s">
        <v>602</v>
      </c>
      <c r="H11" s="56" t="s">
        <v>603</v>
      </c>
    </row>
    <row r="12" spans="1:8" ht="15" customHeight="1">
      <c r="D12" s="72" t="s">
        <v>55</v>
      </c>
      <c r="E12" s="35">
        <f>SUM(E5:E11)</f>
        <v>22</v>
      </c>
    </row>
    <row r="14" spans="1:8" ht="76.5" customHeight="1">
      <c r="A14" s="12" t="s">
        <v>535</v>
      </c>
    </row>
    <row r="15" spans="1:8" ht="265.5" customHeight="1">
      <c r="A15" s="11" t="s">
        <v>536</v>
      </c>
    </row>
    <row r="16" spans="1:8" ht="293.25" customHeight="1">
      <c r="A16" s="11" t="s">
        <v>537</v>
      </c>
    </row>
    <row r="17" spans="1:1" ht="276" customHeight="1">
      <c r="A17" s="11" t="s">
        <v>538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539</v>
      </c>
    </row>
    <row r="2" spans="1:8" ht="15" customHeight="1">
      <c r="A2" s="2" t="s">
        <v>540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29.25" customHeight="1">
      <c r="A5" s="65">
        <v>1</v>
      </c>
      <c r="B5" s="66" t="s">
        <v>604</v>
      </c>
      <c r="C5" s="65" t="s">
        <v>605</v>
      </c>
      <c r="D5" s="77">
        <f>시작중량_설정!$E$8</f>
        <v>42.5</v>
      </c>
      <c r="E5" s="65">
        <v>1</v>
      </c>
      <c r="F5" s="58">
        <v>5</v>
      </c>
      <c r="G5" s="66" t="s">
        <v>606</v>
      </c>
      <c r="H5" s="66" t="s">
        <v>607</v>
      </c>
    </row>
    <row r="6" spans="1:8" ht="15" customHeight="1">
      <c r="A6" s="7">
        <v>2</v>
      </c>
      <c r="B6" s="56" t="s">
        <v>608</v>
      </c>
      <c r="C6" s="7" t="s">
        <v>609</v>
      </c>
      <c r="D6" s="8" t="s">
        <v>587</v>
      </c>
      <c r="E6" s="7">
        <v>3</v>
      </c>
      <c r="F6" s="8" t="s">
        <v>610</v>
      </c>
      <c r="G6" s="56" t="s">
        <v>611</v>
      </c>
      <c r="H6" s="56" t="s">
        <v>612</v>
      </c>
    </row>
    <row r="7" spans="1:8" ht="15" customHeight="1">
      <c r="A7" s="7">
        <v>3</v>
      </c>
      <c r="B7" s="56" t="s">
        <v>613</v>
      </c>
      <c r="C7" s="7" t="s">
        <v>609</v>
      </c>
      <c r="D7" s="7" t="s">
        <v>587</v>
      </c>
      <c r="E7" s="7">
        <v>3</v>
      </c>
      <c r="F7" s="8" t="s">
        <v>614</v>
      </c>
      <c r="G7" s="56" t="s">
        <v>615</v>
      </c>
      <c r="H7" s="56" t="s">
        <v>616</v>
      </c>
    </row>
    <row r="8" spans="1:8" ht="15" customHeight="1">
      <c r="A8" s="7">
        <v>4</v>
      </c>
      <c r="B8" s="56" t="s">
        <v>617</v>
      </c>
      <c r="C8" s="7" t="s">
        <v>609</v>
      </c>
      <c r="D8" s="8" t="s">
        <v>618</v>
      </c>
      <c r="E8" s="7">
        <v>3</v>
      </c>
      <c r="F8" s="8" t="s">
        <v>619</v>
      </c>
      <c r="G8" s="56" t="s">
        <v>620</v>
      </c>
      <c r="H8" s="56" t="s">
        <v>621</v>
      </c>
    </row>
    <row r="9" spans="1:8" ht="15" customHeight="1">
      <c r="A9" s="7">
        <v>5</v>
      </c>
      <c r="B9" s="56" t="s">
        <v>20</v>
      </c>
      <c r="C9" s="7" t="s">
        <v>14</v>
      </c>
      <c r="D9" s="8" t="s">
        <v>21</v>
      </c>
      <c r="E9" s="7">
        <v>3</v>
      </c>
      <c r="F9" s="8" t="s">
        <v>22</v>
      </c>
      <c r="G9" s="56" t="s">
        <v>622</v>
      </c>
      <c r="H9" s="56" t="s">
        <v>623</v>
      </c>
    </row>
    <row r="10" spans="1:8" ht="15" customHeight="1">
      <c r="A10" s="7">
        <v>6</v>
      </c>
      <c r="B10" s="56" t="s">
        <v>646</v>
      </c>
      <c r="C10" s="7" t="s">
        <v>647</v>
      </c>
      <c r="D10" s="8" t="s">
        <v>648</v>
      </c>
      <c r="E10" s="7">
        <v>3</v>
      </c>
      <c r="F10" s="8" t="s">
        <v>597</v>
      </c>
      <c r="G10" s="56" t="s">
        <v>649</v>
      </c>
      <c r="H10" s="56" t="s">
        <v>650</v>
      </c>
    </row>
    <row r="11" spans="1:8" ht="15" customHeight="1">
      <c r="A11" s="7">
        <v>7</v>
      </c>
      <c r="B11" s="56" t="s">
        <v>290</v>
      </c>
      <c r="C11" s="7" t="s">
        <v>17</v>
      </c>
      <c r="D11" s="8" t="s">
        <v>291</v>
      </c>
      <c r="E11" s="7">
        <v>3</v>
      </c>
      <c r="F11" s="8" t="s">
        <v>22</v>
      </c>
      <c r="G11" s="56" t="s">
        <v>651</v>
      </c>
      <c r="H11" s="56" t="s">
        <v>652</v>
      </c>
    </row>
    <row r="12" spans="1:8" ht="15" customHeight="1">
      <c r="A12" s="7">
        <v>8</v>
      </c>
      <c r="B12" s="56" t="s">
        <v>624</v>
      </c>
      <c r="C12" s="7" t="s">
        <v>625</v>
      </c>
      <c r="D12" s="8">
        <v>2.5</v>
      </c>
      <c r="E12" s="7">
        <v>3</v>
      </c>
      <c r="F12" s="8">
        <v>12</v>
      </c>
      <c r="G12" s="56" t="s">
        <v>626</v>
      </c>
      <c r="H12" s="56" t="s">
        <v>627</v>
      </c>
    </row>
    <row r="13" spans="1:8" ht="15" customHeight="1">
      <c r="D13" s="72" t="s">
        <v>55</v>
      </c>
      <c r="E13" s="35">
        <f>SUM(E5:E12)</f>
        <v>22</v>
      </c>
    </row>
    <row r="15" spans="1:8" ht="92.25" customHeight="1">
      <c r="A15" s="12" t="s">
        <v>541</v>
      </c>
    </row>
    <row r="16" spans="1:8" ht="233.25" customHeight="1">
      <c r="A16" s="11" t="s">
        <v>542</v>
      </c>
    </row>
    <row r="17" spans="1:1" ht="240" customHeight="1">
      <c r="A17" s="11" t="s">
        <v>543</v>
      </c>
    </row>
    <row r="18" spans="1:1" ht="278.25" customHeight="1">
      <c r="A18" s="11" t="s">
        <v>544</v>
      </c>
    </row>
    <row r="19" spans="1:1" ht="15" customHeight="1">
      <c r="A19" s="61"/>
    </row>
    <row r="20" spans="1:1" ht="95.25" customHeight="1">
      <c r="A20" s="12" t="s">
        <v>545</v>
      </c>
    </row>
    <row r="21" spans="1:1" ht="252.75" customHeight="1">
      <c r="A21" s="11" t="s">
        <v>628</v>
      </c>
    </row>
    <row r="22" spans="1:1" ht="237.75" customHeight="1">
      <c r="A22" s="11" t="s">
        <v>546</v>
      </c>
    </row>
    <row r="23" spans="1:1" ht="265.5" customHeight="1">
      <c r="A23" s="11" t="s">
        <v>547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548</v>
      </c>
    </row>
    <row r="2" spans="1:4" ht="15" customHeight="1">
      <c r="A2" s="2" t="s">
        <v>549</v>
      </c>
    </row>
    <row r="4" spans="1:4" ht="15" customHeight="1">
      <c r="A4" s="5" t="s">
        <v>550</v>
      </c>
      <c r="B4" s="5" t="s">
        <v>551</v>
      </c>
      <c r="C4" s="5" t="s">
        <v>552</v>
      </c>
      <c r="D4" s="5" t="s">
        <v>452</v>
      </c>
    </row>
    <row r="5" spans="1:4" ht="15" customHeight="1">
      <c r="A5" s="7" t="s">
        <v>465</v>
      </c>
      <c r="B5" s="7" t="s">
        <v>553</v>
      </c>
      <c r="C5" s="7" t="s">
        <v>554</v>
      </c>
      <c r="D5" s="67" t="s">
        <v>555</v>
      </c>
    </row>
    <row r="6" spans="1:4" ht="15" customHeight="1">
      <c r="A6" s="7" t="s">
        <v>556</v>
      </c>
      <c r="B6" s="8" t="s">
        <v>557</v>
      </c>
      <c r="C6" s="7" t="s">
        <v>663</v>
      </c>
      <c r="D6" s="56" t="s">
        <v>558</v>
      </c>
    </row>
    <row r="7" spans="1:4" ht="15" customHeight="1">
      <c r="A7" s="7" t="s">
        <v>559</v>
      </c>
      <c r="B7" s="7" t="s">
        <v>560</v>
      </c>
      <c r="C7" s="8" t="s">
        <v>561</v>
      </c>
      <c r="D7" s="56" t="s">
        <v>562</v>
      </c>
    </row>
    <row r="8" spans="1:4" ht="15" customHeight="1">
      <c r="A8" s="7" t="s">
        <v>563</v>
      </c>
      <c r="B8" s="7" t="s">
        <v>564</v>
      </c>
      <c r="C8" s="8" t="s">
        <v>565</v>
      </c>
      <c r="D8" s="56" t="s">
        <v>566</v>
      </c>
    </row>
    <row r="9" spans="1:4" ht="15" customHeight="1">
      <c r="A9" s="7" t="s">
        <v>567</v>
      </c>
      <c r="B9" s="8" t="s">
        <v>568</v>
      </c>
      <c r="C9" s="8" t="s">
        <v>569</v>
      </c>
      <c r="D9" s="56" t="s">
        <v>570</v>
      </c>
    </row>
    <row r="10" spans="1:4" ht="15" customHeight="1">
      <c r="A10" s="7" t="s">
        <v>67</v>
      </c>
      <c r="B10" s="8" t="s">
        <v>630</v>
      </c>
      <c r="C10" s="8" t="s">
        <v>631</v>
      </c>
      <c r="D10" s="56" t="s">
        <v>632</v>
      </c>
    </row>
    <row r="11" spans="1:4" ht="15" customHeight="1">
      <c r="A11" s="7" t="s">
        <v>65</v>
      </c>
      <c r="B11" s="8" t="s">
        <v>571</v>
      </c>
      <c r="C11" s="8" t="s">
        <v>572</v>
      </c>
      <c r="D11" s="56" t="s">
        <v>573</v>
      </c>
    </row>
    <row r="12" spans="1:4" ht="15" customHeight="1">
      <c r="A12" s="7" t="s">
        <v>653</v>
      </c>
      <c r="B12" s="8" t="s">
        <v>654</v>
      </c>
      <c r="C12" s="8" t="s">
        <v>655</v>
      </c>
      <c r="D12" s="56" t="s">
        <v>656</v>
      </c>
    </row>
    <row r="13" spans="1:4">
      <c r="A13" s="79" t="s">
        <v>633</v>
      </c>
      <c r="B13" s="80" t="s">
        <v>634</v>
      </c>
      <c r="C13" s="80" t="s">
        <v>635</v>
      </c>
      <c r="D13" s="79" t="s">
        <v>636</v>
      </c>
    </row>
    <row r="15" spans="1:4" ht="15" customHeight="1">
      <c r="A15" s="3" t="s">
        <v>471</v>
      </c>
    </row>
    <row r="16" spans="1:4" ht="39" customHeight="1">
      <c r="A16" s="11" t="s">
        <v>574</v>
      </c>
    </row>
    <row r="17" spans="1:1" ht="51.75" customHeight="1">
      <c r="A17" s="11" t="s">
        <v>575</v>
      </c>
    </row>
    <row r="18" spans="1:1" ht="39" customHeight="1">
      <c r="A18" s="11" t="s">
        <v>576</v>
      </c>
    </row>
    <row r="19" spans="1:1" ht="39" customHeight="1">
      <c r="A19" s="11" t="s">
        <v>577</v>
      </c>
    </row>
    <row r="20" spans="1:1" ht="15" customHeight="1">
      <c r="A20" s="61"/>
    </row>
    <row r="21" spans="1:1" ht="51.75" customHeight="1">
      <c r="A21" s="11" t="s">
        <v>578</v>
      </c>
    </row>
    <row r="22" spans="1:1" ht="39" customHeight="1">
      <c r="A22" s="11" t="s">
        <v>579</v>
      </c>
    </row>
    <row r="23" spans="1:1" ht="15" customHeight="1">
      <c r="A23" s="61"/>
    </row>
    <row r="24" spans="1:1" ht="51.75" customHeight="1">
      <c r="A24" s="11" t="s">
        <v>580</v>
      </c>
    </row>
    <row r="25" spans="1:1" ht="39" customHeight="1">
      <c r="A25" s="11" t="s">
        <v>581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승태 최</cp:lastModifiedBy>
  <cp:revision>0</cp:revision>
  <dcterms:created xsi:type="dcterms:W3CDTF">2026-07-28T16:37:37Z</dcterms:created>
  <dcterms:modified xsi:type="dcterms:W3CDTF">2026-08-09T16:54:51Z</dcterms:modified>
  <dc:language>en-US</dc:language>
</cp:coreProperties>
</file>