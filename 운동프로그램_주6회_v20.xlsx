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06" documentId="11_6AF0B42629B6F5CFF7DAC05DB27E968F34409905" xr6:coauthVersionLast="47" xr6:coauthVersionMax="47" xr10:uidLastSave="{E106D9E5-E98F-4C7A-8D3F-EB8F9ED2A524}"/>
  <bookViews>
    <workbookView xWindow="-120" yWindow="-120" windowWidth="38640" windowHeight="21120" tabRatio="976" firstSheet="7"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6" l="1"/>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29" i="16"/>
  <c r="I28" i="16"/>
  <c r="I27" i="16"/>
  <c r="I30"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31" i="16" l="1"/>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<sst xmlns="http://schemas.openxmlformats.org/spreadsheetml/2006/main" count="3183" uniqueCount="1674">
  <si>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</si>
  <si>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</si>
  <si>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</si>
  <si>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</si>
  <si>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</si>
  <si>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</si>
  <si>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</si>
  <si>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</si>
  <si>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</si>
  <si>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</si>
  <si>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</si>
  <si>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</si>
  <si>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</si>
  <si>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</si>
  <si>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</si>
  <si>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</si>
  <si>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</si>
  <si>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</si>
  <si>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</si>
  <si>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</si>
  <si>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</si>
  <si>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</si>
  <si>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</si>
  <si>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</si>
  <si>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</si>
  <si>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</si>
  <si>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</si>
  <si>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</si>
  <si>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</si>
  <si>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</si>
  <si>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</si>
  <si>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</si>
  <si>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</si>
  <si>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</si>
  <si>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</si>
  <si>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</si>
  <si>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</si>
  <si>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</si>
  <si>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</si>
  <si>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</si>
  <si>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</si>
  <si>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</si>
  <si>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</si>
  <si>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</si>
  <si>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</si>
  <si>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</si>
  <si>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</si>
  <si>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</si>
  <si>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</si>
  <si>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</si>
  <si>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</si>
  <si>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</si>
  <si>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</si>
  <si>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</si>
  <si>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</si>
  <si>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</si>
  <si>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</si>
  <si>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</si>
  <si>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</si>
  <si>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</si>
  <si>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</si>
  <si>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</si>
  <si>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</si>
  <si>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</si>
  <si>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</si>
  <si>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</si>
  <si>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</si>
  <si>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</si>
  <si>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</si>
  <si>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</si>
  <si>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</si>
  <si>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</si>
  <si>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</si>
  <si>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</si>
  <si>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</si>
  <si>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</si>
  <si>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</si>
  <si>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</si>
  <si>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</si>
  <si>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</si>
  <si>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</si>
  <si>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</si>
  <si>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</si>
  <si>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</si>
  <si>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</si>
  <si>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</si>
  <si>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</si>
  <si>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</si>
  <si>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</si>
  <si>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</si>
  <si>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</si>
  <si>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</si>
  <si>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</si>
  <si>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</si>
  <si>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</si>
  <si>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</si>
  <si>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</si>
  <si>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</si>
  <si>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</si>
  <si>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</si>
  <si>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</si>
  <si>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</si>
  <si>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</si>
  <si>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</si>
  <si>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</si>
  <si>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</si>
  <si>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</si>
  <si>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</si>
  <si>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</si>
  <si>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</si>
  <si>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</si>
  <si>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</si>
  <si>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</si>
  <si>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</si>
  <si>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</si>
  <si>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</si>
  <si>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</si>
  <si>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</si>
  <si>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</si>
  <si>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</si>
  <si>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</si>
  <si>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</si>
  <si>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</si>
  <si>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</si>
  <si>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</si>
  <si>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</si>
  <si>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</si>
  <si>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</si>
  <si>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</si>
  <si>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</si>
  <si>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</si>
  <si>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</si>
  <si>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</si>
  <si>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</si>
  <si>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</si>
  <si>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</si>
  <si>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</si>
  <si>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</si>
  <si>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</si>
  <si>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</si>
  <si>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</si>
  <si>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</si>
  <si>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</si>
  <si>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</si>
  <si>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</si>
  <si>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</si>
  <si>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</si>
  <si>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</si>
  <si>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</si>
  <si>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</si>
  <si>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</si>
  <si>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</si>
  <si>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</si>
  <si>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</si>
  <si>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</si>
  <si>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</si>
  <si>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</si>
  <si>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</si>
  <si>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</si>
  <si>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</si>
  <si>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</si>
  <si>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</si>
  <si>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</si>
  <si>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</si>
  <si>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</si>
  <si>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</si>
  <si>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</si>
  <si>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</si>
  <si>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</si>
  <si>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</si>
  <si>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</si>
  <si>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</si>
  <si>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</si>
  <si>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</si>
  <si>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</si>
  <si>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</si>
  <si>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</si>
  <si>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</si>
  <si>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</si>
  <si>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</si>
  <si>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</si>
  <si>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</si>
  <si>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</si>
  <si>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</si>
  <si>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</si>
  <si>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</si>
  <si>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</si>
  <si>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</si>
  <si>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</si>
  <si>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</si>
  <si>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</si>
  <si>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</si>
  <si>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</si>
  <si>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</si>
  <si>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</si>
  <si>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</si>
  <si>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</si>
  <si>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</si>
  <si>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</si>
  <si>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</si>
  <si>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</si>
  <si>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</si>
  <si>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</si>
  <si>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</si>
  <si>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</si>
  <si>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</si>
  <si>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</si>
  <si>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</si>
  <si>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</si>
  <si>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</si>
  <si>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</si>
  <si>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</si>
  <si>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</si>
  <si>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</si>
  <si>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</si>
  <si>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</si>
  <si>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</si>
  <si>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</si>
  <si>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</si>
  <si>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</si>
  <si>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</si>
  <si>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</si>
  <si>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</si>
  <si>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</si>
  <si>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</si>
  <si>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</si>
  <si>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</si>
  <si>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</si>
  <si>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</si>
  <si>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</si>
  <si>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</si>
  <si>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</si>
  <si>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</si>
  <si>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</si>
  <si>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</si>
  <si>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</si>
  <si>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</si>
  <si>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</si>
  <si>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</si>
  <si>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</si>
  <si>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</si>
  <si>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</si>
  <si>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</si>
  <si>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</si>
  <si>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</si>
  <si>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</si>
  <si>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</si>
  <si>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</si>
  <si>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</si>
  <si>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</si>
  <si>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</si>
  <si>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</si>
  <si>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</si>
  <si>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</si>
  <si>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</si>
  <si>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</si>
  <si>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</si>
  <si>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</si>
  <si>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</si>
  <si>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</si>
  <si>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</si>
  <si>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</si>
  <si>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</si>
  <si>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</si>
  <si>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</si>
  <si>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</si>
  <si>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</si>
  <si>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</si>
  <si>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</si>
  <si>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</si>
  <si>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</si>
  <si>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</si>
  <si>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</si>
  <si>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</si>
  <si>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</si>
  <si>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</si>
  <si>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</si>
  <si>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</si>
  <si>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</si>
  <si>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</si>
  <si>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</si>
  <si>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</si>
  <si>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</si>
  <si>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</si>
  <si>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</si>
  <si>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</si>
  <si>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</si>
  <si>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</si>
  <si>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</si>
  <si>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</si>
  <si>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</si>
  <si>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</si>
  <si>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</si>
  <si>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</si>
  <si>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</si>
  <si>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</si>
  <si>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</si>
  <si>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</si>
  <si>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</si>
  <si>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</si>
  <si>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</si>
  <si>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</si>
  <si>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</si>
  <si>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</si>
  <si>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</si>
  <si>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</si>
  <si>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</si>
  <si>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</si>
  <si>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</si>
  <si>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</si>
  <si>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</si>
  <si>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</si>
  <si>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</si>
  <si>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</si>
  <si>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</si>
  <si>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</si>
  <si>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</si>
  <si>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</si>
  <si>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</si>
  <si>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</si>
  <si>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</si>
  <si>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</si>
  <si>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</si>
  <si>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</si>
  <si>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</si>
  <si>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</si>
  <si>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</si>
  <si>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</si>
  <si>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</si>
  <si>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</si>
  <si>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</si>
  <si>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</si>
  <si>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</si>
  <si>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</si>
  <si>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</si>
  <si>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</si>
  <si>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</si>
  <si>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</si>
  <si>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</si>
  <si>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</si>
  <si>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</si>
  <si>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</si>
  <si>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</si>
  <si>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</si>
  <si>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</si>
  <si>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</si>
  <si>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</si>
  <si>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</si>
  <si>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</si>
  <si>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</si>
  <si>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</si>
  <si>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</si>
  <si>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</si>
  <si>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</si>
  <si>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</si>
  <si>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</si>
  <si>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</si>
  <si>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</si>
  <si>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</si>
  <si>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</si>
  <si>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</si>
  <si>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</si>
  <si>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</si>
  <si>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</si>
  <si>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</si>
  <si>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</si>
  <si>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</si>
  <si>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</si>
  <si>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</si>
  <si>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</si>
  <si>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</si>
  <si>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</si>
  <si>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</si>
  <si>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</si>
  <si>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</si>
  <si>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</si>
  <si>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</si>
  <si>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</si>
  <si>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</si>
  <si>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</si>
  <si>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</si>
  <si>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</si>
  <si>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</si>
  <si>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</si>
  <si>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</si>
  <si>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</si>
  <si>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</si>
  <si>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</si>
  <si>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</si>
  <si>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</si>
  <si>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</si>
  <si>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</si>
  <si>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</si>
  <si>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</si>
  <si>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</si>
  <si>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</si>
  <si>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</si>
  <si>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</si>
  <si>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</si>
  <si>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</si>
  <si>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</si>
  <si>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</si>
  <si>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</si>
  <si>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</si>
  <si>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</si>
  <si>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</si>
  <si>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</si>
  <si>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</si>
  <si>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</si>
  <si>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</si>
  <si>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</si>
  <si>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</si>
  <si>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</si>
  <si>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</si>
  <si>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</si>
  <si>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</si>
  <si>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</si>
  <si>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</si>
  <si>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</si>
  <si>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</si>
  <si>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</si>
  <si>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</si>
  <si>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</si>
  <si>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</si>
  <si>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</si>
  <si>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</si>
  <si>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</si>
  <si>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</si>
  <si>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</si>
  <si>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</si>
  <si>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</si>
  <si>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</si>
  <si>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</si>
  <si>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</si>
  <si>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</si>
  <si>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</si>
  <si>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</si>
  <si>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</si>
  <si>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</si>
  <si>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</si>
  <si>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</si>
  <si>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</si>
  <si>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</si>
  <si>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</si>
  <si>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</si>
  <si>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</si>
  <si>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</si>
  <si>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</si>
  <si>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</si>
  <si>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</si>
  <si>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</si>
  <si>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</si>
  <si>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</si>
  <si>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</si>
  <si>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</si>
  <si>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</si>
  <si>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</si>
  <si>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</si>
  <si>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</si>
  <si>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</si>
  <si>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</si>
  <si>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</si>
  <si>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</si>
  <si>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</si>
  <si>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</si>
  <si>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</si>
  <si>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</si>
  <si>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</si>
  <si>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</si>
  <si>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</si>
  <si>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</si>
  <si>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</si>
  <si>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</si>
  <si>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</si>
  <si>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</si>
  <si>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</si>
  <si>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</si>
  <si>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</si>
  <si>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</si>
  <si>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</si>
  <si>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</si>
  <si>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</si>
  <si>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</si>
  <si>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</si>
  <si>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</si>
  <si>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</si>
  <si>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</si>
  <si>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</si>
  <si>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</si>
  <si>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</si>
  <si>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</si>
  <si>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</si>
  <si>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</si>
  <si>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</si>
  <si>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</si>
  <si>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</si>
  <si>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</si>
  <si>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</si>
  <si>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</si>
  <si>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</si>
  <si>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</si>
  <si>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</si>
  <si>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</si>
  <si>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</si>
  <si>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</si>
  <si>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</si>
  <si>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</si>
  <si>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</si>
  <si>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</si>
  <si>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</si>
  <si>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</si>
  <si>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</si>
  <si>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</si>
  <si>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</si>
  <si>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</si>
  <si>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</si>
  <si>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</si>
  <si>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</si>
  <si>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</si>
  <si>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</si>
  <si>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</si>
  <si>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</si>
  <si>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</si>
  <si>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</si>
  <si>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</si>
  <si>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</si>
  <si>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</si>
  <si>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</si>
  <si>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</si>
  <si>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</si>
  <si>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</si>
  <si>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</si>
  <si>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</si>
  <si>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</si>
  <si>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</si>
  <si>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</si>
  <si>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</si>
  <si>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</si>
  <si>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</si>
  <si>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</si>
  <si>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</si>
  <si>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</si>
  <si>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</si>
  <si>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</si>
  <si>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</si>
  <si>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</si>
  <si>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</si>
  <si>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</si>
  <si>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</si>
  <si>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</si>
  <si>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</si>
  <si>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</si>
  <si>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</si>
  <si>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</si>
  <si>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</si>
  <si>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</si>
  <si>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</si>
  <si>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</si>
  <si>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</si>
  <si>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</si>
  <si>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</si>
  <si>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</si>
  <si>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</si>
  <si>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</si>
  <si>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</si>
  <si>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</si>
  <si>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</si>
  <si>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</si>
  <si>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</si>
  <si>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</si>
  <si>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</si>
  <si>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</si>
  <si>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</si>
  <si>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</si>
  <si>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</si>
  <si>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</si>
  <si>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</si>
  <si>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</si>
  <si>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</si>
  <si>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</si>
  <si>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</si>
  <si>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</si>
  <si>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</si>
  <si>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</si>
  <si>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</si>
  <si>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</si>
  <si>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</si>
  <si>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</si>
  <si>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</si>
  <si>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</si>
  <si>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</si>
  <si>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</si>
  <si>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</si>
  <si>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</si>
  <si>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</si>
  <si>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</si>
  <si>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</si>
  <si>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</si>
  <si>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</si>
  <si>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</si>
  <si>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</si>
  <si>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</si>
  <si>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</si>
  <si>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</si>
  <si>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</si>
  <si>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</si>
  <si>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</si>
  <si>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</si>
  <si>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</si>
  <si>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</si>
  <si>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</si>
  <si>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</si>
  <si>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</si>
  <si>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</si>
  <si>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</si>
  <si>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</si>
  <si>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</si>
  <si>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</si>
  <si>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</si>
  <si>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</si>
  <si>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</si>
  <si>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</si>
  <si>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</si>
  <si>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</si>
  <si>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</si>
  <si>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</si>
  <si>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</si>
  <si>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</si>
  <si>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</si>
  <si>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</si>
  <si>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</si>
  <si>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</si>
  <si>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</si>
  <si>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</si>
  <si>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</si>
  <si>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</si>
  <si>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</si>
  <si>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</si>
  <si>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</si>
  <si>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</si>
  <si>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</si>
  <si>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</si>
  <si>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</si>
  <si>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</si>
  <si>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</si>
  <si>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</si>
  <si>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</si>
  <si>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</si>
  <si>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</si>
  <si>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</si>
  <si>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</si>
  <si>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</si>
  <si>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</si>
  <si>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</si>
  <si>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</si>
  <si>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</si>
  <si>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</si>
  <si>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</si>
  <si>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</si>
  <si>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</si>
  <si>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</si>
  <si>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</si>
  <si>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</si>
  <si>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</si>
  <si>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</si>
  <si>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</si>
  <si>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</si>
  <si>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</si>
  <si>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</si>
  <si>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</si>
  <si>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</si>
  <si>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</si>
  <si>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</si>
  <si>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</si>
  <si>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</si>
  <si>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</si>
  <si>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</si>
  <si>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</si>
  <si>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</si>
  <si>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</si>
  <si>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</si>
  <si>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</si>
  <si>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</si>
  <si>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</si>
  <si>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</si>
  <si>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</si>
  <si>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</si>
  <si>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</si>
  <si>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</si>
  <si>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</si>
  <si>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</si>
  <si>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</si>
  <si>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</si>
  <si>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</si>
  <si>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</si>
  <si>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</si>
  <si>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</si>
  <si>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</si>
  <si>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</si>
  <si>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</si>
  <si>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</si>
  <si>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</si>
  <si>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</si>
  <si>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</si>
  <si>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</si>
  <si>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</si>
  <si>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</si>
  <si>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</si>
  <si>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</si>
  <si>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</si>
  <si>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</si>
  <si>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</si>
  <si>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</si>
  <si>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</si>
  <si>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</si>
  <si>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</si>
  <si>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</si>
  <si>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</si>
  <si>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</si>
  <si>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</si>
  <si>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</si>
  <si>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</si>
  <si>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</si>
  <si>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</si>
  <si>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</si>
  <si>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</si>
  <si>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</si>
  <si>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</si>
  <si>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</si>
  <si>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</si>
  <si>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</si>
  <si>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</si>
  <si>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</si>
  <si>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</si>
  <si>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</si>
  <si>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</si>
  <si>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</si>
  <si>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</si>
  <si>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</si>
  <si>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</si>
  <si>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</si>
  <si>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</si>
  <si>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</si>
  <si>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</si>
  <si>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</si>
  <si>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</si>
  <si>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</si>
  <si>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</si>
  <si>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</si>
  <si>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</si>
  <si>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</si>
  <si>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</si>
  <si>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</si>
  <si>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</si>
  <si>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</si>
  <si>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</si>
  <si>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</si>
  <si>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</si>
  <si>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</si>
  <si>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</si>
  <si>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</si>
  <si>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</si>
  <si>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</si>
  <si>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</si>
  <si>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</si>
  <si>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</si>
  <si>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</si>
  <si>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</si>
  <si>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</si>
  <si>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</si>
  <si>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</si>
  <si>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</si>
  <si>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</si>
  <si>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</si>
  <si>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</si>
  <si>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</si>
  <si>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</si>
  <si>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</si>
  <si>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</si>
  <si>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</si>
  <si>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</si>
  <si>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</si>
  <si>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</si>
  <si>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</si>
  <si>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</si>
  <si>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</si>
  <si>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</si>
  <si>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</si>
  <si>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</si>
  <si>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</si>
  <si>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</si>
  <si>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</si>
  <si>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</si>
  <si>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</si>
  <si>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</si>
  <si>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</si>
  <si>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</si>
  <si>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</si>
  <si>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</si>
  <si>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</si>
  <si>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</si>
  <si>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</si>
  <si>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</si>
  <si>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</si>
  <si>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</si>
  <si>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</si>
  <si>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</si>
  <si>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</si>
  <si>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</si>
  <si>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</si>
  <si>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</si>
  <si>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</si>
  <si>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</si>
  <si>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</si>
  <si>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</si>
  <si>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</si>
  <si>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</si>
  <si>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</si>
  <si>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</si>
  <si>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</si>
  <si>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</si>
  <si>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</si>
  <si>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</si>
  <si>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</si>
  <si>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</si>
  <si>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</si>
  <si>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</si>
  <si>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</si>
  <si>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</si>
  <si>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</si>
  <si>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</si>
  <si>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</si>
  <si>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</si>
  <si>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</si>
  <si>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</si>
  <si>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</si>
  <si>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</si>
  <si>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</si>
  <si>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</si>
  <si>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</si>
  <si>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</si>
  <si>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</si>
  <si>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</si>
  <si>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</si>
  <si>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</si>
  <si>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</si>
  <si>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</si>
  <si>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</si>
  <si>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</si>
  <si>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</si>
  <si>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</si>
  <si>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</si>
  <si>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</si>
  <si>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</si>
  <si>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</si>
  <si>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</si>
  <si>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</si>
  <si>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</si>
  <si>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</si>
  <si>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</si>
  <si>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</si>
  <si>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</si>
  <si>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</si>
  <si>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</si>
  <si>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</si>
  <si>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</si>
  <si>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</si>
  <si>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</si>
  <si>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</si>
  <si>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</si>
  <si>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</si>
  <si>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</si>
  <si>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</si>
  <si>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</si>
  <si>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</si>
  <si>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</si>
  <si>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</si>
  <si>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</si>
  <si>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</si>
  <si>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</si>
  <si>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</si>
  <si>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</si>
  <si>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</si>
  <si>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</si>
  <si>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</si>
  <si>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</si>
  <si>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</si>
  <si>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</si>
  <si>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</si>
  <si>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</si>
  <si>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</si>
  <si>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</si>
  <si>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</si>
  <si>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</si>
  <si>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</si>
  <si>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</si>
  <si>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</si>
  <si>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</si>
  <si>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</si>
  <si>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</si>
  <si>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</si>
  <si>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</si>
  <si>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</si>
  <si>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</si>
  <si>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</si>
  <si>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</si>
  <si>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</si>
  <si>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</si>
  <si>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</si>
  <si>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</si>
  <si>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</si>
  <si>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</si>
  <si>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</si>
  <si>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</si>
  <si>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</si>
  <si>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</si>
  <si>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</si>
  <si>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</si>
  <si>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</si>
  <si>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</si>
  <si>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</si>
  <si>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</si>
  <si>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</si>
  <si>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</si>
  <si>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</si>
  <si>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</si>
  <si>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</si>
  <si>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</si>
  <si>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</si>
  <si>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</si>
  <si>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</si>
  <si>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</si>
  <si>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</si>
  <si>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</si>
  <si>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</si>
  <si>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</si>
  <si>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</si>
  <si>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</si>
  <si>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</si>
  <si>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</si>
  <si>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</si>
  <si>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</si>
  <si>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</si>
  <si>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</si>
  <si>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</si>
  <si>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</si>
  <si>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</si>
  <si>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</si>
  <si>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</si>
  <si>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</si>
  <si>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</si>
  <si>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</si>
  <si>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</si>
  <si>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</si>
  <si>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</si>
  <si>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</si>
  <si>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</si>
  <si>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</si>
  <si>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</si>
  <si>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</si>
  <si>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</si>
  <si>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</si>
  <si>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</si>
  <si>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</si>
  <si>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</si>
  <si>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</si>
  <si>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</si>
  <si>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</si>
  <si>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</si>
  <si>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</si>
  <si>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</si>
  <si>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</si>
  <si>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</si>
  <si>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</si>
  <si>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</si>
  <si>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</si>
  <si>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</si>
  <si>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</si>
  <si>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</si>
  <si>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</si>
  <si>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</si>
  <si>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</si>
  <si>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</si>
  <si>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</si>
  <si>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</si>
  <si>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</si>
  <si>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</si>
  <si>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</si>
  <si>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</si>
  <si>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</si>
  <si>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</si>
  <si>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</si>
  <si>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</si>
  <si>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</si>
  <si>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</si>
  <si>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</si>
  <si>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</si>
  <si>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</si>
  <si>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</si>
  <si>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</si>
  <si>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</si>
  <si>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</si>
  <si>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</si>
  <si>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</si>
  <si>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</si>
  <si>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</si>
  <si>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</si>
  <si>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</si>
  <si>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</si>
  <si>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</si>
  <si>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</si>
  <si>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</si>
  <si>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</si>
  <si>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</si>
  <si>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</si>
  <si>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</si>
  <si>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</si>
  <si>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</si>
  <si>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</si>
  <si>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</si>
  <si>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</si>
  <si>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</si>
  <si>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</si>
  <si>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</si>
  <si>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</si>
  <si>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</si>
  <si>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</si>
  <si>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</si>
  <si>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</si>
  <si>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</si>
  <si>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</si>
  <si>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</si>
  <si>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</si>
  <si>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</si>
  <si>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</si>
  <si>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</si>
  <si>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</si>
  <si>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</si>
  <si>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</si>
  <si>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</si>
  <si>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</si>
  <si>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</si>
  <si>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</si>
  <si>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</si>
  <si>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</si>
  <si>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</si>
  <si>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</si>
  <si>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</si>
  <si>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</si>
  <si>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</si>
  <si>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</si>
  <si>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</si>
  <si>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</si>
  <si>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</si>
  <si>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</si>
  <si>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</si>
  <si>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</si>
  <si>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</si>
  <si>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</si>
  <si>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</si>
  <si>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</si>
  <si>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</si>
  <si>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</si>
  <si>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</si>
  <si>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</si>
  <si>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</si>
  <si>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</si>
  <si>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</si>
  <si>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</si>
  <si>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</si>
  <si>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</si>
  <si>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</si>
  <si>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</si>
  <si>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</si>
  <si>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</si>
  <si>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</si>
  <si>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</si>
  <si>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</si>
  <si>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</si>
  <si>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</si>
  <si>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</si>
  <si>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</si>
  <si>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</si>
  <si>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</si>
  <si>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</si>
  <si>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</si>
  <si>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</si>
  <si>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</si>
  <si>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</si>
  <si>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</si>
  <si>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</si>
  <si>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</si>
  <si>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</si>
  <si>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</si>
  <si>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</si>
  <si>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</si>
  <si>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</si>
  <si>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</si>
  <si>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</si>
  <si>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</si>
  <si>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</si>
  <si>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</si>
  <si>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</si>
  <si>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</si>
  <si>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</si>
  <si>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</si>
  <si>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</si>
  <si>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</si>
  <si>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</si>
  <si>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</si>
  <si>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</si>
  <si>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</si>
  <si>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</si>
  <si>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</si>
  <si>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</si>
  <si>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</si>
  <si>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</si>
  <si>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</si>
  <si>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</si>
  <si>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</si>
  <si>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</si>
  <si>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</si>
  <si>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</si>
  <si>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</si>
  <si>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</si>
  <si>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</si>
  <si>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</si>
  <si>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</si>
  <si>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</si>
  <si>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</si>
  <si>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</si>
  <si>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</si>
  <si>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</si>
  <si>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</si>
  <si>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</si>
  <si>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</si>
  <si>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</si>
  <si>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</si>
  <si>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</si>
  <si>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</si>
  <si>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</si>
  <si>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</si>
  <si>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</si>
  <si>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</si>
  <si>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</si>
  <si>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</si>
  <si>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</si>
  <si>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</si>
  <si>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</si>
  <si>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</si>
  <si>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</si>
  <si>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</si>
  <si>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</si>
  <si>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</si>
  <si>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</si>
  <si>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</si>
  <si>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</si>
  <si>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</si>
  <si>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</si>
  <si>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</si>
  <si>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</si>
  <si>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</si>
  <si>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</si>
  <si>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</si>
  <si>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</si>
  <si>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</si>
  <si>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</si>
  <si>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</si>
  <si>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</si>
  <si>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</si>
  <si>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</si>
  <si>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</si>
  <si>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</si>
  <si>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</si>
  <si>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</si>
  <si>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</si>
  <si>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</si>
  <si>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</si>
  <si>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</si>
  <si>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</si>
  <si>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</si>
  <si>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</si>
  <si>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</si>
  <si>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</si>
  <si>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</si>
  <si>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</si>
  <si>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</si>
  <si>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</si>
  <si>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</si>
  <si>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</si>
  <si>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</si>
  <si>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</si>
  <si>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</si>
  <si>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</si>
  <si>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</si>
  <si>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</si>
  <si>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</si>
  <si>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</si>
  <si>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</si>
  <si>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</si>
  <si>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</si>
  <si>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</si>
  <si>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</si>
  <si>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</si>
  <si>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</si>
  <si>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</si>
  <si>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</si>
  <si>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</si>
  <si>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</si>
  <si>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</si>
  <si>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</si>
  <si>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</si>
  <si>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</si>
  <si>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</si>
  <si>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</si>
  <si>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</si>
  <si>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</si>
  <si>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</si>
  <si>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</si>
  <si>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</si>
  <si>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</si>
  <si>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</si>
  <si>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</si>
  <si>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</si>
  <si>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</si>
  <si>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</si>
  <si>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</si>
  <si>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</si>
  <si>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</si>
  <si>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</si>
  <si>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</si>
  <si>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</si>
  <si>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</si>
  <si>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</si>
  <si>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</si>
  <si>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</si>
  <si>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</si>
  <si>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</si>
  <si>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</si>
  <si>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</si>
  <si>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</si>
  <si>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</si>
  <si>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</si>
  <si>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</si>
  <si>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</si>
  <si>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</si>
  <si>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</si>
  <si>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</si>
  <si>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</si>
  <si>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</si>
  <si>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</si>
  <si>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</si>
  <si>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</si>
  <si>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</si>
  <si>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</si>
  <si>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</si>
  <si>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</si>
  <si>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</si>
  <si>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</si>
  <si>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</si>
  <si>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</si>
  <si>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</si>
  <si>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</si>
  <si>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</si>
  <si>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</si>
  <si>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</si>
  <si>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</si>
  <si>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</si>
  <si>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</si>
  <si>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</si>
  <si>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</si>
  <si>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</si>
  <si>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</si>
  <si>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</si>
  <si>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</si>
  <si>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</si>
  <si>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</si>
  <si>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</si>
  <si>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</si>
  <si>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</si>
  <si>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</si>
  <si>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</si>
  <si>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</si>
  <si>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</si>
  <si>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</si>
  <si>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</si>
  <si>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</si>
  <si>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</si>
  <si>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</si>
  <si>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</si>
  <si>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</si>
  <si>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</si>
  <si>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</si>
  <si>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</si>
  <si>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</si>
  <si>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</si>
  <si>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</si>
  <si>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</si>
  <si>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</si>
  <si>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</si>
  <si>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</si>
  <si>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</si>
  <si>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</si>
  <si>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</si>
  <si>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</si>
  <si>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</si>
  <si>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</si>
  <si>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</si>
  <si>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</si>
  <si>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</si>
  <si>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</si>
  <si>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</si>
  <si>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</si>
  <si>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</si>
  <si>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</si>
  <si>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</si>
  <si>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</si>
  <si>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</si>
  <si>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</si>
  <si>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</si>
  <si>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</si>
  <si>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</si>
  <si>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</si>
  <si>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</si>
  <si>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</si>
  <si>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</si>
  <si>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</si>
  <si>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</si>
  <si>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</si>
  <si>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</si>
  <si>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</si>
  <si>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</si>
  <si>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</si>
  <si>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</si>
  <si>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</si>
  <si>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</si>
  <si>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</si>
  <si>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</si>
  <si>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</si>
  <si>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</si>
  <si>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</si>
  <si>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</si>
  <si>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</si>
  <si>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</si>
  <si>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</si>
  <si>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</si>
  <si>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</si>
  <si>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</si>
  <si>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</si>
  <si>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</si>
  <si>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</si>
  <si>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</si>
  <si>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</si>
  <si>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</si>
  <si>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</si>
  <si>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</si>
  <si>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</si>
  <si>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</si>
  <si>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</si>
  <si>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</si>
  <si>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</si>
  <si>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</si>
  <si>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</si>
  <si>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</si>
  <si>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</si>
  <si>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</si>
  <si>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</si>
  <si>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</si>
  <si>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</si>
  <si>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</si>
  <si>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</si>
  <si>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</si>
  <si>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</si>
  <si>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</si>
  <si>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</si>
  <si>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</si>
  <si>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</si>
  <si>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</si>
  <si>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</si>
  <si>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</si>
  <si>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</si>
  <si>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</si>
  <si>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</si>
  <si>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</si>
  <si>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</si>
  <si>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</si>
  <si>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</si>
  <si>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</si>
  <si>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</si>
  <si>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</si>
  <si>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</si>
  <si>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</si>
  <si>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</si>
  <si>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</si>
  <si>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</si>
  <si>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</si>
  <si>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</si>
  <si>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</si>
  <si>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</si>
  <si>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</si>
  <si>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</si>
  <si>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</si>
  <si>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</si>
  <si>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</si>
  <si>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</si>
  <si>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</si>
  <si>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</si>
  <si>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</si>
  <si>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</si>
  <si>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</si>
  <si>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</si>
  <si>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</si>
  <si>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</si>
  <si>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</si>
  <si>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</si>
  <si>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</si>
  <si>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</si>
  <si>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</si>
  <si>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</si>
  <si>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</si>
  <si>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</si>
  <si>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</si>
  <si>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</si>
  <si>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</si>
  <si>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</si>
  <si>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</si>
  <si>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</si>
  <si>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</si>
  <si>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</si>
  <si>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</si>
  <si>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</si>
  <si>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</si>
  <si>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</si>
  <si>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</si>
  <si>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</si>
  <si>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</si>
  <si>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</si>
  <si>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</si>
  <si>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</si>
  <si>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</si>
  <si>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</si>
  <si>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</si>
  <si>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</si>
  <si>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</si>
  <si>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</si>
  <si>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</si>
  <si>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</si>
  <si>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</si>
  <si>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</si>
  <si>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</si>
  <si>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</si>
  <si>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</si>
  <si>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</si>
  <si>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</si>
  <si>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</si>
  <si>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</si>
  <si>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</si>
  <si>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</si>
  <si>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</si>
  <si>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</si>
  <si>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</si>
  <si>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</si>
  <si>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</si>
  <si>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</si>
  <si>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</si>
  <si>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</si>
  <si>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</si>
  <si>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</si>
  <si>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</si>
  <si>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</si>
  <si>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</si>
  <si>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</si>
  <si>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</si>
  <si>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</si>
  <si>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</si>
  <si>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</si>
  <si>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</si>
  <si>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</si>
  <si>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</si>
  <si>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</si>
  <si>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</si>
  <si>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</si>
  <si>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</si>
  <si>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</si>
  <si>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</si>
  <si>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</si>
  <si>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</si>
  <si>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</si>
  <si>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</si>
  <si>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</si>
  <si>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</si>
  <si>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</si>
  <si>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</si>
  <si>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</si>
  <si>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</si>
  <si>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</si>
  <si>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</si>
  <si>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</si>
  <si>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</si>
  <si>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</si>
  <si>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</si>
  <si>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</si>
  <si>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</si>
  <si>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</si>
  <si>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</si>
  <si>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</si>
  <si>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</si>
  <si>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</si>
  <si>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</si>
  <si>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</si>
  <si>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</si>
  <si>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</si>
  <si>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</si>
  <si>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</si>
  <si>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</si>
  <si>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</si>
  <si>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</si>
  <si>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</si>
  <si>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</si>
  <si>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</si>
  <si>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</si>
  <si>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</si>
  <si>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</si>
  <si>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</si>
  <si>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</si>
  <si>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</si>
  <si>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</si>
  <si>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</si>
  <si>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</si>
  <si>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</si>
  <si>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</si>
  <si>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</si>
  <si>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</si>
  <si>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</si>
  <si>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</si>
  <si>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</si>
  <si>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</si>
  <si>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</si>
  <si>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</si>
  <si>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</si>
  <si>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</si>
  <si>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</si>
  <si>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</si>
  <si>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</si>
  <si>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</si>
  <si>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</si>
  <si>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</si>
  <si>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</si>
  <si>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</si>
  <si>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</si>
  <si>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</si>
  <si>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</si>
  <si>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</si>
  <si>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</si>
  <si>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</si>
  <si>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</si>
  <si>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</si>
  <si>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</si>
  <si>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</si>
  <si>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</si>
  <si>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</si>
  <si>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</si>
  <si>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</si>
  <si>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</si>
  <si>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</si>
  <si>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</si>
  <si>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</si>
  <si>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</si>
  <si>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</si>
  <si>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</si>
  <si>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</si>
  <si>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</si>
  <si>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</si>
  <si>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</si>
  <si>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</si>
  <si>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</si>
  <si>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</si>
  <si>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</si>
  <si>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</si>
  <si>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</si>
  <si>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</si>
  <si>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</si>
  <si>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</si>
  <si>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</si>
  <si>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</si>
  <si>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</si>
  <si>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</si>
  <si>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</si>
  <si>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</si>
  <si>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</si>
  <si>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</si>
  <si>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</si>
  <si>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</si>
  <si>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</si>
  <si>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</si>
  <si>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</si>
  <si>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</si>
  <si>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</si>
  <si>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</si>
  <si>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</si>
  <si>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</si>
  <si>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</si>
  <si>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</si>
  <si>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</si>
  <si>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</si>
  <si>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</si>
  <si>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</si>
  <si>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</si>
  <si>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</si>
  <si>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</si>
  <si>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</si>
  <si>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</si>
  <si>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</si>
  <si>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</si>
  <si>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</si>
  <si>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</si>
  <si>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</si>
  <si>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</si>
  <si>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</si>
  <si>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</si>
  <si>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</si>
  <si>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</si>
  <si>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</si>
  <si>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</si>
  <si>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</si>
  <si>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</si>
  <si>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</si>
  <si>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</si>
  <si>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</si>
  <si>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</si>
  <si>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</si>
  <si>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</si>
  <si>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</si>
  <si>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</si>
  <si>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</si>
  <si>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</si>
  <si>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</si>
  <si>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</si>
  <si>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</si>
  <si>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</si>
  <si>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</si>
  <si>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</si>
  <si>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</si>
  <si>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</si>
  <si>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</si>
  <si>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</si>
  <si>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</si>
  <si>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</si>
  <si>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</si>
  <si>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</si>
  <si>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</si>
  <si>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</si>
  <si>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</si>
  <si>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</si>
  <si>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</si>
  <si>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</si>
  <si>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</si>
  <si>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</si>
  <si>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시티드 레그 컬</t>
    <phoneticPr fontId="29" type="noConversion"/>
  </si>
  <si>
    <t>[2026-10-26 사용자 결정 · 라잉 레그 컬에서 교체 · 8번 → 맨 끝] 옆 센터(걸어서 2~3분)의 시티드 레그 컬. 고관절이 굽어 햄스트링이 늘어난 위치에서 일한다 — 같은 사람 다리 비교(Maeo 2021)에서 라잉보다 비대가 컸다(대퇴이두 장두 · 반건양근). 옆 센터를 한 번만 가려고 카프 뒤 맨 끝에 두고 거기서 끝낸다. 이너 · 아우터 · 시티드 카프(무릎 굽힘 → 가자미근)는 햄스트링을 거의 안 써서 뒤로 가도 중량 손해가 적다. 무게는 라잉 50과 이어지지 않는다 — 첫날 10~12회 무게를 찾아 적는다. 드롭 · 미세 단계(핀)는 그대로. [셋업] 무릎 축을 기구 회전축에 맞춘다 · 허벅지 패드를 꽉 눌러 엉덩이가 들리지 않게 · 상체를 살짝 앞으로 숙이면 더 늘어난다 · 올라올 때 2초로 끝까지 편다. 수요일은 원 레그 라잉 컬 그대로 — 고관절 편 자세라 서로 다른 길이에서 자극한다.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</si>
  <si>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라잉 레그 컬 (본 센터 · 이동 없이) / 노르딕 햄 컬 (맨몸)</t>
    <phoneticPr fontId="29" type="noConversion"/>
  </si>
  <si>
    <t>원 레그 라잉 컬</t>
    <phoneticPr fontId="29" type="noConversion"/>
  </si>
  <si>
    <t>[2026-10-26 이름 정정 — 실제로 라잉 기구에서 한 다리씩 · 토요일은 옆 센터 시티드로 바뀌었고 여기는 라잉 그대로(고관절 편 자세 · 다른 길이)]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</si>
  <si>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원 레그 시티드 컬 (옆 센터) / 라잉 레그 컬 (양측 — 편측 자리가 없을 때) / 노르딕 햄 컬 (맨몸)</t>
    <phoneticPr fontId="29" type="noConversion"/>
  </si>
  <si>
    <t>직접 12세트: 토요일 시티드 레그 컬 6(양측 · 중량 · 2026-10-26 4 → 6 · 같은 날 라잉 → 시티드 · 옆 센터 · 맨 끝)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</si>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</sst>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1522</v>
      </c>
    </row>
    <row r="11" spans="1:6" ht="15" customHeight="1">
      <c r="A11" s="141" t="s">
        <v>1551</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1552</v>
      </c>
    </row>
    <row r="13" spans="1:6" ht="15" customHeight="1">
      <c r="A13" s="141" t="s">
        <v>374</v>
      </c>
      <c r="B13" s="141" t="s">
        <v>27</v>
      </c>
      <c r="C13" s="101" t="s">
        <v>27</v>
      </c>
      <c r="D13" s="102">
        <v>160</v>
      </c>
      <c r="E13" s="142">
        <f>IF($C$4&lt;증량기록!$F$11,D13,INDEX(증량기록!$R$22:$R$51,MAX(1,MIN(30,$C$4-5))))</f>
        <v>160</v>
      </c>
      <c r="F13" s="101" t="s">
        <v>1569</v>
      </c>
    </row>
    <row r="14" spans="1:6" ht="15" customHeight="1">
      <c r="A14" s="141" t="s">
        <v>1065</v>
      </c>
      <c r="B14" s="141" t="s">
        <v>27</v>
      </c>
      <c r="C14" s="101" t="s">
        <v>27</v>
      </c>
      <c r="D14" s="102">
        <v>140</v>
      </c>
      <c r="E14" s="142">
        <f>IF($C$4&lt;증량기록!$F$12,D14,INDEX(증량기록!$T$22:$T$51,MAX(1,MIN(30,$C$4-5))))</f>
        <v>140</v>
      </c>
      <c r="F14" s="101" t="s">
        <v>1569</v>
      </c>
    </row>
    <row r="15" spans="1:6" ht="15" customHeight="1">
      <c r="A15" s="141" t="s">
        <v>559</v>
      </c>
      <c r="B15" s="141" t="s">
        <v>27</v>
      </c>
      <c r="C15" s="101" t="s">
        <v>27</v>
      </c>
      <c r="D15" s="102">
        <v>50</v>
      </c>
      <c r="E15" s="142">
        <f>IF($C$4&lt;증량기록!$F$13,D15,INDEX(증량기록!$V$22:$V$51,MAX(1,MIN(30,$C$4-5))))</f>
        <v>50</v>
      </c>
      <c r="F15" s="101" t="s">
        <v>1552</v>
      </c>
    </row>
    <row r="16" spans="1:6" ht="15" customHeight="1">
      <c r="A16" s="141" t="s">
        <v>556</v>
      </c>
      <c r="B16" s="141" t="s">
        <v>27</v>
      </c>
      <c r="C16" s="101" t="s">
        <v>27</v>
      </c>
      <c r="D16" s="102">
        <v>25</v>
      </c>
      <c r="E16" s="142">
        <f>IF($C$4&lt;증량기록!$F$14,D16,INDEX(증량기록!$X$22:$X$51,MAX(1,MIN(30,$C$4-5))))</f>
        <v>25</v>
      </c>
      <c r="F16" s="101" t="s">
        <v>1582</v>
      </c>
    </row>
    <row r="17" spans="1:6" ht="15" customHeight="1">
      <c r="A17" s="141" t="s">
        <v>417</v>
      </c>
      <c r="B17" s="141" t="s">
        <v>27</v>
      </c>
      <c r="C17" s="101" t="s">
        <v>27</v>
      </c>
      <c r="D17" s="102">
        <v>25</v>
      </c>
      <c r="E17" s="142">
        <f>IF($C$4&lt;증량기록!$F$15,D17,INDEX(증량기록!$Z$22:$Z$51,MAX(1,MIN(30,$C$4-5))))</f>
        <v>25</v>
      </c>
      <c r="F17" s="101" t="s">
        <v>1587</v>
      </c>
    </row>
    <row r="18" spans="1:6" ht="15" customHeight="1">
      <c r="A18" s="141" t="s">
        <v>1592</v>
      </c>
      <c r="B18" s="141" t="s">
        <v>27</v>
      </c>
      <c r="C18" s="101" t="s">
        <v>27</v>
      </c>
      <c r="D18" s="102">
        <v>50</v>
      </c>
      <c r="E18" s="142">
        <f>IF($C$4&lt;증량기록!$F$16,D18,INDEX(증량기록!$AB$22:$AB$51,MAX(1,MIN(30,$C$4-5))))</f>
        <v>50</v>
      </c>
      <c r="F18" s="101" t="s">
        <v>1587</v>
      </c>
    </row>
    <row r="19" spans="1:6" ht="15" customHeight="1">
      <c r="A19" s="141" t="s">
        <v>1654</v>
      </c>
      <c r="B19" s="141" t="s">
        <v>27</v>
      </c>
      <c r="C19" s="101" t="s">
        <v>27</v>
      </c>
      <c r="D19" s="102">
        <v>0</v>
      </c>
      <c r="E19" s="142">
        <f>IF($C$4&lt;증량기록!$F$17,D19,INDEX(증량기록!$AD$22:$AD$51,MAX(1,MIN(30,$C$4-5))))</f>
        <v>0</v>
      </c>
      <c r="F19" s="101" t="s">
        <v>1597</v>
      </c>
    </row>
    <row r="20" spans="1:6" ht="15" customHeight="1">
      <c r="A20" s="141" t="s">
        <v>588</v>
      </c>
      <c r="B20" s="141" t="s">
        <v>27</v>
      </c>
      <c r="C20" s="101" t="s">
        <v>27</v>
      </c>
      <c r="D20" s="102">
        <v>15</v>
      </c>
      <c r="E20" s="142">
        <f>IF($C$4&lt;증량기록!$F$18,D20,INDEX(증량기록!$AF$22:$AF$51,MAX(1,MIN(30,$C$4-5))))</f>
        <v>15</v>
      </c>
      <c r="F20" s="101" t="s">
        <v>1569</v>
      </c>
    </row>
    <row r="21" spans="1:6" ht="15" customHeight="1">
      <c r="A21" s="141" t="s">
        <v>439</v>
      </c>
      <c r="B21" s="141" t="s">
        <v>27</v>
      </c>
      <c r="C21" s="101" t="s">
        <v>27</v>
      </c>
      <c r="D21" s="102">
        <v>15</v>
      </c>
      <c r="E21" s="142">
        <f>IF($C$4&lt;증량기록!$F$19,D21,INDEX(증량기록!$AH$22:$AH$51,MAX(1,MIN(30,$C$4-5))))</f>
        <v>15</v>
      </c>
      <c r="F21" s="101" t="s">
        <v>1605</v>
      </c>
    </row>
    <row r="22" spans="1:6" ht="15" customHeight="1">
      <c r="A22" s="141" t="s">
        <v>1609</v>
      </c>
      <c r="B22" s="141" t="s">
        <v>27</v>
      </c>
      <c r="C22" s="101" t="s">
        <v>27</v>
      </c>
      <c r="D22" s="102">
        <v>40</v>
      </c>
      <c r="E22" s="142">
        <f>IF($C$4&lt;증량기록!$F$20,D22,INDEX(증량기록!$AJ$22:$AJ$51,MAX(1,MIN(30,$C$4-5))))</f>
        <v>40</v>
      </c>
      <c r="F22" s="101" t="s">
        <v>1610</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1239</v>
      </c>
    </row>
    <row r="72" spans="1:5">
      <c r="A72" t="s">
        <v>130</v>
      </c>
      <c r="C72" s="100">
        <v>46298</v>
      </c>
      <c r="D72" t="s">
        <v>1240</v>
      </c>
    </row>
    <row r="73" spans="1:5">
      <c r="A73" t="s">
        <v>131</v>
      </c>
      <c r="C73">
        <v>11</v>
      </c>
      <c r="D73" t="s">
        <v>132</v>
      </c>
    </row>
    <row r="74" spans="1:5">
      <c r="A74" t="s">
        <v>133</v>
      </c>
      <c r="C74">
        <v>1</v>
      </c>
      <c r="D74" t="s">
        <v>134</v>
      </c>
    </row>
    <row r="75" spans="1:5">
      <c r="A75" t="s">
        <v>1289</v>
      </c>
      <c r="C75" s="100">
        <v>46312</v>
      </c>
      <c r="D75" t="s">
        <v>1294</v>
      </c>
    </row>
    <row r="76" spans="1:5">
      <c r="A76" t="s">
        <v>1292</v>
      </c>
      <c r="C76" s="133">
        <v>7</v>
      </c>
      <c r="D76" t="s">
        <v>1293</v>
      </c>
    </row>
    <row r="77" spans="1:5">
      <c r="A77" t="s">
        <v>135</v>
      </c>
      <c r="C77" s="100">
        <v>46266</v>
      </c>
      <c r="D77" t="s">
        <v>136</v>
      </c>
    </row>
    <row r="78" spans="1:5">
      <c r="A78" t="s">
        <v>137</v>
      </c>
    </row>
    <row r="79" spans="1:5">
      <c r="A79" t="s">
        <v>138</v>
      </c>
    </row>
    <row r="80" spans="1:5">
      <c r="A80" t="s">
        <v>139</v>
      </c>
    </row>
    <row r="81" spans="1:1">
      <c r="A81" t="s">
        <v>1290</v>
      </c>
    </row>
    <row r="82" spans="1:1">
      <c r="A82" t="s">
        <v>140</v>
      </c>
    </row>
    <row r="83" spans="1:1">
      <c r="A83" t="s">
        <v>141</v>
      </c>
    </row>
    <row r="84" spans="1:1">
      <c r="A84" t="s">
        <v>1241</v>
      </c>
    </row>
    <row r="85" spans="1:1">
      <c r="A85" t="s">
        <v>1243</v>
      </c>
    </row>
    <row r="86" spans="1:1">
      <c r="A86" t="s">
        <v>1432</v>
      </c>
    </row>
    <row r="87" spans="1:1">
      <c r="A87" t="s">
        <v>1523</v>
      </c>
    </row>
    <row r="88" spans="1:1">
      <c r="A88" t="s">
        <v>1561</v>
      </c>
    </row>
    <row r="89" spans="1:1">
      <c r="A89" t="s">
        <v>1600</v>
      </c>
    </row>
    <row r="90" spans="1:1">
      <c r="A90" t="s">
        <v>1615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1553</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1554</v>
      </c>
      <c r="C9" s="143">
        <v>1</v>
      </c>
      <c r="D9" s="63" t="s">
        <v>1555</v>
      </c>
      <c r="E9">
        <v>1</v>
      </c>
      <c r="F9">
        <v>13</v>
      </c>
    </row>
    <row r="10" spans="1:8" ht="84" customHeight="1">
      <c r="A10" s="64" t="s">
        <v>1556</v>
      </c>
      <c r="C10" s="143">
        <v>1</v>
      </c>
      <c r="D10" s="63" t="s">
        <v>1557</v>
      </c>
      <c r="E10">
        <v>1</v>
      </c>
      <c r="F10">
        <v>13</v>
      </c>
    </row>
    <row r="11" spans="1:8" ht="84" customHeight="1">
      <c r="A11" s="64" t="s">
        <v>1570</v>
      </c>
      <c r="C11" s="143">
        <v>2</v>
      </c>
      <c r="D11" s="63" t="s">
        <v>1571</v>
      </c>
      <c r="E11">
        <v>1</v>
      </c>
      <c r="F11">
        <v>13</v>
      </c>
    </row>
    <row r="12" spans="1:8" ht="84" customHeight="1">
      <c r="A12" s="64" t="s">
        <v>1574</v>
      </c>
      <c r="C12" s="143">
        <v>2</v>
      </c>
      <c r="D12" s="63" t="s">
        <v>1575</v>
      </c>
      <c r="E12">
        <v>2</v>
      </c>
      <c r="F12">
        <v>13</v>
      </c>
    </row>
    <row r="13" spans="1:8" ht="84" customHeight="1">
      <c r="A13" s="64" t="s">
        <v>1578</v>
      </c>
      <c r="C13" s="143">
        <v>1</v>
      </c>
      <c r="D13" s="63" t="s">
        <v>1579</v>
      </c>
      <c r="E13">
        <v>2</v>
      </c>
      <c r="F13">
        <v>13</v>
      </c>
    </row>
    <row r="14" spans="1:8" ht="84" customHeight="1">
      <c r="A14" s="64" t="s">
        <v>1583</v>
      </c>
      <c r="C14" s="143">
        <v>1</v>
      </c>
      <c r="D14" s="63" t="s">
        <v>1584</v>
      </c>
      <c r="E14">
        <v>2</v>
      </c>
      <c r="F14">
        <v>13</v>
      </c>
    </row>
    <row r="15" spans="1:8" ht="84" customHeight="1">
      <c r="A15" s="64" t="s">
        <v>1588</v>
      </c>
      <c r="C15" s="143">
        <v>1</v>
      </c>
      <c r="D15" s="63" t="s">
        <v>1589</v>
      </c>
      <c r="E15">
        <v>3</v>
      </c>
      <c r="F15">
        <v>13</v>
      </c>
    </row>
    <row r="16" spans="1:8" ht="84" customHeight="1">
      <c r="A16" s="64" t="s">
        <v>1593</v>
      </c>
      <c r="C16" s="143">
        <v>1</v>
      </c>
      <c r="D16" s="63" t="s">
        <v>1594</v>
      </c>
      <c r="E16">
        <v>2</v>
      </c>
      <c r="F16">
        <v>13</v>
      </c>
    </row>
    <row r="17" spans="1:37" ht="84" customHeight="1">
      <c r="A17" s="64" t="s">
        <v>1598</v>
      </c>
      <c r="C17" s="143">
        <v>1</v>
      </c>
      <c r="D17" s="63" t="s">
        <v>1655</v>
      </c>
      <c r="E17">
        <v>2</v>
      </c>
      <c r="F17">
        <v>13</v>
      </c>
    </row>
    <row r="18" spans="1:37" ht="84" customHeight="1">
      <c r="A18" s="64" t="s">
        <v>1601</v>
      </c>
      <c r="C18" s="143">
        <v>1</v>
      </c>
      <c r="D18" s="63" t="s">
        <v>1602</v>
      </c>
      <c r="E18">
        <v>3</v>
      </c>
      <c r="F18">
        <v>13</v>
      </c>
    </row>
    <row r="19" spans="1:37" ht="84" customHeight="1">
      <c r="A19" s="64" t="s">
        <v>1606</v>
      </c>
      <c r="C19" s="143">
        <v>1</v>
      </c>
      <c r="D19" s="63" t="s">
        <v>1602</v>
      </c>
      <c r="E19">
        <v>3</v>
      </c>
      <c r="F19">
        <v>13</v>
      </c>
    </row>
    <row r="20" spans="1:37" ht="84" customHeight="1">
      <c r="A20" s="64" t="s">
        <v>1611</v>
      </c>
      <c r="C20" s="143">
        <v>1</v>
      </c>
      <c r="D20" s="63" t="s">
        <v>1612</v>
      </c>
      <c r="E20">
        <v>1</v>
      </c>
      <c r="F20">
        <v>13</v>
      </c>
    </row>
    <row r="21" spans="1:37" ht="15" customHeight="1">
      <c r="A21" s="5" t="s">
        <v>114</v>
      </c>
      <c r="B21" s="5" t="s">
        <v>1242</v>
      </c>
      <c r="C21" s="5" t="s">
        <v>817</v>
      </c>
      <c r="D21" s="5" t="s">
        <v>818</v>
      </c>
      <c r="E21" s="5" t="s">
        <v>819</v>
      </c>
      <c r="F21" s="5" t="s">
        <v>818</v>
      </c>
      <c r="G21" s="5" t="s">
        <v>820</v>
      </c>
      <c r="H21" s="5" t="s">
        <v>818</v>
      </c>
      <c r="I21" s="5" t="s">
        <v>821</v>
      </c>
      <c r="J21" s="5" t="s">
        <v>818</v>
      </c>
      <c r="K21" s="5" t="s">
        <v>261</v>
      </c>
      <c r="L21" s="87" t="s">
        <v>822</v>
      </c>
      <c r="M21" s="87" t="s">
        <v>823</v>
      </c>
      <c r="N21" s="5" t="s">
        <v>1558</v>
      </c>
      <c r="O21" s="5" t="s">
        <v>1559</v>
      </c>
      <c r="P21" s="5" t="s">
        <v>1560</v>
      </c>
      <c r="Q21" s="5" t="s">
        <v>1559</v>
      </c>
      <c r="R21" s="5" t="s">
        <v>1572</v>
      </c>
      <c r="S21" s="5" t="s">
        <v>1559</v>
      </c>
      <c r="T21" s="5" t="s">
        <v>1576</v>
      </c>
      <c r="U21" s="5" t="s">
        <v>1559</v>
      </c>
      <c r="V21" s="5" t="s">
        <v>1580</v>
      </c>
      <c r="W21" s="5" t="s">
        <v>1559</v>
      </c>
      <c r="X21" s="5" t="s">
        <v>1585</v>
      </c>
      <c r="Y21" s="5" t="s">
        <v>1559</v>
      </c>
      <c r="Z21" s="5" t="s">
        <v>1590</v>
      </c>
      <c r="AA21" s="5" t="s">
        <v>1559</v>
      </c>
      <c r="AB21" s="5" t="s">
        <v>1595</v>
      </c>
      <c r="AC21" s="5" t="s">
        <v>1559</v>
      </c>
      <c r="AD21" s="5" t="s">
        <v>1599</v>
      </c>
      <c r="AE21" s="5" t="s">
        <v>1559</v>
      </c>
      <c r="AF21" s="5" t="s">
        <v>1603</v>
      </c>
      <c r="AG21" s="5" t="s">
        <v>1559</v>
      </c>
      <c r="AH21" s="5" t="s">
        <v>1607</v>
      </c>
      <c r="AI21" s="5" t="s">
        <v>1559</v>
      </c>
      <c r="AJ21" s="5" t="s">
        <v>1613</v>
      </c>
      <c r="AK21" s="5" t="s">
        <v>1559</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6"/>
  <sheetViews>
    <sheetView topLeftCell="A25" workbookViewId="0">
      <selection activeCell="A80" sqref="A80"/>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1648</v>
      </c>
      <c r="G6" s="115" t="s">
        <v>1380</v>
      </c>
    </row>
    <row r="7" spans="1:7" ht="30" customHeight="1">
      <c r="A7" s="114" t="s">
        <v>902</v>
      </c>
      <c r="B7" s="120" t="s">
        <v>903</v>
      </c>
      <c r="C7" s="114" t="s">
        <v>896</v>
      </c>
      <c r="D7" s="115" t="s">
        <v>904</v>
      </c>
      <c r="E7" s="121">
        <f>복귀_일_수평당기기!$E$23</f>
        <v>39</v>
      </c>
      <c r="F7" s="114" t="s">
        <v>1549</v>
      </c>
      <c r="G7" s="115" t="s">
        <v>1634</v>
      </c>
    </row>
    <row r="8" spans="1:7" ht="30" customHeight="1">
      <c r="A8" s="114" t="s">
        <v>905</v>
      </c>
      <c r="B8" s="120" t="s">
        <v>906</v>
      </c>
      <c r="C8" s="114" t="s">
        <v>896</v>
      </c>
      <c r="D8" s="115" t="s">
        <v>1464</v>
      </c>
      <c r="E8" s="121">
        <f>복귀_월_가슴!$E$29</f>
        <v>37</v>
      </c>
      <c r="F8" s="114" t="s">
        <v>1548</v>
      </c>
      <c r="G8" s="115" t="s">
        <v>1465</v>
      </c>
    </row>
    <row r="9" spans="1:7" ht="30" customHeight="1">
      <c r="A9" s="114" t="s">
        <v>907</v>
      </c>
      <c r="B9" s="120" t="s">
        <v>908</v>
      </c>
      <c r="C9" s="114" t="s">
        <v>896</v>
      </c>
      <c r="D9" s="115" t="s">
        <v>1466</v>
      </c>
      <c r="E9" s="121">
        <f>복귀_화_팔!$E$24</f>
        <v>43</v>
      </c>
      <c r="F9" s="114" t="s">
        <v>1651</v>
      </c>
      <c r="G9" s="115" t="s">
        <v>1467</v>
      </c>
    </row>
    <row r="10" spans="1:7" ht="30" customHeight="1">
      <c r="A10" s="114" t="s">
        <v>909</v>
      </c>
      <c r="B10" s="120" t="s">
        <v>910</v>
      </c>
      <c r="C10" s="114" t="s">
        <v>896</v>
      </c>
      <c r="D10" s="115" t="s">
        <v>911</v>
      </c>
      <c r="E10" s="121">
        <f>복귀_수_하체후면!$E$39</f>
        <v>34</v>
      </c>
      <c r="F10" s="114" t="s">
        <v>1549</v>
      </c>
      <c r="G10" s="115" t="s">
        <v>1430</v>
      </c>
    </row>
    <row r="11" spans="1:7" ht="30" customHeight="1">
      <c r="A11" s="114" t="s">
        <v>912</v>
      </c>
      <c r="B11" s="120" t="s">
        <v>913</v>
      </c>
      <c r="C11" s="114" t="s">
        <v>896</v>
      </c>
      <c r="D11" s="115" t="s">
        <v>914</v>
      </c>
      <c r="E11" s="121">
        <f>복귀_목_수직당기기!$E$25</f>
        <v>42</v>
      </c>
      <c r="F11" s="114" t="s">
        <v>1447</v>
      </c>
      <c r="G11" s="115" t="s">
        <v>1567</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1649</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1238</v>
      </c>
    </row>
    <row r="44" spans="1:1">
      <c r="A44" s="126" t="s">
        <v>1252</v>
      </c>
    </row>
    <row r="45" spans="1:1">
      <c r="A45" s="126" t="s">
        <v>1284</v>
      </c>
    </row>
    <row r="46" spans="1:1">
      <c r="A46" s="126" t="s">
        <v>1287</v>
      </c>
    </row>
    <row r="47" spans="1:1">
      <c r="A47" s="126" t="s">
        <v>1303</v>
      </c>
    </row>
    <row r="48" spans="1:1">
      <c r="A48" s="126" t="s">
        <v>1314</v>
      </c>
    </row>
    <row r="49" spans="1:1">
      <c r="A49" s="126" t="s">
        <v>1324</v>
      </c>
    </row>
    <row r="50" spans="1:1">
      <c r="A50" s="126" t="s">
        <v>1332</v>
      </c>
    </row>
    <row r="51" spans="1:1">
      <c r="A51" s="126" t="s">
        <v>1342</v>
      </c>
    </row>
    <row r="52" spans="1:1">
      <c r="A52" s="126" t="s">
        <v>1349</v>
      </c>
    </row>
    <row r="53" spans="1:1">
      <c r="A53" s="126" t="s">
        <v>1351</v>
      </c>
    </row>
    <row r="54" spans="1:1">
      <c r="A54" s="126" t="s">
        <v>1373</v>
      </c>
    </row>
    <row r="55" spans="1:1">
      <c r="A55" s="126" t="s">
        <v>1374</v>
      </c>
    </row>
    <row r="56" spans="1:1">
      <c r="A56" s="126" t="s">
        <v>1381</v>
      </c>
    </row>
    <row r="57" spans="1:1">
      <c r="A57" s="126" t="s">
        <v>1383</v>
      </c>
    </row>
    <row r="58" spans="1:1">
      <c r="A58" s="126" t="s">
        <v>1390</v>
      </c>
    </row>
    <row r="59" spans="1:1">
      <c r="A59" s="126" t="s">
        <v>1419</v>
      </c>
    </row>
    <row r="60" spans="1:1">
      <c r="A60" s="126" t="s">
        <v>1423</v>
      </c>
    </row>
    <row r="61" spans="1:1">
      <c r="A61" s="126" t="s">
        <v>1431</v>
      </c>
    </row>
    <row r="62" spans="1:1">
      <c r="A62" s="126" t="s">
        <v>1436</v>
      </c>
    </row>
    <row r="63" spans="1:1">
      <c r="A63" s="126" t="s">
        <v>1442</v>
      </c>
    </row>
    <row r="64" spans="1:1">
      <c r="A64" s="126" t="s">
        <v>1443</v>
      </c>
    </row>
    <row r="65" spans="1:1">
      <c r="A65" s="126" t="s">
        <v>1448</v>
      </c>
    </row>
    <row r="66" spans="1:1">
      <c r="A66" s="126" t="s">
        <v>1454</v>
      </c>
    </row>
    <row r="67" spans="1:1">
      <c r="A67" s="126" t="s">
        <v>1472</v>
      </c>
    </row>
    <row r="68" spans="1:1">
      <c r="A68" s="126" t="s">
        <v>1477</v>
      </c>
    </row>
    <row r="69" spans="1:1">
      <c r="A69" s="126" t="s">
        <v>1489</v>
      </c>
    </row>
    <row r="70" spans="1:1">
      <c r="A70" s="126" t="s">
        <v>1496</v>
      </c>
    </row>
    <row r="71" spans="1:1">
      <c r="A71" s="126" t="s">
        <v>1501</v>
      </c>
    </row>
    <row r="72" spans="1:1">
      <c r="A72" s="126" t="s">
        <v>1503</v>
      </c>
    </row>
    <row r="73" spans="1:1">
      <c r="A73" s="126" t="s">
        <v>1509</v>
      </c>
    </row>
    <row r="74" spans="1:1">
      <c r="A74" s="126" t="s">
        <v>1537</v>
      </c>
    </row>
    <row r="75" spans="1:1">
      <c r="A75" s="126" t="s">
        <v>1550</v>
      </c>
    </row>
    <row r="76" spans="1:1">
      <c r="A76" s="126" t="s">
        <v>1635</v>
      </c>
    </row>
    <row r="77" spans="1:1">
      <c r="A77" s="126" t="s">
        <v>1650</v>
      </c>
    </row>
    <row r="78" spans="1:1">
      <c r="A78" s="126" t="s">
        <v>1657</v>
      </c>
    </row>
    <row r="79" spans="1:1">
      <c r="A79" s="126" t="s">
        <v>1665</v>
      </c>
    </row>
    <row r="80" spans="1:1">
      <c r="A80" s="126" t="s">
        <v>1673</v>
      </c>
    </row>
    <row r="81" spans="1:1">
      <c r="A81" s="107" t="s">
        <v>943</v>
      </c>
    </row>
    <row r="82" spans="1:1">
      <c r="A82" s="123" t="s">
        <v>944</v>
      </c>
    </row>
    <row r="83" spans="1:1">
      <c r="A83" s="123" t="s">
        <v>945</v>
      </c>
    </row>
    <row r="84" spans="1:1">
      <c r="A84" s="123" t="s">
        <v>946</v>
      </c>
    </row>
    <row r="85" spans="1:1">
      <c r="A85" s="123" t="s">
        <v>947</v>
      </c>
    </row>
    <row r="87" spans="1:1">
      <c r="A87" s="107" t="s">
        <v>948</v>
      </c>
    </row>
    <row r="88" spans="1:1">
      <c r="A88" s="123" t="s">
        <v>949</v>
      </c>
    </row>
    <row r="89" spans="1:1">
      <c r="A89" s="123" t="s">
        <v>950</v>
      </c>
    </row>
    <row r="90" spans="1:1">
      <c r="A90" s="123" t="s">
        <v>951</v>
      </c>
    </row>
    <row r="91" spans="1:1">
      <c r="A91" s="123" t="s">
        <v>952</v>
      </c>
    </row>
    <row r="92" spans="1:1">
      <c r="A92" s="123" t="s">
        <v>953</v>
      </c>
    </row>
    <row r="94" spans="1:1">
      <c r="A94" s="107" t="s">
        <v>954</v>
      </c>
    </row>
    <row r="95" spans="1:1">
      <c r="A95" s="123" t="s">
        <v>1652</v>
      </c>
    </row>
    <row r="96" spans="1:1">
      <c r="A96" s="123" t="s">
        <v>1468</v>
      </c>
    </row>
    <row r="97" spans="1:1">
      <c r="A97" s="123" t="s">
        <v>955</v>
      </c>
    </row>
    <row r="98" spans="1:1">
      <c r="A98" s="123" t="s">
        <v>1435</v>
      </c>
    </row>
    <row r="99" spans="1:1">
      <c r="A99" s="123" t="s">
        <v>1313</v>
      </c>
    </row>
    <row r="100" spans="1:1">
      <c r="A100" s="123" t="s">
        <v>1407</v>
      </c>
    </row>
    <row r="102" spans="1:1">
      <c r="A102" s="107" t="s">
        <v>956</v>
      </c>
    </row>
    <row r="103" spans="1:1">
      <c r="A103" s="123" t="s">
        <v>1408</v>
      </c>
    </row>
    <row r="104" spans="1:1">
      <c r="A104" s="123" t="s">
        <v>957</v>
      </c>
    </row>
    <row r="105" spans="1:1">
      <c r="A105" s="123" t="s">
        <v>958</v>
      </c>
    </row>
    <row r="106" spans="1:1">
      <c r="A106"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29"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1573</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1429</v>
      </c>
      <c r="K22" s="115" t="s">
        <v>583</v>
      </c>
      <c r="L22" s="114"/>
      <c r="M22" s="114"/>
      <c r="N22" s="114"/>
    </row>
    <row r="23" spans="1:14" ht="30" customHeight="1">
      <c r="A23" s="114">
        <v>4</v>
      </c>
      <c r="B23" s="115" t="s">
        <v>1375</v>
      </c>
      <c r="C23" s="114" t="s">
        <v>354</v>
      </c>
      <c r="D23" s="114">
        <v>20</v>
      </c>
      <c r="E23" s="114">
        <v>3</v>
      </c>
      <c r="F23" s="114" t="s">
        <v>350</v>
      </c>
      <c r="G23" s="114">
        <v>40</v>
      </c>
      <c r="H23" s="114">
        <v>90</v>
      </c>
      <c r="I23" s="114">
        <f t="shared" si="0"/>
        <v>6.5</v>
      </c>
      <c r="J23" s="115" t="s">
        <v>1424</v>
      </c>
      <c r="K23" s="115" t="s">
        <v>1376</v>
      </c>
      <c r="L23" s="114"/>
      <c r="M23" s="114"/>
      <c r="N23" s="114"/>
    </row>
    <row r="24" spans="1:14" ht="30" customHeight="1">
      <c r="A24" s="114">
        <v>5</v>
      </c>
      <c r="B24" s="135" t="s">
        <v>1433</v>
      </c>
      <c r="C24" s="114" t="s">
        <v>354</v>
      </c>
      <c r="D24" s="114">
        <v>8</v>
      </c>
      <c r="E24" s="114">
        <v>3</v>
      </c>
      <c r="F24" s="114" t="s">
        <v>289</v>
      </c>
      <c r="G24" s="114">
        <v>40</v>
      </c>
      <c r="H24" s="114">
        <v>60</v>
      </c>
      <c r="I24" s="114">
        <f t="shared" si="0"/>
        <v>6</v>
      </c>
      <c r="J24" s="115" t="s">
        <v>1377</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1382</v>
      </c>
      <c r="K25" s="115" t="s">
        <v>971</v>
      </c>
      <c r="L25" s="114"/>
      <c r="M25" s="114"/>
      <c r="N25" s="114">
        <v>60</v>
      </c>
    </row>
    <row r="26" spans="1:14" ht="30" customHeight="1">
      <c r="A26" s="114">
        <v>7</v>
      </c>
      <c r="B26" s="115" t="s">
        <v>1622</v>
      </c>
      <c r="C26" s="114" t="s">
        <v>285</v>
      </c>
      <c r="D26" s="114" t="s">
        <v>27</v>
      </c>
      <c r="E26" s="114">
        <v>2</v>
      </c>
      <c r="F26" s="145" t="s">
        <v>1494</v>
      </c>
      <c r="G26" s="114">
        <v>40</v>
      </c>
      <c r="H26" s="114">
        <v>60</v>
      </c>
      <c r="I26" s="114">
        <f>IF(E26=0,0,ROUND((E26*(G26+H26)+N26)/60,1))</f>
        <v>3.3</v>
      </c>
      <c r="J26" s="115" t="s">
        <v>1666</v>
      </c>
      <c r="K26" s="115" t="s">
        <v>1623</v>
      </c>
      <c r="L26" s="114"/>
      <c r="M26" s="114"/>
      <c r="N26" s="114"/>
    </row>
    <row r="27" spans="1:14" ht="30" customHeight="1">
      <c r="A27" s="114">
        <v>8</v>
      </c>
      <c r="B27" s="115" t="s">
        <v>387</v>
      </c>
      <c r="C27" s="114" t="s">
        <v>388</v>
      </c>
      <c r="D27" s="114">
        <v>41</v>
      </c>
      <c r="E27" s="114">
        <v>4</v>
      </c>
      <c r="F27" s="114" t="s">
        <v>289</v>
      </c>
      <c r="G27" s="114">
        <v>40</v>
      </c>
      <c r="H27" s="114">
        <v>10</v>
      </c>
      <c r="I27" s="114">
        <f t="shared" si="0"/>
        <v>3.3</v>
      </c>
      <c r="J27" s="115" t="s">
        <v>972</v>
      </c>
      <c r="K27" s="115" t="s">
        <v>973</v>
      </c>
      <c r="L27" s="114"/>
      <c r="M27" s="114" t="s">
        <v>391</v>
      </c>
      <c r="N27" s="114"/>
    </row>
    <row r="28" spans="1:14" ht="30" customHeight="1">
      <c r="A28" s="114">
        <v>9</v>
      </c>
      <c r="B28" s="115" t="s">
        <v>392</v>
      </c>
      <c r="C28" s="114" t="s">
        <v>393</v>
      </c>
      <c r="D28" s="114">
        <v>59</v>
      </c>
      <c r="E28" s="114">
        <v>4</v>
      </c>
      <c r="F28" s="114" t="s">
        <v>289</v>
      </c>
      <c r="G28" s="114">
        <v>40</v>
      </c>
      <c r="H28" s="114">
        <v>120</v>
      </c>
      <c r="I28" s="114">
        <f t="shared" si="0"/>
        <v>10.7</v>
      </c>
      <c r="J28" s="115" t="s">
        <v>974</v>
      </c>
      <c r="K28" s="115" t="s">
        <v>975</v>
      </c>
      <c r="L28" s="114"/>
      <c r="M28" s="114" t="s">
        <v>391</v>
      </c>
      <c r="N28" s="114"/>
    </row>
    <row r="29" spans="1:14" ht="30" customHeight="1">
      <c r="A29" s="114">
        <v>10</v>
      </c>
      <c r="B29" s="115" t="s">
        <v>488</v>
      </c>
      <c r="C29" s="114" t="s">
        <v>308</v>
      </c>
      <c r="D29" s="114">
        <v>16</v>
      </c>
      <c r="E29" s="114">
        <v>6</v>
      </c>
      <c r="F29" s="114" t="s">
        <v>289</v>
      </c>
      <c r="G29" s="114">
        <v>40</v>
      </c>
      <c r="H29" s="114">
        <v>75</v>
      </c>
      <c r="I29" s="114">
        <f t="shared" si="0"/>
        <v>11.5</v>
      </c>
      <c r="J29" s="115" t="s">
        <v>976</v>
      </c>
      <c r="K29" s="115" t="s">
        <v>977</v>
      </c>
      <c r="L29" s="114"/>
      <c r="M29" s="114"/>
      <c r="N29" s="114"/>
    </row>
    <row r="30" spans="1:14" ht="30" customHeight="1">
      <c r="A30" s="114">
        <v>11</v>
      </c>
      <c r="B30" s="115" t="s">
        <v>1658</v>
      </c>
      <c r="C30" s="114" t="s">
        <v>384</v>
      </c>
      <c r="D30" s="114" t="s">
        <v>27</v>
      </c>
      <c r="E30" s="114">
        <v>6</v>
      </c>
      <c r="F30" s="114" t="s">
        <v>350</v>
      </c>
      <c r="G30" s="114">
        <v>40</v>
      </c>
      <c r="H30" s="114">
        <v>120</v>
      </c>
      <c r="I30" s="114">
        <f>IF(E30=0,0,ROUND((E30*(G30+H30)+N30)/60,1))</f>
        <v>17.3</v>
      </c>
      <c r="J30" s="115" t="s">
        <v>1659</v>
      </c>
      <c r="K30" s="115" t="s">
        <v>1660</v>
      </c>
      <c r="L30" s="114"/>
      <c r="M30" s="114"/>
      <c r="N30" s="114">
        <v>75</v>
      </c>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1449</v>
      </c>
    </row>
    <row r="36" spans="1:1">
      <c r="A36" s="117" t="s">
        <v>1379</v>
      </c>
    </row>
    <row r="37" spans="1:1">
      <c r="A37" s="117" t="s">
        <v>980</v>
      </c>
    </row>
    <row r="38" spans="1:1">
      <c r="A38" s="117" t="s">
        <v>981</v>
      </c>
    </row>
    <row r="39" spans="1:1">
      <c r="A39" s="117" t="s">
        <v>982</v>
      </c>
    </row>
    <row r="41" spans="1:1">
      <c r="A41" s="107" t="s">
        <v>954</v>
      </c>
    </row>
    <row r="42" spans="1:1">
      <c r="A42" s="117" t="s">
        <v>1450</v>
      </c>
    </row>
    <row r="43" spans="1:1">
      <c r="A43" s="117" t="s">
        <v>983</v>
      </c>
    </row>
    <row r="44" spans="1:1">
      <c r="A44" s="117" t="s">
        <v>984</v>
      </c>
    </row>
    <row r="46" spans="1:1">
      <c r="A46" s="107" t="s">
        <v>985</v>
      </c>
    </row>
    <row r="47" spans="1:1">
      <c r="A47" s="117" t="s">
        <v>1451</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abSelected="1"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1497</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1310</v>
      </c>
      <c r="C11" s="114" t="s">
        <v>1490</v>
      </c>
      <c r="D11" s="144">
        <f>시작중량_설정!$E$11</f>
        <v>60</v>
      </c>
      <c r="E11" s="114">
        <v>4</v>
      </c>
      <c r="F11" s="114">
        <v>8</v>
      </c>
      <c r="G11" s="114">
        <v>40</v>
      </c>
      <c r="H11" s="114">
        <v>150</v>
      </c>
      <c r="I11" s="114">
        <f t="shared" ref="I11:I22" si="0">IF(E11=0,0,ROUND((E11*(G11+H11)+N11)/60,1))</f>
        <v>12.7</v>
      </c>
      <c r="J11" s="115" t="s">
        <v>1562</v>
      </c>
      <c r="K11" s="115" t="s">
        <v>1491</v>
      </c>
      <c r="L11" s="114" t="s">
        <v>1493</v>
      </c>
      <c r="M11" s="114"/>
      <c r="N11" s="114"/>
    </row>
    <row r="12" spans="1:14" ht="30" customHeight="1">
      <c r="A12" s="114">
        <v>2</v>
      </c>
      <c r="B12" s="115" t="s">
        <v>1478</v>
      </c>
      <c r="C12" s="114" t="s">
        <v>1490</v>
      </c>
      <c r="D12" s="114">
        <v>18</v>
      </c>
      <c r="E12" s="114">
        <v>3</v>
      </c>
      <c r="F12" s="114" t="s">
        <v>1494</v>
      </c>
      <c r="G12" s="114">
        <v>40</v>
      </c>
      <c r="H12" s="114">
        <v>150</v>
      </c>
      <c r="I12" s="114">
        <f t="shared" si="0"/>
        <v>9.5</v>
      </c>
      <c r="J12" s="134" t="s">
        <v>1495</v>
      </c>
      <c r="K12" s="115" t="s">
        <v>1479</v>
      </c>
      <c r="L12" s="114" t="s">
        <v>1492</v>
      </c>
      <c r="M12" s="114"/>
      <c r="N12" s="114"/>
    </row>
    <row r="13" spans="1:14" ht="30" customHeight="1">
      <c r="A13" s="114">
        <v>3</v>
      </c>
      <c r="B13" s="115" t="s">
        <v>1244</v>
      </c>
      <c r="C13" s="114" t="s">
        <v>1245</v>
      </c>
      <c r="D13" s="114">
        <v>55</v>
      </c>
      <c r="E13" s="114">
        <v>2</v>
      </c>
      <c r="F13" s="114" t="s">
        <v>1246</v>
      </c>
      <c r="G13" s="114">
        <v>40</v>
      </c>
      <c r="H13" s="114">
        <v>120</v>
      </c>
      <c r="I13" s="114">
        <f t="shared" ref="I13" si="1">IF(E13=0,0,ROUND((E13*(G13+H13)+N13)/60,1))</f>
        <v>5.3</v>
      </c>
      <c r="J13" s="115" t="s">
        <v>1507</v>
      </c>
      <c r="K13" s="115" t="s">
        <v>1247</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1434</v>
      </c>
      <c r="K14" s="115" t="s">
        <v>993</v>
      </c>
      <c r="L14" s="114"/>
      <c r="M14" s="114"/>
      <c r="N14" s="114"/>
    </row>
    <row r="15" spans="1:14" ht="30" customHeight="1">
      <c r="A15" s="114">
        <v>5</v>
      </c>
      <c r="B15" s="115" t="s">
        <v>1505</v>
      </c>
      <c r="C15" s="114" t="s">
        <v>282</v>
      </c>
      <c r="D15" s="144">
        <f>시작중량_설정!$E$18</f>
        <v>50</v>
      </c>
      <c r="E15" s="114">
        <v>3</v>
      </c>
      <c r="F15" s="114">
        <v>15</v>
      </c>
      <c r="G15" s="114">
        <v>40</v>
      </c>
      <c r="H15" s="114">
        <v>75</v>
      </c>
      <c r="I15" s="114">
        <f t="shared" si="0"/>
        <v>6.8</v>
      </c>
      <c r="J15" s="115" t="s">
        <v>1596</v>
      </c>
      <c r="K15" s="115" t="s">
        <v>1506</v>
      </c>
      <c r="L15" s="114"/>
      <c r="M15" s="114"/>
      <c r="N15" s="114">
        <v>60</v>
      </c>
    </row>
    <row r="16" spans="1:14" ht="30" customHeight="1">
      <c r="A16" s="114">
        <v>6</v>
      </c>
      <c r="B16" s="115" t="s">
        <v>1624</v>
      </c>
      <c r="C16" s="114" t="s">
        <v>267</v>
      </c>
      <c r="D16" s="144">
        <v>60</v>
      </c>
      <c r="E16" s="114">
        <v>3</v>
      </c>
      <c r="F16" s="114" t="s">
        <v>289</v>
      </c>
      <c r="G16" s="114">
        <v>40</v>
      </c>
      <c r="H16" s="114">
        <v>90</v>
      </c>
      <c r="I16" s="114">
        <f>IF(E16=0,0,ROUND((E16*(G16+H16)+N16)/60,1))</f>
        <v>6.5</v>
      </c>
      <c r="J16" s="115" t="s">
        <v>1625</v>
      </c>
      <c r="K16" s="115" t="s">
        <v>1626</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1438</v>
      </c>
      <c r="C18" s="114" t="s">
        <v>345</v>
      </c>
      <c r="D18" s="114">
        <v>20</v>
      </c>
      <c r="E18" s="114">
        <v>5</v>
      </c>
      <c r="F18" s="114" t="s">
        <v>274</v>
      </c>
      <c r="G18" s="114">
        <v>40</v>
      </c>
      <c r="H18" s="114">
        <v>75</v>
      </c>
      <c r="I18" s="114">
        <f t="shared" si="0"/>
        <v>10.6</v>
      </c>
      <c r="J18" s="115" t="s">
        <v>1544</v>
      </c>
      <c r="K18" s="115" t="s">
        <v>1439</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1616</v>
      </c>
      <c r="G20" s="114">
        <v>40</v>
      </c>
      <c r="H20" s="114">
        <v>10</v>
      </c>
      <c r="I20" s="114">
        <f t="shared" si="0"/>
        <v>2.5</v>
      </c>
      <c r="J20" s="115" t="s">
        <v>1617</v>
      </c>
      <c r="K20" s="115" t="s">
        <v>999</v>
      </c>
      <c r="L20" s="114"/>
      <c r="M20" s="114" t="s">
        <v>391</v>
      </c>
      <c r="N20" s="114"/>
    </row>
    <row r="21" spans="1:14" ht="30" customHeight="1">
      <c r="A21" s="114">
        <v>11</v>
      </c>
      <c r="B21" s="115" t="s">
        <v>594</v>
      </c>
      <c r="C21" s="114" t="s">
        <v>295</v>
      </c>
      <c r="D21" s="114">
        <v>15</v>
      </c>
      <c r="E21" s="114">
        <v>3</v>
      </c>
      <c r="F21" s="145" t="s">
        <v>1616</v>
      </c>
      <c r="G21" s="114">
        <v>40</v>
      </c>
      <c r="H21" s="114">
        <v>60</v>
      </c>
      <c r="I21" s="114">
        <f t="shared" si="0"/>
        <v>5</v>
      </c>
      <c r="J21" s="115" t="s">
        <v>1618</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1481</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1499</v>
      </c>
    </row>
    <row r="30" spans="1:14">
      <c r="A30" s="117" t="s">
        <v>1006</v>
      </c>
    </row>
    <row r="32" spans="1:14">
      <c r="A32" s="107" t="s">
        <v>1007</v>
      </c>
    </row>
    <row r="33" spans="1:1">
      <c r="A33" s="117" t="s">
        <v>1008</v>
      </c>
    </row>
    <row r="34" spans="1:1">
      <c r="A34" s="117" t="s">
        <v>1248</v>
      </c>
    </row>
    <row r="35" spans="1:1">
      <c r="A35" s="117" t="s">
        <v>1009</v>
      </c>
    </row>
    <row r="37" spans="1:1">
      <c r="A37" s="107" t="s">
        <v>954</v>
      </c>
    </row>
    <row r="38" spans="1:1">
      <c r="A38" s="117" t="s">
        <v>1636</v>
      </c>
    </row>
    <row r="39" spans="1:1">
      <c r="A39" s="117" t="s">
        <v>1010</v>
      </c>
    </row>
    <row r="40" spans="1:1">
      <c r="A40" s="117" t="s">
        <v>1637</v>
      </c>
    </row>
    <row r="42" spans="1:1">
      <c r="A42" s="107" t="s">
        <v>985</v>
      </c>
    </row>
    <row r="43" spans="1:1">
      <c r="A43" s="117" t="s">
        <v>1508</v>
      </c>
    </row>
    <row r="44" spans="1:1">
      <c r="A44" s="117" t="s">
        <v>1011</v>
      </c>
    </row>
    <row r="45" spans="1:1">
      <c r="A45" s="117" t="s">
        <v>1480</v>
      </c>
    </row>
    <row r="46" spans="1:1">
      <c r="A46" s="117" t="s">
        <v>1249</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1371</v>
      </c>
    </row>
    <row r="2" spans="1:5">
      <c r="A2" t="s">
        <v>1352</v>
      </c>
    </row>
    <row r="4" spans="1:5">
      <c r="A4" s="99" t="s">
        <v>1372</v>
      </c>
    </row>
    <row r="5" spans="1:5">
      <c r="A5" s="140" t="s">
        <v>1353</v>
      </c>
      <c r="B5" s="140" t="s">
        <v>1354</v>
      </c>
      <c r="C5" s="140" t="s">
        <v>1355</v>
      </c>
      <c r="D5" s="140" t="s">
        <v>1356</v>
      </c>
      <c r="E5" s="140" t="s">
        <v>1259</v>
      </c>
    </row>
    <row r="6" spans="1:5">
      <c r="A6" s="139">
        <v>46301</v>
      </c>
      <c r="B6" t="s">
        <v>1357</v>
      </c>
      <c r="C6" t="s">
        <v>1358</v>
      </c>
      <c r="D6" t="s">
        <v>28</v>
      </c>
      <c r="E6" t="s">
        <v>1359</v>
      </c>
    </row>
    <row r="7" spans="1:5">
      <c r="A7" s="139">
        <v>46307</v>
      </c>
      <c r="B7" t="s">
        <v>1360</v>
      </c>
      <c r="C7" t="s">
        <v>1358</v>
      </c>
      <c r="D7" t="s">
        <v>28</v>
      </c>
      <c r="E7" t="s">
        <v>1359</v>
      </c>
    </row>
    <row r="8" spans="1:5">
      <c r="A8" s="139">
        <v>46319</v>
      </c>
      <c r="B8" t="s">
        <v>1360</v>
      </c>
      <c r="C8" t="s">
        <v>1358</v>
      </c>
      <c r="D8" t="s">
        <v>1361</v>
      </c>
      <c r="E8" t="s">
        <v>1359</v>
      </c>
    </row>
    <row r="10" spans="1:5">
      <c r="A10" s="99" t="s">
        <v>1254</v>
      </c>
    </row>
    <row r="11" spans="1:5">
      <c r="A11" t="s">
        <v>1362</v>
      </c>
    </row>
    <row r="12" spans="1:5">
      <c r="A12" t="s">
        <v>1363</v>
      </c>
    </row>
    <row r="13" spans="1:5">
      <c r="A13" t="s">
        <v>1364</v>
      </c>
    </row>
    <row r="14" spans="1:5">
      <c r="A14" t="s">
        <v>1365</v>
      </c>
    </row>
    <row r="15" spans="1:5">
      <c r="A15" t="s">
        <v>1366</v>
      </c>
    </row>
    <row r="16" spans="1:5">
      <c r="A16" t="s">
        <v>1367</v>
      </c>
    </row>
    <row r="17" spans="1:1">
      <c r="A17" t="s">
        <v>1368</v>
      </c>
    </row>
    <row r="18" spans="1:1">
      <c r="A18" t="s">
        <v>1369</v>
      </c>
    </row>
    <row r="19" spans="1:1">
      <c r="A19" t="s">
        <v>1370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1457</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1526</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1563</v>
      </c>
      <c r="K19" s="115" t="s">
        <v>1016</v>
      </c>
      <c r="L19" s="114"/>
      <c r="M19" s="114"/>
      <c r="N19" s="114"/>
    </row>
    <row r="20" spans="1:14" ht="30" customHeight="1">
      <c r="A20" s="114">
        <v>3</v>
      </c>
      <c r="B20" s="115" t="s">
        <v>1668</v>
      </c>
      <c r="C20" s="114" t="s">
        <v>349</v>
      </c>
      <c r="D20" s="114" t="s">
        <v>27</v>
      </c>
      <c r="E20" s="114">
        <v>3</v>
      </c>
      <c r="F20" s="114" t="s">
        <v>350</v>
      </c>
      <c r="G20" s="114">
        <v>40</v>
      </c>
      <c r="H20" s="114">
        <v>105</v>
      </c>
      <c r="I20" s="114">
        <f t="shared" si="0"/>
        <v>7.3</v>
      </c>
      <c r="J20" s="115" t="s">
        <v>1669</v>
      </c>
      <c r="K20" s="115" t="s">
        <v>1670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v>5</v>
      </c>
      <c r="E22" s="114">
        <v>4</v>
      </c>
      <c r="F22" s="114" t="s">
        <v>304</v>
      </c>
      <c r="G22" s="114">
        <v>60</v>
      </c>
      <c r="H22" s="114">
        <v>60</v>
      </c>
      <c r="I22" s="114">
        <f t="shared" si="0"/>
        <v>8</v>
      </c>
      <c r="J22" s="115" t="s">
        <v>1221</v>
      </c>
      <c r="K22" s="115" t="s">
        <v>1021</v>
      </c>
      <c r="L22" s="114"/>
      <c r="M22" s="114"/>
      <c r="N22" s="114"/>
    </row>
    <row r="23" spans="1:14" ht="30" customHeight="1">
      <c r="A23" s="114">
        <v>6</v>
      </c>
      <c r="B23" s="115" t="s">
        <v>1226</v>
      </c>
      <c r="C23" s="114" t="s">
        <v>1231</v>
      </c>
      <c r="D23" s="114">
        <v>10</v>
      </c>
      <c r="E23" s="114">
        <v>3</v>
      </c>
      <c r="F23" s="114" t="s">
        <v>1227</v>
      </c>
      <c r="G23" s="114">
        <v>60</v>
      </c>
      <c r="H23" s="114">
        <v>60</v>
      </c>
      <c r="I23" s="114">
        <f>IF(E23=0,0,ROUND((E23*(G23+H23)+N23)/60,1))</f>
        <v>6</v>
      </c>
      <c r="J23" s="115" t="s">
        <v>1228</v>
      </c>
      <c r="K23" s="115" t="s">
        <v>1232</v>
      </c>
      <c r="L23" s="114"/>
      <c r="M23" s="114"/>
      <c r="N23" s="114"/>
    </row>
    <row r="24" spans="1:14" ht="30" customHeight="1">
      <c r="A24" s="114">
        <v>7</v>
      </c>
      <c r="B24" s="135" t="s">
        <v>1325</v>
      </c>
      <c r="C24" s="114" t="s">
        <v>1222</v>
      </c>
      <c r="D24" s="114">
        <v>8</v>
      </c>
      <c r="E24" s="114">
        <v>3</v>
      </c>
      <c r="F24" s="114" t="s">
        <v>1223</v>
      </c>
      <c r="G24" s="114">
        <v>40</v>
      </c>
      <c r="H24" s="114">
        <v>60</v>
      </c>
      <c r="I24" s="114">
        <f>IF(E24=0,0,ROUND((E24*(G24+H24)+N24)/60,1))</f>
        <v>6</v>
      </c>
      <c r="J24" s="115" t="s">
        <v>1224</v>
      </c>
      <c r="K24" s="115" t="s">
        <v>1225</v>
      </c>
      <c r="L24" s="114"/>
      <c r="M24" s="114"/>
      <c r="N24" s="114">
        <v>60</v>
      </c>
    </row>
    <row r="25" spans="1:14" ht="30" customHeight="1">
      <c r="A25" s="114">
        <v>8</v>
      </c>
      <c r="B25" s="115" t="s">
        <v>1233</v>
      </c>
      <c r="C25" s="114" t="s">
        <v>1231</v>
      </c>
      <c r="D25" s="114">
        <v>35</v>
      </c>
      <c r="E25" s="114">
        <v>4</v>
      </c>
      <c r="F25" s="114" t="s">
        <v>1223</v>
      </c>
      <c r="G25" s="114">
        <v>40</v>
      </c>
      <c r="H25" s="114">
        <v>60</v>
      </c>
      <c r="I25" s="114">
        <f>IF(E25=0,0,ROUND((E25*(G25+H25)+N25)/60,1))</f>
        <v>6.7</v>
      </c>
      <c r="J25" s="115" t="s">
        <v>1311</v>
      </c>
      <c r="K25" s="115" t="s">
        <v>1234</v>
      </c>
      <c r="L25" s="114"/>
      <c r="M25" s="114"/>
      <c r="N25" s="114"/>
    </row>
    <row r="26" spans="1:14" ht="30" customHeight="1">
      <c r="A26" s="114">
        <v>9</v>
      </c>
      <c r="B26" s="115" t="s">
        <v>1622</v>
      </c>
      <c r="C26" s="114" t="s">
        <v>285</v>
      </c>
      <c r="D26" s="144" t="s">
        <v>27</v>
      </c>
      <c r="E26" s="114">
        <v>4</v>
      </c>
      <c r="F26" s="114" t="s">
        <v>289</v>
      </c>
      <c r="G26" s="114">
        <v>40</v>
      </c>
      <c r="H26" s="114">
        <v>60</v>
      </c>
      <c r="I26" s="114">
        <f>IF(E26=0,0,ROUND((E26*(G26+H26)+N26)/60,1))</f>
        <v>6.7</v>
      </c>
      <c r="J26" s="115" t="s">
        <v>1667</v>
      </c>
      <c r="K26" s="115" t="s">
        <v>1653</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1455</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1456</v>
      </c>
      <c r="K28" s="115" t="s">
        <v>1040</v>
      </c>
      <c r="L28" s="114"/>
      <c r="M28" s="114"/>
      <c r="N28" s="114"/>
    </row>
    <row r="29" spans="1:14">
      <c r="A29" s="116"/>
      <c r="B29" s="116"/>
      <c r="C29" s="116"/>
      <c r="D29" s="116" t="s">
        <v>321</v>
      </c>
      <c r="E29" s="116">
        <f>SUM(E18:E28)</f>
        <v>37</v>
      </c>
      <c r="F29" s="116"/>
      <c r="G29" s="116"/>
      <c r="H29" s="116"/>
      <c r="I29" s="116">
        <f>ROUND(SUM(I18:I28),0)</f>
        <v>84</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1471</v>
      </c>
    </row>
    <row r="43" spans="1:1">
      <c r="A43" s="117" t="s">
        <v>1029</v>
      </c>
    </row>
    <row r="44" spans="1:1">
      <c r="A44" s="117" t="s">
        <v>1458</v>
      </c>
    </row>
    <row r="46" spans="1:1">
      <c r="A46" s="107" t="s">
        <v>1229</v>
      </c>
    </row>
    <row r="47" spans="1:1">
      <c r="A47" s="117" t="s">
        <v>1230</v>
      </c>
    </row>
    <row r="48" spans="1:1">
      <c r="A48" s="117" t="s">
        <v>1030</v>
      </c>
    </row>
    <row r="50" spans="3:3">
      <c r="C50" s="118" t="s">
        <v>1235</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1459</v>
      </c>
    </row>
    <row r="4" spans="1:14">
      <c r="A4" s="107" t="s">
        <v>990</v>
      </c>
    </row>
    <row r="5" spans="1:14">
      <c r="A5" s="110" t="s">
        <v>1414</v>
      </c>
    </row>
    <row r="6" spans="1:14">
      <c r="A6" s="110" t="s">
        <v>1415</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1586</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1394</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1395</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1413</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1646</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1604</v>
      </c>
      <c r="K16" s="115" t="s">
        <v>1444</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1312</v>
      </c>
      <c r="K17" s="115" t="s">
        <v>1031</v>
      </c>
      <c r="L17" s="114"/>
      <c r="M17" s="114"/>
      <c r="N17" s="114"/>
    </row>
    <row r="18" spans="1:14" ht="30" customHeight="1">
      <c r="A18" s="114">
        <v>8</v>
      </c>
      <c r="B18" s="115" t="s">
        <v>1386</v>
      </c>
      <c r="C18" s="114" t="s">
        <v>269</v>
      </c>
      <c r="D18" s="114">
        <v>8</v>
      </c>
      <c r="E18" s="114">
        <v>3</v>
      </c>
      <c r="F18" s="114" t="s">
        <v>274</v>
      </c>
      <c r="G18" s="114">
        <v>40</v>
      </c>
      <c r="H18" s="114">
        <v>75</v>
      </c>
      <c r="I18" s="114">
        <f t="shared" si="1"/>
        <v>5.8</v>
      </c>
      <c r="J18" s="115" t="s">
        <v>1388</v>
      </c>
      <c r="K18" s="115" t="s">
        <v>1387</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1608</v>
      </c>
      <c r="K19" s="115" t="s">
        <v>1032</v>
      </c>
      <c r="L19" s="114"/>
      <c r="M19" s="114"/>
      <c r="N19" s="114"/>
    </row>
    <row r="20" spans="1:14" ht="30" customHeight="1">
      <c r="A20" s="114">
        <v>10</v>
      </c>
      <c r="B20" s="115" t="s">
        <v>998</v>
      </c>
      <c r="C20" s="114" t="s">
        <v>295</v>
      </c>
      <c r="D20" s="114">
        <v>10</v>
      </c>
      <c r="E20" s="114">
        <v>0</v>
      </c>
      <c r="F20" s="145" t="s">
        <v>1616</v>
      </c>
      <c r="G20" s="114">
        <v>40</v>
      </c>
      <c r="H20" s="114">
        <v>10</v>
      </c>
      <c r="I20" s="114">
        <f t="shared" si="1"/>
        <v>0</v>
      </c>
      <c r="J20" s="115" t="s">
        <v>1619</v>
      </c>
      <c r="K20" s="115" t="s">
        <v>999</v>
      </c>
      <c r="L20" s="114"/>
      <c r="M20" s="114" t="s">
        <v>391</v>
      </c>
      <c r="N20" s="114"/>
    </row>
    <row r="21" spans="1:14" ht="30" customHeight="1">
      <c r="A21" s="114">
        <v>11</v>
      </c>
      <c r="B21" s="115" t="s">
        <v>594</v>
      </c>
      <c r="C21" s="114" t="s">
        <v>295</v>
      </c>
      <c r="D21" s="114">
        <v>7.5</v>
      </c>
      <c r="E21" s="114">
        <v>3</v>
      </c>
      <c r="F21" s="145" t="s">
        <v>1616</v>
      </c>
      <c r="G21" s="114">
        <v>40</v>
      </c>
      <c r="H21" s="114">
        <v>60</v>
      </c>
      <c r="I21" s="114">
        <f t="shared" si="1"/>
        <v>5</v>
      </c>
      <c r="J21" s="115" t="s">
        <v>1620</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1397</v>
      </c>
    </row>
    <row r="27" spans="1:14">
      <c r="A27" s="117" t="s">
        <v>1460</v>
      </c>
    </row>
    <row r="28" spans="1:14">
      <c r="A28" s="117" t="s">
        <v>1041</v>
      </c>
    </row>
    <row r="29" spans="1:14">
      <c r="A29" s="117" t="s">
        <v>1042</v>
      </c>
    </row>
    <row r="31" spans="1:14">
      <c r="A31" s="107" t="s">
        <v>1461</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1462</v>
      </c>
    </row>
    <row r="40" spans="1:1">
      <c r="A40" s="117" t="s">
        <v>1463</v>
      </c>
    </row>
    <row r="42" spans="1:1">
      <c r="A42" s="107" t="s">
        <v>1048</v>
      </c>
    </row>
    <row r="43" spans="1:1">
      <c r="A43" s="117" t="s">
        <v>1416</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1401</v>
      </c>
    </row>
    <row r="57" spans="1:3">
      <c r="A57" t="s">
        <v>1420</v>
      </c>
    </row>
    <row r="58" spans="1:3">
      <c r="A58" t="s">
        <v>1398</v>
      </c>
    </row>
    <row r="59" spans="1:3">
      <c r="A59" t="s">
        <v>1399</v>
      </c>
    </row>
    <row r="60" spans="1:3">
      <c r="A60" t="s">
        <v>1417</v>
      </c>
    </row>
    <row r="61" spans="1:3">
      <c r="A61" t="s">
        <v>1418</v>
      </c>
    </row>
    <row r="62" spans="1:3">
      <c r="A62" t="s">
        <v>1421</v>
      </c>
    </row>
    <row r="63" spans="1:3">
      <c r="A63" t="s">
        <v>1452</v>
      </c>
    </row>
    <row r="64" spans="1:3">
      <c r="C64" t="s">
        <v>1400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1425</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1504</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1581</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1577</v>
      </c>
      <c r="K31" s="115" t="s">
        <v>1066</v>
      </c>
      <c r="L31" s="114"/>
      <c r="M31" s="114"/>
      <c r="N31" s="114"/>
    </row>
    <row r="32" spans="1:14" ht="30" customHeight="1">
      <c r="A32" s="114">
        <v>5</v>
      </c>
      <c r="B32" s="115" t="s">
        <v>1661</v>
      </c>
      <c r="C32" s="114" t="s">
        <v>384</v>
      </c>
      <c r="D32" s="114">
        <v>30</v>
      </c>
      <c r="E32" s="114">
        <v>3</v>
      </c>
      <c r="F32" s="145" t="s">
        <v>350</v>
      </c>
      <c r="G32" s="114">
        <v>60</v>
      </c>
      <c r="H32" s="114">
        <v>120</v>
      </c>
      <c r="I32" s="114">
        <f t="shared" si="0"/>
        <v>9</v>
      </c>
      <c r="J32" s="115" t="s">
        <v>1662</v>
      </c>
      <c r="K32" s="115" t="s">
        <v>1663</v>
      </c>
      <c r="L32" s="114"/>
      <c r="M32" s="114"/>
      <c r="N32" s="114"/>
    </row>
    <row r="33" spans="1:14" ht="30" customHeight="1">
      <c r="A33" s="112">
        <v>6</v>
      </c>
      <c r="B33" s="113" t="s">
        <v>1426</v>
      </c>
      <c r="C33" s="112" t="s">
        <v>429</v>
      </c>
      <c r="D33" s="112">
        <f>시작중량_설정!$E$10</f>
        <v>31</v>
      </c>
      <c r="E33" s="112">
        <v>3</v>
      </c>
      <c r="F33" s="112">
        <v>8</v>
      </c>
      <c r="G33" s="112">
        <v>50</v>
      </c>
      <c r="H33" s="112">
        <v>180</v>
      </c>
      <c r="I33" s="112">
        <f t="shared" si="0"/>
        <v>11.5</v>
      </c>
      <c r="J33" s="113" t="s">
        <v>1510</v>
      </c>
      <c r="K33" s="113" t="s">
        <v>1511</v>
      </c>
      <c r="L33" s="112" t="s">
        <v>507</v>
      </c>
      <c r="M33" s="112"/>
      <c r="N33" s="112"/>
    </row>
    <row r="34" spans="1:14" ht="30" customHeight="1">
      <c r="A34" s="114">
        <v>7</v>
      </c>
      <c r="B34" s="135" t="s">
        <v>1515</v>
      </c>
      <c r="C34" s="114" t="s">
        <v>1516</v>
      </c>
      <c r="D34" s="114">
        <v>14</v>
      </c>
      <c r="E34" s="114">
        <v>3</v>
      </c>
      <c r="F34" s="114" t="s">
        <v>1494</v>
      </c>
      <c r="G34" s="114">
        <v>40</v>
      </c>
      <c r="H34" s="114">
        <v>120</v>
      </c>
      <c r="I34" s="114">
        <f t="shared" si="0"/>
        <v>8</v>
      </c>
      <c r="J34" s="115" t="s">
        <v>1517</v>
      </c>
      <c r="K34" s="115" t="s">
        <v>1518</v>
      </c>
      <c r="L34" s="114"/>
      <c r="M34" s="114"/>
      <c r="N34" s="114"/>
    </row>
    <row r="35" spans="1:14" ht="30" customHeight="1">
      <c r="A35" s="114">
        <v>8</v>
      </c>
      <c r="B35" s="115" t="s">
        <v>1512</v>
      </c>
      <c r="C35" s="114" t="s">
        <v>1222</v>
      </c>
      <c r="D35" s="114">
        <v>8</v>
      </c>
      <c r="E35" s="114">
        <v>3</v>
      </c>
      <c r="F35" s="114" t="s">
        <v>1223</v>
      </c>
      <c r="G35" s="114">
        <v>40</v>
      </c>
      <c r="H35" s="114">
        <v>60</v>
      </c>
      <c r="I35" s="114">
        <f t="shared" si="0"/>
        <v>6</v>
      </c>
      <c r="J35" s="115" t="s">
        <v>1513</v>
      </c>
      <c r="K35" s="115" t="s">
        <v>1514</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1067</v>
      </c>
      <c r="K36" s="115" t="s">
        <v>1068</v>
      </c>
      <c r="L36" s="114"/>
      <c r="M36" s="114"/>
      <c r="N36" s="114"/>
    </row>
    <row r="37" spans="1:14" ht="30" customHeight="1">
      <c r="A37" s="114">
        <v>10</v>
      </c>
      <c r="B37" s="115" t="s">
        <v>1545</v>
      </c>
      <c r="C37" s="114" t="s">
        <v>285</v>
      </c>
      <c r="D37" s="114">
        <v>10</v>
      </c>
      <c r="E37" s="114">
        <v>3</v>
      </c>
      <c r="F37" s="114" t="s">
        <v>303</v>
      </c>
      <c r="G37" s="114">
        <v>40</v>
      </c>
      <c r="H37" s="114">
        <v>60</v>
      </c>
      <c r="I37" s="114">
        <f>IF(E37=0,0,ROUND((E37*(G37+H37)+N37)/60,1))</f>
        <v>5</v>
      </c>
      <c r="J37" s="115" t="s">
        <v>1546</v>
      </c>
      <c r="K37" s="115" t="s">
        <v>1547</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1071</v>
      </c>
      <c r="K38" s="115" t="s">
        <v>1072</v>
      </c>
      <c r="L38" s="114"/>
      <c r="M38" s="114"/>
      <c r="N38" s="114"/>
    </row>
    <row r="39" spans="1:14">
      <c r="A39" s="116"/>
      <c r="B39" s="116"/>
      <c r="C39" s="116"/>
      <c r="D39" s="116" t="s">
        <v>321</v>
      </c>
      <c r="E39" s="116">
        <f>SUM(E28:E38)</f>
        <v>34</v>
      </c>
      <c r="F39" s="116"/>
      <c r="G39" s="116"/>
      <c r="H39" s="116"/>
      <c r="I39" s="116">
        <f>ROUND(SUM(I28:I38),0)</f>
        <v>89</v>
      </c>
    </row>
    <row r="41" spans="1:14">
      <c r="A41" s="107" t="s">
        <v>1073</v>
      </c>
    </row>
    <row r="42" spans="1:14">
      <c r="A42" s="117" t="s">
        <v>1074</v>
      </c>
    </row>
    <row r="43" spans="1:14">
      <c r="A43" s="117" t="s">
        <v>1075</v>
      </c>
    </row>
    <row r="44" spans="1:14">
      <c r="A44" s="117" t="s">
        <v>1076</v>
      </c>
    </row>
    <row r="45" spans="1:14">
      <c r="A45" s="117" t="s">
        <v>1427</v>
      </c>
    </row>
    <row r="46" spans="1:14">
      <c r="A46" s="117" t="s">
        <v>1428</v>
      </c>
    </row>
    <row r="47" spans="1:14">
      <c r="A47" s="117" t="s">
        <v>1402</v>
      </c>
    </row>
    <row r="49" spans="1:1">
      <c r="A49" s="107" t="s">
        <v>1077</v>
      </c>
    </row>
    <row r="50" spans="1:1">
      <c r="A50" s="117" t="s">
        <v>1078</v>
      </c>
    </row>
    <row r="51" spans="1:1">
      <c r="A51" s="117" t="s">
        <v>1403</v>
      </c>
    </row>
    <row r="52" spans="1:1">
      <c r="A52" s="117" t="s">
        <v>1079</v>
      </c>
    </row>
    <row r="53" spans="1:1">
      <c r="A53" s="117" t="s">
        <v>1404</v>
      </c>
    </row>
    <row r="54" spans="1:1">
      <c r="A54" s="117" t="s">
        <v>1405</v>
      </c>
    </row>
    <row r="56" spans="1:1">
      <c r="A56" s="107" t="s">
        <v>1080</v>
      </c>
    </row>
    <row r="57" spans="1:1">
      <c r="A57" s="117" t="s">
        <v>1081</v>
      </c>
    </row>
    <row r="58" spans="1:1">
      <c r="A58" s="117" t="s">
        <v>1082</v>
      </c>
    </row>
    <row r="59" spans="1:1">
      <c r="A59" s="117" t="s">
        <v>1083</v>
      </c>
    </row>
    <row r="60" spans="1:1">
      <c r="A60" s="117" t="s">
        <v>1084</v>
      </c>
    </row>
    <row r="61" spans="1:1">
      <c r="A61" s="117" t="s">
        <v>1453</v>
      </c>
    </row>
    <row r="63" spans="1:1">
      <c r="A63" s="107" t="s">
        <v>1085</v>
      </c>
    </row>
    <row r="64" spans="1:1">
      <c r="A64" s="117" t="s">
        <v>1086</v>
      </c>
    </row>
    <row r="65" spans="1:3">
      <c r="A65" s="117" t="s">
        <v>1087</v>
      </c>
    </row>
    <row r="66" spans="1:3">
      <c r="A66" s="117" t="s">
        <v>1088</v>
      </c>
    </row>
    <row r="68" spans="1:3">
      <c r="A68" s="107" t="s">
        <v>954</v>
      </c>
    </row>
    <row r="69" spans="1:3">
      <c r="A69" s="117" t="s">
        <v>1520</v>
      </c>
    </row>
    <row r="70" spans="1:3">
      <c r="A70" s="117" t="s">
        <v>1521</v>
      </c>
    </row>
    <row r="72" spans="1:3">
      <c r="A72" s="107" t="s">
        <v>985</v>
      </c>
    </row>
    <row r="73" spans="1:3">
      <c r="A73" s="117" t="s">
        <v>1519</v>
      </c>
    </row>
    <row r="74" spans="1:3">
      <c r="A74" s="117" t="s">
        <v>1089</v>
      </c>
    </row>
    <row r="75" spans="1:3">
      <c r="A75" s="117" t="s">
        <v>1090</v>
      </c>
    </row>
    <row r="76" spans="1:3">
      <c r="A76" s="117" t="s">
        <v>1406</v>
      </c>
    </row>
    <row r="77" spans="1:3">
      <c r="A77" s="117" t="s">
        <v>987</v>
      </c>
    </row>
    <row r="79" spans="1:3">
      <c r="C79"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1564</v>
      </c>
      <c r="C12" s="114" t="s">
        <v>349</v>
      </c>
      <c r="D12" s="144">
        <f>시작중량_설정!$E$22</f>
        <v>40</v>
      </c>
      <c r="E12" s="114">
        <v>3</v>
      </c>
      <c r="F12" s="114">
        <v>8</v>
      </c>
      <c r="G12" s="114">
        <v>40</v>
      </c>
      <c r="H12" s="114">
        <v>150</v>
      </c>
      <c r="I12" s="114">
        <f>IF(E12=0,0,ROUND((E12*(G12+H12)+N12)/60,1))</f>
        <v>9.5</v>
      </c>
      <c r="J12" s="115" t="s">
        <v>1614</v>
      </c>
      <c r="K12" s="115" t="s">
        <v>1565</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1498</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1473</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1296</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1474</v>
      </c>
      <c r="K16" s="115" t="s">
        <v>1104</v>
      </c>
      <c r="L16" s="114"/>
      <c r="M16" s="114"/>
      <c r="N16" s="114">
        <v>60</v>
      </c>
    </row>
    <row r="17" spans="1:14" ht="30" customHeight="1">
      <c r="A17" s="114">
        <v>7</v>
      </c>
      <c r="B17" s="115" t="s">
        <v>1297</v>
      </c>
      <c r="C17" s="114" t="s">
        <v>1245</v>
      </c>
      <c r="D17" s="114">
        <v>20</v>
      </c>
      <c r="E17" s="114">
        <v>2</v>
      </c>
      <c r="F17" s="114" t="s">
        <v>1223</v>
      </c>
      <c r="G17" s="114">
        <v>40</v>
      </c>
      <c r="H17" s="114">
        <v>75</v>
      </c>
      <c r="I17" s="114">
        <f t="shared" ref="I17" si="1">IF(E17=0,0,ROUND((E17*(G17+H17)+N17)/60,1))</f>
        <v>3.8</v>
      </c>
      <c r="J17" s="115" t="s">
        <v>1298</v>
      </c>
      <c r="K17" s="115" t="s">
        <v>1299</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1591</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1539</v>
      </c>
      <c r="C20" s="114" t="s">
        <v>345</v>
      </c>
      <c r="D20" s="114">
        <v>25</v>
      </c>
      <c r="E20" s="114">
        <v>3</v>
      </c>
      <c r="F20" s="114" t="s">
        <v>303</v>
      </c>
      <c r="G20" s="114">
        <v>40</v>
      </c>
      <c r="H20" s="114">
        <v>70</v>
      </c>
      <c r="I20" s="114">
        <f t="shared" si="0"/>
        <v>5.5</v>
      </c>
      <c r="J20" s="115" t="s">
        <v>1541</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1253</v>
      </c>
      <c r="K21" s="115" t="s">
        <v>1107</v>
      </c>
      <c r="L21" s="114"/>
      <c r="M21" s="114"/>
      <c r="N21" s="114"/>
    </row>
    <row r="22" spans="1:14" ht="30" customHeight="1">
      <c r="A22" s="114">
        <v>12</v>
      </c>
      <c r="B22" s="115" t="s">
        <v>998</v>
      </c>
      <c r="C22" s="114" t="s">
        <v>295</v>
      </c>
      <c r="D22" s="114">
        <v>20</v>
      </c>
      <c r="E22" s="114">
        <v>2</v>
      </c>
      <c r="F22" s="145" t="s">
        <v>1616</v>
      </c>
      <c r="G22" s="114">
        <v>40</v>
      </c>
      <c r="H22" s="114">
        <v>10</v>
      </c>
      <c r="I22" s="114">
        <f t="shared" si="0"/>
        <v>1.7</v>
      </c>
      <c r="J22" s="115" t="s">
        <v>1621</v>
      </c>
      <c r="K22" s="115" t="s">
        <v>999</v>
      </c>
      <c r="L22" s="114"/>
      <c r="M22" s="114" t="s">
        <v>391</v>
      </c>
      <c r="N22" s="114"/>
    </row>
    <row r="23" spans="1:14" ht="30" customHeight="1">
      <c r="A23" s="114">
        <v>13</v>
      </c>
      <c r="B23" s="115" t="s">
        <v>594</v>
      </c>
      <c r="C23" s="114" t="s">
        <v>295</v>
      </c>
      <c r="D23" s="114">
        <v>15</v>
      </c>
      <c r="E23" s="114">
        <v>3</v>
      </c>
      <c r="F23" s="145" t="s">
        <v>1616</v>
      </c>
      <c r="G23" s="114">
        <v>40</v>
      </c>
      <c r="H23" s="114">
        <v>60</v>
      </c>
      <c r="I23" s="114">
        <f t="shared" si="0"/>
        <v>5</v>
      </c>
      <c r="J23" s="115" t="s">
        <v>1618</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1488</v>
      </c>
    </row>
    <row r="32" spans="1:14">
      <c r="A32" s="117" t="s">
        <v>1114</v>
      </c>
    </row>
    <row r="34" spans="1:1">
      <c r="A34" s="107" t="s">
        <v>1115</v>
      </c>
    </row>
    <row r="35" spans="1:1">
      <c r="A35" s="117" t="s">
        <v>1475</v>
      </c>
    </row>
    <row r="36" spans="1:1">
      <c r="A36" s="117" t="s">
        <v>1116</v>
      </c>
    </row>
    <row r="37" spans="1:1">
      <c r="A37" s="117" t="s">
        <v>1566</v>
      </c>
    </row>
    <row r="38" spans="1:1">
      <c r="A38" s="117" t="s">
        <v>1540</v>
      </c>
    </row>
    <row r="40" spans="1:1">
      <c r="A40" s="107" t="s">
        <v>954</v>
      </c>
    </row>
    <row r="41" spans="1:1">
      <c r="A41" s="117" t="s">
        <v>1445</v>
      </c>
    </row>
    <row r="42" spans="1:1">
      <c r="A42" s="117" t="s">
        <v>1304</v>
      </c>
    </row>
    <row r="43" spans="1:1">
      <c r="A43" s="117" t="s">
        <v>1305</v>
      </c>
    </row>
    <row r="45" spans="1:1">
      <c r="A45" s="107" t="s">
        <v>985</v>
      </c>
    </row>
    <row r="46" spans="1:1">
      <c r="A46" s="117" t="s">
        <v>1117</v>
      </c>
    </row>
    <row r="47" spans="1:1">
      <c r="A47" s="117" t="s">
        <v>1118</v>
      </c>
    </row>
    <row r="48" spans="1:1">
      <c r="A48" s="117" t="s">
        <v>1119</v>
      </c>
    </row>
    <row r="49" spans="1:3">
      <c r="A49" s="117" t="s">
        <v>1476</v>
      </c>
    </row>
    <row r="50" spans="1:3">
      <c r="A50" s="117" t="s">
        <v>1120</v>
      </c>
    </row>
    <row r="51" spans="1:3">
      <c r="A51" s="117" t="s">
        <v>1121</v>
      </c>
    </row>
    <row r="52" spans="1:3">
      <c r="A52" s="117" t="s">
        <v>987</v>
      </c>
    </row>
    <row r="54" spans="1:3">
      <c r="C54" s="118" t="s">
        <v>1300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1326</v>
      </c>
    </row>
    <row r="2" spans="1:6">
      <c r="A2" s="127" t="s">
        <v>1640</v>
      </c>
    </row>
    <row r="4" spans="1:6" ht="15">
      <c r="A4" s="99" t="s">
        <v>1254</v>
      </c>
    </row>
    <row r="5" spans="1:6">
      <c r="A5" s="129" t="s">
        <v>2</v>
      </c>
      <c r="B5" s="129" t="s">
        <v>145</v>
      </c>
      <c r="C5" s="130"/>
      <c r="D5" s="130"/>
      <c r="E5" s="130"/>
      <c r="F5" s="129" t="s">
        <v>5</v>
      </c>
    </row>
    <row r="6" spans="1:6">
      <c r="A6" s="127" t="s">
        <v>894</v>
      </c>
      <c r="B6" s="151" t="s">
        <v>1255</v>
      </c>
      <c r="C6" s="151"/>
      <c r="D6" s="151"/>
      <c r="E6" s="151"/>
      <c r="F6" s="127" t="s">
        <v>1256</v>
      </c>
    </row>
    <row r="7" spans="1:6">
      <c r="A7" s="127" t="s">
        <v>76</v>
      </c>
      <c r="B7" s="151" t="s">
        <v>1257</v>
      </c>
      <c r="C7" s="151"/>
      <c r="D7" s="151"/>
      <c r="E7" s="151"/>
      <c r="F7" s="127" t="s">
        <v>1258</v>
      </c>
    </row>
    <row r="8" spans="1:6">
      <c r="A8" s="127" t="s">
        <v>1259</v>
      </c>
      <c r="B8" s="151" t="s">
        <v>1641</v>
      </c>
      <c r="C8" s="151"/>
      <c r="D8" s="151"/>
      <c r="E8" s="151"/>
      <c r="F8" s="127" t="s">
        <v>1260</v>
      </c>
    </row>
    <row r="9" spans="1:6">
      <c r="A9" s="127" t="s">
        <v>1261</v>
      </c>
      <c r="B9" s="151" t="s">
        <v>1262</v>
      </c>
      <c r="C9" s="151"/>
      <c r="D9" s="151"/>
      <c r="E9" s="151"/>
      <c r="F9" s="127" t="s">
        <v>1263</v>
      </c>
    </row>
    <row r="10" spans="1:6">
      <c r="A10" s="127" t="s">
        <v>1264</v>
      </c>
      <c r="B10" s="151" t="s">
        <v>1645</v>
      </c>
      <c r="C10" s="151"/>
      <c r="D10" s="151"/>
      <c r="E10" s="151"/>
      <c r="F10" s="127" t="s">
        <v>1327</v>
      </c>
    </row>
    <row r="11" spans="1:6">
      <c r="A11" s="127" t="s">
        <v>1265</v>
      </c>
      <c r="B11" s="151" t="s">
        <v>1266</v>
      </c>
      <c r="C11" s="151"/>
      <c r="D11" s="151"/>
      <c r="E11" s="151"/>
      <c r="F11" s="127" t="s">
        <v>1321</v>
      </c>
    </row>
    <row r="12" spans="1:6">
      <c r="A12" s="127" t="s">
        <v>9</v>
      </c>
      <c r="B12" s="151" t="s">
        <v>1267</v>
      </c>
      <c r="C12" s="151"/>
      <c r="D12" s="151"/>
      <c r="E12" s="151"/>
      <c r="F12" s="127" t="s">
        <v>1322</v>
      </c>
    </row>
    <row r="13" spans="1:6">
      <c r="A13" s="127" t="s">
        <v>1268</v>
      </c>
      <c r="B13" s="151" t="s">
        <v>1328</v>
      </c>
      <c r="C13" s="151"/>
      <c r="D13" s="151"/>
      <c r="E13" s="151"/>
      <c r="F13" s="127" t="s">
        <v>1288</v>
      </c>
    </row>
    <row r="14" spans="1:6">
      <c r="A14" s="127" t="s">
        <v>1269</v>
      </c>
      <c r="B14" s="151" t="s">
        <v>1323</v>
      </c>
      <c r="C14" s="151"/>
      <c r="D14" s="151"/>
      <c r="E14" s="151"/>
      <c r="F14" s="127" t="s">
        <v>1270</v>
      </c>
    </row>
    <row r="16" spans="1:6" ht="15">
      <c r="A16" s="131" t="s">
        <v>1329</v>
      </c>
    </row>
    <row r="17" spans="1:7">
      <c r="A17" s="129" t="s">
        <v>1330</v>
      </c>
      <c r="B17" s="129" t="s">
        <v>1331</v>
      </c>
      <c r="C17" s="129" t="s">
        <v>1271</v>
      </c>
      <c r="D17" s="129" t="s">
        <v>1272</v>
      </c>
      <c r="E17" s="129" t="s">
        <v>1273</v>
      </c>
      <c r="F17" s="129" t="s">
        <v>1274</v>
      </c>
      <c r="G17" s="129" t="s">
        <v>1638</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1639</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1644</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1343</v>
      </c>
    </row>
    <row r="2" spans="1:10">
      <c r="A2" s="127" t="s">
        <v>1643</v>
      </c>
    </row>
    <row r="4" spans="1:10" ht="15">
      <c r="A4" s="99" t="s">
        <v>894</v>
      </c>
    </row>
    <row r="5" spans="1:10">
      <c r="A5" s="129" t="s">
        <v>894</v>
      </c>
      <c r="B5" s="129" t="s">
        <v>1275</v>
      </c>
      <c r="C5" s="130"/>
      <c r="D5" s="130"/>
      <c r="E5" s="130"/>
      <c r="F5" s="130"/>
      <c r="G5" s="130"/>
      <c r="H5" s="130"/>
      <c r="I5" s="129" t="s">
        <v>5</v>
      </c>
    </row>
    <row r="6" spans="1:10">
      <c r="A6" s="127" t="s">
        <v>899</v>
      </c>
      <c r="B6" s="151" t="s">
        <v>1276</v>
      </c>
      <c r="C6" s="151"/>
      <c r="D6" s="151"/>
      <c r="E6" s="151"/>
      <c r="F6" s="151"/>
      <c r="G6" s="151"/>
      <c r="H6" s="151"/>
      <c r="I6" s="127" t="s">
        <v>1277</v>
      </c>
    </row>
    <row r="7" spans="1:10">
      <c r="A7" s="127" t="s">
        <v>902</v>
      </c>
      <c r="B7" s="151" t="s">
        <v>1278</v>
      </c>
      <c r="C7" s="151"/>
      <c r="D7" s="151"/>
      <c r="E7" s="151"/>
      <c r="F7" s="151"/>
      <c r="G7" s="151"/>
      <c r="H7" s="151"/>
      <c r="I7" s="127" t="s">
        <v>1279</v>
      </c>
    </row>
    <row r="8" spans="1:10">
      <c r="A8" s="127" t="s">
        <v>905</v>
      </c>
      <c r="B8" s="151" t="s">
        <v>1278</v>
      </c>
      <c r="C8" s="151"/>
      <c r="D8" s="151"/>
      <c r="E8" s="151"/>
      <c r="F8" s="151"/>
      <c r="G8" s="151"/>
      <c r="H8" s="151"/>
      <c r="I8" s="127" t="s">
        <v>1279</v>
      </c>
    </row>
    <row r="9" spans="1:10">
      <c r="A9" s="127" t="s">
        <v>907</v>
      </c>
      <c r="B9" s="151" t="s">
        <v>28</v>
      </c>
      <c r="C9" s="151"/>
      <c r="D9" s="151"/>
      <c r="E9" s="151"/>
      <c r="F9" s="151"/>
      <c r="G9" s="151"/>
      <c r="H9" s="151"/>
      <c r="I9" s="127" t="s">
        <v>1280</v>
      </c>
    </row>
    <row r="10" spans="1:10">
      <c r="A10" s="127" t="s">
        <v>909</v>
      </c>
      <c r="B10" s="151" t="s">
        <v>1276</v>
      </c>
      <c r="C10" s="151"/>
      <c r="D10" s="151"/>
      <c r="E10" s="151"/>
      <c r="F10" s="151"/>
      <c r="G10" s="151"/>
      <c r="H10" s="151"/>
      <c r="I10" s="127" t="s">
        <v>1281</v>
      </c>
    </row>
    <row r="11" spans="1:10">
      <c r="A11" s="127" t="s">
        <v>912</v>
      </c>
      <c r="B11" s="151" t="s">
        <v>1278</v>
      </c>
      <c r="C11" s="151"/>
      <c r="D11" s="151"/>
      <c r="E11" s="151"/>
      <c r="F11" s="151"/>
      <c r="G11" s="151"/>
      <c r="H11" s="151"/>
      <c r="I11" s="127" t="s">
        <v>1279</v>
      </c>
    </row>
    <row r="12" spans="1:10">
      <c r="A12" s="127" t="s">
        <v>915</v>
      </c>
      <c r="B12" s="151" t="s">
        <v>1282</v>
      </c>
      <c r="C12" s="151"/>
      <c r="D12" s="151"/>
      <c r="E12" s="151"/>
      <c r="F12" s="151"/>
      <c r="G12" s="151"/>
      <c r="H12" s="151"/>
      <c r="I12" s="127" t="s">
        <v>1283</v>
      </c>
    </row>
    <row r="14" spans="1:10" ht="15">
      <c r="A14" s="131" t="s">
        <v>1333</v>
      </c>
    </row>
    <row r="15" spans="1:10">
      <c r="A15" s="129" t="s">
        <v>1334</v>
      </c>
      <c r="B15" s="129" t="s">
        <v>789</v>
      </c>
      <c r="C15" s="129" t="s">
        <v>1335</v>
      </c>
      <c r="D15" s="129" t="s">
        <v>1336</v>
      </c>
      <c r="E15" s="129" t="s">
        <v>1337</v>
      </c>
      <c r="F15" s="129" t="s">
        <v>1338</v>
      </c>
      <c r="G15" s="129" t="s">
        <v>1339</v>
      </c>
      <c r="H15" s="129" t="s">
        <v>1340</v>
      </c>
      <c r="I15" s="129" t="s">
        <v>1344</v>
      </c>
    </row>
    <row r="16" spans="1:10" ht="15">
      <c r="A16" s="137">
        <v>1</v>
      </c>
      <c r="B16" s="138">
        <v>46302</v>
      </c>
      <c r="C16" s="137">
        <v>16</v>
      </c>
      <c r="D16" s="137">
        <v>2</v>
      </c>
      <c r="E16" s="137">
        <v>2</v>
      </c>
      <c r="F16" s="137">
        <v>16</v>
      </c>
      <c r="G16" s="137">
        <v>3</v>
      </c>
      <c r="H16" s="137">
        <v>2</v>
      </c>
      <c r="I16" s="137" t="s">
        <v>1265</v>
      </c>
      <c r="J16"/>
    </row>
    <row r="17" spans="1:10" ht="15">
      <c r="A17" s="137">
        <v>2</v>
      </c>
      <c r="B17" s="138">
        <v>46305</v>
      </c>
      <c r="C17" s="137">
        <v>18</v>
      </c>
      <c r="D17" s="137">
        <v>2</v>
      </c>
      <c r="E17" s="137">
        <v>2</v>
      </c>
      <c r="F17" s="137">
        <v>18</v>
      </c>
      <c r="G17" s="137">
        <v>3</v>
      </c>
      <c r="H17" s="137">
        <v>2</v>
      </c>
      <c r="I17" s="137" t="s">
        <v>1265</v>
      </c>
      <c r="J17"/>
    </row>
    <row r="18" spans="1:10" ht="15">
      <c r="A18" s="137">
        <v>3</v>
      </c>
      <c r="B18" s="138">
        <v>46309</v>
      </c>
      <c r="C18" s="137">
        <v>20</v>
      </c>
      <c r="D18" s="137">
        <v>2</v>
      </c>
      <c r="E18" s="137">
        <v>2</v>
      </c>
      <c r="F18" s="137">
        <v>20</v>
      </c>
      <c r="G18" s="137">
        <v>3</v>
      </c>
      <c r="H18" s="137">
        <v>2</v>
      </c>
      <c r="I18" s="137" t="s">
        <v>1265</v>
      </c>
      <c r="J18"/>
    </row>
    <row r="19" spans="1:10" ht="15">
      <c r="A19" s="137">
        <v>4</v>
      </c>
      <c r="B19" s="138">
        <v>46312</v>
      </c>
      <c r="C19" s="137">
        <v>20</v>
      </c>
      <c r="D19" s="137">
        <v>2</v>
      </c>
      <c r="E19" s="137">
        <v>2</v>
      </c>
      <c r="F19" s="137">
        <v>20</v>
      </c>
      <c r="G19" s="137">
        <v>3</v>
      </c>
      <c r="H19" s="137">
        <v>2</v>
      </c>
      <c r="I19" s="137" t="s">
        <v>1265</v>
      </c>
      <c r="J19"/>
    </row>
    <row r="20" spans="1:10" ht="15">
      <c r="A20" s="137">
        <v>5</v>
      </c>
      <c r="B20" s="138">
        <v>46316</v>
      </c>
      <c r="C20" s="137">
        <v>20</v>
      </c>
      <c r="D20" s="137">
        <v>2</v>
      </c>
      <c r="E20" s="137">
        <v>2</v>
      </c>
      <c r="F20" s="137">
        <v>20</v>
      </c>
      <c r="G20" s="137">
        <v>3</v>
      </c>
      <c r="H20" s="137">
        <v>2</v>
      </c>
      <c r="I20" s="137" t="s">
        <v>1265</v>
      </c>
      <c r="J20"/>
    </row>
    <row r="21" spans="1:10" ht="15">
      <c r="A21" s="137">
        <v>6</v>
      </c>
      <c r="B21" s="138">
        <v>46319</v>
      </c>
      <c r="C21" s="137">
        <v>22</v>
      </c>
      <c r="D21" s="137">
        <v>2</v>
      </c>
      <c r="E21" s="137">
        <v>2</v>
      </c>
      <c r="F21" s="137">
        <v>22</v>
      </c>
      <c r="G21" s="137">
        <v>4</v>
      </c>
      <c r="H21" s="137">
        <v>2</v>
      </c>
      <c r="I21" s="137" t="s">
        <v>1265</v>
      </c>
      <c r="J21"/>
    </row>
    <row r="22" spans="1:10" ht="15">
      <c r="A22" s="137">
        <v>7</v>
      </c>
      <c r="B22" s="138">
        <v>46323</v>
      </c>
      <c r="C22" s="137">
        <v>24</v>
      </c>
      <c r="D22" s="137">
        <v>2</v>
      </c>
      <c r="E22" s="137">
        <v>2</v>
      </c>
      <c r="F22" s="137">
        <v>24</v>
      </c>
      <c r="G22" s="137">
        <v>4</v>
      </c>
      <c r="H22" s="137">
        <v>2</v>
      </c>
      <c r="I22" s="137" t="s">
        <v>1265</v>
      </c>
      <c r="J22"/>
    </row>
    <row r="23" spans="1:10" ht="15">
      <c r="A23" s="137">
        <v>8</v>
      </c>
      <c r="B23" s="138">
        <v>46326</v>
      </c>
      <c r="C23" s="137">
        <v>26</v>
      </c>
      <c r="D23" s="137">
        <v>2</v>
      </c>
      <c r="E23" s="137">
        <v>2</v>
      </c>
      <c r="F23" s="137">
        <v>26</v>
      </c>
      <c r="G23" s="137">
        <v>5</v>
      </c>
      <c r="H23" s="137">
        <v>2</v>
      </c>
      <c r="I23" s="137" t="s">
        <v>1265</v>
      </c>
      <c r="J23"/>
    </row>
    <row r="24" spans="1:10" ht="15">
      <c r="A24" s="137">
        <v>9</v>
      </c>
      <c r="B24" s="138">
        <v>46330</v>
      </c>
      <c r="C24" s="137">
        <v>28</v>
      </c>
      <c r="D24" s="137">
        <v>2</v>
      </c>
      <c r="E24" s="137">
        <v>2</v>
      </c>
      <c r="F24" s="137">
        <v>28</v>
      </c>
      <c r="G24" s="137">
        <v>5</v>
      </c>
      <c r="H24" s="137">
        <v>2</v>
      </c>
      <c r="I24" s="137" t="s">
        <v>1265</v>
      </c>
      <c r="J24"/>
    </row>
    <row r="25" spans="1:10" ht="15">
      <c r="A25" s="137">
        <v>10</v>
      </c>
      <c r="B25" s="138">
        <v>46333</v>
      </c>
      <c r="C25" s="137">
        <v>30</v>
      </c>
      <c r="D25" s="137">
        <v>2</v>
      </c>
      <c r="E25" s="137">
        <v>2</v>
      </c>
      <c r="F25" s="137">
        <v>30</v>
      </c>
      <c r="G25" s="137">
        <v>5</v>
      </c>
      <c r="H25" s="137">
        <v>2</v>
      </c>
      <c r="I25" s="137" t="s">
        <v>1265</v>
      </c>
      <c r="J25"/>
    </row>
    <row r="26" spans="1:10" ht="15">
      <c r="A26" s="137">
        <v>11</v>
      </c>
      <c r="B26" s="138">
        <v>46337</v>
      </c>
      <c r="C26" s="137">
        <v>35</v>
      </c>
      <c r="D26" s="137">
        <v>1</v>
      </c>
      <c r="E26" s="137">
        <v>2</v>
      </c>
      <c r="F26" s="137">
        <v>30</v>
      </c>
      <c r="G26" s="137">
        <v>5</v>
      </c>
      <c r="H26" s="137">
        <v>2</v>
      </c>
      <c r="I26" s="137" t="s">
        <v>1265</v>
      </c>
      <c r="J26"/>
    </row>
    <row r="27" spans="1:10" ht="15">
      <c r="A27" s="137">
        <v>12</v>
      </c>
      <c r="B27" s="138">
        <v>46340</v>
      </c>
      <c r="C27" s="137">
        <v>35</v>
      </c>
      <c r="D27" s="137">
        <v>1.5</v>
      </c>
      <c r="E27" s="137">
        <v>2</v>
      </c>
      <c r="F27" s="137">
        <v>35</v>
      </c>
      <c r="G27" s="137">
        <v>5</v>
      </c>
      <c r="H27" s="137">
        <v>2</v>
      </c>
      <c r="I27" s="137" t="s">
        <v>1265</v>
      </c>
      <c r="J27"/>
    </row>
    <row r="28" spans="1:10" ht="15">
      <c r="A28" s="137">
        <v>13</v>
      </c>
      <c r="B28" s="138">
        <v>46344</v>
      </c>
      <c r="C28" s="137">
        <v>35</v>
      </c>
      <c r="D28" s="137">
        <v>2</v>
      </c>
      <c r="E28" s="137">
        <v>2</v>
      </c>
      <c r="F28" s="137">
        <v>35</v>
      </c>
      <c r="G28" s="137">
        <v>5</v>
      </c>
      <c r="H28" s="137">
        <v>2</v>
      </c>
      <c r="I28" s="137" t="s">
        <v>1265</v>
      </c>
      <c r="J28"/>
    </row>
    <row r="29" spans="1:10" ht="15">
      <c r="A29" s="137">
        <v>14</v>
      </c>
      <c r="B29" s="138">
        <v>46347</v>
      </c>
      <c r="C29" s="137">
        <v>35</v>
      </c>
      <c r="D29" s="137">
        <v>3</v>
      </c>
      <c r="E29" s="137">
        <v>2</v>
      </c>
      <c r="F29" s="137">
        <v>35</v>
      </c>
      <c r="G29" s="137">
        <v>5</v>
      </c>
      <c r="H29" s="137">
        <v>2</v>
      </c>
      <c r="I29" s="137" t="s">
        <v>1265</v>
      </c>
      <c r="J29"/>
    </row>
    <row r="30" spans="1:10" ht="15">
      <c r="A30" s="137">
        <v>15</v>
      </c>
      <c r="B30" s="138">
        <v>46351</v>
      </c>
      <c r="C30" s="137">
        <v>35</v>
      </c>
      <c r="D30" s="137">
        <v>4</v>
      </c>
      <c r="E30" s="137">
        <v>2</v>
      </c>
      <c r="F30" s="137">
        <v>35</v>
      </c>
      <c r="G30" s="137">
        <v>5</v>
      </c>
      <c r="H30" s="137">
        <v>2</v>
      </c>
      <c r="I30" s="137" t="s">
        <v>1265</v>
      </c>
      <c r="J30"/>
    </row>
    <row r="31" spans="1:10" ht="15">
      <c r="A31" s="137">
        <v>16</v>
      </c>
      <c r="B31" s="138">
        <v>46354</v>
      </c>
      <c r="C31" s="137">
        <v>35</v>
      </c>
      <c r="D31" s="137">
        <v>5</v>
      </c>
      <c r="E31" s="137">
        <v>2</v>
      </c>
      <c r="F31" s="137">
        <v>35</v>
      </c>
      <c r="G31" s="137">
        <v>5</v>
      </c>
      <c r="H31" s="137">
        <v>2</v>
      </c>
      <c r="I31" s="137" t="s">
        <v>1265</v>
      </c>
      <c r="J31"/>
    </row>
    <row r="32" spans="1:10" ht="15">
      <c r="A32" s="137">
        <v>17</v>
      </c>
      <c r="B32" s="138">
        <v>46358</v>
      </c>
      <c r="C32" s="137">
        <v>35</v>
      </c>
      <c r="D32" s="137">
        <v>5</v>
      </c>
      <c r="E32" s="137">
        <v>2</v>
      </c>
      <c r="F32" s="137">
        <v>35</v>
      </c>
      <c r="G32" s="137">
        <v>5</v>
      </c>
      <c r="H32" s="137">
        <v>2</v>
      </c>
      <c r="I32" s="137" t="s">
        <v>1265</v>
      </c>
      <c r="J32"/>
    </row>
    <row r="33" spans="1:10" ht="15">
      <c r="A33" t="s">
        <v>1642</v>
      </c>
      <c r="B33"/>
      <c r="C33"/>
      <c r="D33"/>
      <c r="E33"/>
      <c r="F33"/>
      <c r="G33"/>
      <c r="H33"/>
      <c r="I33"/>
      <c r="J33"/>
    </row>
    <row r="34" spans="1:10" ht="15">
      <c r="A34"/>
      <c r="B34"/>
      <c r="C34"/>
      <c r="D34"/>
      <c r="E34"/>
      <c r="F34"/>
      <c r="G34"/>
      <c r="H34"/>
      <c r="I34"/>
      <c r="J34"/>
    </row>
    <row r="35" spans="1:10" ht="15">
      <c r="A35" t="s">
        <v>1254</v>
      </c>
      <c r="B35"/>
      <c r="C35"/>
      <c r="D35"/>
      <c r="E35"/>
      <c r="F35"/>
      <c r="G35"/>
      <c r="H35"/>
      <c r="I35"/>
      <c r="J35"/>
    </row>
    <row r="36" spans="1:10" ht="15">
      <c r="A36" t="s">
        <v>1345</v>
      </c>
      <c r="B36"/>
      <c r="C36"/>
      <c r="D36"/>
      <c r="E36"/>
      <c r="F36"/>
      <c r="G36"/>
      <c r="H36"/>
      <c r="I36"/>
      <c r="J36"/>
    </row>
    <row r="37" spans="1:10" ht="15">
      <c r="A37" t="s">
        <v>1350</v>
      </c>
      <c r="B37"/>
      <c r="C37"/>
      <c r="D37"/>
      <c r="E37"/>
      <c r="F37"/>
      <c r="G37"/>
      <c r="H37"/>
      <c r="I37"/>
      <c r="J37"/>
    </row>
    <row r="38" spans="1:10" ht="15">
      <c r="A38" t="s">
        <v>1346</v>
      </c>
      <c r="B38"/>
      <c r="C38"/>
      <c r="D38"/>
      <c r="E38"/>
      <c r="F38"/>
      <c r="G38"/>
      <c r="H38"/>
      <c r="I38"/>
      <c r="J38"/>
    </row>
    <row r="39" spans="1:10" ht="15">
      <c r="A39" t="s">
        <v>1347</v>
      </c>
      <c r="B39"/>
      <c r="C39"/>
      <c r="D39"/>
      <c r="E39"/>
      <c r="F39"/>
      <c r="G39"/>
      <c r="H39"/>
      <c r="I39"/>
      <c r="J39"/>
    </row>
    <row r="40" spans="1:10" ht="15">
      <c r="A40" t="s">
        <v>1316</v>
      </c>
      <c r="B40"/>
      <c r="C40"/>
      <c r="D40"/>
      <c r="E40"/>
      <c r="F40"/>
      <c r="G40"/>
      <c r="H40"/>
      <c r="I40"/>
      <c r="J40"/>
    </row>
    <row r="41" spans="1:10" ht="15">
      <c r="A41" t="s">
        <v>1317</v>
      </c>
      <c r="B41"/>
      <c r="C41"/>
      <c r="D41"/>
      <c r="E41"/>
      <c r="F41"/>
      <c r="G41"/>
      <c r="H41"/>
      <c r="I41"/>
      <c r="J41"/>
    </row>
    <row r="42" spans="1:10" ht="15">
      <c r="A42" t="s">
        <v>1318</v>
      </c>
      <c r="B42"/>
      <c r="C42"/>
      <c r="D42"/>
      <c r="E42"/>
      <c r="F42"/>
      <c r="G42"/>
      <c r="H42"/>
      <c r="I42"/>
      <c r="J42"/>
    </row>
    <row r="43" spans="1:10" ht="15">
      <c r="A43" t="s">
        <v>1319</v>
      </c>
      <c r="B43"/>
      <c r="C43"/>
      <c r="D43"/>
      <c r="E43"/>
      <c r="F43"/>
      <c r="G43"/>
      <c r="H43"/>
      <c r="I43"/>
      <c r="J43"/>
    </row>
    <row r="44" spans="1:10" ht="15">
      <c r="A44" t="s">
        <v>1320</v>
      </c>
      <c r="B44"/>
      <c r="C44"/>
      <c r="D44"/>
      <c r="E44"/>
      <c r="F44"/>
      <c r="G44"/>
      <c r="H44"/>
      <c r="I44"/>
      <c r="J44"/>
    </row>
    <row r="45" spans="1:10" ht="15">
      <c r="A45" t="s">
        <v>1348</v>
      </c>
      <c r="B45"/>
      <c r="C45"/>
      <c r="D45"/>
      <c r="E45"/>
      <c r="F45"/>
      <c r="G45"/>
      <c r="H45"/>
      <c r="I45"/>
      <c r="J45"/>
    </row>
    <row r="46" spans="1:10" ht="15">
      <c r="A46" t="s">
        <v>1341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1392</v>
      </c>
      <c r="D7" s="115" t="s">
        <v>1393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1524</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1285</v>
      </c>
      <c r="D13" s="115" t="s">
        <v>1470</v>
      </c>
    </row>
    <row r="14" spans="1:4" ht="30" customHeight="1">
      <c r="A14" s="114" t="s">
        <v>35</v>
      </c>
      <c r="B14" s="120" t="s">
        <v>36</v>
      </c>
      <c r="C14" s="115" t="s">
        <v>37</v>
      </c>
      <c r="D14" s="115" t="s">
        <v>1486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1412</v>
      </c>
    </row>
    <row r="39" spans="1:1">
      <c r="A39" s="123" t="s">
        <v>56</v>
      </c>
    </row>
    <row r="40" spans="1:1">
      <c r="A40" s="123" t="s">
        <v>57</v>
      </c>
    </row>
    <row r="42" spans="1:1">
      <c r="A42" s="107" t="s">
        <v>58</v>
      </c>
    </row>
    <row r="43" spans="1:1">
      <c r="A43" s="123" t="s">
        <v>59</v>
      </c>
    </row>
    <row r="44" spans="1:1">
      <c r="A44" s="123" t="s">
        <v>1525</v>
      </c>
    </row>
    <row r="45" spans="1:1">
      <c r="A45" s="123" t="s">
        <v>60</v>
      </c>
    </row>
    <row r="46" spans="1:1">
      <c r="A46" s="123" t="s">
        <v>1295</v>
      </c>
    </row>
    <row r="47" spans="1:1">
      <c r="A47" s="123" t="s">
        <v>1291</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1440</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1538</v>
      </c>
    </row>
    <row r="11" spans="1:8" ht="63.75">
      <c r="A11" s="114" t="s">
        <v>1130</v>
      </c>
      <c r="B11" s="115" t="s">
        <v>1426</v>
      </c>
      <c r="C11" s="114" t="s">
        <v>345</v>
      </c>
      <c r="D11" s="114">
        <v>0.2</v>
      </c>
      <c r="E11" s="114">
        <f t="shared" ca="1" si="0"/>
        <v>3</v>
      </c>
      <c r="F11" s="114">
        <f t="shared" ca="1" si="1"/>
        <v>0.60000000000000009</v>
      </c>
      <c r="G11" s="114" t="s">
        <v>659</v>
      </c>
      <c r="H11" s="115" t="s">
        <v>1542</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1244</v>
      </c>
      <c r="C16" s="114" t="s">
        <v>269</v>
      </c>
      <c r="D16" s="114">
        <v>0.33</v>
      </c>
      <c r="E16" s="114">
        <f t="shared" ca="1" si="0"/>
        <v>2</v>
      </c>
      <c r="F16" s="114">
        <f t="shared" ref="F16" ca="1" si="2">IF(ISNUMBER(E16),$D16*E16,0)</f>
        <v>0.66</v>
      </c>
      <c r="G16" s="114" t="s">
        <v>659</v>
      </c>
      <c r="H16" s="115" t="s">
        <v>1250</v>
      </c>
    </row>
    <row r="17" spans="1:8" ht="25.5">
      <c r="A17" s="114" t="s">
        <v>1135</v>
      </c>
      <c r="B17" s="115" t="s">
        <v>1478</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1308</v>
      </c>
      <c r="B19" s="115" t="s">
        <v>1627</v>
      </c>
      <c r="C19" s="114" t="s">
        <v>1628</v>
      </c>
      <c r="D19" s="114">
        <v>0.5</v>
      </c>
      <c r="E19" s="114">
        <f t="shared" ca="1" si="0"/>
        <v>3</v>
      </c>
      <c r="F19" s="114">
        <f t="shared" ref="F19" ca="1" si="3">IF(ISNUMBER(E19),$D19*E19,0)</f>
        <v>1.5</v>
      </c>
      <c r="G19" s="114" t="s">
        <v>659</v>
      </c>
      <c r="H19" s="115" t="s">
        <v>1629</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1386</v>
      </c>
      <c r="C21" s="114" t="s">
        <v>295</v>
      </c>
      <c r="D21" s="114">
        <v>0.5</v>
      </c>
      <c r="E21" s="114">
        <f t="shared" ca="1" si="0"/>
        <v>3</v>
      </c>
      <c r="F21" s="114">
        <f t="shared" ca="1" si="1"/>
        <v>1.5</v>
      </c>
      <c r="G21" s="114" t="s">
        <v>659</v>
      </c>
      <c r="H21" s="115" t="s">
        <v>1389</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1668</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1671</v>
      </c>
    </row>
    <row r="27" spans="1:8" ht="25.5">
      <c r="A27" s="114" t="s">
        <v>1131</v>
      </c>
      <c r="B27" s="115" t="s">
        <v>1564</v>
      </c>
      <c r="C27" s="114" t="s">
        <v>429</v>
      </c>
      <c r="D27" s="114">
        <v>0.5</v>
      </c>
      <c r="E27" s="114">
        <f t="shared" ca="1" si="0"/>
        <v>3</v>
      </c>
      <c r="F27" s="114">
        <f t="shared" ca="1" si="1"/>
        <v>1.5</v>
      </c>
      <c r="G27" s="114" t="s">
        <v>659</v>
      </c>
      <c r="H27" s="115" t="s">
        <v>1145</v>
      </c>
    </row>
    <row r="28" spans="1:8" ht="25.5">
      <c r="A28" s="114" t="s">
        <v>1131</v>
      </c>
      <c r="B28" s="115" t="s">
        <v>1564</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1308</v>
      </c>
      <c r="B30" s="115" t="s">
        <v>1478</v>
      </c>
      <c r="C30" s="114" t="s">
        <v>358</v>
      </c>
      <c r="D30" s="114">
        <v>0.33</v>
      </c>
      <c r="E30" s="114">
        <f t="shared" ca="1" si="0"/>
        <v>3</v>
      </c>
      <c r="F30" s="114">
        <f t="shared" ref="F30:F31" ca="1" si="4">IF(ISNUMBER(E30),$D30*E30,0)</f>
        <v>0.99</v>
      </c>
      <c r="G30" s="114" t="s">
        <v>659</v>
      </c>
      <c r="H30" s="115" t="s">
        <v>1309</v>
      </c>
    </row>
    <row r="31" spans="1:8" ht="25.5">
      <c r="A31" s="114" t="s">
        <v>1308</v>
      </c>
      <c r="B31" s="115" t="s">
        <v>1310</v>
      </c>
      <c r="C31" s="114" t="s">
        <v>358</v>
      </c>
      <c r="D31" s="114">
        <v>0.33</v>
      </c>
      <c r="E31" s="114">
        <f t="shared" ca="1" si="0"/>
        <v>4</v>
      </c>
      <c r="F31" s="114">
        <f t="shared" ca="1" si="4"/>
        <v>1.32</v>
      </c>
      <c r="G31" s="114" t="s">
        <v>659</v>
      </c>
      <c r="H31" s="115" t="s">
        <v>1483</v>
      </c>
    </row>
    <row r="32" spans="1:8" ht="51">
      <c r="A32" s="114" t="s">
        <v>1130</v>
      </c>
      <c r="B32" s="115" t="s">
        <v>1426</v>
      </c>
      <c r="C32" s="114" t="s">
        <v>354</v>
      </c>
      <c r="D32" s="114">
        <v>0.5</v>
      </c>
      <c r="E32" s="114">
        <f t="shared" ca="1" si="0"/>
        <v>3</v>
      </c>
      <c r="F32" s="114">
        <f t="shared" ca="1" si="1"/>
        <v>1.5</v>
      </c>
      <c r="G32" s="114" t="s">
        <v>659</v>
      </c>
      <c r="H32" s="115" t="s">
        <v>1527</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1375</v>
      </c>
      <c r="C34" s="114" t="s">
        <v>407</v>
      </c>
      <c r="D34" s="114">
        <v>0.33</v>
      </c>
      <c r="E34" s="114">
        <f t="shared" ca="1" si="0"/>
        <v>3</v>
      </c>
      <c r="F34" s="114">
        <f t="shared" ca="1" si="1"/>
        <v>0.99</v>
      </c>
      <c r="G34" s="114" t="s">
        <v>659</v>
      </c>
      <c r="H34" s="115" t="s">
        <v>1378</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1478</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1307</v>
      </c>
    </row>
    <row r="39" spans="1:8">
      <c r="A39" s="114" t="s">
        <v>1130</v>
      </c>
      <c r="B39" s="115" t="s">
        <v>1426</v>
      </c>
      <c r="C39" s="114" t="s">
        <v>407</v>
      </c>
      <c r="D39" s="114">
        <v>0.2</v>
      </c>
      <c r="E39" s="114">
        <f t="shared" ca="1" si="0"/>
        <v>3</v>
      </c>
      <c r="F39" s="114">
        <f t="shared" ca="1" si="1"/>
        <v>0.60000000000000009</v>
      </c>
      <c r="G39" s="114" t="s">
        <v>659</v>
      </c>
      <c r="H39" s="115" t="s">
        <v>1151</v>
      </c>
    </row>
    <row r="40" spans="1:8">
      <c r="A40" s="114" t="s">
        <v>1135</v>
      </c>
      <c r="B40" s="115" t="s">
        <v>1478</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1297</v>
      </c>
      <c r="C45" s="114" t="s">
        <v>418</v>
      </c>
      <c r="D45" s="114">
        <v>0.2</v>
      </c>
      <c r="E45" s="114">
        <f t="shared" ca="1" si="0"/>
        <v>2</v>
      </c>
      <c r="F45" s="114">
        <f t="shared" ref="F45" ca="1" si="5">IF(ISNUMBER(E45),$D45*E45,0)</f>
        <v>0.4</v>
      </c>
      <c r="G45" s="114" t="s">
        <v>659</v>
      </c>
      <c r="H45" s="115" t="s">
        <v>1301</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1308</v>
      </c>
      <c r="B47" s="115" t="s">
        <v>1627</v>
      </c>
      <c r="C47" s="114" t="s">
        <v>1630</v>
      </c>
      <c r="D47" s="114">
        <v>0.2</v>
      </c>
      <c r="E47" s="114">
        <f t="shared" ca="1" si="6"/>
        <v>3</v>
      </c>
      <c r="F47" s="114">
        <f t="shared" ref="F47" ca="1" si="8">IF(ISNUMBER(E47),$D47*E47,0)</f>
        <v>0.60000000000000009</v>
      </c>
      <c r="G47" s="114" t="s">
        <v>659</v>
      </c>
      <c r="H47" s="115" t="s">
        <v>1631</v>
      </c>
    </row>
    <row r="48" spans="1:8" ht="38.25">
      <c r="A48" s="114" t="s">
        <v>1126</v>
      </c>
      <c r="B48" s="115" t="s">
        <v>1226</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1236</v>
      </c>
      <c r="B51" s="115" t="s">
        <v>970</v>
      </c>
      <c r="C51" s="114" t="s">
        <v>282</v>
      </c>
      <c r="D51" s="114">
        <v>0.33</v>
      </c>
      <c r="E51" s="114">
        <f t="shared" ca="1" si="6"/>
        <v>4</v>
      </c>
      <c r="F51" s="114">
        <f t="shared" ref="F51" ca="1" si="9">IF(ISNUMBER(E51),$D51*E51,0)</f>
        <v>1.32</v>
      </c>
      <c r="G51" s="114" t="s">
        <v>659</v>
      </c>
      <c r="H51" s="115" t="s">
        <v>1237</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1244</v>
      </c>
      <c r="C53" s="114" t="s">
        <v>282</v>
      </c>
      <c r="D53" s="114">
        <v>0.5</v>
      </c>
      <c r="E53" s="114">
        <f t="shared" ca="1" si="6"/>
        <v>2</v>
      </c>
      <c r="F53" s="114">
        <f t="shared" ref="F53" ca="1" si="10">IF(ISNUMBER(E53),$D53*E53,0)</f>
        <v>1</v>
      </c>
      <c r="G53" s="114" t="s">
        <v>659</v>
      </c>
      <c r="H53" s="115" t="s">
        <v>1251</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1478</v>
      </c>
      <c r="C55" s="114" t="s">
        <v>313</v>
      </c>
      <c r="D55" s="114">
        <v>0</v>
      </c>
      <c r="E55" s="114">
        <f t="shared" ca="1" si="6"/>
        <v>3</v>
      </c>
      <c r="F55" s="114">
        <f t="shared" ca="1" si="7"/>
        <v>0</v>
      </c>
      <c r="G55" s="114" t="s">
        <v>659</v>
      </c>
      <c r="H55" s="115" t="s">
        <v>1482</v>
      </c>
    </row>
    <row r="56" spans="1:8" ht="25.5">
      <c r="A56" s="114" t="s">
        <v>1131</v>
      </c>
      <c r="B56" s="115" t="s">
        <v>417</v>
      </c>
      <c r="C56" s="114" t="s">
        <v>313</v>
      </c>
      <c r="D56" s="114">
        <v>0</v>
      </c>
      <c r="E56" s="114">
        <f t="shared" ca="1" si="6"/>
        <v>3</v>
      </c>
      <c r="F56" s="114">
        <f t="shared" ca="1" si="7"/>
        <v>0</v>
      </c>
      <c r="G56" s="114" t="s">
        <v>659</v>
      </c>
      <c r="H56" s="115" t="s">
        <v>1306</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1502</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1396</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1668</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1528</v>
      </c>
      <c r="B81" s="115" t="s">
        <v>1515</v>
      </c>
      <c r="C81" s="114" t="s">
        <v>1529</v>
      </c>
      <c r="D81" s="114">
        <v>0.5</v>
      </c>
      <c r="E81" s="114">
        <f t="shared" ca="1" si="6"/>
        <v>3</v>
      </c>
      <c r="F81" s="114">
        <f t="shared" ref="F81:F83" ca="1" si="11">IF(ISNUMBER(E81),$D81*E81,0)</f>
        <v>1.5</v>
      </c>
      <c r="G81" s="114" t="s">
        <v>1530</v>
      </c>
      <c r="H81" s="115" t="s">
        <v>1531</v>
      </c>
    </row>
    <row r="82" spans="1:8" ht="38.25">
      <c r="A82" s="114" t="s">
        <v>1528</v>
      </c>
      <c r="B82" s="115" t="s">
        <v>1515</v>
      </c>
      <c r="C82" s="114" t="s">
        <v>1222</v>
      </c>
      <c r="D82" s="114">
        <v>0.5</v>
      </c>
      <c r="E82" s="114">
        <f t="shared" ca="1" si="6"/>
        <v>3</v>
      </c>
      <c r="F82" s="114">
        <f t="shared" ca="1" si="11"/>
        <v>1.5</v>
      </c>
      <c r="G82" s="114" t="s">
        <v>1530</v>
      </c>
      <c r="H82" s="115" t="s">
        <v>1532</v>
      </c>
    </row>
    <row r="83" spans="1:8" ht="25.5">
      <c r="A83" s="114" t="s">
        <v>1528</v>
      </c>
      <c r="B83" s="115" t="s">
        <v>1515</v>
      </c>
      <c r="C83" s="114" t="s">
        <v>1533</v>
      </c>
      <c r="D83" s="114">
        <v>0.2</v>
      </c>
      <c r="E83" s="114">
        <f t="shared" ca="1" si="6"/>
        <v>3</v>
      </c>
      <c r="F83" s="114">
        <f t="shared" ca="1" si="11"/>
        <v>0.60000000000000009</v>
      </c>
      <c r="G83" s="114" t="s">
        <v>1530</v>
      </c>
      <c r="H83" s="115" t="s">
        <v>1534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1672</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1632</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1484</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1302</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1500</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1446</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1535</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1536</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1384</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1656</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1647</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1664</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1422</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1409</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1633</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1543</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1391</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1469</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1410</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1315</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1441</v>
      </c>
    </row>
    <row r="56" spans="1:1">
      <c r="A56" s="123" t="s">
        <v>1209</v>
      </c>
    </row>
    <row r="57" spans="1:1">
      <c r="A57" s="123" t="s">
        <v>1210</v>
      </c>
    </row>
    <row r="58" spans="1:1">
      <c r="A58" s="123" t="s">
        <v>1211</v>
      </c>
    </row>
    <row r="59" spans="1:1">
      <c r="A59" s="123" t="s">
        <v>1212</v>
      </c>
    </row>
    <row r="60" spans="1:1">
      <c r="A60" s="123" t="s">
        <v>1286</v>
      </c>
    </row>
    <row r="61" spans="1:1">
      <c r="A61" s="123" t="s">
        <v>1213</v>
      </c>
    </row>
    <row r="62" spans="1:1">
      <c r="A62" s="123" t="s">
        <v>1385</v>
      </c>
    </row>
    <row r="63" spans="1:1">
      <c r="A63" s="123" t="s">
        <v>1437</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1411</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2026-10-26T07:07:09Z</dcterms:modified>
  <dc:language>en-US</dc:language>
</cp:coreProperties>
</file>