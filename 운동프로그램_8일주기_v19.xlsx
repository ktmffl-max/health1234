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883" firstSheet="7" activeTab="16" autoFilterDateGrouping="1"/>
  </bookViews>
  <sheets>
    <sheet xmlns:r="http://schemas.openxmlformats.org/officeDocument/2006/relationships" name="시작중량_설정" sheetId="1" state="visible" r:id="rId1"/>
    <sheet xmlns:r="http://schemas.openxmlformats.org/officeDocument/2006/relationships" name="주간계획" sheetId="2" state="visible" r:id="rId2"/>
    <sheet xmlns:r="http://schemas.openxmlformats.org/officeDocument/2006/relationships" name="D1_당기기A" sheetId="3" state="visible" r:id="rId3"/>
    <sheet xmlns:r="http://schemas.openxmlformats.org/officeDocument/2006/relationships" name="D2_밀기A" sheetId="4" state="visible" r:id="rId4"/>
    <sheet xmlns:r="http://schemas.openxmlformats.org/officeDocument/2006/relationships" name="D3_하체A" sheetId="5" state="visible" r:id="rId5"/>
    <sheet xmlns:r="http://schemas.openxmlformats.org/officeDocument/2006/relationships" name="D5_당기기B" sheetId="6" state="visible" r:id="rId6"/>
    <sheet xmlns:r="http://schemas.openxmlformats.org/officeDocument/2006/relationships" name="D6_밀기B" sheetId="7" state="visible" r:id="rId7"/>
    <sheet xmlns:r="http://schemas.openxmlformats.org/officeDocument/2006/relationships" name="D7_하체B" sheetId="8" state="visible" r:id="rId8"/>
    <sheet xmlns:r="http://schemas.openxmlformats.org/officeDocument/2006/relationships" name="D8_어깨" sheetId="9" state="visible" r:id="rId9"/>
    <sheet xmlns:r="http://schemas.openxmlformats.org/officeDocument/2006/relationships" name="간접계수맵" sheetId="10" state="visible" r:id="rId10"/>
    <sheet xmlns:r="http://schemas.openxmlformats.org/officeDocument/2006/relationships" name="세트검산" sheetId="11" state="visible" r:id="rId11"/>
    <sheet xmlns:r="http://schemas.openxmlformats.org/officeDocument/2006/relationships" name="증량기록" sheetId="12" state="visible" r:id="rId12"/>
    <sheet xmlns:r="http://schemas.openxmlformats.org/officeDocument/2006/relationships" name="9월이후조정" sheetId="13" state="visible" r:id="rId13"/>
    <sheet xmlns:r="http://schemas.openxmlformats.org/officeDocument/2006/relationships" name="복귀_주간계획" sheetId="14" state="visible" r:id="rId14"/>
    <sheet xmlns:r="http://schemas.openxmlformats.org/officeDocument/2006/relationships" name="복귀_토_하체" sheetId="15" state="visible" r:id="rId15"/>
    <sheet xmlns:r="http://schemas.openxmlformats.org/officeDocument/2006/relationships" name="복귀_일_등" sheetId="16" state="visible" r:id="rId16"/>
    <sheet xmlns:r="http://schemas.openxmlformats.org/officeDocument/2006/relationships" name="복귀_평일B_어깨" sheetId="17" state="visible" r:id="rId17"/>
    <sheet xmlns:r="http://schemas.openxmlformats.org/officeDocument/2006/relationships" name="복귀_평일A_가슴" sheetId="18" state="visible" r:id="rId18"/>
    <sheet xmlns:r="http://schemas.openxmlformats.org/officeDocument/2006/relationships" name="복귀_증량원칙" sheetId="19" state="visible" r:id="rId19"/>
    <sheet xmlns:r="http://schemas.openxmlformats.org/officeDocument/2006/relationships" name="복귀_간접계수맵" sheetId="20" state="visible" r:id="rId20"/>
    <sheet xmlns:r="http://schemas.openxmlformats.org/officeDocument/2006/relationships" name="복귀_세트검산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44">
    <font>
      <name val="Calibri"/>
      <charset val="1"/>
      <family val="2"/>
      <color theme="1"/>
      <sz val="11"/>
    </font>
    <font>
      <name val="Noto Sans CJK SC"/>
      <charset val="1"/>
      <family val="2"/>
      <b val="1"/>
      <sz val="14"/>
    </font>
    <font>
      <name val="Noto Sans CJK SC"/>
      <charset val="1"/>
      <family val="2"/>
      <i val="1"/>
      <color rgb="FF595959"/>
      <sz val="9"/>
    </font>
    <font>
      <name val="Noto Sans CJK SC"/>
      <charset val="1"/>
      <family val="2"/>
      <b val="1"/>
      <sz val="11"/>
    </font>
    <font>
      <name val="Arial"/>
      <charset val="1"/>
      <family val="2"/>
      <color rgb="FF0000FF"/>
      <sz val="10"/>
    </font>
    <font>
      <name val="Noto Sans CJK SC"/>
      <charset val="1"/>
      <family val="2"/>
      <b val="1"/>
      <color rgb="FFFFFFFF"/>
      <sz val="10"/>
    </font>
    <font>
      <name val="Arial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i val="1"/>
      <color rgb="FF595959"/>
      <sz val="9"/>
    </font>
    <font>
      <name val="Arial"/>
      <charset val="1"/>
      <family val="2"/>
      <b val="1"/>
      <sz val="11"/>
    </font>
    <font>
      <name val="Noto Sans CJK SC"/>
      <charset val="1"/>
      <family val="2"/>
      <b val="1"/>
      <sz val="13"/>
    </font>
    <font>
      <name val="Noto Sans CJK SC"/>
      <charset val="1"/>
      <family val="2"/>
      <sz val="11"/>
    </font>
    <font>
      <name val="Noto Sans CJK SC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Noto Sans CJK SC"/>
      <charset val="1"/>
      <family val="2"/>
      <b val="1"/>
      <sz val="10"/>
    </font>
    <font>
      <name val="Noto Sans CJK SC"/>
      <family val="2"/>
      <color theme="1"/>
      <sz val="11"/>
    </font>
    <font>
      <name val="Arial"/>
      <charset val="1"/>
      <family val="2"/>
      <b val="1"/>
      <color rgb="FFFFFFFF"/>
      <sz val="11"/>
    </font>
    <font>
      <name val="Noto Sans CJK SC"/>
      <charset val="129"/>
      <family val="3"/>
      <sz val="11"/>
    </font>
    <font>
      <name val="Noto Sans CJK SC"/>
      <charset val="1"/>
      <family val="2"/>
      <b val="1"/>
      <color rgb="FF000000"/>
      <sz val="11"/>
    </font>
    <font>
      <name val="Arial"/>
      <charset val="1"/>
      <family val="2"/>
      <b val="1"/>
      <color rgb="FF000000"/>
      <sz val="11"/>
    </font>
    <font>
      <name val="맑은 고딕"/>
      <charset val="129"/>
      <family val="3"/>
      <sz val="11"/>
    </font>
    <font>
      <name val="Noto Sans CJK SC"/>
      <charset val="1"/>
      <family val="2"/>
      <color rgb="FF7F8C8D"/>
      <sz val="9"/>
    </font>
    <font>
      <name val="Noto Sans CJK SC"/>
      <charset val="1"/>
      <family val="2"/>
      <i val="1"/>
      <color rgb="FF7F8C8D"/>
      <sz val="9"/>
    </font>
    <font>
      <name val="Arial"/>
      <charset val="1"/>
      <family val="2"/>
      <color rgb="FF1F4E3D"/>
      <sz val="9"/>
    </font>
    <font>
      <name val="Noto Sans CJK SC"/>
      <charset val="1"/>
      <family val="2"/>
      <color rgb="FF566573"/>
      <sz val="9"/>
    </font>
    <font>
      <name val="Arial"/>
      <charset val="1"/>
      <family val="2"/>
      <color rgb="FF566573"/>
      <sz val="9"/>
    </font>
    <font>
      <name val="Arial"/>
      <charset val="1"/>
      <family val="2"/>
      <color rgb="FFB9770E"/>
      <sz val="9"/>
    </font>
    <font>
      <name val="Noto Sans CJK SC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color rgb="FF595959"/>
      <sz val="9"/>
    </font>
    <font>
      <name val="Noto Sans CJK SC"/>
      <charset val="1"/>
      <color rgb="FF000000"/>
      <sz val="10"/>
    </font>
    <font>
      <name val="Noto Sans CJK SC"/>
      <charset val="1"/>
      <family val="2"/>
      <color rgb="FF000000"/>
      <sz val="10"/>
    </font>
    <font>
      <name val="돋움"/>
      <charset val="129"/>
      <family val="3"/>
      <sz val="8"/>
    </font>
    <font>
      <name val="맑은 고딕"/>
      <charset val="129"/>
      <family val="2"/>
      <sz val="11"/>
    </font>
    <font>
      <name val="Calibri"/>
      <charset val="1"/>
      <family val="2"/>
      <color theme="10"/>
      <sz val="11"/>
      <u val="single"/>
    </font>
    <font>
      <name val="돋움"/>
      <charset val="129"/>
      <family val="2"/>
      <color theme="1"/>
      <sz val="11"/>
    </font>
    <font>
      <name val="맑은 고딕"/>
      <charset val="129"/>
      <family val="3"/>
      <color theme="1"/>
      <sz val="11"/>
    </font>
    <font>
      <name val="맑은 고딕"/>
      <charset val="129"/>
      <family val="2"/>
      <color theme="1"/>
      <sz val="11"/>
    </font>
    <font>
      <name val="Calibri"/>
      <charset val="129"/>
      <family val="2"/>
      <color theme="1"/>
      <sz val="11"/>
    </font>
    <font>
      <name val="맑은 고딕"/>
      <charset val="129"/>
      <family val="3"/>
      <sz val="10"/>
    </font>
    <font>
      <name val="Arial"/>
      <family val="2"/>
      <sz val="10"/>
    </font>
    <font>
      <name val="Noto Sans CJK SC"/>
      <charset val="129"/>
      <family val="3"/>
      <sz val="1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2" fontId="9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9" fillId="4" borderId="1" applyAlignment="1" pivotButton="0" quotePrefix="0" xfId="0">
      <alignment horizontal="center" vertical="center"/>
    </xf>
    <xf numFmtId="2" fontId="8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pivotButton="0" quotePrefix="0" xfId="0"/>
    <xf numFmtId="0" fontId="1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7" fillId="0" borderId="0" pivotButton="0" quotePrefix="0" xfId="0"/>
    <xf numFmtId="0" fontId="18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/>
    </xf>
    <xf numFmtId="2" fontId="11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/>
    </xf>
    <xf numFmtId="2" fontId="15" fillId="4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0" fillId="0" borderId="0" pivotButton="0" quotePrefix="0" xfId="0"/>
    <xf numFmtId="0" fontId="21" fillId="4" borderId="1" applyAlignment="1" pivotButton="0" quotePrefix="0" xfId="0">
      <alignment horizontal="center"/>
    </xf>
    <xf numFmtId="0" fontId="5" fillId="7" borderId="2" applyAlignment="1" pivotButton="0" quotePrefix="0" xfId="0">
      <alignment horizontal="center"/>
    </xf>
    <xf numFmtId="0" fontId="7" fillId="0" borderId="2" pivotButton="0" quotePrefix="0" xfId="0"/>
    <xf numFmtId="2" fontId="4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2" fontId="8" fillId="0" borderId="2" applyAlignment="1" pivotButton="0" quotePrefix="0" xfId="0">
      <alignment horizontal="center"/>
    </xf>
    <xf numFmtId="0" fontId="25" fillId="0" borderId="2" applyAlignment="1" pivotButton="0" quotePrefix="0" xfId="0">
      <alignment horizontal="center"/>
    </xf>
    <xf numFmtId="0" fontId="26" fillId="0" borderId="2" pivotButton="0" quotePrefix="0" xfId="0"/>
    <xf numFmtId="0" fontId="27" fillId="0" borderId="2" pivotButton="0" quotePrefix="0" xfId="0"/>
    <xf numFmtId="0" fontId="28" fillId="0" borderId="2" applyAlignment="1" pivotButton="0" quotePrefix="0" xfId="0">
      <alignment horizontal="center"/>
    </xf>
    <xf numFmtId="2" fontId="11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30" fillId="0" borderId="0" pivotButton="0" quotePrefix="0" xfId="0"/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 wrapText="1"/>
    </xf>
    <xf numFmtId="0" fontId="31" fillId="0" borderId="0" pivotButton="0" quotePrefix="0" xfId="0"/>
    <xf numFmtId="2" fontId="7" fillId="4" borderId="1" applyAlignment="1" pivotButton="0" quotePrefix="0" xfId="0">
      <alignment horizontal="center" vertical="center"/>
    </xf>
    <xf numFmtId="0" fontId="16" fillId="0" borderId="0" pivotButton="0" quotePrefix="0" xfId="0"/>
    <xf numFmtId="2" fontId="7" fillId="0" borderId="1" applyAlignment="1" pivotButton="0" quotePrefix="0" xfId="0">
      <alignment horizontal="center" vertical="center"/>
    </xf>
    <xf numFmtId="2" fontId="8" fillId="4" borderId="1" applyAlignment="1" pivotButton="0" quotePrefix="0" xfId="0">
      <alignment horizontal="center" vertical="center"/>
    </xf>
    <xf numFmtId="0" fontId="32" fillId="0" borderId="0" pivotButton="0" quotePrefix="0" xfId="0"/>
    <xf numFmtId="0" fontId="33" fillId="0" borderId="0" pivotButton="0" quotePrefix="0" xfId="0"/>
    <xf numFmtId="0" fontId="22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center" vertical="center"/>
    </xf>
    <xf numFmtId="0" fontId="37" fillId="0" borderId="0" pivotButton="0" quotePrefix="0" xfId="0"/>
    <xf numFmtId="14" fontId="4" fillId="2" borderId="1" applyAlignment="1" pivotButton="0" quotePrefix="0" xfId="0">
      <alignment horizontal="center" vertical="center"/>
    </xf>
    <xf numFmtId="0" fontId="38" fillId="0" borderId="0" pivotButton="0" quotePrefix="0" xfId="0"/>
    <xf numFmtId="0" fontId="36" fillId="0" borderId="0" pivotButton="0" quotePrefix="0" xfId="1"/>
    <xf numFmtId="0" fontId="39" fillId="0" borderId="0" pivotButton="0" quotePrefix="0" xfId="0"/>
    <xf numFmtId="0" fontId="40" fillId="0" borderId="0" pivotButton="0" quotePrefix="0" xfId="0"/>
    <xf numFmtId="0" fontId="43" fillId="0" borderId="1" applyAlignment="1" pivotButton="0" quotePrefix="0" xfId="0">
      <alignment horizontal="left" vertical="center" wrapText="1"/>
    </xf>
    <xf numFmtId="0" fontId="24" fillId="6" borderId="0" applyAlignment="1" pivotButton="0" quotePrefix="0" xfId="0">
      <alignment vertical="top" wrapText="1"/>
    </xf>
    <xf numFmtId="0" fontId="0" fillId="0" borderId="0" pivotButton="0" quotePrefix="0" xfId="0"/>
    <xf numFmtId="0" fontId="23" fillId="0" borderId="0" applyAlignment="1" pivotButton="0" quotePrefix="0" xfId="0">
      <alignment vertical="top" wrapText="1"/>
    </xf>
    <xf numFmtId="0" fontId="29" fillId="0" borderId="3" applyAlignment="1" pivotButton="0" quotePrefix="0" xfId="0">
      <alignment horizontal="center" vertical="center"/>
    </xf>
    <xf numFmtId="0" fontId="0" fillId="0" borderId="3" pivotButton="0" quotePrefix="0" xfId="0"/>
    <xf numFmtId="164" fontId="4" fillId="2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1" applyAlignment="1" pivotButton="0" quotePrefix="0" xfId="0">
      <alignment horizontal="center" vertical="center"/>
    </xf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youtube.com/watch?v=BGaOGtfTKPc&amp;list=LL&amp;index=4" TargetMode="External" Id="rId1"/><Relationship Type="http://schemas.openxmlformats.org/officeDocument/2006/relationships/hyperlink" Target="https://www.youtube.com/watch?v=BGaOGtfTKPc&amp;list=LL&amp;index=4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Normal="100" workbookViewId="0">
      <selection activeCell="G17" sqref="G17"/>
    </sheetView>
  </sheetViews>
  <sheetFormatPr baseColWidth="8" defaultColWidth="8.7109375" defaultRowHeight="15"/>
  <cols>
    <col width="18" customWidth="1" style="96" min="1" max="1"/>
    <col width="14" customWidth="1" style="96" min="2" max="2"/>
    <col width="16" customWidth="1" style="96" min="3" max="6"/>
  </cols>
  <sheetData>
    <row r="1" ht="21" customHeight="1" s="96">
      <c r="A1" s="1" t="inlineStr">
        <is>
          <t>시작 중량 설정 — 5년 공백 후 복귀</t>
        </is>
      </c>
    </row>
    <row r="2" ht="15" customHeight="1" s="96">
      <c r="A2" s="2" t="inlineStr">
        <is>
          <t>노란 칸 두 곳만 채우면 각 일차 시트의 웜업 램프와 본세트 중량이 전부 자동 계산됩니다.</t>
        </is>
      </c>
    </row>
    <row r="4" ht="15" customHeight="1" s="96">
      <c r="A4" s="3" t="inlineStr">
        <is>
          <t>현재 사이클</t>
        </is>
      </c>
      <c r="C4" s="4" t="n">
        <v>4</v>
      </c>
      <c r="D4" s="2" t="inlineStr">
        <is>
          <t>← 사이클이 끝날 때마다 이 숫자를 1 올리면 일차 시트 중량이 그 사이클에 맞게 갱신됩니다 (1~12)</t>
        </is>
      </c>
    </row>
    <row r="6" ht="15" customHeight="1" s="96">
      <c r="A6" s="5" t="inlineStr">
        <is>
          <t>종목</t>
        </is>
      </c>
      <c r="B6" s="6" t="inlineStr">
        <is>
          <t>5년 전 중량</t>
        </is>
      </c>
      <c r="C6" s="5" t="inlineStr">
        <is>
          <t>권장 시작 (40%)</t>
        </is>
      </c>
      <c r="D6" s="5" t="inlineStr">
        <is>
          <t>시작 중량 ★입력★</t>
        </is>
      </c>
      <c r="E6" s="5" t="inlineStr">
        <is>
          <t>현재 작업중량</t>
        </is>
      </c>
      <c r="F6" s="5" t="inlineStr">
        <is>
          <t>본세트</t>
        </is>
      </c>
    </row>
    <row r="7" ht="15" customHeight="1" s="96">
      <c r="A7" s="7" t="inlineStr">
        <is>
          <t>스쿼트</t>
        </is>
      </c>
      <c r="B7" s="7" t="n">
        <v>92.5</v>
      </c>
      <c r="C7" s="8">
        <f>MAX(20,MROUND(B7*0.4,2.5))</f>
        <v/>
      </c>
      <c r="D7" s="4" t="n">
        <v>37.5</v>
      </c>
      <c r="E7" s="9">
        <f>INDEX(증량기록!$C$10:$C$21,$C$4)</f>
        <v/>
      </c>
      <c r="F7" s="8" t="inlineStr">
        <is>
          <t>5회 × 5세트</t>
        </is>
      </c>
    </row>
    <row r="8" ht="15" customHeight="1" s="96">
      <c r="A8" s="7" t="inlineStr">
        <is>
          <t>데드리프트</t>
        </is>
      </c>
      <c r="B8" s="7" t="n">
        <v>105</v>
      </c>
      <c r="C8" s="8">
        <f>MAX(20,MROUND(B8*0.4,2.5))</f>
        <v/>
      </c>
      <c r="D8" s="4" t="n">
        <v>42.5</v>
      </c>
      <c r="E8" s="9">
        <f>INDEX(증량기록!$E$10:$E$21,$C$4)</f>
        <v/>
      </c>
      <c r="F8" s="8" t="inlineStr">
        <is>
          <t>5회 × 1세트</t>
        </is>
      </c>
    </row>
    <row r="9" ht="15" customHeight="1" s="96">
      <c r="A9" s="7" t="inlineStr">
        <is>
          <t>벤치프레스</t>
        </is>
      </c>
      <c r="B9" s="7" t="n">
        <v>47.25</v>
      </c>
      <c r="C9" s="8">
        <f>MAX(20,MROUND(B9*0.4,2.5))</f>
        <v/>
      </c>
      <c r="D9" s="4" t="n">
        <v>22.5</v>
      </c>
      <c r="E9" s="9">
        <f>INDEX(증량기록!$G$10:$G$21,$C$4)</f>
        <v/>
      </c>
      <c r="F9" s="8" t="inlineStr">
        <is>
          <t>5회 × 5세트</t>
        </is>
      </c>
    </row>
    <row r="10" ht="15" customHeight="1" s="96">
      <c r="A10" s="7" t="inlineStr">
        <is>
          <t>밀리터리 프레스</t>
        </is>
      </c>
      <c r="B10" s="7" t="n">
        <v>40</v>
      </c>
      <c r="C10" s="8">
        <f>MAX(20,MROUND(B10*0.4,2.5))</f>
        <v/>
      </c>
      <c r="D10" s="4" t="n">
        <v>20</v>
      </c>
      <c r="E10" s="9">
        <f>INDEX(증량기록!$I$10:$I$21,$C$4)</f>
        <v/>
      </c>
      <c r="F10" s="8" t="inlineStr">
        <is>
          <t>5회 × 3세트</t>
        </is>
      </c>
    </row>
    <row r="11" ht="15" customHeight="1" s="96">
      <c r="D11" s="10" t="inlineStr">
        <is>
          <t>↑ 여기에 숫자를 직접 입력</t>
        </is>
      </c>
    </row>
    <row r="12" ht="15" customHeight="1" s="96">
      <c r="A12" s="11" t="n"/>
    </row>
    <row r="13" ht="32.25" customHeight="1" s="96">
      <c r="A13" s="12" t="inlineStr">
        <is>
          <t>D열(시작 중량)을 바꾸는 법</t>
        </is>
      </c>
    </row>
    <row r="14" ht="51.75" customHeight="1" s="96">
      <c r="A14" s="11" t="inlineStr">
        <is>
          <t>· D7~D10 노란 칸에 원하는 숫자를 그냥 입력하면 됩니다. 수식이 아니라 일반 숫자입니다.</t>
        </is>
      </c>
    </row>
    <row r="15" ht="51.75" customHeight="1" s="96">
      <c r="A15" s="11" t="inlineStr">
        <is>
          <t>· 예: 스쿼트를 30kg으로 시작하고 싶으면 D7에 30을 입력. 나머지는 전부 자동으로 따라옵니다.</t>
        </is>
      </c>
    </row>
    <row r="16" ht="64.5" customHeight="1" s="96">
      <c r="A16" s="11" t="inlineStr">
        <is>
          <t>· C열은 참고용 계산값이므로 건드리지 않아도 됩니다.</t>
        </is>
      </c>
    </row>
    <row r="17" ht="51.75" customHeight="1" s="96">
      <c r="A17" s="11" t="inlineStr">
        <is>
          <t>· 그리고 C4의 '현재 사이클'은 사이클이 끝날 때마다 1씩 올려주는 칸입니다. 이 두 곳 외에는 손댈 필요가 없습니다.</t>
        </is>
      </c>
    </row>
    <row r="18" ht="51.75" customHeight="1" s="96">
      <c r="A18" s="11" t="n"/>
    </row>
    <row r="19" ht="15" customHeight="1" s="96">
      <c r="A19" s="12" t="inlineStr">
        <is>
          <t>5년 공백 후 시작 중량 잡는 법</t>
        </is>
      </c>
    </row>
    <row r="20" ht="77.25" customHeight="1" s="96">
      <c r="A20" s="11" t="inlineStr">
        <is>
          <t>· 5년 쉬었으면 근력보다 관절 · 건 · 인대와 폼 감각이 먼저 무너져 있다. 근육은 빨리 돌아오지만 이쪽은 느리다.</t>
        </is>
      </c>
    </row>
    <row r="21" ht="51.75" customHeight="1" s="96">
      <c r="A21" s="11" t="inlineStr">
        <is>
          <t>· 벤치와 프레스는 빈 봉(20kg)에서 시작하는 것이 맞다. 이것이 과한 것이 아니라 정상이다.</t>
        </is>
      </c>
    </row>
    <row r="22" ht="15" customHeight="1" s="96">
      <c r="A22" s="11" t="inlineStr">
        <is>
          <t>· 기준: 10회는 할 수 있을 것 같은 무게로 5회만 하는 것. 여유가 크게 느껴져야 맞다.</t>
        </is>
      </c>
    </row>
    <row r="23" ht="16.5" customHeight="1" s="96">
      <c r="A23" s="11" t="inlineStr">
        <is>
          <t>· 첫 3~4주는 훈련이 아니라 재적응 기간으로 본다. 가볍다고 느껴도 그대로 간다.</t>
        </is>
      </c>
    </row>
    <row r="24" ht="51.75" customHeight="1" s="96">
      <c r="A24" s="11" t="inlineStr">
        <is>
          <t>· 너무 가볍게 시작해서 잃는 것은 3~4주뿐이다. 너무 무겁게 시작하면 몇 달을 잃는다.</t>
        </is>
      </c>
    </row>
    <row r="25" ht="39" customHeight="1" s="96">
      <c r="A25" s="11" t="n"/>
    </row>
    <row r="26" ht="64.5" customHeight="1" s="96">
      <c r="A26" s="11" t="inlineStr">
        <is>
          <t>· 5년 전 중량은 참고치일 뿐 목표가 아니다. 다만 한 번 만들어본 근력은 처음 만들 때보다 빠르게 돌아온다.</t>
        </is>
      </c>
    </row>
    <row r="27" ht="15" customHeight="1" s="96">
      <c r="A27" s="11" t="inlineStr">
        <is>
          <t>· 사이클당 2.5kg씩만 올라가도 20사이클이면 스쿼트가 예전 중량에 닿는다. 조급해할 이유가 없다.</t>
        </is>
      </c>
    </row>
    <row r="28" ht="60" customHeight="1" s="96">
      <c r="A28" s="11" t="n"/>
    </row>
    <row r="29" ht="51.75" customHeight="1" s="96">
      <c r="A29" s="13" t="inlineStr">
        <is>
          <t>사용법</t>
        </is>
      </c>
    </row>
    <row r="30" ht="51.75" customHeight="1" s="96">
      <c r="A30" s="11" t="inlineStr">
        <is>
          <t>· 1단계: D7~D10에 시작 중량을 입력한다 (기본값은 5년 전 중량의 40%).</t>
        </is>
      </c>
    </row>
    <row r="31" ht="64.5" customHeight="1" s="96">
      <c r="A31" s="11" t="inlineStr">
        <is>
          <t>· 2단계: 증량기록 시트에서 사이클마다 달성 여부에 O / X를 입력한다.</t>
        </is>
      </c>
    </row>
    <row r="32" ht="64.5" customHeight="1" s="96">
      <c r="A32" s="11" t="inlineStr">
        <is>
          <t>· 3단계: C4의 현재 사이클을 바꾸면 일차 시트의 웜업과 본세트 중량이 자동으로 따라온다.</t>
        </is>
      </c>
    </row>
    <row r="33" ht="15" customHeight="1" s="96">
      <c r="A33" s="11" t="n"/>
    </row>
    <row r="34" ht="51.75" customHeight="1" s="96">
      <c r="A34" s="11" t="inlineStr">
        <is>
          <t>· 웜업은 작업중량의 40 / 60 / 75 / 90%로 자동 계산되며 2.5kg 단위로 반올림된다.</t>
        </is>
      </c>
    </row>
    <row r="35" ht="64.5" customHeight="1" s="96">
      <c r="A35" s="11" t="inlineStr">
        <is>
          <t>· 중량이 낮아 앞 세트와 겹치는 웜업은 '생략'으로 자동 표시된다 — 웜업 세트 수가 스스로 조정된다.</t>
        </is>
      </c>
    </row>
    <row r="36" ht="26.25" customHeight="1" s="96">
      <c r="A36" s="11" t="inlineStr">
        <is>
          <t>· 20으로 표시되면 빈 봉이라는 뜻이다.</t>
        </is>
      </c>
    </row>
    <row r="38" ht="16.5" customHeight="1" s="96">
      <c r="A38" s="14" t="inlineStr">
        <is>
          <t>12사이클 예상 진행 (X 입력이 없을 때)</t>
        </is>
      </c>
    </row>
    <row r="39" ht="15" customHeight="1" s="96">
      <c r="A39" s="5" t="inlineStr">
        <is>
          <t>사이클</t>
        </is>
      </c>
      <c r="B39" s="5" t="inlineStr">
        <is>
          <t>스쿼트</t>
        </is>
      </c>
      <c r="C39" s="5" t="inlineStr">
        <is>
          <t>데드리프트</t>
        </is>
      </c>
      <c r="D39" s="5" t="inlineStr">
        <is>
          <t>벤치프레스</t>
        </is>
      </c>
      <c r="E39" s="5" t="inlineStr">
        <is>
          <t>밀리터리 프레스</t>
        </is>
      </c>
    </row>
    <row r="40" ht="15" customHeight="1" s="96">
      <c r="A40" s="15" t="inlineStr">
        <is>
          <t>1사이클</t>
        </is>
      </c>
      <c r="B40" s="9">
        <f>증량기록!C10</f>
        <v/>
      </c>
      <c r="C40" s="9">
        <f>증량기록!E10</f>
        <v/>
      </c>
      <c r="D40" s="9">
        <f>증량기록!G10</f>
        <v/>
      </c>
      <c r="E40" s="9">
        <f>증량기록!I10</f>
        <v/>
      </c>
    </row>
    <row r="41" ht="15" customHeight="1" s="96">
      <c r="A41" s="8" t="inlineStr">
        <is>
          <t>2사이클</t>
        </is>
      </c>
      <c r="B41" s="16">
        <f>증량기록!C11</f>
        <v/>
      </c>
      <c r="C41" s="16">
        <f>증량기록!E11</f>
        <v/>
      </c>
      <c r="D41" s="16">
        <f>증량기록!G11</f>
        <v/>
      </c>
      <c r="E41" s="16">
        <f>증량기록!I11</f>
        <v/>
      </c>
    </row>
    <row r="42" ht="15" customHeight="1" s="96">
      <c r="A42" s="8" t="inlineStr">
        <is>
          <t>3사이클</t>
        </is>
      </c>
      <c r="B42" s="16">
        <f>증량기록!C12</f>
        <v/>
      </c>
      <c r="C42" s="16">
        <f>증량기록!E12</f>
        <v/>
      </c>
      <c r="D42" s="16">
        <f>증량기록!G12</f>
        <v/>
      </c>
      <c r="E42" s="16">
        <f>증량기록!I12</f>
        <v/>
      </c>
    </row>
    <row r="43" ht="15" customHeight="1" s="96">
      <c r="A43" s="8" t="inlineStr">
        <is>
          <t>4사이클</t>
        </is>
      </c>
      <c r="B43" s="16">
        <f>증량기록!C13</f>
        <v/>
      </c>
      <c r="C43" s="16">
        <f>증량기록!E13</f>
        <v/>
      </c>
      <c r="D43" s="16">
        <f>증량기록!G13</f>
        <v/>
      </c>
      <c r="E43" s="16">
        <f>증량기록!I13</f>
        <v/>
      </c>
    </row>
    <row r="44" ht="15" customHeight="1" s="96">
      <c r="A44" s="8" t="inlineStr">
        <is>
          <t>5사이클</t>
        </is>
      </c>
      <c r="B44" s="16">
        <f>증량기록!C14</f>
        <v/>
      </c>
      <c r="C44" s="16">
        <f>증량기록!E14</f>
        <v/>
      </c>
      <c r="D44" s="16">
        <f>증량기록!G14</f>
        <v/>
      </c>
      <c r="E44" s="16">
        <f>증량기록!I14</f>
        <v/>
      </c>
    </row>
    <row r="45" ht="15" customHeight="1" s="96">
      <c r="A45" s="8" t="inlineStr">
        <is>
          <t>6사이클</t>
        </is>
      </c>
      <c r="B45" s="16">
        <f>증량기록!C15</f>
        <v/>
      </c>
      <c r="C45" s="16">
        <f>증량기록!E15</f>
        <v/>
      </c>
      <c r="D45" s="16">
        <f>증량기록!G15</f>
        <v/>
      </c>
      <c r="E45" s="16">
        <f>증량기록!I15</f>
        <v/>
      </c>
    </row>
    <row r="46" ht="15" customHeight="1" s="96">
      <c r="A46" s="8" t="inlineStr">
        <is>
          <t>7사이클</t>
        </is>
      </c>
      <c r="B46" s="16">
        <f>증량기록!C16</f>
        <v/>
      </c>
      <c r="C46" s="16">
        <f>증량기록!E16</f>
        <v/>
      </c>
      <c r="D46" s="16">
        <f>증량기록!G16</f>
        <v/>
      </c>
      <c r="E46" s="16">
        <f>증량기록!I16</f>
        <v/>
      </c>
    </row>
    <row r="47" ht="15" customHeight="1" s="96">
      <c r="A47" s="8" t="inlineStr">
        <is>
          <t>8사이클</t>
        </is>
      </c>
      <c r="B47" s="16">
        <f>증량기록!C17</f>
        <v/>
      </c>
      <c r="C47" s="16">
        <f>증량기록!E17</f>
        <v/>
      </c>
      <c r="D47" s="16">
        <f>증량기록!G17</f>
        <v/>
      </c>
      <c r="E47" s="16">
        <f>증량기록!I17</f>
        <v/>
      </c>
    </row>
    <row r="48" ht="15" customHeight="1" s="96">
      <c r="A48" s="8" t="inlineStr">
        <is>
          <t>9사이클</t>
        </is>
      </c>
      <c r="B48" s="16">
        <f>증량기록!C18</f>
        <v/>
      </c>
      <c r="C48" s="16">
        <f>증량기록!E18</f>
        <v/>
      </c>
      <c r="D48" s="16">
        <f>증량기록!G18</f>
        <v/>
      </c>
      <c r="E48" s="16">
        <f>증량기록!I18</f>
        <v/>
      </c>
    </row>
    <row r="49" ht="15" customHeight="1" s="96">
      <c r="A49" s="8" t="inlineStr">
        <is>
          <t>10사이클</t>
        </is>
      </c>
      <c r="B49" s="16">
        <f>증량기록!C19</f>
        <v/>
      </c>
      <c r="C49" s="16">
        <f>증량기록!E19</f>
        <v/>
      </c>
      <c r="D49" s="16">
        <f>증량기록!G19</f>
        <v/>
      </c>
      <c r="E49" s="16">
        <f>증량기록!I19</f>
        <v/>
      </c>
    </row>
    <row r="50" ht="15" customHeight="1" s="96">
      <c r="A50" s="8" t="inlineStr">
        <is>
          <t>11사이클</t>
        </is>
      </c>
      <c r="B50" s="16">
        <f>증량기록!C20</f>
        <v/>
      </c>
      <c r="C50" s="16">
        <f>증량기록!E20</f>
        <v/>
      </c>
      <c r="D50" s="16">
        <f>증량기록!G20</f>
        <v/>
      </c>
      <c r="E50" s="16">
        <f>증량기록!I20</f>
        <v/>
      </c>
    </row>
    <row r="51" ht="15" customHeight="1" s="96">
      <c r="A51" s="8" t="inlineStr">
        <is>
          <t>12사이클</t>
        </is>
      </c>
      <c r="B51" s="16">
        <f>증량기록!C21</f>
        <v/>
      </c>
      <c r="C51" s="16">
        <f>증량기록!E21</f>
        <v/>
      </c>
      <c r="D51" s="16">
        <f>증량기록!G21</f>
        <v/>
      </c>
      <c r="E51" s="16">
        <f>증량기록!I21</f>
        <v/>
      </c>
    </row>
    <row r="53" ht="51.75" customHeight="1" s="96">
      <c r="A53" s="11" t="inlineStr">
        <is>
          <t>· 위 표는 X 입력이 없다고 가정한 계획선이다. 실제 진행은 증량기록 시트가 결정한다.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0"/>
  <sheetViews>
    <sheetView zoomScaleNormal="100" workbookViewId="0">
      <selection activeCell="A1" sqref="A1"/>
    </sheetView>
  </sheetViews>
  <sheetFormatPr baseColWidth="8" defaultColWidth="8.7109375" defaultRowHeight="15"/>
  <cols>
    <col width="8" customWidth="1" style="96" min="1" max="1"/>
    <col width="20" customWidth="1" style="96" min="2" max="3"/>
    <col width="28" customWidth="1" style="96" min="4" max="5"/>
    <col width="12" customWidth="1" style="96" min="6" max="6"/>
  </cols>
  <sheetData>
    <row r="1" ht="18" customHeight="1" s="96">
      <c r="A1" s="17" t="inlineStr">
        <is>
          <t>운동 프로그램 — 8일 주기 (A블록 3일 · 휴식 · B블록 3일 · 어깨)</t>
        </is>
      </c>
    </row>
    <row r="2" ht="15" customHeight="1" s="96">
      <c r="A2" s="18" t="inlineStr">
        <is>
          <t>적용 시기: 재택 근무 기간 (~9월)  |  8일 주기 / 1일 1세션  |  1사이클부터 설계 볼륨 100% (볼륨램프 해제)  |  요일이 아니라 주기 안의 순서로 돈다</t>
        </is>
      </c>
    </row>
    <row r="4" ht="15" customHeight="1" s="96">
      <c r="A4" s="19" t="inlineStr">
        <is>
          <t>일차</t>
        </is>
      </c>
      <c r="B4" s="19" t="inlineStr">
        <is>
          <t>내용</t>
        </is>
      </c>
      <c r="C4" s="19" t="inlineStr">
        <is>
          <t>메인 리프트</t>
        </is>
      </c>
      <c r="D4" s="19" t="inlineStr">
        <is>
          <t>주요 근육군</t>
        </is>
      </c>
      <c r="E4" s="19" t="inlineStr">
        <is>
          <t>세트</t>
        </is>
      </c>
      <c r="F4" s="19" t="inlineStr">
        <is>
          <t>예상 시간</t>
        </is>
      </c>
    </row>
    <row r="5" ht="15" customHeight="1" s="96">
      <c r="A5" s="20" t="inlineStr">
        <is>
          <t>1</t>
        </is>
      </c>
      <c r="B5" s="21" t="inlineStr">
        <is>
          <t>당기기 A (수직)</t>
        </is>
      </c>
      <c r="C5" s="22" t="inlineStr">
        <is>
          <t>—</t>
        </is>
      </c>
      <c r="D5" s="21" t="inlineStr">
        <is>
          <t>광배 · 삼두 · 전완 · 기립근</t>
        </is>
      </c>
      <c r="E5" s="20">
        <f>D1_당기기A!$E$15</f>
        <v/>
      </c>
      <c r="F5" s="20" t="inlineStr">
        <is>
          <t>약 72분</t>
        </is>
      </c>
    </row>
    <row r="6" ht="15" customHeight="1" s="96">
      <c r="A6" s="20" t="inlineStr">
        <is>
          <t>2</t>
        </is>
      </c>
      <c r="B6" s="21" t="inlineStr">
        <is>
          <t>밀기 A (수평)</t>
        </is>
      </c>
      <c r="C6" s="21" t="inlineStr">
        <is>
          <t>벤치프레스 5×5</t>
        </is>
      </c>
      <c r="D6" s="21" t="inlineStr">
        <is>
          <t>흉근 · 삼두 · 측면삼각 · 이두</t>
        </is>
      </c>
      <c r="E6" s="20">
        <f>D2_밀기A!$E$27</f>
        <v/>
      </c>
      <c r="F6" s="20" t="inlineStr">
        <is>
          <t>약 70분</t>
        </is>
      </c>
    </row>
    <row r="7" ht="15" customHeight="1" s="96">
      <c r="A7" s="20" t="inlineStr">
        <is>
          <t>3</t>
        </is>
      </c>
      <c r="B7" s="21" t="inlineStr">
        <is>
          <t>하체 A (무릎)</t>
        </is>
      </c>
      <c r="C7" s="21" t="inlineStr">
        <is>
          <t>스쿼트 5×5</t>
        </is>
      </c>
      <c r="D7" s="21" t="inlineStr">
        <is>
          <t>대퇴사두 · 햄스트링 · 둔근</t>
        </is>
      </c>
      <c r="E7" s="20">
        <f>D3_하체A!$E$23</f>
        <v/>
      </c>
      <c r="F7" s="20" t="inlineStr">
        <is>
          <t>약 77분</t>
        </is>
      </c>
    </row>
    <row r="8" ht="15" customHeight="1" s="96">
      <c r="A8" s="23" t="inlineStr">
        <is>
          <t>4</t>
        </is>
      </c>
      <c r="B8" s="24" t="inlineStr">
        <is>
          <t>휴식</t>
        </is>
      </c>
      <c r="C8" s="25" t="inlineStr">
        <is>
          <t>—</t>
        </is>
      </c>
      <c r="D8" s="24" t="inlineStr">
        <is>
          <t>—</t>
        </is>
      </c>
      <c r="E8" s="23" t="n">
        <v>0</v>
      </c>
      <c r="F8" s="20" t="inlineStr">
        <is>
          <t>—</t>
        </is>
      </c>
    </row>
    <row r="9" ht="15" customHeight="1" s="96">
      <c r="A9" s="20" t="inlineStr">
        <is>
          <t>5</t>
        </is>
      </c>
      <c r="B9" s="21" t="inlineStr">
        <is>
          <t>당기기 B (수평)</t>
        </is>
      </c>
      <c r="C9" s="21" t="inlineStr">
        <is>
          <t>—</t>
        </is>
      </c>
      <c r="D9" s="21" t="inlineStr">
        <is>
          <t>광배 · 능형근 · 승모 · 이두</t>
        </is>
      </c>
      <c r="E9" s="20">
        <f>D5_당기기B!$E$15</f>
        <v/>
      </c>
      <c r="F9" s="20" t="inlineStr">
        <is>
          <t>약 65분</t>
        </is>
      </c>
    </row>
    <row r="10" ht="15" customHeight="1" s="96">
      <c r="A10" s="20" t="inlineStr">
        <is>
          <t>6</t>
        </is>
      </c>
      <c r="B10" s="21" t="inlineStr">
        <is>
          <t>밀기 B (수직)</t>
        </is>
      </c>
      <c r="C10" s="21" t="inlineStr">
        <is>
          <t>밀리터리 5×3</t>
        </is>
      </c>
      <c r="D10" s="21" t="inlineStr">
        <is>
          <t>삼각근 · 흉근 상부 · 승모(하부)</t>
        </is>
      </c>
      <c r="E10" s="20">
        <f>D6_밀기B!$E$29</f>
        <v/>
      </c>
      <c r="F10" s="20" t="inlineStr">
        <is>
          <t>약 66분</t>
        </is>
      </c>
    </row>
    <row r="11" ht="15" customHeight="1" s="96">
      <c r="A11" s="23" t="inlineStr">
        <is>
          <t>7</t>
        </is>
      </c>
      <c r="B11" s="24" t="inlineStr">
        <is>
          <t>하체 B (고관절)</t>
        </is>
      </c>
      <c r="C11" s="25" t="inlineStr">
        <is>
          <t>데드리프트 1×5</t>
        </is>
      </c>
      <c r="D11" s="25" t="inlineStr">
        <is>
          <t>둔근 · 햄스트링 · 대퇴사두</t>
        </is>
      </c>
      <c r="E11" s="23">
        <f>D7_하체B!$E$23</f>
        <v/>
      </c>
      <c r="F11" s="26" t="inlineStr">
        <is>
          <t>약 72분</t>
        </is>
      </c>
    </row>
    <row r="12" ht="15" customHeight="1" s="96">
      <c r="A12" s="23" t="inlineStr">
        <is>
          <t>8</t>
        </is>
      </c>
      <c r="B12" s="24" t="inlineStr">
        <is>
          <t>어깨 (측면 · 후면) · 이두</t>
        </is>
      </c>
      <c r="C12" s="25" t="inlineStr">
        <is>
          <t>—</t>
        </is>
      </c>
      <c r="D12" s="25" t="inlineStr">
        <is>
          <t>삼각근(측면·후면) · 이두</t>
        </is>
      </c>
      <c r="E12" s="23">
        <f>D8_어깨!$E$13</f>
        <v/>
      </c>
      <c r="F12" s="26" t="inlineStr">
        <is>
          <t>약 39분</t>
        </is>
      </c>
    </row>
    <row r="13">
      <c r="A13" s="27" t="inlineStr">
        <is>
          <t>합계</t>
        </is>
      </c>
      <c r="B13" s="28" t="n"/>
      <c r="C13" s="29" t="n"/>
      <c r="D13" s="28" t="n"/>
      <c r="E13" s="27">
        <f>SUM(E5:E12)</f>
        <v/>
      </c>
      <c r="F13" t="inlineStr">
        <is>
          <t>약 461분 (7시간 41분)</t>
        </is>
      </c>
    </row>
    <row r="14" ht="16.5" customHeight="1" s="96"/>
    <row r="15" ht="89.25" customHeight="1" s="96">
      <c r="A15" s="13" t="inlineStr">
        <is>
          <t>배치 논리</t>
        </is>
      </c>
    </row>
    <row r="16" ht="76.5" customHeight="1" s="96">
      <c r="A16" s="30" t="inlineStr">
        <is>
          <t>· 8일 주기다. 1~3일차 A블록 · 4일차 완전휴식 · 5~7일차 B블록 · 8일차 어깨 · 다시 1일차.</t>
        </is>
      </c>
    </row>
    <row r="17" ht="38.25" customHeight="1" s="96">
      <c r="A17" s="30" t="inlineStr">
        <is>
          <t>· 무거운 하체일 뒤가 둘 다 저부하다: 3일차 스쿼트 → 4일차 완전휴식, 7일차 데드 → 8일차 어깨. 어깨는 레터럴과 리버스 플라이뿐이라 척추 부하가 0이다.</t>
        </is>
      </c>
    </row>
    <row r="18" ht="114.75" customHeight="1" s="96">
      <c r="A18" s="30" t="inlineStr">
        <is>
          <t>· 부위 간격이 4일로 균등해졌다. 주 단위였을 때는 3일과 4일이 번갈아 왔다. 벤치(2일차) → 밀리터리(6일차) 4일, 스쿼트(3일차) → 데드(7일차) 4일.</t>
        </is>
      </c>
    </row>
    <row r="19" ht="16.5" customHeight="1" s="96">
      <c r="A19" s="30" t="inlineStr">
        <is>
          <t>· 8일차는 사실상 액티브 리커버리다. 다음 날 1일차 당기기에 영향이 있으면 무게가 과한 것 — 세트가 아니라 무게를 내린다.</t>
        </is>
      </c>
    </row>
    <row r="20" ht="16.5" customHeight="1" s="96">
      <c r="A20" s="30" t="inlineStr">
        <is>
          <t>· 연속 훈련은 5일차부터 다음 3일차까지 7일이지만, 가운데 8일차가 30분 고립 세션이라 체감은 3일 → 가벼움 → 3일이다.</t>
        </is>
      </c>
    </row>
    <row r="21" ht="15" customHeight="1" s="96">
      <c r="A21" s="30" t="inlineStr">
        <is>
          <t>· 당기기 A(수직) / B(수평), 밀기 A(수평) / B(수직), 하체 A(무릎) / B(고관절). 같은 부위를 4일 뒤 다른 각도로 친다.</t>
        </is>
      </c>
    </row>
    <row r="22" ht="15" customHeight="1" s="96">
      <c r="A22" s="30" t="inlineStr">
        <is>
          <t>· 기립근: 데드(7일차) + 덤벨 RDL(1일차). RDL은 20kg으로 가볍게 — 척추 부하가 아니라 자세 유지가 목적.</t>
        </is>
      </c>
    </row>
    <row r="23" ht="15" customHeight="1" s="96">
      <c r="A23" s="31" t="n"/>
    </row>
    <row r="24" ht="15" customHeight="1" s="96">
      <c r="A24" s="13" t="inlineStr">
        <is>
          <t>8일 주기로 바꾸며 치른 값 (2026-08-28 전환)</t>
        </is>
      </c>
    </row>
    <row r="25" ht="16.5" customHeight="1" s="96">
      <c r="A25" s="30" t="inlineStr">
        <is>
          <t>· 달력과 어긋난다. 밀기 A(벤치)가 8일에 한 번씩 월요일에 걸린다 — 월요일 벤치 혼잡을 피하려던 원래 제약은 포기한 것이다.</t>
        </is>
      </c>
    </row>
    <row r="26" ht="15" customHeight="1" s="96">
      <c r="A26" s="30" t="inlineStr">
        <is>
          <t>· 주당 볼륨이 12.5% 희석된다. 사이클당 세트 × 7/8 = 주당 환산. 세트검산 J열에 환산값을 두고 판정도 그 기준으로 한다.</t>
        </is>
      </c>
    </row>
    <row r="27" ht="15" customHeight="1" s="96">
      <c r="A27" s="30" t="inlineStr">
        <is>
          <t>· 12사이클 = 96일로 12주(84일)보다 12일 길다. 메인 리프트 목표 중량은 그대로고 도달 시점만 늦어진다.</t>
        </is>
      </c>
    </row>
    <row r="28" ht="79.5" customHeight="1" s="96">
      <c r="A28" s="30" t="inlineStr">
        <is>
          <t>· '이번 주'라는 단위가 사라진다. 지금이 몇 사이클인지는 시작중량_설정 C4에서, 몇 일차인지는 앱 탭에서 본다.</t>
        </is>
      </c>
    </row>
    <row r="29" ht="64.5" customHeight="1" s="96">
      <c r="A29" s="30" t="inlineStr">
        <is>
          <t>· 되돌리려면: 8일차를 빼고 4일차 휴식을 맨 뒤로 옮기면 원래의 주 6일 배치다.</t>
        </is>
      </c>
    </row>
    <row r="30" ht="90" customHeight="1" s="96">
      <c r="A30" s="30" t="n"/>
    </row>
    <row r="31" ht="102.75" customHeight="1" s="96">
      <c r="A31" s="13" t="inlineStr">
        <is>
          <t>주 단위 버전과의 차이</t>
        </is>
      </c>
    </row>
    <row r="32" ht="100.5" customHeight="1" s="96">
      <c r="A32" s="30" t="inlineStr">
        <is>
          <t>· 총 세트 184 (사이클당) · 주당 환산 161. E열 실측.</t>
        </is>
      </c>
    </row>
    <row r="33" ht="15" customHeight="1" s="96">
      <c r="A33" s="30" t="inlineStr">
        <is>
      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      </is>
      </c>
    </row>
    <row r="34" ht="90" customHeight="1" s="96">
      <c r="A34" s="30" t="inlineStr">
        <is>
      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      </is>
      </c>
    </row>
    <row r="35" ht="51.75" customHeight="1" s="96">
      <c r="A35" s="30" t="inlineStr">
        <is>
          <t>· 주요 부위 빈도 사이클당 2회, 4일 간격 균등. 팔은 3회 (이두 2·5·8일차 · 삼두 1·6일차) — 고립 소근육은 회복이 빨라 빈도를 더 준다.</t>
        </is>
      </c>
    </row>
    <row r="36" ht="77.25" customHeight="1" s="96">
      <c r="A36" s="30" t="inlineStr">
        <is>
      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      </is>
      </c>
    </row>
    <row r="37" ht="64.5" customHeight="1" s="96">
      <c r="A37" s="30" t="inlineStr">
        <is>
          <t>· 완전 휴식일은 4일차 하나 (8일에 1일 = 12.5%). 주 6일 버전의 7일에 1일(14.3%)보다 비율은 낮지만, 8일차가 30분 고립 세션이라 실질 회복 부담은 더 가볍다.</t>
        </is>
      </c>
    </row>
    <row r="38" ht="16.5" customHeight="1" s="96">
      <c r="A38" s="32" t="n"/>
    </row>
    <row r="39" ht="16.5" customHeight="1" s="96">
      <c r="A39" s="13" t="inlineStr">
        <is>
          <t>빈도를 올린 이유</t>
        </is>
      </c>
    </row>
    <row r="40" ht="16.5" customHeight="1" s="96">
      <c r="A40" s="30" t="inlineStr">
        <is>
          <t>· 한 세션에서 부위당 대략 8~10세트를 넘어가면 뒤쪽 세트는 앞의 피로 위에 얹혀 자극당 값이 떨어진다.</t>
        </is>
      </c>
    </row>
    <row r="41" ht="242.25" customHeight="1" s="96">
      <c r="A41" s="30" t="inlineStr">
        <is>
          <t>· 5일 버전의 흉근 20 / 삼각근 21 / 광배 14는 그 구간을 넘어서 있었다.</t>
        </is>
      </c>
    </row>
    <row r="42" ht="270.75" customHeight="1" s="96">
      <c r="A42" s="30" t="inlineStr">
        <is>
          <t>· 다만 "20세트 1회보다 10세트씩 2회가 낫다"는 직접 검증된 결과가 아니라 추론이다. 견고한 것은 "빈도를 올려도 손해는 없다" 정도.</t>
        </is>
      </c>
    </row>
    <row r="43" ht="242.25" customHeight="1" s="96">
      <c r="A43" s="30" t="inlineStr">
        <is>
          <t>· 5년 공백 구간에서는 동작 반복 횟수 자체가 중요하다. 벤치·스쿼트 폼을 다시 배우는 시기이므로 빈도가 그 자체로 이득.</t>
        </is>
      </c>
    </row>
    <row r="44" ht="199.5" customHeight="1" s="96">
      <c r="A44" s="31" t="n"/>
    </row>
    <row r="45" ht="185.25" customHeight="1" s="96">
      <c r="A45" s="13" t="inlineStr">
        <is>
          <t>F열 예상 시간 — 산정 기준</t>
        </is>
      </c>
    </row>
    <row r="46" ht="199.5" customHeight="1" s="96">
      <c r="A46" s="30" t="inlineStr">
        <is>
          <t>· 본세트만 센 값이다. 웜업(회전근개 · 스캡 풀업 · 밴드 풀 어파트)과 메인 리프트 웜업 램프는 빠져 있으니 그만큼 더 잡을 것.</t>
        </is>
      </c>
    </row>
    <row r="47" ht="185.25" customHeight="1" s="96">
      <c r="A47" s="30" t="inlineStr">
        <is>
          <t>· 계산식: 종목 시간 = 세트수 × (수행 + 휴식). 마지막 세트의 휴식은 다음 종목으로 넘어가는 전환 시간으로 친다.</t>
        </is>
      </c>
    </row>
    <row r="48" ht="327.75" customHeight="1" s="96">
      <c r="A48" s="30" t="inlineStr">
        <is>
          <t>· 휴식 기준: 메인 본세트 3분 · 다관절 보조 2~2분 30초 · 하체 고립 2분 · 흉근 고립 105초 · 종아리 75초 · 팔·어깨 고립 60~75초 · 복부 60초.</t>
        </is>
      </c>
    </row>
    <row r="49" ht="256.5" customHeight="1" s="96">
      <c r="A49" s="30" t="inlineStr">
        <is>
          <t>· 기준을 가르는 것은 근육 크기가 아니라 그 세트가 동원하는 근육량이다. 레그 익스텐션은 고립이어도 대퇴사두 전체를 쓰므로 2분이 필요하고, 레터럴은 60초면 된다.</t>
        </is>
      </c>
    </row>
    <row r="50" ht="409.5" customHeight="1" s="96">
      <c r="A50" s="30" t="inlineStr">
        <is>
          <t>· 같은 스테이션에서 이어 하는 조합은 이동이 0이라 계산보다 빠르다 — 1일차 랫풀다운→페이스풀, 5일차 시티드 케이블 로우→스캡 슈러그, 6일차 머신 숄더→오버헤드 슈러그.</t>
        </is>
      </c>
    </row>
    <row r="51" ht="370.5" customHeight="1" s="96">
      <c r="A51" s="30" t="inlineStr">
        <is>
          <t>· 시계보다 반복 수가 우선이다. 직전 세트보다 2회 이상 떨어지면 휴식이 짧은 것 — 특히 스쿼트·데드는 8사이클 넘어가면 3분으로 모자란다.</t>
        </is>
      </c>
    </row>
    <row r="52" ht="409.5" customHeight="1" s="96">
      <c r="A52" s="13" t="inlineStr">
        <is>
          <t>범례</t>
        </is>
      </c>
    </row>
    <row r="53" ht="370.5" customHeight="1" s="96">
      <c r="A53" s="30" t="inlineStr">
        <is>
          <t>파란 글씨 = 직접 입력하는 값 · 검은 글씨 = 수식 (건드리지 말 것) · 노란 칸 = 매 사이클 채워 넣는 칸</t>
        </is>
      </c>
    </row>
    <row r="54" ht="185.25" customHeight="1" s="96">
      <c r="A54" s="30" t="inlineStr">
        <is>
          <t>E열 = 설계 세트 (100% 고정). 볼륨 램프 미사용 — 1사이클부터 이 값 그대로 수행.</t>
        </is>
      </c>
    </row>
    <row r="56">
      <c r="A56" s="13" t="inlineStr">
        <is>
          <t>주의</t>
        </is>
      </c>
    </row>
    <row r="57" ht="327.75" customHeight="1" s="96">
      <c r="A57" s="30" t="inlineStr">
        <is>
          <t>· 판단 기준: 이전 세션의 근육통이 안 빠지거나 메인 리프트에 X가 연속으로 뜨면 8일차 어깨를 0세트로 내린다 — 완전 휴식일이 둘이 되고 배치는 그대로 남는다.</t>
        </is>
      </c>
    </row>
    <row r="58" ht="256.5" customHeight="1" s="96">
      <c r="A58" s="30" t="inlineStr">
        <is>
          <t>· 그래도 안 되면 하체 B를 빼고 그 종목을 하체 A와 당기기 B에 나눠 붙인다 — 데드는 당기기 B로. 그러면 7일 주기가 된다.</t>
        </is>
      </c>
    </row>
    <row r="59" ht="409.5" customHeight="1" s="96">
      <c r="A59" s="30" t="inlineStr">
        <is>
          <t>· 8일차 어깨 (2026-08-28 · 4사이클 추가): 측면·후면이 MEV 근처였고 2·6일차가 세션 상한이라 별도 일차로 뺐다. 회복 판정이 흔들리면 여기부터 0으로 내린다 — 프로그램에서 가장 먼저 버릴 세션이다.</t>
        </is>
      </c>
    </row>
    <row r="60" ht="370.5" customHeight="1" s="96">
      <c r="A60" s="30" t="inlineStr">
        <is>
          <t>· 8일 주기 전환 직후 2사이클은 회복 확인 구간으로 쓴다. 7일 연속 구간(5일차~다음 3일차)이 버티는지가 관건이고, 안 버티면 8일차 어깨를 0세트로 내려 완전휴식일을 하나 더 만든다.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Normal="100" workbookViewId="0">
      <pane ySplit="5" topLeftCell="A6" activePane="bottomLeft" state="frozen"/>
      <selection pane="bottomLeft" activeCell="B12" sqref="B12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</cols>
  <sheetData>
    <row r="1" ht="19.5" customHeight="1" s="96">
      <c r="A1" s="17" t="inlineStr">
        <is>
          <t>1일차 — 당기기 A (수직)</t>
        </is>
      </c>
    </row>
    <row r="2" ht="16.5" customHeight="1" s="96">
      <c r="A2" s="18" t="inlineStr">
        <is>
          <t>광배 위쪽 · 견갑골 하강 · 전완 · 삼두. 5일차 당기기 B(수평)와 각도를 나눈다.</t>
        </is>
      </c>
    </row>
    <row r="3">
      <c r="A3" s="33" t="inlineStr">
        <is>
          <t>웜업 — 스캡 풀업 2세트 × 5~8 (세트 카운트 제외): 팔은 편 채 견갑골만 하강, 여유 있게(실패 4회+ 전 종료). 친업 직전 견갑 하강 프라이밍.</t>
        </is>
      </c>
    </row>
    <row r="4" ht="15" customHeight="1" s="96">
      <c r="A4" s="3" t="inlineStr">
        <is>
          <t>운동 구성</t>
        </is>
      </c>
    </row>
    <row r="5" ht="16.5" customHeight="1" s="96">
      <c r="A5" s="34" t="inlineStr">
        <is>
          <t>#</t>
        </is>
      </c>
      <c r="B5" s="35" t="inlineStr">
        <is>
          <t>종목</t>
        </is>
      </c>
      <c r="C5" s="35" t="inlineStr">
        <is>
          <t>근육군</t>
        </is>
      </c>
      <c r="D5" s="35" t="inlineStr">
        <is>
          <t>중량(Kg)</t>
        </is>
      </c>
      <c r="E5" s="35" t="inlineStr">
        <is>
          <t>세트</t>
        </is>
      </c>
      <c r="F5" s="35" t="inlineStr">
        <is>
          <t>횟수</t>
        </is>
      </c>
      <c r="G5" s="35" t="inlineStr">
        <is>
          <t>수행(초)</t>
        </is>
      </c>
      <c r="H5" s="35" t="inlineStr">
        <is>
          <t>휴식(초)</t>
        </is>
      </c>
      <c r="I5" s="35" t="inlineStr">
        <is>
          <t>종목 분</t>
        </is>
      </c>
      <c r="J5" s="35" t="inlineStr">
        <is>
          <t>간접 자극</t>
        </is>
      </c>
      <c r="K5" s="35" t="inlineStr">
        <is>
          <t>메모</t>
        </is>
      </c>
      <c r="L5" s="35" t="inlineStr">
        <is>
          <t>대체 종목</t>
        </is>
      </c>
    </row>
    <row r="6" ht="16.5" customHeight="1" s="96">
      <c r="A6" s="20" t="n">
        <v>1</v>
      </c>
      <c r="B6" s="21" t="inlineStr">
        <is>
          <t>친업 (어시스트 가능)</t>
        </is>
      </c>
      <c r="C6" s="20" t="inlineStr">
        <is>
          <t>광배</t>
        </is>
      </c>
      <c r="D6" s="20" t="n">
        <v>60</v>
      </c>
      <c r="E6" s="20" t="n">
        <v>4</v>
      </c>
      <c r="F6" s="26" t="inlineStr">
        <is>
          <t>6~8</t>
        </is>
      </c>
      <c r="G6" s="26" t="n">
        <v>35</v>
      </c>
      <c r="H6" s="26" t="n">
        <v>150</v>
      </c>
      <c r="I6" s="26">
        <f>IF(E6=0,0,ROUND(E6*(G6+H6)/60,1))</f>
        <v/>
      </c>
      <c r="J6" s="21" t="inlineStr">
        <is>
          <t>이두</t>
        </is>
      </c>
      <c r="K6" s="21" t="inlineStr">
        <is>
          <t>수직 당기기 메인. 광배 위쪽 섬유 비중이 큼</t>
        </is>
      </c>
      <c r="L6" s="21" t="inlineStr">
        <is>
          <t>어시스트 풀업 머신 (개수가 안 나올 때) / 뉴트럴 그립 친업 (팔꿈치가 편함) / 랫풀다운</t>
        </is>
      </c>
    </row>
    <row r="7" ht="16.5" customHeight="1" s="96">
      <c r="A7" s="20" t="n">
        <v>2</v>
      </c>
      <c r="B7" s="21" t="inlineStr">
        <is>
          <t>랫풀다운</t>
        </is>
      </c>
      <c r="C7" s="20" t="inlineStr">
        <is>
          <t>광배</t>
        </is>
      </c>
      <c r="D7" s="26" t="n">
        <v>40</v>
      </c>
      <c r="E7" s="20" t="n">
        <v>4</v>
      </c>
      <c r="F7" s="26" t="inlineStr">
        <is>
          <t>8~12</t>
        </is>
      </c>
      <c r="G7" s="26" t="n">
        <v>40</v>
      </c>
      <c r="H7" s="26" t="n">
        <v>120</v>
      </c>
      <c r="I7" s="26">
        <f>IF(E7=0,0,ROUND(E7*(G7+H7)/60,1))</f>
        <v/>
      </c>
      <c r="J7" s="21" t="inlineStr">
        <is>
          <t>이두</t>
        </is>
      </c>
      <c r="K7" s="36" t="inlineStr">
        <is>
          <t>친업 뒤에 무게 조절 수단으로. 그립을 친업과 다르게 (친업이 언더면 여기선 오버)</t>
        </is>
      </c>
      <c r="L7" s="21" t="inlineStr">
        <is>
          <t>뉴트럴 그립 랫풀다운 / 원암 랫풀다운 (좌우 독립) / 케이블 풀오버 (이두 개입 최소)</t>
        </is>
      </c>
    </row>
    <row r="8" ht="16.5" customHeight="1" s="96">
      <c r="A8" s="20" t="n">
        <v>3</v>
      </c>
      <c r="B8" s="36" t="inlineStr">
        <is>
          <t>바벨 로우(스미스)(그립 넓게)</t>
        </is>
      </c>
      <c r="C8" s="44" t="inlineStr">
        <is>
          <t>광배</t>
        </is>
      </c>
      <c r="D8" s="20" t="inlineStr">
        <is>
          <t>맨몸</t>
        </is>
      </c>
      <c r="E8" s="20" t="n">
        <v>4</v>
      </c>
      <c r="F8" s="26" t="inlineStr">
        <is>
          <t>8~10</t>
        </is>
      </c>
      <c r="G8" s="26" t="n">
        <v>40</v>
      </c>
      <c r="H8" s="26" t="n">
        <v>120</v>
      </c>
      <c r="I8" s="26">
        <f>IF(E8=0,0,ROUND(E8*(G8+H8)/60,1))</f>
        <v/>
      </c>
      <c r="J8" s="21" t="inlineStr">
        <is>
          <t>전거근</t>
        </is>
      </c>
      <c r="K8" s="21" t="inlineStr">
        <is>
          <t>친업 직전 배치. 팔은 편 채 견갑골만 아래로 — 광배에 묻히지 않는다 [v18 웜업 전환 — 3행 웜업 참조. 카운트 제외]</t>
        </is>
      </c>
      <c r="L8" s="21" t="inlineStr">
        <is>
          <t>스캡 랫풀다운 (앉아서) / 어시스트 풀업 머신에서 스캡 풀업 / 바에 매달려 정지 3초</t>
        </is>
      </c>
    </row>
    <row r="9" ht="16.5" customHeight="1" s="96">
      <c r="A9" s="20" t="n">
        <v>4</v>
      </c>
      <c r="B9" s="36" t="inlineStr">
        <is>
          <t>페이스풀(로프)</t>
        </is>
      </c>
      <c r="C9" s="20" t="inlineStr">
        <is>
          <t>승모(중부)·능형근</t>
        </is>
      </c>
      <c r="D9" s="20" t="n">
        <v>12.5</v>
      </c>
      <c r="E9" s="20" t="n">
        <v>3</v>
      </c>
      <c r="F9" s="26" t="inlineStr">
        <is>
          <t>12~15</t>
        </is>
      </c>
      <c r="G9" s="26" t="n">
        <v>45</v>
      </c>
      <c r="H9" s="26" t="n">
        <v>60</v>
      </c>
      <c r="I9" s="26">
        <f>IF(E9=0,0,ROUND(E9*(G9+H9)/60,1))</f>
        <v/>
      </c>
      <c r="J9" s="21" t="inlineStr">
        <is>
          <t>삼각근(후면) · 외회전근</t>
        </is>
      </c>
      <c r="K9" s="21" t="inlineStr">
        <is>
      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      </is>
      </c>
      <c r="L9" s="21" t="inlineStr">
        <is>
          <t>로프 페이스풀 (1순위) / 밴드 페이스풀 (케이블 자리가 없을 때) / 리버스 펙덱을 팔 편 채로 + 케이블 외회전 별도 (외회전 성분을 분리 수행)</t>
        </is>
      </c>
    </row>
    <row r="10" ht="16.5" customHeight="1" s="96">
      <c r="A10" s="20" t="n">
        <v>5</v>
      </c>
      <c r="B10" s="21" t="inlineStr">
        <is>
          <t>바벨 컬</t>
        </is>
      </c>
      <c r="C10" s="20" t="inlineStr">
        <is>
          <t>이두</t>
        </is>
      </c>
      <c r="D10" s="26" t="inlineStr">
        <is>
          <t>30~35</t>
        </is>
      </c>
      <c r="E10" s="20" t="n">
        <v>0</v>
      </c>
      <c r="F10" s="26" t="inlineStr">
        <is>
          <t>8~12</t>
        </is>
      </c>
      <c r="G10" s="26" t="n">
        <v>40</v>
      </c>
      <c r="H10" s="26" t="n">
        <v>70</v>
      </c>
      <c r="I10" s="26">
        <f>IF(E10=0,0,ROUND(E10*(G10+H10)/60,1))</f>
        <v/>
      </c>
      <c r="J10" s="21" t="inlineStr">
        <is>
          <t>전완</t>
        </is>
      </c>
      <c r="K10" s="21" t="inlineStr">
        <is>
          <t>[2026-08-28 — 이 종목은 2일차 밀기 A로 옮겨 3세트로 되살아났다. 당기기 날은 친업·랫풀다운으로 이두가 이미 간접 3.5세트분 지친 뒤라 컬을 두기에 나쁜 자리였다. 이 행은 기록으로만 남긴다]</t>
        </is>
      </c>
      <c r="L10" s="22" t="inlineStr">
        <is>
          <t>EZ바 컬 (손목이 편함) / 케이블 컬 (전 구간 장력) / 해머 컬 (상완요골근 동시)</t>
        </is>
      </c>
    </row>
    <row r="11" ht="16.5" customHeight="1" s="96">
      <c r="A11" s="20" t="n">
        <v>6</v>
      </c>
      <c r="B11" s="21" t="inlineStr">
        <is>
          <t>케이블 푸쉬다운 (로프)</t>
        </is>
      </c>
      <c r="C11" s="20" t="inlineStr">
        <is>
          <t>삼두</t>
        </is>
      </c>
      <c r="D11" s="26" t="n">
        <v>20</v>
      </c>
      <c r="E11" s="20" t="n">
        <v>4</v>
      </c>
      <c r="F11" s="26" t="inlineStr">
        <is>
          <t>10~15</t>
        </is>
      </c>
      <c r="G11" s="26" t="n">
        <v>40</v>
      </c>
      <c r="H11" s="26" t="n">
        <v>70</v>
      </c>
      <c r="I11" s="26">
        <f>IF(E11=0,0,ROUND(E11*(G11+H11)/60,1))</f>
        <v/>
      </c>
      <c r="J11" s="21" t="n"/>
      <c r="K11" s="21" t="inlineStr">
        <is>
      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      </is>
      </c>
      <c r="L11" s="21" t="inlineStr">
        <is>
          <t>V바 푸쉬다운 (손목이 편함) / 오버헤드 케이블 익스텐션 (장두 — 6일차와 겹치므로 차선) / 덤벨 킥백 / 벤치 딥스 (케이블이 없을 때)</t>
        </is>
      </c>
    </row>
    <row r="12" ht="16.5" customHeight="1" s="96">
      <c r="A12" s="20" t="n">
        <v>7</v>
      </c>
      <c r="B12" s="86" t="inlineStr">
        <is>
          <t>시티드 리스트 컬(손등 위)</t>
        </is>
      </c>
      <c r="C12" s="20" t="inlineStr">
        <is>
          <t>전완</t>
        </is>
      </c>
      <c r="D12" s="20" t="n">
        <v>10</v>
      </c>
      <c r="E12" s="20" t="n">
        <v>3</v>
      </c>
      <c r="F12" s="26" t="inlineStr">
        <is>
          <t>15</t>
        </is>
      </c>
      <c r="G12" s="26" t="n">
        <v>40</v>
      </c>
      <c r="H12" s="26" t="n">
        <v>60</v>
      </c>
      <c r="I12" s="26">
        <f>IF(E12=0,0,ROUND(E12*(G12+H12)/60,1))</f>
        <v/>
      </c>
      <c r="J12" s="21" t="n"/>
      <c r="K12" s="21" t="inlineStr">
        <is>
          <t>손목 신근. 타이핑으로 약해지는 쪽이라 비중을 더 준다</t>
        </is>
      </c>
      <c r="L12" s="21" t="inlineStr">
        <is>
          <t>케이블 리버스 리스트 컬 / 리버스 EZ바 컬 (상완요골근까지) / 덤벨로 한 손씩</t>
        </is>
      </c>
    </row>
    <row r="13" ht="15" customHeight="1" s="96">
      <c r="A13" s="20" t="n">
        <v>8</v>
      </c>
      <c r="B13" s="86" t="inlineStr">
        <is>
          <t>라잉 레그 레이즈 변형4가지</t>
        </is>
      </c>
      <c r="C13" s="20" t="inlineStr">
        <is>
          <t>복부</t>
        </is>
      </c>
      <c r="D13" s="20" t="inlineStr">
        <is>
          <t>맨몸</t>
        </is>
      </c>
      <c r="E13" s="20" t="n">
        <v>4</v>
      </c>
      <c r="F13" s="26" t="n">
        <v>100</v>
      </c>
      <c r="G13" s="26" t="n">
        <v>150</v>
      </c>
      <c r="H13" s="26" t="n">
        <v>60</v>
      </c>
      <c r="I13" s="26">
        <f>IF(E13=0,0,ROUND(E13*(G13+H13)/60,1))</f>
        <v/>
      </c>
      <c r="J13" s="21" t="n"/>
      <c r="K13" s="21" t="inlineStr">
        <is>
          <t>복부 굴곡(하부). 그립이 이미 지쳐 있으면 캡틴 체어로</t>
        </is>
      </c>
      <c r="L13" s="91" t="inlineStr">
        <is>
          <t>https://www.youtube.com/watch?v=BGaOGtfTKPc&amp;list=LL&amp;index=4</t>
        </is>
      </c>
    </row>
    <row r="14" ht="15" customHeight="1" s="96">
      <c r="A14" s="20" t="n">
        <v>9</v>
      </c>
      <c r="B14" s="21" t="inlineStr">
        <is>
          <t>덤벨 루마니안 데드리프트</t>
        </is>
      </c>
      <c r="C14" s="20" t="inlineStr">
        <is>
          <t>기립근</t>
        </is>
      </c>
      <c r="D14" s="20" t="n">
        <v>20</v>
      </c>
      <c r="E14" s="20" t="n">
        <v>3</v>
      </c>
      <c r="F14" s="26" t="inlineStr">
        <is>
          <t>12</t>
        </is>
      </c>
      <c r="G14" s="26" t="n">
        <v>45</v>
      </c>
      <c r="H14" s="26" t="n">
        <v>90</v>
      </c>
      <c r="I14" s="26">
        <f>IF(E14=0,0,ROUND(E14*(G14+H14)/60,1))</f>
        <v/>
      </c>
      <c r="J14" s="21" t="inlineStr">
        <is>
          <t>둔근·햄스트링</t>
        </is>
      </c>
      <c r="K14" s="36" t="inlineStr">
        <is>
          <t>(원래는 백 익스텐션)기립근 보조. 20kg으로 가볍게 — 무게를 올리면 햄스트링 종목이 되고 척추 부하도 같이 올라간다. 데드(7일차)와 이틀 간격이라 이 자리가 맞다</t>
        </is>
      </c>
      <c r="L14" s="36" t="inlineStr">
        <is>
          <t>케이블 풀스루 (척추 압박 최소) / 굿모닝 (빈 봉~40kg, 가볍게) / 45도 하이퍼익스텐션 벤치 (있는 경우) / 스티프 레그드 데드리프트. 어느 쪽이든 가볍게 — 성장이 아니라 자세 유지가 목적</t>
        </is>
      </c>
    </row>
    <row r="15" ht="15" customHeight="1" s="96">
      <c r="D15" s="37" t="inlineStr">
        <is>
          <t>세트 합계</t>
        </is>
      </c>
      <c r="E15" s="38">
        <f>SUM(E6:E14)</f>
        <v/>
      </c>
      <c r="I15">
        <f>ROUND(SUM(I6:I14),0)</f>
        <v/>
      </c>
    </row>
    <row r="16"/>
    <row r="17"/>
    <row r="18"/>
    <row r="19"/>
    <row r="20"/>
    <row r="21"/>
    <row r="22"/>
    <row r="23"/>
    <row r="24"/>
    <row r="25">
      <c r="B25" s="36" t="n"/>
    </row>
    <row r="26"/>
    <row r="27"/>
    <row r="28"/>
    <row r="29"/>
    <row r="30"/>
    <row r="31"/>
    <row r="32"/>
    <row r="33">
      <c r="J33" t="inlineStr">
        <is>
          <t xml:space="preserve"> </t>
        </is>
      </c>
    </row>
  </sheetData>
  <conditionalFormatting sqref="A6:N14">
    <cfRule type="expression" priority="1" dxfId="0">
      <formula>$E6=0</formula>
    </cfRule>
  </conditionalFormatting>
  <conditionalFormatting sqref="B25">
    <cfRule type="expression" priority="2" dxfId="0">
      <formula>$E25=0</formula>
    </cfRule>
  </conditionalFormatting>
  <hyperlinks>
    <hyperlink xmlns:r="http://schemas.openxmlformats.org/officeDocument/2006/relationships" ref="I13" display="https://www.youtube.com/watch?v=BGaOGtfTKPc&amp;list=LL&amp;index=4" r:id="rId1"/>
    <hyperlink xmlns:r="http://schemas.openxmlformats.org/officeDocument/2006/relationships" ref="L13" r:id="rId2"/>
  </hyperlink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7"/>
  <sheetViews>
    <sheetView zoomScaleNormal="100" workbookViewId="0">
      <pane ySplit="19" topLeftCell="A20" activePane="bottomLeft" state="frozen"/>
      <selection pane="bottomLeft" activeCell="I32" sqref="I32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</cols>
  <sheetData>
    <row r="1" ht="19.5" customHeight="1" s="96">
      <c r="A1" s="17" t="inlineStr">
        <is>
          <t>2일차 — 밀기 A (수평)</t>
        </is>
      </c>
    </row>
    <row r="2" ht="16.5" customHeight="1" s="96">
      <c r="A2" s="18" t="inlineStr">
        <is>
          <t>벤치 5×5가 이 프로그램의 최우선 종목. 6일차 밀기 B(수직)와 각도를 나눈다. 이두는 이 날 안 쓰이므로 바벨 컬을 여기 둔다 — 신선한 상태에서 치는 자리다.</t>
        </is>
      </c>
    </row>
    <row r="3"/>
    <row r="4" ht="16.5" customHeight="1" s="96">
      <c r="A4" s="3" t="inlineStr">
        <is>
          <t>메인: 벤치프레스</t>
        </is>
      </c>
    </row>
    <row r="5" ht="16.5" customHeight="1" s="96">
      <c r="A5" s="19" t="inlineStr">
        <is>
          <t>중량(Kg)</t>
        </is>
      </c>
      <c r="B5" s="19" t="inlineStr">
        <is>
          <t>반복</t>
        </is>
      </c>
      <c r="C5" s="19" t="inlineStr">
        <is>
          <t>세트</t>
        </is>
      </c>
    </row>
    <row r="6" ht="15" customHeight="1" s="96">
      <c r="A6" s="20">
        <f>MAX(20,MROUND(시작중량_설정!$E$9*0.4,2.5))</f>
        <v/>
      </c>
      <c r="B6" s="20" t="n">
        <v>5</v>
      </c>
      <c r="C6" s="20" t="n">
        <v>2</v>
      </c>
    </row>
    <row r="7" ht="15" customHeight="1" s="96">
      <c r="A7" s="20">
        <f>IF(MAX(20,MROUND(시작중량_설정!$E$9*0.6,2.5))&lt;=MAX(20,MROUND(시작중량_설정!$E$9*0.4,2.5)),"생략",MAX(20,MROUND(시작중량_설정!$E$9*0.6,2.5)))</f>
        <v/>
      </c>
      <c r="B7" s="20" t="n">
        <v>5</v>
      </c>
      <c r="C7" s="20" t="n">
        <v>1</v>
      </c>
    </row>
    <row r="8" ht="15" customHeight="1" s="96">
      <c r="A8" s="20">
        <f>IF(MAX(20,MROUND(시작중량_설정!$E$9*0.75,2.5))&lt;=MAX(20,MROUND(시작중량_설정!$E$9*0.6,2.5)),"생략",MAX(20,MROUND(시작중량_설정!$E$9*0.75,2.5)))</f>
        <v/>
      </c>
      <c r="B8" s="20" t="n">
        <v>3</v>
      </c>
      <c r="C8" s="20" t="n">
        <v>1</v>
      </c>
    </row>
    <row r="9" ht="15" customHeight="1" s="96">
      <c r="A9" s="20">
        <f>IF(MAX(20,MROUND(시작중량_설정!$E$9*0.9,2.5))&lt;=MAX(20,MROUND(시작중량_설정!$E$9*0.75,2.5)),"생략",MAX(20,MROUND(시작중량_설정!$E$9*0.9,2.5)))</f>
        <v/>
      </c>
      <c r="B9" s="20" t="n">
        <v>2</v>
      </c>
      <c r="C9" s="20" t="n">
        <v>1</v>
      </c>
    </row>
    <row r="10" ht="15" customHeight="1" s="96">
      <c r="A10" s="39">
        <f>시작중량_설정!$E$9</f>
        <v/>
      </c>
      <c r="B10" s="27" t="n">
        <v>5</v>
      </c>
      <c r="C10" s="27" t="n">
        <v>5</v>
      </c>
    </row>
    <row r="11" ht="16.5" customHeight="1" s="96">
      <c r="A11" s="31" t="inlineStr">
        <is>
          <t>↑ '시작중량_설정'과 자동 연동. 20 = 빈 봉. '생략'은 앞 세트와 중량이 겹쳐 불필요하다는 뜻.</t>
        </is>
      </c>
    </row>
    <row r="12"/>
    <row r="13" ht="16.5" customHeight="1" s="96">
      <c r="A13" s="3" t="inlineStr">
        <is>
          <t>웜업 — 회전근개 (세트 카운트 제외)</t>
        </is>
      </c>
    </row>
    <row r="14" ht="16.5" customHeight="1" s="96">
      <c r="A14" s="31" t="inlineStr">
        <is>
          <t>· 케이블 외회전 2세트 × 12~15회. 팔꿈치 90도로 접어 옆구리에 붙이고 바깥으로만 회전.</t>
        </is>
      </c>
    </row>
    <row r="15" ht="16.5" customHeight="1" s="96">
      <c r="A15" s="31" t="inlineStr">
        <is>
          <t>· 매우 가볍게 — 2.5~5kg. 무거우면 광배와 후면 삼각근이 대신 일하며 목적을 잃는다.</t>
        </is>
      </c>
    </row>
    <row r="16" ht="16.5" customHeight="1" s="96">
      <c r="A16" s="31" t="inlineStr">
        <is>
          <t>· 근비대 항목이 아니라 관절 준비 항목이므로 세트 합계에 넣지 않는다.</t>
        </is>
      </c>
    </row>
    <row r="17"/>
    <row r="18" ht="15" customHeight="1" s="96">
      <c r="A18" s="3" t="inlineStr">
        <is>
          <t>운동 구성</t>
        </is>
      </c>
    </row>
    <row r="19" ht="16.5" customHeight="1" s="96">
      <c r="A19" s="34" t="inlineStr">
        <is>
          <t>#</t>
        </is>
      </c>
      <c r="B19" s="35" t="inlineStr">
        <is>
          <t>종목</t>
        </is>
      </c>
      <c r="C19" s="35" t="inlineStr">
        <is>
          <t>근육군</t>
        </is>
      </c>
      <c r="D19" s="35" t="inlineStr">
        <is>
          <t>중량(Kg)</t>
        </is>
      </c>
      <c r="E19" s="35" t="inlineStr">
        <is>
          <t>세트</t>
        </is>
      </c>
      <c r="F19" s="35" t="inlineStr">
        <is>
          <t>횟수</t>
        </is>
      </c>
      <c r="G19" s="35" t="inlineStr">
        <is>
          <t>수행(초)</t>
        </is>
      </c>
      <c r="H19" s="35" t="inlineStr">
        <is>
          <t>휴식(초)</t>
        </is>
      </c>
      <c r="I19" s="35" t="inlineStr">
        <is>
          <t>종목 분</t>
        </is>
      </c>
      <c r="J19" s="35" t="inlineStr">
        <is>
          <t>간접 자극</t>
        </is>
      </c>
      <c r="K19" s="35" t="inlineStr">
        <is>
          <t>메모</t>
        </is>
      </c>
      <c r="L19" s="35" t="inlineStr">
        <is>
          <t>대체 종목</t>
        </is>
      </c>
    </row>
    <row r="20" ht="16.5" customHeight="1" s="96">
      <c r="A20" s="40" t="n">
        <v>1</v>
      </c>
      <c r="B20" s="41" t="inlineStr">
        <is>
          <t>벤치프레스 (본세트)</t>
        </is>
      </c>
      <c r="C20" s="42" t="inlineStr">
        <is>
          <t>흉근(중하부)</t>
        </is>
      </c>
      <c r="D20" s="43">
        <f>시작중량_설정!$E$9</f>
        <v/>
      </c>
      <c r="E20" s="42" t="n">
        <v>5</v>
      </c>
      <c r="F20" s="40" t="inlineStr">
        <is>
          <t>5</t>
        </is>
      </c>
      <c r="G20" s="40" t="n">
        <v>30</v>
      </c>
      <c r="H20" s="40" t="n">
        <v>180</v>
      </c>
      <c r="I20" s="40">
        <f>IF(E20=0,0,ROUND(E20*(G20+H20)/60,1))</f>
        <v/>
      </c>
      <c r="J20" s="41" t="inlineStr">
        <is>
          <t>삼두·전면삼각</t>
        </is>
      </c>
      <c r="K20" s="41" t="inlineStr">
        <is>
          <t>현재 최우선 종목. 사이클당 2.25kg 마이크로로딩. 여기가 무너지면 그 사이클 나머지를 줄인다</t>
        </is>
      </c>
      <c r="L20" s="41" t="inlineStr">
        <is>
          <t>스미스 벤치프레스 (궤도 고정) / 체스트 프레스 머신 / 플로어 프레스 (어깨가 아플 때)</t>
        </is>
      </c>
    </row>
    <row r="21" ht="16.5" customHeight="1" s="96">
      <c r="A21" s="20" t="n">
        <v>2</v>
      </c>
      <c r="B21" s="21" t="inlineStr">
        <is>
          <t>딥스</t>
        </is>
      </c>
      <c r="C21" s="20" t="inlineStr">
        <is>
          <t>흉근(중하부)</t>
        </is>
      </c>
      <c r="D21" s="44" t="inlineStr">
        <is>
          <t>75 10개 채움</t>
        </is>
      </c>
      <c r="E21" s="20" t="n">
        <v>4</v>
      </c>
      <c r="F21" s="26" t="inlineStr">
        <is>
          <t>8~10</t>
        </is>
      </c>
      <c r="G21" s="26" t="n">
        <v>40</v>
      </c>
      <c r="H21" s="26" t="n">
        <v>150</v>
      </c>
      <c r="I21" s="26">
        <f>IF(E21=0,0,ROUND(E21*(G21+H21)/60,1))</f>
        <v/>
      </c>
      <c r="J21" s="21" t="inlineStr">
        <is>
          <t>삼두</t>
        </is>
      </c>
      <c r="K21" s="21" t="inlineStr">
        <is>
          <t>상체 앞으로 기울여 흉근 비중 확보. 쉬워지면 벨트로 중량 추가</t>
        </is>
      </c>
      <c r="L21" s="21" t="inlineStr">
        <is>
          <t>어시스트 딥스 머신 / 디클라인 덤벨 프레스 / 체스트 딥스 머신</t>
        </is>
      </c>
    </row>
    <row r="22" ht="16.5" customHeight="1" s="96">
      <c r="A22" s="20" t="n">
        <v>3</v>
      </c>
      <c r="B22" s="36" t="inlineStr">
        <is>
          <t>인클라인 덤벨 플라이(혹은 벡덱플라이 머신으로)</t>
        </is>
      </c>
      <c r="C22" s="20" t="inlineStr">
        <is>
          <t>흉근(상부)</t>
        </is>
      </c>
      <c r="D22" s="26" t="n">
        <v>8</v>
      </c>
      <c r="E22" s="20" t="n">
        <v>4</v>
      </c>
      <c r="F22" s="26" t="inlineStr">
        <is>
          <t>10~12</t>
        </is>
      </c>
      <c r="G22" s="26" t="n">
        <v>40</v>
      </c>
      <c r="H22" s="26" t="n">
        <v>105</v>
      </c>
      <c r="I22" s="26">
        <f>IF(E22=0,0,ROUND(E22*(G22+H22)/60,1))</f>
        <v/>
      </c>
      <c r="J22" s="21" t="n"/>
      <c r="K22" s="21" t="inlineStr">
        <is>
          <t>프레싱 뒤 고립. 늘어난 구간에서 멈추지 말고 부드럽게</t>
        </is>
      </c>
      <c r="L22" s="21" t="inlineStr">
        <is>
          <t>케이블 크로스오버 (아래→위) / 펙덱 플라이 (등받이를 눕혀 인클라인 각으로) / 인클라인 머신 플라이</t>
        </is>
      </c>
    </row>
    <row r="23" ht="16.5" customHeight="1" s="96">
      <c r="A23" s="20" t="n">
        <v>4</v>
      </c>
      <c r="B23" s="21" t="inlineStr">
        <is>
          <t>디클라인 케이블 플라이</t>
        </is>
      </c>
      <c r="C23" s="45" t="inlineStr">
        <is>
          <t>흉근(중하부)</t>
        </is>
      </c>
      <c r="D23" s="26" t="n">
        <v>10</v>
      </c>
      <c r="E23" s="20" t="n">
        <v>3</v>
      </c>
      <c r="F23" s="26" t="inlineStr">
        <is>
          <t>8~12</t>
        </is>
      </c>
      <c r="G23" s="26" t="n">
        <v>40</v>
      </c>
      <c r="H23" s="26" t="n">
        <v>90</v>
      </c>
      <c r="I23" s="26">
        <f>IF(E23=0,0,ROUND(E23*(G23+H23)/60,1))</f>
        <v/>
      </c>
      <c r="J23" s="21" t="n"/>
      <c r="K23" s="21" t="inlineStr">
        <is>
      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      </is>
      </c>
      <c r="L23" s="21" t="inlineStr">
        <is>
          <t>오버헤드 케이블 익스텐션 / 스컬크러셔 / 클로즈그립 벤치프레스 (중량 가능)</t>
        </is>
      </c>
    </row>
    <row r="24" ht="16.5" customHeight="1" s="96">
      <c r="A24" s="20" t="n">
        <v>5</v>
      </c>
      <c r="B24" s="21" t="inlineStr">
        <is>
          <t>레터럴 레이즈</t>
        </is>
      </c>
      <c r="C24" s="20" t="inlineStr">
        <is>
          <t>삼각근(측면)</t>
        </is>
      </c>
      <c r="D24" s="26" t="n">
        <v>6</v>
      </c>
      <c r="E24" s="20" t="n">
        <v>6</v>
      </c>
      <c r="F24" s="26" t="inlineStr">
        <is>
          <t>12~15</t>
        </is>
      </c>
      <c r="G24" s="26" t="n">
        <v>40</v>
      </c>
      <c r="H24" s="26" t="n">
        <v>70</v>
      </c>
      <c r="I24" s="26">
        <f>IF(E24=0,0,ROUND(E24*(G24+H24)/60,1))</f>
        <v/>
      </c>
      <c r="J24" s="21" t="n"/>
      <c r="K24" s="21" t="inlineStr">
        <is>
          <t>덤벨은 아래 구간에 저항이 안 걸린다 — 원암 케이블(6일차)이 그 구간을 메운다</t>
        </is>
      </c>
      <c r="L24" s="21" t="inlineStr">
        <is>
          <t>케이블 레터럴 레이즈 (전 구간 장력) / 레터럴 레이즈 머신 / 라잉 레터럴</t>
        </is>
      </c>
    </row>
    <row r="25" ht="16.5" customHeight="1" s="96">
      <c r="A25" s="20" t="n">
        <v>6</v>
      </c>
      <c r="B25" s="21" t="inlineStr">
        <is>
          <t>리버스 펙덱플라이</t>
        </is>
      </c>
      <c r="C25" s="45" t="inlineStr">
        <is>
          <t>삼각근(후면)</t>
        </is>
      </c>
      <c r="D25" s="26" t="n">
        <v>20</v>
      </c>
      <c r="E25" s="20" t="n">
        <v>4</v>
      </c>
      <c r="F25" s="26" t="inlineStr">
        <is>
          <t>12~15</t>
        </is>
      </c>
      <c r="G25" s="26" t="n">
        <v>40</v>
      </c>
      <c r="H25" s="26" t="n">
        <v>70</v>
      </c>
      <c r="I25" s="26">
        <f>IF(E25=0,0,ROUND(E25*(G25+H25)/60,1))</f>
        <v/>
      </c>
      <c r="J25" s="21" t="n"/>
      <c r="K25" s="21" t="n"/>
      <c r="L25" s="21" t="n"/>
    </row>
    <row r="26" ht="16.5" customHeight="1" s="96">
      <c r="A26" s="20" t="n">
        <v>7</v>
      </c>
      <c r="B26" s="21" t="inlineStr">
        <is>
          <t>바벨 컬</t>
        </is>
      </c>
      <c r="C26" s="45" t="inlineStr">
        <is>
          <t>이두</t>
        </is>
      </c>
      <c r="D26" s="26" t="inlineStr">
        <is>
          <t>20~25</t>
        </is>
      </c>
      <c r="E26" s="20" t="n">
        <v>3</v>
      </c>
      <c r="F26" s="26" t="inlineStr">
        <is>
          <t>8~12</t>
        </is>
      </c>
      <c r="G26" s="26" t="n">
        <v>40</v>
      </c>
      <c r="H26" s="26" t="n">
        <v>70</v>
      </c>
      <c r="I26" s="26">
        <f>IF(E26=0,0,ROUND(E26*(G26+H26)/60,1))</f>
        <v/>
      </c>
      <c r="J26" s="21" t="inlineStr">
        <is>
          <t>전완</t>
        </is>
      </c>
      <c r="K26" s="21" t="inlineStr">
        <is>
      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      </is>
      </c>
      <c r="L26" s="21" t="inlineStr">
        <is>
          <t>EZ바 컬 (손목이 편함) / 케이블 바 컬 (전 구간 장력 유지) / 머신 컬 / 덤벨 컬 양팔 동시</t>
        </is>
      </c>
    </row>
    <row r="27">
      <c r="D27" s="3" t="inlineStr">
        <is>
          <t>세트 합계</t>
        </is>
      </c>
      <c r="E27" s="27">
        <f>SUM(E20:E26)</f>
        <v/>
      </c>
      <c r="I27">
        <f>ROUND(SUM(I20:I26),0)</f>
        <v/>
      </c>
    </row>
  </sheetData>
  <conditionalFormatting sqref="A20:N26">
    <cfRule type="expression" priority="1" dxfId="0">
      <formula>$E20=0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zoomScaleNormal="100" workbookViewId="0">
      <pane ySplit="14" topLeftCell="A15" activePane="bottomLeft" state="frozen"/>
      <selection pane="bottomLeft" activeCell="D16" sqref="D16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</cols>
  <sheetData>
    <row r="1" ht="19.5" customHeight="1" s="96">
      <c r="A1" s="17" t="inlineStr">
        <is>
          <t>3일차 — 하체 A (무릎 지배)</t>
        </is>
      </c>
    </row>
    <row r="2" ht="16.5" customHeight="1" s="96">
      <c r="A2" s="18" t="inlineStr">
        <is>
          <t>스쿼트 · 레그프레스 중심. 7일차 하체 B(고관절 지배)와 4일 간격.</t>
        </is>
      </c>
    </row>
    <row r="3"/>
    <row r="4" ht="16.5" customHeight="1" s="96">
      <c r="A4" s="3" t="inlineStr">
        <is>
          <t>메인: 스쿼트</t>
        </is>
      </c>
    </row>
    <row r="5" ht="16.5" customHeight="1" s="96">
      <c r="A5" s="19" t="inlineStr">
        <is>
          <t>중량(Kg)</t>
        </is>
      </c>
      <c r="B5" s="19" t="inlineStr">
        <is>
          <t>반복</t>
        </is>
      </c>
      <c r="C5" s="19" t="inlineStr">
        <is>
          <t>세트</t>
        </is>
      </c>
    </row>
    <row r="6" ht="15" customHeight="1" s="96">
      <c r="A6" s="20">
        <f>MAX(20,MROUND(시작중량_설정!$E$7*0.4,2.5))</f>
        <v/>
      </c>
      <c r="B6" s="20" t="n">
        <v>5</v>
      </c>
      <c r="C6" s="20" t="n">
        <v>2</v>
      </c>
    </row>
    <row r="7" ht="15" customHeight="1" s="96">
      <c r="A7" s="20">
        <f>IF(MAX(20,MROUND(시작중량_설정!$E$7*0.6,2.5))&lt;=MAX(20,MROUND(시작중량_설정!$E$7*0.4,2.5)),"생략",MAX(20,MROUND(시작중량_설정!$E$7*0.6,2.5)))</f>
        <v/>
      </c>
      <c r="B7" s="20" t="n">
        <v>5</v>
      </c>
      <c r="C7" s="20" t="n">
        <v>1</v>
      </c>
    </row>
    <row r="8" ht="15" customHeight="1" s="96">
      <c r="A8" s="20">
        <f>IF(MAX(20,MROUND(시작중량_설정!$E$7*0.75,2.5))&lt;=MAX(20,MROUND(시작중량_설정!$E$7*0.6,2.5)),"생략",MAX(20,MROUND(시작중량_설정!$E$7*0.75,2.5)))</f>
        <v/>
      </c>
      <c r="B8" s="20" t="n">
        <v>3</v>
      </c>
      <c r="C8" s="20" t="n">
        <v>1</v>
      </c>
    </row>
    <row r="9" ht="15" customHeight="1" s="96">
      <c r="A9" s="20">
        <f>IF(MAX(20,MROUND(시작중량_설정!$E$7*0.9,2.5))&lt;=MAX(20,MROUND(시작중량_설정!$E$7*0.75,2.5)),"생략",MAX(20,MROUND(시작중량_설정!$E$7*0.9,2.5)))</f>
        <v/>
      </c>
      <c r="B9" s="20" t="n">
        <v>2</v>
      </c>
      <c r="C9" s="20" t="n">
        <v>1</v>
      </c>
    </row>
    <row r="10" ht="15" customHeight="1" s="96">
      <c r="A10" s="39">
        <f>시작중량_설정!$E$7</f>
        <v/>
      </c>
      <c r="B10" s="27" t="n">
        <v>5</v>
      </c>
      <c r="C10" s="27" t="n">
        <v>5</v>
      </c>
    </row>
    <row r="11" ht="16.5" customHeight="1" s="96">
      <c r="A11" s="31" t="inlineStr">
        <is>
          <t>↑ '시작중량_설정'과 자동 연동. 20 = 빈 봉. '생략'은 앞 세트와 중량이 겹쳐 불필요하다는 뜻.</t>
        </is>
      </c>
    </row>
    <row r="12"/>
    <row r="13" ht="15" customHeight="1" s="96">
      <c r="A13" s="3" t="inlineStr">
        <is>
          <t>운동 구성</t>
        </is>
      </c>
    </row>
    <row r="14" ht="16.5" customHeight="1" s="96">
      <c r="A14" s="34" t="inlineStr">
        <is>
          <t>#</t>
        </is>
      </c>
      <c r="B14" s="35" t="inlineStr">
        <is>
          <t>종목</t>
        </is>
      </c>
      <c r="C14" s="35" t="inlineStr">
        <is>
          <t>근육군</t>
        </is>
      </c>
      <c r="D14" s="35" t="inlineStr">
        <is>
          <t>중량(Kg)</t>
        </is>
      </c>
      <c r="E14" s="35" t="inlineStr">
        <is>
          <t>세트</t>
        </is>
      </c>
      <c r="F14" s="35" t="inlineStr">
        <is>
          <t>횟수</t>
        </is>
      </c>
      <c r="G14" s="35" t="inlineStr">
        <is>
          <t>수행(초)</t>
        </is>
      </c>
      <c r="H14" s="35" t="inlineStr">
        <is>
          <t>휴식(초)</t>
        </is>
      </c>
      <c r="I14" s="35" t="inlineStr">
        <is>
          <t>종목 분</t>
        </is>
      </c>
      <c r="J14" s="35" t="inlineStr">
        <is>
          <t>간접 자극</t>
        </is>
      </c>
      <c r="K14" s="35" t="inlineStr">
        <is>
          <t>메모</t>
        </is>
      </c>
      <c r="L14" s="35" t="inlineStr">
        <is>
          <t>대체 종목</t>
        </is>
      </c>
    </row>
    <row r="15" ht="16.5" customHeight="1" s="96">
      <c r="A15" s="42" t="n">
        <v>1</v>
      </c>
      <c r="B15" s="41" t="inlineStr">
        <is>
          <t>스쿼트 (본세트)</t>
        </is>
      </c>
      <c r="C15" s="42" t="inlineStr">
        <is>
          <t>대퇴사두</t>
        </is>
      </c>
      <c r="D15" s="43">
        <f>시작중량_설정!$E$7</f>
        <v/>
      </c>
      <c r="E15" s="42" t="n">
        <v>5</v>
      </c>
      <c r="F15" s="40" t="inlineStr">
        <is>
          <t>5</t>
        </is>
      </c>
      <c r="G15" s="40" t="n">
        <v>35</v>
      </c>
      <c r="H15" s="40" t="n">
        <v>180</v>
      </c>
      <c r="I15" s="40">
        <f>IF(E15=0,0,ROUND(E15*(G15+H15)/60,1))</f>
        <v/>
      </c>
      <c r="J15" s="41" t="inlineStr">
        <is>
          <t>둔근·기립근</t>
        </is>
      </c>
      <c r="K15" s="41" t="inlineStr">
        <is>
          <t>무릎 지배 메인. 데드(7일차)와 4일 간격이라 기립근이 회복된 상태에서 친다</t>
        </is>
      </c>
      <c r="L15" s="41" t="inlineStr">
        <is>
          <t>스미스 스쿼트 / 핵 스쿼트 (대퇴사두 집중) / 프론트 스쿼트 / 벨트 스쿼트 (척추 부하 없음)</t>
        </is>
      </c>
    </row>
    <row r="16" ht="16.5" customHeight="1" s="96">
      <c r="A16" s="20" t="n">
        <v>2</v>
      </c>
      <c r="B16" s="21" t="inlineStr">
        <is>
          <t>레그 프레스</t>
        </is>
      </c>
      <c r="C16" s="20" t="inlineStr">
        <is>
          <t>대퇴사두</t>
        </is>
      </c>
      <c r="D16" s="26" t="n">
        <v>110</v>
      </c>
      <c r="E16" s="20" t="n">
        <v>3</v>
      </c>
      <c r="F16" s="26" t="inlineStr">
        <is>
          <t>8~12</t>
        </is>
      </c>
      <c r="G16" s="26" t="n">
        <v>45</v>
      </c>
      <c r="H16" s="26" t="n">
        <v>150</v>
      </c>
      <c r="I16" s="26">
        <f>IF(E16=0,0,ROUND(E16*(G16+H16)/60,1))</f>
        <v/>
      </c>
      <c r="J16" s="21" t="inlineStr">
        <is>
          <t>둔근</t>
        </is>
      </c>
      <c r="K16" s="21" t="inlineStr">
        <is>
          <t>수/토 3+3 분할. 궤도 고정이라 대퇴사두가 확실히 한계까지 간다. 발판 위치는 중간</t>
        </is>
      </c>
      <c r="L16" s="21" t="inlineStr">
        <is>
          <t>핵 스쿼트 / 레그 익스텐션 (완전 고립) / 프론트 스쿼트</t>
        </is>
      </c>
    </row>
    <row r="17" ht="16.5" customHeight="1" s="96">
      <c r="A17" s="20" t="n">
        <v>3</v>
      </c>
      <c r="B17" s="21" t="inlineStr">
        <is>
          <t>불가리안 스플릿 스쿼트</t>
        </is>
      </c>
      <c r="C17" s="20" t="inlineStr">
        <is>
          <t>둔근</t>
        </is>
      </c>
      <c r="D17" s="20" t="inlineStr">
        <is>
          <t>맨몸</t>
        </is>
      </c>
      <c r="E17" s="20" t="n">
        <v>4</v>
      </c>
      <c r="F17" s="26" t="inlineStr">
        <is>
          <t>10 (좌우)</t>
        </is>
      </c>
      <c r="G17" s="26" t="n">
        <v>90</v>
      </c>
      <c r="H17" s="26" t="n">
        <v>150</v>
      </c>
      <c r="I17" s="26">
        <f>IF(E17=0,0,ROUND(E17*(G17+H17)/60,1))</f>
        <v/>
      </c>
      <c r="J17" s="21" t="inlineStr">
        <is>
          <t>대퇴사두·중둔근</t>
        </is>
      </c>
      <c r="K17" s="21" t="inlineStr">
        <is>
          <t>한 다리 지지라 관상면 안정화가 함께 들어온다</t>
        </is>
      </c>
      <c r="L17" s="21" t="inlineStr">
        <is>
          <t>덤벨 런지 / 워킹 런지 / 스텝업 / 리버스 런지 (무릎 부담 ↓)</t>
        </is>
      </c>
    </row>
    <row r="18" ht="16.5" customHeight="1" s="96">
      <c r="A18" s="20" t="n">
        <v>4</v>
      </c>
      <c r="B18" s="21" t="inlineStr">
        <is>
          <t>레그 컬</t>
        </is>
      </c>
      <c r="C18" s="20" t="inlineStr">
        <is>
          <t>햄스트링</t>
        </is>
      </c>
      <c r="D18" s="26" t="n">
        <v>40</v>
      </c>
      <c r="E18" s="20" t="n">
        <v>4</v>
      </c>
      <c r="F18" s="26" t="inlineStr">
        <is>
          <t>10~12</t>
        </is>
      </c>
      <c r="G18" s="26" t="n">
        <v>40</v>
      </c>
      <c r="H18" s="26" t="n">
        <v>120</v>
      </c>
      <c r="I18" s="26">
        <f>IF(E18=0,0,ROUND(E18*(G18+H18)/60,1))</f>
        <v/>
      </c>
      <c r="J18" s="21" t="n"/>
      <c r="K18" s="21" t="inlineStr">
        <is>
          <t>무릎 굴곡. 7일차 RDL(고관절 신전)과 기능이 다르다 — 둘 다 필요</t>
        </is>
      </c>
      <c r="L18" s="21" t="inlineStr">
        <is>
          <t>라잉 레그 컬 · 시티드 레그 컬 (시티드가 늘어난 구간을 더 씀) / 노르딕 햄 컬</t>
        </is>
      </c>
    </row>
    <row r="19" ht="16.5" customHeight="1" s="96">
      <c r="A19" s="20" t="n">
        <v>5</v>
      </c>
      <c r="B19" s="21" t="inlineStr">
        <is>
          <t>이너 타이</t>
        </is>
      </c>
      <c r="C19" s="20" t="inlineStr">
        <is>
          <t>내전근</t>
        </is>
      </c>
      <c r="D19" s="26" t="n">
        <v>40</v>
      </c>
      <c r="E19" s="20" t="n">
        <v>4</v>
      </c>
      <c r="F19" s="26" t="inlineStr">
        <is>
          <t>12~15</t>
        </is>
      </c>
      <c r="G19" s="26" t="n">
        <v>40</v>
      </c>
      <c r="H19" s="26" t="n">
        <v>105</v>
      </c>
      <c r="I19" s="26">
        <f>IF(E19=0,0,ROUND(E19*(G19+H19)/60,1))</f>
        <v/>
      </c>
      <c r="J19" s="21" t="n"/>
      <c r="K19" s="21" t="inlineStr">
        <is>
          <t>내전근 직접 종목은 이것뿐. 스쿼트·레그프레스가 어느 정도 커버한다</t>
        </is>
      </c>
      <c r="L19" s="21" t="inlineStr">
        <is>
          <t>와이드 스탠스 레그 프레스 / 코사크 스쿼트 / 케이블 힙 내전</t>
        </is>
      </c>
    </row>
    <row r="20" ht="16.5" customHeight="1" s="96">
      <c r="A20" s="20" t="n">
        <v>6</v>
      </c>
      <c r="B20" s="21" t="inlineStr">
        <is>
          <t>케이블 힙 외전</t>
        </is>
      </c>
      <c r="C20" s="20" t="inlineStr">
        <is>
          <t>중둔근</t>
        </is>
      </c>
      <c r="D20" s="26" t="inlineStr">
        <is>
          <t>—</t>
        </is>
      </c>
      <c r="E20" s="20" t="n">
        <v>0</v>
      </c>
      <c r="F20" s="26" t="inlineStr">
        <is>
          <t>12~15 (좌우)</t>
        </is>
      </c>
      <c r="G20" s="26" t="n">
        <v>80</v>
      </c>
      <c r="H20" s="26" t="n">
        <v>75</v>
      </c>
      <c r="I20" s="26">
        <f>IF(E20=0,0,ROUND(E20*(G20+H20)/60,1))</f>
        <v/>
      </c>
      <c r="J20" s="21" t="n"/>
      <c r="K20" s="21" t="inlineStr">
        <is>
          <t>관상면 외전. 7일차에서 이동. 앉는 시간이 길면 대둔근보다 중둔근이 먼저 잠든다 [v18 7일차로 이동 — 3일차 배치 사유(5일 버전 7일차 과부하) 소멸, 고관절 날로 복귀]</t>
        </is>
      </c>
      <c r="L20" s="21" t="inlineStr">
        <is>
          <t>밴드 몬스터 워크 / 사이드 라잉 힙 외전 / 힙 어브덕션 머신</t>
        </is>
      </c>
    </row>
    <row r="21" ht="16.5" customHeight="1" s="96">
      <c r="A21" s="20" t="n">
        <v>7</v>
      </c>
      <c r="B21" s="21" t="inlineStr">
        <is>
          <t>카프 레이즈 (스탠딩)</t>
        </is>
      </c>
      <c r="C21" s="20" t="inlineStr">
        <is>
          <t>종아리</t>
        </is>
      </c>
      <c r="D21" s="26" t="n">
        <v>8</v>
      </c>
      <c r="E21" s="20" t="n">
        <v>4</v>
      </c>
      <c r="F21" s="26" t="inlineStr">
        <is>
          <t>12~15</t>
        </is>
      </c>
      <c r="G21" s="26" t="n">
        <v>40</v>
      </c>
      <c r="H21" s="26" t="n">
        <v>75</v>
      </c>
      <c r="I21" s="26">
        <f>IF(E21=0,0,ROUND(E21*(G21+H21)/60,1))</f>
        <v/>
      </c>
      <c r="J21" s="21" t="n"/>
      <c r="K21" s="21" t="inlineStr">
        <is>
          <t>무릎 편 상태 — 비복근 주도. 7일차 시티드(가자미근)와 역할이 다르다</t>
        </is>
      </c>
      <c r="L21" s="21" t="inlineStr">
        <is>
          <t>스탠딩 카프 레이즈 머신 / 레그 프레스 발판 끝에서 / 스미스 카프 레이즈</t>
        </is>
      </c>
    </row>
    <row r="22" ht="15" customHeight="1" s="96">
      <c r="A22" s="20" t="n">
        <v>8</v>
      </c>
      <c r="B22" s="86" t="inlineStr">
        <is>
          <t>앱휠 롤아웃</t>
        </is>
      </c>
      <c r="C22" s="20" t="inlineStr">
        <is>
          <t>복부</t>
        </is>
      </c>
      <c r="D22" s="87" t="inlineStr">
        <is>
          <t>맨몸</t>
        </is>
      </c>
      <c r="E22" s="20" t="n">
        <v>3</v>
      </c>
      <c r="F22" s="26" t="n">
        <v>10</v>
      </c>
      <c r="G22" s="26" t="n">
        <v>40</v>
      </c>
      <c r="H22" s="26" t="n">
        <v>60</v>
      </c>
      <c r="I22" s="26">
        <f>IF(E22=0,0,ROUND(E22*(G22+H22)/60,1))</f>
        <v/>
      </c>
      <c r="J22" s="21" t="n"/>
      <c r="K22" s="21" t="inlineStr">
        <is>
          <t>항신전. 다음날이 당기기 B라 브레이싱 손실이 문제되지 않는다</t>
        </is>
      </c>
      <c r="L22" s="21" t="inlineStr">
        <is>
          <t>애브 롤아웃 / 사이드 플랭크 / 팔로프 프레스 (항회전)</t>
        </is>
      </c>
    </row>
    <row r="23" ht="15" customHeight="1" s="96">
      <c r="D23" s="3" t="inlineStr">
        <is>
          <t>세트 합계</t>
        </is>
      </c>
      <c r="E23" s="27">
        <f>SUM(E15:E22)</f>
        <v/>
      </c>
      <c r="I23">
        <f>ROUND(SUM(I15:I22),0)</f>
        <v/>
      </c>
    </row>
  </sheetData>
  <conditionalFormatting sqref="A15:N21 A22 C22:N22">
    <cfRule type="expression" priority="1" dxfId="5">
      <formula>$E15=0</formula>
    </cfRule>
  </conditionalFormatting>
  <conditionalFormatting sqref="B22">
    <cfRule type="expression" priority="2" dxfId="0">
      <formula>$E22=0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1"/>
  <sheetViews>
    <sheetView zoomScaleNormal="100" workbookViewId="0">
      <pane ySplit="5" topLeftCell="A6" activePane="bottomLeft" state="frozen"/>
      <selection pane="bottomLeft" activeCell="B12" sqref="B12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</cols>
  <sheetData>
    <row r="1" ht="19.5" customHeight="1" s="96">
      <c r="A1" s="17" t="inlineStr">
        <is>
          <t>5일차 — 당기기 B (수평)</t>
        </is>
      </c>
    </row>
    <row r="2" ht="16.5" customHeight="1" s="96">
      <c r="A2" s="18" t="inlineStr">
        <is>
          <t>로우 · 견갑골 후인 · 이두 · 전완. 1일차 당기기 A(수직)와 각도를 나눈다.</t>
        </is>
      </c>
    </row>
    <row r="3">
      <c r="A3" s="33" t="inlineStr">
        <is>
          <t>웜업 — 밴드 풀 어파트 2세트 × 15 (세트 카운트 제외): 가볍게, 견갑골 후인 프라이밍. 대체: 케이블 스캡 로우 / 아주 가벼운 페이스풀.</t>
        </is>
      </c>
    </row>
    <row r="4" ht="15" customHeight="1" s="96">
      <c r="A4" s="3" t="inlineStr">
        <is>
          <t>운동 구성</t>
        </is>
      </c>
    </row>
    <row r="5" ht="16.5" customHeight="1" s="96">
      <c r="A5" s="34" t="inlineStr">
        <is>
          <t>#</t>
        </is>
      </c>
      <c r="B5" s="35" t="inlineStr">
        <is>
          <t>종목</t>
        </is>
      </c>
      <c r="C5" s="35" t="inlineStr">
        <is>
          <t>근육군</t>
        </is>
      </c>
      <c r="D5" s="35" t="inlineStr">
        <is>
          <t>중량(Kg)</t>
        </is>
      </c>
      <c r="E5" s="35" t="inlineStr">
        <is>
          <t>세트</t>
        </is>
      </c>
      <c r="F5" s="35" t="inlineStr">
        <is>
          <t>횟수</t>
        </is>
      </c>
      <c r="G5" s="35" t="inlineStr">
        <is>
          <t>수행(초)</t>
        </is>
      </c>
      <c r="H5" s="35" t="inlineStr">
        <is>
          <t>휴식(초)</t>
        </is>
      </c>
      <c r="I5" s="35" t="inlineStr">
        <is>
          <t>종목 분</t>
        </is>
      </c>
      <c r="J5" s="35" t="inlineStr">
        <is>
          <t>간접 자극</t>
        </is>
      </c>
      <c r="K5" s="35" t="inlineStr">
        <is>
          <t>메모</t>
        </is>
      </c>
      <c r="L5" s="35" t="inlineStr">
        <is>
          <t>대체 종목</t>
        </is>
      </c>
    </row>
    <row r="6" ht="16.5" customHeight="1" s="96">
      <c r="A6" s="20" t="n">
        <v>1</v>
      </c>
      <c r="B6" s="36" t="inlineStr">
        <is>
          <t>해머 스트랭스 로우(오버그립)</t>
        </is>
      </c>
      <c r="C6" s="20" t="inlineStr">
        <is>
          <t>광배</t>
        </is>
      </c>
      <c r="D6" s="26" t="n">
        <v>40</v>
      </c>
      <c r="E6" s="20" t="n">
        <v>4</v>
      </c>
      <c r="F6" s="26" t="inlineStr">
        <is>
          <t>8~10</t>
        </is>
      </c>
      <c r="G6" s="26" t="n">
        <v>40</v>
      </c>
      <c r="H6" s="26" t="n">
        <v>150</v>
      </c>
      <c r="I6" s="26">
        <f>IF(E6=0,0,ROUND(E6*(G6+H6)/60,1))</f>
        <v/>
      </c>
      <c r="J6" s="21" t="inlineStr">
        <is>
          <t>중부승모·이두</t>
        </is>
      </c>
      <c r="K6" s="21" t="inlineStr">
        <is>
          <t>수평 당기기 메인. 가슴이 받쳐져 허리 부담이 없다</t>
        </is>
      </c>
      <c r="L6" s="21" t="inlineStr">
        <is>
          <t>체스트 서포티드 로우 / 티바 로우 / 펜들레이 로우 (척추 부하 ↑) / 바벨 로우</t>
        </is>
      </c>
    </row>
    <row r="7" ht="16.5" customHeight="1" s="96">
      <c r="A7" s="20" t="n">
        <v>2</v>
      </c>
      <c r="B7" s="36" t="inlineStr">
        <is>
          <t>시티드 케이블 로우</t>
        </is>
      </c>
      <c r="C7" s="20" t="inlineStr">
        <is>
          <t>광배</t>
        </is>
      </c>
      <c r="D7" s="26" t="n">
        <v>40</v>
      </c>
      <c r="E7" s="20" t="n">
        <v>4</v>
      </c>
      <c r="F7" s="26" t="inlineStr">
        <is>
          <t>8~12</t>
        </is>
      </c>
      <c r="G7" s="26" t="n">
        <v>40</v>
      </c>
      <c r="H7" s="26" t="n">
        <v>150</v>
      </c>
      <c r="I7" s="26">
        <f>IF(E7=0,0,ROUND(E7*(G7+H7)/60,1))</f>
        <v/>
      </c>
      <c r="J7" s="21" t="inlineStr">
        <is>
          <t>중부승모·이두</t>
        </is>
      </c>
      <c r="K7" s="21" t="inlineStr">
        <is>
          <t>해머와 그립을 다르게 (해머가 뉴트럴이면 여기선 와이드). 광배 아래쪽 섬유</t>
        </is>
      </c>
      <c r="L7" s="21" t="inlineStr">
        <is>
          <t>원암 케이블 로우 (좌우 독립) / 덤벨 로우 / 머신 로우</t>
        </is>
      </c>
    </row>
    <row r="8" ht="16.5" customHeight="1" s="96">
      <c r="A8" s="20" t="n">
        <v>3</v>
      </c>
      <c r="B8" s="36" t="inlineStr">
        <is>
          <t>시티드 케이블 로우 스캡 슈러그(두번째 크기 바)</t>
        </is>
      </c>
      <c r="C8" s="20" t="inlineStr">
        <is>
          <t>승모(중부)·능형근</t>
        </is>
      </c>
      <c r="D8" s="20" t="n">
        <v>32</v>
      </c>
      <c r="E8" s="20" t="n">
        <v>4</v>
      </c>
      <c r="F8" s="26" t="inlineStr">
        <is>
          <t>12~15</t>
        </is>
      </c>
      <c r="G8" s="26" t="n">
        <v>40</v>
      </c>
      <c r="H8" s="26" t="n">
        <v>60</v>
      </c>
      <c r="I8" s="26">
        <f>IF(E8=0,0,ROUND(E8*(G8+H8)/60,1))</f>
        <v/>
      </c>
      <c r="J8" s="21" t="inlineStr">
        <is>
          <t>후면 삼각근</t>
        </is>
      </c>
      <c r="K8" s="21" t="inlineStr">
        <is>
      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      </is>
      </c>
      <c r="L8" s="21" t="inlineStr">
        <is>
          <t>해머 스트랭스 로우에서 팔 편 채 견갑골만 — 가슴 패드가 상체를 고정해줘 자세 잡기는 더 쉬우나 무게 미세 조정이 어렵다 / 리버스 펙덱을 팔 편 채로 / 켈소 슈러그 (받침 벤치가 있을 때)</t>
        </is>
      </c>
    </row>
    <row r="9" ht="16.5" customHeight="1" s="96">
      <c r="A9" s="20" t="n">
        <v>4</v>
      </c>
      <c r="B9" s="21" t="inlineStr">
        <is>
          <t>케이블 리버스 플라이</t>
        </is>
      </c>
      <c r="C9" s="20" t="inlineStr">
        <is>
          <t>삼각근(후면)</t>
        </is>
      </c>
      <c r="D9" s="26" t="inlineStr">
        <is>
          <t>12~15</t>
        </is>
      </c>
      <c r="E9" s="20" t="n">
        <v>0</v>
      </c>
      <c r="F9" s="26" t="inlineStr">
        <is>
          <t>12</t>
        </is>
      </c>
      <c r="G9" s="26" t="n">
        <v>40</v>
      </c>
      <c r="H9" s="26" t="n">
        <v>70</v>
      </c>
      <c r="I9" s="26">
        <f>IF(E9=0,0,ROUND(E9*(G9+H9)/60,1))</f>
        <v/>
      </c>
      <c r="J9" s="21" t="inlineStr">
        <is>
          <t>중부승모·능형근</t>
        </is>
      </c>
      <c r="K9" s="21" t="inlineStr">
        <is>
          <t>후면 삼각근은 프레스로 자라지 않는다 — 반드시 별도로 센다 [v17 제외 — 후면은 2일차 4 · 6일차 3 · 8일차 9로 사이클당 3회 16세트 — 이 행은 그 재편으로 비워둔 자리다]</t>
        </is>
      </c>
      <c r="L9" s="21" t="inlineStr">
        <is>
          <t>리버스 펙덱 (자세 유지가 쉬워 사실상 상위 호환) / 페이스풀 / 인클라인 벤치 리어델트 레이즈</t>
        </is>
      </c>
    </row>
    <row r="10" ht="16.5" customHeight="1" s="96">
      <c r="A10" s="20" t="n">
        <v>5</v>
      </c>
      <c r="B10" s="21" t="inlineStr">
        <is>
          <t>프리쳐 컬</t>
        </is>
      </c>
      <c r="C10" s="20" t="inlineStr">
        <is>
          <t>이두</t>
        </is>
      </c>
      <c r="D10" s="26" t="n">
        <v>30</v>
      </c>
      <c r="E10" s="20" t="n">
        <v>4</v>
      </c>
      <c r="F10" s="26" t="inlineStr">
        <is>
          <t>8~12</t>
        </is>
      </c>
      <c r="G10" s="26" t="n">
        <v>40</v>
      </c>
      <c r="H10" s="26" t="n">
        <v>70</v>
      </c>
      <c r="I10" s="26">
        <f>IF(E10=0,0,ROUND(E10*(G10+H10)/60,1))</f>
        <v/>
      </c>
      <c r="J10" s="21" t="inlineStr">
        <is>
          <t>전완</t>
        </is>
      </c>
      <c r="K10" s="21" t="inlineStr">
        <is>
          <t>반동이 차단되는 종목. 인클라인(8일차)과 각도를 나눈다</t>
        </is>
      </c>
      <c r="L10" s="22" t="inlineStr">
        <is>
          <t>EZ바 프리처 컬 / 머신 프리처 컬 / 컨센트레이션 컬</t>
        </is>
      </c>
    </row>
    <row r="11" ht="16.5" customHeight="1" s="96">
      <c r="A11" s="20" t="n">
        <v>6</v>
      </c>
      <c r="B11" s="86" t="inlineStr">
        <is>
          <t>리버스 리스트익스텐션 컬(손등 아래)</t>
        </is>
      </c>
      <c r="C11" s="20" t="inlineStr">
        <is>
          <t>전완</t>
        </is>
      </c>
      <c r="D11" s="20" t="n">
        <v>15</v>
      </c>
      <c r="E11" s="20" t="n">
        <v>4</v>
      </c>
      <c r="F11" s="26" t="inlineStr">
        <is>
          <t>15</t>
        </is>
      </c>
      <c r="G11" s="26" t="n">
        <v>40</v>
      </c>
      <c r="H11" s="26" t="n">
        <v>60</v>
      </c>
      <c r="I11" s="26">
        <f>IF(E11=0,0,ROUND(E11*(G11+H11)/60,1))</f>
        <v/>
      </c>
      <c r="J11" s="21" t="n"/>
      <c r="K11" s="21" t="inlineStr">
        <is>
          <t>손목 굴근. 1일차 리버스와 대항쌍 [v17 감량 4→3 — 전완 실질 8로 자체 하한 유지]</t>
        </is>
      </c>
      <c r="L11" s="21" t="inlineStr">
        <is>
          <t>덤벨 리스트 컬 (한 손씩) / 케이블 리스트 컬 / 비하인드백 리스트 컬</t>
        </is>
      </c>
    </row>
    <row r="12" ht="16.5" customHeight="1" s="96">
      <c r="A12" s="20" t="n">
        <v>7</v>
      </c>
      <c r="B12" s="86" t="inlineStr">
        <is>
          <t>리버스컬</t>
        </is>
      </c>
      <c r="C12" s="20" t="inlineStr">
        <is>
          <t>전완</t>
        </is>
      </c>
      <c r="D12" s="20" t="n">
        <v>15</v>
      </c>
      <c r="E12" s="20" t="n">
        <v>4</v>
      </c>
      <c r="F12" s="26" t="inlineStr">
        <is>
          <t>10~15</t>
        </is>
      </c>
      <c r="G12" s="26" t="n">
        <v>40</v>
      </c>
      <c r="H12" s="26" t="n">
        <v>70</v>
      </c>
      <c r="I12" s="26">
        <f>IF(E12=0,0,ROUND(E12*(G12+H12)/60,1))</f>
        <v/>
      </c>
      <c r="J12" s="21" t="inlineStr">
        <is>
          <t>이두(상완근)</t>
        </is>
      </c>
      <c r="K12" s="21" t="inlineStr">
        <is>
      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      </is>
      </c>
      <c r="L12" s="21" t="inlineStr">
        <is>
      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      </is>
      </c>
    </row>
    <row r="13" ht="16.5" customHeight="1" s="96">
      <c r="A13" s="20" t="n">
        <v>8</v>
      </c>
      <c r="B13" s="21" t="inlineStr">
        <is>
          <t>트랩바 슈러그</t>
        </is>
      </c>
      <c r="C13" s="20" t="inlineStr">
        <is>
          <t>승모(상부)</t>
        </is>
      </c>
      <c r="D13" s="20" t="n">
        <v>20</v>
      </c>
      <c r="E13" s="20" t="n">
        <v>3</v>
      </c>
      <c r="F13" s="26" t="inlineStr">
        <is>
          <t>10~12</t>
        </is>
      </c>
      <c r="G13" s="26" t="n">
        <v>40</v>
      </c>
      <c r="H13" s="26" t="n">
        <v>90</v>
      </c>
      <c r="I13" s="26">
        <f>IF(E13=0,0,ROUND(E13*(G13+H13)/60,1))</f>
        <v/>
      </c>
      <c r="J13" s="21" t="inlineStr">
        <is>
          <t>전완 · 기립근</t>
        </is>
      </c>
      <c r="K13" s="21" t="inlineStr">
        <is>
      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      </is>
      </c>
      <c r="L13" s="21" t="inlineStr">
        <is>
          <t>덤벨 슈러그 (트랩바 없을 때 — 몸 옆 그립 동일) / 스미스 슈러그 (궤도 고정) / 바벨 슈러그 (몸 앞이라 가동범위 약간 손해) / 케이블 슈러그</t>
        </is>
      </c>
    </row>
    <row r="14" ht="15" customHeight="1" s="96">
      <c r="A14" s="20" t="n">
        <v>9</v>
      </c>
      <c r="B14" s="90" t="inlineStr">
        <is>
          <t>중량 크런치</t>
        </is>
      </c>
      <c r="C14" s="20" t="inlineStr">
        <is>
          <t>복부</t>
        </is>
      </c>
      <c r="D14" s="20" t="n">
        <v>15</v>
      </c>
      <c r="E14" s="20" t="n">
        <v>3</v>
      </c>
      <c r="F14" s="26" t="inlineStr">
        <is>
          <t>12</t>
        </is>
      </c>
      <c r="G14" s="26" t="n">
        <v>40</v>
      </c>
      <c r="H14" s="26" t="n">
        <v>60</v>
      </c>
      <c r="I14" s="26">
        <f>IF(E14=0,0,ROUND(E14*(G14+H14)/60,1))</f>
        <v/>
      </c>
      <c r="J14" s="21" t="n"/>
      <c r="K14" s="21" t="inlineStr">
        <is>
          <t>복부 굴곡(상부). 1일차 레그레이즈(하부)와 나눈다</t>
        </is>
      </c>
      <c r="L14" s="21" t="inlineStr">
        <is>
          <t>케이블 크런치 (점진적 과부하에 최적 — 1순위) / 압도미널 크런치 머신 / 인클라인 싯업</t>
        </is>
      </c>
    </row>
    <row r="15" ht="15" customHeight="1" s="96">
      <c r="D15" s="3" t="inlineStr">
        <is>
          <t>세트 합계</t>
        </is>
      </c>
      <c r="E15" s="27">
        <f>SUM(E6:E14)</f>
        <v/>
      </c>
      <c r="I15">
        <f>ROUND(SUM(I6:I14),0)</f>
        <v/>
      </c>
    </row>
    <row r="16"/>
    <row r="17"/>
    <row r="18"/>
    <row r="19"/>
    <row r="20"/>
    <row r="21">
      <c r="B21" s="88" t="n"/>
    </row>
  </sheetData>
  <conditionalFormatting sqref="A6:N14">
    <cfRule type="expression" priority="1" dxfId="0">
      <formula>$E6=0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Normal="100" workbookViewId="0">
      <pane ySplit="19" topLeftCell="A20" activePane="bottomLeft" state="frozen"/>
      <selection pane="bottomLeft" activeCell="J35" sqref="J35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</cols>
  <sheetData>
    <row r="1" ht="19.5" customHeight="1" s="96">
      <c r="A1" s="17" t="inlineStr">
        <is>
          <t>6일차 — 밀기 B (수직)</t>
        </is>
      </c>
    </row>
    <row r="2" ht="16.5" customHeight="1" s="96">
      <c r="A2" s="18" t="inlineStr">
        <is>
          <t>오버헤드 프레싱 · 흉근 상부 · 어깨 측면/후면. 벤치(2일차)와 4일 간격이라 무게가 온전히 나온다.</t>
        </is>
      </c>
    </row>
    <row r="3"/>
    <row r="4" ht="16.5" customHeight="1" s="96">
      <c r="A4" s="3" t="inlineStr">
        <is>
          <t>메인: 밀리터리 프레스</t>
        </is>
      </c>
    </row>
    <row r="5" ht="16.5" customHeight="1" s="96">
      <c r="A5" s="19" t="inlineStr">
        <is>
          <t>중량(Kg)</t>
        </is>
      </c>
      <c r="B5" s="19" t="inlineStr">
        <is>
          <t>반복</t>
        </is>
      </c>
      <c r="C5" s="19" t="inlineStr">
        <is>
          <t>세트</t>
        </is>
      </c>
    </row>
    <row r="6" ht="15" customHeight="1" s="96">
      <c r="A6" s="20">
        <f>MAX(20,MROUND(시작중량_설정!$E$10*0.4,2.5))</f>
        <v/>
      </c>
      <c r="B6" s="20" t="n">
        <v>5</v>
      </c>
      <c r="C6" s="20" t="n">
        <v>2</v>
      </c>
    </row>
    <row r="7" ht="15" customHeight="1" s="96">
      <c r="A7" s="20">
        <f>IF(MAX(20,MROUND(시작중량_설정!$E$10*0.6,2.5))&lt;=MAX(20,MROUND(시작중량_설정!$E$10*0.4,2.5)),"생략",MAX(20,MROUND(시작중량_설정!$E$10*0.6,2.5)))</f>
        <v/>
      </c>
      <c r="B7" s="20" t="n">
        <v>5</v>
      </c>
      <c r="C7" s="20" t="n">
        <v>1</v>
      </c>
    </row>
    <row r="8" ht="15" customHeight="1" s="96">
      <c r="A8" s="20">
        <f>IF(MAX(20,MROUND(시작중량_설정!$E$10*0.75,2.5))&lt;=MAX(20,MROUND(시작중량_설정!$E$10*0.6,2.5)),"생략",MAX(20,MROUND(시작중량_설정!$E$10*0.75,2.5)))</f>
        <v/>
      </c>
      <c r="B8" s="20" t="n">
        <v>3</v>
      </c>
      <c r="C8" s="20" t="n">
        <v>1</v>
      </c>
    </row>
    <row r="9" ht="15" customHeight="1" s="96">
      <c r="A9" s="20">
        <f>IF(MAX(20,MROUND(시작중량_설정!$E$10*0.9,2.5))&lt;=MAX(20,MROUND(시작중량_설정!$E$10*0.75,2.5)),"생략",MAX(20,MROUND(시작중량_설정!$E$10*0.9,2.5)))</f>
        <v/>
      </c>
      <c r="B9" s="20" t="n">
        <v>2</v>
      </c>
      <c r="C9" s="20" t="n">
        <v>1</v>
      </c>
    </row>
    <row r="10" ht="15" customHeight="1" s="96">
      <c r="A10" s="39">
        <f>시작중량_설정!$E$10</f>
        <v/>
      </c>
      <c r="B10" s="27" t="n">
        <v>5</v>
      </c>
      <c r="C10" s="27" t="n">
        <v>3</v>
      </c>
    </row>
    <row r="11" ht="16.5" customHeight="1" s="96">
      <c r="A11" s="31" t="inlineStr">
        <is>
          <t>↑ '시작중량_설정'과 자동 연동. 20 = 빈 봉. '생략'은 앞 세트와 중량이 겹쳐 불필요하다는 뜻.</t>
        </is>
      </c>
    </row>
    <row r="12"/>
    <row r="13" ht="16.5" customHeight="1" s="96">
      <c r="A13" s="3" t="inlineStr">
        <is>
          <t>웜업 — 회전근개 (세트 카운트 제외)</t>
        </is>
      </c>
    </row>
    <row r="14" ht="16.5" customHeight="1" s="96">
      <c r="A14" s="31" t="inlineStr">
        <is>
          <t>· 케이블 외회전 2세트 × 12~15회. 팔꿈치 90도로 접어 옆구리에 붙이고 바깥으로만 회전.</t>
        </is>
      </c>
    </row>
    <row r="15" ht="16.5" customHeight="1" s="96">
      <c r="A15" s="31" t="inlineStr">
        <is>
          <t>· 매우 가볍게 — 2.5~5kg. 무거우면 광배와 후면 삼각근이 대신 일하며 목적을 잃는다.</t>
        </is>
      </c>
    </row>
    <row r="16" ht="16.5" customHeight="1" s="96">
      <c r="A16" s="31" t="inlineStr">
        <is>
          <t>· 근비대 항목이 아니라 관절 준비 항목이므로 세트 합계에 넣지 않는다.</t>
        </is>
      </c>
    </row>
    <row r="17"/>
    <row r="18" ht="15" customHeight="1" s="96">
      <c r="A18" s="3" t="inlineStr">
        <is>
          <t>운동 구성</t>
        </is>
      </c>
    </row>
    <row r="19" ht="16.5" customHeight="1" s="96">
      <c r="A19" s="34" t="inlineStr">
        <is>
          <t>#</t>
        </is>
      </c>
      <c r="B19" s="35" t="inlineStr">
        <is>
          <t>종목</t>
        </is>
      </c>
      <c r="C19" s="35" t="inlineStr">
        <is>
          <t>근육군</t>
        </is>
      </c>
      <c r="D19" s="35" t="inlineStr">
        <is>
          <t>중량(Kg)</t>
        </is>
      </c>
      <c r="E19" s="35" t="inlineStr">
        <is>
          <t>세트</t>
        </is>
      </c>
      <c r="F19" s="35" t="inlineStr">
        <is>
          <t>횟수</t>
        </is>
      </c>
      <c r="G19" s="35" t="inlineStr">
        <is>
          <t>수행(초)</t>
        </is>
      </c>
      <c r="H19" s="35" t="inlineStr">
        <is>
          <t>휴식(초)</t>
        </is>
      </c>
      <c r="I19" s="35" t="inlineStr">
        <is>
          <t>종목 분</t>
        </is>
      </c>
      <c r="J19" s="35" t="inlineStr">
        <is>
          <t>간접 자극</t>
        </is>
      </c>
      <c r="K19" s="35" t="inlineStr">
        <is>
          <t>메모</t>
        </is>
      </c>
      <c r="L19" s="35" t="inlineStr">
        <is>
          <t>대체 종목</t>
        </is>
      </c>
    </row>
    <row r="20" ht="16.5" customHeight="1" s="96">
      <c r="A20" s="42" t="n">
        <v>1</v>
      </c>
      <c r="B20" s="41" t="inlineStr">
        <is>
          <t>밀리터리 프레스 (본세트)</t>
        </is>
      </c>
      <c r="C20" s="42" t="inlineStr">
        <is>
          <t>삼각근(전면)</t>
        </is>
      </c>
      <c r="D20" s="43">
        <f>시작중량_설정!$E$10</f>
        <v/>
      </c>
      <c r="E20" s="42" t="n">
        <v>3</v>
      </c>
      <c r="F20" s="40" t="inlineStr">
        <is>
          <t>5</t>
        </is>
      </c>
      <c r="G20" s="40" t="n">
        <v>30</v>
      </c>
      <c r="H20" s="40" t="n">
        <v>180</v>
      </c>
      <c r="I20" s="40">
        <f>IF(E20=0,0,ROUND(E20*(G20+H20)/60,1))</f>
        <v/>
      </c>
      <c r="J20" s="41" t="inlineStr">
        <is>
          <t>삼두 · 삼각근(측면)</t>
        </is>
      </c>
      <c r="K20" s="41" t="inlineStr">
        <is>
          <t>벤치와 4일 간격 — 5일 버전의 "전날 벤치 여파" 문제가 사라진 자리. 팔꿈치 다 내리지 말 것</t>
        </is>
      </c>
      <c r="L20" s="41" t="inlineStr">
        <is>
          <t>스미스 오버헤드 프레스 / 숄더 프레스 머신 / 덤벨 숄더 프레스 (가동범위 ↑) / 아놀드 프레스</t>
        </is>
      </c>
    </row>
    <row r="21" ht="16.5" customHeight="1" s="96">
      <c r="A21" s="20" t="n">
        <v>2</v>
      </c>
      <c r="B21" s="21" t="inlineStr">
        <is>
          <t>머신 숄더 프레스</t>
        </is>
      </c>
      <c r="C21" s="20" t="inlineStr">
        <is>
          <t>삼각근(전면)</t>
        </is>
      </c>
      <c r="D21" s="20" t="n">
        <v>20</v>
      </c>
      <c r="E21" s="20" t="n">
        <v>3</v>
      </c>
      <c r="F21" s="26" t="inlineStr">
        <is>
          <t>12</t>
        </is>
      </c>
      <c r="G21" s="26" t="n">
        <v>40</v>
      </c>
      <c r="H21" s="26" t="n">
        <v>120</v>
      </c>
      <c r="I21" s="26">
        <f>IF(E21=0,0,ROUND(E21*(G21+H21)/60,1))</f>
        <v/>
      </c>
      <c r="J21" s="21" t="inlineStr">
        <is>
          <t>승모 · 삼각근(측면)</t>
        </is>
      </c>
      <c r="K21" s="21" t="inlineStr">
        <is>
          <t>주동은 전면이나 오버헤드라 측면도 상당히 쓴다. 그립 넓게 — 좁으면 승모가 대신 일한다</t>
        </is>
      </c>
      <c r="L21" s="21" t="inlineStr">
        <is>
          <t>덤벨 숄더 프레스 / 스미스 오버헤드 프레스 / 아놀드 프레스</t>
        </is>
      </c>
    </row>
    <row r="22" ht="16.5" customHeight="1" s="96">
      <c r="A22" s="20" t="n">
        <v>3</v>
      </c>
      <c r="B22" s="36" t="inlineStr">
        <is>
          <t>오버헤드 슈러그(스미스)</t>
        </is>
      </c>
      <c r="C22" s="20" t="inlineStr">
        <is>
          <t>승모(하부)</t>
        </is>
      </c>
      <c r="D22" s="20" t="n">
        <v>15</v>
      </c>
      <c r="E22" s="20" t="n">
        <v>3</v>
      </c>
      <c r="F22" s="26" t="inlineStr">
        <is>
          <t>12~15</t>
        </is>
      </c>
      <c r="G22" s="26" t="n">
        <v>40</v>
      </c>
      <c r="H22" s="26" t="n">
        <v>60</v>
      </c>
      <c r="I22" s="26">
        <f>IF(E22=0,0,ROUND(E22*(G22+H22)/60,1))</f>
        <v/>
      </c>
      <c r="J22" s="21" t="inlineStr">
        <is>
          <t>전거근</t>
        </is>
      </c>
      <c r="K22" s="21" t="inlineStr">
        <is>
          <t>머신 숄더 프레스 직후 — 오버헤드 각도가 이미 나와 있어 세팅 이동이 없다. 팔꿈치 편 채 견갑골만 2~3cm 위로. 팔꿈치가 굽으면 그건 프레스지 슈러그가 아니다</t>
        </is>
      </c>
      <c r="L22" s="21" t="inlineStr">
        <is>
      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      </is>
      </c>
    </row>
    <row r="23" ht="16.5" customHeight="1" s="96">
      <c r="A23" s="20" t="n">
        <v>4</v>
      </c>
      <c r="B23" s="21" t="inlineStr">
        <is>
          <t>헤머스트랭스 체스트 프레스</t>
        </is>
      </c>
      <c r="C23" s="20" t="inlineStr">
        <is>
          <t>흉근(중하부)</t>
        </is>
      </c>
      <c r="D23" s="26" t="n">
        <v>20</v>
      </c>
      <c r="E23" s="20" t="n">
        <v>3</v>
      </c>
      <c r="F23" s="26" t="inlineStr">
        <is>
          <t>8~12</t>
        </is>
      </c>
      <c r="G23" s="26" t="n">
        <v>40</v>
      </c>
      <c r="H23" s="26" t="n">
        <v>150</v>
      </c>
      <c r="I23" s="26">
        <f>IF(E23=0,0,ROUND(E23*(G23+H23)/60,1))</f>
        <v/>
      </c>
      <c r="J23" s="21" t="inlineStr">
        <is>
          <t>삼두</t>
        </is>
      </c>
      <c r="K23" s="21" t="inlineStr">
        <is>
          <t>좌우 독립 + 궤도 고정. 벤치(2일차)가 수평 메인이므로 여기선 보조 볼륨 [v17 제외 — 흉근 합산 천장(19→16) 감량, 벤치·딥스·인클라인이 담당]</t>
        </is>
      </c>
      <c r="L23" s="21" t="inlineStr">
        <is>
          <t>케이블 체스트 프레스 (전 구간 장력) / 덤벨 프레스 (가동범위 ↑) / 스미스 벤치는 대체 불가</t>
        </is>
      </c>
    </row>
    <row r="24" ht="16.5" customHeight="1" s="96">
      <c r="A24" s="20" t="n">
        <v>5</v>
      </c>
      <c r="B24" s="21" t="inlineStr">
        <is>
          <t>인클라인 벤치프레스 머신</t>
        </is>
      </c>
      <c r="C24" s="20" t="inlineStr">
        <is>
          <t>흉근(상부)</t>
        </is>
      </c>
      <c r="D24" s="26" t="n">
        <v>35</v>
      </c>
      <c r="E24" s="20" t="n">
        <v>4</v>
      </c>
      <c r="F24" s="26" t="inlineStr">
        <is>
          <t>8~10</t>
        </is>
      </c>
      <c r="G24" s="26" t="n">
        <v>40</v>
      </c>
      <c r="H24" s="26" t="n">
        <v>150</v>
      </c>
      <c r="I24" s="26">
        <f>IF(E24=0,0,ROUND(E24*(G24+H24)/60,1))</f>
        <v/>
      </c>
      <c r="J24" s="21" t="inlineStr">
        <is>
          <t>삼두·전면삼각</t>
        </is>
      </c>
      <c r="K24" s="21" t="inlineStr">
        <is>
          <t>쇄골지. 오버헤드 프레싱과 각도가 이어져 세팅 이동이 적다</t>
        </is>
      </c>
      <c r="L24" s="21" t="inlineStr">
        <is>
          <t>인클라인 스미스 프레스 / 인클라인 덤벨 프레스 (가동범위 ↑) / 인클라인 체스트 프레스 머신</t>
        </is>
      </c>
    </row>
    <row r="25" ht="16.5" customHeight="1" s="96">
      <c r="A25" s="20" t="n">
        <v>6</v>
      </c>
      <c r="B25" s="21" t="inlineStr">
        <is>
          <t>벤트오버 레터럴 레이즈 머신</t>
        </is>
      </c>
      <c r="C25" s="20" t="inlineStr">
        <is>
          <t>삼각근(후면)</t>
        </is>
      </c>
      <c r="D25" s="26" t="n">
        <v>10</v>
      </c>
      <c r="E25" s="20" t="n">
        <v>3</v>
      </c>
      <c r="F25" s="26" t="inlineStr">
        <is>
          <t>12~15</t>
        </is>
      </c>
      <c r="G25" s="26" t="n">
        <v>40</v>
      </c>
      <c r="H25" s="26" t="n">
        <v>70</v>
      </c>
      <c r="I25" s="26">
        <f>IF(E25=0,0,ROUND(E25*(G25+H25)/60,1))</f>
        <v/>
      </c>
      <c r="J25" s="21" t="n"/>
      <c r="K25" s="21" t="inlineStr">
        <is>
          <t>수평 외전. 2일차 리버스 펙덱 · 8일차 후면 3종목(9세트)과 함께 후면 사이클당 3회 16세트를 만든다</t>
        </is>
      </c>
      <c r="L25" s="21" t="inlineStr">
        <is>
          <t>리버스 펙덱 / 케이블 리버스 플라이 / 인클라인 벤치에 엎드려 덤벨 리어델트</t>
        </is>
      </c>
    </row>
    <row r="26" ht="16.5" customHeight="1" s="96">
      <c r="A26" s="20" t="n">
        <v>7</v>
      </c>
      <c r="B26" s="21" t="inlineStr">
        <is>
          <t>원암 사이드 케이블 레터럴 레이즈</t>
        </is>
      </c>
      <c r="C26" s="20" t="inlineStr">
        <is>
          <t>삼각근(측면)</t>
        </is>
      </c>
      <c r="D26" s="26" t="n">
        <v>5</v>
      </c>
      <c r="E26" s="20" t="n">
        <v>3</v>
      </c>
      <c r="F26" s="26" t="inlineStr">
        <is>
          <t>10~12</t>
        </is>
      </c>
      <c r="G26" s="26" t="n">
        <v>70</v>
      </c>
      <c r="H26" s="26" t="n">
        <v>70</v>
      </c>
      <c r="I26" s="26">
        <f>IF(E26=0,0,ROUND(E26*(G26+H26)/60,1))</f>
        <v/>
      </c>
      <c r="J26" s="21" t="n"/>
      <c r="K26" s="21" t="inlineStr">
        <is>
          <t>몸을 반대로 기울여 늘어난 위치부터 부하. 덤벨 레터럴(2일차)이 못 거는 구간</t>
        </is>
      </c>
      <c r="L26" s="21" t="inlineStr">
        <is>
          <t>케이블 원암 레터럴 레이즈 (최우선) / 원암 레터럴 레이즈 머신</t>
        </is>
      </c>
    </row>
    <row r="27" ht="16.5" customHeight="1" s="96">
      <c r="A27" s="20" t="n">
        <v>8</v>
      </c>
      <c r="B27" s="21" t="inlineStr">
        <is>
          <t>프론 Y 레이즈</t>
        </is>
      </c>
      <c r="C27" s="20" t="inlineStr">
        <is>
          <t>승모(하부)</t>
        </is>
      </c>
      <c r="D27" s="26" t="inlineStr">
        <is>
          <t>2~5</t>
        </is>
      </c>
      <c r="E27" s="20" t="n">
        <v>0</v>
      </c>
      <c r="F27" s="26" t="inlineStr">
        <is>
          <t>12~15</t>
        </is>
      </c>
      <c r="G27" s="26" t="n">
        <v>40</v>
      </c>
      <c r="H27" s="26" t="n">
        <v>60</v>
      </c>
      <c r="I27" s="26">
        <f>IF(E27=0,0,ROUND(E27*(G27+H27)/60,1))</f>
        <v/>
      </c>
      <c r="J27" s="21" t="inlineStr">
        <is>
          <t>후면 삼각근</t>
        </is>
      </c>
      <c r="K27" s="21" t="inlineStr">
        <is>
          <t>벤트오버 레터럴과 같은 인클라인 벤치 — 세팅 그대로 이어서. 매우 가볍게. 오버헤드 슈러그가 상방회전, 이쪽은 하강 — 역할이 다르다</t>
        </is>
      </c>
      <c r="L27" s="21" t="inlineStr">
        <is>
          <t>케이블 Y 레이즈 / 페이스풀 (마지막에 견갑골 하강) / 프론 스윔</t>
        </is>
      </c>
    </row>
    <row r="28" ht="15" customHeight="1" s="96">
      <c r="A28" s="20" t="n">
        <v>9</v>
      </c>
      <c r="B28" s="21" t="inlineStr">
        <is>
          <t>라잉 트라이셉스 익스텐션</t>
        </is>
      </c>
      <c r="C28" s="20" t="inlineStr">
        <is>
          <t>삼두</t>
        </is>
      </c>
      <c r="D28" s="26" t="n">
        <v>15</v>
      </c>
      <c r="E28" s="20" t="n">
        <v>4</v>
      </c>
      <c r="F28" s="26" t="inlineStr">
        <is>
          <t>8~12</t>
        </is>
      </c>
      <c r="G28" s="26" t="n">
        <v>40</v>
      </c>
      <c r="H28" s="26" t="n">
        <v>75</v>
      </c>
      <c r="I28" s="26">
        <f>IF(E28=0,0,ROUND(E28*(G28+H28)/60,1))</f>
        <v/>
      </c>
      <c r="J28" s="21" t="n"/>
      <c r="K28" s="21" t="inlineStr">
        <is>
      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      </is>
      </c>
      <c r="L28" s="21" t="inlineStr">
        <is>
          <t>오버헤드 케이블 익스텐션 / 스컬크러셔 / EZ바 라잉 익스텐션</t>
        </is>
      </c>
    </row>
    <row r="29" ht="15" customHeight="1" s="96">
      <c r="D29" s="46" t="inlineStr">
        <is>
          <t>세트 합계</t>
        </is>
      </c>
      <c r="E29" s="47">
        <f>SUM(E20:E28)</f>
        <v/>
      </c>
      <c r="I29">
        <f>ROUND(SUM(I20:I28),0)</f>
        <v/>
      </c>
    </row>
    <row r="30"/>
    <row r="31" ht="16.5" customHeight="1" s="96">
      <c r="A31" s="3" t="inlineStr">
        <is>
          <t>하부 승모 — 세 패턴 (v3)</t>
        </is>
      </c>
    </row>
    <row r="32" ht="16.5" customHeight="1" s="96">
      <c r="A32" s="31" t="inlineStr">
        <is>
          <t>· 하부 승모의 일은 두 갈래다: 견갑골 하강, 그리고 팔이 올라갈 때의 상방회전.</t>
        </is>
      </c>
    </row>
    <row r="33" ht="16.5" customHeight="1" s="96">
      <c r="A33" s="31" t="inlineStr">
        <is>
          <t>· 스캡 풀업(월 웜업) = 순수 하강 · 프론 Y(6일차) = 하강 + 후인 · 오버헤드 슈러그(6일차) = 상방회전.</t>
        </is>
      </c>
    </row>
    <row r="34" ht="16.5" customHeight="1" s="96">
      <c r="A34" s="31" t="inlineStr">
        <is>
          <t>· 상방회전은 팔이 머리 위로 간 각도에서만 훈련된다 — 지금까지 프로그램에 통째로 비어 있던 패턴.</t>
        </is>
      </c>
    </row>
    <row r="35" ht="16.5" customHeight="1" s="96">
      <c r="A35" s="31" t="inlineStr">
        <is>
          <t>· 전거근이 함께 온다. 전거근이 약하면 하부 승모를 키워도 견갑골이 제 위치로 안 간다.</t>
        </is>
      </c>
    </row>
    <row r="36" ht="16.5" customHeight="1" s="96">
      <c r="A36" s="31" t="inlineStr">
        <is>
          <t>· 가동범위가 아주 작다. 견갑골만 2~3cm 올렸다 내리는 동작이고, 그 이상은 팔꿈치가 굽은 것이다.</t>
        </is>
      </c>
    </row>
    <row r="37" ht="16.5" customHeight="1" s="96">
      <c r="A37" s="31" t="inlineStr">
        <is>
          <t>· 무게는 오버헤드로 안정적으로 지지할 수 있는 것보다 가볍게. 스미스나 머신 권장.</t>
        </is>
      </c>
    </row>
    <row r="38" ht="16.5" customHeight="1" s="96">
      <c r="A38" s="31" t="inlineStr">
        <is>
          <t>· 하부 승모는 무게로 밀어붙일 수 없다. 과부하는 정지 2~3초 · 하강 3초 · 반복 수 확장으로.</t>
        </is>
      </c>
    </row>
  </sheetData>
  <conditionalFormatting sqref="A20:N28">
    <cfRule type="expression" priority="1" dxfId="0">
      <formula>$E20=0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Normal="100" workbookViewId="0">
      <pane ySplit="14" topLeftCell="A15" activePane="bottomLeft" state="frozen"/>
      <selection pane="bottomLeft" activeCell="H41" sqref="H41"/>
    </sheetView>
  </sheetViews>
  <sheetFormatPr baseColWidth="8" defaultColWidth="8.7109375" defaultRowHeight="15"/>
  <cols>
    <col width="7.1406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</cols>
  <sheetData>
    <row r="1" ht="19.5" customHeight="1" s="96">
      <c r="A1" s="17" t="inlineStr">
        <is>
          <t>7일차 — 하체 B (고관절 지배)</t>
        </is>
      </c>
    </row>
    <row r="2" ht="16.5" customHeight="1" s="96">
      <c r="A2" s="18" t="inlineStr">
        <is>
          <t>· 힙 힌지 · 둔근. 3일차 하체 A(무릎 지배)와 4일 간격. 다음 날은 8일차 어깨 — 척추 부하가 0인 고립 세션이라 사실상 회복일이다.</t>
        </is>
      </c>
    </row>
    <row r="3"/>
    <row r="4" ht="16.5" customHeight="1" s="96">
      <c r="A4" s="3" t="inlineStr">
        <is>
          <t>메인: 데드리프트</t>
        </is>
      </c>
    </row>
    <row r="5" ht="16.5" customHeight="1" s="96">
      <c r="A5" s="19" t="inlineStr">
        <is>
          <t>중량(Kg)</t>
        </is>
      </c>
      <c r="B5" s="19" t="inlineStr">
        <is>
          <t>반복</t>
        </is>
      </c>
      <c r="C5" s="19" t="inlineStr">
        <is>
          <t>세트</t>
        </is>
      </c>
    </row>
    <row r="6" ht="15" customHeight="1" s="96">
      <c r="A6" s="20">
        <f>MAX(20,MROUND(시작중량_설정!$E$8*0.4,2.5))</f>
        <v/>
      </c>
      <c r="B6" s="20" t="n">
        <v>5</v>
      </c>
      <c r="C6" s="20" t="n">
        <v>2</v>
      </c>
    </row>
    <row r="7" ht="15" customHeight="1" s="96">
      <c r="A7" s="20">
        <f>IF(MAX(20,MROUND(시작중량_설정!$E$8*0.6,2.5))&lt;=MAX(20,MROUND(시작중량_설정!$E$8*0.4,2.5)),"생략",MAX(20,MROUND(시작중량_설정!$E$8*0.6,2.5)))</f>
        <v/>
      </c>
      <c r="B7" s="20" t="n">
        <v>5</v>
      </c>
      <c r="C7" s="20" t="n">
        <v>1</v>
      </c>
    </row>
    <row r="8" ht="15" customHeight="1" s="96">
      <c r="A8" s="20">
        <f>IF(MAX(20,MROUND(시작중량_설정!$E$8*0.75,2.5))&lt;=MAX(20,MROUND(시작중량_설정!$E$8*0.6,2.5)),"생략",MAX(20,MROUND(시작중량_설정!$E$8*0.75,2.5)))</f>
        <v/>
      </c>
      <c r="B8" s="20" t="n">
        <v>3</v>
      </c>
      <c r="C8" s="20" t="n">
        <v>1</v>
      </c>
    </row>
    <row r="9" ht="15" customHeight="1" s="96">
      <c r="A9" s="20">
        <f>IF(MAX(20,MROUND(시작중량_설정!$E$8*0.9,2.5))&lt;=MAX(20,MROUND(시작중량_설정!$E$8*0.75,2.5)),"생략",MAX(20,MROUND(시작중량_설정!$E$8*0.9,2.5)))</f>
        <v/>
      </c>
      <c r="B9" s="20" t="n">
        <v>2</v>
      </c>
      <c r="C9" s="20" t="n">
        <v>1</v>
      </c>
    </row>
    <row r="10" ht="15" customHeight="1" s="96">
      <c r="A10" s="39">
        <f>시작중량_설정!$E$8</f>
        <v/>
      </c>
      <c r="B10" s="27" t="n">
        <v>5</v>
      </c>
      <c r="C10" s="27" t="n">
        <v>1</v>
      </c>
    </row>
    <row r="11" ht="16.5" customHeight="1" s="96">
      <c r="A11" s="31" t="inlineStr">
        <is>
          <t>↑ '시작중량_설정'과 자동 연동. 20 = 빈 봉. '생략'은 앞 세트와 중량이 겹쳐 불필요하다는 뜻.</t>
        </is>
      </c>
    </row>
    <row r="12"/>
    <row r="13" ht="15" customHeight="1" s="96">
      <c r="A13" s="3" t="inlineStr">
        <is>
          <t>운동 구성</t>
        </is>
      </c>
    </row>
    <row r="14" ht="16.5" customHeight="1" s="96">
      <c r="A14" s="34" t="inlineStr">
        <is>
          <t>#</t>
        </is>
      </c>
      <c r="B14" s="35" t="inlineStr">
        <is>
          <t>종목</t>
        </is>
      </c>
      <c r="C14" s="35" t="inlineStr">
        <is>
          <t>근육군</t>
        </is>
      </c>
      <c r="D14" s="35" t="inlineStr">
        <is>
          <t>중량(Kg)</t>
        </is>
      </c>
      <c r="E14" s="35" t="inlineStr">
        <is>
          <t>세트</t>
        </is>
      </c>
      <c r="F14" s="35" t="inlineStr">
        <is>
          <t>횟수</t>
        </is>
      </c>
      <c r="G14" s="35" t="inlineStr">
        <is>
          <t>수행(초)</t>
        </is>
      </c>
      <c r="H14" s="35" t="inlineStr">
        <is>
          <t>휴식(초)</t>
        </is>
      </c>
      <c r="I14" s="35" t="inlineStr">
        <is>
          <t>종목 분</t>
        </is>
      </c>
      <c r="J14" s="35" t="inlineStr">
        <is>
          <t>간접 자극</t>
        </is>
      </c>
      <c r="K14" s="35" t="inlineStr">
        <is>
          <t>메모</t>
        </is>
      </c>
      <c r="L14" s="35" t="inlineStr">
        <is>
          <t>대체 종목</t>
        </is>
      </c>
    </row>
    <row r="15" ht="16.5" customHeight="1" s="96">
      <c r="A15" s="42" t="n">
        <v>1</v>
      </c>
      <c r="B15" s="41" t="inlineStr">
        <is>
          <t>데드리프트 (본세트)</t>
        </is>
      </c>
      <c r="C15" s="42" t="inlineStr">
        <is>
          <t>기립근</t>
        </is>
      </c>
      <c r="D15" s="43">
        <f>시작중량_설정!$E$8</f>
        <v/>
      </c>
      <c r="E15" s="42" t="n">
        <v>1</v>
      </c>
      <c r="F15" s="40" t="inlineStr">
        <is>
          <t>5</t>
        </is>
      </c>
      <c r="G15" s="40" t="n">
        <v>35</v>
      </c>
      <c r="H15" s="40" t="n">
        <v>180</v>
      </c>
      <c r="I15" s="40">
        <f>IF(E15=0,0,ROUND(E15*(G15+H15)/60,1))</f>
        <v/>
      </c>
      <c r="J15" s="41" t="inlineStr">
        <is>
          <t>광배·햄스트링·둔근</t>
        </is>
      </c>
      <c r="K15" s="41" t="inlineStr">
        <is>
          <t>사이클당 1회. 다음 날이 8일차 어깨(레터럴·리버스 플라이뿐이라 척추 부하 0)라 이 자리가 가장 안전하다. 기립근 보조는 1일차 덤벨 RDL이 맡는다</t>
        </is>
      </c>
      <c r="L15" s="41" t="inlineStr">
        <is>
          <t>트랩바 데드리프트 (요추 전단력 ↓) / 랙풀 (무릎 위에서 시작) / 스모 데드리프트</t>
        </is>
      </c>
    </row>
    <row r="16" ht="16.5" customHeight="1" s="96">
      <c r="A16" s="20" t="n">
        <v>2</v>
      </c>
      <c r="B16" s="21" t="inlineStr">
        <is>
          <t>힙 쓰러스트</t>
        </is>
      </c>
      <c r="C16" s="20" t="inlineStr">
        <is>
          <t>둔근</t>
        </is>
      </c>
      <c r="D16" s="26" t="n">
        <v>25</v>
      </c>
      <c r="E16" s="20" t="n">
        <v>4</v>
      </c>
      <c r="F16" s="26" t="inlineStr">
        <is>
          <t>8~12</t>
        </is>
      </c>
      <c r="G16" s="26" t="n">
        <v>45</v>
      </c>
      <c r="H16" s="26" t="n">
        <v>150</v>
      </c>
      <c r="I16" s="26">
        <f>IF(E16=0,0,ROUND(E16*(G16+H16)/60,1))</f>
        <v/>
      </c>
      <c r="J16" s="21" t="inlineStr">
        <is>
          <t>햄스트링</t>
        </is>
      </c>
      <c r="K16" s="21" t="inlineStr">
        <is>
          <t>둔근 메인. 무겁게. 데드 뒤라 둔근이 예열된 상태</t>
        </is>
      </c>
      <c r="L16" s="21" t="inlineStr">
        <is>
          <t>힙 쓰러스트 머신 / 스미스 힙 쓰러스트 / 글룻 브릿지</t>
        </is>
      </c>
    </row>
    <row r="17" ht="16.5" customHeight="1" s="96">
      <c r="A17" s="20" t="n">
        <v>3</v>
      </c>
      <c r="B17" s="21" t="inlineStr">
        <is>
          <t>루마니안 데드리프트</t>
        </is>
      </c>
      <c r="C17" s="20" t="inlineStr">
        <is>
          <t>햄스트링</t>
        </is>
      </c>
      <c r="D17" s="20" t="n">
        <v>35</v>
      </c>
      <c r="E17" s="20" t="n">
        <v>3</v>
      </c>
      <c r="F17" s="26" t="inlineStr">
        <is>
          <t>8</t>
        </is>
      </c>
      <c r="G17" s="26" t="n">
        <v>40</v>
      </c>
      <c r="H17" s="26" t="n">
        <v>150</v>
      </c>
      <c r="I17" s="26">
        <f>IF(E17=0,0,ROUND(E17*(G17+H17)/60,1))</f>
        <v/>
      </c>
      <c r="J17" s="21" t="inlineStr">
        <is>
          <t>둔근·기립근</t>
        </is>
      </c>
      <c r="K17" s="21" t="inlineStr">
        <is>
          <t>고관절 신전. 3일차 레그 컬(무릎 굴곡)과 기능이 다르다</t>
        </is>
      </c>
      <c r="L17" s="21" t="inlineStr">
        <is>
          <t>덤벨 RDL (좌우 독립) / 스티프 레그드 데드리프트 / 케이블 풀스루 (허리 부담 최소)</t>
        </is>
      </c>
    </row>
    <row r="18" ht="16.5" customHeight="1" s="96">
      <c r="A18" s="20" t="n">
        <v>4</v>
      </c>
      <c r="B18" s="21" t="inlineStr">
        <is>
          <t>원 레그 컬</t>
        </is>
      </c>
      <c r="C18" s="20" t="inlineStr">
        <is>
          <t>햄스트링</t>
        </is>
      </c>
      <c r="D18" s="26" t="n">
        <v>15</v>
      </c>
      <c r="E18" s="20" t="n">
        <v>3</v>
      </c>
      <c r="F18" s="26" t="inlineStr">
        <is>
          <t>10</t>
        </is>
      </c>
      <c r="G18" s="26" t="n">
        <v>80</v>
      </c>
      <c r="H18" s="26" t="n">
        <v>120</v>
      </c>
      <c r="I18" s="26">
        <f>IF(E18=0,0,ROUND(E18*(G18+H18)/60,1))</f>
        <v/>
      </c>
      <c r="J18" s="21" t="n"/>
      <c r="K18" s="21" t="inlineStr">
        <is>
          <t>레그 컬의 좌우 독립 버전. 약한 쪽이 강한 쪽에 묻히지 않는다</t>
        </is>
      </c>
      <c r="L18" s="21" t="inlineStr">
        <is>
          <t>싱글 레그 라잉 컬 / 싱글 레그 시티드 컬 / 케이블 레그 컬</t>
        </is>
      </c>
    </row>
    <row r="19" ht="16.5" customHeight="1" s="96">
      <c r="A19" s="20" t="n">
        <v>5</v>
      </c>
      <c r="B19" s="21" t="inlineStr">
        <is>
          <t>레그 익스텐션</t>
        </is>
      </c>
      <c r="C19" s="20" t="inlineStr">
        <is>
          <t>대퇴사두</t>
        </is>
      </c>
      <c r="D19" s="26" t="n">
        <v>42</v>
      </c>
      <c r="E19" s="20" t="n">
        <v>4</v>
      </c>
      <c r="F19" s="26" t="inlineStr">
        <is>
          <t>10~12</t>
        </is>
      </c>
      <c r="G19" s="26" t="n">
        <v>40</v>
      </c>
      <c r="H19" s="26" t="n">
        <v>120</v>
      </c>
      <c r="I19" s="26">
        <f>IF(E19=0,0,ROUND(E19*(G19+H19)/60,1))</f>
        <v/>
      </c>
      <c r="J19" s="21" t="n"/>
      <c r="K19" s="21" t="inlineStr">
        <is>
          <t>대퇴사두 사이클당 2회를 만들기 위한 배치. 3일차 스쿼트 볼륨과 4일 간격</t>
        </is>
      </c>
      <c r="L19" s="21" t="inlineStr">
        <is>
          <t>싱글 레그 익스텐션 / 시시 스쿼트 / 레그 프레스 발판 높게</t>
        </is>
      </c>
    </row>
    <row r="20" ht="16.5" customHeight="1" s="96">
      <c r="A20" s="20" t="n">
        <v>6</v>
      </c>
      <c r="B20" s="21" t="inlineStr">
        <is>
          <t>레그 프레스</t>
        </is>
      </c>
      <c r="C20" s="20" t="inlineStr">
        <is>
          <t>대퇴사두</t>
        </is>
      </c>
      <c r="D20" s="26">
        <f>D3_하체A!D16</f>
        <v/>
      </c>
      <c r="E20" s="20" t="n">
        <v>3</v>
      </c>
      <c r="F20" s="26" t="inlineStr">
        <is>
          <t>8~12</t>
        </is>
      </c>
      <c r="G20" s="26" t="n">
        <v>45</v>
      </c>
      <c r="H20" s="26" t="n">
        <v>150</v>
      </c>
      <c r="I20" s="26">
        <f>IF(E20=0,0,ROUND(E20*(G20+H20)/60,1))</f>
        <v/>
      </c>
      <c r="J20" s="21" t="inlineStr">
        <is>
          <t>둔근</t>
        </is>
      </c>
      <c r="K20" s="21" t="inlineStr">
        <is>
          <t>수/토 3+3 분할. 데드·힙 이후라 대퇴가 예열된 상태에서 궤도 고정으로 확실히 간다</t>
        </is>
      </c>
      <c r="L20" s="21" t="inlineStr">
        <is>
          <t>핵 스쿼트 / 레그 익스텐션 / 프론트 스쿼트 / 45도 레그 프레스</t>
        </is>
      </c>
    </row>
    <row r="21" ht="16.5" customHeight="1" s="96">
      <c r="A21" s="20" t="n">
        <v>7</v>
      </c>
      <c r="B21" s="21" t="inlineStr">
        <is>
          <t>시티드 카프 레이즈</t>
        </is>
      </c>
      <c r="C21" s="20" t="inlineStr">
        <is>
          <t>종아리</t>
        </is>
      </c>
      <c r="D21" s="26" t="n">
        <v>8</v>
      </c>
      <c r="E21" s="20" t="n">
        <v>4</v>
      </c>
      <c r="F21" s="26" t="inlineStr">
        <is>
          <t>12~15</t>
        </is>
      </c>
      <c r="G21" s="26" t="n">
        <v>40</v>
      </c>
      <c r="H21" s="26" t="n">
        <v>75</v>
      </c>
      <c r="I21" s="26">
        <f>IF(E21=0,0,ROUND(E21*(G21+H21)/60,1))</f>
        <v/>
      </c>
      <c r="J21" s="21" t="n"/>
      <c r="K21" s="21" t="inlineStr">
        <is>
          <t>무릎 굽힘 — 가자미근 주도. 3일차 스탠딩(비복근)과 역할이 다르다</t>
        </is>
      </c>
      <c r="L21" s="21" t="inlineStr">
        <is>
          <t>시티드 카프 레이즈 머신 (1순위) / 레그 프레스에서 무릎 굽힌 채 / 덤벨을 무릎에 올리고</t>
        </is>
      </c>
    </row>
    <row r="22" ht="16.5" customHeight="1" s="96">
      <c r="A22" s="20" t="n">
        <v>8</v>
      </c>
      <c r="B22" s="21" t="inlineStr">
        <is>
          <t>케이블 힙 외전</t>
        </is>
      </c>
      <c r="C22" s="20" t="inlineStr">
        <is>
          <t>중둔근</t>
        </is>
      </c>
      <c r="D22" s="26" t="n">
        <v>15</v>
      </c>
      <c r="E22" s="20" t="n">
        <v>3</v>
      </c>
      <c r="F22" s="26" t="inlineStr">
        <is>
          <t>12~15 (좌우)</t>
        </is>
      </c>
      <c r="G22" s="26" t="n">
        <v>80</v>
      </c>
      <c r="H22" s="26" t="n">
        <v>75</v>
      </c>
      <c r="I22" s="26">
        <f>IF(E22=0,0,ROUND(E22*(G22+H22)/60,1))</f>
        <v/>
      </c>
      <c r="J22" s="21" t="n"/>
      <c r="K22" s="21" t="inlineStr">
        <is>
      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      </is>
      </c>
      <c r="L22" s="21" t="inlineStr">
        <is>
          <t>밴드 몬스터 워크 / 사이드 라잉 힙 외전 / 힙 어브덕션 머신</t>
        </is>
      </c>
    </row>
    <row r="23" ht="16.5" customHeight="1" s="96">
      <c r="D23" s="3" t="inlineStr">
        <is>
          <t>세트 합계</t>
        </is>
      </c>
      <c r="E23" s="27">
        <f>SUM(E15:E22)</f>
        <v/>
      </c>
      <c r="I23">
        <f>ROUND(SUM(I15:I22),0)</f>
        <v/>
      </c>
    </row>
    <row r="24" ht="15" customHeight="1" s="96"/>
    <row r="25"/>
    <row r="26"/>
    <row r="27"/>
    <row r="28"/>
    <row r="29"/>
    <row r="30"/>
    <row r="31"/>
    <row r="32"/>
    <row r="33">
      <c r="B33" s="88" t="n"/>
    </row>
  </sheetData>
  <conditionalFormatting sqref="A15:N22">
    <cfRule type="expression" priority="1" dxfId="0">
      <formula>$E15=0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5" topLeftCell="A6" activePane="bottomLeft" state="frozen"/>
      <selection pane="bottomLeft" activeCell="Q39" sqref="Q39"/>
    </sheetView>
  </sheetViews>
  <sheetFormatPr baseColWidth="8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0"/>
  </cols>
  <sheetData>
    <row r="1" ht="19.5" customHeight="1" s="96">
      <c r="A1" s="17" t="inlineStr">
        <is>
          <t>8일차 — 어깨 (측면 · 후면) · 이두</t>
        </is>
      </c>
    </row>
    <row r="2" ht="16.5" customHeight="1" s="96">
      <c r="A2" s="18" t="inlineStr">
        <is>
          <t>측면·후면 삼각근 + 이두. 약 40분. 2·6일차 밀기가 세션 상한(26)이라 늘린 어깨 볼륨을 여기로 뺐고, 이두는 당기기로 지치지 않는 날에 두려고 1일차에서 옮겨 왔다.</t>
        </is>
      </c>
    </row>
    <row r="3" ht="30" customHeight="1" s="96">
      <c r="A3" s="33" t="inlineStr">
        <is>
          <t>웜업 — 케이블 외회전 2세트 × 12~15 (세트 카운트 제외): 매우 가볍게 2.5~5kg. 팔꿈치를 90도로 접어 옆구리에 붙이고 바깥으로만 회전. 대체: 밴드 외회전 / 아주 가벼운 페이스풀.</t>
        </is>
      </c>
    </row>
    <row r="4" ht="15" customHeight="1" s="96">
      <c r="A4" s="3" t="inlineStr">
        <is>
          <t>운동 구성</t>
        </is>
      </c>
    </row>
    <row r="5" ht="16.5" customHeight="1" s="96">
      <c r="A5" s="34" t="inlineStr">
        <is>
          <t>#</t>
        </is>
      </c>
      <c r="B5" s="35" t="inlineStr">
        <is>
          <t>종목</t>
        </is>
      </c>
      <c r="C5" s="35" t="inlineStr">
        <is>
          <t>근육군</t>
        </is>
      </c>
      <c r="D5" s="35" t="inlineStr">
        <is>
          <t>중량(Kg)</t>
        </is>
      </c>
      <c r="E5" s="35" t="inlineStr">
        <is>
          <t>세트</t>
        </is>
      </c>
      <c r="F5" s="35" t="inlineStr">
        <is>
          <t>횟수</t>
        </is>
      </c>
      <c r="G5" s="35" t="inlineStr">
        <is>
          <t>수행(초)</t>
        </is>
      </c>
      <c r="H5" s="35" t="inlineStr">
        <is>
          <t>휴식(초)</t>
        </is>
      </c>
      <c r="I5" s="35" t="inlineStr">
        <is>
          <t>종목 분</t>
        </is>
      </c>
      <c r="J5" s="35" t="inlineStr">
        <is>
          <t>간접 자극</t>
        </is>
      </c>
      <c r="K5" s="35" t="inlineStr">
        <is>
          <t>메모</t>
        </is>
      </c>
      <c r="L5" s="35" t="inlineStr">
        <is>
          <t>대체 종목</t>
        </is>
      </c>
    </row>
    <row r="6" ht="16.5" customHeight="1" s="96">
      <c r="A6" s="20" t="n">
        <v>1</v>
      </c>
      <c r="B6" s="86" t="inlineStr">
        <is>
          <t>머신 레터럴 레이즈</t>
        </is>
      </c>
      <c r="C6" s="20" t="inlineStr">
        <is>
          <t>삼각근(측면)</t>
        </is>
      </c>
      <c r="D6" s="20" t="n">
        <v>10</v>
      </c>
      <c r="E6" s="20" t="n">
        <v>3</v>
      </c>
      <c r="F6" s="26" t="inlineStr">
        <is>
          <t>12~15</t>
        </is>
      </c>
      <c r="G6" s="26" t="n">
        <v>40</v>
      </c>
      <c r="H6" s="26" t="n">
        <v>70</v>
      </c>
      <c r="I6" s="26">
        <f>IF(E6=0,0,ROUND(E6*(G6+H6)/60,1))</f>
        <v/>
      </c>
      <c r="J6" s="21" t="n"/>
      <c r="K6" s="21" t="inlineStr">
        <is>
          <t>궤도가 고정돼 반동이 안 들어간다. 중간 구간을 끝까지 쓴다. 어깨가 으쓱 따라 올라가면 승모가 대신 일하는 것 — 무게를 내린다.</t>
        </is>
      </c>
      <c r="L6" s="21" t="inlineStr">
        <is>
          <t>덤벨 레터럴 (머신 없을 때 — 몸 옆이 아니라 살짝 앞) / 케이블 레터럴 양팔 크로스</t>
        </is>
      </c>
    </row>
    <row r="7" ht="16.5" customHeight="1" s="96">
      <c r="A7" s="20" t="n">
        <v>2</v>
      </c>
      <c r="B7" s="86" t="inlineStr">
        <is>
          <t>리닝 원암 케이블 레터럴 레이즈</t>
        </is>
      </c>
      <c r="C7" s="20" t="inlineStr">
        <is>
          <t>삼각근(측면)</t>
        </is>
      </c>
      <c r="D7" s="20" t="n">
        <v>5</v>
      </c>
      <c r="E7" s="20" t="n">
        <v>2</v>
      </c>
      <c r="F7" s="26" t="inlineStr">
        <is>
          <t>12~15</t>
        </is>
      </c>
      <c r="G7" s="26" t="n">
        <v>80</v>
      </c>
      <c r="H7" s="26" t="n">
        <v>70</v>
      </c>
      <c r="I7" s="26">
        <f>IF(E7=0,0,ROUND(E7*(G7+H7)/60,1))</f>
        <v/>
      </c>
      <c r="J7" s="21" t="n"/>
      <c r="K7" s="21" t="inlineStr">
        <is>
          <t>기둥을 잡고 몸을 반대로 기울여 늘어난 위치부터 부하가 걸린다 — 머신·덤벨이 못 거는 구간이다. 좌우 각 2세트. 6일차에도 같은 종목이 있지만 4일 간격이라 겹치지 않는다.</t>
        </is>
      </c>
      <c r="L7" s="21" t="inlineStr">
        <is>
          <t>케이블 비하인드백 레터럴 / 로우 풀리 원암 레터럴 / 인클라인 벤치에 옆으로 누워 덤벨 레터럴</t>
        </is>
      </c>
    </row>
    <row r="8" ht="16.5" customHeight="1" s="96">
      <c r="A8" s="20" t="n">
        <v>3</v>
      </c>
      <c r="B8" s="86" t="inlineStr">
        <is>
          <t>와이드 그립 케이블 업라이트 로우</t>
        </is>
      </c>
      <c r="C8" s="20" t="inlineStr">
        <is>
          <t>삼각근(측면)</t>
        </is>
      </c>
      <c r="D8" s="20" t="n">
        <v>15</v>
      </c>
      <c r="E8" s="20" t="n">
        <v>2</v>
      </c>
      <c r="F8" s="26" t="inlineStr">
        <is>
          <t>12~15</t>
        </is>
      </c>
      <c r="G8" s="26" t="n">
        <v>40</v>
      </c>
      <c r="H8" s="26" t="n">
        <v>75</v>
      </c>
      <c r="I8" s="26">
        <f>IF(E8=0,0,ROUND(E8*(G8+H8)/60,1))</f>
        <v/>
      </c>
      <c r="J8" s="21" t="inlineStr">
        <is>
          <t>승모(상부)</t>
        </is>
      </c>
      <c r="K8" s="21" t="inlineStr">
        <is>
      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      </is>
      </c>
      <c r="L8" s="21" t="inlineStr">
        <is>
          <t>EZ바 와이드 업라이트 로우 / 스미스 업라이트 로우 / 케이블 Y 레이즈 (충돌이 느껴질 때)</t>
        </is>
      </c>
    </row>
    <row r="9" ht="16.5" customHeight="1" s="96">
      <c r="A9" s="20" t="n">
        <v>4</v>
      </c>
      <c r="B9" s="86" t="inlineStr">
        <is>
          <t>케이블 리버스 플라이</t>
        </is>
      </c>
      <c r="C9" s="20" t="inlineStr">
        <is>
          <t>삼각근(후면)</t>
        </is>
      </c>
      <c r="D9" s="20" t="inlineStr">
        <is>
          <t>12~15</t>
        </is>
      </c>
      <c r="E9" s="20" t="n">
        <v>3</v>
      </c>
      <c r="F9" s="26" t="inlineStr">
        <is>
          <t>12~15</t>
        </is>
      </c>
      <c r="G9" s="26" t="n">
        <v>40</v>
      </c>
      <c r="H9" s="26" t="n">
        <v>70</v>
      </c>
      <c r="I9" s="26">
        <f>IF(E9=0,0,ROUND(E9*(G9+H9)/60,1))</f>
        <v/>
      </c>
      <c r="J9" s="21" t="inlineStr">
        <is>
          <t>중부승모·능형근</t>
        </is>
      </c>
      <c r="K9" s="21" t="inlineStr">
        <is>
          <t>팔을 편 채 수평으로만 벌린다. 케이블이라 수축 지점에서도 장력이 유지된다. 팔꿈치가 어깨선을 크게 지나가면 후면 삼각근에서 능형근으로 넘어간다.</t>
        </is>
      </c>
      <c r="L9" s="21" t="inlineStr">
        <is>
          <t>리버스 펙덱 (2일차와 같은 머신이면 그립만 바꿔 각도를 나눈다) / 벤트오버 케이블 크로스</t>
        </is>
      </c>
    </row>
    <row r="10" ht="16.5" customHeight="1" s="96">
      <c r="A10" s="20" t="n">
        <v>5</v>
      </c>
      <c r="B10" s="86" t="inlineStr">
        <is>
          <t>인클라인 벤치 프론 리어 델트 레이즈</t>
        </is>
      </c>
      <c r="C10" s="20" t="inlineStr">
        <is>
          <t>삼각근(후면)</t>
        </is>
      </c>
      <c r="D10" s="20" t="n">
        <v>5</v>
      </c>
      <c r="E10" s="20" t="n">
        <v>3</v>
      </c>
      <c r="F10" s="26" t="inlineStr">
        <is>
          <t>12~15</t>
        </is>
      </c>
      <c r="G10" s="26" t="n">
        <v>40</v>
      </c>
      <c r="H10" s="26" t="n">
        <v>70</v>
      </c>
      <c r="I10" s="26">
        <f>IF(E10=0,0,ROUND(E10*(G10+H10)/60,1))</f>
        <v/>
      </c>
      <c r="J10" s="21" t="n"/>
      <c r="K10" s="21" t="inlineStr">
        <is>
          <t>가슴을 벤치에 대고 엎드려 상체를 고정한다 — 반동과 기립근 개입이 통째로 차단돼 후면만 남는다. 자유중량이라 궤도가 고정된 4번과 다른 안정화 요구가 붙는다. 아주 가볍게, 무게보다 정지 1초.</t>
        </is>
      </c>
      <c r="L10" s="21" t="inlineStr">
        <is>
          <t>프론 덤벨 리어 레이즈 (평벤치) / 시티드 벤트오버 덤벨 리어 레이즈 / 리버스 펙덱</t>
        </is>
      </c>
    </row>
    <row r="11" ht="16.5" customHeight="1" s="96">
      <c r="A11" s="20" t="n">
        <v>6</v>
      </c>
      <c r="B11" s="86" t="inlineStr">
        <is>
          <t>리어 델트 로우 (로프)</t>
        </is>
      </c>
      <c r="C11" s="20" t="inlineStr">
        <is>
          <t>삼각근(후면)</t>
        </is>
      </c>
      <c r="D11" s="20" t="n">
        <v>20</v>
      </c>
      <c r="E11" s="20" t="n">
        <v>3</v>
      </c>
      <c r="F11" s="26" t="inlineStr">
        <is>
          <t>12~15</t>
        </is>
      </c>
      <c r="G11" s="26" t="n">
        <v>40</v>
      </c>
      <c r="H11" s="26" t="n">
        <v>80</v>
      </c>
      <c r="I11" s="26">
        <f>IF(E11=0,0,ROUND(E11*(G11+H11)/60,1))</f>
        <v/>
      </c>
      <c r="J11" s="21" t="inlineStr">
        <is>
          <t>중부승모·능형근</t>
        </is>
      </c>
      <c r="K11" s="21" t="inlineStr">
        <is>
      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      </is>
      </c>
      <c r="L11" s="21" t="inlineStr">
        <is>
          <t>와이드 그립 시티드 케이블 로우 (팔꿈치 벌려) / 페이스풀 (외회전까지 포함) / 머신 로우 와이드 그립</t>
        </is>
      </c>
    </row>
    <row r="12" ht="16.5" customHeight="1" s="96">
      <c r="A12" s="20" t="n">
        <v>7</v>
      </c>
      <c r="B12" s="86" t="inlineStr">
        <is>
          <t>인클라인 덤벨 컬</t>
        </is>
      </c>
      <c r="C12" s="20" t="inlineStr">
        <is>
          <t>이두</t>
        </is>
      </c>
      <c r="D12" s="20" t="n">
        <v>6</v>
      </c>
      <c r="E12" s="20" t="n">
        <v>4</v>
      </c>
      <c r="F12" s="26" t="inlineStr">
        <is>
          <t>8~12</t>
        </is>
      </c>
      <c r="G12" s="26" t="n">
        <v>40</v>
      </c>
      <c r="H12" s="26" t="n">
        <v>70</v>
      </c>
      <c r="I12" s="26">
        <f>IF(E12=0,0,ROUND(E12*(G12+H12)/60,1))</f>
        <v/>
      </c>
      <c r="J12" s="21" t="inlineStr">
        <is>
          <t>전완</t>
        </is>
      </c>
      <c r="K12" s="21" t="inlineStr">
        <is>
      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      </is>
      </c>
      <c r="L12" s="21" t="inlineStr">
        <is>
          <t>케이블 컬 (뒤로 물러서서 스트레치 확보) / 스파이더 컬 (반대 각도) / 드래그 컬</t>
        </is>
      </c>
    </row>
    <row r="13" ht="16.5" customHeight="1" s="96">
      <c r="D13" s="3" t="inlineStr">
        <is>
          <t>세트 합계</t>
        </is>
      </c>
      <c r="E13" s="27">
        <f>SUM(E6:E12)</f>
        <v/>
      </c>
      <c r="I13">
        <f>ROUND(SUM(I6:I12),0)</f>
        <v/>
      </c>
    </row>
    <row r="14" ht="16.5" customHeight="1" s="96"/>
    <row r="15" ht="16.5" customHeight="1" s="96">
      <c r="A15" s="3" t="inlineStr">
        <is>
          <t>· 실패지점 1~2회 남기고 멈춘다. 8일차는 5일차부터 이어진 연속 구간 한가운데라 여기서 회복을 깎으면 다음 사이클 앞머리가 밀린다.</t>
        </is>
      </c>
    </row>
    <row r="16" ht="16.5" customHeight="1" s="96">
      <c r="A16" s="31" t="inlineStr">
        <is>
          <t>· 세트 간 휴식 60~80초. 소근육 고립이라 길게 쉴 이유가 없다. 본세트 기준 약 39분 (웜업 별도).</t>
        </is>
      </c>
    </row>
    <row r="17" ht="16.5" customHeight="1" s="96">
      <c r="A17" s="31" t="inlineStr">
        <is>
          <t>· 이 세션에 메인 리프트는 없다. 무게를 올리는 날이 아니라 볼륨을 채우는 날이다.</t>
        </is>
      </c>
    </row>
    <row r="18" ht="16.5" customHeight="1" s="96">
      <c r="A18" s="31" t="inlineStr">
        <is>
          <t>· 척추 부하가 0이라 7일차 데드리프트 다음 날 자리로 안전하다 — 그게 이 날이 여기 있는 이유다. 이두 컬이 붙어도 그 성질은 그대로다.</t>
        </is>
      </c>
    </row>
    <row r="19" ht="16.5" customHeight="1" s="96">
      <c r="A19" s="31" t="inlineStr">
        <is>
          <t>· 척추 부하가 0이라 7일차 데드리프트 다음 날 자리로 안전하다 — 그게 이 날이 여기 있는 이유다.</t>
        </is>
      </c>
    </row>
    <row r="20" ht="16.5" customHeight="1" s="96">
      <c r="A20" s="3" t="inlineStr">
        <is>
          <t>왜 프레스가 없는가</t>
        </is>
      </c>
    </row>
    <row r="21" ht="16.5" customHeight="1" s="96">
      <c r="A21" s="31" t="inlineStr">
        <is>
          <t>· 볼륨 랜드마크 표에 전면 삼각근 행이 아예 없다 — 모든 프레스가 자동으로 채워주는 부위라 별도 하한을 잡지 않는다.</t>
        </is>
      </c>
    </row>
    <row r="22" ht="16.5" customHeight="1" s="96">
      <c r="A22" s="31" t="inlineStr">
        <is>
          <t>· 실제로 전면은 벤치 · 밀리터리 · 머신 숄더 · 인클라인 · 딥스로 실질 11세트대다. 숄더 프레스를 더 넣으면 늘어나는 건 어깨가 아니라 삼두와 전면의 중복 피로다.</t>
        </is>
      </c>
    </row>
    <row r="23" ht="16.5" customHeight="1" s="96">
      <c r="A23" s="3" t="inlineStr">
        <is>
          <t>왜 6종목으로 나눴는가</t>
        </is>
      </c>
    </row>
    <row r="24" ht="16.5" customHeight="1" s="96">
      <c r="A24" s="31" t="inlineStr">
        <is>
          <t>· 한 세션 부위당 8~9세트가 이 프로그램의 상한인데, 여기서 후면이 9세트다. 상한에 정확히 걸쳐 있다.</t>
        </is>
      </c>
    </row>
    <row r="25" ht="16.5" customHeight="1" s="96">
      <c r="A25" s="31" t="inlineStr">
        <is>
          <t>· 같은 종목 9세트는 뒤쪽 세트의 자극당 값이 떨어진다. 축을 셋으로 나눠 그 손해를 줄인 것이다 — 팔 편 수평 외전(4번) · 몸통 고정 자유중량(5번) · 팔 굽힌 당기기(6번).</t>
        </is>
      </c>
    </row>
    <row r="26" ht="16.5" customHeight="1" s="96">
      <c r="A26" s="31" t="inlineStr">
        <is>
          <t>· 측면도 같은 이유로 셋이다 — 궤도 고정(1번) · 늘어난 구간(2번) · 굽힌 팔 당기기(3번).</t>
        </is>
      </c>
    </row>
    <row r="27" ht="16.5" customHeight="1" s="96">
      <c r="A27" s="31" t="inlineStr">
        <is>
      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      </is>
      </c>
    </row>
    <row r="28" ht="16.5" customHeight="1" s="96">
      <c r="A28" s="3" t="inlineStr">
        <is>
          <t>배치 근거 (2026-08-28)</t>
        </is>
      </c>
    </row>
    <row r="29" ht="16.5" customHeight="1" s="96">
      <c r="A29" s="31" t="inlineStr">
        <is>
          <t>· 측면 16 = 2일차 6 + 6일차 3 + 8일차 7. 후면 16 = 2일차 4 + 6일차 3 + 8일차 9. 사이클당 기준.</t>
        </is>
      </c>
    </row>
    <row r="30" ht="16.5" customHeight="1" s="96">
      <c r="A30" s="31" t="inlineStr">
        <is>
          <t>· 주당 환산은 각 14다 (×7/8). MAV 하단(16)에 맞추려면 사이클당 18이 필요하고, 그러면 이 세션이 20세트가 된다. 거기까지는 가지 않았다.</t>
        </is>
      </c>
    </row>
    <row r="31" ht="16.5" customHeight="1" s="96">
      <c r="A31" s="31" t="inlineStr">
        <is>
          <t>· 후면 간격: 2일차 → 6일차 4일 · 6일차 → 8일차 2일 · 8일차 → 다음 2일차 2일. 사이클당 3회.</t>
        </is>
      </c>
    </row>
    <row r="32" ht="16.5" customHeight="1" s="96">
      <c r="A32" s="31" t="inlineStr">
        <is>
      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      </is>
      </c>
    </row>
    <row r="33" ht="16.5" customHeight="1" s="96">
      <c r="A33" s="3" t="inlineStr">
        <is>
          <t>되돌리는 법</t>
        </is>
      </c>
    </row>
    <row r="34" ht="16.5" customHeight="1" s="96">
      <c r="A34" s="31" t="inlineStr">
        <is>
          <t>· 회복이 안 따라오면 E열 세트를 0으로 내린다. 조건부서식이 회색으로 접고 세트 합계 · 세트검산에서 자동으로 빠진다 — 시트를 지울 필요가 없다.</t>
        </is>
      </c>
    </row>
    <row r="35" ht="16.5" customHeight="1" s="96">
      <c r="A35" s="31" t="inlineStr">
        <is>
          <t>· 전부 끄면 4일차에 이어 완전 휴식일이 하나 더 생긴다. 프로그램에서 가장 먼저 버릴 세션이 여기다.</t>
        </is>
      </c>
    </row>
    <row r="36">
      <c r="A36" s="31" t="inlineStr">
        <is>
          <t>· 판단 기준: 다음 날 1일차 당기기에서 힘이 안 나거나, 어깨 앞쪽에 통증이 생기거나, 근육통이 다음 세션까지 남으면 즉시 줄인다.</t>
        </is>
      </c>
    </row>
  </sheetData>
  <conditionalFormatting sqref="A6:N12">
    <cfRule type="expression" priority="1" dxfId="0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2"/>
  <sheetViews>
    <sheetView topLeftCell="A8" zoomScaleNormal="100" workbookViewId="0">
      <selection activeCell="P37" sqref="P37"/>
    </sheetView>
  </sheetViews>
  <sheetFormatPr baseColWidth="8" defaultColWidth="8.7109375" defaultRowHeight="15"/>
  <cols>
    <col width="14" customWidth="1" style="96" min="1" max="1"/>
    <col width="26" customWidth="1" style="96" min="2" max="2"/>
    <col width="18" customWidth="1" style="96" min="3" max="3"/>
    <col width="7" customWidth="1" style="96" min="4" max="4"/>
    <col width="9" customWidth="1" style="96" min="5" max="6"/>
    <col width="7" customWidth="1" style="96" min="7" max="7"/>
    <col width="42" customWidth="1" style="96" min="8" max="8"/>
  </cols>
  <sheetData>
    <row r="1" ht="19.5" customHeight="1" s="96">
      <c r="A1" s="17" t="inlineStr">
        <is>
          <t>간접 세트 계수 맵 — 세트검산 간접 열(C)의 계산 원천</t>
        </is>
      </c>
    </row>
    <row r="2" ht="30" customHeight="1" s="96">
      <c r="A2" s="97" t="inlineStr">
        <is>
      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      </is>
      </c>
    </row>
    <row r="3">
      <c r="A3" t="inlineStr">
        <is>
          <t>이름 매칭 실패 줄 수 (0이어야 정상 — 0이 아니면 요일 시트에서 종목 이름이 바뀐 것이다)</t>
        </is>
      </c>
      <c r="F3">
        <f>COUNTIF($E$7:$E$61,"?")</f>
        <v/>
      </c>
    </row>
    <row r="4" ht="39.75" customHeight="1" s="96">
      <c r="A4" s="95" t="inlineStr">
        <is>
      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      </is>
      </c>
    </row>
    <row r="6" ht="15" customHeight="1" s="96">
      <c r="A6" s="48" t="inlineStr">
        <is>
          <t>원천 일차</t>
        </is>
      </c>
      <c r="B6" s="48" t="inlineStr">
        <is>
          <t>원천종목</t>
        </is>
      </c>
      <c r="C6" s="48" t="inlineStr">
        <is>
          <t>대상근육</t>
        </is>
      </c>
      <c r="D6" s="48" t="inlineStr">
        <is>
          <t>계수</t>
        </is>
      </c>
      <c r="E6" s="48" t="inlineStr">
        <is>
          <t>원천세트</t>
        </is>
      </c>
      <c r="F6" s="48" t="inlineStr">
        <is>
          <t>간접세트</t>
        </is>
      </c>
      <c r="G6" s="48" t="inlineStr">
        <is>
          <t>출처</t>
        </is>
      </c>
      <c r="H6" s="48" t="inlineStr">
        <is>
          <t>계수 근거</t>
        </is>
      </c>
    </row>
    <row r="7" ht="15" customHeight="1" s="96">
      <c r="A7" s="49" t="inlineStr">
        <is>
          <t>D1_당기기A</t>
        </is>
      </c>
      <c r="B7" s="49" t="inlineStr">
        <is>
          <t>친업 (어시스트 가능)</t>
        </is>
      </c>
      <c r="C7" s="49" t="inlineStr">
        <is>
          <t>이두</t>
        </is>
      </c>
      <c r="D7" s="50" t="n">
        <v>0.5</v>
      </c>
      <c r="E7" s="51">
        <f>IFERROR(INDEX(INDIRECT("'"&amp;$A7&amp;"'!$E$1:$E$45"),MATCH($B7,INDIRECT("'"&amp;$A7&amp;"'!$B$1:$B$45"),0)),"?")</f>
        <v/>
      </c>
      <c r="F7" s="52">
        <f>IF(ISNUMBER(E7),$D7*E7,0)</f>
        <v/>
      </c>
      <c r="G7" s="53" t="inlineStr">
        <is>
          <t>G</t>
        </is>
      </c>
      <c r="H7" s="54" t="inlineStr">
        <is>
          <t>당기기 중 이두 능동 굴곡 — 강한 협력</t>
        </is>
      </c>
    </row>
    <row r="8" ht="15" customHeight="1" s="96">
      <c r="A8" s="49" t="inlineStr">
        <is>
          <t>D1_당기기A</t>
        </is>
      </c>
      <c r="B8" s="49" t="inlineStr">
        <is>
          <t>랫풀다운</t>
        </is>
      </c>
      <c r="C8" s="49" t="inlineStr">
        <is>
          <t>이두</t>
        </is>
      </c>
      <c r="D8" s="50" t="n">
        <v>0.5</v>
      </c>
      <c r="E8" s="51">
        <f>IFERROR(INDEX(INDIRECT("'"&amp;$A8&amp;"'!$E$1:$E$45"),MATCH($B8,INDIRECT("'"&amp;$A8&amp;"'!$B$1:$B$45"),0)),"?")</f>
        <v/>
      </c>
      <c r="F8" s="52">
        <f>IF(ISNUMBER(E8),$D8*E8,0)</f>
        <v/>
      </c>
      <c r="G8" s="53" t="inlineStr">
        <is>
          <t>G</t>
        </is>
      </c>
      <c r="H8" s="54" t="inlineStr">
        <is>
          <t>당기기 중 이두 능동 굴곡</t>
        </is>
      </c>
    </row>
    <row r="9" ht="15" customHeight="1" s="96">
      <c r="A9" s="49" t="inlineStr">
        <is>
          <t>D5_당기기B</t>
        </is>
      </c>
      <c r="B9" s="49" t="inlineStr">
        <is>
          <t>해머 스트랭스 로우(오버그립)</t>
        </is>
      </c>
      <c r="C9" s="49" t="inlineStr">
        <is>
          <t>이두</t>
        </is>
      </c>
      <c r="D9" s="50" t="n">
        <v>0.5</v>
      </c>
      <c r="E9" s="51">
        <f>IFERROR(INDEX(INDIRECT("'"&amp;$A9&amp;"'!$E$1:$E$45"),MATCH($B9,INDIRECT("'"&amp;$A9&amp;"'!$B$1:$B$45"),0)),"?")</f>
        <v/>
      </c>
      <c r="F9" s="52">
        <f>IF(ISNUMBER(E9),$D9*E9,0)</f>
        <v/>
      </c>
      <c r="G9" s="53" t="inlineStr">
        <is>
          <t>G</t>
        </is>
      </c>
      <c r="H9" s="54" t="inlineStr">
        <is>
          <t>로우 중 이두 능동 굴곡</t>
        </is>
      </c>
    </row>
    <row r="10" ht="15" customHeight="1" s="96">
      <c r="A10" s="49" t="inlineStr">
        <is>
          <t>D5_당기기B</t>
        </is>
      </c>
      <c r="B10" s="49" t="inlineStr">
        <is>
          <t>시티드 케이블 로우</t>
        </is>
      </c>
      <c r="C10" s="49" t="inlineStr">
        <is>
          <t>이두</t>
        </is>
      </c>
      <c r="D10" s="50" t="n">
        <v>0.5</v>
      </c>
      <c r="E10" s="51">
        <f>IFERROR(INDEX(INDIRECT("'"&amp;$A10&amp;"'!$E$1:$E$45"),MATCH($B10,INDIRECT("'"&amp;$A10&amp;"'!$B$1:$B$45"),0)),"?")</f>
        <v/>
      </c>
      <c r="F10" s="52">
        <f>IF(ISNUMBER(E10),$D10*E10,0)</f>
        <v/>
      </c>
      <c r="G10" s="53" t="inlineStr">
        <is>
          <t>G</t>
        </is>
      </c>
      <c r="H10" s="54" t="inlineStr">
        <is>
          <t>로우 중 이두 능동 굴곡</t>
        </is>
      </c>
    </row>
    <row r="11" ht="15" customHeight="1" s="96">
      <c r="A11" s="49" t="inlineStr">
        <is>
          <t>D2_밀기A</t>
        </is>
      </c>
      <c r="B11" s="49" t="inlineStr">
        <is>
          <t>벤치프레스 (본세트)</t>
        </is>
      </c>
      <c r="C11" s="49" t="inlineStr">
        <is>
          <t>삼두</t>
        </is>
      </c>
      <c r="D11" s="50" t="n">
        <v>0.5</v>
      </c>
      <c r="E11" s="51">
        <f>IFERROR(INDEX(INDIRECT("'"&amp;$A11&amp;"'!$E$1:$E$45"),MATCH($B11,INDIRECT("'"&amp;$A11&amp;"'!$B$1:$B$45"),0)),"?")</f>
        <v/>
      </c>
      <c r="F11" s="52">
        <f>IF(ISNUMBER(E11),$D11*E11,0)</f>
        <v/>
      </c>
      <c r="G11" s="53" t="inlineStr">
        <is>
          <t>G</t>
        </is>
      </c>
      <c r="H11" s="54" t="inlineStr">
        <is>
          <t>프레스 중 삼두 신전 — 강한 협력</t>
        </is>
      </c>
    </row>
    <row r="12" ht="15" customHeight="1" s="96">
      <c r="A12" s="49" t="inlineStr">
        <is>
          <t>D2_밀기A</t>
        </is>
      </c>
      <c r="B12" s="49" t="inlineStr">
        <is>
          <t>딥스</t>
        </is>
      </c>
      <c r="C12" s="49" t="inlineStr">
        <is>
          <t>삼두</t>
        </is>
      </c>
      <c r="D12" s="50" t="n">
        <v>0.5</v>
      </c>
      <c r="E12" s="51">
        <f>IFERROR(INDEX(INDIRECT("'"&amp;$A12&amp;"'!$E$1:$E$45"),MATCH($B12,INDIRECT("'"&amp;$A12&amp;"'!$B$1:$B$45"),0)),"?")</f>
        <v/>
      </c>
      <c r="F12" s="52">
        <f>IF(ISNUMBER(E12),$D12*E12,0)</f>
        <v/>
      </c>
      <c r="G12" s="53" t="inlineStr">
        <is>
          <t>G</t>
        </is>
      </c>
      <c r="H12" s="54" t="inlineStr">
        <is>
          <t>딥스는 삼두 스트레치+신전 강함</t>
        </is>
      </c>
    </row>
    <row r="13" ht="15" customHeight="1" s="96">
      <c r="A13" s="49" t="inlineStr">
        <is>
          <t>D6_밀기B</t>
        </is>
      </c>
      <c r="B13" s="49" t="inlineStr">
        <is>
          <t>밀리터리 프레스 (본세트)</t>
        </is>
      </c>
      <c r="C13" s="49" t="inlineStr">
        <is>
          <t>삼두</t>
        </is>
      </c>
      <c r="D13" s="50" t="n">
        <v>0.5</v>
      </c>
      <c r="E13" s="51">
        <f>IFERROR(INDEX(INDIRECT("'"&amp;$A13&amp;"'!$E$1:$E$45"),MATCH($B13,INDIRECT("'"&amp;$A13&amp;"'!$B$1:$B$45"),0)),"?")</f>
        <v/>
      </c>
      <c r="F13" s="52">
        <f>IF(ISNUMBER(E13),$D13*E13,0)</f>
        <v/>
      </c>
      <c r="G13" s="53" t="inlineStr">
        <is>
          <t>G</t>
        </is>
      </c>
      <c r="H13" s="54" t="inlineStr">
        <is>
          <t>오버헤드 프레스 삼두 신전</t>
        </is>
      </c>
    </row>
    <row r="14" ht="15" customHeight="1" s="96">
      <c r="A14" s="49" t="inlineStr">
        <is>
          <t>D6_밀기B</t>
        </is>
      </c>
      <c r="B14" s="49" t="inlineStr">
        <is>
          <t>인클라인 벤치프레스 머신</t>
        </is>
      </c>
      <c r="C14" s="49" t="inlineStr">
        <is>
          <t>삼두</t>
        </is>
      </c>
      <c r="D14" s="50" t="n">
        <v>0.5</v>
      </c>
      <c r="E14" s="51">
        <f>IFERROR(INDEX(INDIRECT("'"&amp;$A14&amp;"'!$E$1:$E$45"),MATCH($B14,INDIRECT("'"&amp;$A14&amp;"'!$B$1:$B$45"),0)),"?")</f>
        <v/>
      </c>
      <c r="F14" s="52">
        <f>IF(ISNUMBER(E14),$D14*E14,0)</f>
        <v/>
      </c>
      <c r="G14" s="53" t="inlineStr">
        <is>
          <t>G</t>
        </is>
      </c>
      <c r="H14" s="54" t="inlineStr">
        <is>
          <t>프레스 중 삼두 신전</t>
        </is>
      </c>
    </row>
    <row r="15" ht="15" customHeight="1" s="96">
      <c r="A15" s="49" t="inlineStr">
        <is>
          <t>D8_어깨</t>
        </is>
      </c>
      <c r="B15" s="49" t="inlineStr">
        <is>
          <t>인클라인 덤벨 컬</t>
        </is>
      </c>
      <c r="C15" s="49" t="inlineStr">
        <is>
          <t>전완</t>
        </is>
      </c>
      <c r="D15" s="50" t="n">
        <v>0.33</v>
      </c>
      <c r="E15" s="51">
        <f>IFERROR(INDEX(INDIRECT("'"&amp;$A15&amp;"'!$E$1:$E$45"),MATCH($B15,INDIRECT("'"&amp;$A15&amp;"'!$B$1:$B$45"),0)),"?")</f>
        <v/>
      </c>
      <c r="F15" s="52">
        <f>IF(ISNUMBER(E15),$D15*E15,0)</f>
        <v/>
      </c>
      <c r="G15" s="53" t="inlineStr">
        <is>
          <t>G</t>
        </is>
      </c>
      <c r="H15" s="54" t="inlineStr">
        <is>
          <t>컬 중 상완요골근 동적 굴곡 — 부분 협력</t>
        </is>
      </c>
    </row>
    <row r="16" ht="15" customHeight="1" s="96">
      <c r="A16" s="49" t="inlineStr">
        <is>
          <t>D5_당기기B</t>
        </is>
      </c>
      <c r="B16" s="49" t="inlineStr">
        <is>
          <t>프리쳐 컬</t>
        </is>
      </c>
      <c r="C16" s="49" t="inlineStr">
        <is>
          <t>전완</t>
        </is>
      </c>
      <c r="D16" s="50" t="n">
        <v>0.33</v>
      </c>
      <c r="E16" s="51">
        <f>IFERROR(INDEX(INDIRECT("'"&amp;$A16&amp;"'!$E$1:$E$45"),MATCH($B16,INDIRECT("'"&amp;$A16&amp;"'!$B$1:$B$45"),0)),"?")</f>
        <v/>
      </c>
      <c r="F16" s="52">
        <f>IF(ISNUMBER(E16),$D16*E16,0)</f>
        <v/>
      </c>
      <c r="G16" s="53" t="inlineStr">
        <is>
          <t>G</t>
        </is>
      </c>
      <c r="H16" s="54" t="inlineStr">
        <is>
          <t>상완요골근 동적 굴곡</t>
        </is>
      </c>
    </row>
    <row r="17" ht="15" customHeight="1" s="96">
      <c r="A17" s="49" t="inlineStr">
        <is>
          <t>D5_당기기B</t>
        </is>
      </c>
      <c r="B17" s="49" t="inlineStr">
        <is>
          <t>트랩바 슈러그</t>
        </is>
      </c>
      <c r="C17" s="49" t="inlineStr">
        <is>
          <t>전완</t>
        </is>
      </c>
      <c r="D17" s="50" t="n">
        <v>0</v>
      </c>
      <c r="E17" s="51">
        <f>IFERROR(INDEX(INDIRECT("'"&amp;$A17&amp;"'!$E$1:$E$45"),MATCH($B17,INDIRECT("'"&amp;$A17&amp;"'!$B$1:$B$45"),0)),"?")</f>
        <v/>
      </c>
      <c r="F17" s="52">
        <f>IF(ISNUMBER(E17),$D17*E17,0)</f>
        <v/>
      </c>
      <c r="G17" s="53" t="inlineStr">
        <is>
          <t>G</t>
        </is>
      </c>
      <c r="H17" s="54" t="inlineStr">
        <is>
          <t>순수 그립 유지(스트랩 권장) — 성장 자극 없음</t>
        </is>
      </c>
    </row>
    <row r="18" ht="15" customHeight="1" s="96">
      <c r="A18" s="49" t="inlineStr">
        <is>
          <t>D2_밀기A</t>
        </is>
      </c>
      <c r="B18" s="49" t="inlineStr">
        <is>
          <t>벤치프레스 (본세트)</t>
        </is>
      </c>
      <c r="C18" s="49" t="inlineStr">
        <is>
          <t>삼각근(전면)</t>
        </is>
      </c>
      <c r="D18" s="50" t="n">
        <v>0.5</v>
      </c>
      <c r="E18" s="51">
        <f>IFERROR(INDEX(INDIRECT("'"&amp;$A18&amp;"'!$E$1:$E$45"),MATCH($B18,INDIRECT("'"&amp;$A18&amp;"'!$B$1:$B$45"),0)),"?")</f>
        <v/>
      </c>
      <c r="F18" s="52">
        <f>IF(ISNUMBER(E18),$D18*E18,0)</f>
        <v/>
      </c>
      <c r="G18" s="53" t="inlineStr">
        <is>
          <t>G</t>
        </is>
      </c>
      <c r="H18" s="54" t="inlineStr">
        <is>
          <t>벤치 중 전면삼각 능동 관여</t>
        </is>
      </c>
    </row>
    <row r="19" ht="15" customHeight="1" s="96">
      <c r="A19" s="49" t="inlineStr">
        <is>
          <t>D6_밀기B</t>
        </is>
      </c>
      <c r="B19" s="49" t="inlineStr">
        <is>
          <t>인클라인 벤치프레스 머신</t>
        </is>
      </c>
      <c r="C19" s="49" t="inlineStr">
        <is>
          <t>삼각근(전면)</t>
        </is>
      </c>
      <c r="D19" s="50" t="n">
        <v>0.5</v>
      </c>
      <c r="E19" s="51">
        <f>IFERROR(INDEX(INDIRECT("'"&amp;$A19&amp;"'!$E$1:$E$45"),MATCH($B19,INDIRECT("'"&amp;$A19&amp;"'!$B$1:$B$45"),0)),"?")</f>
        <v/>
      </c>
      <c r="F19" s="52">
        <f>IF(ISNUMBER(E19),$D19*E19,0)</f>
        <v/>
      </c>
      <c r="G19" s="53" t="inlineStr">
        <is>
          <t>G</t>
        </is>
      </c>
      <c r="H19" s="54" t="inlineStr">
        <is>
          <t>인클라인은 전면삼각 관여 큼</t>
        </is>
      </c>
    </row>
    <row r="20" ht="15" customHeight="1" s="96">
      <c r="A20" s="49" t="inlineStr">
        <is>
          <t>D6_밀기B</t>
        </is>
      </c>
      <c r="B20" s="49" t="inlineStr">
        <is>
          <t>밀리터리 프레스 (본세트)</t>
        </is>
      </c>
      <c r="C20" s="49" t="inlineStr">
        <is>
          <t>삼각근(측면)</t>
        </is>
      </c>
      <c r="D20" s="50" t="n">
        <v>0.5</v>
      </c>
      <c r="E20" s="51">
        <f>IFERROR(INDEX(INDIRECT("'"&amp;$A20&amp;"'!$E$1:$E$45"),MATCH($B20,INDIRECT("'"&amp;$A20&amp;"'!$B$1:$B$45"),0)),"?")</f>
        <v/>
      </c>
      <c r="F20" s="52">
        <f>IF(ISNUMBER(E20),$D20*E20,0)</f>
        <v/>
      </c>
      <c r="G20" s="53" t="inlineStr">
        <is>
          <t>G</t>
        </is>
      </c>
      <c r="H20" s="54" t="inlineStr">
        <is>
          <t>오버헤드 프레스 측면삼각 능동 관여</t>
        </is>
      </c>
    </row>
    <row r="21" ht="15" customHeight="1" s="96">
      <c r="A21" s="49" t="inlineStr">
        <is>
          <t>D1_당기기A</t>
        </is>
      </c>
      <c r="B21" s="49" t="inlineStr">
        <is>
          <t>페이스풀(로프)</t>
        </is>
      </c>
      <c r="C21" s="49" t="inlineStr">
        <is>
          <t>삼각근(후면)</t>
        </is>
      </c>
      <c r="D21" s="50" t="n">
        <v>0.5</v>
      </c>
      <c r="E21" s="51">
        <f>IFERROR(INDEX(INDIRECT("'"&amp;$A21&amp;"'!$E$1:$E$45"),MATCH($B21,INDIRECT("'"&amp;$A21&amp;"'!$B$1:$B$45"),0)),"?")</f>
        <v/>
      </c>
      <c r="F21" s="52">
        <f>IF(ISNUMBER(E21),$D21*E21,0)</f>
        <v/>
      </c>
      <c r="G21" s="53" t="inlineStr">
        <is>
          <t>G</t>
        </is>
      </c>
      <c r="H21" s="54" t="inlineStr">
        <is>
          <t>페이스풀 중 후면삼각 능동 수축</t>
        </is>
      </c>
    </row>
    <row r="22" ht="15" customHeight="1" s="96">
      <c r="A22" s="49" t="inlineStr">
        <is>
          <t>D6_밀기B</t>
        </is>
      </c>
      <c r="B22" s="49" t="inlineStr">
        <is>
          <t>프론 Y 레이즈</t>
        </is>
      </c>
      <c r="C22" s="49" t="inlineStr">
        <is>
          <t>삼각근(후면)</t>
        </is>
      </c>
      <c r="D22" s="50" t="n">
        <v>0.5</v>
      </c>
      <c r="E22" s="51">
        <f>IFERROR(INDEX(INDIRECT("'"&amp;$A22&amp;"'!$E$1:$E$45"),MATCH($B22,INDIRECT("'"&amp;$A22&amp;"'!$B$1:$B$45"),0)),"?")</f>
        <v/>
      </c>
      <c r="F22" s="52">
        <f>IF(ISNUMBER(E22),$D22*E22,0)</f>
        <v/>
      </c>
      <c r="G22" s="53" t="inlineStr">
        <is>
          <t>G</t>
        </is>
      </c>
      <c r="H22" s="55" t="inlineStr">
        <is>
          <t>Y레이즈 후면삼각 능동 관여</t>
        </is>
      </c>
    </row>
    <row r="23" ht="15" customHeight="1" s="96">
      <c r="A23" s="49" t="inlineStr">
        <is>
          <t>D5_당기기B</t>
        </is>
      </c>
      <c r="B23" s="49" t="inlineStr">
        <is>
          <t>해머 스트랭스 로우(오버그립)</t>
        </is>
      </c>
      <c r="C23" s="49" t="inlineStr">
        <is>
          <t>승모(중부)·능형근</t>
        </is>
      </c>
      <c r="D23" s="50" t="n">
        <v>0.5</v>
      </c>
      <c r="E23" s="51">
        <f>IFERROR(INDEX(INDIRECT("'"&amp;$A23&amp;"'!$E$1:$E$45"),MATCH($B23,INDIRECT("'"&amp;$A23&amp;"'!$B$1:$B$45"),0)),"?")</f>
        <v/>
      </c>
      <c r="F23" s="52">
        <f>IF(ISNUMBER(E23),$D23*E23,0)</f>
        <v/>
      </c>
      <c r="G23" s="53" t="inlineStr">
        <is>
          <t>G</t>
        </is>
      </c>
      <c r="H23" s="54" t="inlineStr">
        <is>
          <t>견갑 후인 능동 수축</t>
        </is>
      </c>
    </row>
    <row r="24" ht="15" customHeight="1" s="96">
      <c r="A24" s="49" t="inlineStr">
        <is>
          <t>D5_당기기B</t>
        </is>
      </c>
      <c r="B24" s="49" t="inlineStr">
        <is>
          <t>시티드 케이블 로우</t>
        </is>
      </c>
      <c r="C24" s="49" t="inlineStr">
        <is>
          <t>승모(중부)·능형근</t>
        </is>
      </c>
      <c r="D24" s="50" t="n">
        <v>0.5</v>
      </c>
      <c r="E24" s="51">
        <f>IFERROR(INDEX(INDIRECT("'"&amp;$A24&amp;"'!$E$1:$E$45"),MATCH($B24,INDIRECT("'"&amp;$A24&amp;"'!$B$1:$B$45"),0)),"?")</f>
        <v/>
      </c>
      <c r="F24" s="52">
        <f>IF(ISNUMBER(E24),$D24*E24,0)</f>
        <v/>
      </c>
      <c r="G24" s="53" t="inlineStr">
        <is>
          <t>G</t>
        </is>
      </c>
      <c r="H24" s="54" t="inlineStr">
        <is>
          <t>견갑 후인 능동 수축</t>
        </is>
      </c>
    </row>
    <row r="25" ht="15" customHeight="1" s="96">
      <c r="A25" s="49" t="inlineStr">
        <is>
          <t>D5_당기기B</t>
        </is>
      </c>
      <c r="B25" s="49" t="inlineStr">
        <is>
          <t>케이블 리버스 플라이</t>
        </is>
      </c>
      <c r="C25" s="49" t="inlineStr">
        <is>
          <t>승모(중부)·능형근</t>
        </is>
      </c>
      <c r="D25" s="50" t="n">
        <v>0.5</v>
      </c>
      <c r="E25" s="51">
        <f>IFERROR(INDEX(INDIRECT("'"&amp;$A25&amp;"'!$E$1:$E$45"),MATCH($B25,INDIRECT("'"&amp;$A25&amp;"'!$B$1:$B$45"),0)),"?")</f>
        <v/>
      </c>
      <c r="F25" s="52">
        <f>IF(ISNUMBER(E25),$D25*E25,0)</f>
        <v/>
      </c>
      <c r="G25" s="53" t="inlineStr">
        <is>
          <t>G</t>
        </is>
      </c>
      <c r="H25" s="54" t="inlineStr">
        <is>
          <t>견갑 후인 능동 수축</t>
        </is>
      </c>
    </row>
    <row r="26" ht="15" customHeight="1" s="96">
      <c r="A26" s="49" t="inlineStr">
        <is>
          <t>D7_하체B</t>
        </is>
      </c>
      <c r="B26" s="49" t="inlineStr">
        <is>
          <t>힙 쓰러스트</t>
        </is>
      </c>
      <c r="C26" s="49" t="inlineStr">
        <is>
          <t>햄스트링</t>
        </is>
      </c>
      <c r="D26" s="50" t="n">
        <v>0.5</v>
      </c>
      <c r="E26" s="51">
        <f>IFERROR(INDEX(INDIRECT("'"&amp;$A26&amp;"'!$E$1:$E$45"),MATCH($B26,INDIRECT("'"&amp;$A26&amp;"'!$B$1:$B$45"),0)),"?")</f>
        <v/>
      </c>
      <c r="F26" s="52">
        <f>IF(ISNUMBER(E26),$D26*E26,0)</f>
        <v/>
      </c>
      <c r="G26" s="53" t="inlineStr">
        <is>
          <t>G</t>
        </is>
      </c>
      <c r="H26" s="54" t="inlineStr">
        <is>
          <t>고관절 신전 협력</t>
        </is>
      </c>
    </row>
    <row r="27" ht="15" customHeight="1" s="96">
      <c r="A27" s="49" t="inlineStr">
        <is>
          <t>D7_하체B</t>
        </is>
      </c>
      <c r="B27" s="49" t="inlineStr">
        <is>
          <t>데드리프트 (본세트)</t>
        </is>
      </c>
      <c r="C27" s="49" t="inlineStr">
        <is>
          <t>햄스트링</t>
        </is>
      </c>
      <c r="D27" s="50" t="n">
        <v>0.5</v>
      </c>
      <c r="E27" s="51">
        <f>IFERROR(INDEX(INDIRECT("'"&amp;$A27&amp;"'!$E$1:$E$45"),MATCH($B27,INDIRECT("'"&amp;$A27&amp;"'!$B$1:$B$45"),0)),"?")</f>
        <v/>
      </c>
      <c r="F27" s="52">
        <f>IF(ISNUMBER(E27),$D27*E27,0)</f>
        <v/>
      </c>
      <c r="G27" s="53" t="inlineStr">
        <is>
          <t>G</t>
        </is>
      </c>
      <c r="H27" s="54" t="inlineStr">
        <is>
          <t>힌지 — 햄스트링 준주동</t>
        </is>
      </c>
    </row>
    <row r="28" ht="15" customHeight="1" s="96">
      <c r="A28" s="49" t="inlineStr">
        <is>
          <t>D1_당기기A</t>
        </is>
      </c>
      <c r="B28" s="49" t="inlineStr">
        <is>
          <t>덤벨 루마니안 데드리프트</t>
        </is>
      </c>
      <c r="C28" s="49" t="inlineStr">
        <is>
          <t>햄스트링</t>
        </is>
      </c>
      <c r="D28" s="50" t="n">
        <v>0.5</v>
      </c>
      <c r="E28" s="51">
        <f>IFERROR(INDEX(INDIRECT("'"&amp;$A28&amp;"'!$E$1:$E$45"),MATCH($B28,INDIRECT("'"&amp;$A28&amp;"'!$B$1:$B$45"),0)),"?")</f>
        <v/>
      </c>
      <c r="F28" s="52">
        <f>IF(ISNUMBER(E28),$D28*E28,0)</f>
        <v/>
      </c>
      <c r="G28" s="53" t="inlineStr">
        <is>
          <t>G</t>
        </is>
      </c>
      <c r="H28" s="54" t="inlineStr">
        <is>
          <t>힌지 — 햄스트링 준주동</t>
        </is>
      </c>
    </row>
    <row r="29" ht="15" customHeight="1" s="96">
      <c r="A29" s="49" t="inlineStr">
        <is>
          <t>D3_하체A</t>
        </is>
      </c>
      <c r="B29" s="49" t="inlineStr">
        <is>
          <t>스쿼트 (본세트)</t>
        </is>
      </c>
      <c r="C29" s="49" t="inlineStr">
        <is>
          <t>둔근</t>
        </is>
      </c>
      <c r="D29" s="50" t="n">
        <v>0.5</v>
      </c>
      <c r="E29" s="51">
        <f>IFERROR(INDEX(INDIRECT("'"&amp;$A29&amp;"'!$E$1:$E$45"),MATCH($B29,INDIRECT("'"&amp;$A29&amp;"'!$B$1:$B$45"),0)),"?")</f>
        <v/>
      </c>
      <c r="F29" s="52">
        <f>IF(ISNUMBER(E29),$D29*E29,0)</f>
        <v/>
      </c>
      <c r="G29" s="53" t="inlineStr">
        <is>
          <t>G</t>
        </is>
      </c>
      <c r="H29" s="54" t="inlineStr">
        <is>
          <t>고관절 신전 능동 — 강한 협력</t>
        </is>
      </c>
    </row>
    <row r="30" ht="15" customHeight="1" s="96">
      <c r="A30" s="49" t="inlineStr">
        <is>
          <t>D3_하체A</t>
        </is>
      </c>
      <c r="B30" s="49" t="inlineStr">
        <is>
          <t>레그 프레스</t>
        </is>
      </c>
      <c r="C30" s="49" t="inlineStr">
        <is>
          <t>둔근</t>
        </is>
      </c>
      <c r="D30" s="50" t="n">
        <v>0.33</v>
      </c>
      <c r="E30" s="51">
        <f>IFERROR(INDEX(INDIRECT("'"&amp;$A30&amp;"'!$E$1:$E$45"),MATCH($B30,INDIRECT("'"&amp;$A30&amp;"'!$B$1:$B$45"),0)),"?")</f>
        <v/>
      </c>
      <c r="F30" s="52">
        <f>IF(ISNUMBER(E30),$D30*E30,0)</f>
        <v/>
      </c>
      <c r="G30" s="53" t="inlineStr">
        <is>
          <t>G</t>
        </is>
      </c>
      <c r="H30" s="54" t="inlineStr">
        <is>
          <t>둔근 관여하나 스쿼트보다 부분적</t>
        </is>
      </c>
    </row>
    <row r="31" ht="15" customHeight="1" s="96">
      <c r="A31" s="49" t="inlineStr">
        <is>
          <t>D7_하체B</t>
        </is>
      </c>
      <c r="B31" s="49" t="inlineStr">
        <is>
          <t>데드리프트 (본세트)</t>
        </is>
      </c>
      <c r="C31" s="49" t="inlineStr">
        <is>
          <t>둔근</t>
        </is>
      </c>
      <c r="D31" s="50" t="n">
        <v>0.5</v>
      </c>
      <c r="E31" s="51">
        <f>IFERROR(INDEX(INDIRECT("'"&amp;$A31&amp;"'!$E$1:$E$45"),MATCH($B31,INDIRECT("'"&amp;$A31&amp;"'!$B$1:$B$45"),0)),"?")</f>
        <v/>
      </c>
      <c r="F31" s="52">
        <f>IF(ISNUMBER(E31),$D31*E31,0)</f>
        <v/>
      </c>
      <c r="G31" s="53" t="inlineStr">
        <is>
          <t>G</t>
        </is>
      </c>
      <c r="H31" s="54" t="inlineStr">
        <is>
          <t>고관절 신전 — 준주동</t>
        </is>
      </c>
    </row>
    <row r="32" ht="15" customHeight="1" s="96">
      <c r="A32" s="49" t="inlineStr">
        <is>
          <t>D7_하체B</t>
        </is>
      </c>
      <c r="B32" s="49" t="inlineStr">
        <is>
          <t>루마니안 데드리프트</t>
        </is>
      </c>
      <c r="C32" s="49" t="inlineStr">
        <is>
          <t>둔근</t>
        </is>
      </c>
      <c r="D32" s="50" t="n">
        <v>0.5</v>
      </c>
      <c r="E32" s="51">
        <f>IFERROR(INDEX(INDIRECT("'"&amp;$A32&amp;"'!$E$1:$E$45"),MATCH($B32,INDIRECT("'"&amp;$A32&amp;"'!$B$1:$B$45"),0)),"?")</f>
        <v/>
      </c>
      <c r="F32" s="52">
        <f>IF(ISNUMBER(E32),$D32*E32,0)</f>
        <v/>
      </c>
      <c r="G32" s="53" t="inlineStr">
        <is>
          <t>G</t>
        </is>
      </c>
      <c r="H32" s="54" t="inlineStr">
        <is>
          <t>힌지 고관절 신전 능동</t>
        </is>
      </c>
    </row>
    <row r="33" ht="15" customHeight="1" s="96">
      <c r="A33" s="49" t="inlineStr">
        <is>
          <t>D1_당기기A</t>
        </is>
      </c>
      <c r="B33" s="49" t="inlineStr">
        <is>
          <t>덤벨 루마니안 데드리프트</t>
        </is>
      </c>
      <c r="C33" s="49" t="inlineStr">
        <is>
          <t>둔근</t>
        </is>
      </c>
      <c r="D33" s="50" t="n">
        <v>0.5</v>
      </c>
      <c r="E33" s="51">
        <f>IFERROR(INDEX(INDIRECT("'"&amp;$A33&amp;"'!$E$1:$E$45"),MATCH($B33,INDIRECT("'"&amp;$A33&amp;"'!$B$1:$B$45"),0)),"?")</f>
        <v/>
      </c>
      <c r="F33" s="52">
        <f>IF(ISNUMBER(E33),$D33*E33,0)</f>
        <v/>
      </c>
      <c r="G33" s="53" t="inlineStr">
        <is>
          <t>G</t>
        </is>
      </c>
      <c r="H33" s="54" t="inlineStr">
        <is>
          <t>힌지 고관절 신전</t>
        </is>
      </c>
    </row>
    <row r="34" ht="15" customHeight="1" s="96">
      <c r="A34" s="49" t="inlineStr">
        <is>
          <t>D3_하체A</t>
        </is>
      </c>
      <c r="B34" s="49" t="inlineStr">
        <is>
          <t>스쿼트 (본세트)</t>
        </is>
      </c>
      <c r="C34" s="49" t="inlineStr">
        <is>
          <t>기립근</t>
        </is>
      </c>
      <c r="D34" s="50" t="n">
        <v>0.2</v>
      </c>
      <c r="E34" s="51">
        <f>IFERROR(INDEX(INDIRECT("'"&amp;$A34&amp;"'!$E$1:$E$45"),MATCH($B34,INDIRECT("'"&amp;$A34&amp;"'!$B$1:$B$45"),0)),"?")</f>
        <v/>
      </c>
      <c r="F34" s="52">
        <f>IF(ISNUMBER(E34),$D34*E34,0)</f>
        <v/>
      </c>
      <c r="G34" s="53" t="inlineStr">
        <is>
          <t>G</t>
        </is>
      </c>
      <c r="H34" s="54" t="inlineStr">
        <is>
          <t>고장력 등척성 — 척추 중립 받치기(길이변화 작음)</t>
        </is>
      </c>
    </row>
    <row r="35" ht="15" customHeight="1" s="96">
      <c r="A35" s="49" t="inlineStr">
        <is>
          <t>D5_당기기B</t>
        </is>
      </c>
      <c r="B35" s="49" t="inlineStr">
        <is>
          <t>트랩바 슈러그</t>
        </is>
      </c>
      <c r="C35" s="49" t="inlineStr">
        <is>
          <t>기립근</t>
        </is>
      </c>
      <c r="D35" s="50" t="n">
        <v>0.2</v>
      </c>
      <c r="E35" s="51">
        <f>IFERROR(INDEX(INDIRECT("'"&amp;$A35&amp;"'!$E$1:$E$45"),MATCH($B35,INDIRECT("'"&amp;$A35&amp;"'!$B$1:$B$45"),0)),"?")</f>
        <v/>
      </c>
      <c r="F35" s="52">
        <f>IF(ISNUMBER(E35),$D35*E35,0)</f>
        <v/>
      </c>
      <c r="G35" s="53" t="inlineStr">
        <is>
          <t>G</t>
        </is>
      </c>
      <c r="H35" s="54" t="inlineStr">
        <is>
          <t>고장력 등척성 — 중량 받치기</t>
        </is>
      </c>
    </row>
    <row r="36" ht="15" customHeight="1" s="96">
      <c r="A36" s="49" t="inlineStr">
        <is>
          <t>D7_하체B</t>
        </is>
      </c>
      <c r="B36" s="49" t="inlineStr">
        <is>
          <t>루마니안 데드리프트</t>
        </is>
      </c>
      <c r="C36" s="49" t="inlineStr">
        <is>
          <t>기립근</t>
        </is>
      </c>
      <c r="D36" s="50" t="n">
        <v>0.5</v>
      </c>
      <c r="E36" s="51">
        <f>IFERROR(INDEX(INDIRECT("'"&amp;$A36&amp;"'!$E$1:$E$45"),MATCH($B36,INDIRECT("'"&amp;$A36&amp;"'!$B$1:$B$45"),0)),"?")</f>
        <v/>
      </c>
      <c r="F36" s="52">
        <f>IF(ISNUMBER(E36),$D36*E36,0)</f>
        <v/>
      </c>
      <c r="G36" s="53" t="inlineStr">
        <is>
          <t>G</t>
        </is>
      </c>
      <c r="H36" s="55" t="inlineStr">
        <is>
          <t>RDL은 기립근 동적 신전·수축 — 등척성 아님</t>
        </is>
      </c>
    </row>
    <row r="37" ht="15" customHeight="1" s="96">
      <c r="A37" s="49" t="inlineStr">
        <is>
          <t>D3_하체A</t>
        </is>
      </c>
      <c r="B37" s="49" t="inlineStr">
        <is>
          <t>불가리안 스플릿 스쿼트</t>
        </is>
      </c>
      <c r="C37" s="49" t="inlineStr">
        <is>
          <t>대퇴사두</t>
        </is>
      </c>
      <c r="D37" s="50" t="n">
        <v>0.5</v>
      </c>
      <c r="E37" s="51">
        <f>IFERROR(INDEX(INDIRECT("'"&amp;$A37&amp;"'!$E$1:$E$45"),MATCH($B37,INDIRECT("'"&amp;$A37&amp;"'!$B$1:$B$45"),0)),"?")</f>
        <v/>
      </c>
      <c r="F37" s="52">
        <f>IF(ISNUMBER(E37),$D37*E37,0)</f>
        <v/>
      </c>
      <c r="G37" s="53" t="inlineStr">
        <is>
          <t>G</t>
        </is>
      </c>
      <c r="H37" s="54" t="inlineStr">
        <is>
          <t>스플릿 스쿼트 대퇴사두 동적 작동</t>
        </is>
      </c>
    </row>
    <row r="38" ht="15" customHeight="1" s="96">
      <c r="A38" s="49" t="inlineStr">
        <is>
          <t>D3_하체A</t>
        </is>
      </c>
      <c r="B38" s="49" t="inlineStr">
        <is>
          <t>불가리안 스플릿 스쿼트</t>
        </is>
      </c>
      <c r="C38" s="49" t="inlineStr">
        <is>
          <t>중둔근</t>
        </is>
      </c>
      <c r="D38" s="50" t="n">
        <v>0.33</v>
      </c>
      <c r="E38" s="51">
        <f>IFERROR(INDEX(INDIRECT("'"&amp;$A38&amp;"'!$E$1:$E$45"),MATCH($B38,INDIRECT("'"&amp;$A38&amp;"'!$B$1:$B$45"),0)),"?")</f>
        <v/>
      </c>
      <c r="F38" s="52">
        <f>IF(ISNUMBER(E38),$D38*E38,0)</f>
        <v/>
      </c>
      <c r="G38" s="53" t="inlineStr">
        <is>
          <t>G</t>
        </is>
      </c>
      <c r="H38" s="54" t="inlineStr">
        <is>
          <t>관상면 안정화 부하 — 부분 관여</t>
        </is>
      </c>
    </row>
    <row r="39" ht="15" customHeight="1" s="96">
      <c r="A39" s="49" t="inlineStr">
        <is>
          <t>D7_하체B</t>
        </is>
      </c>
      <c r="B39" s="49" t="inlineStr">
        <is>
          <t>데드리프트 (본세트)</t>
        </is>
      </c>
      <c r="C39" s="49" t="inlineStr">
        <is>
          <t>광배</t>
        </is>
      </c>
      <c r="D39" s="50" t="n">
        <v>0</v>
      </c>
      <c r="E39" s="51">
        <f>IFERROR(INDEX(INDIRECT("'"&amp;$A39&amp;"'!$E$1:$E$45"),MATCH($B39,INDIRECT("'"&amp;$A39&amp;"'!$B$1:$B$45"),0)),"?")</f>
        <v/>
      </c>
      <c r="F39" s="52">
        <f>IF(ISNUMBER(E39),$D39*E39,0)</f>
        <v/>
      </c>
      <c r="G39" s="56" t="inlineStr">
        <is>
          <t>C</t>
        </is>
      </c>
      <c r="H39" s="54" t="inlineStr">
        <is>
          <t>고장력 등척성 — 바를 몸쪽에 고정(길이변화 작음)</t>
        </is>
      </c>
    </row>
    <row r="40" ht="15" customHeight="1" s="96">
      <c r="A40" s="49" t="inlineStr">
        <is>
          <t>D3_하체A</t>
        </is>
      </c>
      <c r="B40" s="49" t="inlineStr">
        <is>
          <t>스쿼트 (본세트)</t>
        </is>
      </c>
      <c r="C40" s="49" t="inlineStr">
        <is>
          <t>내전근</t>
        </is>
      </c>
      <c r="D40" s="50" t="n">
        <v>0.5</v>
      </c>
      <c r="E40" s="51">
        <f>IFERROR(INDEX(INDIRECT("'"&amp;$A40&amp;"'!$E$1:$E$45"),MATCH($B40,INDIRECT("'"&amp;$A40&amp;"'!$B$1:$B$45"),0)),"?")</f>
        <v/>
      </c>
      <c r="F40" s="52">
        <f>IF(ISNUMBER(E40),$D40*E40,0)</f>
        <v/>
      </c>
      <c r="G40" s="56" t="inlineStr">
        <is>
          <t>C</t>
        </is>
      </c>
      <c r="H40" s="54" t="inlineStr">
        <is>
          <t>대내전근은 고관절 신전근 — 깊은 스쿼트서 동적 작동</t>
        </is>
      </c>
    </row>
    <row r="41" ht="15" customHeight="1" s="96">
      <c r="A41" s="49" t="inlineStr">
        <is>
          <t>D3_하체A</t>
        </is>
      </c>
      <c r="B41" s="49" t="inlineStr">
        <is>
          <t>레그 프레스</t>
        </is>
      </c>
      <c r="C41" s="49" t="inlineStr">
        <is>
          <t>내전근</t>
        </is>
      </c>
      <c r="D41" s="50" t="n">
        <v>0.33</v>
      </c>
      <c r="E41" s="51">
        <f>IFERROR(INDEX(INDIRECT("'"&amp;$A41&amp;"'!$E$1:$E$45"),MATCH($B41,INDIRECT("'"&amp;$A41&amp;"'!$B$1:$B$45"),0)),"?")</f>
        <v/>
      </c>
      <c r="F41" s="52">
        <f>IF(ISNUMBER(E41),$D41*E41,0)</f>
        <v/>
      </c>
      <c r="G41" s="56" t="inlineStr">
        <is>
          <t>C</t>
        </is>
      </c>
      <c r="H41" s="54" t="inlineStr">
        <is>
          <t>부분 관여</t>
        </is>
      </c>
    </row>
    <row r="42" ht="15" customHeight="1" s="96">
      <c r="A42" s="49" t="inlineStr">
        <is>
          <t>D3_하체A</t>
        </is>
      </c>
      <c r="B42" s="49" t="inlineStr">
        <is>
          <t>불가리안 스플릿 스쿼트</t>
        </is>
      </c>
      <c r="C42" s="49" t="inlineStr">
        <is>
          <t>내전근</t>
        </is>
      </c>
      <c r="D42" s="50" t="n">
        <v>0.33</v>
      </c>
      <c r="E42" s="51">
        <f>IFERROR(INDEX(INDIRECT("'"&amp;$A42&amp;"'!$E$1:$E$45"),MATCH($B42,INDIRECT("'"&amp;$A42&amp;"'!$B$1:$B$45"),0)),"?")</f>
        <v/>
      </c>
      <c r="F42" s="52">
        <f>IF(ISNUMBER(E42),$D42*E42,0)</f>
        <v/>
      </c>
      <c r="G42" s="56" t="inlineStr">
        <is>
          <t>C</t>
        </is>
      </c>
      <c r="H42" s="54" t="inlineStr">
        <is>
          <t>단측 부하 부분 관여</t>
        </is>
      </c>
    </row>
    <row r="43" ht="15" customHeight="1" s="96">
      <c r="A43" s="49" t="inlineStr">
        <is>
          <t>D2_밀기A</t>
        </is>
      </c>
      <c r="B43" s="49" t="inlineStr">
        <is>
          <t>벤치프레스 (본세트)</t>
        </is>
      </c>
      <c r="C43" s="49" t="inlineStr">
        <is>
          <t>흉근(상부)</t>
        </is>
      </c>
      <c r="D43" s="50" t="n">
        <v>0.2</v>
      </c>
      <c r="E43" s="51">
        <f>IFERROR(INDEX(INDIRECT("'"&amp;$A43&amp;"'!$E$1:$E$45"),MATCH($B43,INDIRECT("'"&amp;$A43&amp;"'!$B$1:$B$45"),0)),"?")</f>
        <v/>
      </c>
      <c r="F43" s="52">
        <f>IF(ISNUMBER(E43),$D43*E43,0)</f>
        <v/>
      </c>
      <c r="G43" s="56" t="inlineStr">
        <is>
          <t>C</t>
        </is>
      </c>
      <c r="H43" s="54" t="inlineStr">
        <is>
          <t>플랫 벤치의 상부 섬유 미미한 동적 관여</t>
        </is>
      </c>
    </row>
    <row r="44" ht="15" customHeight="1" s="96">
      <c r="A44" s="49" t="inlineStr">
        <is>
          <t>D6_밀기B</t>
        </is>
      </c>
      <c r="B44" s="49" t="inlineStr">
        <is>
          <t>인클라인 벤치프레스 머신</t>
        </is>
      </c>
      <c r="C44" s="49" t="inlineStr">
        <is>
          <t>흉근(중하부)</t>
        </is>
      </c>
      <c r="D44" s="50" t="n">
        <v>0.2</v>
      </c>
      <c r="E44" s="51">
        <f>IFERROR(INDEX(INDIRECT("'"&amp;$A44&amp;"'!$E$1:$E$45"),MATCH($B44,INDIRECT("'"&amp;$A44&amp;"'!$B$1:$B$45"),0)),"?")</f>
        <v/>
      </c>
      <c r="F44" s="52">
        <f>IF(ISNUMBER(E44),$D44*E44,0)</f>
        <v/>
      </c>
      <c r="G44" s="56" t="inlineStr">
        <is>
          <t>C</t>
        </is>
      </c>
      <c r="H44" s="54" t="inlineStr">
        <is>
          <t>인클라인의 중하부 섬유 미미한 관여</t>
        </is>
      </c>
    </row>
    <row r="45" ht="15" customHeight="1" s="96">
      <c r="A45" s="49" t="inlineStr">
        <is>
          <t>D5_당기기B</t>
        </is>
      </c>
      <c r="B45" s="49" t="inlineStr">
        <is>
          <t>해머 스트랭스 로우(오버그립)</t>
        </is>
      </c>
      <c r="C45" s="49" t="inlineStr">
        <is>
          <t>승모(상부)</t>
        </is>
      </c>
      <c r="D45" s="50" t="n">
        <v>0.2</v>
      </c>
      <c r="E45" s="51">
        <f>IFERROR(INDEX(INDIRECT("'"&amp;$A45&amp;"'!$E$1:$E$45"),MATCH($B45,INDIRECT("'"&amp;$A45&amp;"'!$B$1:$B$45"),0)),"?")</f>
        <v/>
      </c>
      <c r="F45" s="52">
        <f>IF(ISNUMBER(E45),$D45*E45,0)</f>
        <v/>
      </c>
      <c r="G45" s="56" t="inlineStr">
        <is>
          <t>C</t>
        </is>
      </c>
      <c r="H45" s="54" t="inlineStr">
        <is>
          <t>로우 중 상부승모 약한 등척성</t>
        </is>
      </c>
    </row>
    <row r="46" ht="15" customHeight="1" s="96">
      <c r="A46" s="49" t="inlineStr">
        <is>
          <t>D6_밀기B</t>
        </is>
      </c>
      <c r="B46" s="49" t="inlineStr">
        <is>
          <t>밀리터리 프레스 (본세트)</t>
        </is>
      </c>
      <c r="C46" s="49" t="inlineStr">
        <is>
          <t>승모(상부)</t>
        </is>
      </c>
      <c r="D46" s="50" t="n">
        <v>0.2</v>
      </c>
      <c r="E46" s="51">
        <f>IFERROR(INDEX(INDIRECT("'"&amp;$A46&amp;"'!$E$1:$E$45"),MATCH($B46,INDIRECT("'"&amp;$A46&amp;"'!$B$1:$B$45"),0)),"?")</f>
        <v/>
      </c>
      <c r="F46" s="52">
        <f>IF(ISNUMBER(E46),$D46*E46,0)</f>
        <v/>
      </c>
      <c r="G46" s="56" t="inlineStr">
        <is>
          <t>C</t>
        </is>
      </c>
      <c r="H46" s="54" t="inlineStr">
        <is>
          <t>오버헤드 상방회전 약한 관여</t>
        </is>
      </c>
    </row>
    <row r="47" ht="15" customHeight="1" s="96">
      <c r="A47" s="49" t="inlineStr">
        <is>
          <t>D7_하체B</t>
        </is>
      </c>
      <c r="B47" s="49" t="inlineStr">
        <is>
          <t>데드리프트 (본세트)</t>
        </is>
      </c>
      <c r="C47" s="49" t="inlineStr">
        <is>
          <t>승모(상부)</t>
        </is>
      </c>
      <c r="D47" s="50" t="n">
        <v>0.2</v>
      </c>
      <c r="E47" s="51">
        <f>IFERROR(INDEX(INDIRECT("'"&amp;$A47&amp;"'!$E$1:$E$45"),MATCH($B47,INDIRECT("'"&amp;$A47&amp;"'!$B$1:$B$45"),0)),"?")</f>
        <v/>
      </c>
      <c r="F47" s="52">
        <f>IF(ISNUMBER(E47),$D47*E47,0)</f>
        <v/>
      </c>
      <c r="G47" s="56" t="inlineStr">
        <is>
          <t>C</t>
        </is>
      </c>
      <c r="H47" s="54" t="inlineStr">
        <is>
          <t>고장력 등척성 견갑대 유지</t>
        </is>
      </c>
    </row>
    <row r="48" ht="15" customHeight="1" s="96">
      <c r="A48" s="49" t="inlineStr">
        <is>
          <t>D1_당기기A</t>
        </is>
      </c>
      <c r="B48" s="49" t="inlineStr">
        <is>
          <t>친업 (어시스트 가능)</t>
        </is>
      </c>
      <c r="C48" s="49" t="inlineStr">
        <is>
          <t>승모(하부)</t>
        </is>
      </c>
      <c r="D48" s="50" t="n">
        <v>0.2</v>
      </c>
      <c r="E48" s="51">
        <f>IFERROR(INDEX(INDIRECT("'"&amp;$A48&amp;"'!$E$1:$E$45"),MATCH($B48,INDIRECT("'"&amp;$A48&amp;"'!$B$1:$B$45"),0)),"?")</f>
        <v/>
      </c>
      <c r="F48" s="52">
        <f>IF(ISNUMBER(E48),$D48*E48,0)</f>
        <v/>
      </c>
      <c r="G48" s="56" t="inlineStr">
        <is>
          <t>C</t>
        </is>
      </c>
      <c r="H48" s="54" t="inlineStr">
        <is>
          <t>당기기 중 견갑 하강 약한 관여</t>
        </is>
      </c>
    </row>
    <row r="49" ht="15" customHeight="1" s="96">
      <c r="A49" s="49" t="inlineStr">
        <is>
          <t>D5_당기기B</t>
        </is>
      </c>
      <c r="B49" s="49" t="inlineStr">
        <is>
          <t>해머 스트랭스 로우(오버그립)</t>
        </is>
      </c>
      <c r="C49" s="49" t="inlineStr">
        <is>
          <t>승모(하부)</t>
        </is>
      </c>
      <c r="D49" s="50" t="n">
        <v>0.2</v>
      </c>
      <c r="E49" s="51">
        <f>IFERROR(INDEX(INDIRECT("'"&amp;$A49&amp;"'!$E$1:$E$45"),MATCH($B49,INDIRECT("'"&amp;$A49&amp;"'!$B$1:$B$45"),0)),"?")</f>
        <v/>
      </c>
      <c r="F49" s="52">
        <f>IF(ISNUMBER(E49),$D49*E49,0)</f>
        <v/>
      </c>
      <c r="G49" s="56" t="inlineStr">
        <is>
          <t>C</t>
        </is>
      </c>
      <c r="H49" s="54" t="inlineStr">
        <is>
          <t>로우 중 하부승모 약한 관여</t>
        </is>
      </c>
    </row>
    <row r="50" ht="15" customHeight="1" s="96">
      <c r="A50" s="49" t="inlineStr">
        <is>
          <t>D2_밀기A</t>
        </is>
      </c>
      <c r="B50" s="49" t="inlineStr">
        <is>
          <t>리버스 펙덱플라이</t>
        </is>
      </c>
      <c r="C50" s="49" t="inlineStr">
        <is>
          <t>승모(중부)·능형근</t>
        </is>
      </c>
      <c r="D50" s="50" t="n">
        <v>0.33</v>
      </c>
      <c r="E50" s="51">
        <f>IFERROR(INDEX(INDIRECT("'"&amp;$A50&amp;"'!$E$1:$E$45"),MATCH($B50,INDIRECT("'"&amp;$A50&amp;"'!$B$1:$B$45"),0)),"?")</f>
        <v/>
      </c>
      <c r="F50" s="52">
        <f>IF(ISNUMBER(E50),$D50*E50,0)</f>
        <v/>
      </c>
      <c r="G50" s="56" t="inlineStr">
        <is>
          <t>C</t>
        </is>
      </c>
      <c r="H50" s="54" t="inlineStr">
        <is>
          <t>리버스 펙덱 견갑 후인 — 능형·중부승모 부분 협력</t>
        </is>
      </c>
    </row>
    <row r="51" ht="15" customHeight="1" s="96">
      <c r="A51" s="49" t="inlineStr">
        <is>
          <t>D7_하체B</t>
        </is>
      </c>
      <c r="B51" s="49" t="inlineStr">
        <is>
          <t>레그 프레스</t>
        </is>
      </c>
      <c r="C51" s="49" t="inlineStr">
        <is>
          <t>둔근</t>
        </is>
      </c>
      <c r="D51" s="50" t="n">
        <v>0.33</v>
      </c>
      <c r="E51" s="51">
        <f>IFERROR(INDEX(INDIRECT("'"&amp;$A51&amp;"'!$E$1:$E$45"),MATCH($B51,INDIRECT("'"&amp;$A51&amp;"'!$B$1:$B$45"),0)),"?")</f>
        <v/>
      </c>
      <c r="F51" s="52">
        <f>IF(ISNUMBER(E51),$D51*E51,0)</f>
        <v/>
      </c>
      <c r="G51" s="56" t="inlineStr">
        <is>
          <t>G</t>
        </is>
      </c>
      <c r="H51" s="54" t="inlineStr">
        <is>
          <t>둔근 관여하나 스쿼트보다 부분적 (7일차 분할분)</t>
        </is>
      </c>
    </row>
    <row r="52" ht="15" customHeight="1" s="96">
      <c r="A52" s="49" t="inlineStr">
        <is>
          <t>D7_하체B</t>
        </is>
      </c>
      <c r="B52" s="49" t="inlineStr">
        <is>
          <t>레그 프레스</t>
        </is>
      </c>
      <c r="C52" s="49" t="inlineStr">
        <is>
          <t>내전근</t>
        </is>
      </c>
      <c r="D52" s="50" t="n">
        <v>0.33</v>
      </c>
      <c r="E52" s="51">
        <f>IFERROR(INDEX(INDIRECT("'"&amp;$A52&amp;"'!$E$1:$E$45"),MATCH($B52,INDIRECT("'"&amp;$A52&amp;"'!$B$1:$B$45"),0)),"?")</f>
        <v/>
      </c>
      <c r="F52" s="52">
        <f>IF(ISNUMBER(E52),$D52*E52,0)</f>
        <v/>
      </c>
      <c r="G52" s="56" t="inlineStr">
        <is>
          <t>C</t>
        </is>
      </c>
      <c r="H52" s="54" t="inlineStr">
        <is>
          <t>부분 관여 (7일차 분할분)</t>
        </is>
      </c>
    </row>
    <row r="53" ht="15" customHeight="1" s="96">
      <c r="A53" s="49" t="inlineStr">
        <is>
          <t>D6_밀기B</t>
        </is>
      </c>
      <c r="B53" s="49" t="inlineStr">
        <is>
          <t>머신 숄더 프레스</t>
        </is>
      </c>
      <c r="C53" s="49" t="inlineStr">
        <is>
          <t>삼두</t>
        </is>
      </c>
      <c r="D53" s="50" t="n">
        <v>0.5</v>
      </c>
      <c r="E53" s="51">
        <f>IFERROR(INDEX(INDIRECT("'"&amp;$A53&amp;"'!$E$1:$E$45"),MATCH($B53,INDIRECT("'"&amp;$A53&amp;"'!$B$1:$B$45"),0)),"?")</f>
        <v/>
      </c>
      <c r="F53" s="52">
        <f>IF(ISNUMBER(E53),$D53*E53,0)</f>
        <v/>
      </c>
      <c r="G53" s="56" t="inlineStr">
        <is>
          <t>C</t>
        </is>
      </c>
      <c r="H53" s="54" t="inlineStr">
        <is>
          <t>오버헤드 프레스 삼두 신전 — 기존 프레스 삼두 엣지(0.5)와 일관</t>
        </is>
      </c>
    </row>
    <row r="54" ht="15" customHeight="1" s="96">
      <c r="A54" s="49" t="inlineStr">
        <is>
          <t>D6_밀기B</t>
        </is>
      </c>
      <c r="B54" s="49" t="inlineStr">
        <is>
          <t>헤머스트랭스 체스트 프레스</t>
        </is>
      </c>
      <c r="C54" s="49" t="inlineStr">
        <is>
          <t>삼두</t>
        </is>
      </c>
      <c r="D54" s="50" t="n">
        <v>0.5</v>
      </c>
      <c r="E54" s="51">
        <f>IFERROR(INDEX(INDIRECT("'"&amp;$A54&amp;"'!$E$1:$E$45"),MATCH($B54,INDIRECT("'"&amp;$A54&amp;"'!$B$1:$B$45"),0)),"?")</f>
        <v/>
      </c>
      <c r="F54" s="52">
        <f>IF(ISNUMBER(E54),$D54*E54,0)</f>
        <v/>
      </c>
      <c r="G54" s="56" t="inlineStr">
        <is>
          <t>C</t>
        </is>
      </c>
      <c r="H54" s="54" t="inlineStr">
        <is>
          <t>체스트 프레스 삼두 신전 — 기존 프레스 삼두 엣지(0.5)와 일관</t>
        </is>
      </c>
    </row>
    <row r="55" ht="15" customHeight="1" s="96">
      <c r="A55" s="49" t="inlineStr">
        <is>
          <t>D2_밀기A</t>
        </is>
      </c>
      <c r="B55" s="49" t="inlineStr">
        <is>
          <t>딥스</t>
        </is>
      </c>
      <c r="C55" s="49" t="inlineStr">
        <is>
          <t>삼각근(전면)</t>
        </is>
      </c>
      <c r="D55" s="50" t="n">
        <v>0.2</v>
      </c>
      <c r="E55" s="51">
        <f>IFERROR(INDEX(INDIRECT("'"&amp;$A55&amp;"'!$E$1:$E$45"),MATCH($B55,INDIRECT("'"&amp;$A55&amp;"'!$B$1:$B$45"),0)),"?")</f>
        <v/>
      </c>
      <c r="F55" s="52">
        <f>IF(ISNUMBER(E55),$D55*E55,0)</f>
        <v/>
      </c>
      <c r="G55" s="56" t="inlineStr">
        <is>
          <t>C</t>
        </is>
      </c>
      <c r="H55" s="54" t="inlineStr">
        <is>
          <t>딥스는 전면삼각 부차 관여 — 벤치 상부흉근(0.2)과 같은 약관여 등급</t>
        </is>
      </c>
    </row>
    <row r="56" ht="15" customHeight="1" s="96">
      <c r="A56" s="49" t="inlineStr">
        <is>
          <t>D6_밀기B</t>
        </is>
      </c>
      <c r="B56" s="49" t="inlineStr">
        <is>
          <t>헤머스트랭스 체스트 프레스</t>
        </is>
      </c>
      <c r="C56" s="49" t="inlineStr">
        <is>
          <t>삼각근(전면)</t>
        </is>
      </c>
      <c r="D56" s="50" t="n">
        <v>0.5</v>
      </c>
      <c r="E56" s="51">
        <f>IFERROR(INDEX(INDIRECT("'"&amp;$A56&amp;"'!$E$1:$E$45"),MATCH($B56,INDIRECT("'"&amp;$A56&amp;"'!$B$1:$B$45"),0)),"?")</f>
        <v/>
      </c>
      <c r="F56" s="52">
        <f>IF(ISNUMBER(E56),$D56*E56,0)</f>
        <v/>
      </c>
      <c r="G56" s="56" t="inlineStr">
        <is>
          <t>C</t>
        </is>
      </c>
      <c r="H56" s="54" t="inlineStr">
        <is>
          <t>수평 프레스 전면삼각 관여 — 벤치·인클라인 머신과 같은 0.5 등급</t>
        </is>
      </c>
    </row>
    <row r="57" ht="15" customHeight="1" s="96">
      <c r="A57" s="49" t="inlineStr">
        <is>
          <t>D5_당기기B</t>
        </is>
      </c>
      <c r="B57" s="49" t="inlineStr">
        <is>
          <t>리버스컬</t>
        </is>
      </c>
      <c r="C57" s="49" t="inlineStr">
        <is>
          <t>이두</t>
        </is>
      </c>
      <c r="D57" s="50" t="n">
        <v>0.33</v>
      </c>
      <c r="E57" s="51">
        <f>IFERROR(INDEX(INDIRECT("'"&amp;$A57&amp;"'!$E$1:$E$45"),MATCH($B57,INDIRECT("'"&amp;$A57&amp;"'!$B$1:$B$45"),0)),"?")</f>
        <v/>
      </c>
      <c r="F57" s="52">
        <f>IF(ISNUMBER(E57),$D57*E57,0)</f>
        <v/>
      </c>
      <c r="G57" s="56" t="inlineStr">
        <is>
          <t>C</t>
        </is>
      </c>
      <c r="H57" s="54" t="inlineStr">
        <is>
          <t>엎침 그립이라 이두가 짧아진 자리에서 불리 — 상완근 경유 부분 협력 (프리쳐 컬→전완 0.33과 대칭)</t>
        </is>
      </c>
    </row>
    <row r="58" ht="15" customHeight="1" s="96">
      <c r="A58" s="49" t="inlineStr">
        <is>
          <t>D8_어깨</t>
        </is>
      </c>
      <c r="B58" s="49" t="inlineStr">
        <is>
          <t>케이블 리버스 플라이</t>
        </is>
      </c>
      <c r="C58" s="49" t="inlineStr">
        <is>
          <t>승모(중부)·능형근</t>
        </is>
      </c>
      <c r="D58" s="50" t="n">
        <v>0.5</v>
      </c>
      <c r="E58" s="51">
        <f>IFERROR(INDEX(INDIRECT("'"&amp;$A58&amp;"'!$E$1:$E$45"),MATCH($B58,INDIRECT("'"&amp;$A58&amp;"'!$B$1:$B$45"),0)),"?")</f>
        <v/>
      </c>
      <c r="F58" s="52">
        <f>IF(ISNUMBER(E58),$D58*E58,0)</f>
        <v/>
      </c>
      <c r="G58" s="56" t="inlineStr">
        <is>
          <t>C</t>
        </is>
      </c>
      <c r="H58" s="54" t="inlineStr">
        <is>
          <t>견갑 후인 능동 수축 — D5_당기기B의 같은 종목(0.5)과 동일 등급</t>
        </is>
      </c>
    </row>
    <row r="59" ht="15" customHeight="1" s="96">
      <c r="A59" s="49" t="inlineStr">
        <is>
          <t>D8_어깨</t>
        </is>
      </c>
      <c r="B59" s="49" t="inlineStr">
        <is>
          <t>와이드 그립 케이블 업라이트 로우</t>
        </is>
      </c>
      <c r="C59" s="49" t="inlineStr">
        <is>
          <t>승모(상부)</t>
        </is>
      </c>
      <c r="D59" s="50" t="n">
        <v>0.33</v>
      </c>
      <c r="E59" s="51">
        <f>IFERROR(INDEX(INDIRECT("'"&amp;$A59&amp;"'!$E$1:$E$45"),MATCH($B59,INDIRECT("'"&amp;$A59&amp;"'!$B$1:$B$45"),0)),"?")</f>
        <v/>
      </c>
      <c r="F59" s="52">
        <f>IF(ISNUMBER(E59),$D59*E59,0)</f>
        <v/>
      </c>
      <c r="G59" s="56" t="inlineStr">
        <is>
          <t>C</t>
        </is>
      </c>
      <c r="H59" s="54" t="inlineStr">
        <is>
          <t>팔꿈치를 어깨 높이로 올리는 궤적 — 상부승모 부분 협력. 레이즈 계열(계수 없음)과 다른 점이 이것이다</t>
        </is>
      </c>
    </row>
    <row r="60" ht="15" customHeight="1" s="96">
      <c r="A60" s="49" t="inlineStr">
        <is>
          <t>D8_어깨</t>
        </is>
      </c>
      <c r="B60" s="49" t="inlineStr">
        <is>
          <t>리어 델트 로우 (로프)</t>
        </is>
      </c>
      <c r="C60" s="49" t="inlineStr">
        <is>
          <t>승모(중부)·능형근</t>
        </is>
      </c>
      <c r="D60" s="50" t="n">
        <v>0.5</v>
      </c>
      <c r="E60" s="51">
        <f>IFERROR(INDEX(INDIRECT("'"&amp;$A60&amp;"'!$E$1:$E$45"),MATCH($B60,INDIRECT("'"&amp;$A60&amp;"'!$B$1:$B$45"),0)),"?")</f>
        <v/>
      </c>
      <c r="F60" s="52">
        <f>IF(ISNUMBER(E60),$D60*E60,0)</f>
        <v/>
      </c>
      <c r="G60" s="56" t="inlineStr">
        <is>
          <t>C</t>
        </is>
      </c>
      <c r="H60" s="54" t="inlineStr">
        <is>
          <t>견갑 후인 능동 수축 — 로우 계열과 동일 등급</t>
        </is>
      </c>
    </row>
    <row r="61" ht="15" customHeight="1" s="96">
      <c r="A61" s="49" t="inlineStr">
        <is>
          <t>D2_밀기A</t>
        </is>
      </c>
      <c r="B61" s="49" t="inlineStr">
        <is>
          <t>바벨 컬</t>
        </is>
      </c>
      <c r="C61" s="49" t="inlineStr">
        <is>
          <t>전완</t>
        </is>
      </c>
      <c r="D61" s="50" t="n">
        <v>0.33</v>
      </c>
      <c r="E61" s="51">
        <f>IFERROR(INDEX(INDIRECT("'"&amp;$A61&amp;"'!$E$1:$E$45"),MATCH($B61,INDIRECT("'"&amp;$A61&amp;"'!$B$1:$B$45"),0)),"?")</f>
        <v/>
      </c>
      <c r="F61" s="52">
        <f>IF(ISNUMBER(E61),$D61*E61,0)</f>
        <v/>
      </c>
      <c r="G61" s="56" t="inlineStr">
        <is>
          <t>C</t>
        </is>
      </c>
      <c r="H61" s="54" t="inlineStr">
        <is>
          <t>컬 중 상완요골근 동적 굴곡 — 인클라인·프리쳐 컬(0.33)과 동일 등급</t>
        </is>
      </c>
    </row>
    <row r="62" ht="15" customHeight="1" s="96">
      <c r="E62" s="3" t="inlineStr">
        <is>
          <t>간접 총합</t>
        </is>
      </c>
      <c r="F62" s="57">
        <f>SUM(F7:F61)</f>
        <v/>
      </c>
    </row>
  </sheetData>
  <mergeCells count="2">
    <mergeCell ref="A4:H4"/>
    <mergeCell ref="A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8"/>
  <sheetViews>
    <sheetView zoomScaleNormal="100" workbookViewId="0">
      <selection activeCell="I32" sqref="I32"/>
    </sheetView>
  </sheetViews>
  <sheetFormatPr baseColWidth="8" defaultColWidth="8.7109375" defaultRowHeight="15"/>
  <cols>
    <col width="20" customWidth="1" style="96" min="1" max="1"/>
    <col width="12" customWidth="1" style="96" min="2" max="3"/>
    <col width="10" customWidth="1" style="96" min="4" max="4"/>
    <col width="14" customWidth="1" style="96" min="5" max="5"/>
    <col width="46" customWidth="1" style="96" min="6" max="6"/>
  </cols>
  <sheetData>
    <row r="1" ht="18" customHeight="1" s="96">
      <c r="A1" s="1" t="inlineStr">
        <is>
          <t>근육군별 주간 세트 — 검산</t>
        </is>
      </c>
    </row>
    <row r="2" ht="15" customHeight="1" s="96">
      <c r="A2" s="2" t="inlineStr">
        <is>
      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7/8)으로 한다 — 볼륨 랜드마크가 주 단위이기 때문이다. 간접·실질은 0.5 단위 반올림으로 표시한다 — 메모의 계산 원값과 ±0.25 이내 차이가 날 수 있다.</t>
        </is>
      </c>
    </row>
    <row r="4" ht="15" customHeight="1" s="96">
      <c r="A4" s="5" t="inlineStr">
        <is>
          <t>근육군</t>
        </is>
      </c>
      <c r="B4" s="5" t="inlineStr">
        <is>
          <t>직접 세트</t>
        </is>
      </c>
      <c r="C4" s="5" t="inlineStr">
        <is>
          <t>간접 추정</t>
        </is>
      </c>
      <c r="D4" s="5" t="inlineStr">
        <is>
          <t>실질</t>
        </is>
      </c>
      <c r="E4" s="5" t="inlineStr">
        <is>
          <t>판정</t>
        </is>
      </c>
      <c r="F4" s="5" t="inlineStr">
        <is>
          <t>간접 출처 / 비고</t>
        </is>
      </c>
      <c r="J4" s="5" t="inlineStr">
        <is>
          <t>주당 환산 (×7/8)</t>
        </is>
      </c>
    </row>
    <row r="5" ht="15" customHeight="1" s="96">
      <c r="A5" s="58" t="inlineStr">
        <is>
          <t>흉근(상부)</t>
        </is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/>
      </c>
      <c r="C5" s="100">
        <f>MROUND(SUMIFS(간접계수맵!$F$7:$F$61,간접계수맵!$C$7:$C$61,$A5),0.5)</f>
        <v/>
      </c>
      <c r="D5" s="101">
        <f>B5+C5</f>
        <v/>
      </c>
      <c r="E5" s="7">
        <f>IF(J5&gt;20,"과다 점검",IF(J5&gt;=10,"충분",IF(J5&gt;=8,"하한",IF(J5&gt;=1,"보완 필요","미배치"))))</f>
        <v/>
      </c>
      <c r="F5" s="58" t="inlineStr">
        <is>
          <t>플랫 벤치 5세트가 쇄골지에도 일부 기여</t>
        </is>
      </c>
      <c r="G5" s="98" t="inlineStr">
        <is>
          <t>흉근 합산(상+중하)</t>
        </is>
      </c>
      <c r="H5" s="102">
        <f>SUM(D5:D6)</f>
        <v/>
      </c>
      <c r="I5">
        <f>IF(H5*7/8&gt;20,"주당 환산 천장(20) 초과 — 2일차 예외 허용 · 세트 질 관찰","")</f>
        <v/>
      </c>
      <c r="J5" s="101">
        <f>ROUND(D5*7/8,1)</f>
        <v/>
      </c>
    </row>
    <row r="6" ht="15" customHeight="1" s="96">
      <c r="A6" s="58" t="inlineStr">
        <is>
          <t>흉근(중하부)</t>
        </is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/>
      </c>
      <c r="C6" s="100">
        <f>MROUND(SUMIFS(간접계수맵!$F$7:$F$61,간접계수맵!$C$7:$C$61,$A6),0.5)</f>
        <v/>
      </c>
      <c r="D6" s="101">
        <f>B6+C6</f>
        <v/>
      </c>
      <c r="E6" s="7">
        <f>IF(J6&gt;20,"과다 점검",IF(J6&gt;=10,"충분",IF(J6&gt;=8,"하한",IF(J6&gt;=1,"보완 필요","미배치"))))</f>
        <v/>
      </c>
      <c r="F6" s="58" t="inlineStr">
        <is>
          <t>인클라인 벤치프레스 머신 0.2×4=0.8 — 흉늑지 약관여. 직접 12세트: 2일차 벤치 5 · 딥스 4 · 6일차 헤머 체스트 3 (디클라인 케이블 플라이는 2026-08-28 0세트로 정리).</t>
        </is>
      </c>
      <c r="G6" s="99" t="n"/>
      <c r="J6" s="101">
        <f>ROUND(D6*7/8,1)</f>
        <v/>
      </c>
    </row>
    <row r="7" ht="15" customHeight="1" s="96">
      <c r="A7" s="58" t="inlineStr">
        <is>
          <t>광배</t>
        </is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/>
      </c>
      <c r="C7" s="100">
        <f>MROUND(SUMIFS(간접계수맵!$F$7:$F$61,간접계수맵!$C$7:$C$61,$A7),0.5)</f>
        <v/>
      </c>
      <c r="D7" s="101">
        <f>B7+C7</f>
        <v/>
      </c>
      <c r="E7" s="7">
        <f>IF(J7&gt;20,"과다 점검",IF(J7&gt;=10,"충분",IF(J7&gt;=8,"하한",IF(J7&gt;=1,"보완 필요","미배치"))))</f>
        <v/>
      </c>
      <c r="F7" s="58" t="inlineStr">
        <is>
          <t>데드리프트의 광배 등척성 유지 — 사이클당 1세트뿐이라 0으로 하향(계수 0). 직접 14세트로 이미 충분.</t>
        </is>
      </c>
      <c r="G7" s="98" t="inlineStr">
        <is>
          <t>등</t>
        </is>
      </c>
      <c r="H7" s="102">
        <f>SUM(D7:D10)</f>
        <v/>
      </c>
      <c r="J7" s="101">
        <f>ROUND(D7*7/8,1)</f>
        <v/>
      </c>
    </row>
    <row r="8" ht="15" customHeight="1" s="96">
      <c r="A8" s="58" t="inlineStr">
        <is>
          <t>승모(상부)</t>
        </is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/>
      </c>
      <c r="C8" s="100">
        <f>MROUND(SUMIFS(간접계수맵!$F$7:$F$61,간접계수맵!$C$7:$C$61,$A8),0.5)</f>
        <v/>
      </c>
      <c r="D8" s="101">
        <f>B8+C8</f>
        <v/>
      </c>
      <c r="E8" s="7">
        <f>IF(J8&gt;20,"과다 점검",IF(J8&gt;=10,"충분",IF(J8&gt;=8,"하한",IF(J8&gt;=1,"보완 필요","미배치"))))</f>
        <v/>
      </c>
      <c r="F8" s="58" t="inlineStr">
        <is>
          <t>직접: 트랩바 슈러그(5일차) 2세트. 간접: 해머 로우 0.2×4=0.8 · 밀리터리 0.2×3=0.6 · 데드 0.2×1=0.2 = 1.6. 실질 3.6 — 하한(8) 미만. 8일차 와이드 그립 업라이트 로우 0.33×2=0.66이 붙어 사이클당 2회가 됐다. 그래도 하한 미달이면 D2_밀기A에 2세트 추가.</t>
        </is>
      </c>
      <c r="G8" s="99" t="n"/>
      <c r="J8" s="101">
        <f>ROUND(D8*7/8,1)</f>
        <v/>
      </c>
    </row>
    <row r="9" ht="15" customHeight="1" s="96">
      <c r="A9" s="58" t="inlineStr">
        <is>
          <t>승모(하부)</t>
        </is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/>
      </c>
      <c r="C9" s="100">
        <f>MROUND(SUMIFS(간접계수맵!$F$7:$F$61,간접계수맵!$C$7:$C$61,$A9),0.5)</f>
        <v/>
      </c>
      <c r="D9" s="101">
        <f>B9+C9</f>
        <v/>
      </c>
      <c r="E9" s="7">
        <f>IF(J9&gt;20,"과다 점검",IF(J9&gt;=10,"충분",IF(J9&gt;=8,"하한",IF(J9&gt;=1,"보완 필요","미배치"))))</f>
        <v/>
      </c>
      <c r="F9" s="58" t="inlineStr">
        <is>
          <t>친업 0.2×4=0.8 + 해머 로우 0.2×4=0.8 = 1.6 — 견갑 하강은 동작 개시 관여라 약계수</t>
        </is>
      </c>
      <c r="G9" s="99" t="n"/>
      <c r="J9" s="101">
        <f>ROUND(D9*7/8,1)</f>
        <v/>
      </c>
    </row>
    <row r="10" ht="15" customHeight="1" s="96">
      <c r="A10" s="58" t="inlineStr">
        <is>
          <t>승모(중부)·능형근</t>
        </is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/>
      </c>
      <c r="C10" s="100">
        <f>MROUND(SUMIFS(간접계수맵!$F$7:$F$61,간접계수맵!$C$7:$C$61,$A10),0.5)</f>
        <v/>
      </c>
      <c r="D10" s="101">
        <f>B10+C10</f>
        <v/>
      </c>
      <c r="E10" s="7">
        <f>IF(J10&gt;20,"과다 점검",IF(J10&gt;=10,"충분",IF(J10&gt;=8,"하한",IF(J10&gt;=1,"보완 필요","미배치"))))</f>
        <v/>
      </c>
      <c r="F10" s="58" t="inlineStr">
        <is>
          <t>해머 로우 0.5×4=2 + 시티드 케이블 로우 0.5×3=1.5 + 리버스 펙덱(2일차) 0.33×4=1.32 = 4.82 — 전부 견갑 후인 계열. + 케이블 리버스 플라이(8일차) 0.5×3=1.5 = 6.32. (5일차 케이블 리버스 플라이는 v17 제외로 간접에서 빠지고, 그 종목이 8일차로 옮겨 왔다)</t>
        </is>
      </c>
      <c r="G10" s="99" t="n"/>
      <c r="J10" s="101">
        <f>ROUND(D10*7/8,1)</f>
        <v/>
      </c>
    </row>
    <row r="11" ht="15" customHeight="1" s="96">
      <c r="A11" s="58" t="inlineStr">
        <is>
          <t>기립근</t>
        </is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/>
      </c>
      <c r="C11" s="100">
        <f>MROUND(SUMIFS(간접계수맵!$F$7:$F$61,간접계수맵!$C$7:$C$61,$A11),0.5)</f>
        <v/>
      </c>
      <c r="D11" s="101">
        <f>B11+C11</f>
        <v/>
      </c>
      <c r="E11" s="7">
        <f>IF(J11&gt;20,"과다 점검",IF(J11&gt;=10,"충분",IF(J11&gt;=8,"하한",IF(J11&gt;=1,"보완 필요","미배치"))))</f>
        <v/>
      </c>
      <c r="F11" s="58" t="inlineStr">
        <is>
          <t>스쿼트 0.2×5=1(등척성) + RDL(7일차) 0.5×3=1.5(동적) + 트랩바 슈러그 0.2×2=0.4 = 2.9</t>
        </is>
      </c>
      <c r="G11" s="62" t="n"/>
      <c r="J11" s="101">
        <f>ROUND(D11*7/8,1)</f>
        <v/>
      </c>
    </row>
    <row r="12" ht="15" customHeight="1" s="96">
      <c r="A12" s="58" t="inlineStr">
        <is>
          <t>삼각근(전면)</t>
        </is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/>
      </c>
      <c r="C12" s="100">
        <f>MROUND(SUMIFS(간접계수맵!$F$7:$F$61,간접계수맵!$C$7:$C$61,$A12),0.5)</f>
        <v/>
      </c>
      <c r="D12" s="101">
        <f>B12+C12</f>
        <v/>
      </c>
      <c r="E12" s="7">
        <f>IF(J12&gt;20,"과다 점검",IF(J12&gt;=10,"충분",IF(J12&gt;=8,"하한",IF(J12&gt;=1,"보완 필요","미배치"))))</f>
        <v/>
      </c>
      <c r="F12" s="58" t="inlineStr">
        <is>
          <t>벤치 0.5×5=2.5 + 인클라인 머신 0.5×4=2 + 딥스 0.2×3=0.6 = 5.1 (머신 숄더·밀리터리는 직접 전면 분류 · 헤머 체스트는 v17 제외)</t>
        </is>
      </c>
      <c r="G12" s="62" t="n"/>
      <c r="J12" s="101">
        <f>ROUND(D12*7/8,1)</f>
        <v/>
      </c>
    </row>
    <row r="13" ht="15" customHeight="1" s="96">
      <c r="A13" s="58" t="inlineStr">
        <is>
          <t>삼각근(측면)</t>
        </is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/>
      </c>
      <c r="C13" s="100">
        <f>MROUND(SUMIFS(간접계수맵!$F$7:$F$61,간접계수맵!$C$7:$C$61,$A13),0.5)</f>
        <v/>
      </c>
      <c r="D13" s="101">
        <f>B13+C13</f>
        <v/>
      </c>
      <c r="E13" s="7">
        <f>IF(J13&gt;20,"과다 점검",IF(J13&gt;=10,"충분",IF(J13&gt;=8,"하한",IF(J13&gt;=1,"보완 필요","미배치"))))</f>
        <v/>
      </c>
      <c r="F13" s="58" t="inlineStr">
        <is>
          <t>밀리터리 프레스 0.5×3=1.5. (머신 숄더 프레스는 직접 전면삼각으로 분류 — 측면 간접엔 미포함.) 직접 16세트: 2일차 레터럴 6 · 6일차 원암 케이블 3 · 8일차 3종목 7 (머신 3 · 리닝 케이블 2 · 업라이트 로우 2).</t>
        </is>
      </c>
      <c r="G13" s="62" t="n"/>
      <c r="J13" s="101">
        <f>ROUND(D13*7/8,1)</f>
        <v/>
      </c>
    </row>
    <row r="14" ht="15" customHeight="1" s="96">
      <c r="A14" s="58" t="inlineStr">
        <is>
          <t>삼각근(후면)</t>
        </is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/>
      </c>
      <c r="C14" s="100">
        <f>MROUND(SUMIFS(간접계수맵!$F$7:$F$61,간접계수맵!$C$7:$C$61,$A14),0.5)</f>
        <v/>
      </c>
      <c r="D14" s="101">
        <f>B14+C14</f>
        <v/>
      </c>
      <c r="E14" s="7">
        <f>IF(J14&gt;20,"과다 점검",IF(J14&gt;=10,"충분",IF(J14&gt;=8,"하한",IF(J14&gt;=1,"보완 필요","미배치"))))</f>
        <v/>
      </c>
      <c r="F14" s="58" t="inlineStr">
        <is>
      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      </is>
      </c>
      <c r="G14" s="62" t="n"/>
      <c r="H14" s="102" t="n"/>
      <c r="J14" s="101">
        <f>ROUND(D14*7/8,1)</f>
        <v/>
      </c>
    </row>
    <row r="15" ht="15" customHeight="1" s="96">
      <c r="A15" s="58" t="inlineStr">
        <is>
          <t>대퇴사두</t>
        </is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/>
      </c>
      <c r="C15" s="100">
        <f>MROUND(SUMIFS(간접계수맵!$F$7:$F$61,간접계수맵!$C$7:$C$61,$A15),0.5)</f>
        <v/>
      </c>
      <c r="D15" s="101">
        <f>B15+C15</f>
        <v/>
      </c>
      <c r="E15" s="7">
        <f>IF(J15&gt;20,"과다 점검",IF(J15&gt;=10,"충분",IF(J15&gt;=8,"하한",IF(J15&gt;=1,"보완 필요","미배치"))))</f>
        <v/>
      </c>
      <c r="F15" s="58" t="inlineStr">
        <is>
          <t>불가리안 스플릿 스쿼트</t>
        </is>
      </c>
      <c r="G15" s="63" t="inlineStr">
        <is>
          <t>하체(대퇴·햄·종아리)</t>
        </is>
      </c>
      <c r="H15" s="102">
        <f>SUM(D15:D16,D19)</f>
        <v/>
      </c>
      <c r="J15" s="101">
        <f>ROUND(D15*7/8,1)</f>
        <v/>
      </c>
    </row>
    <row r="16" ht="15" customHeight="1" s="96">
      <c r="A16" s="58" t="inlineStr">
        <is>
          <t>햄스트링</t>
        </is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/>
      </c>
      <c r="C16" s="100">
        <f>MROUND(SUMIFS(간접계수맵!$F$7:$F$61,간접계수맵!$C$7:$C$61,$A16),0.5)</f>
        <v/>
      </c>
      <c r="D16" s="101">
        <f>B16+C16</f>
        <v/>
      </c>
      <c r="E16" s="7">
        <f>IF(J16&gt;20,"과다 점검",IF(J16&gt;=10,"충분",IF(J16&gt;=8,"하한",IF(J16&gt;=1,"보완 필요","미배치"))))</f>
        <v/>
      </c>
      <c r="F16" s="58" t="inlineStr">
        <is>
          <t>힙 쓰러스트 0.5×4=2 + 데드 0.5×1=0.5 + 덤벨 RDL(1일차) 0.5×3=1.5 = 4</t>
        </is>
      </c>
      <c r="G16" s="62" t="n"/>
      <c r="J16" s="101">
        <f>ROUND(D16*7/8,1)</f>
        <v/>
      </c>
    </row>
    <row r="17" ht="15" customHeight="1" s="96">
      <c r="A17" s="58" t="inlineStr">
        <is>
          <t>둔근</t>
        </is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/>
      </c>
      <c r="C17" s="100">
        <f>MROUND(SUMIFS(간접계수맵!$F$7:$F$61,간접계수맵!$C$7:$C$61,$A17),0.5)</f>
        <v/>
      </c>
      <c r="D17" s="101">
        <f>B17+C17</f>
        <v/>
      </c>
      <c r="E17" s="7">
        <f>IF(J17&gt;20,"과다 점검",IF(J17&gt;=10,"충분",IF(J17&gt;=8,"하한",IF(J17&gt;=1,"보완 필요","미배치"))))</f>
        <v/>
      </c>
      <c r="F17" s="58" t="inlineStr">
        <is>
          <t>스쿼트 0.5×5=2.5 + 데드 0.5×1=0.5 + RDL(7일차) 0.5×3=1.5 + 덤벨 RDL(1일차) 0.5×3=1.5 + 레그 프레스(수·토) 0.33×6=1.98 = 7.98</t>
        </is>
      </c>
      <c r="G17" s="98" t="inlineStr">
        <is>
          <t>둔근</t>
        </is>
      </c>
      <c r="H17" s="102">
        <f>SUM(D17:D18)</f>
        <v/>
      </c>
      <c r="J17" s="101">
        <f>ROUND(D17*7/8,1)</f>
        <v/>
      </c>
    </row>
    <row r="18" ht="15" customHeight="1" s="96">
      <c r="A18" s="58" t="inlineStr">
        <is>
          <t>중둔근</t>
        </is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/>
      </c>
      <c r="C18" s="100">
        <f>MROUND(SUMIFS(간접계수맵!$F$7:$F$61,간접계수맵!$C$7:$C$61,$A18),0.5)</f>
        <v/>
      </c>
      <c r="D18" s="101">
        <f>B18+C18</f>
        <v/>
      </c>
      <c r="E18" s="7">
        <f>IF(J18&gt;20,"과다 점검",IF(J18&gt;=10,"충분",IF(J18&gt;=8,"하한",IF(J18&gt;=1,"보완 필요","미배치"))))</f>
        <v/>
      </c>
      <c r="F18" s="58" t="inlineStr">
        <is>
          <t>불가리안 0.33×4=1.32 — 한 다리 지지 관상면 안정화. 스쿼트·레그프레스는 양측 지지라 계수 없음</t>
        </is>
      </c>
      <c r="G18" s="99" t="n"/>
      <c r="J18" s="101">
        <f>ROUND(D18*7/8,1)</f>
        <v/>
      </c>
    </row>
    <row r="19" ht="15" customHeight="1" s="96">
      <c r="A19" s="58" t="inlineStr">
        <is>
          <t>종아리</t>
        </is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/>
      </c>
      <c r="C19" s="100">
        <f>MROUND(SUMIFS(간접계수맵!$F$7:$F$61,간접계수맵!$C$7:$C$61,$A19),0.5)</f>
        <v/>
      </c>
      <c r="D19" s="101">
        <f>B19+C19</f>
        <v/>
      </c>
      <c r="E19" s="7">
        <f>IF(J19&gt;20,"과다 점검",IF(J19&gt;=10,"충분",IF(J19&gt;=8,"하한",IF(J19&gt;=1,"보완 필요","미배치"))))</f>
        <v/>
      </c>
      <c r="F19" s="58" t="inlineStr">
        <is>
      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      </is>
      </c>
      <c r="G19" s="62" t="n"/>
      <c r="J19" s="101">
        <f>ROUND(D19*7/8,1)</f>
        <v/>
      </c>
    </row>
    <row r="20" ht="15" customHeight="1" s="96">
      <c r="A20" s="58" t="inlineStr">
        <is>
          <t>이두</t>
        </is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/>
      </c>
      <c r="C20" s="100">
        <f>MROUND(SUMIFS(간접계수맵!$F$7:$F$61,간접계수맵!$C$7:$C$61,$A20),0.5)</f>
        <v/>
      </c>
      <c r="D20" s="101">
        <f>B20+C20</f>
        <v/>
      </c>
      <c r="E20" s="7">
        <f>IF(J20&gt;20,"과다 점검",IF(J20&gt;=10,"충분",IF(J20&gt;=8,"하한",IF(J20&gt;=1,"보완 필요","미배치"))))</f>
        <v/>
      </c>
      <c r="F20" s="58" t="inlineStr">
        <is>
          <t>친업 0.5×4=2 + 랫풀다운 0.5×3=1.5 + 해머 로우 0.5×4=2 + 시티드 케이블 로우 0.5×3=1.5 + 리버스컬 0.33×3=0.99 = 7.99. 직접 9세트 · 사이클당 3회 — 2일차 바벨 컬 3 · 5일차 프리쳐 3 · 8일차 인클라인 3. 컬은 셋 다 당기기 간접이 안 걸린 자리에 둔다 (밀기 날 · 당기기 B는 프리쳐만 · 어깨 날).</t>
        </is>
      </c>
      <c r="G20" s="62" t="n"/>
      <c r="J20" s="101">
        <f>ROUND(D20*7/8,1)</f>
        <v/>
      </c>
    </row>
    <row r="21" ht="15" customHeight="1" s="96">
      <c r="A21" s="58" t="inlineStr">
        <is>
          <t>삼두</t>
        </is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/>
      </c>
      <c r="C21" s="100">
        <f>MROUND(SUMIFS(간접계수맵!$F$7:$F$61,간접계수맵!$C$7:$C$61,$A21),0.5)</f>
        <v/>
      </c>
      <c r="D21" s="101">
        <f>B21+C21</f>
        <v/>
      </c>
      <c r="E21" s="7">
        <f>IF(J21&gt;20,"과다 점검",IF(J21&gt;=10,"충분",IF(J21&gt;=8,"하한",IF(J21&gt;=1,"보완 필요","미배치"))))</f>
        <v/>
      </c>
      <c r="F21" s="58" t="inlineStr">
        <is>
          <t>프레스 전 종목 0.5 — 벤치 2.5 · 딥스 2 · 밀리터리 1.5 · 머신 숄더 1.5 · 인클라인 머신 2 · 헤머 체스트 1.5 = 11. 직접 7세트: 1일차 케이블 푸쉬다운 3(짧아진 구간 · 신선한 상태) · 6일차 라잉 익스텐션 4(늘어난 구간). 2026-08-28 이전에는 직접 4 · 사이클당 1회로 MEV(6) 미달이었다.</t>
        </is>
      </c>
      <c r="G21" s="62" t="n"/>
      <c r="J21" s="101">
        <f>ROUND(D21*7/8,1)</f>
        <v/>
      </c>
    </row>
    <row r="22" ht="16.5" customHeight="1" s="96">
      <c r="A22" s="58" t="inlineStr">
        <is>
          <t>전완</t>
        </is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/>
      </c>
      <c r="C22" s="100">
        <f>MROUND(SUMIFS(간접계수맵!$F$7:$F$61,간접계수맵!$C$7:$C$61,$A22),0.5)</f>
        <v/>
      </c>
      <c r="D22" s="101">
        <f>B22+C22</f>
        <v/>
      </c>
      <c r="E22" s="7">
        <f>IF(J22&gt;20,"과다 점검",IF(J22&gt;=10,"충분",IF(J22&gt;=8,"하한",IF(J22&gt;=1,"보완 필요","미배치"))))</f>
        <v/>
      </c>
      <c r="F22" s="58" t="inlineStr">
        <is>
      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      </is>
      </c>
      <c r="G22" s="62" t="n"/>
      <c r="J22" s="101">
        <f>ROUND(D22*7/8,1)</f>
        <v/>
      </c>
    </row>
    <row r="23" ht="24" customHeight="1" s="96">
      <c r="A23" s="58" t="inlineStr">
        <is>
          <t>복부</t>
        </is>
      </c>
      <c r="B23" s="64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/>
      </c>
      <c r="C23" s="100">
        <f>MROUND(SUMIFS(간접계수맵!$F$7:$F$61,간접계수맵!$C$7:$C$61,$A23),0.5)</f>
        <v/>
      </c>
      <c r="D23" s="101">
        <f>B23+C23</f>
        <v/>
      </c>
      <c r="E23" s="7">
        <f>IF(J23&gt;20,"과다 점검",IF(J23&gt;=10,"충분",IF(J23&gt;=8,"하한",IF(J23&gt;=1,"보완 필요","미배치"))))</f>
        <v/>
      </c>
      <c r="F23" s="58" t="inlineStr">
        <is>
          <t>스쿼트 · 데드의 코어 브레이싱은 등척성 안정화이며 실패지점 근처까지 가지 않아 0으로 하향. 직접 11세트로 충족.</t>
        </is>
      </c>
      <c r="G23" s="62" t="n"/>
      <c r="J23" s="101">
        <f>ROUND(D23*7/8,1)</f>
        <v/>
      </c>
    </row>
    <row r="24" ht="15" customHeight="1" s="96">
      <c r="A24" s="58" t="inlineStr">
        <is>
          <t>내전근</t>
        </is>
      </c>
      <c r="B24" s="64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/>
      </c>
      <c r="C24" s="100">
        <f>MROUND(SUMIFS(간접계수맵!$F$7:$F$61,간접계수맵!$C$7:$C$61,$A24),0.5)</f>
        <v/>
      </c>
      <c r="D24" s="101">
        <f>B24+C24</f>
        <v/>
      </c>
      <c r="E24" s="7">
        <f>IF(J24&gt;20,"과다 점검",IF(J24&gt;=10,"충분",IF(J24&gt;=8,"하한",IF(J24&gt;=1,"보완 필요","미배치"))))</f>
        <v/>
      </c>
      <c r="F24" s="58" t="inlineStr">
        <is>
          <t>스쿼트 · 레그 프레스 · 불가리안의 벌어진 스탠스 구간</t>
        </is>
      </c>
      <c r="G24" s="62" t="n"/>
      <c r="J24" s="101">
        <f>ROUND(D24*7/8,1)</f>
        <v/>
      </c>
    </row>
    <row r="25" ht="36" customHeight="1" s="96">
      <c r="A25" s="65" t="inlineStr">
        <is>
          <t>직접 세트 총계</t>
        </is>
      </c>
      <c r="B25" s="15">
        <f>SUM(B5:B24)</f>
        <v/>
      </c>
      <c r="C25" s="66" t="n"/>
      <c r="D25" s="103">
        <f>SUM(D5:D24)</f>
        <v/>
      </c>
      <c r="E25" s="66" t="n"/>
      <c r="F25" s="66" t="n"/>
      <c r="J25" s="103">
        <f>ROUND(D25*7/8,1)</f>
        <v/>
      </c>
    </row>
    <row r="26" ht="15" customHeight="1" s="96">
      <c r="A26" s="13" t="inlineStr">
        <is>
          <t>기준선</t>
        </is>
      </c>
    </row>
    <row r="27" ht="16.5" customHeight="1" s="96">
      <c r="A27" s="11" t="inlineStr">
        <is>
          <t>· 주 10~20세트 = 성장 구간. 8일 주기라 사이클당 세트를 그대로 쓰면 안 되고, J열의 주당 환산(×7/8)으로 판정한다.</t>
        </is>
      </c>
    </row>
    <row r="28" ht="36" customHeight="1" s="96">
      <c r="A28" s="11" t="inlineStr">
        <is>
          <t>· 주 8세트 = 유지 하한 (역시 주당 환산 기준).</t>
        </is>
      </c>
    </row>
    <row r="29" ht="48" customHeight="1" s="96">
      <c r="A29" s="11" t="inlineStr">
        <is>
          <t>· 실패지점 2~3회 이내 세트만 카운트 (웜업 · 여유 세트 제외)</t>
        </is>
      </c>
    </row>
    <row r="30" ht="48" customHeight="1" s="96">
      <c r="A30" s="68" t="n"/>
    </row>
    <row r="31" ht="15" customHeight="1" s="96">
      <c r="A31" s="13" t="inlineStr">
        <is>
          <t>따로 세야 하는 경우</t>
        </is>
      </c>
    </row>
    <row r="32" ht="16.5" customHeight="1" s="96">
      <c r="A32" s="11" t="inlineStr">
        <is>
          <t>· 판단 기준은 하나 — 다른 종목이 그 부위를 대신 키워주는가.</t>
        </is>
      </c>
    </row>
    <row r="33" ht="48" customHeight="1" s="96">
      <c r="A33" s="11" t="inlineStr">
        <is>
          <t>· 안 키워주면 따로 센다: 햄스트링(스쿼트로 안 자람), 후면 삼각근(프레스로 안 자람), 종아리</t>
        </is>
      </c>
    </row>
    <row r="34" ht="48" customHeight="1" s="96">
      <c r="A34" s="11" t="inlineStr">
        <is>
      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      </is>
      </c>
    </row>
    <row r="35" ht="15" customHeight="1" s="96">
      <c r="A35" s="68" t="n"/>
    </row>
    <row r="36" ht="48" customHeight="1" s="96">
      <c r="A36" s="13" t="inlineStr">
        <is>
          <t>현재 보완 필요 항목</t>
        </is>
      </c>
    </row>
    <row r="37" ht="77.25" customHeight="1" s="96">
      <c r="A37" s="11" t="inlineStr">
        <is>
      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      </is>
      </c>
    </row>
    <row r="38" ht="48" customHeight="1" s="96">
      <c r="A38" s="11" t="inlineStr">
        <is>
          <t>· 8일 주기 (A블록 3일 · 휴식 · B블록 3일 · 어깨). 서술상 계보: 5일 147 → 재편 159 → v17 143 → v18 140 → 5일차 리버스컬 3 → 8일차 어깨 7. 다만 E열 실측은 162다 (2026-08-28 확인).</t>
        </is>
      </c>
    </row>
    <row r="39" ht="39" customHeight="1" s="96">
      <c r="A39" s="68" t="inlineStr">
        <is>
          <t>· 하부 승모: 프론 Y(하강+후인) 2 + 오버헤드 슈러그(상방회전) 3 = 직접 5. 스캡 풀업(하강)은 v18에서 1일차 웜업으로 전환 — 패턴은 매주 유지되나 카운트 제외.</t>
        </is>
      </c>
    </row>
    <row r="40" ht="45" customHeight="1" s="96">
      <c r="A40" s="11" t="inlineStr">
        <is>
          <t>· 중둔근·종아리는 하한(8) 미달이지만 성장이 아닌 유지 목적 — 계수 0으로 둔 양측 지지 안정화 자극(스쿼트·레그프레스)까지 감안한 판단이다. 내전근은 실질 10으로 충분에 진입 (v14).</t>
        </is>
      </c>
    </row>
    <row r="41" ht="48" customHeight="1" s="96">
      <c r="A41" s="11" t="inlineStr">
        <is>
      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      </is>
      </c>
    </row>
    <row r="42" ht="48" customHeight="1" s="96">
      <c r="A42" s="11" t="inlineStr">
        <is>
      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      </is>
      </c>
    </row>
    <row r="43" ht="48" customHeight="1" s="96">
      <c r="A43" s="11" t="inlineStr">
        <is>
      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      </is>
      </c>
    </row>
    <row r="44" ht="48" customHeight="1" s="96">
      <c r="A44" s="11" t="inlineStr">
        <is>
          <t>웜업 · 관절 준비 항목 (세트 카운트 제외)</t>
        </is>
      </c>
    </row>
    <row r="45" ht="51.75" customHeight="1" s="96">
      <c r="A45" s="11" t="inlineStr">
        <is>
      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      </is>
      </c>
    </row>
    <row r="46" ht="90" customHeight="1" s="96">
      <c r="A46" s="11" t="inlineStr">
        <is>
          <t>· 근육군 표에 넣지 않는 이유: 실패지점 근처까지 가지 않는 웜업 세트는 카운트 대상이 아니다.</t>
        </is>
      </c>
    </row>
    <row r="47" ht="51.75" customHeight="1" s="96">
      <c r="A47" s="11" t="inlineStr">
        <is>
          <t>· 벤트오버 레터럴 4세트와 리버스 펙덱은 수평 외전이라 외회전을 대신하지 못한다 — 부하가 걸린 외회전 종목은 1일차 페이스풀 3세트가 유일 (이전에는 직접 0세트).</t>
        </is>
      </c>
    </row>
    <row r="48" ht="48" customHeight="1" s="96">
      <c r="A48" s="11" t="inlineStr">
        <is>
          <t>· 벤치 5×5가 최우선 종목이고 12주간 계속 오른다. 근비대가 아니라 어깨 관절 유지 목적.</t>
        </is>
      </c>
    </row>
  </sheetData>
  <mergeCells count="3">
    <mergeCell ref="G5:G6"/>
    <mergeCell ref="G17:G18"/>
    <mergeCell ref="G7:G10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1"/>
  <sheetViews>
    <sheetView zoomScaleNormal="100" workbookViewId="0">
      <selection activeCell="F28" sqref="F28"/>
    </sheetView>
  </sheetViews>
  <sheetFormatPr baseColWidth="8" defaultColWidth="8.7109375" defaultRowHeight="15"/>
  <cols>
    <col width="9" customWidth="1" style="96" min="1" max="1"/>
    <col width="12" customWidth="1" style="96" min="2" max="2"/>
    <col width="13" customWidth="1" style="96" min="3" max="3"/>
    <col width="8" customWidth="1" style="96" min="4" max="4"/>
    <col width="13" customWidth="1" style="96" min="5" max="5"/>
    <col width="8" customWidth="1" style="96" min="6" max="6"/>
    <col width="13" customWidth="1" style="96" min="7" max="7"/>
    <col width="8" customWidth="1" style="96" min="8" max="8"/>
    <col width="13" customWidth="1" style="96" min="9" max="9"/>
    <col width="8" customWidth="1" style="96" min="10" max="10"/>
    <col width="34" customWidth="1" style="96" min="11" max="11"/>
  </cols>
  <sheetData>
    <row r="1" ht="18" customHeight="1" s="96">
      <c r="A1" s="1" t="inlineStr">
        <is>
          <t>메인 리프트 증량 기록</t>
        </is>
      </c>
    </row>
    <row r="2" ht="15" customHeight="1" s="96">
      <c r="A2" s="2" t="inlineStr">
        <is>
          <t>기본은 계획대로 증량. 목표 반복을 못 채운 사이클에만 해당 칸에 X를 입력하면 그 중량이 유지됩니다.</t>
        </is>
      </c>
    </row>
    <row r="4" ht="15" customHeight="1" s="96">
      <c r="A4" s="3" t="inlineStr">
        <is>
          <t>증량 설정 — 종목별</t>
        </is>
      </c>
    </row>
    <row r="5" ht="15" customHeight="1" s="96">
      <c r="A5" s="69" t="inlineStr">
        <is>
          <t>데드리프트 사이클당 증량 (kg)</t>
        </is>
      </c>
      <c r="C5" s="4" t="n">
        <v>5</v>
      </c>
      <c r="D5" s="68" t="inlineStr">
        <is>
          <t>가장 큰 근육군 · 회복 여력 최대</t>
        </is>
      </c>
    </row>
    <row r="6" ht="15" customHeight="1" s="96">
      <c r="A6" s="69" t="inlineStr">
        <is>
          <t>스쿼트 사이클당 증량 (kg)</t>
        </is>
      </c>
      <c r="C6" s="4" t="n">
        <v>5</v>
      </c>
      <c r="D6" s="68" t="inlineStr">
        <is>
          <t>하체 — 복귀 구간에서는 빠르게 오른다</t>
        </is>
      </c>
    </row>
    <row r="7" ht="15" customHeight="1" s="96">
      <c r="A7" s="69" t="inlineStr">
        <is>
          <t>벤치프레스 사이클당 증량 (kg)</t>
        </is>
      </c>
      <c r="C7" s="4" t="n">
        <v>2.25</v>
      </c>
      <c r="D7" s="68" t="inlineStr">
        <is>
          <t>마이크로플레이트 1.125kg × 2</t>
        </is>
      </c>
      <c r="H7">
        <f>SUM(D7:D10)</f>
        <v/>
      </c>
    </row>
    <row r="8" ht="84" customHeight="1" s="96">
      <c r="A8" s="69" t="inlineStr">
        <is>
          <t>밀리터리 프레스 사이클당 증량 (kg)</t>
        </is>
      </c>
      <c r="C8" s="4" t="n">
        <v>1.25</v>
      </c>
      <c r="D8" s="68" t="inlineStr">
        <is>
          <t>가장 작은 근육군 — 절대값이 작아 2.25kg은 과함</t>
        </is>
      </c>
    </row>
    <row r="9" ht="15" customHeight="1" s="96">
      <c r="A9" s="5" t="inlineStr">
        <is>
          <t>사이클</t>
        </is>
      </c>
      <c r="B9" s="5" t="inlineStr">
        <is>
          <t>날짜 (1일차)</t>
        </is>
      </c>
      <c r="C9" s="5" t="inlineStr">
        <is>
          <t>스쿼트 목표</t>
        </is>
      </c>
      <c r="D9" s="5" t="inlineStr">
        <is>
          <t>미달 시 X</t>
        </is>
      </c>
      <c r="E9" s="5" t="inlineStr">
        <is>
          <t>데드 목표</t>
        </is>
      </c>
      <c r="F9" s="5" t="inlineStr">
        <is>
          <t>미달 시 X</t>
        </is>
      </c>
      <c r="G9" s="5" t="inlineStr">
        <is>
          <t>벤치 목표</t>
        </is>
      </c>
      <c r="H9" s="5" t="inlineStr">
        <is>
          <t>미달 시 X</t>
        </is>
      </c>
      <c r="I9" s="5" t="inlineStr">
        <is>
          <t>프레스 목표</t>
        </is>
      </c>
      <c r="J9" s="5" t="inlineStr">
        <is>
          <t>미달 시 X</t>
        </is>
      </c>
      <c r="K9" s="5" t="inlineStr">
        <is>
          <t>메모</t>
        </is>
      </c>
    </row>
    <row r="10" ht="15" customHeight="1" s="96">
      <c r="A10" s="8" t="inlineStr">
        <is>
          <t>1사이클</t>
        </is>
      </c>
      <c r="B10" s="4" t="n"/>
      <c r="C10" s="16">
        <f>시작중량_설정!$D$7</f>
        <v/>
      </c>
      <c r="D10" s="4" t="n"/>
      <c r="E10" s="16">
        <f>시작중량_설정!$D$8</f>
        <v/>
      </c>
      <c r="F10" s="4" t="n"/>
      <c r="G10" s="16">
        <f>시작중량_설정!$D$9</f>
        <v/>
      </c>
      <c r="H10" s="4" t="n"/>
      <c r="I10" s="16">
        <f>시작중량_설정!$D$10</f>
        <v/>
      </c>
      <c r="J10" s="4" t="n"/>
      <c r="K10" s="70" t="n"/>
    </row>
    <row r="11" ht="15" customHeight="1" s="96">
      <c r="A11" s="8" t="inlineStr">
        <is>
          <t>2사이클</t>
        </is>
      </c>
      <c r="B11" s="4" t="n"/>
      <c r="C11" s="16">
        <f>IF(D10="X",C10,C10+$C$6)</f>
        <v/>
      </c>
      <c r="D11" s="4" t="n"/>
      <c r="E11" s="16">
        <f>IF(F10="X",E10,E10+$C$5)</f>
        <v/>
      </c>
      <c r="F11" s="4" t="n"/>
      <c r="G11" s="16">
        <f>IF(H10="X",G10,G10+$C$7)</f>
        <v/>
      </c>
      <c r="H11" s="4" t="n"/>
      <c r="I11" s="16">
        <f>IF(J10="X",I10,I10+$C$8)</f>
        <v/>
      </c>
      <c r="J11" s="4" t="n"/>
      <c r="K11" s="70" t="n"/>
    </row>
    <row r="12" ht="15" customHeight="1" s="96">
      <c r="A12" s="8" t="inlineStr">
        <is>
          <t>3사이클</t>
        </is>
      </c>
      <c r="B12" s="4" t="n"/>
      <c r="C12" s="16">
        <f>IF(D11="X",C11,C11+$C$6)</f>
        <v/>
      </c>
      <c r="D12" s="4" t="n"/>
      <c r="E12" s="16">
        <f>IF(F11="X",E11,E11+$C$5)</f>
        <v/>
      </c>
      <c r="F12" s="4" t="n"/>
      <c r="G12" s="16">
        <f>IF(H11="X",G11,G11+$C$7)</f>
        <v/>
      </c>
      <c r="H12" s="4" t="n"/>
      <c r="I12" s="16">
        <f>IF(J11="X",I11,I11+$C$8)</f>
        <v/>
      </c>
      <c r="J12" s="4" t="n"/>
      <c r="K12" s="70" t="n"/>
    </row>
    <row r="13" ht="15" customHeight="1" s="96">
      <c r="A13" s="8" t="inlineStr">
        <is>
          <t>4사이클</t>
        </is>
      </c>
      <c r="B13" s="89" t="n">
        <v>46258</v>
      </c>
      <c r="C13" s="16">
        <f>IF(D12="X",C12,C12+$C$6)</f>
        <v/>
      </c>
      <c r="D13" s="4" t="n"/>
      <c r="E13" s="16">
        <f>IF(F12="X",E12,E12+$C$5)</f>
        <v/>
      </c>
      <c r="F13" s="4" t="n"/>
      <c r="G13" s="16">
        <f>IF(H12="X",G12,G12+$C$7)</f>
        <v/>
      </c>
      <c r="H13" s="4" t="n"/>
      <c r="I13" s="16">
        <f>IF(J12="X",I12,I12+$C$8)</f>
        <v/>
      </c>
      <c r="J13" s="4" t="n"/>
      <c r="K13" s="70" t="n"/>
    </row>
    <row r="14" ht="15" customHeight="1" s="96">
      <c r="A14" s="8" t="inlineStr">
        <is>
          <t>5사이클</t>
        </is>
      </c>
      <c r="B14" s="4" t="n"/>
      <c r="C14" s="16">
        <f>IF(D13="X",C13,C13+$C$6)</f>
        <v/>
      </c>
      <c r="D14" s="4" t="n"/>
      <c r="E14" s="16">
        <f>IF(F13="X",E13,E13+$C$5)</f>
        <v/>
      </c>
      <c r="F14" s="4" t="n"/>
      <c r="G14" s="16">
        <f>IF(H13="X",G13,G13+$C$7)</f>
        <v/>
      </c>
      <c r="H14" s="4" t="n"/>
      <c r="I14" s="16">
        <f>IF(J13="X",I13,I13+$C$8)</f>
        <v/>
      </c>
      <c r="J14" s="4" t="n"/>
      <c r="K14" s="70" t="n"/>
    </row>
    <row r="15" ht="15" customHeight="1" s="96">
      <c r="A15" s="8" t="inlineStr">
        <is>
          <t>6사이클</t>
        </is>
      </c>
      <c r="B15" s="4" t="n"/>
      <c r="C15" s="16">
        <f>IF(D14="X",C14,C14+$C$6)</f>
        <v/>
      </c>
      <c r="D15" s="4" t="n"/>
      <c r="E15" s="16">
        <f>IF(F14="X",E14,E14+$C$5)</f>
        <v/>
      </c>
      <c r="F15" s="4" t="n"/>
      <c r="G15" s="16">
        <f>IF(H14="X",G14,G14+$C$7)</f>
        <v/>
      </c>
      <c r="H15" s="4" t="n"/>
      <c r="I15" s="16">
        <f>IF(J14="X",I14,I14+$C$8)</f>
        <v/>
      </c>
      <c r="J15" s="4" t="n"/>
      <c r="K15" s="70" t="n"/>
    </row>
    <row r="16" ht="15" customHeight="1" s="96">
      <c r="A16" s="8" t="inlineStr">
        <is>
          <t>7사이클</t>
        </is>
      </c>
      <c r="B16" s="4" t="n"/>
      <c r="C16" s="16">
        <f>IF(D15="X",C15,C15+$C$6)</f>
        <v/>
      </c>
      <c r="D16" s="4" t="n"/>
      <c r="E16" s="16">
        <f>IF(F15="X",E15,E15+$C$5)</f>
        <v/>
      </c>
      <c r="F16" s="4" t="n"/>
      <c r="G16" s="16">
        <f>IF(H15="X",G15,G15+$C$7)</f>
        <v/>
      </c>
      <c r="H16" s="4" t="n"/>
      <c r="I16" s="16">
        <f>IF(J15="X",I15,I15+$C$8)</f>
        <v/>
      </c>
      <c r="J16" s="4" t="n"/>
      <c r="K16" s="70" t="n"/>
    </row>
    <row r="17" ht="15" customHeight="1" s="96">
      <c r="A17" s="8" t="inlineStr">
        <is>
          <t>8사이클</t>
        </is>
      </c>
      <c r="B17" s="4" t="n"/>
      <c r="C17" s="16">
        <f>IF(D16="X",C16,C16+$C$6)</f>
        <v/>
      </c>
      <c r="D17" s="4" t="n"/>
      <c r="E17" s="16">
        <f>IF(F16="X",E16,E16+$C$5)</f>
        <v/>
      </c>
      <c r="F17" s="4" t="n"/>
      <c r="G17" s="16">
        <f>IF(H16="X",G16,G16+$C$7)</f>
        <v/>
      </c>
      <c r="H17" s="4" t="n"/>
      <c r="I17" s="16">
        <f>IF(J16="X",I16,I16+$C$8)</f>
        <v/>
      </c>
      <c r="J17" s="4" t="n"/>
      <c r="K17" s="70" t="n"/>
    </row>
    <row r="18" ht="15" customHeight="1" s="96">
      <c r="A18" s="8" t="inlineStr">
        <is>
          <t>9사이클</t>
        </is>
      </c>
      <c r="B18" s="4" t="n"/>
      <c r="C18" s="16">
        <f>IF(D17="X",C17,C17+$C$6)</f>
        <v/>
      </c>
      <c r="D18" s="4" t="n"/>
      <c r="E18" s="16">
        <f>IF(F17="X",E17,E17+$C$5)</f>
        <v/>
      </c>
      <c r="F18" s="4" t="n"/>
      <c r="G18" s="16">
        <f>IF(H17="X",G17,G17+$C$7)</f>
        <v/>
      </c>
      <c r="H18" s="4" t="n"/>
      <c r="I18" s="16">
        <f>IF(J17="X",I17,I17+$C$8)</f>
        <v/>
      </c>
      <c r="J18" s="4" t="n"/>
      <c r="K18" s="70" t="n"/>
    </row>
    <row r="19" ht="15" customHeight="1" s="96">
      <c r="A19" s="8" t="inlineStr">
        <is>
          <t>10사이클</t>
        </is>
      </c>
      <c r="B19" s="4" t="n"/>
      <c r="C19" s="16">
        <f>IF(D18="X",C18,C18+$C$6)</f>
        <v/>
      </c>
      <c r="D19" s="4" t="n"/>
      <c r="E19" s="16">
        <f>IF(F18="X",E18,E18+$C$5)</f>
        <v/>
      </c>
      <c r="F19" s="4" t="n"/>
      <c r="G19" s="16">
        <f>IF(H18="X",G18,G18+$C$7)</f>
        <v/>
      </c>
      <c r="H19" s="4" t="n"/>
      <c r="I19" s="16">
        <f>IF(J18="X",I18,I18+$C$8)</f>
        <v/>
      </c>
      <c r="J19" s="4" t="n"/>
      <c r="K19" s="70" t="n"/>
    </row>
    <row r="20" ht="15" customHeight="1" s="96">
      <c r="A20" s="8" t="inlineStr">
        <is>
          <t>11사이클</t>
        </is>
      </c>
      <c r="B20" s="4" t="n"/>
      <c r="C20" s="16">
        <f>IF(D19="X",C19,C19+$C$6)</f>
        <v/>
      </c>
      <c r="D20" s="4" t="n"/>
      <c r="E20" s="16">
        <f>IF(F19="X",E19,E19+$C$5)</f>
        <v/>
      </c>
      <c r="F20" s="4" t="n"/>
      <c r="G20" s="16">
        <f>IF(H19="X",G19,G19+$C$7)</f>
        <v/>
      </c>
      <c r="H20" s="4" t="n"/>
      <c r="I20" s="16">
        <f>IF(J19="X",I19,I19+$C$8)</f>
        <v/>
      </c>
      <c r="J20" s="4" t="n"/>
      <c r="K20" s="70" t="n"/>
    </row>
    <row r="21" ht="15" customHeight="1" s="96">
      <c r="A21" s="8" t="inlineStr">
        <is>
          <t>12사이클</t>
        </is>
      </c>
      <c r="B21" s="4" t="n"/>
      <c r="C21" s="16">
        <f>IF(D20="X",C20,C20+$C$6)</f>
        <v/>
      </c>
      <c r="D21" s="4" t="n"/>
      <c r="E21" s="16">
        <f>IF(F20="X",E20,E20+$C$5)</f>
        <v/>
      </c>
      <c r="F21" s="4" t="n"/>
      <c r="G21" s="16">
        <f>IF(H20="X",G20,G20+$C$7)</f>
        <v/>
      </c>
      <c r="H21" s="4" t="n"/>
      <c r="I21" s="16">
        <f>IF(J20="X",I20,I20+$C$8)</f>
        <v/>
      </c>
      <c r="J21" s="4" t="n"/>
      <c r="K21" s="70" t="n"/>
    </row>
    <row r="23" ht="108" customHeight="1" s="96">
      <c r="A23" s="11" t="inlineStr">
        <is>
          <t>· 공란 또는 O = 계획대로 증량. X = 그 중량을 다음 주에도 유지.</t>
        </is>
      </c>
    </row>
    <row r="24" ht="84" customHeight="1" s="96">
      <c r="A24" s="11" t="inlineStr">
        <is>
          <t>· 1사이클 중량은 '시작중량_설정' 시트 D열과 연동됨. 여기서 직접 수정하지 말 것.</t>
        </is>
      </c>
    </row>
    <row r="25" ht="84" customHeight="1" s="96">
      <c r="A25" s="11" t="inlineStr">
        <is>
          <t>· 같은 종목에 X가 3주 연속이면 그 종목만 10% 디로드 후 재상승.</t>
        </is>
      </c>
    </row>
    <row r="26" ht="120" customHeight="1" s="96">
      <c r="A26" s="11" t="n"/>
    </row>
    <row r="27" ht="96" customHeight="1" s="96">
      <c r="A27" s="11" t="inlineStr">
        <is>
          <t>· 증량폭을 종목별로 나눈 이유: 절대값이 같아도 부담이 전혀 다르다.</t>
        </is>
      </c>
    </row>
    <row r="28" ht="108" customHeight="1" s="96">
      <c r="A28" s="11" t="inlineStr">
        <is>
          <t>· 20kg 프레스에 2.25kg은 11% 증가지만, 105kg 데드에 2.5kg은 2.4%다.</t>
        </is>
      </c>
    </row>
    <row r="29" ht="108" customHeight="1" s="96">
      <c r="A29" s="11" t="inlineStr">
        <is>
          <t>· 균일 증량을 쓰면 작은 종목만 비현실적으로 빨리 오르고 큰 종목은 제자리에 머문다.</t>
        </is>
      </c>
    </row>
    <row r="30" ht="156" customHeight="1" s="96">
      <c r="A30" s="11" t="inlineStr">
        <is>
          <t>· 하체 5kg이 커 보이지만 복귀 구간 첫 두세 달은 정상 범위다. 근력을 새로 만드는 것이 아니라 되찾는 구간이기 때문.</t>
        </is>
      </c>
    </row>
    <row r="31" ht="96" customHeight="1" s="96">
      <c r="A31" s="11" t="inlineStr">
        <is>
          <t>· 이 속도가 버거워지면(X가 반복되면) 해당 칸 숫자를 절반으로 내린다.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zoomScaleNormal="100" workbookViewId="0">
      <selection activeCell="A1" sqref="A1"/>
    </sheetView>
  </sheetViews>
  <sheetFormatPr baseColWidth="8" defaultColWidth="8.7109375" defaultRowHeight="15"/>
  <cols>
    <col width="26" customWidth="1" style="96" min="1" max="2"/>
    <col width="60" customWidth="1" style="96" min="3" max="3"/>
  </cols>
  <sheetData>
    <row r="1" ht="18" customHeight="1" s="96">
      <c r="A1" s="71" t="inlineStr">
        <is>
          <t>9월 이후 — 현장 복귀 시 조정</t>
        </is>
      </c>
    </row>
    <row r="2" ht="15" customHeight="1" s="96">
      <c r="A2" s="2" t="inlineStr">
        <is>
          <t>이 프로그램은 재택 = 생활 부하 0 전제. 현장 복귀 시 그대로 쓰면 과부하 — 다만 목표는 유지가 아니라 완만한 성장이다.</t>
        </is>
      </c>
    </row>
    <row r="4" ht="15" customHeight="1" s="96">
      <c r="A4" s="5" t="inlineStr">
        <is>
          <t>부위 / 항목</t>
        </is>
      </c>
      <c r="B4" s="5" t="inlineStr">
        <is>
          <t>조정</t>
        </is>
      </c>
      <c r="C4" s="5" t="inlineStr">
        <is>
          <t>이유</t>
        </is>
      </c>
    </row>
    <row r="5" ht="15" customHeight="1" s="96">
      <c r="A5" s="7" t="inlineStr">
        <is>
          <t>등</t>
        </is>
      </c>
      <c r="B5" s="7" t="inlineStr">
        <is>
          <t>감축</t>
        </is>
      </c>
      <c r="C5" s="58" t="inlineStr">
        <is>
          <t>일이 하루 종일 채움 — 들고 · 당기고 · 버티는 동작 전부</t>
        </is>
      </c>
    </row>
    <row r="6" ht="15" customHeight="1" s="96">
      <c r="A6" s="7" t="inlineStr">
        <is>
          <t>하체</t>
        </is>
      </c>
      <c r="B6" s="7" t="inlineStr">
        <is>
          <t>감축</t>
        </is>
      </c>
      <c r="C6" s="58" t="inlineStr">
        <is>
          <t>서 있기 · 걷기로 이미 볼륨 누적</t>
        </is>
      </c>
    </row>
    <row r="7" ht="15" customHeight="1" s="96">
      <c r="A7" s="7" t="inlineStr">
        <is>
          <t>기립근</t>
        </is>
      </c>
      <c r="B7" s="7" t="inlineStr">
        <is>
          <t>대폭 감축</t>
        </is>
      </c>
      <c r="C7" s="58" t="inlineStr">
        <is>
          <t>데드 주 1회 유지가 상한. 현장 일이 허리를 이미 소모시킴</t>
        </is>
      </c>
    </row>
    <row r="8" ht="15" customHeight="1" s="96">
      <c r="A8" s="72" t="inlineStr">
        <is>
          <t>프레싱 (벤치 · 프레스)</t>
        </is>
      </c>
      <c r="B8" s="72" t="inlineStr">
        <is>
          <t>유지</t>
        </is>
      </c>
      <c r="C8" s="73" t="inlineStr">
        <is>
          <t>현장 일이 채워주지 않는 유일한 영역</t>
        </is>
      </c>
    </row>
    <row r="9" ht="15" customHeight="1" s="96">
      <c r="A9" s="72" t="inlineStr">
        <is>
          <t>후면 삼각근 · 코어</t>
        </is>
      </c>
      <c r="B9" s="72" t="inlineStr">
        <is>
          <t>유지</t>
        </is>
      </c>
      <c r="C9" s="73" t="inlineStr">
        <is>
          <t>당기고 버티는 동작만으로는 안 채워짐</t>
        </is>
      </c>
    </row>
    <row r="10" ht="15" customHeight="1" s="96">
      <c r="A10" s="7" t="inlineStr">
        <is>
          <t>빈도</t>
        </is>
      </c>
      <c r="B10" s="7" t="inlineStr">
        <is>
          <t>주 6회 → 주 4회</t>
        </is>
      </c>
      <c r="C10" s="74" t="inlineStr">
        <is>
          <t>12시간 근무일과 그 다음날은 회피. 요일이 유동이라 토 · 일만 고정한다</t>
        </is>
      </c>
    </row>
    <row r="11" ht="15" customHeight="1" s="96">
      <c r="A11" s="7" t="inlineStr">
        <is>
          <t>메인 리프트 배치</t>
        </is>
      </c>
      <c r="B11" s="8" t="inlineStr">
        <is>
          <t>12시간 근무일 회피</t>
        </is>
      </c>
      <c r="C11" s="58" t="inlineStr">
        <is>
          <t>허리가 안 돌아온 상태에서 치는 것이 가장 위험</t>
        </is>
      </c>
    </row>
    <row r="12" ht="15" customHeight="1" s="96">
      <c r="A12" s="7" t="inlineStr">
        <is>
          <t>판단 기준</t>
        </is>
      </c>
      <c r="B12" s="7" t="inlineStr">
        <is>
          <t>다음 근무일 아침 허리 상태</t>
        </is>
      </c>
      <c r="C12" s="58" t="inlineStr">
        <is>
          <t>뻐근하면 그 주 무게가 과했던 것. 어떤 프로그램 표보다 정확</t>
        </is>
      </c>
    </row>
    <row r="15" ht="24" customHeight="1" s="96">
      <c r="A15" s="11" t="inlineStr">
        <is>
          <t>· 같은 프로그램이라도 생활 부하에 따라 적정선이 움직인다.</t>
        </is>
      </c>
    </row>
    <row r="16" ht="24" customHeight="1" s="96">
      <c r="A16" s="11" t="inlineStr">
        <is>
          <t>· 지금은 빠르게 쌓는 시기, 복귀 후는 느리게 쌓는 시기다. 멈추는 시기가 아니다.</t>
        </is>
      </c>
    </row>
    <row r="17" ht="36" customHeight="1" s="96">
      <c r="A17" s="11" t="inlineStr">
        <is>
          <t>· 재택 기간에 근력 베이스를 만들어두면 복귀 후에는 좁은 자리(벤치 · 스쿼트)만 밀어도 3대가 올라간다.</t>
        </is>
      </c>
    </row>
    <row r="18" ht="15" customHeight="1" s="96">
      <c r="A18" s="68" t="n"/>
    </row>
    <row r="19" ht="36" customHeight="1" s="96">
      <c r="A19" s="11" t="inlineStr">
        <is>
          <t>· 헬스보다 중요한 것: 일하는 중간의 움직임. 50분 앉으면 5분 일어나기, 하루 30분 걷기.</t>
        </is>
      </c>
    </row>
    <row r="20" ht="36" customHeight="1" s="96">
      <c r="A20" s="11" t="inlineStr">
        <is>
          <t>· 헬스는 하루 1시간이고 앉아 있는 건 8시간 — 총량으로 보면 앉은 시간이 이긴다.</t>
        </is>
      </c>
    </row>
    <row r="22" ht="48" customHeight="1" s="96">
      <c r="A22" s="13" t="inlineStr">
        <is>
          <t>→ 실제 요일 배치와 종목표는 '복귀_주간계획' 이하 4개 탭에 작성됨.</t>
        </is>
      </c>
    </row>
    <row r="24" ht="16.5" customHeight="1" s="96">
      <c r="A24" s="14" t="inlineStr">
        <is>
          <t>9월 전 완충 구간 (v15 추가)</t>
        </is>
      </c>
    </row>
    <row r="25" ht="16.5" customHeight="1" s="96">
      <c r="A25" t="inlineStr">
        <is>
          <t>· 재택 161세트 → 복귀 120세트 (75%). 유지 하한 밴드(54~80) 위에 두어 성장 여지를 남겼다.</t>
        </is>
      </c>
    </row>
    <row r="26" ht="16.5" customHeight="1" s="96">
      <c r="A26" t="inlineStr">
        <is>
          <t>· 복귀 2~3주 전을 완충 구간으로 둘 것 — 주 4회 · 약 130세트로 한 단계 걸치고 내려간다.</t>
        </is>
      </c>
    </row>
    <row r="27" ht="16.5" customHeight="1" s="96">
      <c r="A27" t="inlineStr">
        <is>
          <t>· 감축 순서: 팔 전용 → 전완 → 등 · 하체 보조 종목. 메인 리프트와 프레싱은 마지막까지 유지.</t>
        </is>
      </c>
    </row>
    <row r="28" ht="16.5" customHeight="1" s="96">
      <c r="A28" t="inlineStr">
        <is>
          <t>· 완충 구간에서 중량은 내리지 않는다. 볼륨만 줄이고 강도를 유지해야 근력이 남는다.</t>
        </is>
      </c>
    </row>
    <row r="30" ht="16.5" customHeight="1" s="96">
      <c r="A30" t="inlineStr">
        <is>
          <t>· 복귀_주간계획의 현재 수치: 161 → 120세트 · 주 296분. 주 4회 2분할 · 성장선 · 6~8주마다 디로드.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0"/>
  <sheetViews>
    <sheetView zoomScaleNormal="100" workbookViewId="0">
      <selection activeCell="A1" sqref="A1"/>
    </sheetView>
  </sheetViews>
  <sheetFormatPr baseColWidth="8" defaultColWidth="8.7109375" defaultRowHeight="15"/>
  <cols>
    <col width="14" customWidth="1" style="96" min="1" max="1"/>
    <col width="16" customWidth="1" style="96" min="2" max="2"/>
    <col width="8" customWidth="1" style="96" min="3" max="3"/>
    <col width="24" customWidth="1" style="96" min="4" max="4"/>
    <col width="8" customWidth="1" style="96" min="5" max="5"/>
    <col width="22" customWidth="1" style="96" min="6" max="6"/>
    <col width="60" customWidth="1" style="96" min="7" max="7"/>
  </cols>
  <sheetData>
    <row r="1" ht="17.25" customHeight="1" s="96">
      <c r="A1" s="1" t="inlineStr">
        <is>
          <t>현장 복귀 버전 — 주간 계획 (주 4회 · 2분할 · 성장선)</t>
        </is>
      </c>
    </row>
    <row r="2" ht="15" customHeight="1" s="96">
      <c r="A2" s="75" t="inlineStr">
        <is>
          <t>12시간 근무 주 2일 · 요일 유동 · 토 · 일은 시간 확보</t>
        </is>
      </c>
    </row>
    <row r="3" ht="16.5" customHeight="1" s="96">
      <c r="A3" s="3" t="inlineStr">
        <is>
          <t>훈련 주 4회 — 토 · 일 고정 + 평일 2회 유동</t>
        </is>
      </c>
    </row>
    <row r="5" ht="15" customHeight="1" s="96">
      <c r="A5" s="5" t="inlineStr">
        <is>
          <t>슬롯</t>
        </is>
      </c>
      <c r="B5" s="5" t="inlineStr">
        <is>
          <t>근무</t>
        </is>
      </c>
      <c r="C5" s="5" t="inlineStr">
        <is>
          <t>고정</t>
        </is>
      </c>
      <c r="D5" s="5" t="inlineStr">
        <is>
          <t>훈련</t>
        </is>
      </c>
      <c r="E5" s="5" t="inlineStr">
        <is>
          <t>세트</t>
        </is>
      </c>
      <c r="F5" s="5" t="inlineStr">
        <is>
          <t>예상 시간</t>
        </is>
      </c>
      <c r="G5" t="inlineStr">
        <is>
          <t>비고</t>
        </is>
      </c>
    </row>
    <row r="6" ht="15" customHeight="1" s="96">
      <c r="A6" s="76" t="inlineStr">
        <is>
          <t>평일 A</t>
        </is>
      </c>
      <c r="B6" s="77" t="inlineStr">
        <is>
          <t>8시간인 날</t>
        </is>
      </c>
      <c r="C6" s="77" t="inlineStr">
        <is>
          <t>유동</t>
        </is>
      </c>
      <c r="D6" s="76" t="inlineStr">
        <is>
          <t>가슴 위주 (상체 A)</t>
        </is>
      </c>
      <c r="E6" s="76">
        <f>복귀_평일A_가슴!$E$12</f>
        <v/>
      </c>
      <c r="F6" s="78" t="inlineStr">
        <is>
          <t>약 72분</t>
        </is>
      </c>
      <c r="G6" t="inlineStr">
        <is>
          <t>미는 날. 벤치를 매주 올린다. 네 세션 중 가장 짧다</t>
        </is>
      </c>
    </row>
    <row r="7" ht="15" customHeight="1" s="96">
      <c r="A7" s="7" t="inlineStr">
        <is>
          <t>평일 B</t>
        </is>
      </c>
      <c r="B7" s="8" t="inlineStr">
        <is>
          <t>8시간인 날</t>
        </is>
      </c>
      <c r="C7" s="8" t="inlineStr">
        <is>
          <t>유동</t>
        </is>
      </c>
      <c r="D7" s="72" t="inlineStr">
        <is>
          <t>어깨 위주 (하체 B)</t>
        </is>
      </c>
      <c r="E7" s="7">
        <f>복귀_평일B_어깨!$E$15</f>
        <v/>
      </c>
      <c r="F7" s="74" t="inlineStr">
        <is>
          <t>약 66분</t>
        </is>
      </c>
      <c r="G7" t="inlineStr">
        <is>
          <t>척추 부하 0. 일요일 다음날에 쓸 수 있는 유일한 세션</t>
        </is>
      </c>
    </row>
    <row r="8" ht="15" customHeight="1" s="96">
      <c r="A8" s="76" t="inlineStr">
        <is>
          <t>토</t>
        </is>
      </c>
      <c r="B8" s="77" t="inlineStr">
        <is>
          <t>시간 확보</t>
        </is>
      </c>
      <c r="C8" s="77" t="inlineStr">
        <is>
          <t>고정</t>
        </is>
      </c>
      <c r="D8" s="76" t="inlineStr">
        <is>
          <t>하체 · 어깨 (하체 A)</t>
        </is>
      </c>
      <c r="E8" s="76">
        <f>복귀_토_하체!$E$14</f>
        <v/>
      </c>
      <c r="F8" s="78" t="inlineStr">
        <is>
          <t>약 84분</t>
        </is>
      </c>
      <c r="G8" t="inlineStr">
        <is>
          <t>스쿼트 5×5와 오버헤드 프레스를 앞쪽에 · 어깨 보조 9세트</t>
        </is>
      </c>
    </row>
    <row r="9" ht="15" customHeight="1" s="96">
      <c r="A9" s="76" t="inlineStr">
        <is>
          <t>일</t>
        </is>
      </c>
      <c r="B9" s="77" t="inlineStr">
        <is>
          <t>휴무</t>
        </is>
      </c>
      <c r="C9" s="77" t="inlineStr">
        <is>
          <t>고정</t>
        </is>
      </c>
      <c r="D9" s="76" t="inlineStr">
        <is>
          <t>등 위주 (상체 B)</t>
        </is>
      </c>
      <c r="E9" s="76">
        <f>복귀_일_등!$E$16</f>
        <v/>
      </c>
      <c r="F9" s="78" t="inlineStr">
        <is>
          <t>약 74분</t>
        </is>
      </c>
      <c r="G9" t="inlineStr">
        <is>
          <t>완전 휴무일 — 척추가 버티는 종목은 전부 여기</t>
        </is>
      </c>
    </row>
    <row r="10" ht="15" customHeight="1" s="96">
      <c r="A10" s="76" t="inlineStr">
        <is>
          <t>나머지 3일</t>
        </is>
      </c>
      <c r="B10" s="77" t="inlineStr">
        <is>
          <t>12시간 2일 포함</t>
        </is>
      </c>
      <c r="C10" s="77" t="inlineStr">
        <is>
          <t>—</t>
        </is>
      </c>
      <c r="D10" s="76" t="inlineStr">
        <is>
          <t>휴식</t>
        </is>
      </c>
      <c r="E10" s="76" t="n">
        <v>0</v>
      </c>
      <c r="F10" s="78" t="inlineStr">
        <is>
          <t>—</t>
        </is>
      </c>
      <c r="G10" t="inlineStr">
        <is>
          <t>12시간 근무일과 그 다음날, 그리고 일요일 다음날은 비운다</t>
        </is>
      </c>
    </row>
    <row r="11" ht="15" customHeight="1" s="96">
      <c r="A11" s="7" t="inlineStr">
        <is>
          <t>합계</t>
        </is>
      </c>
      <c r="B11" s="7" t="n"/>
      <c r="C11" s="7" t="n"/>
      <c r="D11" s="72" t="n"/>
      <c r="E11" s="7">
        <f>SUM(E6:E10)</f>
        <v/>
      </c>
      <c r="F11" s="58" t="inlineStr">
        <is>
          <t>약 296분 (4시간 56분)</t>
        </is>
      </c>
    </row>
    <row r="12" ht="15" customHeight="1" s="96">
      <c r="A12" s="7" t="n"/>
      <c r="B12" s="7" t="n"/>
      <c r="C12" s="7" t="n"/>
      <c r="D12" s="72" t="n"/>
      <c r="E12" s="7" t="n"/>
      <c r="F12" s="58" t="n"/>
    </row>
    <row r="13" ht="15" customHeight="1" s="96">
      <c r="A13" s="28" t="n"/>
      <c r="B13" s="28" t="n"/>
      <c r="C13" s="28" t="n"/>
      <c r="D13" s="28" t="n"/>
      <c r="E13" s="28" t="n"/>
      <c r="F13" s="29" t="n"/>
    </row>
    <row r="15" ht="48" customHeight="1" s="96">
      <c r="A15" s="13" t="inlineStr">
        <is>
          <t>[요일 선정 논리]</t>
        </is>
      </c>
    </row>
    <row r="16" ht="141" customHeight="1" s="96">
      <c r="A16" s="11" t="inlineStr">
        <is>
          <t>· 확실한 것은 두 가지뿐이다 — 12시간 근무가 주 2일이라는 것, 그리고 토 · 일은 시간이 확보된다는 것.</t>
        </is>
      </c>
    </row>
    <row r="17" ht="126" customHeight="1" s="96">
      <c r="A17" s="11" t="inlineStr">
        <is>
          <t>· 어느 요일이 12시간인지 모르므로 평일을 고정 배치할 수 없다. 그래서 무거운 두 리프트를 토 · 일에 고정하고, 평일 2회는 8시간인 날로 그 주에 맞춰 넣는다.</t>
        </is>
      </c>
    </row>
    <row r="18" ht="77.25" customHeight="1" s="96">
      <c r="A18" s="11" t="inlineStr">
        <is>
          <t>· 평일 두 세션은 둘 다 척추 부하가 0이다. 어느 요일에 걸려도 다음날 근무를 망치지 않도록 그렇게 짰다.</t>
        </is>
      </c>
    </row>
    <row r="19" ht="115.5" customHeight="1" s="96">
      <c r="A19" s="11" t="inlineStr">
        <is>
          <t>· 12시간이 월·수 / 월·목 / 화·목으로 걸리는 주에는 다음날 회피까지 감안하면 8시간인 평일이 하루뿐이다. 그 주는 3회로 간다 — 평일 B를 뺀다.</t>
        </is>
      </c>
    </row>
    <row r="20" ht="15" customHeight="1" s="96">
      <c r="A20" s="68" t="inlineStr">
        <is>
          <t>· 평일 두 세션은 붙이지 말고 사이에 하루를 둔다. 볼륨은 시간이 남는 토 · 일로 몰고 평일은 짧게 유지한다 — 근무 뒤에 들어가는 자리이기 때문이다.</t>
        </is>
      </c>
    </row>
    <row r="21" ht="48" customHeight="1" s="96">
      <c r="A21" s="13" t="n"/>
    </row>
    <row r="22" ht="141" customHeight="1" s="96">
      <c r="A22" s="11" t="inlineStr">
        <is>
          <t>[일요일 다음날 규칙]</t>
        </is>
      </c>
    </row>
    <row r="23" ht="77.25" customHeight="1" s="96">
      <c r="A23" s="11" t="inlineStr">
        <is>
          <t>· 일요일 다음날은 비우는 것이 기본이다. 당기기 12세트 + 데드 뒤라 회복이 우선이다.</t>
        </is>
      </c>
    </row>
    <row r="24" ht="90" customHeight="1" s="96">
      <c r="A24" s="11" t="inlineStr">
        <is>
          <t>· 훈련해야 한다면 평일 B다. 어깨 · 하체 고립 · 코어뿐이라 일요일과 겹치는 부위가 하나도 없다.</t>
        </is>
      </c>
    </row>
    <row r="25" ht="128.25" customHeight="1" s="96">
      <c r="A25" s="11" t="inlineStr">
        <is>
          <t>· 평일 A는 등 보조가 6세트라 일요일 바로 다음날에 넣으면 등이 이틀 연속이 된다. 이 자리에는 두지 않는다.</t>
        </is>
      </c>
    </row>
    <row r="26" ht="128.25" customHeight="1" s="96">
      <c r="A26" s="11" t="n"/>
    </row>
    <row r="27" ht="15" customHeight="1" s="96">
      <c r="A27" s="68" t="inlineStr">
        <is>
          <t>[유지가 아니라 성장이 목표다]</t>
        </is>
      </c>
    </row>
    <row r="28" ht="48" customHeight="1" s="96">
      <c r="A28" s="13" t="inlineStr">
        <is>
          <t>· 120세트는 유지선(75)이 아니라 성장선이다. 유지 모드로 두면 현장 일 기간 내내 3대 500이 멈추기 때문에 그렇게 잡지 않았다.</t>
        </is>
      </c>
    </row>
    <row r="29" ht="75" customHeight="1" s="96">
      <c r="A29" s="11" t="inlineStr">
        <is>
          <t>· 재택 주당 환산 161세트의 75%다. 헬스 세트는 그만큼 줄지만 현장 일이 등 · 하체 · 기립근 · 그립에 하루치를 얹으므로 총 부하는 덜 줄어든다.</t>
        </is>
      </c>
    </row>
    <row r="30" ht="102.75" customHeight="1" s="96">
      <c r="A30" s="11" t="inlineStr">
        <is>
          <t>· 유지선에서 되살린 곳 — 둔근 0 → 3 · 중둔근 0 → 3 · 내전근 0 → 3 · 승모 중부 0 → 3 · 전완 0 → 6.</t>
        </is>
      </c>
    </row>
    <row r="31" ht="90" customHeight="1" s="96">
      <c r="A31" s="11" t="inlineStr">
        <is>
          <t>· 성장선으로 올린 곳 — 사두 7 → 12 · 흉근 상부 3 → 9 · 측면삼각 10 · 후면삼각 4 → 10 · 삼두 3 → 6 · 이두 3 → 6 · 광배 15.</t>
        </is>
      </c>
    </row>
    <row r="32" ht="128.25" customHeight="1" s="96">
      <c r="A32" s="11" t="inlineStr">
        <is>
          <t>· 안 올린 곳 — 종아리 3 · 기립근 1 · 복부 3. 현장 일이 하루치를 얹어주거나 직접 경쟁하는 부위다.</t>
        </is>
      </c>
    </row>
    <row r="33" ht="144" customHeight="1" s="96">
      <c r="A33" s="11" t="n"/>
    </row>
    <row r="34" ht="15" customHeight="1" s="96">
      <c r="A34" s="79" t="inlineStr">
        <is>
          <t>[미는 종목과 지키는 종목]</t>
        </is>
      </c>
    </row>
    <row r="35">
      <c r="A35" t="inlineStr">
        <is>
          <t>· 매주 미는 것은 벤치 · 스쿼트 · 오버헤드 프레스 셋이다. 전부 세션 앞쪽에 신선한 상태로 배치했다.</t>
        </is>
      </c>
    </row>
    <row r="36">
      <c r="A36" t="inlineStr">
        <is>
          <t>· 데드는 첫 4주 지키기만 한다. 허리가 현장 일과 직접 경쟁하는 유일한 부위이고, 여기를 밀려다 나머지가 다 무너진다.</t>
        </is>
      </c>
    </row>
    <row r="37">
      <c r="A37" t="inlineStr">
        <is>
          <t>· 나머지 보조 종목은 전부 더블 프로그레션 — 목표 반복 상단을 전 세트에서 채우면 그때 중량을 올린다.</t>
        </is>
      </c>
    </row>
    <row r="39">
      <c r="A39" t="inlineStr">
        <is>
          <t>[세션 크기]</t>
        </is>
      </c>
    </row>
    <row r="40">
      <c r="A40" t="inlineStr">
        <is>
          <t>· 평일 A 72분 26세트 · 평일 B 66분 32세트 · 토 84분 31세트 · 일 74분 31세트. 상한은 26세트이나 고립 소근육은 예외로 본다.</t>
        </is>
      </c>
    </row>
    <row r="41">
      <c r="A41" t="inlineStr">
        <is>
          <t>· 평일 B는 메인 리프트가 없고 거의 전부가 고립이라 상한 규칙의 적용 대상이 아니다. 휴식이 60~75초라 45분이면 끝난다.</t>
        </is>
      </c>
    </row>
    <row r="42">
      <c r="A42" t="inlineStr">
        <is>
          <t>· 평일 A는 고립 10세트를 빼면 실질 16, 토요일은 15세트를 빼면 실질 15, 일요일은 12세트를 빼면 실질 19다.</t>
        </is>
      </c>
    </row>
    <row r="44">
      <c r="A44" t="inlineStr">
        <is>
          <t>[예상 시간 — 산정 기준]</t>
        </is>
      </c>
    </row>
    <row r="45">
      <c r="A45" t="inlineStr">
        <is>
          <t>· 계산식: 종목 시간 = 세트수 × (수행 + 휴식). 마지막 세트의 휴식은 다음 종목으로 넘어가는 전환 시간으로 친다.</t>
        </is>
      </c>
    </row>
    <row r="46">
      <c r="A46" t="inlineStr">
        <is>
          <t>· 휴식 기준: 메인 본세트 3분 · 다관절 보조 2~2분 30초 · 하체 고립 2분 · 흉근 고립 105초 · 종아리 · 등 고립 75초 · 팔 고립 60~75초 · 어깨 고립 · 복부 60초. 재택판과 같은 기준이다.</t>
        </is>
      </c>
    </row>
    <row r="47">
      <c r="A47" t="inlineStr">
        <is>
          <t>· 편측(좌우) 종목은 수행을 60초로 잡는다 — 원 레그 컬 · 케이블 힙 외전 · 원암 케이블 레터럴.</t>
        </is>
      </c>
    </row>
    <row r="48">
      <c r="A48" t="inlineStr">
        <is>
          <t>· 시계보다 반복 수가 우선이다. 직전 세트보다 2회 이상 떨어지면 휴식이 짧은 것 — 특히 스쿼트 · 데드가 그렇다.</t>
        </is>
      </c>
    </row>
    <row r="49">
      <c r="A49" t="inlineStr">
        <is>
          <t>· 평일 두 세션이 가장 짧다. 8시간 근무 뒤에 들어가는 자리이므로 그렇게 짰다.</t>
        </is>
      </c>
    </row>
    <row r="50">
      <c r="A50" t="inlineStr">
        <is>
          <t>· 웜업은 별도다. 메인 리프트가 있는 날은 10~15분을 더 잡는다.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33"/>
  <sheetViews>
    <sheetView zoomScaleNormal="100" workbookViewId="0">
      <selection activeCell="F15" sqref="F15"/>
    </sheetView>
  </sheetViews>
  <sheetFormatPr baseColWidth="8" defaultColWidth="8.7109375" defaultRowHeight="15"/>
  <cols>
    <col width="5" customWidth="1" style="96" min="1" max="1"/>
    <col width="34" customWidth="1" style="96" min="2" max="2"/>
    <col width="20" customWidth="1" style="96" min="3" max="3"/>
    <col width="14" customWidth="1" style="96" min="4" max="4"/>
    <col width="7" customWidth="1" style="96" min="5" max="5"/>
    <col width="12" customWidth="1" style="96" min="6" max="6"/>
    <col width="10" customWidth="1" style="96" min="7" max="8"/>
    <col width="9" customWidth="1" style="96" min="9" max="9"/>
    <col width="70" customWidth="1" style="96" min="10" max="10"/>
    <col width="55" customWidth="1" style="96" min="11" max="11"/>
  </cols>
  <sheetData>
    <row r="1" ht="21" customHeight="1" s="96">
      <c r="A1" s="1" t="inlineStr">
        <is>
          <t>토요일 — 하체 위주 (하체 A)</t>
        </is>
      </c>
    </row>
    <row r="2" ht="15" customHeight="1" s="96">
      <c r="A2" s="2" t="inlineStr">
        <is>
          <t>시간이 널널한 날. 스쿼트만 프리웨이트로 두고 나머지는 전부 머신 — 다음날 데드가 있으므로 힌지를 빼서 기립근 부하를 0에 가깝게 만든다.</t>
        </is>
      </c>
    </row>
    <row r="3"/>
    <row r="4" ht="15" customHeight="1" s="96">
      <c r="A4" s="6" t="inlineStr">
        <is>
          <t>#</t>
        </is>
      </c>
      <c r="B4" s="5" t="inlineStr">
        <is>
          <t>종목</t>
        </is>
      </c>
      <c r="C4" s="5" t="inlineStr">
        <is>
          <t>근육군</t>
        </is>
      </c>
      <c r="D4" s="5" t="inlineStr">
        <is>
          <t>중량(Kg)</t>
        </is>
      </c>
      <c r="E4" s="5" t="inlineStr">
        <is>
          <t>세트</t>
        </is>
      </c>
      <c r="F4" s="5" t="inlineStr">
        <is>
          <t>횟수</t>
        </is>
      </c>
      <c r="G4" s="5" t="inlineStr">
        <is>
          <t>수행(초)</t>
        </is>
      </c>
      <c r="H4" s="5" t="inlineStr">
        <is>
          <t>휴식(초)</t>
        </is>
      </c>
      <c r="I4" t="inlineStr">
        <is>
          <t>종목 분</t>
        </is>
      </c>
      <c r="J4" t="inlineStr">
        <is>
          <t>메모</t>
        </is>
      </c>
      <c r="K4" t="inlineStr">
        <is>
          <t>대체 종목</t>
        </is>
      </c>
    </row>
    <row r="5" ht="29.25" customHeight="1" s="96">
      <c r="A5" s="72" t="n">
        <v>1</v>
      </c>
      <c r="B5" s="73" t="inlineStr">
        <is>
          <t>스쿼트</t>
        </is>
      </c>
      <c r="C5" s="72" t="inlineStr">
        <is>
          <t>대퇴사두</t>
        </is>
      </c>
      <c r="D5" s="80">
        <f>시작중량_설정!$E$7</f>
        <v/>
      </c>
      <c r="E5" s="72" t="n">
        <v>5</v>
      </c>
      <c r="F5" s="64" t="n">
        <v>5</v>
      </c>
      <c r="G5" s="73" t="n">
        <v>30</v>
      </c>
      <c r="H5" s="73" t="n">
        <v>180</v>
      </c>
      <c r="I5">
        <f>IF(E5=0,0,ROUND(E5*(G5+H5)/60,1))</f>
        <v/>
      </c>
      <c r="J5" t="inlineStr">
        <is>
          <t>미는 종목 2순위. 성장 목표로 바꾸면서 3×5 → 5×5로 되돌렸다 (주 +2.5kg)</t>
        </is>
      </c>
      <c r="K5" t="inlineStr">
        <is>
          <t>레그 프레스 (허리 부담 시 1순위) / 스미스 스쿼트 / 핵 스쿼트</t>
        </is>
      </c>
    </row>
    <row r="6" ht="29.25" customHeight="1" s="96">
      <c r="A6" s="72" t="n">
        <v>2</v>
      </c>
      <c r="B6" s="73" t="inlineStr">
        <is>
          <t>스미스 오버헤드 프레스</t>
        </is>
      </c>
      <c r="C6" s="72" t="inlineStr">
        <is>
          <t>삼각근(전면)</t>
        </is>
      </c>
      <c r="D6" s="80">
        <f>시작중량_설정!$E$10</f>
        <v/>
      </c>
      <c r="E6" s="72" t="n">
        <v>3</v>
      </c>
      <c r="F6" s="64" t="n">
        <v>5</v>
      </c>
      <c r="G6" s="73" t="n">
        <v>30</v>
      </c>
      <c r="H6" s="73" t="n">
        <v>180</v>
      </c>
      <c r="I6">
        <f>IF(E6=0,0,ROUND(E6*(G6+H6)/60,1))</f>
        <v/>
      </c>
      <c r="J6" t="inlineStr">
        <is>
          <t>증량을 추적하는 리프트라 하체 볼륨 앞에 둔다. 궤도가 고정돼 스쿼트 뒤에도 안정화 부담이 없다 (주 +1.25kg)</t>
        </is>
      </c>
      <c r="K6" t="inlineStr">
        <is>
          <t>머신 숄더 프레스 (완전 머신을 원할 때 — 단 증량 추적은 끊긴다)</t>
        </is>
      </c>
    </row>
    <row r="7" ht="15" customHeight="1" s="96">
      <c r="A7" s="7" t="n">
        <v>3</v>
      </c>
      <c r="B7" s="58" t="inlineStr">
        <is>
          <t>레그 프레스</t>
        </is>
      </c>
      <c r="C7" s="7" t="inlineStr">
        <is>
          <t>대퇴사두</t>
        </is>
      </c>
      <c r="D7" s="8" t="inlineStr">
        <is>
          <t>—</t>
        </is>
      </c>
      <c r="E7" s="7" t="n">
        <v>4</v>
      </c>
      <c r="F7" s="8" t="inlineStr">
        <is>
          <t>8~12</t>
        </is>
      </c>
      <c r="G7" s="58" t="n">
        <v>45</v>
      </c>
      <c r="H7" s="58" t="n">
        <v>150</v>
      </c>
      <c r="I7">
        <f>IF(E7=0,0,ROUND(E7*(G7+H7)/60,1))</f>
        <v/>
      </c>
      <c r="J7" t="inlineStr">
        <is>
          <t>스쿼트 뒤 사두 볼륨을 척추 부하 없이 채운다. 발 위치를 높게 두면 둔근·햄스트링도 걸린다. 더블 프로그레션 — 전 세트가 목표 반복 상단에 닿으면 다음 주에 중량을 올린다</t>
        </is>
      </c>
      <c r="K7" t="inlineStr">
        <is>
          <t>핵 스쿼트 / 45도 레그 프레스 / 스미스 스쿼트</t>
        </is>
      </c>
    </row>
    <row r="8" ht="15" customHeight="1" s="96">
      <c r="A8" s="7" t="n">
        <v>4</v>
      </c>
      <c r="B8" s="58" t="inlineStr">
        <is>
          <t>레그 익스텐션</t>
        </is>
      </c>
      <c r="C8" s="7" t="inlineStr">
        <is>
          <t>대퇴사두</t>
        </is>
      </c>
      <c r="D8" s="8" t="inlineStr">
        <is>
          <t>—</t>
        </is>
      </c>
      <c r="E8" s="7" t="n">
        <v>3</v>
      </c>
      <c r="F8" s="8" t="inlineStr">
        <is>
          <t>10~12</t>
        </is>
      </c>
      <c r="G8" s="58" t="n">
        <v>40</v>
      </c>
      <c r="H8" s="58" t="n">
        <v>120</v>
      </c>
      <c r="I8">
        <f>IF(E8=0,0,ROUND(E8*(G8+H8)/60,1))</f>
        <v/>
      </c>
      <c r="J8" t="inlineStr">
        <is>
          <t>사두 고립. 척추 부하 없이 볼륨만 더한다. 더블 프로그레션 — 전 세트가 목표 반복 상단에 닿으면 다음 주에 중량을 올린다</t>
        </is>
      </c>
      <c r="K8" t="inlineStr">
        <is>
          <t>시시 스쿼트 머신 / 레그 프레스 (고립은 아니나 궤도 고정)</t>
        </is>
      </c>
    </row>
    <row r="9" ht="15" customHeight="1" s="96">
      <c r="A9" s="7" t="n">
        <v>5</v>
      </c>
      <c r="B9" s="58" t="inlineStr">
        <is>
          <t>원 레그 컬</t>
        </is>
      </c>
      <c r="C9" s="7" t="inlineStr">
        <is>
          <t>햄스트링</t>
        </is>
      </c>
      <c r="D9" s="8" t="inlineStr">
        <is>
          <t>—</t>
        </is>
      </c>
      <c r="E9" s="7" t="n">
        <v>3</v>
      </c>
      <c r="F9" s="8" t="n">
        <v>10</v>
      </c>
      <c r="G9" s="58" t="n">
        <v>60</v>
      </c>
      <c r="H9" s="58" t="n">
        <v>120</v>
      </c>
      <c r="I9">
        <f>IF(E9=0,0,ROUND(E9*(G9+H9)/60,1))</f>
        <v/>
      </c>
      <c r="J9" t="inlineStr">
        <is>
          <t>루마니안 데드 대체. 힌지를 빼서 다음날 데드가 온전히 나온다. 편측이라 좌우 차이도 잡힌다. 더블 프로그레션 — 전 세트가 목표 반복 상단에 닿으면 다음 주에 중량을 올린다</t>
        </is>
      </c>
      <c r="K9" t="inlineStr">
        <is>
          <t>라잉 / 시티드 레그 컬 (양측) / 케이블 풀스루</t>
        </is>
      </c>
    </row>
    <row r="10" ht="15" customHeight="1" s="96">
      <c r="A10" s="7" t="n">
        <v>6</v>
      </c>
      <c r="B10" s="58" t="inlineStr">
        <is>
          <t>이너 타이</t>
        </is>
      </c>
      <c r="C10" s="7" t="inlineStr">
        <is>
          <t>내전근</t>
        </is>
      </c>
      <c r="D10" s="8" t="inlineStr">
        <is>
          <t>40</t>
        </is>
      </c>
      <c r="E10" s="7" t="n">
        <v>4</v>
      </c>
      <c r="F10" s="8" t="inlineStr">
        <is>
          <t>12~15</t>
        </is>
      </c>
      <c r="G10" s="58" t="n">
        <v>40</v>
      </c>
      <c r="H10" s="58" t="n">
        <v>120</v>
      </c>
      <c r="I10">
        <f>IF(E10=0,0,ROUND(E10*(G10+H10)/60,1))</f>
        <v/>
      </c>
      <c r="J10" t="inlineStr">
        <is>
          <t>복귀판에 내전근이 통째로 비어 있었다. 재택에서 실질 10세트로 올려둔 부위라 되살린다. 더블 프로그레션 — 전 세트가 목표 반복 상단에 닿으면 다음 주에 중량을 올린다</t>
        </is>
      </c>
      <c r="K10" t="inlineStr">
        <is>
          <t>와이드 스탠스 레그 프레스 / 케이블 어덕션</t>
        </is>
      </c>
    </row>
    <row r="11" ht="15" customHeight="1" s="96">
      <c r="A11" s="7" t="n">
        <v>7</v>
      </c>
      <c r="B11" s="58" t="inlineStr">
        <is>
          <t>시티드 카프 레이즈</t>
        </is>
      </c>
      <c r="C11" s="7" t="inlineStr">
        <is>
          <t>종아리</t>
        </is>
      </c>
      <c r="D11" s="82" t="inlineStr">
        <is>
          <t>—</t>
        </is>
      </c>
      <c r="E11" s="7" t="n">
        <v>3</v>
      </c>
      <c r="F11" s="8" t="inlineStr">
        <is>
          <t>12~15</t>
        </is>
      </c>
      <c r="G11" s="58" t="n">
        <v>40</v>
      </c>
      <c r="H11" s="58" t="n">
        <v>75</v>
      </c>
      <c r="I11">
        <f>IF(E11=0,0,ROUND(E11*(G11+H11)/60,1))</f>
        <v/>
      </c>
      <c r="J11" t="inlineStr">
        <is>
          <t>앉아서 하는 쪽. 온종일 서 있던 날 스탠딩보다 부담이 적다. 현장 일이 종아리를 종일 쓰므로 직접 3세트로 충분</t>
        </is>
      </c>
      <c r="K11" t="inlineStr">
        <is>
          <t>스탠딩 카프 레이즈 머신 / 레그 프레스 카프 레이즈</t>
        </is>
      </c>
    </row>
    <row r="12" ht="15" customHeight="1" s="96">
      <c r="A12" t="n">
        <v>8</v>
      </c>
      <c r="B12" s="92" t="inlineStr">
        <is>
          <t>리버스 펙덱</t>
        </is>
      </c>
      <c r="C12" t="inlineStr">
        <is>
          <t>삼각근(후면)</t>
        </is>
      </c>
      <c r="D12" s="81" t="inlineStr">
        <is>
          <t>15~20</t>
        </is>
      </c>
      <c r="E12" s="28" t="n">
        <v>3</v>
      </c>
      <c r="F12" t="inlineStr">
        <is>
          <t>12~15</t>
        </is>
      </c>
      <c r="G12" t="n">
        <v>40</v>
      </c>
      <c r="H12" t="n">
        <v>60</v>
      </c>
      <c r="I12">
        <f>IF(E12=0,0,ROUND(E12*(G12+H12)/60,1))</f>
        <v/>
      </c>
      <c r="J12" t="inlineStr">
        <is>
      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      </is>
      </c>
      <c r="K12" t="inlineStr">
        <is>
          <t>케이블 리버스 플라이 / 리어 델트 로우 (로프) / 페이스풀 (로프)</t>
        </is>
      </c>
    </row>
    <row r="13">
      <c r="A13" t="n">
        <v>9</v>
      </c>
      <c r="B13" t="inlineStr">
        <is>
          <t>레터럴 레이즈</t>
        </is>
      </c>
      <c r="C13" t="inlineStr">
        <is>
          <t>삼각근(측면)</t>
        </is>
      </c>
      <c r="D13" t="inlineStr">
        <is>
          <t>8~10</t>
        </is>
      </c>
      <c r="E13" t="n">
        <v>4</v>
      </c>
      <c r="F13" t="inlineStr">
        <is>
          <t>12~15</t>
        </is>
      </c>
      <c r="G13" t="n">
        <v>40</v>
      </c>
      <c r="H13" t="n">
        <v>60</v>
      </c>
      <c r="I13">
        <f>IF(E13=0,0,ROUND(E13*(G13+H13)/60,1))</f>
        <v/>
      </c>
      <c r="J13" t="inlineStr">
        <is>
          <t>어깨 보조. 평일 B와 합쳐 측면 삼각근을 주 10세트로 맞춘다 — 간접 자극이 0인 부위라 직접 세트로만 채워진다. 더블 프로그레션 — 전 세트가 목표 반복 상단에 닿으면 다음 주에 중량을 올린다</t>
        </is>
      </c>
      <c r="K13" t="inlineStr">
        <is>
          <t>케이블 레터럴 레이즈 / 머신 레터럴</t>
        </is>
      </c>
    </row>
    <row r="14" ht="76.5" customHeight="1" s="96">
      <c r="A14" s="12" t="n"/>
      <c r="D14" t="inlineStr">
        <is>
          <t>세트 합계</t>
        </is>
      </c>
      <c r="E14">
        <f>SUM(E5:E13)</f>
        <v/>
      </c>
      <c r="I14">
        <f>ROUND(SUM(I5:I13),0)</f>
        <v/>
      </c>
    </row>
    <row r="15" ht="265.5" customHeight="1" s="96">
      <c r="A15" s="11" t="n"/>
      <c r="C15" s="92" t="n"/>
    </row>
    <row r="16" ht="293.25" customHeight="1" s="96">
      <c r="A16" s="11" t="inlineStr">
        <is>
          <t>[배치 이유]</t>
        </is>
      </c>
    </row>
    <row r="17" ht="276" customHeight="1" s="96">
      <c r="A17" s="11" t="inlineStr">
        <is>
          <t>· 토 · 일은 근무 패턴과 무관하게 확보되는 이틀이다. 무거운 두 리프트(스쿼트 · 데드)를 여기에 고정하는 이유가 그것이다.</t>
        </is>
      </c>
    </row>
    <row r="18">
      <c r="A18" t="inlineStr">
        <is>
          <t>· 스쿼트(토) → 데드(일) 순서가 그 반대보다 낫다. 데드 다음날 스쿼트는 허리가 받쳐주지 않는다.</t>
        </is>
      </c>
    </row>
    <row r="19">
      <c r="A19" t="inlineStr">
        <is>
          <t>· 스미스 오버헤드 프레스를 2번째에 둔 것은 이것이 증량을 추적하는 리프트이기 때문이다. 하체 볼륨 뒤로 밀면 진행이 안 나온다.</t>
        </is>
      </c>
    </row>
    <row r="20">
      <c r="A20" t="inlineStr">
        <is>
          <t>· 힌지 계열(루마니안 데드)을 빼고 원 레그 컬로 햄스트링을 채운다. 다음날 데드가 온전히 나온다.</t>
        </is>
      </c>
    </row>
    <row r="21">
      <c r="A21" t="inlineStr">
        <is>
          <t>· 어깨 보조는 오버헤드 프레스 3 + 리버스 펙덱 3 + 레터럴 3 = 9세트. 하체 21 + 어깨 9로 이 날은 하체와 어깨만 하는 날이다.</t>
        </is>
      </c>
    </row>
    <row r="22"/>
    <row r="23">
      <c r="A23" t="inlineStr">
        <is>
          <t>[허리가 부담되면]</t>
        </is>
      </c>
    </row>
    <row r="24">
      <c r="A24" t="inlineStr">
        <is>
          <t>· 스쿼트를 레그 프레스로 교체하면 기립근이 완전히 빠져 다음날 데드가 온전히 나온다.</t>
        </is>
      </c>
    </row>
    <row r="25">
      <c r="A25" t="inlineStr">
        <is>
          <t>· 토 · 일 연속은 이상적이지 않으나 이 근무 스케줄에서는 다른 선택지가 없다.</t>
        </is>
      </c>
    </row>
    <row r="26">
      <c r="A26" t="inlineStr">
        <is>
          <t>· 스쿼트 5×5는 성장선이다. 다음 근무일 아침 허리가 무거운 주가 이어지면 3×5로 되돌린다.</t>
        </is>
      </c>
    </row>
    <row r="27"/>
    <row r="28">
      <c r="A28" t="inlineStr">
        <is>
          <t>[세션 크기]</t>
        </is>
      </c>
    </row>
    <row r="29">
      <c r="A29" t="inlineStr">
        <is>
          <t>· 30세트지만 고립(레그 익스텐션 · 이너 타이 · 카프 · 리버스 펙덱 · 레터럴)이 15세트다. 상한 규칙상 실질 15로 본다.</t>
        </is>
      </c>
    </row>
    <row r="30">
      <c r="A30" t="inlineStr">
        <is>
          <t>· 약 84분으로 가장 길다. 시간이 확보되는 날이라 여기에 몰았다.</t>
        </is>
      </c>
    </row>
    <row r="31"/>
    <row r="32"/>
    <row r="33">
      <c r="C33" t="inlineStr">
        <is>
          <t>[요청 원문] 이너타이, 벡덱플라이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44"/>
  <sheetViews>
    <sheetView zoomScaleNormal="100" workbookViewId="0">
      <selection activeCell="B7" sqref="B7"/>
    </sheetView>
  </sheetViews>
  <sheetFormatPr baseColWidth="8" defaultColWidth="8.7109375" defaultRowHeight="15"/>
  <cols>
    <col width="5" customWidth="1" style="96" min="1" max="1"/>
    <col width="34" customWidth="1" style="96" min="2" max="2"/>
    <col width="20" customWidth="1" style="96" min="3" max="3"/>
    <col width="14" customWidth="1" style="96" min="4" max="4"/>
    <col width="7" customWidth="1" style="96" min="5" max="5"/>
    <col width="12" customWidth="1" style="96" min="6" max="6"/>
    <col width="10" customWidth="1" style="96" min="7" max="8"/>
    <col width="9" customWidth="1" style="96" min="9" max="9"/>
    <col width="70" customWidth="1" style="96" min="10" max="10"/>
    <col width="55" customWidth="1" style="96" min="11" max="11"/>
  </cols>
  <sheetData>
    <row r="1" ht="21" customHeight="1" s="96">
      <c r="A1" s="1" t="inlineStr">
        <is>
          <t>일요일 — 등 위주 (상체 B)</t>
        </is>
      </c>
    </row>
    <row r="2" ht="15" customHeight="1" s="96">
      <c r="A2" s="2" t="inlineStr">
        <is>
          <t>완전 휴무일이라 회복된 상태에서 시작하고 하루가 통째로 남는다. 척추가 버티는 종목과 전완은 전부 이 날에 모았다.</t>
        </is>
      </c>
    </row>
    <row r="3"/>
    <row r="4" ht="15" customHeight="1" s="96">
      <c r="A4" s="6" t="inlineStr">
        <is>
          <t>#</t>
        </is>
      </c>
      <c r="B4" s="5" t="inlineStr">
        <is>
          <t>종목</t>
        </is>
      </c>
      <c r="C4" s="5" t="inlineStr">
        <is>
          <t>근육군</t>
        </is>
      </c>
      <c r="D4" s="5" t="inlineStr">
        <is>
          <t>중량(Kg)</t>
        </is>
      </c>
      <c r="E4" s="5" t="inlineStr">
        <is>
          <t>세트</t>
        </is>
      </c>
      <c r="F4" s="5" t="inlineStr">
        <is>
          <t>횟수</t>
        </is>
      </c>
      <c r="G4" s="5" t="inlineStr">
        <is>
          <t>수행(초)</t>
        </is>
      </c>
      <c r="H4" s="5" t="inlineStr">
        <is>
          <t>휴식(초)</t>
        </is>
      </c>
      <c r="I4" t="inlineStr">
        <is>
          <t>종목 분</t>
        </is>
      </c>
      <c r="J4" t="inlineStr">
        <is>
          <t>메모</t>
        </is>
      </c>
      <c r="K4" t="inlineStr">
        <is>
          <t>대체 종목</t>
        </is>
      </c>
    </row>
    <row r="5" ht="29.25" customHeight="1" s="96">
      <c r="A5" s="72" t="n">
        <v>1</v>
      </c>
      <c r="B5" s="73" t="inlineStr">
        <is>
          <t>데드리프트</t>
        </is>
      </c>
      <c r="C5" s="72" t="inlineStr">
        <is>
          <t>기립근</t>
        </is>
      </c>
      <c r="D5" s="83">
        <f>시작중량_설정!$E$8</f>
        <v/>
      </c>
      <c r="E5" s="72" t="n">
        <v>1</v>
      </c>
      <c r="F5" s="64" t="n">
        <v>5</v>
      </c>
      <c r="G5" s="73" t="n">
        <v>30</v>
      </c>
      <c r="H5" s="73" t="n">
        <v>180</v>
      </c>
      <c r="I5">
        <f>IF(E5=0,0,ROUND(E5*(G5+H5)/60,1))</f>
        <v/>
      </c>
      <c r="J5" t="inlineStr">
        <is>
          <t>지키는 종목. 허리는 현장 일과 직접 경쟁하므로 첫 4주는 1×5로 두고 지표만 본다 (주 +2.5kg)</t>
        </is>
      </c>
      <c r="K5" t="inlineStr">
        <is>
          <t>트랩바 데드 (요추 전단력 ↓ — 볼륨을 올리려면 이쪽이 먼저다) / 랙풀</t>
        </is>
      </c>
    </row>
    <row r="6" ht="15" customHeight="1" s="96">
      <c r="A6" s="7" t="n">
        <v>2</v>
      </c>
      <c r="B6" s="94" t="inlineStr">
        <is>
          <t>스미스 바벨 로우(오버그립)</t>
        </is>
      </c>
      <c r="C6" s="7" t="inlineStr">
        <is>
          <t>광배</t>
        </is>
      </c>
      <c r="D6" s="8" t="inlineStr">
        <is>
          <t>40~45</t>
        </is>
      </c>
      <c r="E6" s="7" t="n">
        <v>4</v>
      </c>
      <c r="F6" s="8" t="inlineStr">
        <is>
          <t>8~10</t>
        </is>
      </c>
      <c r="G6" s="58" t="n">
        <v>40</v>
      </c>
      <c r="H6" s="58" t="n">
        <v>150</v>
      </c>
      <c r="I6">
        <f>IF(E6=0,0,ROUND(E6*(G6+H6)/60,1))</f>
        <v/>
      </c>
      <c r="J6" t="inlineStr">
        <is>
          <t>궤도가 고정돼 데드 뒤에도 허리 비용이 낮다. 척추가 버티는 종목이라 완전 휴무일에만 둔다. 더블 프로그레션 — 전 세트가 목표 반복 상단에 닿으면 다음 주에 중량을 올린다</t>
        </is>
      </c>
      <c r="K6" t="inlineStr">
        <is>
          <t>티바 로우 / 해머 스트랭스 로우 (허리가 무거운 주)</t>
        </is>
      </c>
    </row>
    <row r="7" ht="15" customHeight="1" s="96">
      <c r="A7" s="7" t="n">
        <v>3</v>
      </c>
      <c r="B7" s="94" t="inlineStr">
        <is>
          <t>시티드 케이블 로우(좁은 그립)</t>
        </is>
      </c>
      <c r="C7" s="7" t="inlineStr">
        <is>
          <t>광배</t>
        </is>
      </c>
      <c r="D7" s="7" t="inlineStr">
        <is>
          <t>—</t>
        </is>
      </c>
      <c r="E7" s="7" t="n">
        <v>4</v>
      </c>
      <c r="F7" s="8" t="inlineStr">
        <is>
          <t>8~12</t>
        </is>
      </c>
      <c r="G7" s="58" t="n">
        <v>40</v>
      </c>
      <c r="H7" s="58" t="n">
        <v>150</v>
      </c>
      <c r="I7">
        <f>IF(E7=0,0,ROUND(E7*(G7+H7)/60,1))</f>
        <v/>
      </c>
      <c r="J7" t="inlineStr">
        <is>
          <t>수평 당기기 보강. 스미스 로우와 그립·각도를 다르게 잡는다. 더블 프로그레션 — 전 세트가 목표 반복 상단에 닿으면 다음 주에 중량을 올린다</t>
        </is>
      </c>
      <c r="K7" t="inlineStr">
        <is>
          <t>머신 로우 / 원암 케이블 로우 (좌우 독립)</t>
        </is>
      </c>
    </row>
    <row r="8" ht="15" customHeight="1" s="96">
      <c r="A8" s="7" t="n">
        <v>4</v>
      </c>
      <c r="B8" s="58" t="inlineStr">
        <is>
          <t>친업 (어시스트 가능)</t>
        </is>
      </c>
      <c r="C8" s="7" t="inlineStr">
        <is>
          <t>광배</t>
        </is>
      </c>
      <c r="D8" s="7" t="inlineStr">
        <is>
          <t>맨몸</t>
        </is>
      </c>
      <c r="E8" s="7" t="n">
        <v>3</v>
      </c>
      <c r="F8" s="8" t="inlineStr">
        <is>
          <t>6~8</t>
        </is>
      </c>
      <c r="G8" s="58" t="n">
        <v>35</v>
      </c>
      <c r="H8" s="58" t="n">
        <v>150</v>
      </c>
      <c r="I8">
        <f>IF(E8=0,0,ROUND(E8*(G8+H8)/60,1))</f>
        <v/>
      </c>
      <c r="J8" t="inlineStr">
        <is>
          <t>수직 당기기. 그립이 지쳐 있으면 주저 말고 어시스트 머신으로 — 뒤에 전완 6세트가 남아 있다</t>
        </is>
      </c>
      <c r="K8" t="inlineStr">
        <is>
          <t>어시스트 풀업 머신 (1순위 — 그립 부담 ↓) / 랫풀다운</t>
        </is>
      </c>
    </row>
    <row r="9" ht="29.25" customHeight="1" s="96">
      <c r="A9" s="7" t="n">
        <v>5</v>
      </c>
      <c r="B9" s="58" t="inlineStr">
        <is>
          <t>시티드 케이블 로우 스캡 슈러그(두번째 크기 바)</t>
        </is>
      </c>
      <c r="C9" s="7" t="inlineStr">
        <is>
          <t>승모(중부)·능형근</t>
        </is>
      </c>
      <c r="D9" s="8" t="inlineStr">
        <is>
          <t>32</t>
        </is>
      </c>
      <c r="E9" s="7" t="n">
        <v>3</v>
      </c>
      <c r="F9" s="8" t="inlineStr">
        <is>
          <t>12~15</t>
        </is>
      </c>
      <c r="G9" s="58" t="n">
        <v>40</v>
      </c>
      <c r="H9" s="58" t="n">
        <v>75</v>
      </c>
      <c r="I9">
        <f>IF(E9=0,0,ROUND(E9*(G9+H9)/60,1))</f>
        <v/>
      </c>
      <c r="J9" t="inlineStr">
        <is>
          <t>복귀판에 승모 중부·능형근 직접이 0이었다. 로우 간접만으로는 안 채워지는 부위. 더블 프로그레션 — 전 세트가 목표 반복 상단에 닿으면 다음 주에 중량을 올린다</t>
        </is>
      </c>
      <c r="K9" t="inlineStr">
        <is>
          <t>페이스풀 (로프) / 리버스 펙덱 (팔 편 채로)</t>
        </is>
      </c>
    </row>
    <row r="10" ht="15" customHeight="1" s="96">
      <c r="A10" s="7" t="n">
        <v>6</v>
      </c>
      <c r="B10" s="58" t="inlineStr">
        <is>
          <t>오버헤드 슈러그(스미스)</t>
        </is>
      </c>
      <c r="C10" s="7" t="inlineStr">
        <is>
          <t>승모(하부)</t>
        </is>
      </c>
      <c r="D10" s="8" t="inlineStr">
        <is>
          <t>15~20</t>
        </is>
      </c>
      <c r="E10" s="7" t="n">
        <v>3</v>
      </c>
      <c r="F10" s="8" t="inlineStr">
        <is>
          <t>12~15</t>
        </is>
      </c>
      <c r="G10" s="58" t="n">
        <v>40</v>
      </c>
      <c r="H10" s="58" t="n">
        <v>75</v>
      </c>
      <c r="I10">
        <f>IF(E10=0,0,ROUND(E10*(G10+H10)/60,1))</f>
        <v/>
      </c>
      <c r="J10" t="inlineStr">
        <is>
          <t>프론 Y 레이즈 대신. 팔이 머리 위에 고정된 채 견갑을 내리므로 하부 승모가 더 확실히 걸린다. 더블 프로그레션 — 전 세트가 목표 반복 상단에 닿으면 다음 주에 중량을 올린다</t>
        </is>
      </c>
      <c r="K10" t="inlineStr">
        <is>
          <t>프론 Y 레이즈 / 케이블 Y 레이즈</t>
        </is>
      </c>
    </row>
    <row r="11" ht="15" customHeight="1" s="96">
      <c r="A11" s="7" t="n">
        <v>7</v>
      </c>
      <c r="B11" s="58" t="inlineStr">
        <is>
          <t>딥스</t>
        </is>
      </c>
      <c r="C11" s="7" t="inlineStr">
        <is>
          <t>흉근(중하부)</t>
        </is>
      </c>
      <c r="D11" s="8" t="inlineStr">
        <is>
          <t>맨몸</t>
        </is>
      </c>
      <c r="E11" s="7" t="n">
        <v>3</v>
      </c>
      <c r="F11" s="8" t="inlineStr">
        <is>
          <t>8~12</t>
        </is>
      </c>
      <c r="G11" s="58" t="n">
        <v>40</v>
      </c>
      <c r="H11" s="58" t="n">
        <v>120</v>
      </c>
      <c r="I11">
        <f>IF(E11=0,0,ROUND(E11*(G11+H11)/60,1))</f>
        <v/>
      </c>
      <c r="J11" t="inlineStr">
        <is>
          <t>가슴 보조 첫째. 시간이 가장 많은 날이라 되살렸다 — 맨몸이라 세팅도 필요 없다</t>
        </is>
      </c>
      <c r="K11" t="inlineStr">
        <is>
          <t>어시스트 딥스 머신 / 헤머스트랭스 체스트 프레스</t>
        </is>
      </c>
    </row>
    <row r="12" ht="15" customHeight="1" s="96">
      <c r="A12" s="7" t="n">
        <v>8</v>
      </c>
      <c r="B12" s="58" t="inlineStr">
        <is>
          <t>디클라인 케이블 플라이</t>
        </is>
      </c>
      <c r="C12" s="7" t="inlineStr">
        <is>
          <t>흉근(중하부)</t>
        </is>
      </c>
      <c r="D12" s="7" t="inlineStr">
        <is>
          <t>10~15</t>
        </is>
      </c>
      <c r="E12" s="7" t="n">
        <v>3</v>
      </c>
      <c r="F12" s="7" t="inlineStr">
        <is>
          <t>12~15</t>
        </is>
      </c>
      <c r="G12" s="58" t="n">
        <v>40</v>
      </c>
      <c r="H12" s="58" t="n">
        <v>105</v>
      </c>
      <c r="I12">
        <f>IF(E12=0,0,ROUND(E12*(G12+H12)/60,1))</f>
        <v/>
      </c>
      <c r="J12" t="inlineStr">
        <is>
          <t>가슴 보조 둘째. 당기기 뒤라 프레싱은 못 하지만 플라이는 어깨·삼두를 안 쓰므로 들어간다. 더블 프로그레션 — 전 세트가 목표 반복 상단에 닿으면 다음 주에 중량을 올린다</t>
        </is>
      </c>
      <c r="K12" t="inlineStr">
        <is>
          <t>펙덱 플라이 / 덤벨 플라이</t>
        </is>
      </c>
    </row>
    <row r="13" ht="15" customHeight="1" s="96">
      <c r="A13" t="n">
        <v>9</v>
      </c>
      <c r="B13" t="inlineStr">
        <is>
          <t>프리쳐 컬</t>
        </is>
      </c>
      <c r="C13" t="inlineStr">
        <is>
          <t>이두</t>
        </is>
      </c>
      <c r="D13" s="81" t="inlineStr">
        <is>
          <t>20~25</t>
        </is>
      </c>
      <c r="E13" s="28" t="n">
        <v>3</v>
      </c>
      <c r="F13" t="inlineStr">
        <is>
          <t>8~12</t>
        </is>
      </c>
      <c r="G13" t="n">
        <v>40</v>
      </c>
      <c r="H13" t="n">
        <v>75</v>
      </c>
      <c r="I13">
        <f>IF(E13=0,0,ROUND(E13*(G13+H13)/60,1))</f>
        <v/>
      </c>
      <c r="J13" t="inlineStr">
        <is>
          <t>짧아진 구간이라 당기기 뒤에도 값이 덜 깎인다. 늘어난 구간(인클라인 덤벨 컬)은 평일 B로 보냈다. 더블 프로그레션 — 전 세트가 목표 반복 상단에 닿으면 다음 주에 중량을 올린다</t>
        </is>
      </c>
      <c r="K13" t="inlineStr">
        <is>
          <t>케이블 컬 (전 구간 장력) / 머신 컬 / EZ바 프리쳐 컬 (손목이 편함)</t>
        </is>
      </c>
    </row>
    <row r="14">
      <c r="A14" t="n">
        <v>10</v>
      </c>
      <c r="B14" t="inlineStr">
        <is>
          <t>시티드 리스트 컬(손등 아래)</t>
        </is>
      </c>
      <c r="C14" t="inlineStr">
        <is>
          <t>전완</t>
        </is>
      </c>
      <c r="D14" t="n">
        <v>12</v>
      </c>
      <c r="E14" t="n">
        <v>3</v>
      </c>
      <c r="F14" t="inlineStr">
        <is>
          <t>15</t>
        </is>
      </c>
      <c r="G14" t="n">
        <v>40</v>
      </c>
      <c r="H14" t="n">
        <v>60</v>
      </c>
      <c r="I14">
        <f>IF(E14=0,0,ROUND(E14*(G14+H14)/60,1))</f>
        <v/>
      </c>
      <c r="J14" t="inlineStr">
        <is>
          <t>굴근 쪽. 그립과 같은 구획이라 당기기 뒤에 가장 많이 깎인다 — 그래서 전완 둘 중 먼저 친다. 더블 프로그레션 — 전 세트가 목표 반복 상단에 닿으면 다음 주에 중량을 올린다</t>
        </is>
      </c>
      <c r="K14" t="inlineStr">
        <is>
          <t>바벨 리스트 컬 / 케이블 리스트 컬</t>
        </is>
      </c>
    </row>
    <row r="15" ht="17.25" customHeight="1" s="96">
      <c r="A15" s="12" t="n">
        <v>11</v>
      </c>
      <c r="B15" t="inlineStr">
        <is>
          <t>시티드 리스트 컬(손등 위)</t>
        </is>
      </c>
      <c r="C15" t="inlineStr">
        <is>
          <t>전완</t>
        </is>
      </c>
      <c r="D15" t="n">
        <v>10</v>
      </c>
      <c r="E15" t="n">
        <v>3</v>
      </c>
      <c r="F15" t="inlineStr">
        <is>
          <t>15</t>
        </is>
      </c>
      <c r="G15" t="n">
        <v>40</v>
      </c>
      <c r="H15" t="n">
        <v>60</v>
      </c>
      <c r="I15">
        <f>IF(E15=0,0,ROUND(E15*(G15+H15)/60,1))</f>
        <v/>
      </c>
      <c r="J15" t="inlineStr">
        <is>
          <t>신근 쪽. 그립을 쓰지 않는 근육이라 당기기 뒤에도 온전히 나온다. 벤치에 앉은 채 손만 뒤집으면 된다. 더블 프로그레션 — 전 세트가 목표 반복 상단에 닿으면 다음 주에 중량을 올린다</t>
        </is>
      </c>
      <c r="K15" t="inlineStr">
        <is>
          <t>바벨 리버스 리스트 컬 / 케이블 리스트 익스텐션</t>
        </is>
      </c>
    </row>
    <row r="16" ht="23.25" customHeight="1" s="96">
      <c r="A16" s="11" t="n"/>
      <c r="C16" s="93" t="n"/>
      <c r="D16" t="inlineStr">
        <is>
          <t>세트 합계</t>
        </is>
      </c>
      <c r="E16">
        <f>SUM(E5:E15)</f>
        <v/>
      </c>
      <c r="I16">
        <f>ROUND(SUM(I5:I15),0)</f>
        <v/>
      </c>
    </row>
    <row r="17" ht="240" customHeight="1" s="96">
      <c r="A17" s="11" t="n"/>
    </row>
    <row r="18" ht="278.25" customHeight="1" s="96">
      <c r="A18" s="11" t="inlineStr">
        <is>
          <t>[데드리프트 운용 규칙]</t>
        </is>
      </c>
    </row>
    <row r="19" ht="15" customHeight="1" s="96">
      <c r="A19" s="68" t="inlineStr">
        <is>
          <t>· 첫 4주는 1×5를 넘기지 않는다. 허리는 현장 일과 직접 경쟁하는 유일한 부위이고, 여기를 밀려다 나머지 셋이 다 무너진다.</t>
        </is>
      </c>
    </row>
    <row r="20" ht="95.25" customHeight="1" s="96">
      <c r="A20" s="12" t="inlineStr">
        <is>
          <t>· 4주간 다음 근무일 아침 허리가 깨끗하면 2×5로 올린다. 그때가 데드가 성장으로 돌아서는 지점이다.</t>
        </is>
      </c>
    </row>
    <row r="21" ht="252.75" customHeight="1" s="96">
      <c r="A21" s="11" t="inlineStr">
        <is>
          <t>· 볼륨을 올리고 싶은데 허리가 애매하면 트랩바로 바꾸는 것이 먼저다 — 요추 전단력이 낮아 같은 세트에서 비용이 싸다.</t>
        </is>
      </c>
    </row>
    <row r="22" ht="237.75" customHeight="1" s="96">
      <c r="A22" s="11" t="inlineStr">
        <is>
          <t>· 허리가 무거운 주에는 데드와 스미스 로우를 둘 다 건너뛴다. 건너뛰는 것이 규율이지 나태가 아니다.</t>
        </is>
      </c>
    </row>
    <row r="23" ht="265.5" customHeight="1" s="96">
      <c r="A23" s="11" t="inlineStr">
        <is>
          <t>· 12시간 근무일 바로 다음날이 일요일이 되는 주에는 데드를 빼거나 트랩바로 대체할 것.</t>
        </is>
      </c>
    </row>
    <row r="24"/>
    <row r="25">
      <c r="A25" t="inlineStr">
        <is>
          <t>[척추 종목이 이 날에 모인 이유]</t>
        </is>
      </c>
    </row>
    <row r="26">
      <c r="A26" t="inlineStr">
        <is>
          <t>· 데드와 스미스 바벨 로우는 척추가 버텨야 하는 종목이다. 완전 휴무일이라 전날 밤 회복 후 시작하고 하루가 통째로 남는다.</t>
        </is>
      </c>
    </row>
    <row r="27">
      <c r="A27" t="inlineStr">
        <is>
          <t>· 바벨을 스미스로 바꿔 궤도를 고정했다 — 같은 자극에 허리 비용이 내려간다.</t>
        </is>
      </c>
    </row>
    <row r="28">
      <c r="A28" t="inlineStr">
        <is>
          <t>· 평일 A의 등 보조 자리는 해머 스트랭스 로우가 맡는다. 체스트 서포티드라 척추 부하가 0이다.</t>
        </is>
      </c>
    </row>
    <row r="29">
      <c r="A29" t="inlineStr">
        <is>
          <t>· 이 날 다음날은 비우는 것이 기본이다. 훈련해야 한다면 등도 척추도 안 쓰는 평일 B로 간다.</t>
        </is>
      </c>
    </row>
    <row r="30"/>
    <row r="31">
      <c r="A31" t="inlineStr">
        <is>
          <t>[전완을 이 날에 모은 이유]</t>
        </is>
      </c>
    </row>
    <row r="32">
      <c r="A32" t="inlineStr">
        <is>
          <t>· 시간이 가장 많은 날이라 여기로 모았다. 대신 평일 A가 23세트로 짧아진다 — 8시간 근무 뒤에 들어가는 세션이라 그 편이 낫다.</t>
        </is>
      </c>
    </row>
    <row r="33">
      <c r="A33" t="inlineStr">
        <is>
          <t>· 굴근(손등 아래)은 그립과 같은 구획이라 당기기 9세트 뒤에 깎인다. 그래서 둘 중 먼저 친다.</t>
        </is>
      </c>
    </row>
    <row r="34">
      <c r="A34" t="inlineStr">
        <is>
          <t>· 신근(손등 위)은 그립을 쓰지 않아 당기기 뒤에도 온전하다. 이 날에 둬도 손해가 없는 쪽이다.</t>
        </is>
      </c>
    </row>
    <row r="35">
      <c r="A35" t="inlineStr">
        <is>
          <t>· 굴근 중량이 평소보다 낮게 나오는 것이 정상이다. 같은 요일끼리만 비교해서 진행을 잰다.</t>
        </is>
      </c>
    </row>
    <row r="36">
      <c r="A36" t="inlineStr">
        <is>
          <t>· 그립을 아끼려면 친업을 어시스트 머신으로 돌린다.</t>
        </is>
      </c>
    </row>
    <row r="37"/>
    <row r="38">
      <c r="A38" t="inlineStr">
        <is>
          <t>[이 세션이 가장 크다]</t>
        </is>
      </c>
    </row>
    <row r="39">
      <c r="A39" t="inlineStr">
        <is>
          <t>· 31세트로 가장 크다. 다만 고립(플라이 · 프리쳐 컬 · 리스트 컬 2종)이 12세트라 상한 규칙상 실질 19다.</t>
        </is>
      </c>
    </row>
    <row r="40">
      <c r="A40" t="inlineStr">
        <is>
          <t>· 약 74분. 완전 휴무일이라 시간이 통째로 남고 다음날 완충도 있어서 여기에 몰았다.</t>
        </is>
      </c>
    </row>
    <row r="41">
      <c r="A41" t="inlineStr">
        <is>
          <t>· 광배는 이 날 9세트 + 평일 A 6세트 = 주 15세트.</t>
        </is>
      </c>
    </row>
    <row r="42"/>
    <row r="43"/>
    <row r="44">
      <c r="C44" t="inlineStr">
        <is>
          <t>[요청 원문] 시티드 케이블 로우 스캡 슈러그(두번째 크기 바), 와이 프론트 레이즈 대신 오버헤드 슈러그, 디클라인 케이블 플라이, 인클라인 덤벨컬, 시티드 리스트 컬(손등 아래), 리버스컬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33"/>
  <sheetViews>
    <sheetView tabSelected="1" workbookViewId="0">
      <selection activeCell="K16" sqref="K16"/>
    </sheetView>
  </sheetViews>
  <sheetFormatPr baseColWidth="8" defaultColWidth="8.7109375" defaultRowHeight="15"/>
  <cols>
    <col width="5" customWidth="1" style="96" min="1" max="1"/>
    <col width="34" customWidth="1" style="96" min="2" max="2"/>
    <col width="20" customWidth="1" style="96" min="3" max="3"/>
    <col width="14" customWidth="1" style="96" min="4" max="4"/>
    <col width="7" customWidth="1" style="96" min="5" max="5"/>
    <col width="12" customWidth="1" style="96" min="6" max="6"/>
    <col width="10" customWidth="1" style="96" min="7" max="8"/>
    <col width="9" customWidth="1" style="96" min="9" max="9"/>
    <col width="70" customWidth="1" style="96" min="10" max="10"/>
    <col width="55" customWidth="1" style="96" min="11" max="11"/>
  </cols>
  <sheetData>
    <row r="1" ht="21" customHeight="1" s="96">
      <c r="A1" s="1" t="inlineStr">
        <is>
          <t>평일 B — 어깨 위주 (하체 B)</t>
        </is>
      </c>
    </row>
    <row r="2" ht="15" customHeight="1" s="96">
      <c r="A2" s="2" t="inlineStr">
        <is>
          <t>척추 부하가 0인 세션. 근무 상황을 가장 안 타므로 주중 어디에 넣어도 되고, 일요일 다음날에 쓸 수 있는 유일한 세션이다.</t>
        </is>
      </c>
    </row>
    <row r="3"/>
    <row r="4" ht="15" customHeight="1" s="96">
      <c r="A4" s="6" t="inlineStr">
        <is>
          <t>#</t>
        </is>
      </c>
      <c r="B4" s="5" t="inlineStr">
        <is>
          <t>종목</t>
        </is>
      </c>
      <c r="C4" s="5" t="inlineStr">
        <is>
          <t>근육군</t>
        </is>
      </c>
      <c r="D4" s="5" t="inlineStr">
        <is>
          <t>중량(Kg)</t>
        </is>
      </c>
      <c r="E4" s="5" t="inlineStr">
        <is>
          <t>세트</t>
        </is>
      </c>
      <c r="F4" s="5" t="inlineStr">
        <is>
          <t>횟수</t>
        </is>
      </c>
      <c r="G4" s="5" t="inlineStr">
        <is>
          <t>수행(초)</t>
        </is>
      </c>
      <c r="H4" s="5" t="inlineStr">
        <is>
          <t>휴식(초)</t>
        </is>
      </c>
      <c r="I4" t="inlineStr">
        <is>
          <t>종목 분</t>
        </is>
      </c>
      <c r="J4" t="inlineStr">
        <is>
          <t>메모</t>
        </is>
      </c>
      <c r="K4" t="inlineStr">
        <is>
          <t>대체 종목</t>
        </is>
      </c>
    </row>
    <row r="5" ht="15" customHeight="1" s="96">
      <c r="A5" s="72" t="n">
        <v>1</v>
      </c>
      <c r="B5" s="73" t="inlineStr">
        <is>
          <t>머신 숄더 프레스</t>
        </is>
      </c>
      <c r="C5" s="72" t="inlineStr">
        <is>
          <t>삼각근(전면)</t>
        </is>
      </c>
      <c r="D5" s="80" t="inlineStr">
        <is>
          <t>20~25</t>
        </is>
      </c>
      <c r="E5" s="72" t="n">
        <v>4</v>
      </c>
      <c r="F5" s="64" t="inlineStr">
        <is>
          <t>8~12</t>
        </is>
      </c>
      <c r="G5" s="73" t="n">
        <v>40</v>
      </c>
      <c r="H5" s="73" t="n">
        <v>120</v>
      </c>
      <c r="I5">
        <f>IF(E5=0,0,ROUND(E5*(G5+H5)/60,1))</f>
        <v/>
      </c>
      <c r="J5" t="inlineStr">
        <is>
          <t>궤도 고정이라 안정화 부담이 없다. 토요일 오버헤드 프레스와 각도를 나눈다. 더블 프로그레션 — 전 세트가 목표 반복 상단에 닿으면 다음 주에 중량을 올린다</t>
        </is>
      </c>
      <c r="K5" t="inlineStr">
        <is>
          <t>덤벨 숄더 프레스 / 스미스 오버헤드 프레스</t>
        </is>
      </c>
    </row>
    <row r="6" ht="15" customHeight="1" s="96">
      <c r="A6" s="7" t="n">
        <v>2</v>
      </c>
      <c r="B6" s="58" t="inlineStr">
        <is>
          <t>레터럴 레이즈</t>
        </is>
      </c>
      <c r="C6" s="7" t="inlineStr">
        <is>
          <t>삼각근(측면)</t>
        </is>
      </c>
      <c r="D6" s="8" t="inlineStr">
        <is>
          <t>8~10</t>
        </is>
      </c>
      <c r="E6" s="7" t="n">
        <v>4</v>
      </c>
      <c r="F6" s="8" t="inlineStr">
        <is>
          <t>12~15</t>
        </is>
      </c>
      <c r="G6" s="58" t="n">
        <v>40</v>
      </c>
      <c r="H6" s="58" t="n">
        <v>60</v>
      </c>
      <c r="I6">
        <f>IF(E6=0,0,ROUND(E6*(G6+H6)/60,1))</f>
        <v/>
      </c>
      <c r="J6" t="inlineStr">
        <is>
          <t>간접 자극이 0인 부위 — 직접 세트로만 채워진다. 더블 프로그레션 — 전 세트가 목표 반복 상단에 닿으면 다음 주에 중량을 올린다</t>
        </is>
      </c>
      <c r="K6" t="inlineStr">
        <is>
          <t>케이블 레터럴 레이즈</t>
        </is>
      </c>
    </row>
    <row r="7" ht="15" customHeight="1" s="96">
      <c r="A7" s="7" t="n">
        <v>3</v>
      </c>
      <c r="B7" s="58" t="inlineStr">
        <is>
          <t>원암 케이블 레터럴 레이즈</t>
        </is>
      </c>
      <c r="C7" s="7" t="inlineStr">
        <is>
          <t>삼각근(측면)</t>
        </is>
      </c>
      <c r="D7" s="8" t="inlineStr">
        <is>
          <t>5~7</t>
        </is>
      </c>
      <c r="E7" s="7" t="n">
        <v>4</v>
      </c>
      <c r="F7" s="8" t="inlineStr">
        <is>
          <t>12~15</t>
        </is>
      </c>
      <c r="G7" s="58" t="n">
        <v>60</v>
      </c>
      <c r="H7" s="58" t="n">
        <v>60</v>
      </c>
      <c r="I7">
        <f>IF(E7=0,0,ROUND(E7*(G7+H7)/60,1))</f>
        <v/>
      </c>
      <c r="J7" t="inlineStr">
        <is>
          <t>케이블이라 전 구간 장력이 걸린다. 덤벨 레터럴이 약한 하단 구간을 메운다. 더블 프로그레션 — 전 세트가 목표 반복 상단에 닿으면 다음 주에 중량을 올린다</t>
        </is>
      </c>
      <c r="K7" t="inlineStr">
        <is>
          <t>리닝 케이블 레터럴 / 머신 레터럴</t>
        </is>
      </c>
    </row>
    <row r="8" ht="15" customHeight="1" s="96">
      <c r="A8" s="7" t="n">
        <v>4</v>
      </c>
      <c r="B8" s="58" t="inlineStr">
        <is>
          <t>벤트오버 레터럴 레이즈 머신</t>
        </is>
      </c>
      <c r="C8" s="7" t="inlineStr">
        <is>
          <t>삼각근(후면)</t>
        </is>
      </c>
      <c r="D8" s="8" t="inlineStr">
        <is>
          <t>8~10</t>
        </is>
      </c>
      <c r="E8" s="7" t="n">
        <v>4</v>
      </c>
      <c r="F8" s="8" t="inlineStr">
        <is>
          <t>12~15</t>
        </is>
      </c>
      <c r="G8" s="58" t="n">
        <v>40</v>
      </c>
      <c r="H8" s="58" t="n">
        <v>60</v>
      </c>
      <c r="I8">
        <f>IF(E8=0,0,ROUND(E8*(G8+H8)/60,1))</f>
        <v/>
      </c>
      <c r="J8" t="inlineStr">
        <is>
          <t>현장 자세가 어깨를 앞으로 말므로 감축 대상이 아니다. 오히려 더 필요해진다. 더블 프로그레션 — 전 세트가 목표 반복 상단에 닿으면 다음 주에 중량을 올린다</t>
        </is>
      </c>
      <c r="K8" t="inlineStr">
        <is>
          <t>케이블 리버스 플라이 / 리어 델트 로우 (로프)</t>
        </is>
      </c>
    </row>
    <row r="9" ht="15" customHeight="1" s="96">
      <c r="A9" s="7" t="n">
        <v>5</v>
      </c>
      <c r="B9" s="58" t="inlineStr">
        <is>
          <t>케이블 리버스 플라이</t>
        </is>
      </c>
      <c r="C9" s="7" t="inlineStr">
        <is>
          <t>삼각근(후면)</t>
        </is>
      </c>
      <c r="D9" s="8" t="inlineStr">
        <is>
          <t>5~7</t>
        </is>
      </c>
      <c r="E9" s="7" t="n">
        <v>3</v>
      </c>
      <c r="F9" s="8" t="inlineStr">
        <is>
          <t>12~15</t>
        </is>
      </c>
      <c r="G9" s="58" t="n">
        <v>40</v>
      </c>
      <c r="H9" s="58" t="n">
        <v>60</v>
      </c>
      <c r="I9">
        <f>IF(E9=0,0,ROUND(E9*(G9+H9)/60,1))</f>
        <v/>
      </c>
      <c r="J9" t="inlineStr">
        <is>
      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      </is>
      </c>
      <c r="K9" t="inlineStr">
        <is>
          <t>리버스 펙덱 / 리어 델트 로우 (로프) / 페이스풀 (로프)</t>
        </is>
      </c>
    </row>
    <row r="10" ht="15" customHeight="1" s="96">
      <c r="A10" s="7" t="n">
        <v>6</v>
      </c>
      <c r="B10" s="58" t="inlineStr">
        <is>
          <t>인클라인 덤벨 컬</t>
        </is>
      </c>
      <c r="C10" s="7" t="inlineStr">
        <is>
          <t>이두</t>
        </is>
      </c>
      <c r="D10" s="8" t="inlineStr">
        <is>
          <t>10~12</t>
        </is>
      </c>
      <c r="E10" s="7" t="n">
        <v>3</v>
      </c>
      <c r="F10" s="8" t="inlineStr">
        <is>
          <t>8~12</t>
        </is>
      </c>
      <c r="G10" s="58" t="n">
        <v>40</v>
      </c>
      <c r="H10" s="58" t="n">
        <v>75</v>
      </c>
      <c r="I10">
        <f>IF(E10=0,0,ROUND(E10*(G10+H10)/60,1))</f>
        <v/>
      </c>
      <c r="J10" t="inlineStr">
        <is>
      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      </is>
      </c>
      <c r="K10" t="inlineStr">
        <is>
          <t>케이블 드래그 컬 / 스파이더 컬</t>
        </is>
      </c>
    </row>
    <row r="11" ht="15" customHeight="1" s="96">
      <c r="A11" t="n">
        <v>7</v>
      </c>
      <c r="B11" t="inlineStr">
        <is>
          <t>힙 쓰러스트</t>
        </is>
      </c>
      <c r="C11" t="inlineStr">
        <is>
          <t>둔근</t>
        </is>
      </c>
      <c r="D11" s="81" t="inlineStr">
        <is>
          <t>40~50</t>
        </is>
      </c>
      <c r="E11" s="28" t="n">
        <v>3</v>
      </c>
      <c r="F11" t="inlineStr">
        <is>
          <t>10~12</t>
        </is>
      </c>
      <c r="G11" t="n">
        <v>40</v>
      </c>
      <c r="H11" t="n">
        <v>120</v>
      </c>
      <c r="I11">
        <f>IF(E11=0,0,ROUND(E11*(G11+H11)/60,1))</f>
        <v/>
      </c>
      <c r="J11" t="inlineStr">
        <is>
          <t>복귀판에 둔근 직접 세트가 하나도 없었다. 척추 부하 없이 둔근만 때리는 유일한 자리. 더블 프로그레션 — 전 세트가 목표 반복 상단에 닿으면 다음 주에 중량을 올린다</t>
        </is>
      </c>
      <c r="K11" t="inlineStr">
        <is>
          <t>머신 힙 쓰러스트 / 글루트 브릿지 / 케이블 풀스루</t>
        </is>
      </c>
    </row>
    <row r="12">
      <c r="A12" t="n">
        <v>8</v>
      </c>
      <c r="B12" t="inlineStr">
        <is>
          <t>케이블 힙 외전</t>
        </is>
      </c>
      <c r="C12" t="inlineStr">
        <is>
          <t>중둔근</t>
        </is>
      </c>
      <c r="D12" t="inlineStr">
        <is>
          <t>15</t>
        </is>
      </c>
      <c r="E12" t="n">
        <v>3</v>
      </c>
      <c r="F12" t="inlineStr">
        <is>
          <t>12~15 (좌우)</t>
        </is>
      </c>
      <c r="G12" t="n">
        <v>60</v>
      </c>
      <c r="H12" t="n">
        <v>75</v>
      </c>
      <c r="I12">
        <f>IF(E12=0,0,ROUND(E12*(G12+H12)/60,1))</f>
        <v/>
      </c>
      <c r="J12" t="inlineStr">
        <is>
      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      </is>
      </c>
      <c r="K12" t="inlineStr">
        <is>
          <t>머신 힙 어브덕션 / 밴드 사이드 워크</t>
        </is>
      </c>
    </row>
    <row r="13" ht="18.75" customHeight="1" s="96">
      <c r="A13" s="12" t="n">
        <v>9</v>
      </c>
      <c r="B13" t="inlineStr">
        <is>
          <t>레그 컬</t>
        </is>
      </c>
      <c r="C13" t="inlineStr">
        <is>
          <t>햄스트링</t>
        </is>
      </c>
      <c r="D13" t="inlineStr">
        <is>
          <t>—</t>
        </is>
      </c>
      <c r="E13" t="n">
        <v>4</v>
      </c>
      <c r="F13" t="inlineStr">
        <is>
          <t>10~12</t>
        </is>
      </c>
      <c r="G13" t="n">
        <v>40</v>
      </c>
      <c r="H13" t="n">
        <v>120</v>
      </c>
      <c r="I13">
        <f>IF(E13=0,0,ROUND(E13*(G13+H13)/60,1))</f>
        <v/>
      </c>
      <c r="J13" t="inlineStr">
        <is>
          <t>시티드로 하면 고관절이 굽어 햄스트링이 늘어난 구간에서 훈련된다. 더블 프로그레션 — 전 세트가 목표 반복 상단에 닿으면 다음 주에 중량을 올린다</t>
        </is>
      </c>
      <c r="K13" t="inlineStr">
        <is>
          <t>시티드 레그 컬 (1순위 — 각도가 갈린다) / 라잉 레그 컬</t>
        </is>
      </c>
    </row>
    <row r="14" ht="18" customHeight="1" s="96">
      <c r="A14" s="11" t="n">
        <v>10</v>
      </c>
      <c r="B14" t="inlineStr">
        <is>
          <t>중량 크런치</t>
        </is>
      </c>
      <c r="C14" s="92" t="inlineStr">
        <is>
          <t>복부</t>
        </is>
      </c>
      <c r="D14" t="n">
        <v>2.5</v>
      </c>
      <c r="E14" t="n">
        <v>3</v>
      </c>
      <c r="F14" t="inlineStr">
        <is>
          <t>12</t>
        </is>
      </c>
      <c r="G14" t="n">
        <v>40</v>
      </c>
      <c r="H14" t="n">
        <v>60</v>
      </c>
      <c r="I14">
        <f>IF(E14=0,0,ROUND(E14*(G14+H14)/60,1))</f>
        <v/>
      </c>
      <c r="J14" t="inlineStr">
        <is>
          <t>현장 일은 코어를 버티게만 하지 굴곡시키지 않는다. 직접 굴곡은 여기서만 들어간다</t>
        </is>
      </c>
      <c r="K14" t="inlineStr">
        <is>
          <t>케이블 크런치 (머신) / 앱스 머신 / 캡틴 체어 니 레이즈</t>
        </is>
      </c>
    </row>
    <row r="15" ht="25.5" customHeight="1" s="96">
      <c r="A15" s="11" t="n"/>
      <c r="D15" t="inlineStr">
        <is>
          <t>세트 합계</t>
        </is>
      </c>
      <c r="E15">
        <f>SUM(E5:E14)</f>
        <v/>
      </c>
      <c r="I15">
        <f>ROUND(SUM(I5:I14),0)</f>
        <v/>
      </c>
    </row>
    <row r="16" ht="237.75" customHeight="1" s="96">
      <c r="A16" s="11" t="inlineStr">
        <is>
          <t>[배치 이유]</t>
        </is>
      </c>
    </row>
    <row r="17">
      <c r="A17" t="inlineStr">
        <is>
          <t>· 전부 고립 · 머신이고 척추 부하가 0이다. 근무 상황을 가장 안 타므로 주중 어디에 넣어도 된다.</t>
        </is>
      </c>
    </row>
    <row r="18">
      <c r="A18" t="inlineStr">
        <is>
          <t>· 일요일 바로 다음날에 훈련해야 한다면 이 세션이다 — 등도 척추도 안 쓰므로 유일하게 겹치지 않는다.</t>
        </is>
      </c>
    </row>
    <row r="19">
      <c r="A19" t="inlineStr">
        <is>
          <t>· 32세트지만 메인 리프트가 없고 거의 전부가 고립이라 상한 규칙의 적용 대상이 아니다. 휴식이 60~75초라 약 66분이면 끝난다.</t>
        </is>
      </c>
    </row>
    <row r="20">
      <c r="A20" t="inlineStr">
        <is>
          <t>· 평일 A와 붙이지 말고 사이에 하루를 둔다.</t>
        </is>
      </c>
    </row>
    <row r="21"/>
    <row r="22">
      <c r="A22" t="inlineStr">
        <is>
          <t>[이두가 이 날에 있는 이유]</t>
        </is>
      </c>
    </row>
    <row r="23">
      <c r="A23" t="inlineStr">
        <is>
          <t>· 재택 8일 주기에서 이두를 당기기 날에서 어깨 날로 옮긴 것과 같은 논리다. 당기기 뒤에는 이두가 간접으로 이미 지쳐 있다.</t>
        </is>
      </c>
    </row>
    <row r="24">
      <c r="A24" t="inlineStr">
        <is>
          <t>· 인클라인 덤벨 컬은 장두가 늘어난 위치에서 시작하는 것이 전부인 종목이라, 지친 상태면 그 특성이 죽는다.</t>
        </is>
      </c>
    </row>
    <row r="25">
      <c r="A25" t="inlineStr">
        <is>
          <t>· 짧아진 구간을 맡는 프리쳐 컬은 일요일에 남겼다 — 이두를 주 2회 3세트씩으로 나눈 것이다.</t>
        </is>
      </c>
    </row>
    <row r="26"/>
    <row r="27">
      <c r="A27" t="inlineStr">
        <is>
          <t>[이 세션을 버리는 기준]</t>
        </is>
      </c>
    </row>
    <row r="28">
      <c r="A28" t="inlineStr">
        <is>
          <t>· 8시간인 평일이 하루뿐인 주에는 이 세션을 뺀다. 네 개 중 가장 먼저 버리는 자리다.</t>
        </is>
      </c>
    </row>
    <row r="29">
      <c r="A29" t="inlineStr">
        <is>
          <t>· 다만 뺀 주에는 후면삼각 7세트와 이두 3세트가 통째로 빠지므로 2주 연속으로 빼지는 않는다.</t>
        </is>
      </c>
    </row>
    <row r="30">
      <c r="A30" t="inlineStr">
        <is>
          <t>· 그것은 의지박약이 아니라 그 상황에서의 규율이다.</t>
        </is>
      </c>
    </row>
    <row r="31"/>
    <row r="32"/>
    <row r="33">
      <c r="C33" t="inlineStr">
        <is>
          <t>[요청 원문] 레그 익스텐션, 힙쓰러스트, 원암 케이블 레터럴레이즈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7"/>
  <sheetViews>
    <sheetView zoomScaleNormal="100" workbookViewId="0">
      <selection activeCell="J14" sqref="J14"/>
    </sheetView>
  </sheetViews>
  <sheetFormatPr baseColWidth="8" defaultColWidth="8.7109375" defaultRowHeight="15"/>
  <cols>
    <col width="5" customWidth="1" style="96" min="1" max="1"/>
    <col width="34" customWidth="1" style="96" min="2" max="2"/>
    <col width="20" customWidth="1" style="96" min="3" max="3"/>
    <col width="14" customWidth="1" style="96" min="4" max="4"/>
    <col width="7" customWidth="1" style="96" min="5" max="5"/>
    <col width="12" customWidth="1" style="96" min="6" max="6"/>
    <col width="10" customWidth="1" style="96" min="7" max="8"/>
    <col width="9" customWidth="1" style="96" min="9" max="9"/>
    <col width="70" customWidth="1" style="96" min="10" max="10"/>
    <col width="55" customWidth="1" style="96" min="11" max="11"/>
  </cols>
  <sheetData>
    <row r="1" ht="21" customHeight="1" s="96">
      <c r="A1" s="1" t="inlineStr">
        <is>
          <t>평일 A — 가슴 위주 (상체 A)</t>
        </is>
      </c>
    </row>
    <row r="2" ht="15" customHeight="1" s="96">
      <c r="A2" s="2" t="inlineStr">
        <is>
          <t>미는 날. 현장 일이 채워주지 않는 유일한 영역이라 여기는 깎지 않고 매주 올린다.</t>
        </is>
      </c>
    </row>
    <row r="3"/>
    <row r="4" ht="15" customHeight="1" s="96">
      <c r="A4" s="6" t="inlineStr">
        <is>
          <t>#</t>
        </is>
      </c>
      <c r="B4" s="5" t="inlineStr">
        <is>
          <t>종목</t>
        </is>
      </c>
      <c r="C4" s="5" t="inlineStr">
        <is>
          <t>근육군</t>
        </is>
      </c>
      <c r="D4" s="5" t="inlineStr">
        <is>
          <t>중량(Kg)</t>
        </is>
      </c>
      <c r="E4" s="5" t="inlineStr">
        <is>
          <t>세트</t>
        </is>
      </c>
      <c r="F4" s="5" t="inlineStr">
        <is>
          <t>횟수</t>
        </is>
      </c>
      <c r="G4" s="5" t="inlineStr">
        <is>
          <t>수행(초)</t>
        </is>
      </c>
      <c r="H4" s="5" t="inlineStr">
        <is>
          <t>휴식(초)</t>
        </is>
      </c>
      <c r="I4" t="inlineStr">
        <is>
          <t>종목 분</t>
        </is>
      </c>
      <c r="J4" t="inlineStr">
        <is>
          <t>메모</t>
        </is>
      </c>
      <c r="K4" t="inlineStr">
        <is>
          <t>대체 종목</t>
        </is>
      </c>
    </row>
    <row r="5" ht="15" customHeight="1" s="96">
      <c r="A5" s="72" t="n">
        <v>1</v>
      </c>
      <c r="B5" s="73" t="inlineStr">
        <is>
          <t>벤치프레스</t>
        </is>
      </c>
      <c r="C5" s="72" t="inlineStr">
        <is>
          <t>흉근(중하부)</t>
        </is>
      </c>
      <c r="D5" s="80">
        <f>시작중량_설정!$E$9</f>
        <v/>
      </c>
      <c r="E5" s="72" t="n">
        <v>5</v>
      </c>
      <c r="F5" s="64" t="inlineStr">
        <is>
          <t>5</t>
        </is>
      </c>
      <c r="G5" s="73" t="n">
        <v>30</v>
      </c>
      <c r="H5" s="73" t="n">
        <v>180</v>
      </c>
      <c r="I5">
        <f>IF(E5=0,0,ROUND(E5*(G5+H5)/60,1))</f>
        <v/>
      </c>
      <c r="J5" t="inlineStr">
        <is>
          <t>미는 종목 1순위. 현장 일이 가슴을 안 건드리므로 매주 선형으로 올린다 (주 +1.125kg)</t>
        </is>
      </c>
      <c r="K5" t="inlineStr">
        <is>
          <t>스미스 벤치 / 체스트 프레스 머신</t>
        </is>
      </c>
    </row>
    <row r="6" ht="15" customHeight="1" s="96">
      <c r="A6" s="7" t="n">
        <v>2</v>
      </c>
      <c r="B6" s="58" t="inlineStr">
        <is>
          <t>인클라인 벤치프레스 머신</t>
        </is>
      </c>
      <c r="C6" s="7" t="inlineStr">
        <is>
          <t>흉근(상부)</t>
        </is>
      </c>
      <c r="D6" s="8" t="inlineStr">
        <is>
          <t>40~45</t>
        </is>
      </c>
      <c r="E6" s="7" t="n">
        <v>5</v>
      </c>
      <c r="F6" s="8" t="inlineStr">
        <is>
          <t>8~10</t>
        </is>
      </c>
      <c r="G6" s="58" t="n">
        <v>40</v>
      </c>
      <c r="H6" s="58" t="n">
        <v>150</v>
      </c>
      <c r="I6">
        <f>IF(E6=0,0,ROUND(E6*(G6+H6)/60,1))</f>
        <v/>
      </c>
      <c r="J6" t="inlineStr">
        <is>
          <t>3 → 5세트. 쇄골지가 직접 3세트뿐이라 실질 4.0으로 하한 미달이었던 것을 메운 자리. 더블 프로그레션 — 전 세트가 목표 반복 상단에 닿으면 다음 주에 중량을 올린다</t>
        </is>
      </c>
      <c r="K6" t="inlineStr">
        <is>
          <t>인클라인 스미스 프레스 / 인클라인 덤벨 프레스</t>
        </is>
      </c>
    </row>
    <row r="7" ht="15" customHeight="1" s="96">
      <c r="A7" s="7" t="n">
        <v>3</v>
      </c>
      <c r="B7" s="58" t="inlineStr">
        <is>
          <t>인클라인 덤벨 플라이</t>
        </is>
      </c>
      <c r="C7" s="7" t="inlineStr">
        <is>
          <t>흉근(상부)</t>
        </is>
      </c>
      <c r="D7" s="8" t="inlineStr">
        <is>
          <t>8~10</t>
        </is>
      </c>
      <c r="E7" s="7" t="n">
        <v>4</v>
      </c>
      <c r="F7" s="8" t="inlineStr">
        <is>
          <t>10~12</t>
        </is>
      </c>
      <c r="G7" s="58" t="n">
        <v>40</v>
      </c>
      <c r="H7" s="58" t="n">
        <v>105</v>
      </c>
      <c r="I7">
        <f>IF(E7=0,0,ROUND(E7*(G7+H7)/60,1))</f>
        <v/>
      </c>
      <c r="J7" t="inlineStr">
        <is>
          <t>재택 2일차 종목이라 새로 익힐 것이 없다. 상부지를 프레스와 플라이 두 각도로 채운다. 더블 프로그레션 — 전 세트가 목표 반복 상단에 닿으면 다음 주에 중량을 올린다</t>
        </is>
      </c>
      <c r="K7" t="inlineStr">
        <is>
          <t>펙덱 플라이 머신 (인클라인 각도) / 인클라인 케이블 플라이</t>
        </is>
      </c>
    </row>
    <row r="8" ht="15" customHeight="1" s="96">
      <c r="A8" s="7" t="n">
        <v>4</v>
      </c>
      <c r="B8" s="94" t="inlineStr">
        <is>
          <t>해머 스트랭스 로우(오버그립)</t>
        </is>
      </c>
      <c r="C8" s="7" t="inlineStr">
        <is>
          <t>광배</t>
        </is>
      </c>
      <c r="D8" s="8" t="inlineStr">
        <is>
          <t>—</t>
        </is>
      </c>
      <c r="E8" s="7" t="n">
        <v>4</v>
      </c>
      <c r="F8" s="8" t="inlineStr">
        <is>
          <t>8~10</t>
        </is>
      </c>
      <c r="G8" s="58" t="n">
        <v>40</v>
      </c>
      <c r="H8" s="58" t="n">
        <v>150</v>
      </c>
      <c r="I8">
        <f>IF(E8=0,0,ROUND(E8*(G8+H8)/60,1))</f>
        <v/>
      </c>
      <c r="J8" t="inlineStr">
        <is>
          <t>체스트 서포티드라 척추 부하가 0이다. 평일에 놓을 수 있는 유일한 로우. 더블 프로그레션 — 전 세트가 목표 반복 상단에 닿으면 다음 주에 중량을 올린다</t>
        </is>
      </c>
      <c r="K8" t="inlineStr">
        <is>
          <t>시티드 케이블 로우 / 머신 로우</t>
        </is>
      </c>
    </row>
    <row r="9" ht="15" customHeight="1" s="96">
      <c r="A9" s="7" t="n">
        <v>5</v>
      </c>
      <c r="B9" s="94" t="inlineStr">
        <is>
          <t>랫풀다운(언더그립 좁게 안쪽으로)</t>
        </is>
      </c>
      <c r="C9" s="7" t="inlineStr">
        <is>
          <t>광배</t>
        </is>
      </c>
      <c r="D9" s="8" t="inlineStr">
        <is>
          <t>—</t>
        </is>
      </c>
      <c r="E9" s="7" t="n">
        <v>4</v>
      </c>
      <c r="F9" s="8" t="inlineStr">
        <is>
          <t>8~12</t>
        </is>
      </c>
      <c r="G9" s="58" t="n">
        <v>40</v>
      </c>
      <c r="H9" s="58" t="n">
        <v>120</v>
      </c>
      <c r="I9">
        <f>IF(E9=0,0,ROUND(E9*(G9+H9)/60,1))</f>
        <v/>
      </c>
      <c r="J9" t="inlineStr">
        <is>
          <t>수직 당기기. 머신이라 척추 부하가 없다. 더블 프로그레션 — 전 세트가 목표 반복 상단에 닿으면 다음 주에 중량을 올린다</t>
        </is>
      </c>
      <c r="K9" t="inlineStr">
        <is>
          <t>뉴트럴 그립 랫풀다운 / 어시스트 풀업 머신</t>
        </is>
      </c>
    </row>
    <row r="10" ht="15" customHeight="1" s="96">
      <c r="A10" s="7" t="n">
        <v>6</v>
      </c>
      <c r="B10" s="58" t="inlineStr">
        <is>
          <t>라잉 트라이셉스 익스텐션</t>
        </is>
      </c>
      <c r="C10" s="7" t="inlineStr">
        <is>
          <t>삼두</t>
        </is>
      </c>
      <c r="D10" s="8" t="inlineStr">
        <is>
          <t>30~35</t>
        </is>
      </c>
      <c r="E10" s="7" t="n">
        <v>3</v>
      </c>
      <c r="F10" s="8" t="inlineStr">
        <is>
          <t>8~12</t>
        </is>
      </c>
      <c r="G10" s="58" t="n">
        <v>40</v>
      </c>
      <c r="H10" s="58" t="n">
        <v>75</v>
      </c>
      <c r="I10">
        <f>IF(E10=0,0,ROUND(E10*(G10+H10)/60,1))</f>
        <v/>
      </c>
      <c r="J10" t="inlineStr">
        <is>
          <t>늘어난 구간. 팔꿈치가 시큰하면 EZ바로 바꾼다. 더블 프로그레션 — 전 세트가 목표 반복 상단에 닿으면 다음 주에 중량을 올린다</t>
        </is>
      </c>
      <c r="K10" t="inlineStr">
        <is>
          <t>EZ바 라잉 익스텐션 (손목·팔꿈치 부담 ↓) / 케이블 오버헤드 익스텐션</t>
        </is>
      </c>
    </row>
    <row r="11" ht="15" customHeight="1" s="96">
      <c r="A11" t="n">
        <v>7</v>
      </c>
      <c r="B11" t="inlineStr">
        <is>
          <t>케이블 푸쉬다운 (로프)</t>
        </is>
      </c>
      <c r="C11" t="inlineStr">
        <is>
          <t>삼두</t>
        </is>
      </c>
      <c r="D11" s="81" t="inlineStr">
        <is>
          <t>20</t>
        </is>
      </c>
      <c r="E11" s="28" t="n">
        <v>3</v>
      </c>
      <c r="F11" t="inlineStr">
        <is>
          <t>10~15</t>
        </is>
      </c>
      <c r="G11" t="n">
        <v>40</v>
      </c>
      <c r="H11" t="n">
        <v>70</v>
      </c>
      <c r="I11">
        <f>IF(E11=0,0,ROUND(E11*(G11+H11)/60,1))</f>
        <v/>
      </c>
      <c r="J11" t="inlineStr">
        <is>
          <t>짧아진 구간 — 라잉과 각도를 나눈다. 더블 프로그레션 — 전 세트가 목표 반복 상단에 닿으면 다음 주에 중량을 올린다</t>
        </is>
      </c>
      <c r="K11" t="inlineStr">
        <is>
          <t>V바 푸쉬다운 / 케이블 킥백</t>
        </is>
      </c>
    </row>
    <row r="12">
      <c r="D12" t="inlineStr">
        <is>
          <t>세트 합계</t>
        </is>
      </c>
      <c r="E12">
        <f>SUM(E5:E11)</f>
        <v/>
      </c>
      <c r="I12">
        <f>ROUND(SUM(I5:I11),0)</f>
        <v/>
      </c>
    </row>
    <row r="13" ht="32.25" customHeight="1" s="96">
      <c r="A13" s="12" t="n"/>
    </row>
    <row r="14" ht="278.25" customHeight="1" s="96">
      <c r="A14" s="11" t="n"/>
      <c r="C14" s="92" t="n"/>
      <c r="F14" s="92" t="n"/>
    </row>
    <row r="15" ht="237.75" customHeight="1" s="96">
      <c r="A15" s="11" t="n"/>
    </row>
    <row r="16" ht="237.75" customHeight="1" s="96">
      <c r="A16" s="11" t="n"/>
    </row>
    <row r="17"/>
    <row r="18"/>
    <row r="19"/>
    <row r="20"/>
    <row r="21">
      <c r="A21" t="inlineStr">
        <is>
          <t>[가슴 배분]</t>
        </is>
      </c>
    </row>
    <row r="22">
      <c r="A22" t="inlineStr">
        <is>
          <t>· 26세트. 전완 2종목은 시간이 남는 일요일에 있고, 대신 쇄골지 보강분이 들어왔다.</t>
        </is>
      </c>
    </row>
    <row r="23">
      <c r="A23" t="inlineStr">
        <is>
          <t>· 고립(라잉 · 푸쉬다운 · 인클라인 플라이)이 10세트라 실질 16이다.</t>
        </is>
      </c>
    </row>
    <row r="24">
      <c r="A24" t="inlineStr">
        <is>
          <t>· 실패지점은 3~4회 남기고 종료. 미는 종목이라도 다음날 근무가 있다는 사실은 안 바뀐다.</t>
        </is>
      </c>
    </row>
    <row r="25"/>
    <row r="26"/>
    <row r="27">
      <c r="C27" t="inlineStr">
        <is>
          <t>[요청 원문] 바벨로우, 푸쉬다운(로프), 시티드 리스트 컬(손등 위)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5"/>
  <sheetViews>
    <sheetView zoomScaleNormal="100" workbookViewId="0">
      <selection activeCell="A1" sqref="A1"/>
    </sheetView>
  </sheetViews>
  <sheetFormatPr baseColWidth="8" defaultColWidth="8.7109375" defaultRowHeight="15"/>
  <cols>
    <col width="18" customWidth="1" style="96" min="1" max="1"/>
    <col width="22" customWidth="1" style="96" min="2" max="3"/>
    <col width="62" customWidth="1" style="96" min="4" max="4"/>
  </cols>
  <sheetData>
    <row r="1" ht="17.25" customHeight="1" s="96">
      <c r="A1" s="1" t="inlineStr">
        <is>
          <t>현장 복귀 버전 — 증량 및 판단 기준</t>
        </is>
      </c>
    </row>
    <row r="2" ht="15" customHeight="1" s="96">
      <c r="A2" s="2" t="inlineStr">
        <is>
          <t>목표는 유지가 아니라 완만한 성장이다. 재택의 주 5kg 선형을 그대로 쓸 수는 없으므로 폭을 줄이고 방식을 더블 프로그레션으로 바꾼다.</t>
        </is>
      </c>
    </row>
    <row r="4" ht="15" customHeight="1" s="96">
      <c r="A4" s="5" t="inlineStr">
        <is>
          <t>항목</t>
        </is>
      </c>
      <c r="B4" s="5" t="inlineStr">
        <is>
          <t>재택 버전</t>
        </is>
      </c>
      <c r="C4" s="5" t="inlineStr">
        <is>
          <t>복귀 버전</t>
        </is>
      </c>
      <c r="D4" s="5" t="inlineStr">
        <is>
          <t>이유</t>
        </is>
      </c>
    </row>
    <row r="5" ht="15" customHeight="1" s="96">
      <c r="A5" s="7" t="inlineStr">
        <is>
          <t>목표</t>
        </is>
      </c>
      <c r="B5" s="7" t="inlineStr">
        <is>
          <t>성장</t>
        </is>
      </c>
      <c r="C5" s="7" t="inlineStr">
        <is>
          <t>완만한 성장</t>
        </is>
      </c>
      <c r="D5" s="74" t="inlineStr">
        <is>
          <t>유지 모드로 두면 현장 일 기간 내내 3대 500이 멈춘다. 느려도 방향은 위로 둔다</t>
        </is>
      </c>
    </row>
    <row r="6" ht="15" customHeight="1" s="96">
      <c r="A6" s="7" t="inlineStr">
        <is>
          <t>빈도</t>
        </is>
      </c>
      <c r="B6" s="8" t="inlineStr">
        <is>
          <t>주 6회</t>
        </is>
      </c>
      <c r="C6" s="7" t="inlineStr">
        <is>
          <t>주 4회 (토 · 일 + 평일 2)</t>
        </is>
      </c>
      <c r="D6" s="58" t="inlineStr">
        <is>
          <t>12시간 요일이 유동이라 고정할 수 있는 것은 토 · 일뿐. 평일 2회는 그 주 근무표를 보고 넣는다</t>
        </is>
      </c>
    </row>
    <row r="7" ht="15" customHeight="1" s="96">
      <c r="A7" s="7" t="inlineStr">
        <is>
          <t>총 세트</t>
        </is>
      </c>
      <c r="B7" s="7" t="inlineStr">
        <is>
          <t>주당 환산 161세트</t>
        </is>
      </c>
      <c r="C7" s="7" t="inlineStr">
        <is>
          <t>약 120세트</t>
        </is>
      </c>
      <c r="D7" s="58" t="inlineStr">
        <is>
          <t>유지선은 75. 비어 있던 부위를 되살리고 사두 · 삼각 · 팔을 MEV 위로 올렸다</t>
        </is>
      </c>
    </row>
    <row r="8" ht="15" customHeight="1" s="96">
      <c r="A8" s="7" t="inlineStr">
        <is>
          <t>증량 방식</t>
        </is>
      </c>
      <c r="B8" s="7" t="inlineStr">
        <is>
          <t>매주 선형</t>
        </is>
      </c>
      <c r="C8" s="7" t="inlineStr">
        <is>
          <t>메인 3종목만 선형 · 나머지는 더블 프로그레션</t>
        </is>
      </c>
      <c r="D8" s="58" t="inlineStr">
        <is>
          <t>현장 일로 컨디션 변동이 크다. 반복을 먼저 채우고 중량을 올리는 편이 X가 덜 쌓인다</t>
        </is>
      </c>
    </row>
    <row r="9" ht="15" customHeight="1" s="96">
      <c r="A9" s="7" t="inlineStr">
        <is>
          <t>증량 폭</t>
        </is>
      </c>
      <c r="B9" s="8" t="inlineStr">
        <is>
          <t>하체 5 / 벤치 2.25 / 프레스 1.25</t>
        </is>
      </c>
      <c r="C9" s="8" t="inlineStr">
        <is>
          <t>하체 2.5 / 벤치 1.125 / 프레스 1.25</t>
        </is>
      </c>
      <c r="D9" s="58" t="inlineStr">
        <is>
          <t>마이크로플레이트 활용. 각 리프트가 주 1회뿐 — 폭을 줄여 그 1회를 확실히 채운다</t>
        </is>
      </c>
    </row>
    <row r="10" ht="15" customHeight="1" s="96">
      <c r="A10" s="7" t="inlineStr">
        <is>
          <t>미는 종목</t>
        </is>
      </c>
      <c r="B10" s="8" t="inlineStr">
        <is>
          <t>전부</t>
        </is>
      </c>
      <c r="C10" s="8" t="inlineStr">
        <is>
          <t>벤치 · 스쿼트 · 오버헤드 프레스</t>
        </is>
      </c>
      <c r="D10" s="58" t="inlineStr">
        <is>
          <t>셋 다 세션 앞쪽에 신선한 상태로 둔다. 현장 일이 안 채우는 영역이라 여기가 가장 확실하게 오른다</t>
        </is>
      </c>
    </row>
    <row r="11" ht="15" customHeight="1" s="96">
      <c r="A11" s="7" t="inlineStr">
        <is>
          <t>지키는 종목</t>
        </is>
      </c>
      <c r="B11" s="8" t="inlineStr">
        <is>
          <t>—</t>
        </is>
      </c>
      <c r="C11" s="8" t="inlineStr">
        <is>
          <t>데드리프트 (첫 4주)</t>
        </is>
      </c>
      <c r="D11" s="58" t="inlineStr">
        <is>
          <t>허리는 현장 일과 직접 경쟁한다. 4주간 지표가 깨끗하면 2×5로 올려 성장으로 돌린다</t>
        </is>
      </c>
    </row>
    <row r="12" ht="15" customHeight="1" s="96">
      <c r="A12" s="7" t="inlineStr">
        <is>
          <t>실패지점</t>
        </is>
      </c>
      <c r="B12" s="8" t="inlineStr">
        <is>
          <t>2~3회 남기고</t>
        </is>
      </c>
      <c r="C12" s="8" t="inlineStr">
        <is>
          <t>3~4회 남기고</t>
        </is>
      </c>
      <c r="D12" s="58" t="inlineStr">
        <is>
          <t>다음날 현장에서 청구서로 돌아온다. 미는 종목이라도 이 기준은 안 바뀐다</t>
        </is>
      </c>
    </row>
    <row r="13" ht="15" customHeight="1" s="96">
      <c r="A13" s="84" t="inlineStr">
        <is>
          <t>팔 전용 종목</t>
        </is>
      </c>
      <c r="B13" s="85" t="inlineStr">
        <is>
          <t>25세트</t>
        </is>
      </c>
      <c r="C13" s="85" t="inlineStr">
        <is>
          <t>18세트 (이두 6 · 삼두 6 · 전완 6)</t>
        </is>
      </c>
      <c r="D13" s="84" t="inlineStr">
        <is>
          <t>전완은 그립이 현장에서 온종일 쓰이지만 손목 굴곡 · 신전은 따로 안 나온다. 신근 · 굴근 1종목씩 남겼다</t>
        </is>
      </c>
    </row>
    <row r="14">
      <c r="A14" t="inlineStr">
        <is>
          <t>장비</t>
        </is>
      </c>
      <c r="B14" t="inlineStr">
        <is>
          <t>프리웨이트 중심</t>
        </is>
      </c>
      <c r="C14" t="inlineStr">
        <is>
          <t>머신 · 케이블 중심 (스쿼트 · 벤치 · 데드 · 바벨로우 제외)</t>
        </is>
      </c>
      <c r="D14" t="inlineStr">
        <is>
          <t>현장 일이 안정화 근육을 이미 하루치 쓴다. 남은 힘을 표적 근육에만 쓰는 편이 남는다</t>
        </is>
      </c>
    </row>
    <row r="15" ht="15" customHeight="1" s="96">
      <c r="A15" s="3" t="n"/>
    </row>
    <row r="16" ht="39" customHeight="1" s="96">
      <c r="A16" s="11" t="n"/>
    </row>
    <row r="17" ht="51.75" customHeight="1" s="96">
      <c r="A17" s="11" t="inlineStr">
        <is>
          <t>[더블 프로그레션 — 보조 종목의 기본 증량법]</t>
        </is>
      </c>
    </row>
    <row r="18" ht="39" customHeight="1" s="96">
      <c r="A18" s="11" t="inlineStr">
        <is>
          <t>· 목표 반복이 8~12라면, 전 세트에서 12회를 채운 다음 주에 중량을 올린다. 올린 주에는 반복이 8회로 떨어지는 것이 정상이다.</t>
        </is>
      </c>
    </row>
    <row r="19" ht="39" customHeight="1" s="96">
      <c r="A19" s="11" t="inlineStr">
        <is>
          <t>· 선형은 날짜가 증량을 정하고 더블 프로그레션은 몸이 정한다. 현장 일로 컨디션이 흔들릴 때 뒤쪽이 안 무너진다.</t>
        </is>
      </c>
    </row>
    <row r="20" ht="15" customHeight="1" s="96">
      <c r="A20" s="68" t="inlineStr">
        <is>
          <t>· 메인 3종목(스쿼트 · 벤치 · 데드)만 선형으로 남긴다. 5회 고정이라 반복으로 진행을 잴 수가 없기 때문이다.</t>
        </is>
      </c>
    </row>
    <row r="21" ht="51.75" customHeight="1" s="96">
      <c r="A21" s="11" t="n"/>
    </row>
    <row r="22" ht="39" customHeight="1" s="96">
      <c r="A22" s="11" t="inlineStr">
        <is>
          <t>[판단 기준]</t>
        </is>
      </c>
    </row>
    <row r="23" ht="15" customHeight="1" s="96">
      <c r="A23" s="68" t="inlineStr">
        <is>
          <t>· 유일한 지표는 다음 근무일 아침의 허리 상태다.</t>
        </is>
      </c>
    </row>
    <row r="24" ht="51.75" customHeight="1" s="96">
      <c r="A24" s="11" t="inlineStr">
        <is>
          <t>· 뻐근하면 그 주 무게가 과했던 것 — 다음 주에 내린다. 어떤 프로그램 표보다 정확하다.</t>
        </is>
      </c>
    </row>
    <row r="25" ht="39" customHeight="1" s="96">
      <c r="A25" s="11" t="inlineStr">
        <is>
          <t>· 몸 상태가 안 좋은 날은 건너뛴다. 주 4회 중 3회만 가는 주가 있어도 된다.</t>
        </is>
      </c>
    </row>
    <row r="26">
      <c r="A26" t="inlineStr">
        <is>
          <t>· 그것은 의지박약이 아니라 그 상황에서의 규율이다.</t>
        </is>
      </c>
    </row>
    <row r="28">
      <c r="A28" t="inlineStr">
        <is>
          <t>[성장 속도에 대한 현실적인 기대]</t>
        </is>
      </c>
    </row>
    <row r="29">
      <c r="A29" t="inlineStr">
        <is>
          <t>· 재택 때 속도의 1/3~1/2이 정상이다. 못 채운 주가 이어져도 실패가 아니다 — 증량기록에 X를 넣으면 그 주 중량이 유지된다.</t>
        </is>
      </c>
    </row>
    <row r="30">
      <c r="A30" t="inlineStr">
        <is>
          <t>· 벤치 주 1.125kg가 다 채워지면 1년에 58kg이다. 절반만 채워도 복귀 전보다 위에 있다.</t>
        </is>
      </c>
    </row>
    <row r="31">
      <c r="A31" t="inlineStr">
        <is>
          <t>· 현장 일을 하면서 성장하는 조건은 볼륨이 아니라 미는 자리를 좁게 잡는 것이다. 벤치와 스쿼트 둘만 확실히 밀어도 3대는 올라간다.</t>
        </is>
      </c>
    </row>
    <row r="33">
      <c r="A33" t="inlineStr">
        <is>
          <t>[105세트가 버거우면 이 순서로 뺀다]</t>
        </is>
      </c>
    </row>
    <row r="34">
      <c r="A34" t="inlineStr">
        <is>
          <t>· 1순위 — 평일 B 전체(26). 메인 리프트가 없는 유일한 세션이라 주 3회로 떨어뜨리는 가장 싼 방법이다.</t>
        </is>
      </c>
    </row>
    <row r="35">
      <c r="A35" t="inlineStr">
        <is>
          <t>· 2순위 — 전완 2종목(6). 그립은 현장에서 온종일 쓰므로 실질 손실이 가장 적다.</t>
        </is>
      </c>
    </row>
    <row r="36">
      <c r="A36" t="inlineStr">
        <is>
          <t>· 3순위 — 레그 익스텐션 · 펙덱 · 디클라인 플라이(9). 고립이라 메인 리프트 진행에 영향이 없다.</t>
        </is>
      </c>
    </row>
    <row r="37">
      <c r="A37" t="inlineStr">
        <is>
          <t>· 마지막까지 지키는 것은 벤치 · 스쿼트 · 데드와 프레싱 볼륨이다. 현장 일이 안 채우는 영역이기 때문이다.</t>
        </is>
      </c>
    </row>
    <row r="39">
      <c r="A39" t="inlineStr">
        <is>
          <t>[디로드 — 6~8주마다 한 주]</t>
        </is>
      </c>
    </row>
    <row r="40">
      <c r="A40" t="inlineStr">
        <is>
          <t>· 세트를 절반으로 내리고 중량은 그대로 둔다. 볼륨만 빼고 강도를 유지해야 근력이 남는다.</t>
        </is>
      </c>
    </row>
    <row r="41">
      <c r="A41" t="inlineStr">
        <is>
          <t>· 메인 리프트는 세트만 줄인다 — 스쿼트 5×5 → 2×5 · 벤치 5×5 → 2×5 · 데드는 건너뛴다. 중량은 손대지 않는다.</t>
        </is>
      </c>
    </row>
    <row r="42">
      <c r="A42" t="inlineStr">
        <is>
          <t>· 보조 종목은 전부 절반으로. 3세트짜리는 1~2세트, 4세트짜리는 2세트.</t>
        </is>
      </c>
    </row>
    <row r="43">
      <c r="A43" t="inlineStr">
        <is>
          <t>· 기본 주기는 6주다. 다음 근무일 아침 허리가 2주 연속 무거우면 그 시점에 앞당긴다.</t>
        </is>
      </c>
    </row>
    <row r="44">
      <c r="A44" t="inlineStr">
        <is>
          <t>· 디로드 다음 주에 기록이 깨지는 경우가 많다. 쉬어서 느려지는 것이 아니라 쌓인 피로가 빠지면서 그동안의 적응이 드러나는 것이다.</t>
        </is>
      </c>
    </row>
    <row r="45">
      <c r="A45" t="inlineStr">
        <is>
          <t>· 이것이 없으면 어느 시점에 반드시 막히고, 막힌 것을 '볼륨이 부족한가'로 오해해 더 넣게 된다. 부상은 대개 그 경로로 온다.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4" customWidth="1" style="96" min="1" max="1"/>
    <col width="32" customWidth="1" style="96" min="2" max="2"/>
    <col width="20" customWidth="1" style="96" min="3" max="3"/>
    <col width="7" customWidth="1" style="96" min="4" max="4"/>
    <col width="10" customWidth="1" style="96" min="5" max="6"/>
    <col width="7" customWidth="1" style="96" min="7" max="7"/>
    <col width="60" customWidth="1" style="96" min="8" max="8"/>
  </cols>
  <sheetData>
    <row r="1">
      <c r="A1" t="inlineStr">
        <is>
          <t>복귀판 간접 세트 계수 맵 — 복귀_세트검산 간접 열(C)의 계산 원천</t>
        </is>
      </c>
    </row>
    <row r="2">
      <c r="A2" t="inlineStr">
        <is>
      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      </is>
      </c>
    </row>
    <row r="3">
      <c r="A3" t="inlineStr">
        <is>
          <t>이름 매칭 실패 줄 수 (0이어야 정상 — 0이 아니면 요일 시트에서 종목 이름이 바뀐 것이다)</t>
        </is>
      </c>
      <c r="F3">
        <f>COUNTIF($E$7:$E$51,"?")</f>
        <v/>
      </c>
    </row>
    <row r="4">
      <c r="A4" t="inlineStr">
        <is>
      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      </is>
      </c>
    </row>
    <row r="6">
      <c r="A6" t="inlineStr">
        <is>
          <t>원천 슬롯</t>
        </is>
      </c>
      <c r="B6" t="inlineStr">
        <is>
          <t>원천종목</t>
        </is>
      </c>
      <c r="C6" t="inlineStr">
        <is>
          <t>대상근육</t>
        </is>
      </c>
      <c r="D6" t="inlineStr">
        <is>
          <t>계수</t>
        </is>
      </c>
      <c r="E6" t="inlineStr">
        <is>
          <t>원천세트</t>
        </is>
      </c>
      <c r="F6" t="inlineStr">
        <is>
          <t>간접세트</t>
        </is>
      </c>
      <c r="G6" t="inlineStr">
        <is>
          <t>출처</t>
        </is>
      </c>
      <c r="H6" t="inlineStr">
        <is>
          <t>계수 근거</t>
        </is>
      </c>
    </row>
    <row r="7">
      <c r="A7" t="inlineStr">
        <is>
          <t>복귀_평일A_가슴</t>
        </is>
      </c>
      <c r="B7" t="inlineStr">
        <is>
          <t>해머 스트랭스 로우(오버그립)</t>
        </is>
      </c>
      <c r="C7" t="inlineStr">
        <is>
          <t>이두</t>
        </is>
      </c>
      <c r="D7" t="n">
        <v>0.5</v>
      </c>
      <c r="E7">
        <f>IFERROR(INDEX(INDIRECT("'"&amp;$A7&amp;"'!$E$1:$E$45"),MATCH($B7,INDIRECT("'"&amp;$A7&amp;"'!$B$1:$B$45"),0)),"?")</f>
        <v/>
      </c>
      <c r="F7">
        <f>IF(ISNUMBER(E7),$D7*E7,0)</f>
        <v/>
      </c>
      <c r="G7" t="inlineStr">
        <is>
          <t>C</t>
        </is>
      </c>
      <c r="H7" t="inlineStr">
        <is>
          <t>로우 중 이두 능동 굴곡 — 강한 협력</t>
        </is>
      </c>
    </row>
    <row r="8">
      <c r="A8" t="inlineStr">
        <is>
          <t>복귀_평일A_가슴</t>
        </is>
      </c>
      <c r="B8" t="inlineStr">
        <is>
          <t>랫풀다운(언더그립 좁게 안쪽으로)</t>
        </is>
      </c>
      <c r="C8" t="inlineStr">
        <is>
          <t>이두</t>
        </is>
      </c>
      <c r="D8" t="n">
        <v>0.5</v>
      </c>
      <c r="E8">
        <f>IFERROR(INDEX(INDIRECT("'"&amp;$A8&amp;"'!$E$1:$E$45"),MATCH($B8,INDIRECT("'"&amp;$A8&amp;"'!$B$1:$B$45"),0)),"?")</f>
        <v/>
      </c>
      <c r="F8">
        <f>IF(ISNUMBER(E8),$D8*E8,0)</f>
        <v/>
      </c>
      <c r="G8" t="inlineStr">
        <is>
          <t>C</t>
        </is>
      </c>
      <c r="H8" t="inlineStr">
        <is>
          <t>당기기 중 이두 능동 굴곡</t>
        </is>
      </c>
    </row>
    <row r="9">
      <c r="A9" t="inlineStr">
        <is>
          <t>복귀_일_등</t>
        </is>
      </c>
      <c r="B9" t="inlineStr">
        <is>
          <t>스미스 바벨 로우(오버그립)</t>
        </is>
      </c>
      <c r="C9" t="inlineStr">
        <is>
          <t>이두</t>
        </is>
      </c>
      <c r="D9" t="n">
        <v>0.5</v>
      </c>
      <c r="E9">
        <f>IFERROR(INDEX(INDIRECT("'"&amp;$A9&amp;"'!$E$1:$E$45"),MATCH($B9,INDIRECT("'"&amp;$A9&amp;"'!$B$1:$B$45"),0)),"?")</f>
        <v/>
      </c>
      <c r="F9">
        <f>IF(ISNUMBER(E9),$D9*E9,0)</f>
        <v/>
      </c>
      <c r="G9" t="inlineStr">
        <is>
          <t>C</t>
        </is>
      </c>
      <c r="H9" t="inlineStr">
        <is>
          <t>로우 중 이두 능동 굴곡</t>
        </is>
      </c>
    </row>
    <row r="10">
      <c r="A10" t="inlineStr">
        <is>
          <t>복귀_일_등</t>
        </is>
      </c>
      <c r="B10" t="inlineStr">
        <is>
          <t>시티드 케이블 로우(좁은 그립)</t>
        </is>
      </c>
      <c r="C10" t="inlineStr">
        <is>
          <t>이두</t>
        </is>
      </c>
      <c r="D10" t="n">
        <v>0.5</v>
      </c>
      <c r="E10">
        <f>IFERROR(INDEX(INDIRECT("'"&amp;$A10&amp;"'!$E$1:$E$45"),MATCH($B10,INDIRECT("'"&amp;$A10&amp;"'!$B$1:$B$45"),0)),"?")</f>
        <v/>
      </c>
      <c r="F10">
        <f>IF(ISNUMBER(E10),$D10*E10,0)</f>
        <v/>
      </c>
      <c r="G10" t="inlineStr">
        <is>
          <t>C</t>
        </is>
      </c>
      <c r="H10" t="inlineStr">
        <is>
          <t>로우 중 이두 능동 굴곡</t>
        </is>
      </c>
    </row>
    <row r="11">
      <c r="A11" t="inlineStr">
        <is>
          <t>복귀_일_등</t>
        </is>
      </c>
      <c r="B11" t="inlineStr">
        <is>
          <t>친업 (어시스트 가능)</t>
        </is>
      </c>
      <c r="C11" t="inlineStr">
        <is>
          <t>이두</t>
        </is>
      </c>
      <c r="D11" t="n">
        <v>0.5</v>
      </c>
      <c r="E11">
        <f>IFERROR(INDEX(INDIRECT("'"&amp;$A11&amp;"'!$E$1:$E$45"),MATCH($B11,INDIRECT("'"&amp;$A11&amp;"'!$B$1:$B$45"),0)),"?")</f>
        <v/>
      </c>
      <c r="F11">
        <f>IF(ISNUMBER(E11),$D11*E11,0)</f>
        <v/>
      </c>
      <c r="G11" t="inlineStr">
        <is>
          <t>C</t>
        </is>
      </c>
      <c r="H11" t="inlineStr">
        <is>
          <t>당기기 중 이두 능동 굴곡</t>
        </is>
      </c>
    </row>
    <row r="12">
      <c r="A12" t="inlineStr">
        <is>
          <t>복귀_평일A_가슴</t>
        </is>
      </c>
      <c r="B12" t="inlineStr">
        <is>
          <t>벤치프레스</t>
        </is>
      </c>
      <c r="C12" t="inlineStr">
        <is>
          <t>삼두</t>
        </is>
      </c>
      <c r="D12" t="n">
        <v>0.5</v>
      </c>
      <c r="E12">
        <f>IFERROR(INDEX(INDIRECT("'"&amp;$A12&amp;"'!$E$1:$E$45"),MATCH($B12,INDIRECT("'"&amp;$A12&amp;"'!$B$1:$B$45"),0)),"?")</f>
        <v/>
      </c>
      <c r="F12">
        <f>IF(ISNUMBER(E12),$D12*E12,0)</f>
        <v/>
      </c>
      <c r="G12" t="inlineStr">
        <is>
          <t>C</t>
        </is>
      </c>
      <c r="H12" t="inlineStr">
        <is>
          <t>프레스 중 팔꿈치 신전 — 강한 협력</t>
        </is>
      </c>
    </row>
    <row r="13">
      <c r="A13" t="inlineStr">
        <is>
          <t>복귀_평일A_가슴</t>
        </is>
      </c>
      <c r="B13" t="inlineStr">
        <is>
          <t>인클라인 벤치프레스 머신</t>
        </is>
      </c>
      <c r="C13" t="inlineStr">
        <is>
          <t>삼두</t>
        </is>
      </c>
      <c r="D13" t="n">
        <v>0.5</v>
      </c>
      <c r="E13">
        <f>IFERROR(INDEX(INDIRECT("'"&amp;$A13&amp;"'!$E$1:$E$45"),MATCH($B13,INDIRECT("'"&amp;$A13&amp;"'!$B$1:$B$45"),0)),"?")</f>
        <v/>
      </c>
      <c r="F13">
        <f>IF(ISNUMBER(E13),$D13*E13,0)</f>
        <v/>
      </c>
      <c r="G13" t="inlineStr">
        <is>
          <t>C</t>
        </is>
      </c>
      <c r="H13" t="inlineStr">
        <is>
          <t>프레스 중 팔꿈치 신전</t>
        </is>
      </c>
    </row>
    <row r="14"/>
    <row r="15">
      <c r="A15" t="inlineStr">
        <is>
          <t>복귀_평일B_어깨</t>
        </is>
      </c>
      <c r="B15" t="inlineStr">
        <is>
          <t>머신 숄더 프레스</t>
        </is>
      </c>
      <c r="C15" t="inlineStr">
        <is>
          <t>삼두</t>
        </is>
      </c>
      <c r="D15" t="n">
        <v>0.5</v>
      </c>
      <c r="E15">
        <f>IFERROR(INDEX(INDIRECT("'"&amp;$A15&amp;"'!$E$1:$E$45"),MATCH($B15,INDIRECT("'"&amp;$A15&amp;"'!$B$1:$B$45"),0)),"?")</f>
        <v/>
      </c>
      <c r="F15">
        <f>IF(ISNUMBER(E15),$D15*E15,0)</f>
        <v/>
      </c>
      <c r="G15" t="inlineStr">
        <is>
          <t>C</t>
        </is>
      </c>
      <c r="H15" t="inlineStr">
        <is>
          <t>프레스 중 팔꿈치 신전</t>
        </is>
      </c>
    </row>
    <row r="16">
      <c r="A16" t="inlineStr">
        <is>
          <t>복귀_토_하체</t>
        </is>
      </c>
      <c r="B16" t="inlineStr">
        <is>
          <t>스미스 오버헤드 프레스</t>
        </is>
      </c>
      <c r="C16" t="inlineStr">
        <is>
          <t>삼두</t>
        </is>
      </c>
      <c r="D16" t="n">
        <v>0.5</v>
      </c>
      <c r="E16">
        <f>IFERROR(INDEX(INDIRECT("'"&amp;$A16&amp;"'!$E$1:$E$45"),MATCH($B16,INDIRECT("'"&amp;$A16&amp;"'!$B$1:$B$45"),0)),"?")</f>
        <v/>
      </c>
      <c r="F16">
        <f>IF(ISNUMBER(E16),$D16*E16,0)</f>
        <v/>
      </c>
      <c r="G16" t="inlineStr">
        <is>
          <t>C</t>
        </is>
      </c>
      <c r="H16" t="inlineStr">
        <is>
          <t>프레스 중 팔꿈치 신전</t>
        </is>
      </c>
    </row>
    <row r="17">
      <c r="A17" t="inlineStr">
        <is>
          <t>복귀_일_등</t>
        </is>
      </c>
      <c r="B17" t="inlineStr">
        <is>
          <t>딥스</t>
        </is>
      </c>
      <c r="C17" t="inlineStr">
        <is>
          <t>삼두</t>
        </is>
      </c>
      <c r="D17" t="n">
        <v>0.5</v>
      </c>
      <c r="E17">
        <f>IFERROR(INDEX(INDIRECT("'"&amp;$A17&amp;"'!$E$1:$E$45"),MATCH($B17,INDIRECT("'"&amp;$A17&amp;"'!$B$1:$B$45"),0)),"?")</f>
        <v/>
      </c>
      <c r="F17">
        <f>IF(ISNUMBER(E17),$D17*E17,0)</f>
        <v/>
      </c>
      <c r="G17" t="inlineStr">
        <is>
          <t>C</t>
        </is>
      </c>
      <c r="H17" t="inlineStr">
        <is>
          <t>프레스 중 팔꿈치 신전</t>
        </is>
      </c>
    </row>
    <row r="18">
      <c r="A18" t="inlineStr">
        <is>
          <t>복귀_평일A_가슴</t>
        </is>
      </c>
      <c r="B18" t="inlineStr">
        <is>
          <t>벤치프레스</t>
        </is>
      </c>
      <c r="C18" t="inlineStr">
        <is>
          <t>삼각근(전면)</t>
        </is>
      </c>
      <c r="D18" t="n">
        <v>0.5</v>
      </c>
      <c r="E18">
        <f>IFERROR(INDEX(INDIRECT("'"&amp;$A18&amp;"'!$E$1:$E$45"),MATCH($B18,INDIRECT("'"&amp;$A18&amp;"'!$B$1:$B$45"),0)),"?")</f>
        <v/>
      </c>
      <c r="F18">
        <f>IF(ISNUMBER(E18),$D18*E18,0)</f>
        <v/>
      </c>
      <c r="G18" t="inlineStr">
        <is>
          <t>C</t>
        </is>
      </c>
      <c r="H18" t="inlineStr">
        <is>
          <t>수평 내전 시 전면삼각 능동 관여</t>
        </is>
      </c>
    </row>
    <row r="19">
      <c r="A19" t="inlineStr">
        <is>
          <t>복귀_평일A_가슴</t>
        </is>
      </c>
      <c r="B19" t="inlineStr">
        <is>
          <t>인클라인 벤치프레스 머신</t>
        </is>
      </c>
      <c r="C19" t="inlineStr">
        <is>
          <t>삼각근(전면)</t>
        </is>
      </c>
      <c r="D19" t="n">
        <v>0.5</v>
      </c>
      <c r="E19">
        <f>IFERROR(INDEX(INDIRECT("'"&amp;$A19&amp;"'!$E$1:$E$45"),MATCH($B19,INDIRECT("'"&amp;$A19&amp;"'!$B$1:$B$45"),0)),"?")</f>
        <v/>
      </c>
      <c r="F19">
        <f>IF(ISNUMBER(E19),$D19*E19,0)</f>
        <v/>
      </c>
      <c r="G19" t="inlineStr">
        <is>
          <t>C</t>
        </is>
      </c>
      <c r="H19" t="inlineStr">
        <is>
          <t>경사각이 클수록 전면삼각 기여 증가</t>
        </is>
      </c>
    </row>
    <row r="20">
      <c r="A20" t="inlineStr">
        <is>
          <t>복귀_일_등</t>
        </is>
      </c>
      <c r="B20" t="inlineStr">
        <is>
          <t>딥스</t>
        </is>
      </c>
      <c r="C20" t="inlineStr">
        <is>
          <t>삼각근(전면)</t>
        </is>
      </c>
      <c r="D20" t="n">
        <v>0.2</v>
      </c>
      <c r="E20">
        <f>IFERROR(INDEX(INDIRECT("'"&amp;$A20&amp;"'!$E$1:$E$45"),MATCH($B20,INDIRECT("'"&amp;$A20&amp;"'!$B$1:$B$45"),0)),"?")</f>
        <v/>
      </c>
      <c r="F20">
        <f>IF(ISNUMBER(E20),$D20*E20,0)</f>
        <v/>
      </c>
      <c r="G20" t="inlineStr">
        <is>
          <t>C</t>
        </is>
      </c>
      <c r="H20" t="inlineStr">
        <is>
          <t>몸을 앞으로 기울인 자세에서 약한 관여</t>
        </is>
      </c>
    </row>
    <row r="21">
      <c r="A21" t="inlineStr">
        <is>
          <t>복귀_토_하체</t>
        </is>
      </c>
      <c r="B21" t="inlineStr">
        <is>
          <t>스미스 오버헤드 프레스</t>
        </is>
      </c>
      <c r="C21" t="inlineStr">
        <is>
          <t>삼각근(측면)</t>
        </is>
      </c>
      <c r="D21" t="n">
        <v>0.5</v>
      </c>
      <c r="E21">
        <f>IFERROR(INDEX(INDIRECT("'"&amp;$A21&amp;"'!$E$1:$E$45"),MATCH($B21,INDIRECT("'"&amp;$A21&amp;"'!$B$1:$B$45"),0)),"?")</f>
        <v/>
      </c>
      <c r="F21">
        <f>IF(ISNUMBER(E21),$D21*E21,0)</f>
        <v/>
      </c>
      <c r="G21" t="inlineStr">
        <is>
          <t>C</t>
        </is>
      </c>
      <c r="H21" t="inlineStr">
        <is>
          <t>머리 위 프레스 중 측면삼각 능동 외전</t>
        </is>
      </c>
    </row>
    <row r="22">
      <c r="A22" t="inlineStr">
        <is>
          <t>복귀_평일A_가슴</t>
        </is>
      </c>
      <c r="B22" t="inlineStr">
        <is>
          <t>해머 스트랭스 로우(오버그립)</t>
        </is>
      </c>
      <c r="C22" t="inlineStr">
        <is>
          <t>승모(중부)·능형근</t>
        </is>
      </c>
      <c r="D22" t="n">
        <v>0.5</v>
      </c>
      <c r="E22">
        <f>IFERROR(INDEX(INDIRECT("'"&amp;$A22&amp;"'!$E$1:$E$45"),MATCH($B22,INDIRECT("'"&amp;$A22&amp;"'!$B$1:$B$45"),0)),"?")</f>
        <v/>
      </c>
      <c r="F22">
        <f>IF(ISNUMBER(E22),$D22*E22,0)</f>
        <v/>
      </c>
      <c r="G22" t="inlineStr">
        <is>
          <t>C</t>
        </is>
      </c>
      <c r="H22" t="inlineStr">
        <is>
          <t>로우 중 견갑 후인 — 강한 협력</t>
        </is>
      </c>
    </row>
    <row r="23">
      <c r="A23" t="inlineStr">
        <is>
          <t>복귀_일_등</t>
        </is>
      </c>
      <c r="B23" t="inlineStr">
        <is>
          <t>스미스 바벨 로우(오버그립)</t>
        </is>
      </c>
      <c r="C23" t="inlineStr">
        <is>
          <t>승모(중부)·능형근</t>
        </is>
      </c>
      <c r="D23" t="n">
        <v>0.5</v>
      </c>
      <c r="E23">
        <f>IFERROR(INDEX(INDIRECT("'"&amp;$A23&amp;"'!$E$1:$E$45"),MATCH($B23,INDIRECT("'"&amp;$A23&amp;"'!$B$1:$B$45"),0)),"?")</f>
        <v/>
      </c>
      <c r="F23">
        <f>IF(ISNUMBER(E23),$D23*E23,0)</f>
        <v/>
      </c>
      <c r="G23" t="inlineStr">
        <is>
          <t>C</t>
        </is>
      </c>
      <c r="H23" t="inlineStr">
        <is>
          <t>로우 중 견갑 후인</t>
        </is>
      </c>
    </row>
    <row r="24">
      <c r="A24" t="inlineStr">
        <is>
          <t>복귀_일_등</t>
        </is>
      </c>
      <c r="B24" t="inlineStr">
        <is>
          <t>시티드 케이블 로우(좁은 그립)</t>
        </is>
      </c>
      <c r="C24" t="inlineStr">
        <is>
          <t>승모(중부)·능형근</t>
        </is>
      </c>
      <c r="D24" t="n">
        <v>0.5</v>
      </c>
      <c r="E24">
        <f>IFERROR(INDEX(INDIRECT("'"&amp;$A24&amp;"'!$E$1:$E$45"),MATCH($B24,INDIRECT("'"&amp;$A24&amp;"'!$B$1:$B$45"),0)),"?")</f>
        <v/>
      </c>
      <c r="F24">
        <f>IF(ISNUMBER(E24),$D24*E24,0)</f>
        <v/>
      </c>
      <c r="G24" t="inlineStr">
        <is>
          <t>C</t>
        </is>
      </c>
      <c r="H24" t="inlineStr">
        <is>
          <t>로우 중 견갑 후인</t>
        </is>
      </c>
    </row>
    <row r="25">
      <c r="A25" t="inlineStr">
        <is>
          <t>복귀_평일B_어깨</t>
        </is>
      </c>
      <c r="B25" t="inlineStr">
        <is>
          <t>케이블 리버스 플라이</t>
        </is>
      </c>
      <c r="C25" t="inlineStr">
        <is>
          <t>승모(중부)·능형근</t>
        </is>
      </c>
      <c r="D25" t="n">
        <v>0.5</v>
      </c>
      <c r="E25">
        <f>IFERROR(INDEX(INDIRECT("'"&amp;$A25&amp;"'!$E$1:$E$45"),MATCH($B25,INDIRECT("'"&amp;$A25&amp;"'!$B$1:$B$45"),0)),"?")</f>
        <v/>
      </c>
      <c r="F25">
        <f>IF(ISNUMBER(E25),$D25*E25,0)</f>
        <v/>
      </c>
      <c r="G25" t="inlineStr">
        <is>
          <t>C</t>
        </is>
      </c>
      <c r="H25" t="inlineStr">
        <is>
          <t>수평 외전 + 견갑 후인 — 강한 협력</t>
        </is>
      </c>
    </row>
    <row r="26">
      <c r="A26" t="inlineStr">
        <is>
          <t>복귀_평일B_어깨</t>
        </is>
      </c>
      <c r="B26" t="inlineStr">
        <is>
          <t>벤트오버 레터럴 레이즈 머신</t>
        </is>
      </c>
      <c r="C26" t="inlineStr">
        <is>
          <t>승모(중부)·능형근</t>
        </is>
      </c>
      <c r="D26" t="n">
        <v>0.33</v>
      </c>
      <c r="E26">
        <f>IFERROR(INDEX(INDIRECT("'"&amp;$A26&amp;"'!$E$1:$E$45"),MATCH($B26,INDIRECT("'"&amp;$A26&amp;"'!$B$1:$B$45"),0)),"?")</f>
        <v/>
      </c>
      <c r="F26">
        <f>IF(ISNUMBER(E26),$D26*E26,0)</f>
        <v/>
      </c>
      <c r="G26" t="inlineStr">
        <is>
          <t>C</t>
        </is>
      </c>
      <c r="H26" t="inlineStr">
        <is>
          <t>견갑 후인 부분 협력</t>
        </is>
      </c>
    </row>
    <row r="27">
      <c r="A27" t="inlineStr">
        <is>
          <t>복귀_토_하체</t>
        </is>
      </c>
      <c r="B27" t="inlineStr">
        <is>
          <t>리버스 펙덱</t>
        </is>
      </c>
      <c r="C27" t="inlineStr">
        <is>
          <t>승모(중부)·능형근</t>
        </is>
      </c>
      <c r="D27" t="n">
        <v>0.33</v>
      </c>
      <c r="E27">
        <f>IFERROR(INDEX(INDIRECT("'"&amp;$A27&amp;"'!$E$1:$E$45"),MATCH($B27,INDIRECT("'"&amp;$A27&amp;"'!$B$1:$B$45"),0)),"?")</f>
        <v/>
      </c>
      <c r="F27">
        <f>IF(ISNUMBER(E27),$D27*E27,0)</f>
        <v/>
      </c>
      <c r="G27" t="inlineStr">
        <is>
          <t>C</t>
        </is>
      </c>
      <c r="H27" t="inlineStr">
        <is>
          <t>견갑 후인 부분 협력</t>
        </is>
      </c>
    </row>
    <row r="28">
      <c r="A28" t="inlineStr">
        <is>
          <t>복귀_토_하체</t>
        </is>
      </c>
      <c r="B28" t="inlineStr">
        <is>
          <t>스미스 오버헤드 프레스</t>
        </is>
      </c>
      <c r="C28" t="inlineStr">
        <is>
          <t>승모(상부)</t>
        </is>
      </c>
      <c r="D28" t="n">
        <v>0.2</v>
      </c>
      <c r="E28">
        <f>IFERROR(INDEX(INDIRECT("'"&amp;$A28&amp;"'!$E$1:$E$45"),MATCH($B28,INDIRECT("'"&amp;$A28&amp;"'!$B$1:$B$45"),0)),"?")</f>
        <v/>
      </c>
      <c r="F28">
        <f>IF(ISNUMBER(E28),$D28*E28,0)</f>
        <v/>
      </c>
      <c r="G28" t="inlineStr">
        <is>
          <t>C</t>
        </is>
      </c>
      <c r="H28" t="inlineStr">
        <is>
          <t>머리 위 구간 견갑 상방 회전 — 약한 관여</t>
        </is>
      </c>
    </row>
    <row r="29">
      <c r="A29" t="inlineStr">
        <is>
          <t>복귀_일_등</t>
        </is>
      </c>
      <c r="B29" t="inlineStr">
        <is>
          <t>스미스 바벨 로우(오버그립)</t>
        </is>
      </c>
      <c r="C29" t="inlineStr">
        <is>
          <t>승모(상부)</t>
        </is>
      </c>
      <c r="D29" t="n">
        <v>0.2</v>
      </c>
      <c r="E29">
        <f>IFERROR(INDEX(INDIRECT("'"&amp;$A29&amp;"'!$E$1:$E$45"),MATCH($B29,INDIRECT("'"&amp;$A29&amp;"'!$B$1:$B$45"),0)),"?")</f>
        <v/>
      </c>
      <c r="F29">
        <f>IF(ISNUMBER(E29),$D29*E29,0)</f>
        <v/>
      </c>
      <c r="G29" t="inlineStr">
        <is>
          <t>C</t>
        </is>
      </c>
      <c r="H29" t="inlineStr">
        <is>
          <t>로우 상단 견갑 거상 — 약한 관여</t>
        </is>
      </c>
    </row>
    <row r="30">
      <c r="A30" t="inlineStr">
        <is>
          <t>복귀_일_등</t>
        </is>
      </c>
      <c r="B30" t="inlineStr">
        <is>
          <t>데드리프트</t>
        </is>
      </c>
      <c r="C30" t="inlineStr">
        <is>
          <t>승모(상부)</t>
        </is>
      </c>
      <c r="D30" t="n">
        <v>0.2</v>
      </c>
      <c r="E30">
        <f>IFERROR(INDEX(INDIRECT("'"&amp;$A30&amp;"'!$E$1:$E$45"),MATCH($B30,INDIRECT("'"&amp;$A30&amp;"'!$B$1:$B$45"),0)),"?")</f>
        <v/>
      </c>
      <c r="F30">
        <f>IF(ISNUMBER(E30),$D30*E30,0)</f>
        <v/>
      </c>
      <c r="G30" t="inlineStr">
        <is>
          <t>C</t>
        </is>
      </c>
      <c r="H30" t="inlineStr">
        <is>
          <t>고장력 등척성 지지</t>
        </is>
      </c>
    </row>
    <row r="31">
      <c r="A31" t="inlineStr">
        <is>
          <t>복귀_일_등</t>
        </is>
      </c>
      <c r="B31" t="inlineStr">
        <is>
          <t>친업 (어시스트 가능)</t>
        </is>
      </c>
      <c r="C31" t="inlineStr">
        <is>
          <t>승모(하부)</t>
        </is>
      </c>
      <c r="D31" t="n">
        <v>0.2</v>
      </c>
      <c r="E31">
        <f>IFERROR(INDEX(INDIRECT("'"&amp;$A31&amp;"'!$E$1:$E$45"),MATCH($B31,INDIRECT("'"&amp;$A31&amp;"'!$B$1:$B$45"),0)),"?")</f>
        <v/>
      </c>
      <c r="F31">
        <f>IF(ISNUMBER(E31),$D31*E31,0)</f>
        <v/>
      </c>
      <c r="G31" t="inlineStr">
        <is>
          <t>C</t>
        </is>
      </c>
      <c r="H31" t="inlineStr">
        <is>
          <t>견갑 하강은 동작 개시 관여라 약계수</t>
        </is>
      </c>
    </row>
    <row r="32">
      <c r="A32" t="inlineStr">
        <is>
          <t>복귀_평일A_가슴</t>
        </is>
      </c>
      <c r="B32" t="inlineStr">
        <is>
          <t>랫풀다운(언더그립 좁게 안쪽으로)</t>
        </is>
      </c>
      <c r="C32" t="inlineStr">
        <is>
          <t>승모(하부)</t>
        </is>
      </c>
      <c r="D32" t="n">
        <v>0.2</v>
      </c>
      <c r="E32">
        <f>IFERROR(INDEX(INDIRECT("'"&amp;$A32&amp;"'!$E$1:$E$45"),MATCH($B32,INDIRECT("'"&amp;$A32&amp;"'!$B$1:$B$45"),0)),"?")</f>
        <v/>
      </c>
      <c r="F32">
        <f>IF(ISNUMBER(E32),$D32*E32,0)</f>
        <v/>
      </c>
      <c r="G32" t="inlineStr">
        <is>
          <t>C</t>
        </is>
      </c>
      <c r="H32" t="inlineStr">
        <is>
          <t>견갑 하강 개시 관여</t>
        </is>
      </c>
    </row>
    <row r="33">
      <c r="A33" t="inlineStr">
        <is>
          <t>복귀_토_하체</t>
        </is>
      </c>
      <c r="B33" t="inlineStr">
        <is>
          <t>스쿼트</t>
        </is>
      </c>
      <c r="C33" t="inlineStr">
        <is>
          <t>기립근</t>
        </is>
      </c>
      <c r="D33" t="n">
        <v>0.2</v>
      </c>
      <c r="E33">
        <f>IFERROR(INDEX(INDIRECT("'"&amp;$A33&amp;"'!$E$1:$E$45"),MATCH($B33,INDIRECT("'"&amp;$A33&amp;"'!$B$1:$B$45"),0)),"?")</f>
        <v/>
      </c>
      <c r="F33">
        <f>IF(ISNUMBER(E33),$D33*E33,0)</f>
        <v/>
      </c>
      <c r="G33" t="inlineStr">
        <is>
          <t>C</t>
        </is>
      </c>
      <c r="H33" t="inlineStr">
        <is>
          <t>고장력 등척성 — 실패지점까지 가지 않음</t>
        </is>
      </c>
    </row>
    <row r="34">
      <c r="A34" t="inlineStr">
        <is>
          <t>복귀_일_등</t>
        </is>
      </c>
      <c r="B34" t="inlineStr">
        <is>
          <t>스미스 바벨 로우(오버그립)</t>
        </is>
      </c>
      <c r="C34" t="inlineStr">
        <is>
          <t>기립근</t>
        </is>
      </c>
      <c r="D34" t="n">
        <v>0.2</v>
      </c>
      <c r="E34">
        <f>IFERROR(INDEX(INDIRECT("'"&amp;$A34&amp;"'!$E$1:$E$45"),MATCH($B34,INDIRECT("'"&amp;$A34&amp;"'!$B$1:$B$45"),0)),"?")</f>
        <v/>
      </c>
      <c r="F34">
        <f>IF(ISNUMBER(E34),$D34*E34,0)</f>
        <v/>
      </c>
      <c r="G34" t="inlineStr">
        <is>
          <t>C</t>
        </is>
      </c>
      <c r="H34" t="inlineStr">
        <is>
          <t>상체 각도 유지 등척성</t>
        </is>
      </c>
    </row>
    <row r="35">
      <c r="A35" t="inlineStr">
        <is>
          <t>복귀_일_등</t>
        </is>
      </c>
      <c r="B35" t="inlineStr">
        <is>
          <t>오버헤드 슈러그(스미스)</t>
        </is>
      </c>
      <c r="C35" t="inlineStr">
        <is>
          <t>기립근</t>
        </is>
      </c>
      <c r="D35" t="n">
        <v>0.2</v>
      </c>
      <c r="E35">
        <f>IFERROR(INDEX(INDIRECT("'"&amp;$A35&amp;"'!$E$1:$E$45"),MATCH($B35,INDIRECT("'"&amp;$A35&amp;"'!$B$1:$B$45"),0)),"?")</f>
        <v/>
      </c>
      <c r="F35">
        <f>IF(ISNUMBER(E35),$D35*E35,0)</f>
        <v/>
      </c>
      <c r="G35" t="inlineStr">
        <is>
          <t>C</t>
        </is>
      </c>
      <c r="H35" t="inlineStr">
        <is>
          <t>선 자세 유지 등척성</t>
        </is>
      </c>
    </row>
    <row r="36">
      <c r="A36" t="inlineStr">
        <is>
          <t>복귀_토_하체</t>
        </is>
      </c>
      <c r="B36" t="inlineStr">
        <is>
          <t>스쿼트</t>
        </is>
      </c>
      <c r="C36" t="inlineStr">
        <is>
          <t>둔근</t>
        </is>
      </c>
      <c r="D36" t="n">
        <v>0.5</v>
      </c>
      <c r="E36">
        <f>IFERROR(INDEX(INDIRECT("'"&amp;$A36&amp;"'!$E$1:$E$45"),MATCH($B36,INDIRECT("'"&amp;$A36&amp;"'!$B$1:$B$45"),0)),"?")</f>
        <v/>
      </c>
      <c r="F36">
        <f>IF(ISNUMBER(E36),$D36*E36,0)</f>
        <v/>
      </c>
      <c r="G36" t="inlineStr">
        <is>
          <t>C</t>
        </is>
      </c>
      <c r="H36" t="inlineStr">
        <is>
          <t>고관절 신전 능동 — 강한 협력</t>
        </is>
      </c>
    </row>
    <row r="37">
      <c r="A37" t="inlineStr">
        <is>
          <t>복귀_일_등</t>
        </is>
      </c>
      <c r="B37" t="inlineStr">
        <is>
          <t>데드리프트</t>
        </is>
      </c>
      <c r="C37" t="inlineStr">
        <is>
          <t>둔근</t>
        </is>
      </c>
      <c r="D37" t="n">
        <v>0.5</v>
      </c>
      <c r="E37">
        <f>IFERROR(INDEX(INDIRECT("'"&amp;$A37&amp;"'!$E$1:$E$45"),MATCH($B37,INDIRECT("'"&amp;$A37&amp;"'!$B$1:$B$45"),0)),"?")</f>
        <v/>
      </c>
      <c r="F37">
        <f>IF(ISNUMBER(E37),$D37*E37,0)</f>
        <v/>
      </c>
      <c r="G37" t="inlineStr">
        <is>
          <t>C</t>
        </is>
      </c>
      <c r="H37" t="inlineStr">
        <is>
          <t>고관절 신전 능동</t>
        </is>
      </c>
    </row>
    <row r="38">
      <c r="A38" t="inlineStr">
        <is>
          <t>복귀_토_하체</t>
        </is>
      </c>
      <c r="B38" t="inlineStr">
        <is>
          <t>레그 프레스</t>
        </is>
      </c>
      <c r="C38" t="inlineStr">
        <is>
          <t>둔근</t>
        </is>
      </c>
      <c r="D38" t="n">
        <v>0.33</v>
      </c>
      <c r="E38">
        <f>IFERROR(INDEX(INDIRECT("'"&amp;$A38&amp;"'!$E$1:$E$45"),MATCH($B38,INDIRECT("'"&amp;$A38&amp;"'!$B$1:$B$45"),0)),"?")</f>
        <v/>
      </c>
      <c r="F38">
        <f>IF(ISNUMBER(E38),$D38*E38,0)</f>
        <v/>
      </c>
      <c r="G38" t="inlineStr">
        <is>
          <t>C</t>
        </is>
      </c>
      <c r="H38" t="inlineStr">
        <is>
          <t>둔근 관여하나 스쿼트보다 부분적</t>
        </is>
      </c>
    </row>
    <row r="39">
      <c r="A39" t="inlineStr">
        <is>
          <t>복귀_평일B_어깨</t>
        </is>
      </c>
      <c r="B39" t="inlineStr">
        <is>
          <t>힙 쓰러스트</t>
        </is>
      </c>
      <c r="C39" t="inlineStr">
        <is>
          <t>햄스트링</t>
        </is>
      </c>
      <c r="D39" t="n">
        <v>0.5</v>
      </c>
      <c r="E39">
        <f>IFERROR(INDEX(INDIRECT("'"&amp;$A39&amp;"'!$E$1:$E$45"),MATCH($B39,INDIRECT("'"&amp;$A39&amp;"'!$B$1:$B$45"),0)),"?")</f>
        <v/>
      </c>
      <c r="F39">
        <f>IF(ISNUMBER(E39),$D39*E39,0)</f>
        <v/>
      </c>
      <c r="G39" t="inlineStr">
        <is>
          <t>C</t>
        </is>
      </c>
      <c r="H39" t="inlineStr">
        <is>
          <t>고관절 신전 시 햄스트링 능동 협력</t>
        </is>
      </c>
    </row>
    <row r="40">
      <c r="A40" t="inlineStr">
        <is>
          <t>복귀_일_등</t>
        </is>
      </c>
      <c r="B40" t="inlineStr">
        <is>
          <t>데드리프트</t>
        </is>
      </c>
      <c r="C40" t="inlineStr">
        <is>
          <t>햄스트링</t>
        </is>
      </c>
      <c r="D40" t="n">
        <v>0.5</v>
      </c>
      <c r="E40">
        <f>IFERROR(INDEX(INDIRECT("'"&amp;$A40&amp;"'!$E$1:$E$45"),MATCH($B40,INDIRECT("'"&amp;$A40&amp;"'!$B$1:$B$45"),0)),"?")</f>
        <v/>
      </c>
      <c r="F40">
        <f>IF(ISNUMBER(E40),$D40*E40,0)</f>
        <v/>
      </c>
      <c r="G40" t="inlineStr">
        <is>
          <t>C</t>
        </is>
      </c>
      <c r="H40" t="inlineStr">
        <is>
          <t>힌지 중 햄스트링 신장성 부하</t>
        </is>
      </c>
    </row>
    <row r="41">
      <c r="A41" t="inlineStr">
        <is>
          <t>복귀_토_하체</t>
        </is>
      </c>
      <c r="B41" t="inlineStr">
        <is>
          <t>스쿼트</t>
        </is>
      </c>
      <c r="C41" t="inlineStr">
        <is>
          <t>내전근</t>
        </is>
      </c>
      <c r="D41" t="n">
        <v>0.2</v>
      </c>
      <c r="E41">
        <f>IFERROR(INDEX(INDIRECT("'"&amp;$A41&amp;"'!$E$1:$E$45"),MATCH($B41,INDIRECT("'"&amp;$A41&amp;"'!$B$1:$B$45"),0)),"?")</f>
        <v/>
      </c>
      <c r="F41">
        <f>IF(ISNUMBER(E41),$D41*E41,0)</f>
        <v/>
      </c>
      <c r="G41" t="inlineStr">
        <is>
          <t>C</t>
        </is>
      </c>
      <c r="H41" t="inlineStr">
        <is>
          <t>벌어진 스탠스 구간 약관여</t>
        </is>
      </c>
    </row>
    <row r="42">
      <c r="A42" t="inlineStr">
        <is>
          <t>복귀_토_하체</t>
        </is>
      </c>
      <c r="B42" t="inlineStr">
        <is>
          <t>레그 프레스</t>
        </is>
      </c>
      <c r="C42" t="inlineStr">
        <is>
          <t>내전근</t>
        </is>
      </c>
      <c r="D42" t="n">
        <v>0.2</v>
      </c>
      <c r="E42">
        <f>IFERROR(INDEX(INDIRECT("'"&amp;$A42&amp;"'!$E$1:$E$45"),MATCH($B42,INDIRECT("'"&amp;$A42&amp;"'!$B$1:$B$45"),0)),"?")</f>
        <v/>
      </c>
      <c r="F42">
        <f>IF(ISNUMBER(E42),$D42*E42,0)</f>
        <v/>
      </c>
      <c r="G42" t="inlineStr">
        <is>
          <t>C</t>
        </is>
      </c>
      <c r="H42" t="inlineStr">
        <is>
          <t>벌어진 스탠스 구간 약관여</t>
        </is>
      </c>
    </row>
    <row r="43">
      <c r="A43" t="inlineStr">
        <is>
          <t>복귀_평일B_어깨</t>
        </is>
      </c>
      <c r="B43" t="inlineStr">
        <is>
          <t>인클라인 덤벨 컬</t>
        </is>
      </c>
      <c r="C43" t="inlineStr">
        <is>
          <t>전완</t>
        </is>
      </c>
      <c r="D43" t="n">
        <v>0.33</v>
      </c>
      <c r="E43">
        <f>IFERROR(INDEX(INDIRECT("'"&amp;$A43&amp;"'!$E$1:$E$45"),MATCH($B43,INDIRECT("'"&amp;$A43&amp;"'!$B$1:$B$45"),0)),"?")</f>
        <v/>
      </c>
      <c r="F43">
        <f>IF(ISNUMBER(E43),$D43*E43,0)</f>
        <v/>
      </c>
      <c r="G43" t="inlineStr">
        <is>
          <t>C</t>
        </is>
      </c>
      <c r="H43" t="inlineStr">
        <is>
          <t>컬 중 상완요골근 동적 굴곡 — 부분 협력</t>
        </is>
      </c>
    </row>
    <row r="44">
      <c r="A44" t="inlineStr">
        <is>
          <t>복귀_일_등</t>
        </is>
      </c>
      <c r="B44" t="inlineStr">
        <is>
          <t>프리쳐 컬</t>
        </is>
      </c>
      <c r="C44" t="inlineStr">
        <is>
          <t>전완</t>
        </is>
      </c>
      <c r="D44" t="n">
        <v>0.33</v>
      </c>
      <c r="E44">
        <f>IFERROR(INDEX(INDIRECT("'"&amp;$A44&amp;"'!$E$1:$E$45"),MATCH($B44,INDIRECT("'"&amp;$A44&amp;"'!$B$1:$B$45"),0)),"?")</f>
        <v/>
      </c>
      <c r="F44">
        <f>IF(ISNUMBER(E44),$D44*E44,0)</f>
        <v/>
      </c>
      <c r="G44" t="inlineStr">
        <is>
          <t>C</t>
        </is>
      </c>
      <c r="H44" t="inlineStr">
        <is>
          <t>컬 중 상완요골근 동적 굴곡 — 부분 협력</t>
        </is>
      </c>
    </row>
    <row r="45">
      <c r="A45" t="inlineStr">
        <is>
          <t>복귀_평일A_가슴</t>
        </is>
      </c>
      <c r="B45" t="inlineStr">
        <is>
          <t>벤치프레스</t>
        </is>
      </c>
      <c r="C45" t="inlineStr">
        <is>
          <t>흉근(상부)</t>
        </is>
      </c>
      <c r="D45" t="n">
        <v>0.2</v>
      </c>
      <c r="E45">
        <f>IFERROR(INDEX(INDIRECT("'"&amp;$A45&amp;"'!$E$1:$E$45"),MATCH($B45,INDIRECT("'"&amp;$A45&amp;"'!$B$1:$B$45"),0)),"?")</f>
        <v/>
      </c>
      <c r="F45">
        <f>IF(ISNUMBER(E45),$D45*E45,0)</f>
        <v/>
      </c>
      <c r="G45" t="inlineStr">
        <is>
          <t>C</t>
        </is>
      </c>
      <c r="H45" t="inlineStr">
        <is>
          <t>플랫 벤치가 쇄골지에도 일부 기여</t>
        </is>
      </c>
    </row>
    <row r="46">
      <c r="A46" t="inlineStr">
        <is>
          <t>복귀_평일A_가슴</t>
        </is>
      </c>
      <c r="B46" t="inlineStr">
        <is>
          <t>인클라인 벤치프레스 머신</t>
        </is>
      </c>
      <c r="C46" t="inlineStr">
        <is>
          <t>흉근(중하부)</t>
        </is>
      </c>
      <c r="D46" t="n">
        <v>0.2</v>
      </c>
      <c r="E46">
        <f>IFERROR(INDEX(INDIRECT("'"&amp;$A46&amp;"'!$E$1:$E$45"),MATCH($B46,INDIRECT("'"&amp;$A46&amp;"'!$B$1:$B$45"),0)),"?")</f>
        <v/>
      </c>
      <c r="F46">
        <f>IF(ISNUMBER(E46),$D46*E46,0)</f>
        <v/>
      </c>
      <c r="G46" t="inlineStr">
        <is>
          <t>C</t>
        </is>
      </c>
      <c r="H46" t="inlineStr">
        <is>
          <t>흉늑지 약관여</t>
        </is>
      </c>
    </row>
    <row r="47">
      <c r="A47" t="inlineStr">
        <is>
          <t>복귀_일_등</t>
        </is>
      </c>
      <c r="B47" t="inlineStr">
        <is>
          <t>데드리프트</t>
        </is>
      </c>
      <c r="C47" t="inlineStr">
        <is>
          <t>광배</t>
        </is>
      </c>
      <c r="D47" t="n">
        <v>0</v>
      </c>
      <c r="E47">
        <f>IFERROR(INDEX(INDIRECT("'"&amp;$A47&amp;"'!$E$1:$E$45"),MATCH($B47,INDIRECT("'"&amp;$A47&amp;"'!$B$1:$B$45"),0)),"?")</f>
        <v/>
      </c>
      <c r="F47">
        <f>IF(ISNUMBER(E47),$D47*E47,0)</f>
        <v/>
      </c>
      <c r="G47" t="inlineStr">
        <is>
          <t>C</t>
        </is>
      </c>
      <c r="H47" t="inlineStr">
        <is>
          <t>광배 등척성 유지 — 주 1세트뿐이라 0. 직접 15세트로 이미 충분</t>
        </is>
      </c>
    </row>
    <row r="48">
      <c r="A48" t="inlineStr">
        <is>
          <t>복귀_토_하체</t>
        </is>
      </c>
      <c r="B48" t="inlineStr">
        <is>
          <t>스쿼트</t>
        </is>
      </c>
      <c r="C48" t="inlineStr">
        <is>
          <t>복부</t>
        </is>
      </c>
      <c r="D48" t="n">
        <v>0</v>
      </c>
      <c r="E48">
        <f>IFERROR(INDEX(INDIRECT("'"&amp;$A48&amp;"'!$E$1:$E$45"),MATCH($B48,INDIRECT("'"&amp;$A48&amp;"'!$B$1:$B$45"),0)),"?")</f>
        <v/>
      </c>
      <c r="F48">
        <f>IF(ISNUMBER(E48),$D48*E48,0)</f>
        <v/>
      </c>
      <c r="G48" t="inlineStr">
        <is>
          <t>C</t>
        </is>
      </c>
      <c r="H48" t="inlineStr">
        <is>
          <t>코어 브레이싱은 등척성이며 실패지점 근처까지 가지 않아 0</t>
        </is>
      </c>
    </row>
    <row r="49">
      <c r="A49" t="inlineStr">
        <is>
          <t>복귀_토_하체</t>
        </is>
      </c>
      <c r="B49" t="inlineStr">
        <is>
          <t>시티드 카프 레이즈</t>
        </is>
      </c>
      <c r="C49" t="inlineStr">
        <is>
          <t>종아리</t>
        </is>
      </c>
      <c r="D49" t="n">
        <v>0</v>
      </c>
      <c r="E49">
        <f>IFERROR(INDEX(INDIRECT("'"&amp;$A49&amp;"'!$E$1:$E$45"),MATCH($B49,INDIRECT("'"&amp;$A49&amp;"'!$B$1:$B$45"),0)),"?")</f>
        <v/>
      </c>
      <c r="F49">
        <f>IF(ISNUMBER(E49),$D49*E49,0)</f>
        <v/>
      </c>
      <c r="G49" t="inlineStr">
        <is>
          <t>C</t>
        </is>
      </c>
      <c r="H49" t="inlineStr">
        <is>
          <t>직접 종목이라 간접 아님 — 자리 표시용 0</t>
        </is>
      </c>
    </row>
    <row r="50">
      <c r="A50" t="inlineStr">
        <is>
          <t>복귀_평일A_가슴</t>
        </is>
      </c>
      <c r="B50" t="inlineStr">
        <is>
          <t>인클라인 덤벨 플라이</t>
        </is>
      </c>
      <c r="C50" t="inlineStr">
        <is>
          <t>흉근(중하부)</t>
        </is>
      </c>
      <c r="D50" t="n">
        <v>0.2</v>
      </c>
      <c r="E50">
        <f>IFERROR(INDEX(INDIRECT("'"&amp;$A50&amp;"'!$E$1:$E$45"),MATCH($B50,INDIRECT("'"&amp;$A50&amp;"'!$B$1:$B$45"),0)),"?")</f>
        <v/>
      </c>
      <c r="F50">
        <f>IF(ISNUMBER(E50),$D50*E50,0)</f>
        <v/>
      </c>
      <c r="G50" t="inlineStr">
        <is>
          <t>C</t>
        </is>
      </c>
      <c r="H50" t="inlineStr">
        <is>
          <t>흉늑지 약관여</t>
        </is>
      </c>
    </row>
    <row r="51">
      <c r="A51" t="inlineStr">
        <is>
          <t>복귀_평일A_가슴</t>
        </is>
      </c>
      <c r="B51" t="inlineStr">
        <is>
          <t>인클라인 덤벨 플라이</t>
        </is>
      </c>
      <c r="C51" t="inlineStr">
        <is>
          <t>삼각근(전면)</t>
        </is>
      </c>
      <c r="D51" t="n">
        <v>0.2</v>
      </c>
      <c r="E51">
        <f>IFERROR(INDEX(INDIRECT("'"&amp;$A51&amp;"'!$E$1:$E$45"),MATCH($B51,INDIRECT("'"&amp;$A51&amp;"'!$B$1:$B$45"),0)),"?")</f>
        <v/>
      </c>
      <c r="F51">
        <f>IF(ISNUMBER(E51),$D51*E51,0)</f>
        <v/>
      </c>
      <c r="G51" t="inlineStr">
        <is>
          <t>C</t>
        </is>
      </c>
      <c r="H51" t="inlineStr">
        <is>
          <t>플라이 시작 구간 전면삼각 약관여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F43" sqref="F43"/>
    </sheetView>
  </sheetViews>
  <sheetFormatPr baseColWidth="8" defaultRowHeight="15"/>
  <cols>
    <col width="22" customWidth="1" style="96" min="1" max="1"/>
    <col width="11" customWidth="1" style="96" min="2" max="3"/>
    <col width="9" customWidth="1" style="96" min="4" max="4"/>
    <col width="12" customWidth="1" style="96" min="5" max="5"/>
    <col width="95" customWidth="1" style="96" min="6" max="6"/>
    <col width="12" customWidth="1" style="96" min="7" max="7"/>
    <col width="24" customWidth="1" style="96" min="8" max="8"/>
    <col width="10" customWidth="1" style="96" min="9" max="9"/>
  </cols>
  <sheetData>
    <row r="1">
      <c r="A1" t="inlineStr">
        <is>
          <t>근육군별 주간 세트 — 복귀판 검산</t>
        </is>
      </c>
    </row>
    <row r="2">
      <c r="A2" t="inlineStr">
        <is>
      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      </is>
      </c>
    </row>
    <row r="4">
      <c r="A4" t="inlineStr">
        <is>
          <t>근육군</t>
        </is>
      </c>
      <c r="B4" t="inlineStr">
        <is>
          <t>직접 세트</t>
        </is>
      </c>
      <c r="C4" t="inlineStr">
        <is>
          <t>간접 추정</t>
        </is>
      </c>
      <c r="D4" t="inlineStr">
        <is>
          <t>실질</t>
        </is>
      </c>
      <c r="E4" t="inlineStr">
        <is>
          <t>판정</t>
        </is>
      </c>
      <c r="F4" t="inlineStr">
        <is>
          <t>간접 출처 / 비고</t>
        </is>
      </c>
      <c r="G4" t="inlineStr">
        <is>
          <t>현장 일 보정</t>
        </is>
      </c>
    </row>
    <row r="5">
      <c r="A5" t="inlineStr">
        <is>
          <t>흉근(상부)</t>
        </is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/>
      </c>
      <c r="C5">
        <f>MROUND(SUMIFS(복귀_간접계수맵!$F$7:$F$51,복귀_간접계수맵!$C$7:$C$51,$A5),0.5)</f>
        <v/>
      </c>
      <c r="D5">
        <f>B5+C5</f>
        <v/>
      </c>
      <c r="E5">
        <f>IF(D5&gt;20,"과다 점검",IF(D5&gt;=10,"충분",IF(D5&gt;=8,"하한",IF(D5&gt;=1,"보완 필요","미배치"))))</f>
        <v/>
      </c>
      <c r="F5" t="inlineStr">
        <is>
          <t>직접 9세트: 인클라인 벤치프레스 머신 5 · 인클라인 덤벨 플라이 4. + 벤치 0.2×5=1.0. 2026-08-29에 직접 3 → 9로 보강했다 — 헤머 체스트를 빼고 그 자리를 쇄골지로 돌린 것이라 흉근 총량은 안 늘었다.</t>
        </is>
      </c>
      <c r="G5" t="inlineStr">
        <is>
          <t>없음</t>
        </is>
      </c>
      <c r="H5" t="inlineStr">
        <is>
          <t>흉근 합산(상+중하)</t>
        </is>
      </c>
      <c r="I5">
        <f>SUM(D5:D6)</f>
        <v/>
      </c>
    </row>
    <row r="6">
      <c r="A6" t="inlineStr">
        <is>
          <t>흉근(중하부)</t>
        </is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/>
      </c>
      <c r="C6">
        <f>MROUND(SUMIFS(복귀_간접계수맵!$F$7:$F$51,복귀_간접계수맵!$C$7:$C$51,$A6),0.5)</f>
        <v/>
      </c>
      <c r="D6">
        <f>B6+C6</f>
        <v/>
      </c>
      <c r="E6">
        <f>IF(D6&gt;20,"과다 점검",IF(D6&gt;=10,"충분",IF(D6&gt;=8,"하한",IF(D6&gt;=1,"보완 필요","미배치"))))</f>
        <v/>
      </c>
      <c r="F6" t="inlineStr">
        <is>
          <t>인클라인 머신 0.2×5 + 인클라인 플라이 0.2×4 = 1.8. 직접 11세트: 벤치 5 · 딥스 3 · 디클라인 플라이 3. (헤머 체스트는 2026-08-29 제외 — 벤치와 같은 수평 프레스라 가장 겹쳤다.)</t>
        </is>
      </c>
      <c r="G6" t="inlineStr">
        <is>
          <t>없음</t>
        </is>
      </c>
    </row>
    <row r="7">
      <c r="A7" t="inlineStr">
        <is>
          <t>광배</t>
        </is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/>
      </c>
      <c r="C7">
        <f>MROUND(SUMIFS(복귀_간접계수맵!$F$7:$F$51,복귀_간접계수맵!$C$7:$C$51,$A7),0.5)</f>
        <v/>
      </c>
      <c r="D7">
        <f>B7+C7</f>
        <v/>
      </c>
      <c r="E7">
        <f>IF(D7&gt;20,"과다 점검",IF(D7&gt;=10,"충분",IF(D7&gt;=8,"하한",IF(D7&gt;=1,"보완 필요","미배치"))))</f>
        <v/>
      </c>
      <c r="F7" t="inlineStr">
        <is>
          <t>데드 등척성은 0으로 둔다. 직접 15세트: 평일 A 6(해머 로우·랫풀다운) + 일요일 9(스미스 로우·케이블 로우·친업). 현장 일이 들고 · 당기고 · 버티는 동작으로 하루치를 더 얹는다.</t>
        </is>
      </c>
      <c r="G7" t="inlineStr">
        <is>
          <t>높음</t>
        </is>
      </c>
      <c r="H7" t="inlineStr">
        <is>
          <t>등 합산</t>
        </is>
      </c>
      <c r="I7">
        <f>SUM(D7:D10)</f>
        <v/>
      </c>
    </row>
    <row r="8">
      <c r="A8" t="inlineStr">
        <is>
          <t>승모(상부)</t>
        </is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/>
      </c>
      <c r="C8">
        <f>MROUND(SUMIFS(복귀_간접계수맵!$F$7:$F$51,복귀_간접계수맵!$C$7:$C$51,$A8),0.5)</f>
        <v/>
      </c>
      <c r="D8">
        <f>B8+C8</f>
        <v/>
      </c>
      <c r="E8">
        <f>IF(D8&gt;20,"과다 점검",IF(D8&gt;=10,"충분",IF(D8&gt;=8,"하한",IF(D8&gt;=1,"보완 필요","미배치"))))</f>
        <v/>
      </c>
      <c r="F8" t="inlineStr">
        <is>
      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      </is>
      </c>
      <c r="G8" t="inlineStr">
        <is>
          <t>높음</t>
        </is>
      </c>
    </row>
    <row r="9">
      <c r="A9" t="inlineStr">
        <is>
          <t>승모(하부)</t>
        </is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/>
      </c>
      <c r="C9">
        <f>MROUND(SUMIFS(복귀_간접계수맵!$F$7:$F$51,복귀_간접계수맵!$C$7:$C$51,$A9),0.5)</f>
        <v/>
      </c>
      <c r="D9">
        <f>B9+C9</f>
        <v/>
      </c>
      <c r="E9">
        <f>IF(D9&gt;20,"과다 점검",IF(D9&gt;=10,"충분",IF(D9&gt;=8,"하한",IF(D9&gt;=1,"보완 필요","미배치"))))</f>
        <v/>
      </c>
      <c r="F9" t="inlineStr">
        <is>
          <t>친업 0.2×3 + 랫풀다운 0.2×3 = 1.2. 직접 3세트(오버헤드 슈러그). 현장 자세가 견갑을 올리고 앞으로 말므로 유지 목적으로 남긴 자리다.</t>
        </is>
      </c>
      <c r="G9" t="inlineStr">
        <is>
          <t>중간</t>
        </is>
      </c>
    </row>
    <row r="10">
      <c r="A10" t="inlineStr">
        <is>
          <t>승모(중부)·능형근</t>
        </is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/>
      </c>
      <c r="C10">
        <f>MROUND(SUMIFS(복귀_간접계수맵!$F$7:$F$51,복귀_간접계수맵!$C$7:$C$51,$A10),0.5)</f>
        <v/>
      </c>
      <c r="D10">
        <f>B10+C10</f>
        <v/>
      </c>
      <c r="E10">
        <f>IF(D10&gt;20,"과다 점검",IF(D10&gt;=10,"충분",IF(D10&gt;=8,"하한",IF(D10&gt;=1,"보완 필요","미배치"))))</f>
        <v/>
      </c>
      <c r="F10" t="inlineStr">
        <is>
          <t>로우 3종 0.5씩 + 케이블 리버스 플라이 0.5×3 + 벤트오버 머신 0.33×4 + 리버스 펙덱 0.33×3 = 8.31. 직접 3세트(스캡 슈러그).</t>
        </is>
      </c>
      <c r="G10" t="inlineStr">
        <is>
          <t>중간</t>
        </is>
      </c>
    </row>
    <row r="11">
      <c r="A11" t="inlineStr">
        <is>
          <t>기립근</t>
        </is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/>
      </c>
      <c r="C11">
        <f>MROUND(SUMIFS(복귀_간접계수맵!$F$7:$F$51,복귀_간접계수맵!$C$7:$C$51,$A11),0.5)</f>
        <v/>
      </c>
      <c r="D11">
        <f>B11+C11</f>
        <v/>
      </c>
      <c r="E11">
        <f>IF(D11&gt;20,"과다 점검",IF(D11&gt;=10,"충분",IF(D11&gt;=8,"하한",IF(D11&gt;=1,"보완 필요","미배치"))))</f>
        <v/>
      </c>
      <c r="F11" t="inlineStr">
        <is>
      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      </is>
      </c>
      <c r="G11" t="inlineStr">
        <is>
          <t>높음</t>
        </is>
      </c>
    </row>
    <row r="12">
      <c r="A12" t="inlineStr">
        <is>
          <t>삼각근(전면)</t>
        </is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/>
      </c>
      <c r="C12">
        <f>MROUND(SUMIFS(복귀_간접계수맵!$F$7:$F$51,복귀_간접계수맵!$C$7:$C$51,$A12),0.5)</f>
        <v/>
      </c>
      <c r="D12">
        <f>B12+C12</f>
        <v/>
      </c>
      <c r="E12">
        <f>IF(D12&gt;20,"과다 점검",IF(D12&gt;=10,"충분",IF(D12&gt;=8,"하한",IF(D12&gt;=1,"보완 필요","미배치"))))</f>
        <v/>
      </c>
      <c r="F12" t="inlineStr">
        <is>
          <t>벤치 0.5×5 + 인클라인 머신 0.5×3 + 딥스 0.2×3 = 4.6. 직접 6세트: 머신 숄더 3 · 스미스 오버헤드 3.</t>
        </is>
      </c>
      <c r="G12" t="inlineStr">
        <is>
          <t>없음</t>
        </is>
      </c>
    </row>
    <row r="13">
      <c r="A13" t="inlineStr">
        <is>
          <t>삼각근(측면)</t>
        </is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/>
      </c>
      <c r="C13">
        <f>MROUND(SUMIFS(복귀_간접계수맵!$F$7:$F$51,복귀_간접계수맵!$C$7:$C$51,$A13),0.5)</f>
        <v/>
      </c>
      <c r="D13">
        <f>B13+C13</f>
        <v/>
      </c>
      <c r="E13">
        <f>IF(D13&gt;20,"과다 점검",IF(D13&gt;=10,"충분",IF(D13&gt;=8,"하한",IF(D13&gt;=1,"보완 필요","미배치"))))</f>
        <v/>
      </c>
      <c r="F13" t="inlineStr">
        <is>
          <t>오버헤드 프레스 0.5×3 = 1.5. 직접 10세트: 평일 B 7(레터럴 4 · 원암 케이블 3) + 토요일 3. 간접 자극이 거의 0인 부위라 직접 세트로만 채워진다.</t>
        </is>
      </c>
      <c r="G13" t="inlineStr">
        <is>
          <t>없음</t>
        </is>
      </c>
    </row>
    <row r="14">
      <c r="A14" t="inlineStr">
        <is>
          <t>삼각근(후면)</t>
        </is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/>
      </c>
      <c r="C14">
        <f>MROUND(SUMIFS(복귀_간접계수맵!$F$7:$F$51,복귀_간접계수맵!$C$7:$C$51,$A14),0.5)</f>
        <v/>
      </c>
      <c r="D14">
        <f>B14+C14</f>
        <v/>
      </c>
      <c r="E14">
        <f>IF(D14&gt;20,"과다 점검",IF(D14&gt;=10,"충분",IF(D14&gt;=8,"하한",IF(D14&gt;=1,"보완 필요","미배치"))))</f>
        <v/>
      </c>
      <c r="F14" t="inlineStr">
        <is>
      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      </is>
      </c>
      <c r="G14" t="inlineStr">
        <is>
          <t>없음</t>
        </is>
      </c>
    </row>
    <row r="15">
      <c r="A15" t="inlineStr">
        <is>
          <t>대퇴사두</t>
        </is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/>
      </c>
      <c r="C15">
        <f>MROUND(SUMIFS(복귀_간접계수맵!$F$7:$F$51,복귀_간접계수맵!$C$7:$C$51,$A15),0.5)</f>
        <v/>
      </c>
      <c r="D15">
        <f>B15+C15</f>
        <v/>
      </c>
      <c r="E15">
        <f>IF(D15&gt;20,"과다 점검",IF(D15&gt;=10,"충분",IF(D15&gt;=8,"하한",IF(D15&gt;=1,"보완 필요","미배치"))))</f>
        <v/>
      </c>
      <c r="F15" t="inlineStr">
        <is>
          <t>간접 출처 없음. 직접 12세트: 스쿼트 5 · 레그 프레스 4 · 레그 익스텐션 3. 서 있기 · 걷기로 현장 일이 하루치를 얹는다.</t>
        </is>
      </c>
      <c r="G15" t="inlineStr">
        <is>
          <t>높음</t>
        </is>
      </c>
      <c r="H15" t="inlineStr">
        <is>
          <t>하체 합산(대퇴·햄·종아리)</t>
        </is>
      </c>
      <c r="I15">
        <f>SUM(D15:D16,D19)</f>
        <v/>
      </c>
    </row>
    <row r="16">
      <c r="A16" t="inlineStr">
        <is>
          <t>햄스트링</t>
        </is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/>
      </c>
      <c r="C16">
        <f>MROUND(SUMIFS(복귀_간접계수맵!$F$7:$F$51,복귀_간접계수맵!$C$7:$C$51,$A16),0.5)</f>
        <v/>
      </c>
      <c r="D16">
        <f>B16+C16</f>
        <v/>
      </c>
      <c r="E16">
        <f>IF(D16&gt;20,"과다 점검",IF(D16&gt;=10,"충분",IF(D16&gt;=8,"하한",IF(D16&gt;=1,"보완 필요","미배치"))))</f>
        <v/>
      </c>
      <c r="F16" t="inlineStr">
        <is>
          <t>힙 쓰러스트 0.5×3 + 데드 0.5×1 = 2.0. 직접 6세트: 레그 컬 3 · 원 레그 컬 3. 힌지(루마니안 데드)를 뺀 만큼 직접이 얇다.</t>
        </is>
      </c>
      <c r="G16" t="inlineStr">
        <is>
          <t>중간</t>
        </is>
      </c>
    </row>
    <row r="17">
      <c r="A17" t="inlineStr">
        <is>
          <t>둔근</t>
        </is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/>
      </c>
      <c r="C17">
        <f>MROUND(SUMIFS(복귀_간접계수맵!$F$7:$F$51,복귀_간접계수맵!$C$7:$C$51,$A17),0.5)</f>
        <v/>
      </c>
      <c r="D17">
        <f>B17+C17</f>
        <v/>
      </c>
      <c r="E17">
        <f>IF(D17&gt;20,"과다 점검",IF(D17&gt;=10,"충분",IF(D17&gt;=8,"하한",IF(D17&gt;=1,"보완 필요","미배치"))))</f>
        <v/>
      </c>
      <c r="F17" t="inlineStr">
        <is>
          <t>스쿼트 0.5×5 + 데드 0.5×1 + 레그 프레스 0.33×4 = 4.32. 직접 3세트(힙 쓰러스트). 복귀판 초안에 둔근 직접이 0이었던 것을 되살린 자리다.</t>
        </is>
      </c>
      <c r="G17" t="inlineStr">
        <is>
          <t>중간</t>
        </is>
      </c>
    </row>
    <row r="18">
      <c r="A18" t="inlineStr">
        <is>
          <t>중둔근</t>
        </is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/>
      </c>
      <c r="C18">
        <f>MROUND(SUMIFS(복귀_간접계수맵!$F$7:$F$51,복귀_간접계수맵!$C$7:$C$51,$A18),0.5)</f>
        <v/>
      </c>
      <c r="D18">
        <f>B18+C18</f>
        <v/>
      </c>
      <c r="E18">
        <f>IF(D18&gt;20,"과다 점검",IF(D18&gt;=10,"충분",IF(D18&gt;=8,"하한",IF(D18&gt;=1,"보완 필요","미배치"))))</f>
        <v/>
      </c>
      <c r="F18" t="inlineStr">
        <is>
          <t>간접 출처 없음 — 스쿼트 · 레그 프레스는 양측 지지라 계수가 없다. 직접 3세트(케이블 힙 외전, 재택 7일차 종목). 재택과 같은 유지 볼륨이며 현장 일의 한 다리 지지 이동이 나머지를 채운다.</t>
        </is>
      </c>
      <c r="G18" t="inlineStr">
        <is>
          <t>중간</t>
        </is>
      </c>
    </row>
    <row r="19">
      <c r="A19" t="inlineStr">
        <is>
          <t>종아리</t>
        </is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/>
      </c>
      <c r="C19">
        <f>MROUND(SUMIFS(복귀_간접계수맵!$F$7:$F$51,복귀_간접계수맵!$C$7:$C$51,$A19),0.5)</f>
        <v/>
      </c>
      <c r="D19">
        <f>B19+C19</f>
        <v/>
      </c>
      <c r="E19">
        <f>IF(D19&gt;20,"과다 점검",IF(D19&gt;=10,"충분",IF(D19&gt;=8,"하한",IF(D19&gt;=1,"보완 필요","미배치"))))</f>
        <v/>
      </c>
      <c r="F19" t="inlineStr">
        <is>
          <t>간접 출처 없음 — 스쿼트 · 레그 프레스의 발목 관여는 실패지점 근처까지 가지 않아 0으로 둔다. 직접 3세트(시티드 카프). 온종일 서 있는 현장 일이 가장 확실하게 채워주는 부위라 3으로 뒀다.</t>
        </is>
      </c>
      <c r="G19" t="inlineStr">
        <is>
          <t>높음</t>
        </is>
      </c>
    </row>
    <row r="20">
      <c r="A20" t="inlineStr">
        <is>
          <t>이두</t>
        </is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/>
      </c>
      <c r="C20">
        <f>MROUND(SUMIFS(복귀_간접계수맵!$F$7:$F$51,복귀_간접계수맵!$C$7:$C$51,$A20),0.5)</f>
        <v/>
      </c>
      <c r="D20">
        <f>B20+C20</f>
        <v/>
      </c>
      <c r="E20">
        <f>IF(D20&gt;20,"과다 점검",IF(D20&gt;=10,"충분",IF(D20&gt;=8,"하한",IF(D20&gt;=1,"보완 필요","미배치"))))</f>
        <v/>
      </c>
      <c r="F20" t="inlineStr">
        <is>
          <t>당기기 5종목 0.5씩 = 7.5. 직접 6세트: 평일 B 인클라인 덤벨 컬 3(신선한 자리) · 일요일 프리쳐 컬 3. 늘어난 구간은 이두가 지치지 않은 평일 B에, 짧아진 구간만 당기기 뒤에 둔다.</t>
        </is>
      </c>
      <c r="G20" t="inlineStr">
        <is>
          <t>없음</t>
        </is>
      </c>
    </row>
    <row r="21">
      <c r="A21" t="inlineStr">
        <is>
          <t>삼두</t>
        </is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/>
      </c>
      <c r="C21">
        <f>MROUND(SUMIFS(복귀_간접계수맵!$F$7:$F$51,복귀_간접계수맵!$C$7:$C$51,$A21),0.5)</f>
        <v/>
      </c>
      <c r="D21">
        <f>B21+C21</f>
        <v/>
      </c>
      <c r="E21">
        <f>IF(D21&gt;20,"과다 점검",IF(D21&gt;=10,"충분",IF(D21&gt;=8,"하한",IF(D21&gt;=1,"보완 필요","미배치"))))</f>
        <v/>
      </c>
      <c r="F21" t="inlineStr">
        <is>
          <t>프레스 6종목 0.5씩 = 10. 직접 6세트: 라잉 익스텐션 3(늘어난 구간) · 케이블 푸쉬다운 3(짧아진 구간).</t>
        </is>
      </c>
      <c r="G21" t="inlineStr">
        <is>
          <t>없음</t>
        </is>
      </c>
    </row>
    <row r="22">
      <c r="A22" t="inlineStr">
        <is>
          <t>전완</t>
        </is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/>
      </c>
      <c r="C22">
        <f>MROUND(SUMIFS(복귀_간접계수맵!$F$7:$F$51,복귀_간접계수맵!$C$7:$C$51,$A22),0.5)</f>
        <v/>
      </c>
      <c r="D22">
        <f>B22+C22</f>
        <v/>
      </c>
      <c r="E22">
        <f>IF(D22&gt;20,"과다 점검",IF(D22&gt;=10,"충분",IF(D22&gt;=8,"하한",IF(D22&gt;=1,"보완 필요","미배치"))))</f>
        <v/>
      </c>
      <c r="F22" t="inlineStr">
        <is>
      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      </is>
      </c>
      <c r="G22" t="inlineStr">
        <is>
          <t>높음</t>
        </is>
      </c>
    </row>
    <row r="23">
      <c r="A23" t="inlineStr">
        <is>
          <t>복부</t>
        </is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/>
      </c>
      <c r="C23">
        <f>MROUND(SUMIFS(복귀_간접계수맵!$F$7:$F$51,복귀_간접계수맵!$C$7:$C$51,$A23),0.5)</f>
        <v/>
      </c>
      <c r="D23">
        <f>B23+C23</f>
        <v/>
      </c>
      <c r="E23">
        <f>IF(D23&gt;20,"과다 점검",IF(D23&gt;=10,"충분",IF(D23&gt;=8,"하한",IF(D23&gt;=1,"보완 필요","미배치"))))</f>
        <v/>
      </c>
      <c r="F23" t="inlineStr">
        <is>
          <t>스쿼트 · 데드의 브레이싱은 등척성이라 0. 직접 3세트(중량 크런치). 현장 일은 코어를 버티게만 하지 굴곡시키지 않으므로 직접 굴곡은 이 3세트가 전부다.</t>
        </is>
      </c>
      <c r="G23" t="inlineStr">
        <is>
          <t>중간</t>
        </is>
      </c>
    </row>
    <row r="24">
      <c r="A24" t="inlineStr">
        <is>
          <t>내전근</t>
        </is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/>
      </c>
      <c r="C24">
        <f>MROUND(SUMIFS(복귀_간접계수맵!$F$7:$F$51,복귀_간접계수맵!$C$7:$C$51,$A24),0.5)</f>
        <v/>
      </c>
      <c r="D24">
        <f>B24+C24</f>
        <v/>
      </c>
      <c r="E24">
        <f>IF(D24&gt;20,"과다 점검",IF(D24&gt;=10,"충분",IF(D24&gt;=8,"하한",IF(D24&gt;=1,"보완 필요","미배치"))))</f>
        <v/>
      </c>
      <c r="F24" t="inlineStr">
        <is>
          <t>스쿼트 0.2×5 + 레그 프레스 0.2×4 = 1.8. 직접 3세트(이너 타이). 복귀판 초안에 내전근이 통째로 비어 있던 것을 되살렸다.</t>
        </is>
      </c>
      <c r="G24" t="inlineStr">
        <is>
          <t>없음</t>
        </is>
      </c>
    </row>
    <row r="25">
      <c r="A25" t="inlineStr">
        <is>
          <t>직접 세트 총계</t>
        </is>
      </c>
      <c r="B25">
        <f>SUM(B5:B24)</f>
        <v/>
      </c>
      <c r="D25">
        <f>SUM(D5:D24)</f>
        <v/>
      </c>
    </row>
    <row r="27">
      <c r="A27" t="inlineStr">
        <is>
          <t>기준선</t>
        </is>
      </c>
    </row>
    <row r="28">
      <c r="A28" t="inlineStr">
        <is>
          <t>· 주 10~20세트 = 성장 구간. 복귀판은 주 단위라 이 표의 숫자를 그대로 판정에 쓴다.</t>
        </is>
      </c>
    </row>
    <row r="29">
      <c r="A29" t="inlineStr">
        <is>
          <t>· 주 8세트 = 유지 하한.</t>
        </is>
      </c>
    </row>
    <row r="30">
      <c r="A30" t="inlineStr">
        <is>
          <t>· 실패지점 3~4회 이내 세트만 카운트 (웜업 · 여유 세트 제외). 재택(2~3회)보다 한 단계 보수적인 기준이다.</t>
        </is>
      </c>
    </row>
    <row r="32">
      <c r="A32" t="inlineStr">
        <is>
          <t>현장 일 보정을 읽는 법</t>
        </is>
      </c>
    </row>
    <row r="33">
      <c r="A33" t="inlineStr">
        <is>
      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      </is>
      </c>
    </row>
    <row r="34">
      <c r="A34" t="inlineStr">
        <is>
          <t>· '중간' — 부분적으로만 채워진다(승모 하부·중부 · 햄스트링 · 둔근 · 중둔근 · 복부). 판정을 절반쯤 믿는다.</t>
        </is>
      </c>
    </row>
    <row r="35">
      <c r="A35" t="inlineStr">
        <is>
          <t>· '없음' — 현장 일이 안 건드리는 부위(가슴 · 삼각근 전 부위 · 이두 · 삼두 · 내전근). 판정을 액면 그대로 믿어야 하는 자리이고, 성장을 위해 볼륨을 쓸 곳도 여기다.</t>
        </is>
      </c>
    </row>
    <row r="37">
      <c r="A37" t="inlineStr">
        <is>
          <t>지금 표에서 눈여겨볼 곳</t>
        </is>
      </c>
    </row>
    <row r="38">
      <c r="A38" t="inlineStr">
        <is>
          <t>· 흉근 상 · 하는 한 근육이라 합산으로 판정한다. 합산 실질 23 — 천장(20)을 조금 넘는다. 현장 일이 안 채우는 부위라 의도한 초과이나, 세트 질이 떨어지면 딥스부터 뺀다.</t>
        </is>
      </c>
    </row>
    <row r="39">
      <c r="A39" t="inlineStr">
        <is>
          <t>· 중둔근 3.0 — 2026-08-29에 케이블 힙 외전으로 되살렸다. 재택과 같은 유지 볼륨이다.</t>
        </is>
      </c>
    </row>
    <row r="40">
      <c r="A40" t="inlineStr">
        <is>
          <t>· 기립근 3.0 · 승모(상부) 1.5 · 종아리 3.0 — 전부 보정 '높음'이라 의도된 낮음이다. 손대지 않는다.</t>
        </is>
      </c>
    </row>
    <row r="41">
      <c r="A41" t="inlineStr">
        <is>
          <t>· 햄스트링 8.0 · 전완 8.0 · 내전근 5.0 — 하한 근처다. 유지는 되나 성장 여지는 없는 자리다.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2026-07-28T16:37:37Z</dcterms:created>
  <dcterms:modified xmlns:dcterms="http://purl.org/dc/terms/" xmlns:xsi="http://www.w3.org/2001/XMLSchema-instance" xsi:type="dcterms:W3CDTF">2026-08-29T01:38:35Z</dcterms:modified>
  <cp:lastModifiedBy>승태 최</cp:lastModifiedBy>
  <cp:revision>0</cp:revision>
</cp:coreProperties>
</file>