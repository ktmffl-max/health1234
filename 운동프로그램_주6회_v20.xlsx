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576" documentId="11_6AF0B42629B6F5CFF7DAC05DB27E968F34409905" xr6:coauthVersionLast="47" xr6:coauthVersionMax="47" xr10:uidLastSave="{5F1DF46D-1B48-4D3F-A220-76A698F0699C}"/>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 l="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X30" i="13"/>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V30" i="13"/>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T30" i="13"/>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P30" i="13"/>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30" i="13"/>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E15" i="1"/>
  <c r="D30" i="20" s="1"/>
  <c r="V29" i="13"/>
  <c r="E14" i="1"/>
  <c r="D31" i="20" s="1"/>
  <c r="T29" i="13"/>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N29" i="13"/>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55" i="1" l="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<sst xmlns="http://schemas.openxmlformats.org/spreadsheetml/2006/main" count="3149" uniqueCount="1657">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</sst>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1549</v>
      </c>
    </row>
    <row r="11" spans="1:6" ht="15" customHeight="1">
      <c r="A11" s="141" t="s">
        <v>1590</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1591</v>
      </c>
    </row>
    <row r="13" spans="1:6" ht="15" customHeight="1">
      <c r="A13" s="141" t="s">
        <v>374</v>
      </c>
      <c r="B13" s="141" t="s">
        <v>27</v>
      </c>
      <c r="C13" s="101" t="s">
        <v>27</v>
      </c>
      <c r="D13" s="102">
        <v>160</v>
      </c>
      <c r="E13" s="142">
        <f>IF($C$4&lt;증량기록!$F$11,D13,INDEX(증량기록!$R$22:$R$51,MAX(1,MIN(30,$C$4-5))))</f>
        <v>160</v>
      </c>
      <c r="F13" s="101" t="s">
        <v>1608</v>
      </c>
    </row>
    <row r="14" spans="1:6" ht="15" customHeight="1">
      <c r="A14" s="141" t="s">
        <v>1071</v>
      </c>
      <c r="B14" s="141" t="s">
        <v>27</v>
      </c>
      <c r="C14" s="101" t="s">
        <v>27</v>
      </c>
      <c r="D14" s="102">
        <v>140</v>
      </c>
      <c r="E14" s="142">
        <f>IF($C$4&lt;증량기록!$F$12,D14,INDEX(증량기록!$T$22:$T$51,MAX(1,MIN(30,$C$4-5))))</f>
        <v>140</v>
      </c>
      <c r="F14" s="101" t="s">
        <v>1608</v>
      </c>
    </row>
    <row r="15" spans="1:6" ht="15" customHeight="1">
      <c r="A15" s="141" t="s">
        <v>559</v>
      </c>
      <c r="B15" s="141" t="s">
        <v>27</v>
      </c>
      <c r="C15" s="101" t="s">
        <v>27</v>
      </c>
      <c r="D15" s="102">
        <v>50</v>
      </c>
      <c r="E15" s="142">
        <f>IF($C$4&lt;증량기록!$F$13,D15,INDEX(증량기록!$V$22:$V$51,MAX(1,MIN(30,$C$4-5))))</f>
        <v>50</v>
      </c>
      <c r="F15" s="101" t="s">
        <v>1591</v>
      </c>
    </row>
    <row r="16" spans="1:6" ht="15" customHeight="1">
      <c r="A16" s="141" t="s">
        <v>556</v>
      </c>
      <c r="B16" s="141" t="s">
        <v>27</v>
      </c>
      <c r="C16" s="101" t="s">
        <v>27</v>
      </c>
      <c r="D16" s="102">
        <v>25</v>
      </c>
      <c r="E16" s="142">
        <f>IF($C$4&lt;증량기록!$F$14,D16,INDEX(증량기록!$X$22:$X$51,MAX(1,MIN(30,$C$4-5))))</f>
        <v>25</v>
      </c>
      <c r="F16" s="101" t="s">
        <v>1621</v>
      </c>
    </row>
    <row r="17" spans="1:6" ht="15" customHeight="1">
      <c r="A17" s="141" t="s">
        <v>417</v>
      </c>
      <c r="B17" s="141" t="s">
        <v>27</v>
      </c>
      <c r="C17" s="101" t="s">
        <v>27</v>
      </c>
      <c r="D17" s="102">
        <v>25</v>
      </c>
      <c r="E17" s="142">
        <f>IF($C$4&lt;증량기록!$F$15,D17,INDEX(증량기록!$Z$22:$Z$51,MAX(1,MIN(30,$C$4-5))))</f>
        <v>25</v>
      </c>
      <c r="F17" s="101" t="s">
        <v>1626</v>
      </c>
    </row>
    <row r="18" spans="1:6" ht="15" customHeight="1">
      <c r="A18" s="141" t="s">
        <v>1631</v>
      </c>
      <c r="B18" s="141" t="s">
        <v>27</v>
      </c>
      <c r="C18" s="101" t="s">
        <v>27</v>
      </c>
      <c r="D18" s="102">
        <v>50</v>
      </c>
      <c r="E18" s="142">
        <f>IF($C$4&lt;증량기록!$F$16,D18,INDEX(증량기록!$AB$22:$AB$51,MAX(1,MIN(30,$C$4-5))))</f>
        <v>50</v>
      </c>
      <c r="F18" s="101" t="s">
        <v>1626</v>
      </c>
    </row>
    <row r="19" spans="1:6" ht="15" customHeight="1">
      <c r="A19" s="141" t="s">
        <v>1576</v>
      </c>
      <c r="B19" s="141" t="s">
        <v>27</v>
      </c>
      <c r="C19" s="101" t="s">
        <v>27</v>
      </c>
      <c r="D19" s="102">
        <v>0</v>
      </c>
      <c r="E19" s="142">
        <f>IF($C$4&lt;증량기록!$F$17,D19,INDEX(증량기록!$AD$22:$AD$51,MAX(1,MIN(30,$C$4-5))))</f>
        <v>0</v>
      </c>
      <c r="F19" s="101" t="s">
        <v>1636</v>
      </c>
    </row>
    <row r="20" spans="1:6" ht="15" customHeight="1">
      <c r="A20" s="141" t="s">
        <v>588</v>
      </c>
      <c r="B20" s="141" t="s">
        <v>27</v>
      </c>
      <c r="C20" s="101" t="s">
        <v>27</v>
      </c>
      <c r="D20" s="102">
        <v>15</v>
      </c>
      <c r="E20" s="142">
        <f>IF($C$4&lt;증량기록!$F$18,D20,INDEX(증량기록!$AF$22:$AF$51,MAX(1,MIN(30,$C$4-5))))</f>
        <v>15</v>
      </c>
      <c r="F20" s="101" t="s">
        <v>1608</v>
      </c>
    </row>
    <row r="21" spans="1:6" ht="15" customHeight="1">
      <c r="A21" s="141" t="s">
        <v>439</v>
      </c>
      <c r="B21" s="141" t="s">
        <v>27</v>
      </c>
      <c r="C21" s="101" t="s">
        <v>27</v>
      </c>
      <c r="D21" s="102">
        <v>15</v>
      </c>
      <c r="E21" s="142">
        <f>IF($C$4&lt;증량기록!$F$19,D21,INDEX(증량기록!$AH$22:$AH$51,MAX(1,MIN(30,$C$4-5))))</f>
        <v>15</v>
      </c>
      <c r="F21" s="101" t="s">
        <v>1646</v>
      </c>
    </row>
    <row r="22" spans="1:6" ht="15" customHeight="1">
      <c r="A22" s="141" t="s">
        <v>1650</v>
      </c>
      <c r="B22" s="141" t="s">
        <v>27</v>
      </c>
      <c r="C22" s="101" t="s">
        <v>27</v>
      </c>
      <c r="D22" s="102">
        <v>40</v>
      </c>
      <c r="E22" s="142">
        <f>IF($C$4&lt;증량기록!$F$20,D22,INDEX(증량기록!$AJ$22:$AJ$51,MAX(1,MIN(30,$C$4-5))))</f>
        <v>40</v>
      </c>
      <c r="F22" s="101" t="s">
        <v>1651</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1249</v>
      </c>
    </row>
    <row r="72" spans="1:5">
      <c r="A72" t="s">
        <v>130</v>
      </c>
      <c r="C72" s="100">
        <v>46298</v>
      </c>
      <c r="D72" t="s">
        <v>1250</v>
      </c>
    </row>
    <row r="73" spans="1:5">
      <c r="A73" t="s">
        <v>131</v>
      </c>
      <c r="C73">
        <v>11</v>
      </c>
      <c r="D73" t="s">
        <v>132</v>
      </c>
    </row>
    <row r="74" spans="1:5">
      <c r="A74" t="s">
        <v>133</v>
      </c>
      <c r="C74">
        <v>1</v>
      </c>
      <c r="D74" t="s">
        <v>134</v>
      </c>
    </row>
    <row r="75" spans="1:5">
      <c r="A75" t="s">
        <v>1301</v>
      </c>
      <c r="C75" s="100">
        <v>46312</v>
      </c>
      <c r="D75" t="s">
        <v>1306</v>
      </c>
    </row>
    <row r="76" spans="1:5">
      <c r="A76" t="s">
        <v>1304</v>
      </c>
      <c r="C76" s="133">
        <v>7</v>
      </c>
      <c r="D76" t="s">
        <v>1305</v>
      </c>
    </row>
    <row r="77" spans="1:5">
      <c r="A77" t="s">
        <v>135</v>
      </c>
      <c r="C77" s="100">
        <v>46266</v>
      </c>
      <c r="D77" t="s">
        <v>136</v>
      </c>
    </row>
    <row r="78" spans="1:5">
      <c r="A78" t="s">
        <v>137</v>
      </c>
    </row>
    <row r="79" spans="1:5">
      <c r="A79" t="s">
        <v>138</v>
      </c>
    </row>
    <row r="80" spans="1:5">
      <c r="A80" t="s">
        <v>139</v>
      </c>
    </row>
    <row r="81" spans="1:1">
      <c r="A81" t="s">
        <v>1302</v>
      </c>
    </row>
    <row r="82" spans="1:1">
      <c r="A82" t="s">
        <v>140</v>
      </c>
    </row>
    <row r="83" spans="1:1">
      <c r="A83" t="s">
        <v>141</v>
      </c>
    </row>
    <row r="84" spans="1:1">
      <c r="A84" t="s">
        <v>1251</v>
      </c>
    </row>
    <row r="85" spans="1:1">
      <c r="A85" t="s">
        <v>1253</v>
      </c>
    </row>
    <row r="86" spans="1:1">
      <c r="A86" t="s">
        <v>1453</v>
      </c>
    </row>
    <row r="87" spans="1:1">
      <c r="A87" t="s">
        <v>1550</v>
      </c>
    </row>
    <row r="88" spans="1:1">
      <c r="A88" t="s">
        <v>1600</v>
      </c>
    </row>
    <row r="89" spans="1:1">
      <c r="A89" t="s">
        <v>1641</v>
      </c>
    </row>
    <row r="90" spans="1:1">
      <c r="A90" t="s">
        <v>1656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7" t="s">
        <v>634</v>
      </c>
      <c r="B2" s="146"/>
      <c r="C2" s="146"/>
      <c r="D2" s="146"/>
      <c r="E2" s="146"/>
      <c r="F2" s="146"/>
      <c r="G2" s="146"/>
      <c r="H2" s="146"/>
    </row>
    <row r="3" spans="1:8">
      <c r="A3" t="s">
        <v>635</v>
      </c>
      <c r="F3">
        <f ca="1">COUNTIF($E$7:$E$80,"?")</f>
        <v>0</v>
      </c>
    </row>
    <row r="4" spans="1:8" ht="39.75" customHeight="1">
      <c r="A4" s="145" t="s">
        <v>636</v>
      </c>
      <c r="B4" s="146"/>
      <c r="C4" s="146"/>
      <c r="D4" s="146"/>
      <c r="E4" s="146"/>
      <c r="F4" s="146"/>
      <c r="G4" s="146"/>
      <c r="H4" s="146"/>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8"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9"/>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8"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9"/>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9"/>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9"/>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8"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9"/>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1592</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1593</v>
      </c>
      <c r="C9" s="143">
        <v>1</v>
      </c>
      <c r="D9" s="63" t="s">
        <v>1594</v>
      </c>
      <c r="E9">
        <v>1</v>
      </c>
      <c r="F9">
        <v>13</v>
      </c>
    </row>
    <row r="10" spans="1:8" ht="84" customHeight="1">
      <c r="A10" s="64" t="s">
        <v>1595</v>
      </c>
      <c r="C10" s="143">
        <v>1</v>
      </c>
      <c r="D10" s="63" t="s">
        <v>1596</v>
      </c>
      <c r="E10">
        <v>1</v>
      </c>
      <c r="F10">
        <v>13</v>
      </c>
    </row>
    <row r="11" spans="1:8" ht="84" customHeight="1">
      <c r="A11" s="64" t="s">
        <v>1609</v>
      </c>
      <c r="C11" s="143">
        <v>2</v>
      </c>
      <c r="D11" s="63" t="s">
        <v>1610</v>
      </c>
      <c r="E11">
        <v>1</v>
      </c>
      <c r="F11">
        <v>13</v>
      </c>
    </row>
    <row r="12" spans="1:8" ht="84" customHeight="1">
      <c r="A12" s="64" t="s">
        <v>1613</v>
      </c>
      <c r="C12" s="143">
        <v>2</v>
      </c>
      <c r="D12" s="63" t="s">
        <v>1614</v>
      </c>
      <c r="E12">
        <v>2</v>
      </c>
      <c r="F12">
        <v>13</v>
      </c>
    </row>
    <row r="13" spans="1:8" ht="84" customHeight="1">
      <c r="A13" s="64" t="s">
        <v>1617</v>
      </c>
      <c r="C13" s="143">
        <v>1</v>
      </c>
      <c r="D13" s="63" t="s">
        <v>1618</v>
      </c>
      <c r="E13">
        <v>2</v>
      </c>
      <c r="F13">
        <v>13</v>
      </c>
    </row>
    <row r="14" spans="1:8" ht="84" customHeight="1">
      <c r="A14" s="64" t="s">
        <v>1622</v>
      </c>
      <c r="C14" s="143">
        <v>1</v>
      </c>
      <c r="D14" s="63" t="s">
        <v>1623</v>
      </c>
      <c r="E14">
        <v>2</v>
      </c>
      <c r="F14">
        <v>13</v>
      </c>
    </row>
    <row r="15" spans="1:8" ht="84" customHeight="1">
      <c r="A15" s="64" t="s">
        <v>1627</v>
      </c>
      <c r="C15" s="143">
        <v>1</v>
      </c>
      <c r="D15" s="63" t="s">
        <v>1628</v>
      </c>
      <c r="E15">
        <v>3</v>
      </c>
      <c r="F15">
        <v>13</v>
      </c>
    </row>
    <row r="16" spans="1:8" ht="84" customHeight="1">
      <c r="A16" s="64" t="s">
        <v>1632</v>
      </c>
      <c r="C16" s="143">
        <v>1</v>
      </c>
      <c r="D16" s="63" t="s">
        <v>1633</v>
      </c>
      <c r="E16">
        <v>2</v>
      </c>
      <c r="F16">
        <v>13</v>
      </c>
    </row>
    <row r="17" spans="1:37" ht="84" customHeight="1">
      <c r="A17" s="64" t="s">
        <v>1637</v>
      </c>
      <c r="C17" s="143">
        <v>1</v>
      </c>
      <c r="D17" s="63" t="s">
        <v>1638</v>
      </c>
      <c r="E17">
        <v>2</v>
      </c>
      <c r="F17">
        <v>13</v>
      </c>
    </row>
    <row r="18" spans="1:37" ht="84" customHeight="1">
      <c r="A18" s="64" t="s">
        <v>1642</v>
      </c>
      <c r="C18" s="143">
        <v>1</v>
      </c>
      <c r="D18" s="63" t="s">
        <v>1643</v>
      </c>
      <c r="E18">
        <v>3</v>
      </c>
      <c r="F18">
        <v>13</v>
      </c>
    </row>
    <row r="19" spans="1:37" ht="84" customHeight="1">
      <c r="A19" s="64" t="s">
        <v>1647</v>
      </c>
      <c r="C19" s="143">
        <v>1</v>
      </c>
      <c r="D19" s="63" t="s">
        <v>1643</v>
      </c>
      <c r="E19">
        <v>3</v>
      </c>
      <c r="F19">
        <v>13</v>
      </c>
    </row>
    <row r="20" spans="1:37" ht="84" customHeight="1">
      <c r="A20" s="64" t="s">
        <v>1652</v>
      </c>
      <c r="C20" s="143">
        <v>1</v>
      </c>
      <c r="D20" s="63" t="s">
        <v>1653</v>
      </c>
      <c r="E20">
        <v>1</v>
      </c>
      <c r="F20">
        <v>13</v>
      </c>
    </row>
    <row r="21" spans="1:37" ht="15" customHeight="1">
      <c r="A21" s="5" t="s">
        <v>114</v>
      </c>
      <c r="B21" s="5" t="s">
        <v>1252</v>
      </c>
      <c r="C21" s="5" t="s">
        <v>817</v>
      </c>
      <c r="D21" s="5" t="s">
        <v>818</v>
      </c>
      <c r="E21" s="5" t="s">
        <v>819</v>
      </c>
      <c r="F21" s="5" t="s">
        <v>818</v>
      </c>
      <c r="G21" s="5" t="s">
        <v>820</v>
      </c>
      <c r="H21" s="5" t="s">
        <v>818</v>
      </c>
      <c r="I21" s="5" t="s">
        <v>821</v>
      </c>
      <c r="J21" s="5" t="s">
        <v>818</v>
      </c>
      <c r="K21" s="5" t="s">
        <v>261</v>
      </c>
      <c r="L21" s="87" t="s">
        <v>822</v>
      </c>
      <c r="M21" s="87" t="s">
        <v>823</v>
      </c>
      <c r="N21" s="5" t="s">
        <v>1597</v>
      </c>
      <c r="O21" s="5" t="s">
        <v>1598</v>
      </c>
      <c r="P21" s="5" t="s">
        <v>1599</v>
      </c>
      <c r="Q21" s="5" t="s">
        <v>1598</v>
      </c>
      <c r="R21" s="5" t="s">
        <v>1611</v>
      </c>
      <c r="S21" s="5" t="s">
        <v>1598</v>
      </c>
      <c r="T21" s="5" t="s">
        <v>1615</v>
      </c>
      <c r="U21" s="5" t="s">
        <v>1598</v>
      </c>
      <c r="V21" s="5" t="s">
        <v>1619</v>
      </c>
      <c r="W21" s="5" t="s">
        <v>1598</v>
      </c>
      <c r="X21" s="5" t="s">
        <v>1624</v>
      </c>
      <c r="Y21" s="5" t="s">
        <v>1598</v>
      </c>
      <c r="Z21" s="5" t="s">
        <v>1629</v>
      </c>
      <c r="AA21" s="5" t="s">
        <v>1598</v>
      </c>
      <c r="AB21" s="5" t="s">
        <v>1634</v>
      </c>
      <c r="AC21" s="5" t="s">
        <v>1598</v>
      </c>
      <c r="AD21" s="5" t="s">
        <v>1639</v>
      </c>
      <c r="AE21" s="5" t="s">
        <v>1598</v>
      </c>
      <c r="AF21" s="5" t="s">
        <v>1644</v>
      </c>
      <c r="AG21" s="5" t="s">
        <v>1598</v>
      </c>
      <c r="AH21" s="5" t="s">
        <v>1648</v>
      </c>
      <c r="AI21" s="5" t="s">
        <v>1598</v>
      </c>
      <c r="AJ21" s="5" t="s">
        <v>1654</v>
      </c>
      <c r="AK21" s="5" t="s">
        <v>1598</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IF(OR(D22="",D22="O"),IF(MOD(ROW()-22,$E$6)=0,C22+$C$6+(MOD(C22+$C$6,5)=4),C22),C22)</f>
        <v>65</v>
      </c>
      <c r="D23" s="4"/>
      <c r="E23" s="16">
        <f>IF(OR(F22="",F22="O"),IF(MOD(ROW()-22,$E$5)=0,E22+$C$5+(MOD(E22+$C$5,5)=4),E22),E22)</f>
        <v>70</v>
      </c>
      <c r="F23" s="4"/>
      <c r="G23" s="16">
        <f>IF(OR(H22="",H22="O"),IF(MOD(ROW()-22,$E$7)=0,G22+$C$7+(MOD(G22+$C$7,5)=4),G22),G22)</f>
        <v>36</v>
      </c>
      <c r="H23" s="4"/>
      <c r="I23" s="16">
        <f>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IF(OR(D23="",D23="O"),IF(MOD(ROW()-22,$E$6)=0,C23+$C$6+(MOD(C23+$C$6,5)=4),C23),C23)</f>
        <v>67</v>
      </c>
      <c r="D24" s="4"/>
      <c r="E24" s="16">
        <f>IF(OR(F23="",F23="O"),IF(MOD(ROW()-22,$E$5)=0,E23+$C$5+(MOD(E23+$C$5,5)=4),E23),E23)</f>
        <v>72</v>
      </c>
      <c r="F24" s="4"/>
      <c r="G24" s="16">
        <f>IF(OR(H23="",H23="O"),IF(MOD(ROW()-22,$E$7)=0,G23+$C$7+(MOD(G23+$C$7,5)=4),G23),G23)</f>
        <v>37</v>
      </c>
      <c r="H24" s="4"/>
      <c r="I24" s="16">
        <f>IF(OR(J23="",J23="O"),IF(MOD(ROW()-22,$E$8)=0,I23+$C$8+(MOD(I23+$C$8,5)=4),I23),I23)</f>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IF(OR(D24="",D24="O"),IF(MOD(ROW()-22,$E$6)=0,C24+$C$6+(MOD(C24+$C$6,5)=4),C24),C24)</f>
        <v>70</v>
      </c>
      <c r="D25" s="4"/>
      <c r="E25" s="16">
        <f>IF(OR(F24="",F24="O"),IF(MOD(ROW()-22,$E$5)=0,E24+$C$5+(MOD(E24+$C$5,5)=4),E24),E24)</f>
        <v>75</v>
      </c>
      <c r="F25" s="4"/>
      <c r="G25" s="16">
        <f>IF(OR(H24="",H24="O"),IF(MOD(ROW()-22,$E$7)=0,G24+$C$7+(MOD(G24+$C$7,5)=4),G24),G24)</f>
        <v>38</v>
      </c>
      <c r="H25" s="4"/>
      <c r="I25" s="16">
        <f>IF(OR(J24="",J24="O"),IF(MOD(ROW()-22,$E$8)=0,I24+$C$8+(MOD(I24+$C$8,5)=4),I24),I24)</f>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IF(OR(D25="",D25="O"),IF(MOD(ROW()-22,$E$6)=0,C25+$C$6+(MOD(C25+$C$6,5)=4),C25),C25)</f>
        <v>72</v>
      </c>
      <c r="D26" s="4"/>
      <c r="E26" s="16">
        <f>IF(OR(F25="",F25="O"),IF(MOD(ROW()-22,$E$5)=0,E25+$C$5+(MOD(E25+$C$5,5)=4),E25),E25)</f>
        <v>77</v>
      </c>
      <c r="F26" s="4"/>
      <c r="G26" s="16">
        <f>IF(OR(H25="",H25="O"),IF(MOD(ROW()-22,$E$7)=0,G25+$C$7+(MOD(G25+$C$7,5)=4),G25),G25)</f>
        <v>40</v>
      </c>
      <c r="H26" s="4"/>
      <c r="I26" s="16">
        <f>IF(OR(J25="",J25="O"),IF(MOD(ROW()-22,$E$8)=0,I25+$C$8+(MOD(I25+$C$8,5)=4),I25),I25)</f>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IF(OR(D26="",D26="O"),IF(MOD(ROW()-22,$E$6)=0,C26+$C$6+(MOD(C26+$C$6,5)=4),C26),C26)</f>
        <v>75</v>
      </c>
      <c r="D27" s="4"/>
      <c r="E27" s="16">
        <f>IF(OR(F26="",F26="O"),IF(MOD(ROW()-22,$E$5)=0,E26+$C$5+(MOD(E26+$C$5,5)=4),E26),E26)</f>
        <v>80</v>
      </c>
      <c r="F27" s="4"/>
      <c r="G27" s="16">
        <f>IF(OR(H26="",H26="O"),IF(MOD(ROW()-22,$E$7)=0,G26+$C$7+(MOD(G26+$C$7,5)=4),G26),G26)</f>
        <v>41</v>
      </c>
      <c r="H27" s="4"/>
      <c r="I27" s="16">
        <f>IF(OR(J26="",J26="O"),IF(MOD(ROW()-22,$E$8)=0,I26+$C$8+(MOD(I26+$C$8,5)=4),I26),I26)</f>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IF(OR(D27="",D27="O"),IF(MOD(ROW()-22,$E$6)=0,C27+$C$6+(MOD(C27+$C$6,5)=4),C27),C27)</f>
        <v>77</v>
      </c>
      <c r="D28" s="4"/>
      <c r="E28" s="16">
        <f>IF(OR(F27="",F27="O"),IF(MOD(ROW()-22,$E$5)=0,E27+$C$5+(MOD(E27+$C$5,5)=4),E27),E27)</f>
        <v>82</v>
      </c>
      <c r="F28" s="4"/>
      <c r="G28" s="16">
        <f>IF(OR(H27="",H27="O"),IF(MOD(ROW()-22,$E$7)=0,G27+$C$7+(MOD(G27+$C$7,5)=4),G27),G27)</f>
        <v>42</v>
      </c>
      <c r="H28" s="4"/>
      <c r="I28" s="16">
        <f>IF(OR(J27="",J27="O"),IF(MOD(ROW()-22,$E$8)=0,I27+$C$8+(MOD(I27+$C$8,5)=4),I27),I27)</f>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IF(OR(D28="",D28="O"),IF(MOD(ROW()-22,$E$6)=0,C28+$C$6+(MOD(C28+$C$6,5)=4),C28),C28)</f>
        <v>80</v>
      </c>
      <c r="D29" s="4"/>
      <c r="E29" s="16">
        <f>IF(OR(F28="",F28="O"),IF(MOD(ROW()-22,$E$5)=0,E28+$C$5+(MOD(E28+$C$5,5)=4),E28),E28)</f>
        <v>85</v>
      </c>
      <c r="F29" s="4"/>
      <c r="G29" s="16">
        <f>IF(OR(H28="",H28="O"),IF(MOD(ROW()-22,$E$7)=0,G28+$C$7+(MOD(G28+$C$7,5)=4),G28),G28)</f>
        <v>43</v>
      </c>
      <c r="H29" s="4"/>
      <c r="I29" s="16">
        <f>IF(OR(J28="",J28="O"),IF(MOD(ROW()-22,$E$8)=0,I28+$C$8+(MOD(I28+$C$8,5)=4),I28),I28)</f>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IF(OR(D29="",D29="O"),IF(MOD(ROW()-22,$E$6)=0,C29+$C$6+(MOD(C29+$C$6,5)=4),C29),C29)</f>
        <v>82</v>
      </c>
      <c r="D30" s="4"/>
      <c r="E30" s="16">
        <f>IF(OR(F29="",F29="O"),IF(MOD(ROW()-22,$E$5)=0,E29+$C$5+(MOD(E29+$C$5,5)=4),E29),E29)</f>
        <v>87</v>
      </c>
      <c r="F30" s="4"/>
      <c r="G30" s="16">
        <f>IF(OR(H29="",H29="O"),IF(MOD(ROW()-22,$E$7)=0,G29+$C$7+(MOD(G29+$C$7,5)=4),G29),G29)</f>
        <v>45</v>
      </c>
      <c r="H30" s="4"/>
      <c r="I30" s="16">
        <f>IF(OR(J29="",J29="O"),IF(MOD(ROW()-22,$E$8)=0,I29+$C$8+(MOD(I29+$C$8,5)=4),I29),I29)</f>
        <v>33</v>
      </c>
      <c r="J30" s="4"/>
      <c r="K30" s="65"/>
      <c r="L30" s="90"/>
      <c r="M30" s="90"/>
      <c r="N30" s="16">
        <f>IF(OR(O29="",O29="O"),IF(MOD(ROW()-29,$E$9)=0,N29+$C$9+(MOD(N29+$C$9,5)=4),N29),N29)</f>
        <v>61</v>
      </c>
      <c r="O30" s="4"/>
      <c r="P30" s="16">
        <f>IF(OR(Q29="",Q29="O"),IF(MOD(ROW()-29,$E$10)=0,P29+$C$10+(MOD(P29+$C$10,5)=4),P29),P29)</f>
        <v>43</v>
      </c>
      <c r="Q30" s="4"/>
      <c r="R30" s="16">
        <f>IF(OR(S29="",S29="O"),IF(MOD(ROW()-29,$E$11)=0,R29+$C$11+(MOD(R29+$C$11,5)=4),R29),R29)</f>
        <v>162</v>
      </c>
      <c r="S30" s="4"/>
      <c r="T30" s="16">
        <f>IF(OR(U29="",U29="O"),IF(MOD(ROW()-29,$E$12)=0,T29+$C$12+(MOD(T29+$C$12,5)=4),T29),T29)</f>
        <v>140</v>
      </c>
      <c r="U30" s="4"/>
      <c r="V30" s="16">
        <f>IF(OR(W29="",W29="O"),IF(MOD(ROW()-29,$E$13)=0,V29+$C$13+(MOD(V29+$C$13,5)=4),V29),V29)</f>
        <v>50</v>
      </c>
      <c r="W30" s="4"/>
      <c r="X30" s="16">
        <f>IF(OR(Y29="",Y29="O"),IF(MOD(ROW()-29,$E$14)=0,X29+$C$14+(MOD(X29+$C$14,5)=4),X29),X29)</f>
        <v>25</v>
      </c>
      <c r="Y30" s="4"/>
      <c r="Z30" s="16">
        <f>IF(OR(AA29="",AA29="O"),IF(MOD(ROW()-29,$E$15)=0,Z29+$C$15+(MOD(Z29+$C$15,5)=4),Z29),Z29)</f>
        <v>25</v>
      </c>
      <c r="AA30" s="4"/>
      <c r="AB30" s="16">
        <f>IF(OR(AC29="",AC29="O"),IF(MOD(ROW()-29,$E$16)=0,AB29+$C$16+(MOD(AB29+$C$16,5)=4),AB29),AB29)</f>
        <v>50</v>
      </c>
      <c r="AC30" s="4"/>
      <c r="AD30" s="16">
        <f>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IF(OR(D30="",D30="O"),IF(MOD(ROW()-22,$E$6)=0,C30+$C$6+(MOD(C30+$C$6,5)=4),C30),C30)</f>
        <v>85</v>
      </c>
      <c r="D31" s="4"/>
      <c r="E31" s="16">
        <f>IF(OR(F30="",F30="O"),IF(MOD(ROW()-22,$E$5)=0,E30+$C$5+(MOD(E30+$C$5,5)=4),E30),E30)</f>
        <v>90</v>
      </c>
      <c r="F31" s="4"/>
      <c r="G31" s="16">
        <f>IF(OR(H30="",H30="O"),IF(MOD(ROW()-22,$E$7)=0,G30+$C$7+(MOD(G30+$C$7,5)=4),G30),G30)</f>
        <v>46</v>
      </c>
      <c r="H31" s="4"/>
      <c r="I31" s="16">
        <f>IF(OR(J30="",J30="O"),IF(MOD(ROW()-22,$E$8)=0,I30+$C$8+(MOD(I30+$C$8,5)=4),I30),I30)</f>
        <v>33</v>
      </c>
      <c r="J31" s="4"/>
      <c r="K31" s="65"/>
      <c r="L31" s="90"/>
      <c r="M31" s="90"/>
      <c r="N31" s="16">
        <f>IF(OR(O30="",O30="O"),IF(MOD(ROW()-29,$E$9)=0,N30+$C$9+(MOD(N30+$C$9,5)=4),N30),N30)</f>
        <v>62</v>
      </c>
      <c r="O31" s="4"/>
      <c r="P31" s="16">
        <f>IF(OR(Q30="",Q30="O"),IF(MOD(ROW()-29,$E$10)=0,P30+$C$10+(MOD(P30+$C$10,5)=4),P30),P30)</f>
        <v>45</v>
      </c>
      <c r="Q31" s="4"/>
      <c r="R31" s="16">
        <f>IF(OR(S30="",S30="O"),IF(MOD(ROW()-29,$E$11)=0,R30+$C$11+(MOD(R30+$C$11,5)=4),R30),R30)</f>
        <v>165</v>
      </c>
      <c r="S31" s="4"/>
      <c r="T31" s="16">
        <f>IF(OR(U30="",U30="O"),IF(MOD(ROW()-29,$E$12)=0,T30+$C$12+(MOD(T30+$C$12,5)=4),T30),T30)</f>
        <v>142</v>
      </c>
      <c r="U31" s="4"/>
      <c r="V31" s="16">
        <f>IF(OR(W30="",W30="O"),IF(MOD(ROW()-29,$E$13)=0,V30+$C$13+(MOD(V30+$C$13,5)=4),V30),V30)</f>
        <v>51</v>
      </c>
      <c r="W31" s="4"/>
      <c r="X31" s="16">
        <f>IF(OR(Y30="",Y30="O"),IF(MOD(ROW()-29,$E$14)=0,X30+$C$14+(MOD(X30+$C$14,5)=4),X30),X30)</f>
        <v>26</v>
      </c>
      <c r="Y31" s="4"/>
      <c r="Z31" s="16">
        <f>IF(OR(AA30="",AA30="O"),IF(MOD(ROW()-29,$E$15)=0,Z30+$C$15+(MOD(Z30+$C$15,5)=4),Z30),Z30)</f>
        <v>25</v>
      </c>
      <c r="AA31" s="4"/>
      <c r="AB31" s="16">
        <f>IF(OR(AC30="",AC30="O"),IF(MOD(ROW()-29,$E$16)=0,AB30+$C$16+(MOD(AB30+$C$16,5)=4),AB30),AB30)</f>
        <v>51</v>
      </c>
      <c r="AC31" s="4"/>
      <c r="AD31" s="16">
        <f>IF(OR(AE30="",AE30="O"),IF(MOD(ROW()-29,$E$17)=0,AD30+$C$17+(MOD(AD30+$C$17,5)=4),AD30),AD30)</f>
        <v>1</v>
      </c>
      <c r="AE31" s="4"/>
      <c r="AF31" s="16">
        <f t="shared" ref="AF31:AF51" si="0">IF(OR(AG30="",AG30="O"),IF(MOD(ROW()-29,$E$18)=0,AF30+$C$18+(MOD(AF30+$C$18,5)=4),AF30),AF30)</f>
        <v>15</v>
      </c>
      <c r="AG31" s="4"/>
      <c r="AH31" s="16">
        <f t="shared" ref="AH31:AH51" si="1">IF(OR(AI30="",AI30="O"),IF(MOD(ROW()-29,$E$19)=0,AH30+$C$19+(MOD(AH30+$C$19,5)=4),AH30),AH30)</f>
        <v>15</v>
      </c>
      <c r="AI31" s="4"/>
      <c r="AJ31" s="16">
        <f t="shared" ref="AJ31:AJ51" si="2">IF(OR(AK30="",AK30="O"),IF(MOD(ROW()-29,$E$20)=0,AJ30+$C$20+(MOD(AJ30+$C$20,5)=4),AJ30),AJ30)</f>
        <v>42</v>
      </c>
      <c r="AK31" s="4"/>
    </row>
    <row r="32" spans="1:37" ht="15" customHeight="1">
      <c r="A32" s="8" t="s">
        <v>125</v>
      </c>
      <c r="B32" s="73">
        <v>46333</v>
      </c>
      <c r="C32" s="16">
        <f>IF(OR(D31="",D31="O"),IF(MOD(ROW()-22,$E$6)=0,C31+$C$6+(MOD(C31+$C$6,5)=4),C31),C31)</f>
        <v>87</v>
      </c>
      <c r="D32" s="4"/>
      <c r="E32" s="16">
        <f>IF(OR(F31="",F31="O"),IF(MOD(ROW()-22,$E$5)=0,E31+$C$5+(MOD(E31+$C$5,5)=4),E31),E31)</f>
        <v>92</v>
      </c>
      <c r="F32" s="4"/>
      <c r="G32" s="16">
        <f>IF(OR(H31="",H31="O"),IF(MOD(ROW()-22,$E$7)=0,G31+$C$7+(MOD(G31+$C$7,5)=4),G31),G31)</f>
        <v>47</v>
      </c>
      <c r="H32" s="4"/>
      <c r="I32" s="16">
        <f>IF(OR(J31="",J31="O"),IF(MOD(ROW()-22,$E$8)=0,I31+$C$8+(MOD(I31+$C$8,5)=4),I31),I31)</f>
        <v>35</v>
      </c>
      <c r="J32" s="4"/>
      <c r="K32" s="65"/>
      <c r="L32" s="90"/>
      <c r="M32" s="90"/>
      <c r="N32" s="16">
        <f>IF(OR(O31="",O31="O"),IF(MOD(ROW()-29,$E$9)=0,N31+$C$9+(MOD(N31+$C$9,5)=4),N31),N31)</f>
        <v>63</v>
      </c>
      <c r="O32" s="4"/>
      <c r="P32" s="16">
        <f>IF(OR(Q31="",Q31="O"),IF(MOD(ROW()-29,$E$10)=0,P31+$C$10+(MOD(P31+$C$10,5)=4),P31),P31)</f>
        <v>46</v>
      </c>
      <c r="Q32" s="4"/>
      <c r="R32" s="16">
        <f>IF(OR(S31="",S31="O"),IF(MOD(ROW()-29,$E$11)=0,R31+$C$11+(MOD(R31+$C$11,5)=4),R31),R31)</f>
        <v>167</v>
      </c>
      <c r="S32" s="4"/>
      <c r="T32" s="16">
        <f>IF(OR(U31="",U31="O"),IF(MOD(ROW()-29,$E$12)=0,T31+$C$12+(MOD(T31+$C$12,5)=4),T31),T31)</f>
        <v>142</v>
      </c>
      <c r="U32" s="4"/>
      <c r="V32" s="16">
        <f>IF(OR(W31="",W31="O"),IF(MOD(ROW()-29,$E$13)=0,V31+$C$13+(MOD(V31+$C$13,5)=4),V31),V31)</f>
        <v>51</v>
      </c>
      <c r="W32" s="4"/>
      <c r="X32" s="16">
        <f>IF(OR(Y31="",Y31="O"),IF(MOD(ROW()-29,$E$14)=0,X31+$C$14+(MOD(X31+$C$14,5)=4),X31),X31)</f>
        <v>26</v>
      </c>
      <c r="Y32" s="4"/>
      <c r="Z32" s="16">
        <f>IF(OR(AA31="",AA31="O"),IF(MOD(ROW()-29,$E$15)=0,Z31+$C$15+(MOD(Z31+$C$15,5)=4),Z31),Z31)</f>
        <v>26</v>
      </c>
      <c r="AA32" s="4"/>
      <c r="AB32" s="16">
        <f>IF(OR(AC31="",AC31="O"),IF(MOD(ROW()-29,$E$16)=0,AB31+$C$16+(MOD(AB31+$C$16,5)=4),AB31),AB31)</f>
        <v>51</v>
      </c>
      <c r="AC32" s="4"/>
      <c r="AD32" s="16">
        <f>IF(OR(AE31="",AE31="O"),IF(MOD(ROW()-29,$E$17)=0,AD31+$C$17+(MOD(AD31+$C$17,5)=4),AD31),AD31)</f>
        <v>1</v>
      </c>
      <c r="AE32" s="4"/>
      <c r="AF32" s="16">
        <f t="shared" si="0"/>
        <v>16</v>
      </c>
      <c r="AG32" s="4"/>
      <c r="AH32" s="16">
        <f t="shared" si="1"/>
        <v>16</v>
      </c>
      <c r="AI32" s="4"/>
      <c r="AJ32" s="16">
        <f t="shared" si="2"/>
        <v>43</v>
      </c>
      <c r="AK32" s="4"/>
    </row>
    <row r="33" spans="1:37" ht="15" customHeight="1">
      <c r="A33" s="8" t="s">
        <v>126</v>
      </c>
      <c r="B33" s="73">
        <v>46340</v>
      </c>
      <c r="C33" s="16">
        <f>IF(OR(D32="",D32="O"),IF(MOD(ROW()-22,$E$6)=0,C32+$C$6+(MOD(C32+$C$6,5)=4),C32),C32)</f>
        <v>90</v>
      </c>
      <c r="D33" s="4"/>
      <c r="E33" s="16">
        <f>IF(OR(F32="",F32="O"),IF(MOD(ROW()-22,$E$5)=0,E32+$C$5+(MOD(E32+$C$5,5)=4),E32),E32)</f>
        <v>95</v>
      </c>
      <c r="F33" s="4"/>
      <c r="G33" s="16">
        <f>IF(OR(H32="",H32="O"),IF(MOD(ROW()-22,$E$7)=0,G32+$C$7+(MOD(G32+$C$7,5)=4),G32),G32)</f>
        <v>48</v>
      </c>
      <c r="H33" s="4"/>
      <c r="I33" s="16">
        <f>IF(OR(J32="",J32="O"),IF(MOD(ROW()-22,$E$8)=0,I32+$C$8+(MOD(I32+$C$8,5)=4),I32),I32)</f>
        <v>35</v>
      </c>
      <c r="J33" s="4"/>
      <c r="K33" s="65"/>
      <c r="L33" s="90"/>
      <c r="M33" s="90"/>
      <c r="N33" s="16">
        <f>IF(OR(O32="",O32="O"),IF(MOD(ROW()-29,$E$9)=0,N32+$C$9+(MOD(N32+$C$9,5)=4),N32),N32)</f>
        <v>65</v>
      </c>
      <c r="O33" s="4"/>
      <c r="P33" s="16">
        <f>IF(OR(Q32="",Q32="O"),IF(MOD(ROW()-29,$E$10)=0,P32+$C$10+(MOD(P32+$C$10,5)=4),P32),P32)</f>
        <v>47</v>
      </c>
      <c r="Q33" s="4"/>
      <c r="R33" s="16">
        <f>IF(OR(S32="",S32="O"),IF(MOD(ROW()-29,$E$11)=0,R32+$C$11+(MOD(R32+$C$11,5)=4),R32),R32)</f>
        <v>170</v>
      </c>
      <c r="S33" s="4"/>
      <c r="T33" s="16">
        <f>IF(OR(U32="",U32="O"),IF(MOD(ROW()-29,$E$12)=0,T32+$C$12+(MOD(T32+$C$12,5)=4),T32),T32)</f>
        <v>145</v>
      </c>
      <c r="U33" s="4"/>
      <c r="V33" s="16">
        <f>IF(OR(W32="",W32="O"),IF(MOD(ROW()-29,$E$13)=0,V32+$C$13+(MOD(V32+$C$13,5)=4),V32),V32)</f>
        <v>52</v>
      </c>
      <c r="W33" s="4"/>
      <c r="X33" s="16">
        <f>IF(OR(Y32="",Y32="O"),IF(MOD(ROW()-29,$E$14)=0,X32+$C$14+(MOD(X32+$C$14,5)=4),X32),X32)</f>
        <v>27</v>
      </c>
      <c r="Y33" s="4"/>
      <c r="Z33" s="16">
        <f>IF(OR(AA32="",AA32="O"),IF(MOD(ROW()-29,$E$15)=0,Z32+$C$15+(MOD(Z32+$C$15,5)=4),Z32),Z32)</f>
        <v>26</v>
      </c>
      <c r="AA33" s="4"/>
      <c r="AB33" s="16">
        <f>IF(OR(AC32="",AC32="O"),IF(MOD(ROW()-29,$E$16)=0,AB32+$C$16+(MOD(AB32+$C$16,5)=4),AB32),AB32)</f>
        <v>52</v>
      </c>
      <c r="AC33" s="4"/>
      <c r="AD33" s="16">
        <f>IF(OR(AE32="",AE32="O"),IF(MOD(ROW()-29,$E$17)=0,AD32+$C$17+(MOD(AD32+$C$17,5)=4),AD32),AD32)</f>
        <v>2</v>
      </c>
      <c r="AE33" s="4"/>
      <c r="AF33" s="16">
        <f t="shared" si="0"/>
        <v>16</v>
      </c>
      <c r="AG33" s="4"/>
      <c r="AH33" s="16">
        <f t="shared" si="1"/>
        <v>16</v>
      </c>
      <c r="AI33" s="4"/>
      <c r="AJ33" s="16">
        <f t="shared" si="2"/>
        <v>45</v>
      </c>
      <c r="AK33" s="4"/>
    </row>
    <row r="34" spans="1:37" ht="15" customHeight="1">
      <c r="A34" s="101" t="s">
        <v>825</v>
      </c>
      <c r="B34" s="105">
        <v>46347</v>
      </c>
      <c r="C34" s="103">
        <f>IF(OR(D33="",D33="O"),IF(MOD(ROW()-22,$E$6)=0,C33+$C$6+(MOD(C33+$C$6,5)=4),C33),C33)</f>
        <v>92</v>
      </c>
      <c r="D34" s="102"/>
      <c r="E34" s="103">
        <f>IF(OR(F33="",F33="O"),IF(MOD(ROW()-22,$E$5)=0,E33+$C$5+(MOD(E33+$C$5,5)=4),E33),E33)</f>
        <v>97</v>
      </c>
      <c r="F34" s="102"/>
      <c r="G34" s="103">
        <f>IF(OR(H33="",H33="O"),IF(MOD(ROW()-22,$E$7)=0,G33+$C$7+(MOD(G33+$C$7,5)=4),G33),G33)</f>
        <v>50</v>
      </c>
      <c r="H34" s="102"/>
      <c r="I34" s="103">
        <f>IF(OR(J33="",J33="O"),IF(MOD(ROW()-22,$E$8)=0,I33+$C$8+(MOD(I33+$C$8,5)=4),I33),I33)</f>
        <v>36</v>
      </c>
      <c r="J34" s="102"/>
      <c r="K34" s="104"/>
      <c r="L34" s="90"/>
      <c r="M34" s="90"/>
      <c r="N34" s="16">
        <f>IF(OR(O33="",O33="O"),IF(MOD(ROW()-29,$E$9)=0,N33+$C$9+(MOD(N33+$C$9,5)=4),N33),N33)</f>
        <v>66</v>
      </c>
      <c r="O34" s="102"/>
      <c r="P34" s="16">
        <f>IF(OR(Q33="",Q33="O"),IF(MOD(ROW()-29,$E$10)=0,P33+$C$10+(MOD(P33+$C$10,5)=4),P33),P33)</f>
        <v>48</v>
      </c>
      <c r="Q34" s="102"/>
      <c r="R34" s="16">
        <f>IF(OR(S33="",S33="O"),IF(MOD(ROW()-29,$E$11)=0,R33+$C$11+(MOD(R33+$C$11,5)=4),R33),R33)</f>
        <v>172</v>
      </c>
      <c r="S34" s="102"/>
      <c r="T34" s="16">
        <f>IF(OR(U33="",U33="O"),IF(MOD(ROW()-29,$E$12)=0,T33+$C$12+(MOD(T33+$C$12,5)=4),T33),T33)</f>
        <v>145</v>
      </c>
      <c r="U34" s="102"/>
      <c r="V34" s="16">
        <f>IF(OR(W33="",W33="O"),IF(MOD(ROW()-29,$E$13)=0,V33+$C$13+(MOD(V33+$C$13,5)=4),V33),V33)</f>
        <v>52</v>
      </c>
      <c r="W34" s="102"/>
      <c r="X34" s="16">
        <f>IF(OR(Y33="",Y33="O"),IF(MOD(ROW()-29,$E$14)=0,X33+$C$14+(MOD(X33+$C$14,5)=4),X33),X33)</f>
        <v>27</v>
      </c>
      <c r="Y34" s="102"/>
      <c r="Z34" s="16">
        <f>IF(OR(AA33="",AA33="O"),IF(MOD(ROW()-29,$E$15)=0,Z33+$C$15+(MOD(Z33+$C$15,5)=4),Z33),Z33)</f>
        <v>26</v>
      </c>
      <c r="AA34" s="102"/>
      <c r="AB34" s="16">
        <f>IF(OR(AC33="",AC33="O"),IF(MOD(ROW()-29,$E$16)=0,AB33+$C$16+(MOD(AB33+$C$16,5)=4),AB33),AB33)</f>
        <v>52</v>
      </c>
      <c r="AC34" s="102"/>
      <c r="AD34" s="16">
        <f>IF(OR(AE33="",AE33="O"),IF(MOD(ROW()-29,$E$17)=0,AD33+$C$17+(MOD(AD33+$C$17,5)=4),AD33),AD33)</f>
        <v>2</v>
      </c>
      <c r="AE34" s="102"/>
      <c r="AF34" s="16">
        <f t="shared" si="0"/>
        <v>16</v>
      </c>
      <c r="AG34" s="102"/>
      <c r="AH34" s="16">
        <f t="shared" si="1"/>
        <v>16</v>
      </c>
      <c r="AI34" s="102"/>
      <c r="AJ34" s="16">
        <f t="shared" si="2"/>
        <v>46</v>
      </c>
      <c r="AK34" s="102"/>
    </row>
    <row r="35" spans="1:37" ht="15" customHeight="1">
      <c r="A35" s="101" t="s">
        <v>826</v>
      </c>
      <c r="B35" s="105">
        <v>46354</v>
      </c>
      <c r="C35" s="103">
        <f>IF(OR(D34="",D34="O"),IF(MOD(ROW()-22,$E$6)=0,C34+$C$6+(MOD(C34+$C$6,5)=4),C34),C34)</f>
        <v>95</v>
      </c>
      <c r="D35" s="102"/>
      <c r="E35" s="103">
        <f>IF(OR(F34="",F34="O"),IF(MOD(ROW()-22,$E$5)=0,E34+$C$5+(MOD(E34+$C$5,5)=4),E34),E34)</f>
        <v>100</v>
      </c>
      <c r="F35" s="102"/>
      <c r="G35" s="103">
        <f>IF(OR(H34="",H34="O"),IF(MOD(ROW()-22,$E$7)=0,G34+$C$7+(MOD(G34+$C$7,5)=4),G34),G34)</f>
        <v>51</v>
      </c>
      <c r="H35" s="102"/>
      <c r="I35" s="103">
        <f>IF(OR(J34="",J34="O"),IF(MOD(ROW()-22,$E$8)=0,I34+$C$8+(MOD(I34+$C$8,5)=4),I34),I34)</f>
        <v>36</v>
      </c>
      <c r="J35" s="102"/>
      <c r="K35" s="104"/>
      <c r="L35" s="90"/>
      <c r="M35" s="90"/>
      <c r="N35" s="16">
        <f>IF(OR(O34="",O34="O"),IF(MOD(ROW()-29,$E$9)=0,N34+$C$9+(MOD(N34+$C$9,5)=4),N34),N34)</f>
        <v>67</v>
      </c>
      <c r="O35" s="102"/>
      <c r="P35" s="16">
        <f>IF(OR(Q34="",Q34="O"),IF(MOD(ROW()-29,$E$10)=0,P34+$C$10+(MOD(P34+$C$10,5)=4),P34),P34)</f>
        <v>50</v>
      </c>
      <c r="Q35" s="102"/>
      <c r="R35" s="16">
        <f>IF(OR(S34="",S34="O"),IF(MOD(ROW()-29,$E$11)=0,R34+$C$11+(MOD(R34+$C$11,5)=4),R34),R34)</f>
        <v>175</v>
      </c>
      <c r="S35" s="102"/>
      <c r="T35" s="16">
        <f>IF(OR(U34="",U34="O"),IF(MOD(ROW()-29,$E$12)=0,T34+$C$12+(MOD(T34+$C$12,5)=4),T34),T34)</f>
        <v>147</v>
      </c>
      <c r="U35" s="102"/>
      <c r="V35" s="16">
        <f>IF(OR(W34="",W34="O"),IF(MOD(ROW()-29,$E$13)=0,V34+$C$13+(MOD(V34+$C$13,5)=4),V34),V34)</f>
        <v>53</v>
      </c>
      <c r="W35" s="102"/>
      <c r="X35" s="16">
        <f>IF(OR(Y34="",Y34="O"),IF(MOD(ROW()-29,$E$14)=0,X34+$C$14+(MOD(X34+$C$14,5)=4),X34),X34)</f>
        <v>28</v>
      </c>
      <c r="Y35" s="102"/>
      <c r="Z35" s="16">
        <f>IF(OR(AA34="",AA34="O"),IF(MOD(ROW()-29,$E$15)=0,Z34+$C$15+(MOD(Z34+$C$15,5)=4),Z34),Z34)</f>
        <v>27</v>
      </c>
      <c r="AA35" s="102"/>
      <c r="AB35" s="16">
        <f>IF(OR(AC34="",AC34="O"),IF(MOD(ROW()-29,$E$16)=0,AB34+$C$16+(MOD(AB34+$C$16,5)=4),AB34),AB34)</f>
        <v>53</v>
      </c>
      <c r="AC35" s="102"/>
      <c r="AD35" s="16">
        <f>IF(OR(AE34="",AE34="O"),IF(MOD(ROW()-29,$E$17)=0,AD34+$C$17+(MOD(AD34+$C$17,5)=4),AD34),AD34)</f>
        <v>3</v>
      </c>
      <c r="AE35" s="102"/>
      <c r="AF35" s="16">
        <f t="shared" si="0"/>
        <v>17</v>
      </c>
      <c r="AG35" s="102"/>
      <c r="AH35" s="16">
        <f t="shared" si="1"/>
        <v>17</v>
      </c>
      <c r="AI35" s="102"/>
      <c r="AJ35" s="16">
        <f t="shared" si="2"/>
        <v>47</v>
      </c>
      <c r="AK35" s="102"/>
    </row>
    <row r="36" spans="1:37" ht="15" customHeight="1">
      <c r="A36" s="101" t="s">
        <v>827</v>
      </c>
      <c r="B36" s="105">
        <v>46361</v>
      </c>
      <c r="C36" s="103">
        <f>IF(OR(D35="",D35="O"),IF(MOD(ROW()-22,$E$6)=0,C35+$C$6+(MOD(C35+$C$6,5)=4),C35),C35)</f>
        <v>97</v>
      </c>
      <c r="D36" s="102"/>
      <c r="E36" s="103">
        <f>IF(OR(F35="",F35="O"),IF(MOD(ROW()-22,$E$5)=0,E35+$C$5+(MOD(E35+$C$5,5)=4),E35),E35)</f>
        <v>102</v>
      </c>
      <c r="F36" s="102"/>
      <c r="G36" s="103">
        <f>IF(OR(H35="",H35="O"),IF(MOD(ROW()-22,$E$7)=0,G35+$C$7+(MOD(G35+$C$7,5)=4),G35),G35)</f>
        <v>52</v>
      </c>
      <c r="H36" s="102"/>
      <c r="I36" s="103">
        <f>IF(OR(J35="",J35="O"),IF(MOD(ROW()-22,$E$8)=0,I35+$C$8+(MOD(I35+$C$8,5)=4),I35),I35)</f>
        <v>37</v>
      </c>
      <c r="J36" s="102"/>
      <c r="K36" s="104"/>
      <c r="L36" s="90"/>
      <c r="M36" s="90"/>
      <c r="N36" s="16">
        <f>IF(OR(O35="",O35="O"),IF(MOD(ROW()-29,$E$9)=0,N35+$C$9+(MOD(N35+$C$9,5)=4),N35),N35)</f>
        <v>68</v>
      </c>
      <c r="O36" s="102"/>
      <c r="P36" s="16">
        <f>IF(OR(Q35="",Q35="O"),IF(MOD(ROW()-29,$E$10)=0,P35+$C$10+(MOD(P35+$C$10,5)=4),P35),P35)</f>
        <v>51</v>
      </c>
      <c r="Q36" s="102"/>
      <c r="R36" s="16">
        <f>IF(OR(S35="",S35="O"),IF(MOD(ROW()-29,$E$11)=0,R35+$C$11+(MOD(R35+$C$11,5)=4),R35),R35)</f>
        <v>177</v>
      </c>
      <c r="S36" s="102"/>
      <c r="T36" s="16">
        <f>IF(OR(U35="",U35="O"),IF(MOD(ROW()-29,$E$12)=0,T35+$C$12+(MOD(T35+$C$12,5)=4),T35),T35)</f>
        <v>147</v>
      </c>
      <c r="U36" s="102"/>
      <c r="V36" s="16">
        <f>IF(OR(W35="",W35="O"),IF(MOD(ROW()-29,$E$13)=0,V35+$C$13+(MOD(V35+$C$13,5)=4),V35),V35)</f>
        <v>53</v>
      </c>
      <c r="W36" s="102"/>
      <c r="X36" s="16">
        <f>IF(OR(Y35="",Y35="O"),IF(MOD(ROW()-29,$E$14)=0,X35+$C$14+(MOD(X35+$C$14,5)=4),X35),X35)</f>
        <v>28</v>
      </c>
      <c r="Y36" s="102"/>
      <c r="Z36" s="16">
        <f>IF(OR(AA35="",AA35="O"),IF(MOD(ROW()-29,$E$15)=0,Z35+$C$15+(MOD(Z35+$C$15,5)=4),Z35),Z35)</f>
        <v>27</v>
      </c>
      <c r="AA36" s="102"/>
      <c r="AB36" s="16">
        <f>IF(OR(AC35="",AC35="O"),IF(MOD(ROW()-29,$E$16)=0,AB35+$C$16+(MOD(AB35+$C$16,5)=4),AB35),AB35)</f>
        <v>53</v>
      </c>
      <c r="AC36" s="102"/>
      <c r="AD36" s="16">
        <f>IF(OR(AE35="",AE35="O"),IF(MOD(ROW()-29,$E$17)=0,AD35+$C$17+(MOD(AD35+$C$17,5)=4),AD35),AD35)</f>
        <v>3</v>
      </c>
      <c r="AE36" s="102"/>
      <c r="AF36" s="16">
        <f t="shared" si="0"/>
        <v>17</v>
      </c>
      <c r="AG36" s="102"/>
      <c r="AH36" s="16">
        <f t="shared" si="1"/>
        <v>17</v>
      </c>
      <c r="AI36" s="102"/>
      <c r="AJ36" s="16">
        <f t="shared" si="2"/>
        <v>48</v>
      </c>
      <c r="AK36" s="102"/>
    </row>
    <row r="37" spans="1:37" ht="15" customHeight="1">
      <c r="A37" s="101" t="s">
        <v>828</v>
      </c>
      <c r="B37" s="105">
        <v>46368</v>
      </c>
      <c r="C37" s="103">
        <f>IF(OR(D36="",D36="O"),IF(MOD(ROW()-22,$E$6)=0,C36+$C$6+(MOD(C36+$C$6,5)=4),C36),C36)</f>
        <v>100</v>
      </c>
      <c r="D37" s="102"/>
      <c r="E37" s="103">
        <f>IF(OR(F36="",F36="O"),IF(MOD(ROW()-22,$E$5)=0,E36+$C$5+(MOD(E36+$C$5,5)=4),E36),E36)</f>
        <v>105</v>
      </c>
      <c r="F37" s="102"/>
      <c r="G37" s="103">
        <f>IF(OR(H36="",H36="O"),IF(MOD(ROW()-22,$E$7)=0,G36+$C$7+(MOD(G36+$C$7,5)=4),G36),G36)</f>
        <v>53</v>
      </c>
      <c r="H37" s="102"/>
      <c r="I37" s="103">
        <f>IF(OR(J36="",J36="O"),IF(MOD(ROW()-22,$E$8)=0,I36+$C$8+(MOD(I36+$C$8,5)=4),I36),I36)</f>
        <v>37</v>
      </c>
      <c r="J37" s="102"/>
      <c r="K37" s="104"/>
      <c r="L37" s="90"/>
      <c r="M37" s="90"/>
      <c r="N37" s="16">
        <f>IF(OR(O36="",O36="O"),IF(MOD(ROW()-29,$E$9)=0,N36+$C$9+(MOD(N36+$C$9,5)=4),N36),N36)</f>
        <v>70</v>
      </c>
      <c r="O37" s="102"/>
      <c r="P37" s="16">
        <f>IF(OR(Q36="",Q36="O"),IF(MOD(ROW()-29,$E$10)=0,P36+$C$10+(MOD(P36+$C$10,5)=4),P36),P36)</f>
        <v>52</v>
      </c>
      <c r="Q37" s="102"/>
      <c r="R37" s="16">
        <f>IF(OR(S36="",S36="O"),IF(MOD(ROW()-29,$E$11)=0,R36+$C$11+(MOD(R36+$C$11,5)=4),R36),R36)</f>
        <v>180</v>
      </c>
      <c r="S37" s="102"/>
      <c r="T37" s="16">
        <f>IF(OR(U36="",U36="O"),IF(MOD(ROW()-29,$E$12)=0,T36+$C$12+(MOD(T36+$C$12,5)=4),T36),T36)</f>
        <v>150</v>
      </c>
      <c r="U37" s="102"/>
      <c r="V37" s="16">
        <f>IF(OR(W36="",W36="O"),IF(MOD(ROW()-29,$E$13)=0,V36+$C$13+(MOD(V36+$C$13,5)=4),V36),V36)</f>
        <v>55</v>
      </c>
      <c r="W37" s="102"/>
      <c r="X37" s="16">
        <f>IF(OR(Y36="",Y36="O"),IF(MOD(ROW()-29,$E$14)=0,X36+$C$14+(MOD(X36+$C$14,5)=4),X36),X36)</f>
        <v>30</v>
      </c>
      <c r="Y37" s="102"/>
      <c r="Z37" s="16">
        <f>IF(OR(AA36="",AA36="O"),IF(MOD(ROW()-29,$E$15)=0,Z36+$C$15+(MOD(Z36+$C$15,5)=4),Z36),Z36)</f>
        <v>27</v>
      </c>
      <c r="AA37" s="102"/>
      <c r="AB37" s="16">
        <f>IF(OR(AC36="",AC36="O"),IF(MOD(ROW()-29,$E$16)=0,AB36+$C$16+(MOD(AB36+$C$16,5)=4),AB36),AB36)</f>
        <v>55</v>
      </c>
      <c r="AC37" s="102"/>
      <c r="AD37" s="16">
        <f>IF(OR(AE36="",AE36="O"),IF(MOD(ROW()-29,$E$17)=0,AD36+$C$17+(MOD(AD36+$C$17,5)=4),AD36),AD36)</f>
        <v>5</v>
      </c>
      <c r="AE37" s="102"/>
      <c r="AF37" s="16">
        <f t="shared" si="0"/>
        <v>17</v>
      </c>
      <c r="AG37" s="102"/>
      <c r="AH37" s="16">
        <f t="shared" si="1"/>
        <v>17</v>
      </c>
      <c r="AI37" s="102"/>
      <c r="AJ37" s="16">
        <f t="shared" si="2"/>
        <v>50</v>
      </c>
      <c r="AK37" s="102"/>
    </row>
    <row r="38" spans="1:37" ht="15" customHeight="1">
      <c r="A38" s="101" t="s">
        <v>829</v>
      </c>
      <c r="B38" s="105">
        <v>46375</v>
      </c>
      <c r="C38" s="103">
        <f>IF(OR(D37="",D37="O"),IF(MOD(ROW()-22,$E$6)=0,C37+$C$6+(MOD(C37+$C$6,5)=4),C37),C37)</f>
        <v>102</v>
      </c>
      <c r="D38" s="102"/>
      <c r="E38" s="103">
        <f>IF(OR(F37="",F37="O"),IF(MOD(ROW()-22,$E$5)=0,E37+$C$5+(MOD(E37+$C$5,5)=4),E37),E37)</f>
        <v>107</v>
      </c>
      <c r="F38" s="102"/>
      <c r="G38" s="103">
        <f>IF(OR(H37="",H37="O"),IF(MOD(ROW()-22,$E$7)=0,G37+$C$7+(MOD(G37+$C$7,5)=4),G37),G37)</f>
        <v>55</v>
      </c>
      <c r="H38" s="102"/>
      <c r="I38" s="103">
        <f>IF(OR(J37="",J37="O"),IF(MOD(ROW()-22,$E$8)=0,I37+$C$8+(MOD(I37+$C$8,5)=4),I37),I37)</f>
        <v>38</v>
      </c>
      <c r="J38" s="102"/>
      <c r="K38" s="104"/>
      <c r="L38" s="90"/>
      <c r="M38" s="90"/>
      <c r="N38" s="16">
        <f>IF(OR(O37="",O37="O"),IF(MOD(ROW()-29,$E$9)=0,N37+$C$9+(MOD(N37+$C$9,5)=4),N37),N37)</f>
        <v>71</v>
      </c>
      <c r="O38" s="102"/>
      <c r="P38" s="16">
        <f>IF(OR(Q37="",Q37="O"),IF(MOD(ROW()-29,$E$10)=0,P37+$C$10+(MOD(P37+$C$10,5)=4),P37),P37)</f>
        <v>53</v>
      </c>
      <c r="Q38" s="102"/>
      <c r="R38" s="16">
        <f>IF(OR(S37="",S37="O"),IF(MOD(ROW()-29,$E$11)=0,R37+$C$11+(MOD(R37+$C$11,5)=4),R37),R37)</f>
        <v>182</v>
      </c>
      <c r="S38" s="102"/>
      <c r="T38" s="16">
        <f>IF(OR(U37="",U37="O"),IF(MOD(ROW()-29,$E$12)=0,T37+$C$12+(MOD(T37+$C$12,5)=4),T37),T37)</f>
        <v>150</v>
      </c>
      <c r="U38" s="102"/>
      <c r="V38" s="16">
        <f>IF(OR(W37="",W37="O"),IF(MOD(ROW()-29,$E$13)=0,V37+$C$13+(MOD(V37+$C$13,5)=4),V37),V37)</f>
        <v>55</v>
      </c>
      <c r="W38" s="102"/>
      <c r="X38" s="16">
        <f>IF(OR(Y37="",Y37="O"),IF(MOD(ROW()-29,$E$14)=0,X37+$C$14+(MOD(X37+$C$14,5)=4),X37),X37)</f>
        <v>30</v>
      </c>
      <c r="Y38" s="102"/>
      <c r="Z38" s="16">
        <f>IF(OR(AA37="",AA37="O"),IF(MOD(ROW()-29,$E$15)=0,Z37+$C$15+(MOD(Z37+$C$15,5)=4),Z37),Z37)</f>
        <v>28</v>
      </c>
      <c r="AA38" s="102"/>
      <c r="AB38" s="16">
        <f>IF(OR(AC37="",AC37="O"),IF(MOD(ROW()-29,$E$16)=0,AB37+$C$16+(MOD(AB37+$C$16,5)=4),AB37),AB37)</f>
        <v>55</v>
      </c>
      <c r="AC38" s="102"/>
      <c r="AD38" s="16">
        <f>IF(OR(AE37="",AE37="O"),IF(MOD(ROW()-29,$E$17)=0,AD37+$C$17+(MOD(AD37+$C$17,5)=4),AD37),AD37)</f>
        <v>5</v>
      </c>
      <c r="AE38" s="102"/>
      <c r="AF38" s="16">
        <f t="shared" si="0"/>
        <v>18</v>
      </c>
      <c r="AG38" s="102"/>
      <c r="AH38" s="16">
        <f t="shared" si="1"/>
        <v>18</v>
      </c>
      <c r="AI38" s="102"/>
      <c r="AJ38" s="16">
        <f t="shared" si="2"/>
        <v>51</v>
      </c>
      <c r="AK38" s="102"/>
    </row>
    <row r="39" spans="1:37" ht="15" customHeight="1">
      <c r="A39" s="101" t="s">
        <v>830</v>
      </c>
      <c r="B39" s="105">
        <v>46382</v>
      </c>
      <c r="C39" s="103">
        <f>IF(OR(D38="",D38="O"),IF(MOD(ROW()-22,$E$6)=0,C38+$C$6+(MOD(C38+$C$6,5)=4),C38),C38)</f>
        <v>105</v>
      </c>
      <c r="D39" s="102"/>
      <c r="E39" s="103">
        <f>IF(OR(F38="",F38="O"),IF(MOD(ROW()-22,$E$5)=0,E38+$C$5+(MOD(E38+$C$5,5)=4),E38),E38)</f>
        <v>110</v>
      </c>
      <c r="F39" s="102"/>
      <c r="G39" s="103">
        <f>IF(OR(H38="",H38="O"),IF(MOD(ROW()-22,$E$7)=0,G38+$C$7+(MOD(G38+$C$7,5)=4),G38),G38)</f>
        <v>56</v>
      </c>
      <c r="H39" s="102"/>
      <c r="I39" s="103">
        <f>IF(OR(J38="",J38="O"),IF(MOD(ROW()-22,$E$8)=0,I38+$C$8+(MOD(I38+$C$8,5)=4),I38),I38)</f>
        <v>38</v>
      </c>
      <c r="J39" s="102"/>
      <c r="K39" s="104"/>
      <c r="L39" s="90"/>
      <c r="M39" s="90"/>
      <c r="N39" s="16">
        <f>IF(OR(O38="",O38="O"),IF(MOD(ROW()-29,$E$9)=0,N38+$C$9+(MOD(N38+$C$9,5)=4),N38),N38)</f>
        <v>72</v>
      </c>
      <c r="O39" s="102"/>
      <c r="P39" s="16">
        <f>IF(OR(Q38="",Q38="O"),IF(MOD(ROW()-29,$E$10)=0,P38+$C$10+(MOD(P38+$C$10,5)=4),P38),P38)</f>
        <v>55</v>
      </c>
      <c r="Q39" s="102"/>
      <c r="R39" s="16">
        <f>IF(OR(S38="",S38="O"),IF(MOD(ROW()-29,$E$11)=0,R38+$C$11+(MOD(R38+$C$11,5)=4),R38),R38)</f>
        <v>185</v>
      </c>
      <c r="S39" s="102"/>
      <c r="T39" s="16">
        <f>IF(OR(U38="",U38="O"),IF(MOD(ROW()-29,$E$12)=0,T38+$C$12+(MOD(T38+$C$12,5)=4),T38),T38)</f>
        <v>152</v>
      </c>
      <c r="U39" s="102"/>
      <c r="V39" s="16">
        <f>IF(OR(W38="",W38="O"),IF(MOD(ROW()-29,$E$13)=0,V38+$C$13+(MOD(V38+$C$13,5)=4),V38),V38)</f>
        <v>56</v>
      </c>
      <c r="W39" s="102"/>
      <c r="X39" s="16">
        <f>IF(OR(Y38="",Y38="O"),IF(MOD(ROW()-29,$E$14)=0,X38+$C$14+(MOD(X38+$C$14,5)=4),X38),X38)</f>
        <v>31</v>
      </c>
      <c r="Y39" s="102"/>
      <c r="Z39" s="16">
        <f>IF(OR(AA38="",AA38="O"),IF(MOD(ROW()-29,$E$15)=0,Z38+$C$15+(MOD(Z38+$C$15,5)=4),Z38),Z38)</f>
        <v>28</v>
      </c>
      <c r="AA39" s="102"/>
      <c r="AB39" s="16">
        <f>IF(OR(AC38="",AC38="O"),IF(MOD(ROW()-29,$E$16)=0,AB38+$C$16+(MOD(AB38+$C$16,5)=4),AB38),AB38)</f>
        <v>56</v>
      </c>
      <c r="AC39" s="102"/>
      <c r="AD39" s="16">
        <f>IF(OR(AE38="",AE38="O"),IF(MOD(ROW()-29,$E$17)=0,AD38+$C$17+(MOD(AD38+$C$17,5)=4),AD38),AD38)</f>
        <v>6</v>
      </c>
      <c r="AE39" s="102"/>
      <c r="AF39" s="16">
        <f t="shared" si="0"/>
        <v>18</v>
      </c>
      <c r="AG39" s="102"/>
      <c r="AH39" s="16">
        <f t="shared" si="1"/>
        <v>18</v>
      </c>
      <c r="AI39" s="102"/>
      <c r="AJ39" s="16">
        <f t="shared" si="2"/>
        <v>52</v>
      </c>
      <c r="AK39" s="102"/>
    </row>
    <row r="40" spans="1:37" ht="15" customHeight="1">
      <c r="A40" s="101" t="s">
        <v>831</v>
      </c>
      <c r="B40" s="105">
        <v>46389</v>
      </c>
      <c r="C40" s="103">
        <f>IF(OR(D39="",D39="O"),IF(MOD(ROW()-22,$E$6)=0,C39+$C$6+(MOD(C39+$C$6,5)=4),C39),C39)</f>
        <v>107</v>
      </c>
      <c r="D40" s="102"/>
      <c r="E40" s="103">
        <f>IF(OR(F39="",F39="O"),IF(MOD(ROW()-22,$E$5)=0,E39+$C$5+(MOD(E39+$C$5,5)=4),E39),E39)</f>
        <v>112</v>
      </c>
      <c r="F40" s="102"/>
      <c r="G40" s="103">
        <f>IF(OR(H39="",H39="O"),IF(MOD(ROW()-22,$E$7)=0,G39+$C$7+(MOD(G39+$C$7,5)=4),G39),G39)</f>
        <v>57</v>
      </c>
      <c r="H40" s="102"/>
      <c r="I40" s="103">
        <f>IF(OR(J39="",J39="O"),IF(MOD(ROW()-22,$E$8)=0,I39+$C$8+(MOD(I39+$C$8,5)=4),I39),I39)</f>
        <v>40</v>
      </c>
      <c r="J40" s="102"/>
      <c r="K40" s="104"/>
      <c r="L40" s="90"/>
      <c r="M40" s="90"/>
      <c r="N40" s="16">
        <f>IF(OR(O39="",O39="O"),IF(MOD(ROW()-29,$E$9)=0,N39+$C$9+(MOD(N39+$C$9,5)=4),N39),N39)</f>
        <v>73</v>
      </c>
      <c r="O40" s="102"/>
      <c r="P40" s="16">
        <f>IF(OR(Q39="",Q39="O"),IF(MOD(ROW()-29,$E$10)=0,P39+$C$10+(MOD(P39+$C$10,5)=4),P39),P39)</f>
        <v>56</v>
      </c>
      <c r="Q40" s="102"/>
      <c r="R40" s="16">
        <f>IF(OR(S39="",S39="O"),IF(MOD(ROW()-29,$E$11)=0,R39+$C$11+(MOD(R39+$C$11,5)=4),R39),R39)</f>
        <v>187</v>
      </c>
      <c r="S40" s="102"/>
      <c r="T40" s="16">
        <f>IF(OR(U39="",U39="O"),IF(MOD(ROW()-29,$E$12)=0,T39+$C$12+(MOD(T39+$C$12,5)=4),T39),T39)</f>
        <v>152</v>
      </c>
      <c r="U40" s="102"/>
      <c r="V40" s="16">
        <f>IF(OR(W39="",W39="O"),IF(MOD(ROW()-29,$E$13)=0,V39+$C$13+(MOD(V39+$C$13,5)=4),V39),V39)</f>
        <v>56</v>
      </c>
      <c r="W40" s="102"/>
      <c r="X40" s="16">
        <f>IF(OR(Y39="",Y39="O"),IF(MOD(ROW()-29,$E$14)=0,X39+$C$14+(MOD(X39+$C$14,5)=4),X39),X39)</f>
        <v>31</v>
      </c>
      <c r="Y40" s="102"/>
      <c r="Z40" s="16">
        <f>IF(OR(AA39="",AA39="O"),IF(MOD(ROW()-29,$E$15)=0,Z39+$C$15+(MOD(Z39+$C$15,5)=4),Z39),Z39)</f>
        <v>28</v>
      </c>
      <c r="AA40" s="102"/>
      <c r="AB40" s="16">
        <f>IF(OR(AC39="",AC39="O"),IF(MOD(ROW()-29,$E$16)=0,AB39+$C$16+(MOD(AB39+$C$16,5)=4),AB39),AB39)</f>
        <v>56</v>
      </c>
      <c r="AC40" s="102"/>
      <c r="AD40" s="16">
        <f>IF(OR(AE39="",AE39="O"),IF(MOD(ROW()-29,$E$17)=0,AD39+$C$17+(MOD(AD39+$C$17,5)=4),AD39),AD39)</f>
        <v>6</v>
      </c>
      <c r="AE40" s="102"/>
      <c r="AF40" s="16">
        <f t="shared" si="0"/>
        <v>18</v>
      </c>
      <c r="AG40" s="102"/>
      <c r="AH40" s="16">
        <f t="shared" si="1"/>
        <v>18</v>
      </c>
      <c r="AI40" s="102"/>
      <c r="AJ40" s="16">
        <f t="shared" si="2"/>
        <v>53</v>
      </c>
      <c r="AK40" s="102"/>
    </row>
    <row r="41" spans="1:37" ht="15" customHeight="1">
      <c r="A41" s="101" t="s">
        <v>832</v>
      </c>
      <c r="B41" s="105">
        <v>46396</v>
      </c>
      <c r="C41" s="103">
        <f>IF(OR(D40="",D40="O"),IF(MOD(ROW()-22,$E$6)=0,C40+$C$6+(MOD(C40+$C$6,5)=4),C40),C40)</f>
        <v>110</v>
      </c>
      <c r="D41" s="102"/>
      <c r="E41" s="103">
        <f>IF(OR(F40="",F40="O"),IF(MOD(ROW()-22,$E$5)=0,E40+$C$5+(MOD(E40+$C$5,5)=4),E40),E40)</f>
        <v>115</v>
      </c>
      <c r="F41" s="102"/>
      <c r="G41" s="103">
        <f>IF(OR(H40="",H40="O"),IF(MOD(ROW()-22,$E$7)=0,G40+$C$7+(MOD(G40+$C$7,5)=4),G40),G40)</f>
        <v>58</v>
      </c>
      <c r="H41" s="102"/>
      <c r="I41" s="103">
        <f>IF(OR(J40="",J40="O"),IF(MOD(ROW()-22,$E$8)=0,I40+$C$8+(MOD(I40+$C$8,5)=4),I40),I40)</f>
        <v>40</v>
      </c>
      <c r="J41" s="102"/>
      <c r="K41" s="104"/>
      <c r="L41" s="90"/>
      <c r="M41" s="90"/>
      <c r="N41" s="16">
        <f>IF(OR(O40="",O40="O"),IF(MOD(ROW()-29,$E$9)=0,N40+$C$9+(MOD(N40+$C$9,5)=4),N40),N40)</f>
        <v>75</v>
      </c>
      <c r="O41" s="102"/>
      <c r="P41" s="16">
        <f>IF(OR(Q40="",Q40="O"),IF(MOD(ROW()-29,$E$10)=0,P40+$C$10+(MOD(P40+$C$10,5)=4),P40),P40)</f>
        <v>57</v>
      </c>
      <c r="Q41" s="102"/>
      <c r="R41" s="16">
        <f>IF(OR(S40="",S40="O"),IF(MOD(ROW()-29,$E$11)=0,R40+$C$11+(MOD(R40+$C$11,5)=4),R40),R40)</f>
        <v>190</v>
      </c>
      <c r="S41" s="102"/>
      <c r="T41" s="16">
        <f>IF(OR(U40="",U40="O"),IF(MOD(ROW()-29,$E$12)=0,T40+$C$12+(MOD(T40+$C$12,5)=4),T40),T40)</f>
        <v>155</v>
      </c>
      <c r="U41" s="102"/>
      <c r="V41" s="16">
        <f>IF(OR(W40="",W40="O"),IF(MOD(ROW()-29,$E$13)=0,V40+$C$13+(MOD(V40+$C$13,5)=4),V40),V40)</f>
        <v>57</v>
      </c>
      <c r="W41" s="102"/>
      <c r="X41" s="16">
        <f>IF(OR(Y40="",Y40="O"),IF(MOD(ROW()-29,$E$14)=0,X40+$C$14+(MOD(X40+$C$14,5)=4),X40),X40)</f>
        <v>32</v>
      </c>
      <c r="Y41" s="102"/>
      <c r="Z41" s="16">
        <f>IF(OR(AA40="",AA40="O"),IF(MOD(ROW()-29,$E$15)=0,Z40+$C$15+(MOD(Z40+$C$15,5)=4),Z40),Z40)</f>
        <v>30</v>
      </c>
      <c r="AA41" s="102"/>
      <c r="AB41" s="16">
        <f>IF(OR(AC40="",AC40="O"),IF(MOD(ROW()-29,$E$16)=0,AB40+$C$16+(MOD(AB40+$C$16,5)=4),AB40),AB40)</f>
        <v>57</v>
      </c>
      <c r="AC41" s="102"/>
      <c r="AD41" s="16">
        <f>IF(OR(AE40="",AE40="O"),IF(MOD(ROW()-29,$E$17)=0,AD40+$C$17+(MOD(AD40+$C$17,5)=4),AD40),AD40)</f>
        <v>7</v>
      </c>
      <c r="AE41" s="102"/>
      <c r="AF41" s="16">
        <f t="shared" si="0"/>
        <v>20</v>
      </c>
      <c r="AG41" s="102"/>
      <c r="AH41" s="16">
        <f t="shared" si="1"/>
        <v>20</v>
      </c>
      <c r="AI41" s="102"/>
      <c r="AJ41" s="16">
        <f t="shared" si="2"/>
        <v>55</v>
      </c>
      <c r="AK41" s="102"/>
    </row>
    <row r="42" spans="1:37" ht="15" customHeight="1">
      <c r="A42" s="101" t="s">
        <v>833</v>
      </c>
      <c r="B42" s="105">
        <v>46403</v>
      </c>
      <c r="C42" s="103">
        <f>IF(OR(D41="",D41="O"),IF(MOD(ROW()-22,$E$6)=0,C41+$C$6+(MOD(C41+$C$6,5)=4),C41),C41)</f>
        <v>112</v>
      </c>
      <c r="D42" s="102"/>
      <c r="E42" s="103">
        <f>IF(OR(F41="",F41="O"),IF(MOD(ROW()-22,$E$5)=0,E41+$C$5+(MOD(E41+$C$5,5)=4),E41),E41)</f>
        <v>117</v>
      </c>
      <c r="F42" s="102"/>
      <c r="G42" s="103">
        <f>IF(OR(H41="",H41="O"),IF(MOD(ROW()-22,$E$7)=0,G41+$C$7+(MOD(G41+$C$7,5)=4),G41),G41)</f>
        <v>60</v>
      </c>
      <c r="H42" s="102"/>
      <c r="I42" s="103">
        <f>IF(OR(J41="",J41="O"),IF(MOD(ROW()-22,$E$8)=0,I41+$C$8+(MOD(I41+$C$8,5)=4),I41),I41)</f>
        <v>41</v>
      </c>
      <c r="J42" s="102"/>
      <c r="K42" s="104"/>
      <c r="L42" s="90"/>
      <c r="M42" s="90"/>
      <c r="N42" s="16">
        <f>IF(OR(O41="",O41="O"),IF(MOD(ROW()-29,$E$9)=0,N41+$C$9+(MOD(N41+$C$9,5)=4),N41),N41)</f>
        <v>76</v>
      </c>
      <c r="O42" s="102"/>
      <c r="P42" s="16">
        <f>IF(OR(Q41="",Q41="O"),IF(MOD(ROW()-29,$E$10)=0,P41+$C$10+(MOD(P41+$C$10,5)=4),P41),P41)</f>
        <v>58</v>
      </c>
      <c r="Q42" s="102"/>
      <c r="R42" s="16">
        <f>IF(OR(S41="",S41="O"),IF(MOD(ROW()-29,$E$11)=0,R41+$C$11+(MOD(R41+$C$11,5)=4),R41),R41)</f>
        <v>192</v>
      </c>
      <c r="S42" s="102"/>
      <c r="T42" s="16">
        <f>IF(OR(U41="",U41="O"),IF(MOD(ROW()-29,$E$12)=0,T41+$C$12+(MOD(T41+$C$12,5)=4),T41),T41)</f>
        <v>155</v>
      </c>
      <c r="U42" s="102"/>
      <c r="V42" s="16">
        <f>IF(OR(W41="",W41="O"),IF(MOD(ROW()-29,$E$13)=0,V41+$C$13+(MOD(V41+$C$13,5)=4),V41),V41)</f>
        <v>57</v>
      </c>
      <c r="W42" s="102"/>
      <c r="X42" s="16">
        <f>IF(OR(Y41="",Y41="O"),IF(MOD(ROW()-29,$E$14)=0,X41+$C$14+(MOD(X41+$C$14,5)=4),X41),X41)</f>
        <v>32</v>
      </c>
      <c r="Y42" s="102"/>
      <c r="Z42" s="16">
        <f>IF(OR(AA41="",AA41="O"),IF(MOD(ROW()-29,$E$15)=0,Z41+$C$15+(MOD(Z41+$C$15,5)=4),Z41),Z41)</f>
        <v>30</v>
      </c>
      <c r="AA42" s="102"/>
      <c r="AB42" s="16">
        <f>IF(OR(AC41="",AC41="O"),IF(MOD(ROW()-29,$E$16)=0,AB41+$C$16+(MOD(AB41+$C$16,5)=4),AB41),AB41)</f>
        <v>57</v>
      </c>
      <c r="AC42" s="102"/>
      <c r="AD42" s="16">
        <f>IF(OR(AE41="",AE41="O"),IF(MOD(ROW()-29,$E$17)=0,AD41+$C$17+(MOD(AD41+$C$17,5)=4),AD41),AD41)</f>
        <v>7</v>
      </c>
      <c r="AE42" s="102"/>
      <c r="AF42" s="16">
        <f t="shared" si="0"/>
        <v>20</v>
      </c>
      <c r="AG42" s="102"/>
      <c r="AH42" s="16">
        <f t="shared" si="1"/>
        <v>20</v>
      </c>
      <c r="AI42" s="102"/>
      <c r="AJ42" s="16">
        <f t="shared" si="2"/>
        <v>56</v>
      </c>
      <c r="AK42" s="102"/>
    </row>
    <row r="43" spans="1:37" ht="15" customHeight="1">
      <c r="A43" s="101" t="s">
        <v>834</v>
      </c>
      <c r="B43" s="105">
        <v>46410</v>
      </c>
      <c r="C43" s="103">
        <f>IF(OR(D42="",D42="O"),IF(MOD(ROW()-22,$E$6)=0,C42+$C$6+(MOD(C42+$C$6,5)=4),C42),C42)</f>
        <v>115</v>
      </c>
      <c r="D43" s="102"/>
      <c r="E43" s="103">
        <f>IF(OR(F42="",F42="O"),IF(MOD(ROW()-22,$E$5)=0,E42+$C$5+(MOD(E42+$C$5,5)=4),E42),E42)</f>
        <v>120</v>
      </c>
      <c r="F43" s="102"/>
      <c r="G43" s="103">
        <f>IF(OR(H42="",H42="O"),IF(MOD(ROW()-22,$E$7)=0,G42+$C$7+(MOD(G42+$C$7,5)=4),G42),G42)</f>
        <v>61</v>
      </c>
      <c r="H43" s="102"/>
      <c r="I43" s="103">
        <f>IF(OR(J42="",J42="O"),IF(MOD(ROW()-22,$E$8)=0,I42+$C$8+(MOD(I42+$C$8,5)=4),I42),I42)</f>
        <v>41</v>
      </c>
      <c r="J43" s="102"/>
      <c r="K43" s="104"/>
      <c r="L43" s="90"/>
      <c r="M43" s="90"/>
      <c r="N43" s="16">
        <f>IF(OR(O42="",O42="O"),IF(MOD(ROW()-29,$E$9)=0,N42+$C$9+(MOD(N42+$C$9,5)=4),N42),N42)</f>
        <v>77</v>
      </c>
      <c r="O43" s="102"/>
      <c r="P43" s="16">
        <f>IF(OR(Q42="",Q42="O"),IF(MOD(ROW()-29,$E$10)=0,P42+$C$10+(MOD(P42+$C$10,5)=4),P42),P42)</f>
        <v>60</v>
      </c>
      <c r="Q43" s="102"/>
      <c r="R43" s="16">
        <f>IF(OR(S42="",S42="O"),IF(MOD(ROW()-29,$E$11)=0,R42+$C$11+(MOD(R42+$C$11,5)=4),R42),R42)</f>
        <v>195</v>
      </c>
      <c r="S43" s="102"/>
      <c r="T43" s="16">
        <f>IF(OR(U42="",U42="O"),IF(MOD(ROW()-29,$E$12)=0,T42+$C$12+(MOD(T42+$C$12,5)=4),T42),T42)</f>
        <v>157</v>
      </c>
      <c r="U43" s="102"/>
      <c r="V43" s="16">
        <f>IF(OR(W42="",W42="O"),IF(MOD(ROW()-29,$E$13)=0,V42+$C$13+(MOD(V42+$C$13,5)=4),V42),V42)</f>
        <v>58</v>
      </c>
      <c r="W43" s="102"/>
      <c r="X43" s="16">
        <f>IF(OR(Y42="",Y42="O"),IF(MOD(ROW()-29,$E$14)=0,X42+$C$14+(MOD(X42+$C$14,5)=4),X42),X42)</f>
        <v>33</v>
      </c>
      <c r="Y43" s="102"/>
      <c r="Z43" s="16">
        <f>IF(OR(AA42="",AA42="O"),IF(MOD(ROW()-29,$E$15)=0,Z42+$C$15+(MOD(Z42+$C$15,5)=4),Z42),Z42)</f>
        <v>30</v>
      </c>
      <c r="AA43" s="102"/>
      <c r="AB43" s="16">
        <f>IF(OR(AC42="",AC42="O"),IF(MOD(ROW()-29,$E$16)=0,AB42+$C$16+(MOD(AB42+$C$16,5)=4),AB42),AB42)</f>
        <v>58</v>
      </c>
      <c r="AC43" s="102"/>
      <c r="AD43" s="16">
        <f>IF(OR(AE42="",AE42="O"),IF(MOD(ROW()-29,$E$17)=0,AD42+$C$17+(MOD(AD42+$C$17,5)=4),AD42),AD42)</f>
        <v>8</v>
      </c>
      <c r="AE43" s="102"/>
      <c r="AF43" s="16">
        <f t="shared" si="0"/>
        <v>20</v>
      </c>
      <c r="AG43" s="102"/>
      <c r="AH43" s="16">
        <f t="shared" si="1"/>
        <v>20</v>
      </c>
      <c r="AI43" s="102"/>
      <c r="AJ43" s="16">
        <f t="shared" si="2"/>
        <v>57</v>
      </c>
      <c r="AK43" s="102"/>
    </row>
    <row r="44" spans="1:37" ht="15" customHeight="1">
      <c r="A44" s="101" t="s">
        <v>835</v>
      </c>
      <c r="B44" s="105">
        <v>46417</v>
      </c>
      <c r="C44" s="103">
        <f>IF(OR(D43="",D43="O"),IF(MOD(ROW()-22,$E$6)=0,C43+$C$6+(MOD(C43+$C$6,5)=4),C43),C43)</f>
        <v>117</v>
      </c>
      <c r="D44" s="102"/>
      <c r="E44" s="103">
        <f>IF(OR(F43="",F43="O"),IF(MOD(ROW()-22,$E$5)=0,E43+$C$5+(MOD(E43+$C$5,5)=4),E43),E43)</f>
        <v>122</v>
      </c>
      <c r="F44" s="102"/>
      <c r="G44" s="103">
        <f>IF(OR(H43="",H43="O"),IF(MOD(ROW()-22,$E$7)=0,G43+$C$7+(MOD(G43+$C$7,5)=4),G43),G43)</f>
        <v>62</v>
      </c>
      <c r="H44" s="102"/>
      <c r="I44" s="103">
        <f>IF(OR(J43="",J43="O"),IF(MOD(ROW()-22,$E$8)=0,I43+$C$8+(MOD(I43+$C$8,5)=4),I43),I43)</f>
        <v>42</v>
      </c>
      <c r="J44" s="102"/>
      <c r="K44" s="104"/>
      <c r="L44" s="90"/>
      <c r="M44" s="90"/>
      <c r="N44" s="16">
        <f>IF(OR(O43="",O43="O"),IF(MOD(ROW()-29,$E$9)=0,N43+$C$9+(MOD(N43+$C$9,5)=4),N43),N43)</f>
        <v>78</v>
      </c>
      <c r="O44" s="102"/>
      <c r="P44" s="16">
        <f>IF(OR(Q43="",Q43="O"),IF(MOD(ROW()-29,$E$10)=0,P43+$C$10+(MOD(P43+$C$10,5)=4),P43),P43)</f>
        <v>61</v>
      </c>
      <c r="Q44" s="102"/>
      <c r="R44" s="16">
        <f>IF(OR(S43="",S43="O"),IF(MOD(ROW()-29,$E$11)=0,R43+$C$11+(MOD(R43+$C$11,5)=4),R43),R43)</f>
        <v>197</v>
      </c>
      <c r="S44" s="102"/>
      <c r="T44" s="16">
        <f>IF(OR(U43="",U43="O"),IF(MOD(ROW()-29,$E$12)=0,T43+$C$12+(MOD(T43+$C$12,5)=4),T43),T43)</f>
        <v>157</v>
      </c>
      <c r="U44" s="102"/>
      <c r="V44" s="16">
        <f>IF(OR(W43="",W43="O"),IF(MOD(ROW()-29,$E$13)=0,V43+$C$13+(MOD(V43+$C$13,5)=4),V43),V43)</f>
        <v>58</v>
      </c>
      <c r="W44" s="102"/>
      <c r="X44" s="16">
        <f>IF(OR(Y43="",Y43="O"),IF(MOD(ROW()-29,$E$14)=0,X43+$C$14+(MOD(X43+$C$14,5)=4),X43),X43)</f>
        <v>33</v>
      </c>
      <c r="Y44" s="102"/>
      <c r="Z44" s="16">
        <f>IF(OR(AA43="",AA43="O"),IF(MOD(ROW()-29,$E$15)=0,Z43+$C$15+(MOD(Z43+$C$15,5)=4),Z43),Z43)</f>
        <v>31</v>
      </c>
      <c r="AA44" s="102"/>
      <c r="AB44" s="16">
        <f>IF(OR(AC43="",AC43="O"),IF(MOD(ROW()-29,$E$16)=0,AB43+$C$16+(MOD(AB43+$C$16,5)=4),AB43),AB43)</f>
        <v>58</v>
      </c>
      <c r="AC44" s="102"/>
      <c r="AD44" s="16">
        <f>IF(OR(AE43="",AE43="O"),IF(MOD(ROW()-29,$E$17)=0,AD43+$C$17+(MOD(AD43+$C$17,5)=4),AD43),AD43)</f>
        <v>8</v>
      </c>
      <c r="AE44" s="102"/>
      <c r="AF44" s="16">
        <f t="shared" si="0"/>
        <v>21</v>
      </c>
      <c r="AG44" s="102"/>
      <c r="AH44" s="16">
        <f t="shared" si="1"/>
        <v>21</v>
      </c>
      <c r="AI44" s="102"/>
      <c r="AJ44" s="16">
        <f t="shared" si="2"/>
        <v>58</v>
      </c>
      <c r="AK44" s="102"/>
    </row>
    <row r="45" spans="1:37" ht="15" customHeight="1">
      <c r="A45" s="101" t="s">
        <v>836</v>
      </c>
      <c r="B45" s="105">
        <v>46424</v>
      </c>
      <c r="C45" s="103">
        <f>IF(OR(D44="",D44="O"),IF(MOD(ROW()-22,$E$6)=0,C44+$C$6+(MOD(C44+$C$6,5)=4),C44),C44)</f>
        <v>120</v>
      </c>
      <c r="D45" s="102"/>
      <c r="E45" s="103">
        <f>IF(OR(F44="",F44="O"),IF(MOD(ROW()-22,$E$5)=0,E44+$C$5+(MOD(E44+$C$5,5)=4),E44),E44)</f>
        <v>125</v>
      </c>
      <c r="F45" s="102"/>
      <c r="G45" s="103">
        <f>IF(OR(H44="",H44="O"),IF(MOD(ROW()-22,$E$7)=0,G44+$C$7+(MOD(G44+$C$7,5)=4),G44),G44)</f>
        <v>63</v>
      </c>
      <c r="H45" s="102"/>
      <c r="I45" s="103">
        <f>IF(OR(J44="",J44="O"),IF(MOD(ROW()-22,$E$8)=0,I44+$C$8+(MOD(I44+$C$8,5)=4),I44),I44)</f>
        <v>42</v>
      </c>
      <c r="J45" s="102"/>
      <c r="K45" s="104"/>
      <c r="L45" s="90"/>
      <c r="M45" s="90"/>
      <c r="N45" s="16">
        <f>IF(OR(O44="",O44="O"),IF(MOD(ROW()-29,$E$9)=0,N44+$C$9+(MOD(N44+$C$9,5)=4),N44),N44)</f>
        <v>80</v>
      </c>
      <c r="O45" s="102"/>
      <c r="P45" s="16">
        <f>IF(OR(Q44="",Q44="O"),IF(MOD(ROW()-29,$E$10)=0,P44+$C$10+(MOD(P44+$C$10,5)=4),P44),P44)</f>
        <v>62</v>
      </c>
      <c r="Q45" s="102"/>
      <c r="R45" s="16">
        <f>IF(OR(S44="",S44="O"),IF(MOD(ROW()-29,$E$11)=0,R44+$C$11+(MOD(R44+$C$11,5)=4),R44),R44)</f>
        <v>200</v>
      </c>
      <c r="S45" s="102"/>
      <c r="T45" s="16">
        <f>IF(OR(U44="",U44="O"),IF(MOD(ROW()-29,$E$12)=0,T44+$C$12+(MOD(T44+$C$12,5)=4),T44),T44)</f>
        <v>160</v>
      </c>
      <c r="U45" s="102"/>
      <c r="V45" s="16">
        <f>IF(OR(W44="",W44="O"),IF(MOD(ROW()-29,$E$13)=0,V44+$C$13+(MOD(V44+$C$13,5)=4),V44),V44)</f>
        <v>60</v>
      </c>
      <c r="W45" s="102"/>
      <c r="X45" s="16">
        <f>IF(OR(Y44="",Y44="O"),IF(MOD(ROW()-29,$E$14)=0,X44+$C$14+(MOD(X44+$C$14,5)=4),X44),X44)</f>
        <v>35</v>
      </c>
      <c r="Y45" s="102"/>
      <c r="Z45" s="16">
        <f>IF(OR(AA44="",AA44="O"),IF(MOD(ROW()-29,$E$15)=0,Z44+$C$15+(MOD(Z44+$C$15,5)=4),Z44),Z44)</f>
        <v>31</v>
      </c>
      <c r="AA45" s="102"/>
      <c r="AB45" s="16">
        <f>IF(OR(AC44="",AC44="O"),IF(MOD(ROW()-29,$E$16)=0,AB44+$C$16+(MOD(AB44+$C$16,5)=4),AB44),AB44)</f>
        <v>60</v>
      </c>
      <c r="AC45" s="102"/>
      <c r="AD45" s="16">
        <f>IF(OR(AE44="",AE44="O"),IF(MOD(ROW()-29,$E$17)=0,AD44+$C$17+(MOD(AD44+$C$17,5)=4),AD44),AD44)</f>
        <v>10</v>
      </c>
      <c r="AE45" s="102"/>
      <c r="AF45" s="16">
        <f t="shared" si="0"/>
        <v>21</v>
      </c>
      <c r="AG45" s="102"/>
      <c r="AH45" s="16">
        <f t="shared" si="1"/>
        <v>21</v>
      </c>
      <c r="AI45" s="102"/>
      <c r="AJ45" s="16">
        <f t="shared" si="2"/>
        <v>60</v>
      </c>
      <c r="AK45" s="102"/>
    </row>
    <row r="46" spans="1:37" ht="15" customHeight="1">
      <c r="A46" s="101" t="s">
        <v>837</v>
      </c>
      <c r="B46" s="105">
        <v>46431</v>
      </c>
      <c r="C46" s="103">
        <f>IF(OR(D45="",D45="O"),IF(MOD(ROW()-22,$E$6)=0,C45+$C$6+(MOD(C45+$C$6,5)=4),C45),C45)</f>
        <v>122</v>
      </c>
      <c r="D46" s="102"/>
      <c r="E46" s="103">
        <f>IF(OR(F45="",F45="O"),IF(MOD(ROW()-22,$E$5)=0,E45+$C$5+(MOD(E45+$C$5,5)=4),E45),E45)</f>
        <v>127</v>
      </c>
      <c r="F46" s="102"/>
      <c r="G46" s="103">
        <f>IF(OR(H45="",H45="O"),IF(MOD(ROW()-22,$E$7)=0,G45+$C$7+(MOD(G45+$C$7,5)=4),G45),G45)</f>
        <v>65</v>
      </c>
      <c r="H46" s="102"/>
      <c r="I46" s="103">
        <f>IF(OR(J45="",J45="O"),IF(MOD(ROW()-22,$E$8)=0,I45+$C$8+(MOD(I45+$C$8,5)=4),I45),I45)</f>
        <v>43</v>
      </c>
      <c r="J46" s="102"/>
      <c r="K46" s="104"/>
      <c r="L46" s="90"/>
      <c r="M46" s="90"/>
      <c r="N46" s="16">
        <f>IF(OR(O45="",O45="O"),IF(MOD(ROW()-29,$E$9)=0,N45+$C$9+(MOD(N45+$C$9,5)=4),N45),N45)</f>
        <v>81</v>
      </c>
      <c r="O46" s="102"/>
      <c r="P46" s="16">
        <f>IF(OR(Q45="",Q45="O"),IF(MOD(ROW()-29,$E$10)=0,P45+$C$10+(MOD(P45+$C$10,5)=4),P45),P45)</f>
        <v>63</v>
      </c>
      <c r="Q46" s="102"/>
      <c r="R46" s="16">
        <f>IF(OR(S45="",S45="O"),IF(MOD(ROW()-29,$E$11)=0,R45+$C$11+(MOD(R45+$C$11,5)=4),R45),R45)</f>
        <v>202</v>
      </c>
      <c r="S46" s="102"/>
      <c r="T46" s="16">
        <f>IF(OR(U45="",U45="O"),IF(MOD(ROW()-29,$E$12)=0,T45+$C$12+(MOD(T45+$C$12,5)=4),T45),T45)</f>
        <v>160</v>
      </c>
      <c r="U46" s="102"/>
      <c r="V46" s="16">
        <f>IF(OR(W45="",W45="O"),IF(MOD(ROW()-29,$E$13)=0,V45+$C$13+(MOD(V45+$C$13,5)=4),V45),V45)</f>
        <v>60</v>
      </c>
      <c r="W46" s="102"/>
      <c r="X46" s="16">
        <f>IF(OR(Y45="",Y45="O"),IF(MOD(ROW()-29,$E$14)=0,X45+$C$14+(MOD(X45+$C$14,5)=4),X45),X45)</f>
        <v>35</v>
      </c>
      <c r="Y46" s="102"/>
      <c r="Z46" s="16">
        <f>IF(OR(AA45="",AA45="O"),IF(MOD(ROW()-29,$E$15)=0,Z45+$C$15+(MOD(Z45+$C$15,5)=4),Z45),Z45)</f>
        <v>31</v>
      </c>
      <c r="AA46" s="102"/>
      <c r="AB46" s="16">
        <f>IF(OR(AC45="",AC45="O"),IF(MOD(ROW()-29,$E$16)=0,AB45+$C$16+(MOD(AB45+$C$16,5)=4),AB45),AB45)</f>
        <v>60</v>
      </c>
      <c r="AC46" s="102"/>
      <c r="AD46" s="16">
        <f>IF(OR(AE45="",AE45="O"),IF(MOD(ROW()-29,$E$17)=0,AD45+$C$17+(MOD(AD45+$C$17,5)=4),AD45),AD45)</f>
        <v>10</v>
      </c>
      <c r="AE46" s="102"/>
      <c r="AF46" s="16">
        <f t="shared" si="0"/>
        <v>21</v>
      </c>
      <c r="AG46" s="102"/>
      <c r="AH46" s="16">
        <f t="shared" si="1"/>
        <v>21</v>
      </c>
      <c r="AI46" s="102"/>
      <c r="AJ46" s="16">
        <f t="shared" si="2"/>
        <v>61</v>
      </c>
      <c r="AK46" s="102"/>
    </row>
    <row r="47" spans="1:37" ht="15" customHeight="1">
      <c r="A47" s="101" t="s">
        <v>838</v>
      </c>
      <c r="B47" s="105">
        <v>46438</v>
      </c>
      <c r="C47" s="103">
        <f>IF(OR(D46="",D46="O"),IF(MOD(ROW()-22,$E$6)=0,C46+$C$6+(MOD(C46+$C$6,5)=4),C46),C46)</f>
        <v>125</v>
      </c>
      <c r="D47" s="102"/>
      <c r="E47" s="103">
        <f>IF(OR(F46="",F46="O"),IF(MOD(ROW()-22,$E$5)=0,E46+$C$5+(MOD(E46+$C$5,5)=4),E46),E46)</f>
        <v>130</v>
      </c>
      <c r="F47" s="102"/>
      <c r="G47" s="103">
        <f>IF(OR(H46="",H46="O"),IF(MOD(ROW()-22,$E$7)=0,G46+$C$7+(MOD(G46+$C$7,5)=4),G46),G46)</f>
        <v>66</v>
      </c>
      <c r="H47" s="102"/>
      <c r="I47" s="103">
        <f>IF(OR(J46="",J46="O"),IF(MOD(ROW()-22,$E$8)=0,I46+$C$8+(MOD(I46+$C$8,5)=4),I46),I46)</f>
        <v>43</v>
      </c>
      <c r="J47" s="102"/>
      <c r="K47" s="104"/>
      <c r="L47" s="90"/>
      <c r="M47" s="90"/>
      <c r="N47" s="16">
        <f>IF(OR(O46="",O46="O"),IF(MOD(ROW()-29,$E$9)=0,N46+$C$9+(MOD(N46+$C$9,5)=4),N46),N46)</f>
        <v>82</v>
      </c>
      <c r="O47" s="102"/>
      <c r="P47" s="16">
        <f>IF(OR(Q46="",Q46="O"),IF(MOD(ROW()-29,$E$10)=0,P46+$C$10+(MOD(P46+$C$10,5)=4),P46),P46)</f>
        <v>65</v>
      </c>
      <c r="Q47" s="102"/>
      <c r="R47" s="16">
        <f>IF(OR(S46="",S46="O"),IF(MOD(ROW()-29,$E$11)=0,R46+$C$11+(MOD(R46+$C$11,5)=4),R46),R46)</f>
        <v>205</v>
      </c>
      <c r="S47" s="102"/>
      <c r="T47" s="16">
        <f>IF(OR(U46="",U46="O"),IF(MOD(ROW()-29,$E$12)=0,T46+$C$12+(MOD(T46+$C$12,5)=4),T46),T46)</f>
        <v>162</v>
      </c>
      <c r="U47" s="102"/>
      <c r="V47" s="16">
        <f>IF(OR(W46="",W46="O"),IF(MOD(ROW()-29,$E$13)=0,V46+$C$13+(MOD(V46+$C$13,5)=4),V46),V46)</f>
        <v>61</v>
      </c>
      <c r="W47" s="102"/>
      <c r="X47" s="16">
        <f>IF(OR(Y46="",Y46="O"),IF(MOD(ROW()-29,$E$14)=0,X46+$C$14+(MOD(X46+$C$14,5)=4),X46),X46)</f>
        <v>36</v>
      </c>
      <c r="Y47" s="102"/>
      <c r="Z47" s="16">
        <f>IF(OR(AA46="",AA46="O"),IF(MOD(ROW()-29,$E$15)=0,Z46+$C$15+(MOD(Z46+$C$15,5)=4),Z46),Z46)</f>
        <v>32</v>
      </c>
      <c r="AA47" s="102"/>
      <c r="AB47" s="16">
        <f>IF(OR(AC46="",AC46="O"),IF(MOD(ROW()-29,$E$16)=0,AB46+$C$16+(MOD(AB46+$C$16,5)=4),AB46),AB46)</f>
        <v>61</v>
      </c>
      <c r="AC47" s="102"/>
      <c r="AD47" s="16">
        <f>IF(OR(AE46="",AE46="O"),IF(MOD(ROW()-29,$E$17)=0,AD46+$C$17+(MOD(AD46+$C$17,5)=4),AD46),AD46)</f>
        <v>11</v>
      </c>
      <c r="AE47" s="102"/>
      <c r="AF47" s="16">
        <f t="shared" si="0"/>
        <v>22</v>
      </c>
      <c r="AG47" s="102"/>
      <c r="AH47" s="16">
        <f t="shared" si="1"/>
        <v>22</v>
      </c>
      <c r="AI47" s="102"/>
      <c r="AJ47" s="16">
        <f t="shared" si="2"/>
        <v>62</v>
      </c>
      <c r="AK47" s="102"/>
    </row>
    <row r="48" spans="1:37" ht="15" customHeight="1">
      <c r="A48" s="101" t="s">
        <v>839</v>
      </c>
      <c r="B48" s="105">
        <v>46445</v>
      </c>
      <c r="C48" s="103">
        <f>IF(OR(D47="",D47="O"),IF(MOD(ROW()-22,$E$6)=0,C47+$C$6+(MOD(C47+$C$6,5)=4),C47),C47)</f>
        <v>127</v>
      </c>
      <c r="D48" s="102"/>
      <c r="E48" s="103">
        <f>IF(OR(F47="",F47="O"),IF(MOD(ROW()-22,$E$5)=0,E47+$C$5+(MOD(E47+$C$5,5)=4),E47),E47)</f>
        <v>132</v>
      </c>
      <c r="F48" s="102"/>
      <c r="G48" s="103">
        <f>IF(OR(H47="",H47="O"),IF(MOD(ROW()-22,$E$7)=0,G47+$C$7+(MOD(G47+$C$7,5)=4),G47),G47)</f>
        <v>67</v>
      </c>
      <c r="H48" s="102"/>
      <c r="I48" s="103">
        <f>IF(OR(J47="",J47="O"),IF(MOD(ROW()-22,$E$8)=0,I47+$C$8+(MOD(I47+$C$8,5)=4),I47),I47)</f>
        <v>45</v>
      </c>
      <c r="J48" s="102"/>
      <c r="K48" s="104"/>
      <c r="L48" s="90"/>
      <c r="M48" s="90"/>
      <c r="N48" s="16">
        <f>IF(OR(O47="",O47="O"),IF(MOD(ROW()-29,$E$9)=0,N47+$C$9+(MOD(N47+$C$9,5)=4),N47),N47)</f>
        <v>83</v>
      </c>
      <c r="O48" s="102"/>
      <c r="P48" s="16">
        <f>IF(OR(Q47="",Q47="O"),IF(MOD(ROW()-29,$E$10)=0,P47+$C$10+(MOD(P47+$C$10,5)=4),P47),P47)</f>
        <v>66</v>
      </c>
      <c r="Q48" s="102"/>
      <c r="R48" s="16">
        <f>IF(OR(S47="",S47="O"),IF(MOD(ROW()-29,$E$11)=0,R47+$C$11+(MOD(R47+$C$11,5)=4),R47),R47)</f>
        <v>207</v>
      </c>
      <c r="S48" s="102"/>
      <c r="T48" s="16">
        <f>IF(OR(U47="",U47="O"),IF(MOD(ROW()-29,$E$12)=0,T47+$C$12+(MOD(T47+$C$12,5)=4),T47),T47)</f>
        <v>162</v>
      </c>
      <c r="U48" s="102"/>
      <c r="V48" s="16">
        <f>IF(OR(W47="",W47="O"),IF(MOD(ROW()-29,$E$13)=0,V47+$C$13+(MOD(V47+$C$13,5)=4),V47),V47)</f>
        <v>61</v>
      </c>
      <c r="W48" s="102"/>
      <c r="X48" s="16">
        <f>IF(OR(Y47="",Y47="O"),IF(MOD(ROW()-29,$E$14)=0,X47+$C$14+(MOD(X47+$C$14,5)=4),X47),X47)</f>
        <v>36</v>
      </c>
      <c r="Y48" s="102"/>
      <c r="Z48" s="16">
        <f>IF(OR(AA47="",AA47="O"),IF(MOD(ROW()-29,$E$15)=0,Z47+$C$15+(MOD(Z47+$C$15,5)=4),Z47),Z47)</f>
        <v>32</v>
      </c>
      <c r="AA48" s="102"/>
      <c r="AB48" s="16">
        <f>IF(OR(AC47="",AC47="O"),IF(MOD(ROW()-29,$E$16)=0,AB47+$C$16+(MOD(AB47+$C$16,5)=4),AB47),AB47)</f>
        <v>61</v>
      </c>
      <c r="AC48" s="102"/>
      <c r="AD48" s="16">
        <f>IF(OR(AE47="",AE47="O"),IF(MOD(ROW()-29,$E$17)=0,AD47+$C$17+(MOD(AD47+$C$17,5)=4),AD47),AD47)</f>
        <v>11</v>
      </c>
      <c r="AE48" s="102"/>
      <c r="AF48" s="16">
        <f t="shared" si="0"/>
        <v>22</v>
      </c>
      <c r="AG48" s="102"/>
      <c r="AH48" s="16">
        <f t="shared" si="1"/>
        <v>22</v>
      </c>
      <c r="AI48" s="102"/>
      <c r="AJ48" s="16">
        <f t="shared" si="2"/>
        <v>63</v>
      </c>
      <c r="AK48" s="102"/>
    </row>
    <row r="49" spans="1:37" ht="15" customHeight="1">
      <c r="A49" s="101" t="s">
        <v>840</v>
      </c>
      <c r="B49" s="105">
        <v>46452</v>
      </c>
      <c r="C49" s="103">
        <f>IF(OR(D48="",D48="O"),IF(MOD(ROW()-22,$E$6)=0,C48+$C$6+(MOD(C48+$C$6,5)=4),C48),C48)</f>
        <v>130</v>
      </c>
      <c r="D49" s="102"/>
      <c r="E49" s="103">
        <f>IF(OR(F48="",F48="O"),IF(MOD(ROW()-22,$E$5)=0,E48+$C$5+(MOD(E48+$C$5,5)=4),E48),E48)</f>
        <v>135</v>
      </c>
      <c r="F49" s="102"/>
      <c r="G49" s="103">
        <f>IF(OR(H48="",H48="O"),IF(MOD(ROW()-22,$E$7)=0,G48+$C$7+(MOD(G48+$C$7,5)=4),G48),G48)</f>
        <v>68</v>
      </c>
      <c r="H49" s="102"/>
      <c r="I49" s="103">
        <f>IF(OR(J48="",J48="O"),IF(MOD(ROW()-22,$E$8)=0,I48+$C$8+(MOD(I48+$C$8,5)=4),I48),I48)</f>
        <v>45</v>
      </c>
      <c r="J49" s="102"/>
      <c r="K49" s="104"/>
      <c r="L49" s="90"/>
      <c r="M49" s="90"/>
      <c r="N49" s="16">
        <f>IF(OR(O48="",O48="O"),IF(MOD(ROW()-29,$E$9)=0,N48+$C$9+(MOD(N48+$C$9,5)=4),N48),N48)</f>
        <v>85</v>
      </c>
      <c r="O49" s="102"/>
      <c r="P49" s="16">
        <f>IF(OR(Q48="",Q48="O"),IF(MOD(ROW()-29,$E$10)=0,P48+$C$10+(MOD(P48+$C$10,5)=4),P48),P48)</f>
        <v>67</v>
      </c>
      <c r="Q49" s="102"/>
      <c r="R49" s="16">
        <f>IF(OR(S48="",S48="O"),IF(MOD(ROW()-29,$E$11)=0,R48+$C$11+(MOD(R48+$C$11,5)=4),R48),R48)</f>
        <v>210</v>
      </c>
      <c r="S49" s="102"/>
      <c r="T49" s="16">
        <f>IF(OR(U48="",U48="O"),IF(MOD(ROW()-29,$E$12)=0,T48+$C$12+(MOD(T48+$C$12,5)=4),T48),T48)</f>
        <v>165</v>
      </c>
      <c r="U49" s="102"/>
      <c r="V49" s="16">
        <f>IF(OR(W48="",W48="O"),IF(MOD(ROW()-29,$E$13)=0,V48+$C$13+(MOD(V48+$C$13,5)=4),V48),V48)</f>
        <v>62</v>
      </c>
      <c r="W49" s="102"/>
      <c r="X49" s="16">
        <f>IF(OR(Y48="",Y48="O"),IF(MOD(ROW()-29,$E$14)=0,X48+$C$14+(MOD(X48+$C$14,5)=4),X48),X48)</f>
        <v>37</v>
      </c>
      <c r="Y49" s="102"/>
      <c r="Z49" s="16">
        <f>IF(OR(AA48="",AA48="O"),IF(MOD(ROW()-29,$E$15)=0,Z48+$C$15+(MOD(Z48+$C$15,5)=4),Z48),Z48)</f>
        <v>32</v>
      </c>
      <c r="AA49" s="102"/>
      <c r="AB49" s="16">
        <f>IF(OR(AC48="",AC48="O"),IF(MOD(ROW()-29,$E$16)=0,AB48+$C$16+(MOD(AB48+$C$16,5)=4),AB48),AB48)</f>
        <v>62</v>
      </c>
      <c r="AC49" s="102"/>
      <c r="AD49" s="16">
        <f>IF(OR(AE48="",AE48="O"),IF(MOD(ROW()-29,$E$17)=0,AD48+$C$17+(MOD(AD48+$C$17,5)=4),AD48),AD48)</f>
        <v>12</v>
      </c>
      <c r="AE49" s="102"/>
      <c r="AF49" s="16">
        <f t="shared" si="0"/>
        <v>22</v>
      </c>
      <c r="AG49" s="102"/>
      <c r="AH49" s="16">
        <f t="shared" si="1"/>
        <v>22</v>
      </c>
      <c r="AI49" s="102"/>
      <c r="AJ49" s="16">
        <f t="shared" si="2"/>
        <v>65</v>
      </c>
      <c r="AK49" s="102"/>
    </row>
    <row r="50" spans="1:37" ht="15" customHeight="1">
      <c r="A50" s="101" t="s">
        <v>841</v>
      </c>
      <c r="B50" s="105">
        <v>46459</v>
      </c>
      <c r="C50" s="103">
        <f>IF(OR(D49="",D49="O"),IF(MOD(ROW()-22,$E$6)=0,C49+$C$6+(MOD(C49+$C$6,5)=4),C49),C49)</f>
        <v>132</v>
      </c>
      <c r="D50" s="102"/>
      <c r="E50" s="103">
        <f>IF(OR(F49="",F49="O"),IF(MOD(ROW()-22,$E$5)=0,E49+$C$5+(MOD(E49+$C$5,5)=4),E49),E49)</f>
        <v>137</v>
      </c>
      <c r="F50" s="102"/>
      <c r="G50" s="103">
        <f>IF(OR(H49="",H49="O"),IF(MOD(ROW()-22,$E$7)=0,G49+$C$7+(MOD(G49+$C$7,5)=4),G49),G49)</f>
        <v>70</v>
      </c>
      <c r="H50" s="102"/>
      <c r="I50" s="103">
        <f>IF(OR(J49="",J49="O"),IF(MOD(ROW()-22,$E$8)=0,I49+$C$8+(MOD(I49+$C$8,5)=4),I49),I49)</f>
        <v>46</v>
      </c>
      <c r="J50" s="102"/>
      <c r="K50" s="104"/>
      <c r="L50" s="90"/>
      <c r="M50" s="90"/>
      <c r="N50" s="16">
        <f>IF(OR(O49="",O49="O"),IF(MOD(ROW()-29,$E$9)=0,N49+$C$9+(MOD(N49+$C$9,5)=4),N49),N49)</f>
        <v>86</v>
      </c>
      <c r="O50" s="102"/>
      <c r="P50" s="16">
        <f>IF(OR(Q49="",Q49="O"),IF(MOD(ROW()-29,$E$10)=0,P49+$C$10+(MOD(P49+$C$10,5)=4),P49),P49)</f>
        <v>68</v>
      </c>
      <c r="Q50" s="102"/>
      <c r="R50" s="16">
        <f>IF(OR(S49="",S49="O"),IF(MOD(ROW()-29,$E$11)=0,R49+$C$11+(MOD(R49+$C$11,5)=4),R49),R49)</f>
        <v>212</v>
      </c>
      <c r="S50" s="102"/>
      <c r="T50" s="16">
        <f>IF(OR(U49="",U49="O"),IF(MOD(ROW()-29,$E$12)=0,T49+$C$12+(MOD(T49+$C$12,5)=4),T49),T49)</f>
        <v>165</v>
      </c>
      <c r="U50" s="102"/>
      <c r="V50" s="16">
        <f>IF(OR(W49="",W49="O"),IF(MOD(ROW()-29,$E$13)=0,V49+$C$13+(MOD(V49+$C$13,5)=4),V49),V49)</f>
        <v>62</v>
      </c>
      <c r="W50" s="102"/>
      <c r="X50" s="16">
        <f>IF(OR(Y49="",Y49="O"),IF(MOD(ROW()-29,$E$14)=0,X49+$C$14+(MOD(X49+$C$14,5)=4),X49),X49)</f>
        <v>37</v>
      </c>
      <c r="Y50" s="102"/>
      <c r="Z50" s="16">
        <f>IF(OR(AA49="",AA49="O"),IF(MOD(ROW()-29,$E$15)=0,Z49+$C$15+(MOD(Z49+$C$15,5)=4),Z49),Z49)</f>
        <v>33</v>
      </c>
      <c r="AA50" s="102"/>
      <c r="AB50" s="16">
        <f>IF(OR(AC49="",AC49="O"),IF(MOD(ROW()-29,$E$16)=0,AB49+$C$16+(MOD(AB49+$C$16,5)=4),AB49),AB49)</f>
        <v>62</v>
      </c>
      <c r="AC50" s="102"/>
      <c r="AD50" s="16">
        <f>IF(OR(AE49="",AE49="O"),IF(MOD(ROW()-29,$E$17)=0,AD49+$C$17+(MOD(AD49+$C$17,5)=4),AD49),AD49)</f>
        <v>12</v>
      </c>
      <c r="AE50" s="102"/>
      <c r="AF50" s="16">
        <f t="shared" si="0"/>
        <v>23</v>
      </c>
      <c r="AG50" s="102"/>
      <c r="AH50" s="16">
        <f t="shared" si="1"/>
        <v>23</v>
      </c>
      <c r="AI50" s="102"/>
      <c r="AJ50" s="16">
        <f t="shared" si="2"/>
        <v>66</v>
      </c>
      <c r="AK50" s="102"/>
    </row>
    <row r="51" spans="1:37" ht="15" customHeight="1">
      <c r="A51" s="101" t="s">
        <v>842</v>
      </c>
      <c r="B51" s="105">
        <v>46466</v>
      </c>
      <c r="C51" s="103">
        <f>IF(OR(D50="",D50="O"),IF(MOD(ROW()-22,$E$6)=0,C50+$C$6+(MOD(C50+$C$6,5)=4),C50),C50)</f>
        <v>135</v>
      </c>
      <c r="D51" s="102"/>
      <c r="E51" s="103">
        <f>IF(OR(F50="",F50="O"),IF(MOD(ROW()-22,$E$5)=0,E50+$C$5+(MOD(E50+$C$5,5)=4),E50),E50)</f>
        <v>140</v>
      </c>
      <c r="F51" s="102"/>
      <c r="G51" s="103">
        <f>IF(OR(H50="",H50="O"),IF(MOD(ROW()-22,$E$7)=0,G50+$C$7+(MOD(G50+$C$7,5)=4),G50),G50)</f>
        <v>71</v>
      </c>
      <c r="H51" s="102"/>
      <c r="I51" s="103">
        <f>IF(OR(J50="",J50="O"),IF(MOD(ROW()-22,$E$8)=0,I50+$C$8+(MOD(I50+$C$8,5)=4),I50),I50)</f>
        <v>46</v>
      </c>
      <c r="J51" s="102"/>
      <c r="K51" s="104"/>
      <c r="L51" s="90"/>
      <c r="M51" s="90"/>
      <c r="N51" s="16">
        <f>IF(OR(O50="",O50="O"),IF(MOD(ROW()-29,$E$9)=0,N50+$C$9+(MOD(N50+$C$9,5)=4),N50),N50)</f>
        <v>87</v>
      </c>
      <c r="O51" s="102"/>
      <c r="P51" s="16">
        <f>IF(OR(Q50="",Q50="O"),IF(MOD(ROW()-29,$E$10)=0,P50+$C$10+(MOD(P50+$C$10,5)=4),P50),P50)</f>
        <v>70</v>
      </c>
      <c r="Q51" s="102"/>
      <c r="R51" s="16">
        <f>IF(OR(S50="",S50="O"),IF(MOD(ROW()-29,$E$11)=0,R50+$C$11+(MOD(R50+$C$11,5)=4),R50),R50)</f>
        <v>215</v>
      </c>
      <c r="S51" s="102"/>
      <c r="T51" s="16">
        <f>IF(OR(U50="",U50="O"),IF(MOD(ROW()-29,$E$12)=0,T50+$C$12+(MOD(T50+$C$12,5)=4),T50),T50)</f>
        <v>167</v>
      </c>
      <c r="U51" s="102"/>
      <c r="V51" s="16">
        <f>IF(OR(W50="",W50="O"),IF(MOD(ROW()-29,$E$13)=0,V50+$C$13+(MOD(V50+$C$13,5)=4),V50),V50)</f>
        <v>63</v>
      </c>
      <c r="W51" s="102"/>
      <c r="X51" s="16">
        <f>IF(OR(Y50="",Y50="O"),IF(MOD(ROW()-29,$E$14)=0,X50+$C$14+(MOD(X50+$C$14,5)=4),X50),X50)</f>
        <v>38</v>
      </c>
      <c r="Y51" s="102"/>
      <c r="Z51" s="16">
        <f>IF(OR(AA50="",AA50="O"),IF(MOD(ROW()-29,$E$15)=0,Z50+$C$15+(MOD(Z50+$C$15,5)=4),Z50),Z50)</f>
        <v>33</v>
      </c>
      <c r="AA51" s="102"/>
      <c r="AB51" s="16">
        <f>IF(OR(AC50="",AC50="O"),IF(MOD(ROW()-29,$E$16)=0,AB50+$C$16+(MOD(AB50+$C$16,5)=4),AB50),AB50)</f>
        <v>63</v>
      </c>
      <c r="AC51" s="102"/>
      <c r="AD51" s="16">
        <f>IF(OR(AE50="",AE50="O"),IF(MOD(ROW()-29,$E$17)=0,AD50+$C$17+(MOD(AD50+$C$17,5)=4),AD50),AD50)</f>
        <v>13</v>
      </c>
      <c r="AE51" s="102"/>
      <c r="AF51" s="16">
        <f t="shared" si="0"/>
        <v>23</v>
      </c>
      <c r="AG51" s="102"/>
      <c r="AH51" s="16">
        <f t="shared" si="1"/>
        <v>23</v>
      </c>
      <c r="AI51" s="102"/>
      <c r="AJ51" s="16">
        <f t="shared" si="2"/>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1582</v>
      </c>
      <c r="G6" s="115" t="s">
        <v>1399</v>
      </c>
    </row>
    <row r="7" spans="1:7" ht="30" customHeight="1">
      <c r="A7" s="114" t="s">
        <v>902</v>
      </c>
      <c r="B7" s="120" t="s">
        <v>903</v>
      </c>
      <c r="C7" s="114" t="s">
        <v>896</v>
      </c>
      <c r="D7" s="115" t="s">
        <v>904</v>
      </c>
      <c r="E7" s="121">
        <f>복귀_일_수평당기기!$E$22</f>
        <v>36</v>
      </c>
      <c r="F7" s="114" t="s">
        <v>1583</v>
      </c>
      <c r="G7" s="115" t="s">
        <v>1457</v>
      </c>
    </row>
    <row r="8" spans="1:7" ht="30" customHeight="1">
      <c r="A8" s="114" t="s">
        <v>905</v>
      </c>
      <c r="B8" s="120" t="s">
        <v>906</v>
      </c>
      <c r="C8" s="114" t="s">
        <v>896</v>
      </c>
      <c r="D8" s="115" t="s">
        <v>1489</v>
      </c>
      <c r="E8" s="121">
        <f>복귀_월_가슴!$E$29</f>
        <v>37</v>
      </c>
      <c r="F8" s="114" t="s">
        <v>1584</v>
      </c>
      <c r="G8" s="115" t="s">
        <v>1490</v>
      </c>
    </row>
    <row r="9" spans="1:7" ht="30" customHeight="1">
      <c r="A9" s="114" t="s">
        <v>907</v>
      </c>
      <c r="B9" s="120" t="s">
        <v>908</v>
      </c>
      <c r="C9" s="114" t="s">
        <v>896</v>
      </c>
      <c r="D9" s="115" t="s">
        <v>1491</v>
      </c>
      <c r="E9" s="121">
        <f>복귀_화_팔!$E$24</f>
        <v>41</v>
      </c>
      <c r="F9" s="114" t="s">
        <v>1585</v>
      </c>
      <c r="G9" s="115" t="s">
        <v>1492</v>
      </c>
    </row>
    <row r="10" spans="1:7" ht="30" customHeight="1">
      <c r="A10" s="114" t="s">
        <v>909</v>
      </c>
      <c r="B10" s="120" t="s">
        <v>910</v>
      </c>
      <c r="C10" s="114" t="s">
        <v>896</v>
      </c>
      <c r="D10" s="115" t="s">
        <v>911</v>
      </c>
      <c r="E10" s="121">
        <f>복귀_수_하체후면!$E$39</f>
        <v>34</v>
      </c>
      <c r="F10" s="114" t="s">
        <v>1586</v>
      </c>
      <c r="G10" s="115" t="s">
        <v>1451</v>
      </c>
    </row>
    <row r="11" spans="1:7" ht="30" customHeight="1">
      <c r="A11" s="114" t="s">
        <v>912</v>
      </c>
      <c r="B11" s="120" t="s">
        <v>913</v>
      </c>
      <c r="C11" s="114" t="s">
        <v>896</v>
      </c>
      <c r="D11" s="115" t="s">
        <v>914</v>
      </c>
      <c r="E11" s="121">
        <f>복귀_목_수직당기기!$E$25</f>
        <v>42</v>
      </c>
      <c r="F11" s="114" t="s">
        <v>1470</v>
      </c>
      <c r="G11" s="115" t="s">
        <v>1606</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1587</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1512</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1248</v>
      </c>
    </row>
    <row r="44" spans="1:1">
      <c r="A44" s="126" t="s">
        <v>1262</v>
      </c>
    </row>
    <row r="45" spans="1:1">
      <c r="A45" s="126" t="s">
        <v>1296</v>
      </c>
    </row>
    <row r="46" spans="1:1">
      <c r="A46" s="126" t="s">
        <v>1299</v>
      </c>
    </row>
    <row r="47" spans="1:1">
      <c r="A47" s="126" t="s">
        <v>1315</v>
      </c>
    </row>
    <row r="48" spans="1:1">
      <c r="A48" s="126" t="s">
        <v>1326</v>
      </c>
    </row>
    <row r="49" spans="1:1">
      <c r="A49" s="126" t="s">
        <v>1339</v>
      </c>
    </row>
    <row r="50" spans="1:1">
      <c r="A50" s="126" t="s">
        <v>1349</v>
      </c>
    </row>
    <row r="51" spans="1:1">
      <c r="A51" s="126" t="s">
        <v>1359</v>
      </c>
    </row>
    <row r="52" spans="1:1">
      <c r="A52" s="126" t="s">
        <v>1368</v>
      </c>
    </row>
    <row r="53" spans="1:1">
      <c r="A53" s="126" t="s">
        <v>1370</v>
      </c>
    </row>
    <row r="54" spans="1:1">
      <c r="A54" s="126" t="s">
        <v>1392</v>
      </c>
    </row>
    <row r="55" spans="1:1">
      <c r="A55" s="126" t="s">
        <v>1393</v>
      </c>
    </row>
    <row r="56" spans="1:1">
      <c r="A56" s="126" t="s">
        <v>1400</v>
      </c>
    </row>
    <row r="57" spans="1:1">
      <c r="A57" s="126" t="s">
        <v>1402</v>
      </c>
    </row>
    <row r="58" spans="1:1">
      <c r="A58" s="126" t="s">
        <v>1409</v>
      </c>
    </row>
    <row r="59" spans="1:1">
      <c r="A59" s="126" t="s">
        <v>1439</v>
      </c>
    </row>
    <row r="60" spans="1:1">
      <c r="A60" s="126" t="s">
        <v>1443</v>
      </c>
    </row>
    <row r="61" spans="1:1">
      <c r="A61" s="126" t="s">
        <v>1452</v>
      </c>
    </row>
    <row r="62" spans="1:1">
      <c r="A62" s="126" t="s">
        <v>1459</v>
      </c>
    </row>
    <row r="63" spans="1:1">
      <c r="A63" s="126" t="s">
        <v>1465</v>
      </c>
    </row>
    <row r="64" spans="1:1">
      <c r="A64" s="126" t="s">
        <v>1466</v>
      </c>
    </row>
    <row r="65" spans="1:1">
      <c r="A65" s="126" t="s">
        <v>1471</v>
      </c>
    </row>
    <row r="66" spans="1:1">
      <c r="A66" s="126" t="s">
        <v>1479</v>
      </c>
    </row>
    <row r="67" spans="1:1">
      <c r="A67" s="126" t="s">
        <v>1497</v>
      </c>
    </row>
    <row r="68" spans="1:1">
      <c r="A68" s="126" t="s">
        <v>1502</v>
      </c>
    </row>
    <row r="69" spans="1:1">
      <c r="A69" s="126" t="s">
        <v>1514</v>
      </c>
    </row>
    <row r="70" spans="1:1">
      <c r="A70" s="126" t="s">
        <v>1522</v>
      </c>
    </row>
    <row r="71" spans="1:1">
      <c r="A71" s="126" t="s">
        <v>1528</v>
      </c>
    </row>
    <row r="72" spans="1:1">
      <c r="A72" s="126" t="s">
        <v>1530</v>
      </c>
    </row>
    <row r="73" spans="1:1">
      <c r="A73" s="126" t="s">
        <v>1536</v>
      </c>
    </row>
    <row r="74" spans="1:1">
      <c r="A74" s="126" t="s">
        <v>1564</v>
      </c>
    </row>
    <row r="75" spans="1:1">
      <c r="A75" s="126" t="s">
        <v>1588</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1589</v>
      </c>
    </row>
    <row r="91" spans="1:1">
      <c r="A91" s="123" t="s">
        <v>1493</v>
      </c>
    </row>
    <row r="92" spans="1:1">
      <c r="A92" s="123" t="s">
        <v>955</v>
      </c>
    </row>
    <row r="93" spans="1:1">
      <c r="A93" s="123" t="s">
        <v>1458</v>
      </c>
    </row>
    <row r="94" spans="1:1">
      <c r="A94" s="123" t="s">
        <v>1325</v>
      </c>
    </row>
    <row r="95" spans="1:1">
      <c r="A95" s="123" t="s">
        <v>1427</v>
      </c>
    </row>
    <row r="97" spans="1:1">
      <c r="A97" s="107" t="s">
        <v>956</v>
      </c>
    </row>
    <row r="98" spans="1:1">
      <c r="A98" s="123" t="s">
        <v>1428</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1612</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1450</v>
      </c>
      <c r="K22" s="115" t="s">
        <v>583</v>
      </c>
      <c r="L22" s="114"/>
      <c r="M22" s="114"/>
      <c r="N22" s="114"/>
    </row>
    <row r="23" spans="1:14" ht="30" customHeight="1">
      <c r="A23" s="114">
        <v>4</v>
      </c>
      <c r="B23" s="115" t="s">
        <v>1394</v>
      </c>
      <c r="C23" s="114" t="s">
        <v>354</v>
      </c>
      <c r="D23" s="114">
        <v>20</v>
      </c>
      <c r="E23" s="114">
        <v>3</v>
      </c>
      <c r="F23" s="114" t="s">
        <v>350</v>
      </c>
      <c r="G23" s="114">
        <v>40</v>
      </c>
      <c r="H23" s="114">
        <v>90</v>
      </c>
      <c r="I23" s="114">
        <f t="shared" si="0"/>
        <v>6.5</v>
      </c>
      <c r="J23" s="115" t="s">
        <v>1445</v>
      </c>
      <c r="K23" s="115" t="s">
        <v>1395</v>
      </c>
      <c r="L23" s="114"/>
      <c r="M23" s="114"/>
      <c r="N23" s="114"/>
    </row>
    <row r="24" spans="1:14" ht="30" customHeight="1">
      <c r="A24" s="114">
        <v>5</v>
      </c>
      <c r="B24" s="135" t="s">
        <v>1454</v>
      </c>
      <c r="C24" s="114" t="s">
        <v>354</v>
      </c>
      <c r="D24" s="114">
        <v>8</v>
      </c>
      <c r="E24" s="114">
        <v>3</v>
      </c>
      <c r="F24" s="114" t="s">
        <v>289</v>
      </c>
      <c r="G24" s="114">
        <v>40</v>
      </c>
      <c r="H24" s="114">
        <v>60</v>
      </c>
      <c r="I24" s="114">
        <f t="shared" si="0"/>
        <v>6</v>
      </c>
      <c r="J24" s="115" t="s">
        <v>1396</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1401</v>
      </c>
      <c r="K25" s="115" t="s">
        <v>971</v>
      </c>
      <c r="L25" s="114"/>
      <c r="M25" s="114"/>
      <c r="N25" s="114">
        <v>60</v>
      </c>
    </row>
    <row r="26" spans="1:14" ht="30" customHeight="1">
      <c r="A26" s="114">
        <v>7</v>
      </c>
      <c r="B26" s="115" t="s">
        <v>1572</v>
      </c>
      <c r="C26" s="114" t="s">
        <v>285</v>
      </c>
      <c r="D26" s="114">
        <v>10</v>
      </c>
      <c r="E26" s="114">
        <v>2</v>
      </c>
      <c r="F26" s="114" t="s">
        <v>1573</v>
      </c>
      <c r="G26" s="114">
        <v>60</v>
      </c>
      <c r="H26" s="114">
        <v>60</v>
      </c>
      <c r="I26" s="114">
        <f>IF(E26=0,0,ROUND((E26*(G26+H26)+N26)/60,1))</f>
        <v>4</v>
      </c>
      <c r="J26" s="115" t="s">
        <v>1574</v>
      </c>
      <c r="K26" s="115" t="s">
        <v>1575</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106</v>
      </c>
    </row>
    <row r="33" spans="1:1">
      <c r="A33" s="107" t="s">
        <v>980</v>
      </c>
    </row>
    <row r="34" spans="1:1">
      <c r="A34" s="117" t="s">
        <v>981</v>
      </c>
    </row>
    <row r="35" spans="1:1">
      <c r="A35" s="117" t="s">
        <v>1473</v>
      </c>
    </row>
    <row r="36" spans="1:1">
      <c r="A36" s="117" t="s">
        <v>1398</v>
      </c>
    </row>
    <row r="37" spans="1:1">
      <c r="A37" s="117" t="s">
        <v>982</v>
      </c>
    </row>
    <row r="38" spans="1:1">
      <c r="A38" s="117" t="s">
        <v>983</v>
      </c>
    </row>
    <row r="39" spans="1:1">
      <c r="A39" s="117" t="s">
        <v>984</v>
      </c>
    </row>
    <row r="41" spans="1:1">
      <c r="A41" s="107" t="s">
        <v>954</v>
      </c>
    </row>
    <row r="42" spans="1:1">
      <c r="A42" s="117" t="s">
        <v>1474</v>
      </c>
    </row>
    <row r="43" spans="1:1">
      <c r="A43" s="117" t="s">
        <v>985</v>
      </c>
    </row>
    <row r="44" spans="1:1">
      <c r="A44" s="117" t="s">
        <v>986</v>
      </c>
    </row>
    <row r="46" spans="1:1">
      <c r="A46" s="107" t="s">
        <v>987</v>
      </c>
    </row>
    <row r="47" spans="1:1">
      <c r="A47" s="117" t="s">
        <v>1475</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1523</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1322</v>
      </c>
      <c r="C11" s="114" t="s">
        <v>1515</v>
      </c>
      <c r="D11" s="144">
        <f>시작중량_설정!$E$11</f>
        <v>60</v>
      </c>
      <c r="E11" s="114">
        <v>4</v>
      </c>
      <c r="F11" s="114">
        <v>8</v>
      </c>
      <c r="G11" s="114">
        <v>40</v>
      </c>
      <c r="H11" s="114">
        <v>150</v>
      </c>
      <c r="I11" s="114">
        <f t="shared" ref="I11:I21" si="0">IF(E11=0,0,ROUND((E11*(G11+H11)+N11)/60,1))</f>
        <v>12.7</v>
      </c>
      <c r="J11" s="115" t="s">
        <v>1601</v>
      </c>
      <c r="K11" s="115" t="s">
        <v>1516</v>
      </c>
      <c r="L11" s="114" t="s">
        <v>1518</v>
      </c>
      <c r="M11" s="114"/>
      <c r="N11" s="114"/>
    </row>
    <row r="12" spans="1:14" ht="30" customHeight="1">
      <c r="A12" s="114">
        <v>2</v>
      </c>
      <c r="B12" s="115" t="s">
        <v>1503</v>
      </c>
      <c r="C12" s="114" t="s">
        <v>1515</v>
      </c>
      <c r="D12" s="114">
        <v>18</v>
      </c>
      <c r="E12" s="114">
        <v>3</v>
      </c>
      <c r="F12" s="114" t="s">
        <v>1519</v>
      </c>
      <c r="G12" s="114">
        <v>40</v>
      </c>
      <c r="H12" s="114">
        <v>150</v>
      </c>
      <c r="I12" s="114">
        <f t="shared" si="0"/>
        <v>9.5</v>
      </c>
      <c r="J12" s="134" t="s">
        <v>1520</v>
      </c>
      <c r="K12" s="115" t="s">
        <v>1504</v>
      </c>
      <c r="L12" s="114" t="s">
        <v>1517</v>
      </c>
      <c r="M12" s="114"/>
      <c r="N12" s="114"/>
    </row>
    <row r="13" spans="1:14" ht="30" customHeight="1">
      <c r="A13" s="114">
        <v>3</v>
      </c>
      <c r="B13" s="115" t="s">
        <v>1254</v>
      </c>
      <c r="C13" s="114" t="s">
        <v>1255</v>
      </c>
      <c r="D13" s="114">
        <v>55</v>
      </c>
      <c r="E13" s="114">
        <v>2</v>
      </c>
      <c r="F13" s="114" t="s">
        <v>1256</v>
      </c>
      <c r="G13" s="114">
        <v>40</v>
      </c>
      <c r="H13" s="114">
        <v>120</v>
      </c>
      <c r="I13" s="114">
        <f t="shared" ref="I13" si="1">IF(E13=0,0,ROUND((E13*(G13+H13)+N13)/60,1))</f>
        <v>5.3</v>
      </c>
      <c r="J13" s="115" t="s">
        <v>1534</v>
      </c>
      <c r="K13" s="115" t="s">
        <v>1257</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1455</v>
      </c>
      <c r="K14" s="115" t="s">
        <v>995</v>
      </c>
      <c r="L14" s="114"/>
      <c r="M14" s="114"/>
      <c r="N14" s="114"/>
    </row>
    <row r="15" spans="1:14" ht="30" customHeight="1">
      <c r="A15" s="114">
        <v>5</v>
      </c>
      <c r="B15" s="115" t="s">
        <v>1532</v>
      </c>
      <c r="C15" s="114" t="s">
        <v>282</v>
      </c>
      <c r="D15" s="144">
        <f>시작중량_설정!$E$18</f>
        <v>50</v>
      </c>
      <c r="E15" s="114">
        <v>3</v>
      </c>
      <c r="F15" s="114">
        <v>15</v>
      </c>
      <c r="G15" s="114">
        <v>40</v>
      </c>
      <c r="H15" s="114">
        <v>75</v>
      </c>
      <c r="I15" s="114">
        <f t="shared" si="0"/>
        <v>6.8</v>
      </c>
      <c r="J15" s="115" t="s">
        <v>1635</v>
      </c>
      <c r="K15" s="115" t="s">
        <v>1533</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996</v>
      </c>
      <c r="K16" s="115" t="s">
        <v>997</v>
      </c>
      <c r="L16" s="114"/>
      <c r="M16" s="114"/>
      <c r="N16" s="114"/>
    </row>
    <row r="17" spans="1:14" ht="30" customHeight="1">
      <c r="A17" s="114">
        <v>7</v>
      </c>
      <c r="B17" s="115" t="s">
        <v>1461</v>
      </c>
      <c r="C17" s="114" t="s">
        <v>345</v>
      </c>
      <c r="D17" s="114">
        <v>20</v>
      </c>
      <c r="E17" s="114">
        <v>5</v>
      </c>
      <c r="F17" s="114" t="s">
        <v>274</v>
      </c>
      <c r="G17" s="114">
        <v>40</v>
      </c>
      <c r="H17" s="114">
        <v>75</v>
      </c>
      <c r="I17" s="114">
        <f t="shared" si="0"/>
        <v>10.6</v>
      </c>
      <c r="J17" s="115" t="s">
        <v>1571</v>
      </c>
      <c r="K17" s="115" t="s">
        <v>1462</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998</v>
      </c>
      <c r="K18" s="115" t="s">
        <v>999</v>
      </c>
      <c r="L18" s="114"/>
      <c r="M18" s="114"/>
      <c r="N18" s="114">
        <v>60</v>
      </c>
    </row>
    <row r="19" spans="1:14" ht="30" customHeight="1">
      <c r="A19" s="114">
        <v>9</v>
      </c>
      <c r="B19" s="115" t="s">
        <v>1000</v>
      </c>
      <c r="C19" s="114" t="s">
        <v>295</v>
      </c>
      <c r="D19" s="114">
        <v>15</v>
      </c>
      <c r="E19" s="114">
        <v>3</v>
      </c>
      <c r="F19" s="114">
        <v>15</v>
      </c>
      <c r="G19" s="114">
        <v>40</v>
      </c>
      <c r="H19" s="114">
        <v>10</v>
      </c>
      <c r="I19" s="114">
        <f t="shared" si="0"/>
        <v>2.5</v>
      </c>
      <c r="J19" s="115" t="s">
        <v>1336</v>
      </c>
      <c r="K19" s="115" t="s">
        <v>1001</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1002</v>
      </c>
      <c r="K20" s="115" t="s">
        <v>1003</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1506</v>
      </c>
      <c r="K21" s="115" t="s">
        <v>1004</v>
      </c>
      <c r="L21" s="114"/>
      <c r="M21" s="114"/>
      <c r="N21" s="114"/>
    </row>
    <row r="22" spans="1:14">
      <c r="A22" s="116"/>
      <c r="B22" s="116"/>
      <c r="C22" s="116"/>
      <c r="D22" s="116" t="s">
        <v>321</v>
      </c>
      <c r="E22" s="116">
        <f>SUM(E11:E21)</f>
        <v>36</v>
      </c>
      <c r="F22" s="116"/>
      <c r="G22" s="116"/>
      <c r="H22" s="116"/>
      <c r="I22" s="116">
        <f>ROUND(SUM(I11:I21),0)</f>
        <v>83</v>
      </c>
    </row>
    <row r="24" spans="1:14">
      <c r="A24" s="107" t="s">
        <v>1005</v>
      </c>
    </row>
    <row r="25" spans="1:14">
      <c r="A25" s="117" t="s">
        <v>1006</v>
      </c>
    </row>
    <row r="26" spans="1:14">
      <c r="A26" s="117" t="s">
        <v>1007</v>
      </c>
    </row>
    <row r="27" spans="1:14">
      <c r="A27" s="117" t="s">
        <v>1008</v>
      </c>
    </row>
    <row r="28" spans="1:14">
      <c r="A28" s="117" t="s">
        <v>1525</v>
      </c>
    </row>
    <row r="29" spans="1:14">
      <c r="A29" s="117" t="s">
        <v>1009</v>
      </c>
    </row>
    <row r="31" spans="1:14">
      <c r="A31" s="107" t="s">
        <v>1010</v>
      </c>
    </row>
    <row r="32" spans="1:14">
      <c r="A32" s="117" t="s">
        <v>1011</v>
      </c>
    </row>
    <row r="33" spans="1:1">
      <c r="A33" s="117" t="s">
        <v>1258</v>
      </c>
    </row>
    <row r="34" spans="1:1">
      <c r="A34" s="117" t="s">
        <v>1012</v>
      </c>
    </row>
    <row r="36" spans="1:1">
      <c r="A36" s="107" t="s">
        <v>954</v>
      </c>
    </row>
    <row r="37" spans="1:1">
      <c r="A37" s="117" t="s">
        <v>1456</v>
      </c>
    </row>
    <row r="38" spans="1:1">
      <c r="A38" s="117" t="s">
        <v>1013</v>
      </c>
    </row>
    <row r="39" spans="1:1">
      <c r="A39" s="117" t="s">
        <v>1521</v>
      </c>
    </row>
    <row r="41" spans="1:1">
      <c r="A41" s="107" t="s">
        <v>987</v>
      </c>
    </row>
    <row r="42" spans="1:1">
      <c r="A42" s="117" t="s">
        <v>1535</v>
      </c>
    </row>
    <row r="43" spans="1:1">
      <c r="A43" s="117" t="s">
        <v>1014</v>
      </c>
    </row>
    <row r="44" spans="1:1">
      <c r="A44" s="117" t="s">
        <v>1505</v>
      </c>
    </row>
    <row r="45" spans="1:1">
      <c r="A45" s="117" t="s">
        <v>1259</v>
      </c>
    </row>
    <row r="46" spans="1:1">
      <c r="A46" s="117" t="s">
        <v>1015</v>
      </c>
    </row>
    <row r="47" spans="1:1">
      <c r="A47" s="117" t="s">
        <v>989</v>
      </c>
    </row>
    <row r="49" spans="3:3">
      <c r="C49" s="118" t="s">
        <v>1016</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1390</v>
      </c>
    </row>
    <row r="2" spans="1:5">
      <c r="A2" t="s">
        <v>1371</v>
      </c>
    </row>
    <row r="4" spans="1:5">
      <c r="A4" s="99" t="s">
        <v>1391</v>
      </c>
    </row>
    <row r="5" spans="1:5">
      <c r="A5" s="140" t="s">
        <v>1372</v>
      </c>
      <c r="B5" s="140" t="s">
        <v>1373</v>
      </c>
      <c r="C5" s="140" t="s">
        <v>1374</v>
      </c>
      <c r="D5" s="140" t="s">
        <v>1375</v>
      </c>
      <c r="E5" s="140" t="s">
        <v>1270</v>
      </c>
    </row>
    <row r="6" spans="1:5">
      <c r="A6" s="139">
        <v>46301</v>
      </c>
      <c r="B6" t="s">
        <v>1376</v>
      </c>
      <c r="C6" t="s">
        <v>1377</v>
      </c>
      <c r="D6" t="s">
        <v>28</v>
      </c>
      <c r="E6" t="s">
        <v>1378</v>
      </c>
    </row>
    <row r="7" spans="1:5">
      <c r="A7" s="139">
        <v>46307</v>
      </c>
      <c r="B7" t="s">
        <v>1379</v>
      </c>
      <c r="C7" t="s">
        <v>1377</v>
      </c>
      <c r="D7" t="s">
        <v>28</v>
      </c>
      <c r="E7" t="s">
        <v>1378</v>
      </c>
    </row>
    <row r="8" spans="1:5">
      <c r="A8" s="139">
        <v>46319</v>
      </c>
      <c r="B8" t="s">
        <v>1379</v>
      </c>
      <c r="C8" t="s">
        <v>1377</v>
      </c>
      <c r="D8" t="s">
        <v>1380</v>
      </c>
      <c r="E8" t="s">
        <v>1378</v>
      </c>
    </row>
    <row r="10" spans="1:5">
      <c r="A10" s="99" t="s">
        <v>1265</v>
      </c>
    </row>
    <row r="11" spans="1:5">
      <c r="A11" t="s">
        <v>1381</v>
      </c>
    </row>
    <row r="12" spans="1:5">
      <c r="A12" t="s">
        <v>1382</v>
      </c>
    </row>
    <row r="13" spans="1:5">
      <c r="A13" t="s">
        <v>1383</v>
      </c>
    </row>
    <row r="14" spans="1:5">
      <c r="A14" t="s">
        <v>1384</v>
      </c>
    </row>
    <row r="15" spans="1:5">
      <c r="A15" t="s">
        <v>1385</v>
      </c>
    </row>
    <row r="16" spans="1:5">
      <c r="A16" t="s">
        <v>1386</v>
      </c>
    </row>
    <row r="17" spans="1:1">
      <c r="A17" t="s">
        <v>1387</v>
      </c>
    </row>
    <row r="18" spans="1:1">
      <c r="A18" t="s">
        <v>1388</v>
      </c>
    </row>
    <row r="19" spans="1:1">
      <c r="A19" t="s">
        <v>1389</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1482</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1553</v>
      </c>
      <c r="K18" s="113" t="s">
        <v>1017</v>
      </c>
      <c r="L18" s="112" t="s">
        <v>1018</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1602</v>
      </c>
      <c r="K19" s="115" t="s">
        <v>1019</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1020</v>
      </c>
      <c r="K20" s="115" t="s">
        <v>1021</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1022</v>
      </c>
      <c r="K21" s="115" t="s">
        <v>1023</v>
      </c>
      <c r="L21" s="114" t="s">
        <v>1024</v>
      </c>
      <c r="M21" s="114"/>
      <c r="N21" s="114"/>
    </row>
    <row r="22" spans="1:14" ht="30" customHeight="1">
      <c r="A22" s="114">
        <v>5</v>
      </c>
      <c r="B22" s="115" t="s">
        <v>1025</v>
      </c>
      <c r="C22" s="114" t="s">
        <v>354</v>
      </c>
      <c r="D22" s="114">
        <v>5</v>
      </c>
      <c r="E22" s="114">
        <v>4</v>
      </c>
      <c r="F22" s="114" t="s">
        <v>304</v>
      </c>
      <c r="G22" s="114">
        <v>60</v>
      </c>
      <c r="H22" s="114">
        <v>60</v>
      </c>
      <c r="I22" s="114">
        <f t="shared" si="0"/>
        <v>8</v>
      </c>
      <c r="J22" s="115" t="s">
        <v>1231</v>
      </c>
      <c r="K22" s="115" t="s">
        <v>1026</v>
      </c>
      <c r="L22" s="114"/>
      <c r="M22" s="114"/>
      <c r="N22" s="114"/>
    </row>
    <row r="23" spans="1:14" ht="30" customHeight="1">
      <c r="A23" s="114">
        <v>6</v>
      </c>
      <c r="B23" s="115" t="s">
        <v>1236</v>
      </c>
      <c r="C23" s="114" t="s">
        <v>1241</v>
      </c>
      <c r="D23" s="114">
        <v>10</v>
      </c>
      <c r="E23" s="114">
        <v>3</v>
      </c>
      <c r="F23" s="114" t="s">
        <v>1237</v>
      </c>
      <c r="G23" s="114">
        <v>60</v>
      </c>
      <c r="H23" s="114">
        <v>60</v>
      </c>
      <c r="I23" s="114">
        <f>IF(E23=0,0,ROUND((E23*(G23+H23)+N23)/60,1))</f>
        <v>6</v>
      </c>
      <c r="J23" s="115" t="s">
        <v>1238</v>
      </c>
      <c r="K23" s="115" t="s">
        <v>1242</v>
      </c>
      <c r="L23" s="114"/>
      <c r="M23" s="114"/>
      <c r="N23" s="114"/>
    </row>
    <row r="24" spans="1:14" ht="30" customHeight="1">
      <c r="A24" s="114">
        <v>7</v>
      </c>
      <c r="B24" s="135" t="s">
        <v>1340</v>
      </c>
      <c r="C24" s="114" t="s">
        <v>1232</v>
      </c>
      <c r="D24" s="114">
        <v>8</v>
      </c>
      <c r="E24" s="114">
        <v>3</v>
      </c>
      <c r="F24" s="114" t="s">
        <v>1233</v>
      </c>
      <c r="G24" s="114">
        <v>40</v>
      </c>
      <c r="H24" s="114">
        <v>60</v>
      </c>
      <c r="I24" s="114">
        <f>IF(E24=0,0,ROUND((E24*(G24+H24)+N24)/60,1))</f>
        <v>6</v>
      </c>
      <c r="J24" s="115" t="s">
        <v>1234</v>
      </c>
      <c r="K24" s="115" t="s">
        <v>1235</v>
      </c>
      <c r="L24" s="114"/>
      <c r="M24" s="114"/>
      <c r="N24" s="114">
        <v>60</v>
      </c>
    </row>
    <row r="25" spans="1:14" ht="30" customHeight="1">
      <c r="A25" s="114">
        <v>8</v>
      </c>
      <c r="B25" s="115" t="s">
        <v>1243</v>
      </c>
      <c r="C25" s="114" t="s">
        <v>1241</v>
      </c>
      <c r="D25" s="114">
        <v>35</v>
      </c>
      <c r="E25" s="114">
        <v>4</v>
      </c>
      <c r="F25" s="114" t="s">
        <v>1233</v>
      </c>
      <c r="G25" s="114">
        <v>40</v>
      </c>
      <c r="H25" s="114">
        <v>60</v>
      </c>
      <c r="I25" s="114">
        <f>IF(E25=0,0,ROUND((E25*(G25+H25)+N25)/60,1))</f>
        <v>6.7</v>
      </c>
      <c r="J25" s="115" t="s">
        <v>1323</v>
      </c>
      <c r="K25" s="115" t="s">
        <v>1244</v>
      </c>
      <c r="L25" s="114"/>
      <c r="M25" s="114"/>
      <c r="N25" s="114"/>
    </row>
    <row r="26" spans="1:14" ht="30" customHeight="1">
      <c r="A26" s="114">
        <v>9</v>
      </c>
      <c r="B26" s="115" t="s">
        <v>1576</v>
      </c>
      <c r="C26" s="114" t="s">
        <v>285</v>
      </c>
      <c r="D26" s="144">
        <f>시작중량_설정!$E$19</f>
        <v>0</v>
      </c>
      <c r="E26" s="114">
        <v>4</v>
      </c>
      <c r="F26" s="114">
        <v>15</v>
      </c>
      <c r="G26" s="114">
        <v>40</v>
      </c>
      <c r="H26" s="114">
        <v>60</v>
      </c>
      <c r="I26" s="114">
        <f>IF(E26=0,0,ROUND((E26*(G26+H26)+N26)/60,1))</f>
        <v>6.7</v>
      </c>
      <c r="J26" s="115" t="s">
        <v>1640</v>
      </c>
      <c r="K26" s="115" t="s">
        <v>1577</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1480</v>
      </c>
      <c r="K27" s="115" t="s">
        <v>1045</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1481</v>
      </c>
      <c r="K28" s="115" t="s">
        <v>1046</v>
      </c>
      <c r="L28" s="114"/>
      <c r="M28" s="114"/>
      <c r="N28" s="114"/>
    </row>
    <row r="29" spans="1:14">
      <c r="A29" s="116"/>
      <c r="B29" s="116"/>
      <c r="C29" s="116"/>
      <c r="D29" s="116" t="s">
        <v>321</v>
      </c>
      <c r="E29" s="116">
        <f>SUM(E18:E28)</f>
        <v>37</v>
      </c>
      <c r="F29" s="116"/>
      <c r="G29" s="116"/>
      <c r="H29" s="116"/>
      <c r="I29" s="116">
        <f>ROUND(SUM(I18:I28),0)</f>
        <v>84</v>
      </c>
    </row>
    <row r="31" spans="1:14">
      <c r="A31" s="107" t="s">
        <v>1027</v>
      </c>
    </row>
    <row r="32" spans="1:14">
      <c r="A32" s="117" t="s">
        <v>981</v>
      </c>
    </row>
    <row r="33" spans="1:1">
      <c r="A33" s="117" t="s">
        <v>1028</v>
      </c>
    </row>
    <row r="34" spans="1:1">
      <c r="A34" s="117" t="s">
        <v>1029</v>
      </c>
    </row>
    <row r="35" spans="1:1">
      <c r="A35" s="117" t="s">
        <v>1030</v>
      </c>
    </row>
    <row r="37" spans="1:1">
      <c r="A37" s="107" t="s">
        <v>1031</v>
      </c>
    </row>
    <row r="38" spans="1:1">
      <c r="A38" s="117" t="s">
        <v>1032</v>
      </c>
    </row>
    <row r="39" spans="1:1">
      <c r="A39" s="117" t="s">
        <v>1033</v>
      </c>
    </row>
    <row r="41" spans="1:1">
      <c r="A41" s="107" t="s">
        <v>954</v>
      </c>
    </row>
    <row r="42" spans="1:1">
      <c r="A42" s="117" t="s">
        <v>1496</v>
      </c>
    </row>
    <row r="43" spans="1:1">
      <c r="A43" s="117" t="s">
        <v>1034</v>
      </c>
    </row>
    <row r="44" spans="1:1">
      <c r="A44" s="117" t="s">
        <v>1483</v>
      </c>
    </row>
    <row r="46" spans="1:1">
      <c r="A46" s="107" t="s">
        <v>1239</v>
      </c>
    </row>
    <row r="47" spans="1:1">
      <c r="A47" s="117" t="s">
        <v>1240</v>
      </c>
    </row>
    <row r="48" spans="1:1">
      <c r="A48" s="117" t="s">
        <v>1035</v>
      </c>
    </row>
    <row r="50" spans="3:3">
      <c r="C50" s="118" t="s">
        <v>1245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1484</v>
      </c>
    </row>
    <row r="4" spans="1:14">
      <c r="A4" s="107" t="s">
        <v>992</v>
      </c>
    </row>
    <row r="5" spans="1:14">
      <c r="A5" s="110" t="s">
        <v>1434</v>
      </c>
    </row>
    <row r="6" spans="1:14">
      <c r="A6" s="110" t="s">
        <v>1435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1625</v>
      </c>
      <c r="K11" s="115" t="s">
        <v>1077</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1414</v>
      </c>
      <c r="K12" s="115" t="s">
        <v>1078</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1415</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1433</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1472</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1645</v>
      </c>
      <c r="K16" s="115" t="s">
        <v>1467</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1324</v>
      </c>
      <c r="K17" s="115" t="s">
        <v>1036</v>
      </c>
      <c r="L17" s="114"/>
      <c r="M17" s="114"/>
      <c r="N17" s="114"/>
    </row>
    <row r="18" spans="1:14" ht="30" customHeight="1">
      <c r="A18" s="114">
        <v>8</v>
      </c>
      <c r="B18" s="115" t="s">
        <v>1405</v>
      </c>
      <c r="C18" s="114" t="s">
        <v>269</v>
      </c>
      <c r="D18" s="114">
        <v>8</v>
      </c>
      <c r="E18" s="114">
        <v>3</v>
      </c>
      <c r="F18" s="114" t="s">
        <v>274</v>
      </c>
      <c r="G18" s="114">
        <v>40</v>
      </c>
      <c r="H18" s="114">
        <v>75</v>
      </c>
      <c r="I18" s="114">
        <f t="shared" si="1"/>
        <v>5.8</v>
      </c>
      <c r="J18" s="115" t="s">
        <v>1407</v>
      </c>
      <c r="K18" s="115" t="s">
        <v>1406</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1649</v>
      </c>
      <c r="K19" s="115" t="s">
        <v>1037</v>
      </c>
      <c r="L19" s="114"/>
      <c r="M19" s="114"/>
      <c r="N19" s="114"/>
    </row>
    <row r="20" spans="1:14" ht="30" customHeight="1">
      <c r="A20" s="114">
        <v>10</v>
      </c>
      <c r="B20" s="115" t="s">
        <v>1000</v>
      </c>
      <c r="C20" s="114" t="s">
        <v>295</v>
      </c>
      <c r="D20" s="114">
        <v>10</v>
      </c>
      <c r="E20" s="114">
        <v>0</v>
      </c>
      <c r="F20" s="114">
        <v>15</v>
      </c>
      <c r="G20" s="114">
        <v>40</v>
      </c>
      <c r="H20" s="114">
        <v>10</v>
      </c>
      <c r="I20" s="114">
        <f t="shared" si="1"/>
        <v>0</v>
      </c>
      <c r="J20" s="115" t="s">
        <v>1337</v>
      </c>
      <c r="K20" s="115" t="s">
        <v>1001</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1038</v>
      </c>
      <c r="K21" s="115" t="s">
        <v>1003</v>
      </c>
      <c r="L21" s="114"/>
      <c r="M21" s="114" t="s">
        <v>391</v>
      </c>
      <c r="N21" s="114"/>
    </row>
    <row r="22" spans="1:14" ht="30" customHeight="1">
      <c r="A22" s="114">
        <v>12</v>
      </c>
      <c r="B22" s="115" t="s">
        <v>1039</v>
      </c>
      <c r="C22" s="114" t="s">
        <v>912</v>
      </c>
      <c r="D22" s="114">
        <v>2.5</v>
      </c>
      <c r="E22" s="114">
        <v>3</v>
      </c>
      <c r="F22" s="114" t="s">
        <v>289</v>
      </c>
      <c r="G22" s="114">
        <v>40</v>
      </c>
      <c r="H22" s="114">
        <v>60</v>
      </c>
      <c r="I22" s="114">
        <f t="shared" si="1"/>
        <v>5</v>
      </c>
      <c r="J22" s="115" t="s">
        <v>1040</v>
      </c>
      <c r="K22" s="115" t="s">
        <v>1041</v>
      </c>
      <c r="L22" s="114"/>
      <c r="M22" s="114"/>
      <c r="N22" s="114"/>
    </row>
    <row r="23" spans="1:14" ht="30" customHeight="1">
      <c r="A23" s="114">
        <v>13</v>
      </c>
      <c r="B23" s="115" t="s">
        <v>1042</v>
      </c>
      <c r="C23" s="114" t="s">
        <v>912</v>
      </c>
      <c r="D23" s="114">
        <v>2.5</v>
      </c>
      <c r="E23" s="114">
        <v>3</v>
      </c>
      <c r="F23" s="114" t="s">
        <v>289</v>
      </c>
      <c r="G23" s="114">
        <v>40</v>
      </c>
      <c r="H23" s="114">
        <v>60</v>
      </c>
      <c r="I23" s="114">
        <f t="shared" si="1"/>
        <v>5</v>
      </c>
      <c r="J23" s="115" t="s">
        <v>1043</v>
      </c>
      <c r="K23" s="115" t="s">
        <v>1044</v>
      </c>
      <c r="L23" s="114"/>
      <c r="M23" s="114"/>
      <c r="N23" s="114"/>
    </row>
    <row r="24" spans="1:14">
      <c r="A24" s="116"/>
      <c r="B24" s="116"/>
      <c r="C24" s="116"/>
      <c r="D24" s="116" t="s">
        <v>321</v>
      </c>
      <c r="E24" s="116">
        <f>SUM(E11:E23)</f>
        <v>41</v>
      </c>
      <c r="F24" s="116"/>
      <c r="G24" s="116"/>
      <c r="H24" s="116"/>
      <c r="I24" s="116">
        <f>ROUND(SUM(I11:I23),0)</f>
        <v>82</v>
      </c>
    </row>
    <row r="26" spans="1:14">
      <c r="A26" s="107" t="s">
        <v>1417</v>
      </c>
    </row>
    <row r="27" spans="1:14">
      <c r="A27" s="117" t="s">
        <v>1485</v>
      </c>
    </row>
    <row r="28" spans="1:14">
      <c r="A28" s="117" t="s">
        <v>1047</v>
      </c>
    </row>
    <row r="29" spans="1:14">
      <c r="A29" s="117" t="s">
        <v>1048</v>
      </c>
    </row>
    <row r="31" spans="1:14">
      <c r="A31" s="107" t="s">
        <v>1486</v>
      </c>
    </row>
    <row r="32" spans="1:14">
      <c r="A32" s="117" t="s">
        <v>1049</v>
      </c>
    </row>
    <row r="33" spans="1:1">
      <c r="A33" s="117" t="s">
        <v>1050</v>
      </c>
    </row>
    <row r="34" spans="1:1">
      <c r="A34" s="117" t="s">
        <v>1051</v>
      </c>
    </row>
    <row r="35" spans="1:1">
      <c r="A35" s="117" t="s">
        <v>1052</v>
      </c>
    </row>
    <row r="36" spans="1:1">
      <c r="A36" s="117" t="s">
        <v>1053</v>
      </c>
    </row>
    <row r="38" spans="1:1">
      <c r="A38" s="107" t="s">
        <v>954</v>
      </c>
    </row>
    <row r="39" spans="1:1">
      <c r="A39" s="117" t="s">
        <v>1487</v>
      </c>
    </row>
    <row r="40" spans="1:1">
      <c r="A40" s="117" t="s">
        <v>1488</v>
      </c>
    </row>
    <row r="42" spans="1:1">
      <c r="A42" s="107" t="s">
        <v>1054</v>
      </c>
    </row>
    <row r="43" spans="1:1">
      <c r="A43" s="117" t="s">
        <v>1436</v>
      </c>
    </row>
    <row r="44" spans="1:1">
      <c r="A44" s="117" t="s">
        <v>1055</v>
      </c>
    </row>
    <row r="45" spans="1:1">
      <c r="A45" s="117" t="s">
        <v>1056</v>
      </c>
    </row>
    <row r="47" spans="1:1">
      <c r="A47" s="107" t="s">
        <v>987</v>
      </c>
    </row>
    <row r="48" spans="1:1">
      <c r="A48" s="117" t="s">
        <v>1057</v>
      </c>
    </row>
    <row r="49" spans="1:3">
      <c r="A49" s="117" t="s">
        <v>1058</v>
      </c>
    </row>
    <row r="50" spans="1:3">
      <c r="A50" s="117" t="s">
        <v>1059</v>
      </c>
    </row>
    <row r="51" spans="1:3">
      <c r="A51" s="117" t="s">
        <v>1060</v>
      </c>
    </row>
    <row r="52" spans="1:3">
      <c r="A52" s="117" t="s">
        <v>989</v>
      </c>
    </row>
    <row r="54" spans="1:3">
      <c r="C54" s="118" t="s">
        <v>1061</v>
      </c>
    </row>
    <row r="56" spans="1:3">
      <c r="A56" s="131" t="s">
        <v>1421</v>
      </c>
    </row>
    <row r="57" spans="1:3">
      <c r="A57" t="s">
        <v>1440</v>
      </c>
    </row>
    <row r="58" spans="1:3">
      <c r="A58" t="s">
        <v>1418</v>
      </c>
    </row>
    <row r="59" spans="1:3">
      <c r="A59" t="s">
        <v>1419</v>
      </c>
    </row>
    <row r="60" spans="1:3">
      <c r="A60" t="s">
        <v>1437</v>
      </c>
    </row>
    <row r="61" spans="1:3">
      <c r="A61" t="s">
        <v>1438</v>
      </c>
    </row>
    <row r="62" spans="1:3">
      <c r="A62" t="s">
        <v>1441</v>
      </c>
    </row>
    <row r="63" spans="1:3">
      <c r="A63" t="s">
        <v>1476</v>
      </c>
    </row>
    <row r="64" spans="1:3">
      <c r="C64" t="s">
        <v>1420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1062</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1446</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1063</v>
      </c>
    </row>
    <row r="21" spans="1:14">
      <c r="A21" s="110" t="s">
        <v>1064</v>
      </c>
    </row>
    <row r="22" spans="1:14">
      <c r="A22" s="110" t="s">
        <v>963</v>
      </c>
    </row>
    <row r="23" spans="1:14">
      <c r="A23" s="110" t="s">
        <v>1065</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1066</v>
      </c>
      <c r="K28" s="113" t="s">
        <v>1067</v>
      </c>
      <c r="L28" s="112"/>
      <c r="M28" s="112"/>
      <c r="N28" s="112"/>
    </row>
    <row r="29" spans="1:14" ht="30" customHeight="1">
      <c r="A29" s="114">
        <v>2</v>
      </c>
      <c r="B29" s="115" t="s">
        <v>1068</v>
      </c>
      <c r="C29" s="114" t="s">
        <v>313</v>
      </c>
      <c r="D29" s="114">
        <f>MAX(20,MROUND(시작중량_설정!$E$8*0.82,1))</f>
        <v>66</v>
      </c>
      <c r="E29" s="114">
        <v>2</v>
      </c>
      <c r="F29" s="114">
        <v>5</v>
      </c>
      <c r="G29" s="114">
        <v>30</v>
      </c>
      <c r="H29" s="114">
        <v>180</v>
      </c>
      <c r="I29" s="114">
        <f t="shared" si="0"/>
        <v>7</v>
      </c>
      <c r="J29" s="115" t="s">
        <v>1531</v>
      </c>
      <c r="K29" s="115" t="s">
        <v>1069</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1620</v>
      </c>
      <c r="K30" s="115" t="s">
        <v>1070</v>
      </c>
      <c r="L30" s="114"/>
      <c r="M30" s="114"/>
      <c r="N30" s="114"/>
    </row>
    <row r="31" spans="1:14" ht="30" customHeight="1">
      <c r="A31" s="114">
        <v>4</v>
      </c>
      <c r="B31" s="115" t="s">
        <v>1071</v>
      </c>
      <c r="C31" s="114" t="s">
        <v>375</v>
      </c>
      <c r="D31" s="144">
        <f>시작중량_설정!$E$14</f>
        <v>140</v>
      </c>
      <c r="E31" s="114">
        <v>4</v>
      </c>
      <c r="F31" s="114">
        <v>10</v>
      </c>
      <c r="G31" s="114">
        <v>45</v>
      </c>
      <c r="H31" s="114">
        <v>150</v>
      </c>
      <c r="I31" s="114">
        <f t="shared" si="0"/>
        <v>13</v>
      </c>
      <c r="J31" s="115" t="s">
        <v>1616</v>
      </c>
      <c r="K31" s="115" t="s">
        <v>1072</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1073</v>
      </c>
      <c r="K32" s="115" t="s">
        <v>1074</v>
      </c>
      <c r="L32" s="114"/>
      <c r="M32" s="114"/>
      <c r="N32" s="114"/>
    </row>
    <row r="33" spans="1:14" ht="30" customHeight="1">
      <c r="A33" s="112">
        <v>6</v>
      </c>
      <c r="B33" s="113" t="s">
        <v>1447</v>
      </c>
      <c r="C33" s="112" t="s">
        <v>429</v>
      </c>
      <c r="D33" s="112">
        <f>시작중량_설정!$E$10</f>
        <v>31</v>
      </c>
      <c r="E33" s="112">
        <v>3</v>
      </c>
      <c r="F33" s="112">
        <v>8</v>
      </c>
      <c r="G33" s="112">
        <v>50</v>
      </c>
      <c r="H33" s="112">
        <v>180</v>
      </c>
      <c r="I33" s="112">
        <f t="shared" si="0"/>
        <v>11.5</v>
      </c>
      <c r="J33" s="113" t="s">
        <v>1537</v>
      </c>
      <c r="K33" s="113" t="s">
        <v>1538</v>
      </c>
      <c r="L33" s="112" t="s">
        <v>507</v>
      </c>
      <c r="M33" s="112"/>
      <c r="N33" s="112"/>
    </row>
    <row r="34" spans="1:14" ht="30" customHeight="1">
      <c r="A34" s="114">
        <v>7</v>
      </c>
      <c r="B34" s="135" t="s">
        <v>1542</v>
      </c>
      <c r="C34" s="114" t="s">
        <v>1543</v>
      </c>
      <c r="D34" s="114">
        <v>14</v>
      </c>
      <c r="E34" s="114">
        <v>3</v>
      </c>
      <c r="F34" s="114" t="s">
        <v>1519</v>
      </c>
      <c r="G34" s="114">
        <v>40</v>
      </c>
      <c r="H34" s="114">
        <v>120</v>
      </c>
      <c r="I34" s="114">
        <f t="shared" si="0"/>
        <v>8</v>
      </c>
      <c r="J34" s="115" t="s">
        <v>1544</v>
      </c>
      <c r="K34" s="115" t="s">
        <v>1545</v>
      </c>
      <c r="L34" s="114"/>
      <c r="M34" s="114"/>
      <c r="N34" s="114"/>
    </row>
    <row r="35" spans="1:14" ht="30" customHeight="1">
      <c r="A35" s="114">
        <v>8</v>
      </c>
      <c r="B35" s="115" t="s">
        <v>1539</v>
      </c>
      <c r="C35" s="114" t="s">
        <v>1232</v>
      </c>
      <c r="D35" s="114">
        <v>8</v>
      </c>
      <c r="E35" s="114">
        <v>3</v>
      </c>
      <c r="F35" s="114" t="s">
        <v>1233</v>
      </c>
      <c r="G35" s="114">
        <v>40</v>
      </c>
      <c r="H35" s="114">
        <v>60</v>
      </c>
      <c r="I35" s="114">
        <f t="shared" si="0"/>
        <v>6</v>
      </c>
      <c r="J35" s="115" t="s">
        <v>1540</v>
      </c>
      <c r="K35" s="115" t="s">
        <v>1541</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1075</v>
      </c>
      <c r="K36" s="115" t="s">
        <v>1076</v>
      </c>
      <c r="L36" s="114"/>
      <c r="M36" s="114"/>
      <c r="N36" s="114"/>
    </row>
    <row r="37" spans="1:14" ht="30" customHeight="1">
      <c r="A37" s="114">
        <v>10</v>
      </c>
      <c r="B37" s="115" t="s">
        <v>1578</v>
      </c>
      <c r="C37" s="114" t="s">
        <v>285</v>
      </c>
      <c r="D37" s="114">
        <v>10</v>
      </c>
      <c r="E37" s="114">
        <v>3</v>
      </c>
      <c r="F37" s="114" t="s">
        <v>303</v>
      </c>
      <c r="G37" s="114">
        <v>40</v>
      </c>
      <c r="H37" s="114">
        <v>60</v>
      </c>
      <c r="I37" s="114">
        <f>IF(E37=0,0,ROUND((E37*(G37+H37)+N37)/60,1))</f>
        <v>5</v>
      </c>
      <c r="J37" s="115" t="s">
        <v>1579</v>
      </c>
      <c r="K37" s="115" t="s">
        <v>1580</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1079</v>
      </c>
      <c r="K38" s="115" t="s">
        <v>1080</v>
      </c>
      <c r="L38" s="114"/>
      <c r="M38" s="114"/>
      <c r="N38" s="114"/>
    </row>
    <row r="39" spans="1:14">
      <c r="A39" s="116"/>
      <c r="B39" s="116"/>
      <c r="C39" s="116"/>
      <c r="D39" s="116" t="s">
        <v>321</v>
      </c>
      <c r="E39" s="116">
        <f>SUM(E28:E38)</f>
        <v>34</v>
      </c>
      <c r="F39" s="116"/>
      <c r="G39" s="116"/>
      <c r="H39" s="116"/>
      <c r="I39" s="116">
        <f>ROUND(SUM(I28:I38),0)</f>
        <v>89</v>
      </c>
    </row>
    <row r="41" spans="1:14">
      <c r="A41" s="107" t="s">
        <v>1081</v>
      </c>
    </row>
    <row r="42" spans="1:14">
      <c r="A42" s="117" t="s">
        <v>1082</v>
      </c>
    </row>
    <row r="43" spans="1:14">
      <c r="A43" s="117" t="s">
        <v>1083</v>
      </c>
    </row>
    <row r="44" spans="1:14">
      <c r="A44" s="117" t="s">
        <v>1084</v>
      </c>
    </row>
    <row r="45" spans="1:14">
      <c r="A45" s="117" t="s">
        <v>1448</v>
      </c>
    </row>
    <row r="46" spans="1:14">
      <c r="A46" s="117" t="s">
        <v>1449</v>
      </c>
    </row>
    <row r="47" spans="1:14">
      <c r="A47" s="117" t="s">
        <v>1422</v>
      </c>
    </row>
    <row r="49" spans="1:1">
      <c r="A49" s="107" t="s">
        <v>1085</v>
      </c>
    </row>
    <row r="50" spans="1:1">
      <c r="A50" s="117" t="s">
        <v>1086</v>
      </c>
    </row>
    <row r="51" spans="1:1">
      <c r="A51" s="117" t="s">
        <v>1423</v>
      </c>
    </row>
    <row r="52" spans="1:1">
      <c r="A52" s="117" t="s">
        <v>1087</v>
      </c>
    </row>
    <row r="53" spans="1:1">
      <c r="A53" s="117" t="s">
        <v>1424</v>
      </c>
    </row>
    <row r="54" spans="1:1">
      <c r="A54" s="117" t="s">
        <v>1425</v>
      </c>
    </row>
    <row r="56" spans="1:1">
      <c r="A56" s="107" t="s">
        <v>1088</v>
      </c>
    </row>
    <row r="57" spans="1:1">
      <c r="A57" s="117" t="s">
        <v>1089</v>
      </c>
    </row>
    <row r="58" spans="1:1">
      <c r="A58" s="117" t="s">
        <v>1090</v>
      </c>
    </row>
    <row r="59" spans="1:1">
      <c r="A59" s="117" t="s">
        <v>1091</v>
      </c>
    </row>
    <row r="60" spans="1:1">
      <c r="A60" s="117" t="s">
        <v>1092</v>
      </c>
    </row>
    <row r="61" spans="1:1">
      <c r="A61" s="117" t="s">
        <v>1477</v>
      </c>
    </row>
    <row r="63" spans="1:1">
      <c r="A63" s="107" t="s">
        <v>1093</v>
      </c>
    </row>
    <row r="64" spans="1:1">
      <c r="A64" s="117" t="s">
        <v>1094</v>
      </c>
    </row>
    <row r="65" spans="1:3">
      <c r="A65" s="117" t="s">
        <v>1095</v>
      </c>
    </row>
    <row r="66" spans="1:3">
      <c r="A66" s="117" t="s">
        <v>1096</v>
      </c>
    </row>
    <row r="68" spans="1:3">
      <c r="A68" s="107" t="s">
        <v>954</v>
      </c>
    </row>
    <row r="69" spans="1:3">
      <c r="A69" s="117" t="s">
        <v>1547</v>
      </c>
    </row>
    <row r="70" spans="1:3">
      <c r="A70" s="117" t="s">
        <v>1548</v>
      </c>
    </row>
    <row r="72" spans="1:3">
      <c r="A72" s="107" t="s">
        <v>987</v>
      </c>
    </row>
    <row r="73" spans="1:3">
      <c r="A73" s="117" t="s">
        <v>1546</v>
      </c>
    </row>
    <row r="74" spans="1:3">
      <c r="A74" s="117" t="s">
        <v>1097</v>
      </c>
    </row>
    <row r="75" spans="1:3">
      <c r="A75" s="117" t="s">
        <v>1098</v>
      </c>
    </row>
    <row r="76" spans="1:3">
      <c r="A76" s="117" t="s">
        <v>1426</v>
      </c>
    </row>
    <row r="77" spans="1:3">
      <c r="A77" s="117" t="s">
        <v>989</v>
      </c>
    </row>
    <row r="79" spans="1:3">
      <c r="C79" s="118" t="s">
        <v>1099</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1100</v>
      </c>
    </row>
    <row r="4" spans="1:14">
      <c r="A4" s="107" t="s">
        <v>992</v>
      </c>
    </row>
    <row r="5" spans="1:14">
      <c r="A5" s="110" t="s">
        <v>1101</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1102</v>
      </c>
      <c r="K11" s="115" t="s">
        <v>1103</v>
      </c>
      <c r="L11" s="114" t="s">
        <v>994</v>
      </c>
      <c r="M11" s="114"/>
      <c r="N11" s="114"/>
    </row>
    <row r="12" spans="1:14" ht="30" customHeight="1">
      <c r="A12" s="114">
        <v>2</v>
      </c>
      <c r="B12" s="115" t="s">
        <v>1603</v>
      </c>
      <c r="C12" s="114" t="s">
        <v>349</v>
      </c>
      <c r="D12" s="144">
        <f>시작중량_설정!$E$22</f>
        <v>40</v>
      </c>
      <c r="E12" s="114">
        <v>3</v>
      </c>
      <c r="F12" s="114">
        <v>8</v>
      </c>
      <c r="G12" s="114">
        <v>40</v>
      </c>
      <c r="H12" s="114">
        <v>150</v>
      </c>
      <c r="I12" s="114">
        <f>IF(E12=0,0,ROUND((E12*(G12+H12)+N12)/60,1))</f>
        <v>9.5</v>
      </c>
      <c r="J12" s="115" t="s">
        <v>1655</v>
      </c>
      <c r="K12" s="115" t="s">
        <v>1604</v>
      </c>
      <c r="L12" s="114"/>
      <c r="M12" s="114"/>
      <c r="N12" s="114"/>
    </row>
    <row r="13" spans="1:14" ht="30" customHeight="1">
      <c r="A13" s="114">
        <v>3</v>
      </c>
      <c r="B13" s="115" t="s">
        <v>1104</v>
      </c>
      <c r="C13" s="114" t="s">
        <v>267</v>
      </c>
      <c r="D13" s="114">
        <v>40</v>
      </c>
      <c r="E13" s="114">
        <v>3</v>
      </c>
      <c r="F13" s="114" t="s">
        <v>274</v>
      </c>
      <c r="G13" s="114">
        <v>40</v>
      </c>
      <c r="H13" s="114">
        <v>120</v>
      </c>
      <c r="I13" s="114">
        <f t="shared" si="0"/>
        <v>8</v>
      </c>
      <c r="J13" s="115" t="s">
        <v>1524</v>
      </c>
      <c r="K13" s="115" t="s">
        <v>1105</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1498</v>
      </c>
      <c r="K14" s="115" t="s">
        <v>1111</v>
      </c>
      <c r="L14" s="114"/>
      <c r="M14" s="114"/>
      <c r="N14" s="114"/>
    </row>
    <row r="15" spans="1:14" ht="30" customHeight="1">
      <c r="A15" s="114">
        <v>5</v>
      </c>
      <c r="B15" s="115" t="s">
        <v>1106</v>
      </c>
      <c r="C15" s="114" t="s">
        <v>267</v>
      </c>
      <c r="D15" s="114">
        <v>55</v>
      </c>
      <c r="E15" s="114">
        <v>3</v>
      </c>
      <c r="F15" s="114" t="s">
        <v>274</v>
      </c>
      <c r="G15" s="114">
        <v>40</v>
      </c>
      <c r="H15" s="114">
        <v>120</v>
      </c>
      <c r="I15" s="114">
        <f t="shared" si="0"/>
        <v>9</v>
      </c>
      <c r="J15" s="115" t="s">
        <v>1308</v>
      </c>
      <c r="K15" s="115" t="s">
        <v>1107</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1499</v>
      </c>
      <c r="K16" s="115" t="s">
        <v>1112</v>
      </c>
      <c r="L16" s="114"/>
      <c r="M16" s="114"/>
      <c r="N16" s="114">
        <v>60</v>
      </c>
    </row>
    <row r="17" spans="1:14" ht="30" customHeight="1">
      <c r="A17" s="114">
        <v>7</v>
      </c>
      <c r="B17" s="115" t="s">
        <v>1309</v>
      </c>
      <c r="C17" s="114" t="s">
        <v>1255</v>
      </c>
      <c r="D17" s="114">
        <v>20</v>
      </c>
      <c r="E17" s="114">
        <v>2</v>
      </c>
      <c r="F17" s="114" t="s">
        <v>1233</v>
      </c>
      <c r="G17" s="114">
        <v>40</v>
      </c>
      <c r="H17" s="114">
        <v>75</v>
      </c>
      <c r="I17" s="114">
        <f t="shared" ref="I17" si="1">IF(E17=0,0,ROUND((E17*(G17+H17)+N17)/60,1))</f>
        <v>3.8</v>
      </c>
      <c r="J17" s="115" t="s">
        <v>1310</v>
      </c>
      <c r="K17" s="115" t="s">
        <v>1311</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1630</v>
      </c>
      <c r="K18" s="115" t="s">
        <v>1108</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1109</v>
      </c>
      <c r="K19" s="115" t="s">
        <v>1110</v>
      </c>
      <c r="L19" s="114"/>
      <c r="M19" s="114"/>
      <c r="N19" s="114"/>
    </row>
    <row r="20" spans="1:14" ht="30" customHeight="1">
      <c r="A20" s="114">
        <v>10</v>
      </c>
      <c r="B20" s="115" t="s">
        <v>1566</v>
      </c>
      <c r="C20" s="114" t="s">
        <v>345</v>
      </c>
      <c r="D20" s="114">
        <v>25</v>
      </c>
      <c r="E20" s="114">
        <v>3</v>
      </c>
      <c r="F20" s="114" t="s">
        <v>303</v>
      </c>
      <c r="G20" s="114">
        <v>40</v>
      </c>
      <c r="H20" s="114">
        <v>70</v>
      </c>
      <c r="I20" s="114">
        <f t="shared" si="0"/>
        <v>5.5</v>
      </c>
      <c r="J20" s="115" t="s">
        <v>1568</v>
      </c>
      <c r="K20" s="115" t="s">
        <v>1113</v>
      </c>
      <c r="L20" s="114"/>
      <c r="M20" s="114"/>
      <c r="N20" s="114"/>
    </row>
    <row r="21" spans="1:14" ht="30" customHeight="1">
      <c r="A21" s="114">
        <v>11</v>
      </c>
      <c r="B21" s="115" t="s">
        <v>1114</v>
      </c>
      <c r="C21" s="114" t="s">
        <v>269</v>
      </c>
      <c r="D21" s="114">
        <v>25</v>
      </c>
      <c r="E21" s="114">
        <v>3</v>
      </c>
      <c r="F21" s="114" t="s">
        <v>274</v>
      </c>
      <c r="G21" s="114">
        <v>40</v>
      </c>
      <c r="H21" s="114">
        <v>75</v>
      </c>
      <c r="I21" s="114">
        <f t="shared" si="0"/>
        <v>5.8</v>
      </c>
      <c r="J21" s="75" t="s">
        <v>1263</v>
      </c>
      <c r="K21" s="115" t="s">
        <v>1115</v>
      </c>
      <c r="L21" s="114"/>
      <c r="M21" s="114"/>
      <c r="N21" s="114"/>
    </row>
    <row r="22" spans="1:14" ht="30" customHeight="1">
      <c r="A22" s="114">
        <v>12</v>
      </c>
      <c r="B22" s="115" t="s">
        <v>1000</v>
      </c>
      <c r="C22" s="114" t="s">
        <v>295</v>
      </c>
      <c r="D22" s="114">
        <v>20</v>
      </c>
      <c r="E22" s="114">
        <v>2</v>
      </c>
      <c r="F22" s="114">
        <v>15</v>
      </c>
      <c r="G22" s="114">
        <v>40</v>
      </c>
      <c r="H22" s="114">
        <v>10</v>
      </c>
      <c r="I22" s="114">
        <f t="shared" si="0"/>
        <v>1.7</v>
      </c>
      <c r="J22" s="115" t="s">
        <v>1338</v>
      </c>
      <c r="K22" s="115" t="s">
        <v>1001</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1002</v>
      </c>
      <c r="K23" s="115" t="s">
        <v>1003</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1116</v>
      </c>
      <c r="K24" s="115" t="s">
        <v>1117</v>
      </c>
      <c r="L24" s="114"/>
      <c r="M24" s="114"/>
      <c r="N24" s="114"/>
    </row>
    <row r="25" spans="1:14">
      <c r="A25" s="116"/>
      <c r="B25" s="116"/>
      <c r="C25" s="116"/>
      <c r="D25" s="116" t="s">
        <v>321</v>
      </c>
      <c r="E25" s="116">
        <f>SUM(E11:E24)</f>
        <v>42</v>
      </c>
      <c r="F25" s="116"/>
      <c r="G25" s="116"/>
      <c r="H25" s="116"/>
      <c r="I25" s="116">
        <f>ROUND(SUM(I11:I24),0)</f>
        <v>95</v>
      </c>
    </row>
    <row r="27" spans="1:14">
      <c r="A27" s="107" t="s">
        <v>1118</v>
      </c>
    </row>
    <row r="28" spans="1:14">
      <c r="A28" s="117" t="s">
        <v>1119</v>
      </c>
    </row>
    <row r="29" spans="1:14">
      <c r="A29" s="117" t="s">
        <v>1120</v>
      </c>
    </row>
    <row r="30" spans="1:14">
      <c r="A30" s="117" t="s">
        <v>1121</v>
      </c>
    </row>
    <row r="31" spans="1:14">
      <c r="A31" s="117" t="s">
        <v>1513</v>
      </c>
    </row>
    <row r="32" spans="1:14">
      <c r="A32" s="117" t="s">
        <v>1122</v>
      </c>
    </row>
    <row r="34" spans="1:1">
      <c r="A34" s="107" t="s">
        <v>1123</v>
      </c>
    </row>
    <row r="35" spans="1:1">
      <c r="A35" s="117" t="s">
        <v>1500</v>
      </c>
    </row>
    <row r="36" spans="1:1">
      <c r="A36" s="117" t="s">
        <v>1124</v>
      </c>
    </row>
    <row r="37" spans="1:1">
      <c r="A37" s="117" t="s">
        <v>1605</v>
      </c>
    </row>
    <row r="38" spans="1:1">
      <c r="A38" s="117" t="s">
        <v>1567</v>
      </c>
    </row>
    <row r="40" spans="1:1">
      <c r="A40" s="107" t="s">
        <v>954</v>
      </c>
    </row>
    <row r="41" spans="1:1">
      <c r="A41" s="117" t="s">
        <v>1468</v>
      </c>
    </row>
    <row r="42" spans="1:1">
      <c r="A42" s="117" t="s">
        <v>1316</v>
      </c>
    </row>
    <row r="43" spans="1:1">
      <c r="A43" s="117" t="s">
        <v>1317</v>
      </c>
    </row>
    <row r="45" spans="1:1">
      <c r="A45" s="107" t="s">
        <v>987</v>
      </c>
    </row>
    <row r="46" spans="1:1">
      <c r="A46" s="117" t="s">
        <v>1125</v>
      </c>
    </row>
    <row r="47" spans="1:1">
      <c r="A47" s="117" t="s">
        <v>1126</v>
      </c>
    </row>
    <row r="48" spans="1:1">
      <c r="A48" s="117" t="s">
        <v>1127</v>
      </c>
    </row>
    <row r="49" spans="1:3">
      <c r="A49" s="117" t="s">
        <v>1501</v>
      </c>
    </row>
    <row r="50" spans="1:3">
      <c r="A50" s="117" t="s">
        <v>1128</v>
      </c>
    </row>
    <row r="51" spans="1:3">
      <c r="A51" s="117" t="s">
        <v>1129</v>
      </c>
    </row>
    <row r="52" spans="1:3">
      <c r="A52" s="117" t="s">
        <v>989</v>
      </c>
    </row>
    <row r="54" spans="1:3">
      <c r="C54" s="118" t="s">
        <v>1312</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1341</v>
      </c>
    </row>
    <row r="2" spans="1:6">
      <c r="A2" s="127" t="s">
        <v>1264</v>
      </c>
    </row>
    <row r="4" spans="1:6" ht="15">
      <c r="A4" s="99" t="s">
        <v>1265</v>
      </c>
    </row>
    <row r="5" spans="1:6">
      <c r="A5" s="129" t="s">
        <v>2</v>
      </c>
      <c r="B5" s="129" t="s">
        <v>145</v>
      </c>
      <c r="C5" s="130"/>
      <c r="D5" s="130"/>
      <c r="E5" s="130"/>
      <c r="F5" s="129" t="s">
        <v>5</v>
      </c>
    </row>
    <row r="6" spans="1:6">
      <c r="A6" s="127" t="s">
        <v>894</v>
      </c>
      <c r="B6" s="150" t="s">
        <v>1266</v>
      </c>
      <c r="C6" s="150"/>
      <c r="D6" s="150"/>
      <c r="E6" s="150"/>
      <c r="F6" s="127" t="s">
        <v>1267</v>
      </c>
    </row>
    <row r="7" spans="1:6">
      <c r="A7" s="127" t="s">
        <v>76</v>
      </c>
      <c r="B7" s="150" t="s">
        <v>1268</v>
      </c>
      <c r="C7" s="150"/>
      <c r="D7" s="150"/>
      <c r="E7" s="150"/>
      <c r="F7" s="127" t="s">
        <v>1269</v>
      </c>
    </row>
    <row r="8" spans="1:6">
      <c r="A8" s="127" t="s">
        <v>1270</v>
      </c>
      <c r="B8" s="150" t="s">
        <v>1271</v>
      </c>
      <c r="C8" s="150"/>
      <c r="D8" s="150"/>
      <c r="E8" s="150"/>
      <c r="F8" s="127" t="s">
        <v>1272</v>
      </c>
    </row>
    <row r="9" spans="1:6">
      <c r="A9" s="127" t="s">
        <v>1273</v>
      </c>
      <c r="B9" s="150" t="s">
        <v>1274</v>
      </c>
      <c r="C9" s="150"/>
      <c r="D9" s="150"/>
      <c r="E9" s="150"/>
      <c r="F9" s="127" t="s">
        <v>1275</v>
      </c>
    </row>
    <row r="10" spans="1:6">
      <c r="A10" s="127" t="s">
        <v>1276</v>
      </c>
      <c r="B10" s="150" t="s">
        <v>1342</v>
      </c>
      <c r="C10" s="150"/>
      <c r="D10" s="150"/>
      <c r="E10" s="150"/>
      <c r="F10" s="127" t="s">
        <v>1343</v>
      </c>
    </row>
    <row r="11" spans="1:6">
      <c r="A11" s="127" t="s">
        <v>1277</v>
      </c>
      <c r="B11" s="150" t="s">
        <v>1278</v>
      </c>
      <c r="C11" s="150"/>
      <c r="D11" s="150"/>
      <c r="E11" s="150"/>
      <c r="F11" s="127" t="s">
        <v>1333</v>
      </c>
    </row>
    <row r="12" spans="1:6">
      <c r="A12" s="127" t="s">
        <v>9</v>
      </c>
      <c r="B12" s="150" t="s">
        <v>1279</v>
      </c>
      <c r="C12" s="150"/>
      <c r="D12" s="150"/>
      <c r="E12" s="150"/>
      <c r="F12" s="127" t="s">
        <v>1334</v>
      </c>
    </row>
    <row r="13" spans="1:6">
      <c r="A13" s="127" t="s">
        <v>1280</v>
      </c>
      <c r="B13" s="150" t="s">
        <v>1344</v>
      </c>
      <c r="C13" s="150"/>
      <c r="D13" s="150"/>
      <c r="E13" s="150"/>
      <c r="F13" s="127" t="s">
        <v>1300</v>
      </c>
    </row>
    <row r="14" spans="1:6">
      <c r="A14" s="127" t="s">
        <v>1281</v>
      </c>
      <c r="B14" s="150" t="s">
        <v>1335</v>
      </c>
      <c r="C14" s="150"/>
      <c r="D14" s="150"/>
      <c r="E14" s="150"/>
      <c r="F14" s="127" t="s">
        <v>1282</v>
      </c>
    </row>
    <row r="16" spans="1:6" ht="15">
      <c r="A16" s="131" t="s">
        <v>1345</v>
      </c>
    </row>
    <row r="17" spans="1:6">
      <c r="A17" s="129" t="s">
        <v>1346</v>
      </c>
      <c r="B17" s="129" t="s">
        <v>1347</v>
      </c>
      <c r="C17" s="129" t="s">
        <v>1283</v>
      </c>
      <c r="D17" s="129" t="s">
        <v>1284</v>
      </c>
      <c r="E17" s="129" t="s">
        <v>1285</v>
      </c>
      <c r="F17" s="129" t="s">
        <v>1286</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1360</v>
      </c>
    </row>
    <row r="2" spans="1:10">
      <c r="A2" s="127" t="s">
        <v>1361</v>
      </c>
    </row>
    <row r="4" spans="1:10" ht="15">
      <c r="A4" s="99" t="s">
        <v>894</v>
      </c>
    </row>
    <row r="5" spans="1:10">
      <c r="A5" s="129" t="s">
        <v>894</v>
      </c>
      <c r="B5" s="129" t="s">
        <v>1287</v>
      </c>
      <c r="C5" s="130"/>
      <c r="D5" s="130"/>
      <c r="E5" s="130"/>
      <c r="F5" s="130"/>
      <c r="G5" s="130"/>
      <c r="H5" s="130"/>
      <c r="I5" s="129" t="s">
        <v>5</v>
      </c>
    </row>
    <row r="6" spans="1:10">
      <c r="A6" s="127" t="s">
        <v>899</v>
      </c>
      <c r="B6" s="150" t="s">
        <v>1288</v>
      </c>
      <c r="C6" s="150"/>
      <c r="D6" s="150"/>
      <c r="E6" s="150"/>
      <c r="F6" s="150"/>
      <c r="G6" s="150"/>
      <c r="H6" s="150"/>
      <c r="I6" s="127" t="s">
        <v>1289</v>
      </c>
    </row>
    <row r="7" spans="1:10">
      <c r="A7" s="127" t="s">
        <v>902</v>
      </c>
      <c r="B7" s="150" t="s">
        <v>1290</v>
      </c>
      <c r="C7" s="150"/>
      <c r="D7" s="150"/>
      <c r="E7" s="150"/>
      <c r="F7" s="150"/>
      <c r="G7" s="150"/>
      <c r="H7" s="150"/>
      <c r="I7" s="127" t="s">
        <v>1291</v>
      </c>
    </row>
    <row r="8" spans="1:10">
      <c r="A8" s="127" t="s">
        <v>905</v>
      </c>
      <c r="B8" s="150" t="s">
        <v>1290</v>
      </c>
      <c r="C8" s="150"/>
      <c r="D8" s="150"/>
      <c r="E8" s="150"/>
      <c r="F8" s="150"/>
      <c r="G8" s="150"/>
      <c r="H8" s="150"/>
      <c r="I8" s="127" t="s">
        <v>1291</v>
      </c>
    </row>
    <row r="9" spans="1:10">
      <c r="A9" s="127" t="s">
        <v>907</v>
      </c>
      <c r="B9" s="150" t="s">
        <v>28</v>
      </c>
      <c r="C9" s="150"/>
      <c r="D9" s="150"/>
      <c r="E9" s="150"/>
      <c r="F9" s="150"/>
      <c r="G9" s="150"/>
      <c r="H9" s="150"/>
      <c r="I9" s="127" t="s">
        <v>1292</v>
      </c>
    </row>
    <row r="10" spans="1:10">
      <c r="A10" s="127" t="s">
        <v>909</v>
      </c>
      <c r="B10" s="150" t="s">
        <v>1288</v>
      </c>
      <c r="C10" s="150"/>
      <c r="D10" s="150"/>
      <c r="E10" s="150"/>
      <c r="F10" s="150"/>
      <c r="G10" s="150"/>
      <c r="H10" s="150"/>
      <c r="I10" s="127" t="s">
        <v>1293</v>
      </c>
    </row>
    <row r="11" spans="1:10">
      <c r="A11" s="127" t="s">
        <v>912</v>
      </c>
      <c r="B11" s="150" t="s">
        <v>1290</v>
      </c>
      <c r="C11" s="150"/>
      <c r="D11" s="150"/>
      <c r="E11" s="150"/>
      <c r="F11" s="150"/>
      <c r="G11" s="150"/>
      <c r="H11" s="150"/>
      <c r="I11" s="127" t="s">
        <v>1291</v>
      </c>
    </row>
    <row r="12" spans="1:10">
      <c r="A12" s="127" t="s">
        <v>915</v>
      </c>
      <c r="B12" s="150" t="s">
        <v>1294</v>
      </c>
      <c r="C12" s="150"/>
      <c r="D12" s="150"/>
      <c r="E12" s="150"/>
      <c r="F12" s="150"/>
      <c r="G12" s="150"/>
      <c r="H12" s="150"/>
      <c r="I12" s="127" t="s">
        <v>1295</v>
      </c>
    </row>
    <row r="14" spans="1:10" ht="15">
      <c r="A14" s="131" t="s">
        <v>1350</v>
      </c>
    </row>
    <row r="15" spans="1:10">
      <c r="A15" s="129" t="s">
        <v>1351</v>
      </c>
      <c r="B15" s="129" t="s">
        <v>789</v>
      </c>
      <c r="C15" s="129" t="s">
        <v>1352</v>
      </c>
      <c r="D15" s="129" t="s">
        <v>1353</v>
      </c>
      <c r="E15" s="129" t="s">
        <v>1354</v>
      </c>
      <c r="F15" s="129" t="s">
        <v>1355</v>
      </c>
      <c r="G15" s="129" t="s">
        <v>1356</v>
      </c>
      <c r="H15" s="129" t="s">
        <v>1357</v>
      </c>
      <c r="I15" s="129" t="s">
        <v>1362</v>
      </c>
    </row>
    <row r="16" spans="1:10" ht="15">
      <c r="A16" s="137">
        <v>1</v>
      </c>
      <c r="B16" s="138">
        <v>46302</v>
      </c>
      <c r="C16" s="137">
        <v>16</v>
      </c>
      <c r="D16" s="137">
        <v>2</v>
      </c>
      <c r="E16" s="137">
        <v>2</v>
      </c>
      <c r="F16" s="137">
        <v>16</v>
      </c>
      <c r="G16" s="137">
        <v>3</v>
      </c>
      <c r="H16" s="137">
        <v>2</v>
      </c>
      <c r="I16" s="137" t="s">
        <v>1277</v>
      </c>
      <c r="J16"/>
    </row>
    <row r="17" spans="1:10" ht="15">
      <c r="A17" s="137">
        <v>2</v>
      </c>
      <c r="B17" s="138">
        <v>46305</v>
      </c>
      <c r="C17" s="137">
        <v>18</v>
      </c>
      <c r="D17" s="137">
        <v>2</v>
      </c>
      <c r="E17" s="137">
        <v>2</v>
      </c>
      <c r="F17" s="137">
        <v>18</v>
      </c>
      <c r="G17" s="137">
        <v>3</v>
      </c>
      <c r="H17" s="137">
        <v>2</v>
      </c>
      <c r="I17" s="137" t="s">
        <v>1277</v>
      </c>
      <c r="J17"/>
    </row>
    <row r="18" spans="1:10" ht="15">
      <c r="A18" s="137">
        <v>3</v>
      </c>
      <c r="B18" s="138">
        <v>46309</v>
      </c>
      <c r="C18" s="137">
        <v>20</v>
      </c>
      <c r="D18" s="137">
        <v>2</v>
      </c>
      <c r="E18" s="137">
        <v>2</v>
      </c>
      <c r="F18" s="137">
        <v>20</v>
      </c>
      <c r="G18" s="137">
        <v>3</v>
      </c>
      <c r="H18" s="137">
        <v>2</v>
      </c>
      <c r="I18" s="137" t="s">
        <v>1277</v>
      </c>
      <c r="J18"/>
    </row>
    <row r="19" spans="1:10" ht="15">
      <c r="A19" s="137">
        <v>4</v>
      </c>
      <c r="B19" s="138">
        <v>46312</v>
      </c>
      <c r="C19" s="137">
        <v>20</v>
      </c>
      <c r="D19" s="137">
        <v>2</v>
      </c>
      <c r="E19" s="137">
        <v>2</v>
      </c>
      <c r="F19" s="137">
        <v>20</v>
      </c>
      <c r="G19" s="137">
        <v>3</v>
      </c>
      <c r="H19" s="137">
        <v>2</v>
      </c>
      <c r="I19" s="137" t="s">
        <v>1277</v>
      </c>
      <c r="J19"/>
    </row>
    <row r="20" spans="1:10" ht="15">
      <c r="A20" s="137">
        <v>5</v>
      </c>
      <c r="B20" s="138">
        <v>46316</v>
      </c>
      <c r="C20" s="137">
        <v>20</v>
      </c>
      <c r="D20" s="137">
        <v>2</v>
      </c>
      <c r="E20" s="137">
        <v>2</v>
      </c>
      <c r="F20" s="137">
        <v>20</v>
      </c>
      <c r="G20" s="137">
        <v>3</v>
      </c>
      <c r="H20" s="137">
        <v>2</v>
      </c>
      <c r="I20" s="137" t="s">
        <v>1277</v>
      </c>
      <c r="J20"/>
    </row>
    <row r="21" spans="1:10" ht="15">
      <c r="A21" s="137">
        <v>6</v>
      </c>
      <c r="B21" s="138">
        <v>46319</v>
      </c>
      <c r="C21" s="137">
        <v>22</v>
      </c>
      <c r="D21" s="137">
        <v>2</v>
      </c>
      <c r="E21" s="137">
        <v>2</v>
      </c>
      <c r="F21" s="137">
        <v>22</v>
      </c>
      <c r="G21" s="137">
        <v>4</v>
      </c>
      <c r="H21" s="137">
        <v>2</v>
      </c>
      <c r="I21" s="137" t="s">
        <v>1277</v>
      </c>
      <c r="J21"/>
    </row>
    <row r="22" spans="1:10" ht="15">
      <c r="A22" s="137">
        <v>7</v>
      </c>
      <c r="B22" s="138">
        <v>46323</v>
      </c>
      <c r="C22" s="137">
        <v>24</v>
      </c>
      <c r="D22" s="137">
        <v>2</v>
      </c>
      <c r="E22" s="137">
        <v>2</v>
      </c>
      <c r="F22" s="137">
        <v>24</v>
      </c>
      <c r="G22" s="137">
        <v>4</v>
      </c>
      <c r="H22" s="137">
        <v>2</v>
      </c>
      <c r="I22" s="137" t="s">
        <v>1277</v>
      </c>
      <c r="J22"/>
    </row>
    <row r="23" spans="1:10" ht="15">
      <c r="A23" s="137">
        <v>8</v>
      </c>
      <c r="B23" s="138">
        <v>46326</v>
      </c>
      <c r="C23" s="137">
        <v>26</v>
      </c>
      <c r="D23" s="137">
        <v>2</v>
      </c>
      <c r="E23" s="137">
        <v>2</v>
      </c>
      <c r="F23" s="137">
        <v>26</v>
      </c>
      <c r="G23" s="137">
        <v>5</v>
      </c>
      <c r="H23" s="137">
        <v>2</v>
      </c>
      <c r="I23" s="137" t="s">
        <v>1277</v>
      </c>
      <c r="J23"/>
    </row>
    <row r="24" spans="1:10" ht="15">
      <c r="A24" s="137">
        <v>9</v>
      </c>
      <c r="B24" s="138">
        <v>46330</v>
      </c>
      <c r="C24" s="137">
        <v>28</v>
      </c>
      <c r="D24" s="137">
        <v>2</v>
      </c>
      <c r="E24" s="137">
        <v>2</v>
      </c>
      <c r="F24" s="137">
        <v>28</v>
      </c>
      <c r="G24" s="137">
        <v>5</v>
      </c>
      <c r="H24" s="137">
        <v>2</v>
      </c>
      <c r="I24" s="137" t="s">
        <v>1277</v>
      </c>
      <c r="J24"/>
    </row>
    <row r="25" spans="1:10" ht="15">
      <c r="A25" s="137">
        <v>10</v>
      </c>
      <c r="B25" s="138">
        <v>46333</v>
      </c>
      <c r="C25" s="137">
        <v>30</v>
      </c>
      <c r="D25" s="137">
        <v>2</v>
      </c>
      <c r="E25" s="137">
        <v>2</v>
      </c>
      <c r="F25" s="137">
        <v>30</v>
      </c>
      <c r="G25" s="137">
        <v>5</v>
      </c>
      <c r="H25" s="137">
        <v>2</v>
      </c>
      <c r="I25" s="137" t="s">
        <v>1277</v>
      </c>
      <c r="J25"/>
    </row>
    <row r="26" spans="1:10" ht="15">
      <c r="A26" s="137">
        <v>11</v>
      </c>
      <c r="B26" s="138">
        <v>46337</v>
      </c>
      <c r="C26" s="137">
        <v>32</v>
      </c>
      <c r="D26" s="137">
        <v>2</v>
      </c>
      <c r="E26" s="137">
        <v>2</v>
      </c>
      <c r="F26" s="137">
        <v>32</v>
      </c>
      <c r="G26" s="137">
        <v>5</v>
      </c>
      <c r="H26" s="137">
        <v>2</v>
      </c>
      <c r="I26" s="137" t="s">
        <v>1277</v>
      </c>
      <c r="J26"/>
    </row>
    <row r="27" spans="1:10" ht="15">
      <c r="A27" s="137">
        <v>12</v>
      </c>
      <c r="B27" s="138">
        <v>46340</v>
      </c>
      <c r="C27" s="137">
        <v>34</v>
      </c>
      <c r="D27" s="137">
        <v>2</v>
      </c>
      <c r="E27" s="137">
        <v>2</v>
      </c>
      <c r="F27" s="137">
        <v>34</v>
      </c>
      <c r="G27" s="137">
        <v>5</v>
      </c>
      <c r="H27" s="137">
        <v>2</v>
      </c>
      <c r="I27" s="137" t="s">
        <v>1277</v>
      </c>
      <c r="J27"/>
    </row>
    <row r="28" spans="1:10" ht="15">
      <c r="A28" s="137">
        <v>13</v>
      </c>
      <c r="B28" s="138">
        <v>46344</v>
      </c>
      <c r="C28" s="137">
        <v>36</v>
      </c>
      <c r="D28" s="137">
        <v>2</v>
      </c>
      <c r="E28" s="137">
        <v>2</v>
      </c>
      <c r="F28" s="137">
        <v>36</v>
      </c>
      <c r="G28" s="137">
        <v>5</v>
      </c>
      <c r="H28" s="137">
        <v>2</v>
      </c>
      <c r="I28" s="137" t="s">
        <v>1277</v>
      </c>
      <c r="J28"/>
    </row>
    <row r="29" spans="1:10" ht="15">
      <c r="A29" s="137">
        <v>14</v>
      </c>
      <c r="B29" s="138">
        <v>46347</v>
      </c>
      <c r="C29" s="137">
        <v>36</v>
      </c>
      <c r="D29" s="137">
        <v>3</v>
      </c>
      <c r="E29" s="137">
        <v>2</v>
      </c>
      <c r="F29" s="137">
        <v>36</v>
      </c>
      <c r="G29" s="137">
        <v>5</v>
      </c>
      <c r="H29" s="137">
        <v>2</v>
      </c>
      <c r="I29" s="137" t="s">
        <v>1277</v>
      </c>
      <c r="J29"/>
    </row>
    <row r="30" spans="1:10" ht="15">
      <c r="A30" s="137">
        <v>15</v>
      </c>
      <c r="B30" s="138">
        <v>46351</v>
      </c>
      <c r="C30" s="137">
        <v>36</v>
      </c>
      <c r="D30" s="137">
        <v>4</v>
      </c>
      <c r="E30" s="137">
        <v>2</v>
      </c>
      <c r="F30" s="137">
        <v>36</v>
      </c>
      <c r="G30" s="137">
        <v>5</v>
      </c>
      <c r="H30" s="137">
        <v>2</v>
      </c>
      <c r="I30" s="137" t="s">
        <v>1277</v>
      </c>
      <c r="J30"/>
    </row>
    <row r="31" spans="1:10" ht="15">
      <c r="A31" s="137">
        <v>16</v>
      </c>
      <c r="B31" s="138">
        <v>46354</v>
      </c>
      <c r="C31" s="137">
        <v>36</v>
      </c>
      <c r="D31" s="137">
        <v>5</v>
      </c>
      <c r="E31" s="137">
        <v>2</v>
      </c>
      <c r="F31" s="137">
        <v>36</v>
      </c>
      <c r="G31" s="137">
        <v>5</v>
      </c>
      <c r="H31" s="137">
        <v>2</v>
      </c>
      <c r="I31" s="137" t="s">
        <v>1277</v>
      </c>
      <c r="J31"/>
    </row>
    <row r="32" spans="1:10" ht="15">
      <c r="A32" s="137">
        <v>17</v>
      </c>
      <c r="B32" s="138">
        <v>46358</v>
      </c>
      <c r="C32" s="137">
        <v>36</v>
      </c>
      <c r="D32" s="137">
        <v>5</v>
      </c>
      <c r="E32" s="137">
        <v>2</v>
      </c>
      <c r="F32" s="137">
        <v>36</v>
      </c>
      <c r="G32" s="137">
        <v>5</v>
      </c>
      <c r="H32" s="137">
        <v>2</v>
      </c>
      <c r="I32" s="137" t="s">
        <v>1277</v>
      </c>
      <c r="J32"/>
    </row>
    <row r="33" spans="1:10" ht="15">
      <c r="A33" t="s">
        <v>1363</v>
      </c>
      <c r="B33"/>
      <c r="C33"/>
      <c r="D33"/>
      <c r="E33"/>
      <c r="F33"/>
      <c r="G33"/>
      <c r="H33"/>
      <c r="I33"/>
      <c r="J33"/>
    </row>
    <row r="34" spans="1:10" ht="15">
      <c r="A34"/>
      <c r="B34"/>
      <c r="C34"/>
      <c r="D34"/>
      <c r="E34"/>
      <c r="F34"/>
      <c r="G34"/>
      <c r="H34"/>
      <c r="I34"/>
      <c r="J34"/>
    </row>
    <row r="35" spans="1:10" ht="15">
      <c r="A35" t="s">
        <v>1265</v>
      </c>
      <c r="B35"/>
      <c r="C35"/>
      <c r="D35"/>
      <c r="E35"/>
      <c r="F35"/>
      <c r="G35"/>
      <c r="H35"/>
      <c r="I35"/>
      <c r="J35"/>
    </row>
    <row r="36" spans="1:10" ht="15">
      <c r="A36" t="s">
        <v>1364</v>
      </c>
      <c r="B36"/>
      <c r="C36"/>
      <c r="D36"/>
      <c r="E36"/>
      <c r="F36"/>
      <c r="G36"/>
      <c r="H36"/>
      <c r="I36"/>
      <c r="J36"/>
    </row>
    <row r="37" spans="1:10" ht="15">
      <c r="A37" t="s">
        <v>1369</v>
      </c>
      <c r="B37"/>
      <c r="C37"/>
      <c r="D37"/>
      <c r="E37"/>
      <c r="F37"/>
      <c r="G37"/>
      <c r="H37"/>
      <c r="I37"/>
      <c r="J37"/>
    </row>
    <row r="38" spans="1:10" ht="15">
      <c r="A38" t="s">
        <v>1365</v>
      </c>
      <c r="B38"/>
      <c r="C38"/>
      <c r="D38"/>
      <c r="E38"/>
      <c r="F38"/>
      <c r="G38"/>
      <c r="H38"/>
      <c r="I38"/>
      <c r="J38"/>
    </row>
    <row r="39" spans="1:10" ht="15">
      <c r="A39" t="s">
        <v>1366</v>
      </c>
      <c r="B39"/>
      <c r="C39"/>
      <c r="D39"/>
      <c r="E39"/>
      <c r="F39"/>
      <c r="G39"/>
      <c r="H39"/>
      <c r="I39"/>
      <c r="J39"/>
    </row>
    <row r="40" spans="1:10" ht="15">
      <c r="A40" t="s">
        <v>1328</v>
      </c>
      <c r="B40"/>
      <c r="C40"/>
      <c r="D40"/>
      <c r="E40"/>
      <c r="F40"/>
      <c r="G40"/>
      <c r="H40"/>
      <c r="I40"/>
      <c r="J40"/>
    </row>
    <row r="41" spans="1:10" ht="15">
      <c r="A41" t="s">
        <v>1329</v>
      </c>
      <c r="B41"/>
      <c r="C41"/>
      <c r="D41"/>
      <c r="E41"/>
      <c r="F41"/>
      <c r="G41"/>
      <c r="H41"/>
      <c r="I41"/>
      <c r="J41"/>
    </row>
    <row r="42" spans="1:10" ht="15">
      <c r="A42" t="s">
        <v>1330</v>
      </c>
      <c r="B42"/>
      <c r="C42"/>
      <c r="D42"/>
      <c r="E42"/>
      <c r="F42"/>
      <c r="G42"/>
      <c r="H42"/>
      <c r="I42"/>
      <c r="J42"/>
    </row>
    <row r="43" spans="1:10" ht="15">
      <c r="A43" t="s">
        <v>1331</v>
      </c>
      <c r="B43"/>
      <c r="C43"/>
      <c r="D43"/>
      <c r="E43"/>
      <c r="F43"/>
      <c r="G43"/>
      <c r="H43"/>
      <c r="I43"/>
      <c r="J43"/>
    </row>
    <row r="44" spans="1:10" ht="15">
      <c r="A44" t="s">
        <v>1332</v>
      </c>
      <c r="B44"/>
      <c r="C44"/>
      <c r="D44"/>
      <c r="E44"/>
      <c r="F44"/>
      <c r="G44"/>
      <c r="H44"/>
      <c r="I44"/>
      <c r="J44"/>
    </row>
    <row r="45" spans="1:10" ht="15">
      <c r="A45" t="s">
        <v>1367</v>
      </c>
      <c r="B45"/>
      <c r="C45"/>
      <c r="D45"/>
      <c r="E45"/>
      <c r="F45"/>
      <c r="G45"/>
      <c r="H45"/>
      <c r="I45"/>
      <c r="J45"/>
    </row>
    <row r="46" spans="1:10" ht="15">
      <c r="A46" t="s">
        <v>1358</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1412</v>
      </c>
      <c r="D7" s="115" t="s">
        <v>1413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1551</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1297</v>
      </c>
      <c r="D13" s="115" t="s">
        <v>1495</v>
      </c>
    </row>
    <row r="14" spans="1:4" ht="30" customHeight="1">
      <c r="A14" s="114" t="s">
        <v>35</v>
      </c>
      <c r="B14" s="120" t="s">
        <v>36</v>
      </c>
      <c r="C14" s="115" t="s">
        <v>37</v>
      </c>
      <c r="D14" s="115" t="s">
        <v>1511</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1432</v>
      </c>
    </row>
    <row r="39" spans="1:1">
      <c r="A39" s="123" t="s">
        <v>56</v>
      </c>
    </row>
    <row r="40" spans="1:1">
      <c r="A40" s="123" t="s">
        <v>57</v>
      </c>
    </row>
    <row r="42" spans="1:1">
      <c r="A42" s="107" t="s">
        <v>58</v>
      </c>
    </row>
    <row r="43" spans="1:1">
      <c r="A43" s="123" t="s">
        <v>59</v>
      </c>
    </row>
    <row r="44" spans="1:1">
      <c r="A44" s="123" t="s">
        <v>1552</v>
      </c>
    </row>
    <row r="45" spans="1:1">
      <c r="A45" s="123" t="s">
        <v>60</v>
      </c>
    </row>
    <row r="46" spans="1:1">
      <c r="A46" s="123" t="s">
        <v>1307</v>
      </c>
    </row>
    <row r="47" spans="1:1">
      <c r="A47" s="123" t="s">
        <v>1303</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1510</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1130</v>
      </c>
    </row>
    <row r="2" spans="1:8">
      <c r="A2" s="119" t="s">
        <v>1131</v>
      </c>
    </row>
    <row r="3" spans="1:8">
      <c r="A3" s="119" t="s">
        <v>635</v>
      </c>
      <c r="F3" s="107">
        <f ca="1">COUNTIF($E$7:$E$98,"?")</f>
        <v>0</v>
      </c>
    </row>
    <row r="4" spans="1:8">
      <c r="A4" s="119" t="s">
        <v>1132</v>
      </c>
    </row>
    <row r="6" spans="1:8">
      <c r="A6" s="111" t="s">
        <v>1133</v>
      </c>
      <c r="B6" s="111" t="s">
        <v>638</v>
      </c>
      <c r="C6" s="111" t="s">
        <v>639</v>
      </c>
      <c r="D6" s="111" t="s">
        <v>640</v>
      </c>
      <c r="E6" s="111" t="s">
        <v>641</v>
      </c>
      <c r="F6" s="111" t="s">
        <v>642</v>
      </c>
      <c r="G6" s="111" t="s">
        <v>643</v>
      </c>
      <c r="H6" s="111" t="s">
        <v>644</v>
      </c>
    </row>
    <row r="7" spans="1:8" ht="51">
      <c r="A7" s="114" t="s">
        <v>1134</v>
      </c>
      <c r="B7" s="115" t="s">
        <v>86</v>
      </c>
      <c r="C7" s="114" t="s">
        <v>345</v>
      </c>
      <c r="D7" s="114">
        <v>0.5</v>
      </c>
      <c r="E7" s="114">
        <f t="shared" ref="E7:E44" ca="1" si="0">IFERROR(INDEX(INDIRECT("'"&amp;$A7&amp;"'!$E$1:$E$60"),MATCH($B7,INDIRECT("'"&amp;$A7&amp;"'!$B$1:$B$60"),0)),"?")</f>
        <v>4</v>
      </c>
      <c r="F7" s="114">
        <f t="shared" ref="F7:F43" ca="1" si="1">IF(ISNUMBER(E7),$D7*E7,0)</f>
        <v>2</v>
      </c>
      <c r="G7" s="114" t="s">
        <v>659</v>
      </c>
      <c r="H7" s="115" t="s">
        <v>1463</v>
      </c>
    </row>
    <row r="8" spans="1:8">
      <c r="A8" s="114" t="s">
        <v>1134</v>
      </c>
      <c r="B8" s="115" t="s">
        <v>517</v>
      </c>
      <c r="C8" s="114" t="s">
        <v>345</v>
      </c>
      <c r="D8" s="114">
        <v>0.5</v>
      </c>
      <c r="E8" s="114">
        <f t="shared" ca="1" si="0"/>
        <v>3</v>
      </c>
      <c r="F8" s="114">
        <f t="shared" ca="1" si="1"/>
        <v>1.5</v>
      </c>
      <c r="G8" s="114" t="s">
        <v>659</v>
      </c>
      <c r="H8" s="115" t="s">
        <v>1135</v>
      </c>
    </row>
    <row r="9" spans="1:8">
      <c r="A9" s="114" t="s">
        <v>1134</v>
      </c>
      <c r="B9" s="115" t="s">
        <v>343</v>
      </c>
      <c r="C9" s="114" t="s">
        <v>345</v>
      </c>
      <c r="D9" s="114">
        <v>0.5</v>
      </c>
      <c r="E9" s="114">
        <f t="shared" ca="1" si="0"/>
        <v>3</v>
      </c>
      <c r="F9" s="114">
        <f t="shared" ca="1" si="1"/>
        <v>1.5</v>
      </c>
      <c r="G9" s="114" t="s">
        <v>659</v>
      </c>
      <c r="H9" s="115" t="s">
        <v>1136</v>
      </c>
    </row>
    <row r="10" spans="1:8" ht="51">
      <c r="A10" s="114" t="s">
        <v>1137</v>
      </c>
      <c r="B10" s="115" t="s">
        <v>508</v>
      </c>
      <c r="C10" s="114" t="s">
        <v>345</v>
      </c>
      <c r="D10" s="114">
        <v>0.2</v>
      </c>
      <c r="E10" s="114">
        <f t="shared" ca="1" si="0"/>
        <v>4</v>
      </c>
      <c r="F10" s="114">
        <f t="shared" ca="1" si="1"/>
        <v>0.8</v>
      </c>
      <c r="G10" s="114" t="s">
        <v>659</v>
      </c>
      <c r="H10" s="115" t="s">
        <v>1565</v>
      </c>
    </row>
    <row r="11" spans="1:8" ht="63.75">
      <c r="A11" s="114" t="s">
        <v>1138</v>
      </c>
      <c r="B11" s="115" t="s">
        <v>1447</v>
      </c>
      <c r="C11" s="114" t="s">
        <v>345</v>
      </c>
      <c r="D11" s="114">
        <v>0.2</v>
      </c>
      <c r="E11" s="114">
        <f t="shared" ca="1" si="0"/>
        <v>3</v>
      </c>
      <c r="F11" s="114">
        <f t="shared" ca="1" si="1"/>
        <v>0.60000000000000009</v>
      </c>
      <c r="G11" s="114" t="s">
        <v>659</v>
      </c>
      <c r="H11" s="115" t="s">
        <v>1569</v>
      </c>
    </row>
    <row r="12" spans="1:8" ht="25.5">
      <c r="A12" s="114" t="s">
        <v>1139</v>
      </c>
      <c r="B12" s="115" t="s">
        <v>266</v>
      </c>
      <c r="C12" s="114" t="s">
        <v>269</v>
      </c>
      <c r="D12" s="114">
        <v>0.5</v>
      </c>
      <c r="E12" s="114">
        <f t="shared" ca="1" si="0"/>
        <v>4</v>
      </c>
      <c r="F12" s="114">
        <f t="shared" ca="1" si="1"/>
        <v>2</v>
      </c>
      <c r="G12" s="114" t="s">
        <v>659</v>
      </c>
      <c r="H12" s="115" t="s">
        <v>1140</v>
      </c>
    </row>
    <row r="13" spans="1:8" ht="25.5">
      <c r="A13" s="114" t="s">
        <v>1139</v>
      </c>
      <c r="B13" s="115" t="s">
        <v>1106</v>
      </c>
      <c r="C13" s="114" t="s">
        <v>269</v>
      </c>
      <c r="D13" s="114">
        <v>0.5</v>
      </c>
      <c r="E13" s="114">
        <f t="shared" ca="1" si="0"/>
        <v>3</v>
      </c>
      <c r="F13" s="114">
        <f t="shared" ca="1" si="1"/>
        <v>1.5</v>
      </c>
      <c r="G13" s="114" t="s">
        <v>659</v>
      </c>
      <c r="H13" s="115" t="s">
        <v>1141</v>
      </c>
    </row>
    <row r="14" spans="1:8" ht="25.5">
      <c r="A14" s="114" t="s">
        <v>1139</v>
      </c>
      <c r="B14" s="115" t="s">
        <v>1104</v>
      </c>
      <c r="C14" s="114" t="s">
        <v>269</v>
      </c>
      <c r="D14" s="114">
        <v>0.2</v>
      </c>
      <c r="E14" s="114">
        <f t="shared" ca="1" si="0"/>
        <v>3</v>
      </c>
      <c r="F14" s="114">
        <f t="shared" ca="1" si="1"/>
        <v>0.60000000000000009</v>
      </c>
      <c r="G14" s="114" t="s">
        <v>659</v>
      </c>
      <c r="H14" s="115" t="s">
        <v>1142</v>
      </c>
    </row>
    <row r="15" spans="1:8" ht="25.5">
      <c r="A15" s="114" t="s">
        <v>1143</v>
      </c>
      <c r="B15" s="115" t="s">
        <v>472</v>
      </c>
      <c r="C15" s="114" t="s">
        <v>269</v>
      </c>
      <c r="D15" s="114">
        <v>0.33</v>
      </c>
      <c r="E15" s="114">
        <f t="shared" ca="1" si="0"/>
        <v>4</v>
      </c>
      <c r="F15" s="114">
        <f t="shared" ca="1" si="1"/>
        <v>1.32</v>
      </c>
      <c r="G15" s="114" t="s">
        <v>659</v>
      </c>
      <c r="H15" s="115" t="s">
        <v>1144</v>
      </c>
    </row>
    <row r="16" spans="1:8" ht="51">
      <c r="A16" s="114" t="s">
        <v>1143</v>
      </c>
      <c r="B16" s="115" t="s">
        <v>1254</v>
      </c>
      <c r="C16" s="114" t="s">
        <v>269</v>
      </c>
      <c r="D16" s="114">
        <v>0.33</v>
      </c>
      <c r="E16" s="114">
        <f t="shared" ca="1" si="0"/>
        <v>2</v>
      </c>
      <c r="F16" s="114">
        <f t="shared" ref="F16" ca="1" si="2">IF(ISNUMBER(E16),$D16*E16,0)</f>
        <v>0.66</v>
      </c>
      <c r="G16" s="114" t="s">
        <v>659</v>
      </c>
      <c r="H16" s="115" t="s">
        <v>1260</v>
      </c>
    </row>
    <row r="17" spans="1:8" ht="25.5">
      <c r="A17" s="114" t="s">
        <v>1143</v>
      </c>
      <c r="B17" s="115" t="s">
        <v>1503</v>
      </c>
      <c r="C17" s="114" t="s">
        <v>269</v>
      </c>
      <c r="D17" s="114">
        <v>0.2</v>
      </c>
      <c r="E17" s="114">
        <f t="shared" ca="1" si="0"/>
        <v>3</v>
      </c>
      <c r="F17" s="114">
        <f t="shared" ca="1" si="1"/>
        <v>0.60000000000000009</v>
      </c>
      <c r="G17" s="114" t="s">
        <v>659</v>
      </c>
      <c r="H17" s="115" t="s">
        <v>1145</v>
      </c>
    </row>
    <row r="18" spans="1:8" ht="38.25">
      <c r="A18" s="114" t="s">
        <v>1143</v>
      </c>
      <c r="B18" s="115" t="s">
        <v>465</v>
      </c>
      <c r="C18" s="114" t="s">
        <v>269</v>
      </c>
      <c r="D18" s="114">
        <v>0.2</v>
      </c>
      <c r="E18" s="114">
        <f t="shared" ca="1" si="0"/>
        <v>4</v>
      </c>
      <c r="F18" s="114">
        <f t="shared" ca="1" si="1"/>
        <v>0.8</v>
      </c>
      <c r="G18" s="114" t="s">
        <v>659</v>
      </c>
      <c r="H18" s="115" t="s">
        <v>1146</v>
      </c>
    </row>
    <row r="19" spans="1:8" ht="25.5">
      <c r="A19" s="114" t="s">
        <v>1147</v>
      </c>
      <c r="B19" s="115" t="s">
        <v>439</v>
      </c>
      <c r="C19" s="114" t="s">
        <v>269</v>
      </c>
      <c r="D19" s="114">
        <v>0.2</v>
      </c>
      <c r="E19" s="114">
        <f t="shared" ca="1" si="0"/>
        <v>3</v>
      </c>
      <c r="F19" s="114">
        <f t="shared" ca="1" si="1"/>
        <v>0.60000000000000009</v>
      </c>
      <c r="G19" s="114" t="s">
        <v>659</v>
      </c>
      <c r="H19" s="115" t="s">
        <v>1148</v>
      </c>
    </row>
    <row r="20" spans="1:8" ht="38.25">
      <c r="A20" s="114" t="s">
        <v>1147</v>
      </c>
      <c r="B20" s="115" t="s">
        <v>1405</v>
      </c>
      <c r="C20" s="114" t="s">
        <v>295</v>
      </c>
      <c r="D20" s="114">
        <v>0.5</v>
      </c>
      <c r="E20" s="114">
        <f t="shared" ca="1" si="0"/>
        <v>3</v>
      </c>
      <c r="F20" s="114">
        <f t="shared" ca="1" si="1"/>
        <v>1.5</v>
      </c>
      <c r="G20" s="114" t="s">
        <v>659</v>
      </c>
      <c r="H20" s="115" t="s">
        <v>1408</v>
      </c>
    </row>
    <row r="21" spans="1:8" ht="25.5">
      <c r="A21" s="114" t="s">
        <v>1134</v>
      </c>
      <c r="B21" s="115" t="s">
        <v>86</v>
      </c>
      <c r="C21" s="114" t="s">
        <v>429</v>
      </c>
      <c r="D21" s="114">
        <v>0.33</v>
      </c>
      <c r="E21" s="114">
        <f t="shared" ca="1" si="0"/>
        <v>4</v>
      </c>
      <c r="F21" s="114">
        <f t="shared" ca="1" si="1"/>
        <v>1.32</v>
      </c>
      <c r="G21" s="114" t="s">
        <v>659</v>
      </c>
      <c r="H21" s="115" t="s">
        <v>1149</v>
      </c>
    </row>
    <row r="22" spans="1:8">
      <c r="A22" s="114" t="s">
        <v>1134</v>
      </c>
      <c r="B22" s="115" t="s">
        <v>517</v>
      </c>
      <c r="C22" s="114" t="s">
        <v>429</v>
      </c>
      <c r="D22" s="114">
        <v>0.5</v>
      </c>
      <c r="E22" s="114">
        <f t="shared" ca="1" si="0"/>
        <v>3</v>
      </c>
      <c r="F22" s="114">
        <f t="shared" ca="1" si="1"/>
        <v>1.5</v>
      </c>
      <c r="G22" s="114" t="s">
        <v>659</v>
      </c>
      <c r="H22" s="115" t="s">
        <v>1150</v>
      </c>
    </row>
    <row r="23" spans="1:8">
      <c r="A23" s="114" t="s">
        <v>1134</v>
      </c>
      <c r="B23" s="115" t="s">
        <v>343</v>
      </c>
      <c r="C23" s="114" t="s">
        <v>429</v>
      </c>
      <c r="D23" s="114">
        <v>0.2</v>
      </c>
      <c r="E23" s="114">
        <f t="shared" ca="1" si="0"/>
        <v>3</v>
      </c>
      <c r="F23" s="114">
        <f t="shared" ca="1" si="1"/>
        <v>0.60000000000000009</v>
      </c>
      <c r="G23" s="114" t="s">
        <v>659</v>
      </c>
      <c r="H23" s="115" t="s">
        <v>1151</v>
      </c>
    </row>
    <row r="24" spans="1:8">
      <c r="A24" s="114" t="s">
        <v>1134</v>
      </c>
      <c r="B24" s="115" t="s">
        <v>586</v>
      </c>
      <c r="C24" s="114" t="s">
        <v>429</v>
      </c>
      <c r="D24" s="114">
        <v>0.2</v>
      </c>
      <c r="E24" s="114">
        <f t="shared" ca="1" si="0"/>
        <v>3</v>
      </c>
      <c r="F24" s="114">
        <f t="shared" ca="1" si="1"/>
        <v>0.60000000000000009</v>
      </c>
      <c r="G24" s="114" t="s">
        <v>659</v>
      </c>
      <c r="H24" s="115" t="s">
        <v>1152</v>
      </c>
    </row>
    <row r="25" spans="1:8">
      <c r="A25" s="114" t="s">
        <v>1139</v>
      </c>
      <c r="B25" s="115" t="s">
        <v>427</v>
      </c>
      <c r="C25" s="114" t="s">
        <v>429</v>
      </c>
      <c r="D25" s="114">
        <v>0.2</v>
      </c>
      <c r="E25" s="114">
        <f t="shared" ca="1" si="0"/>
        <v>4</v>
      </c>
      <c r="F25" s="114">
        <f t="shared" ca="1" si="1"/>
        <v>0.8</v>
      </c>
      <c r="G25" s="114" t="s">
        <v>659</v>
      </c>
      <c r="H25" s="115" t="s">
        <v>1153</v>
      </c>
    </row>
    <row r="26" spans="1:8" ht="25.5">
      <c r="A26" s="114" t="s">
        <v>1139</v>
      </c>
      <c r="B26" s="115" t="s">
        <v>1603</v>
      </c>
      <c r="C26" s="114" t="s">
        <v>429</v>
      </c>
      <c r="D26" s="114">
        <v>0.5</v>
      </c>
      <c r="E26" s="114">
        <f t="shared" ca="1" si="0"/>
        <v>3</v>
      </c>
      <c r="F26" s="114">
        <f t="shared" ca="1" si="1"/>
        <v>1.5</v>
      </c>
      <c r="G26" s="114" t="s">
        <v>659</v>
      </c>
      <c r="H26" s="115" t="s">
        <v>1154</v>
      </c>
    </row>
    <row r="27" spans="1:8" ht="25.5">
      <c r="A27" s="114" t="s">
        <v>1139</v>
      </c>
      <c r="B27" s="115" t="s">
        <v>1603</v>
      </c>
      <c r="C27" s="114" t="s">
        <v>345</v>
      </c>
      <c r="D27" s="114">
        <v>0.5</v>
      </c>
      <c r="E27" s="114">
        <f t="shared" ca="1" si="0"/>
        <v>3</v>
      </c>
      <c r="F27" s="114">
        <f t="shared" ca="1" si="1"/>
        <v>1.5</v>
      </c>
      <c r="G27" s="114" t="s">
        <v>659</v>
      </c>
      <c r="H27" s="115" t="s">
        <v>1155</v>
      </c>
    </row>
    <row r="28" spans="1:8" ht="25.5">
      <c r="A28" s="114" t="s">
        <v>1139</v>
      </c>
      <c r="B28" s="115" t="s">
        <v>288</v>
      </c>
      <c r="C28" s="114" t="s">
        <v>358</v>
      </c>
      <c r="D28" s="114">
        <v>0.5</v>
      </c>
      <c r="E28" s="114">
        <f t="shared" ca="1" si="0"/>
        <v>3</v>
      </c>
      <c r="F28" s="114">
        <f t="shared" ca="1" si="1"/>
        <v>1.5</v>
      </c>
      <c r="G28" s="114" t="s">
        <v>659</v>
      </c>
      <c r="H28" s="115" t="s">
        <v>1156</v>
      </c>
    </row>
    <row r="29" spans="1:8" ht="51">
      <c r="A29" s="114" t="s">
        <v>1320</v>
      </c>
      <c r="B29" s="115" t="s">
        <v>1503</v>
      </c>
      <c r="C29" s="114" t="s">
        <v>358</v>
      </c>
      <c r="D29" s="114">
        <v>0.33</v>
      </c>
      <c r="E29" s="114">
        <f t="shared" ca="1" si="0"/>
        <v>3</v>
      </c>
      <c r="F29" s="114">
        <f t="shared" ref="F29:F30" ca="1" si="3">IF(ISNUMBER(E29),$D29*E29,0)</f>
        <v>0.99</v>
      </c>
      <c r="G29" s="114" t="s">
        <v>659</v>
      </c>
      <c r="H29" s="115" t="s">
        <v>1321</v>
      </c>
    </row>
    <row r="30" spans="1:8" ht="25.5">
      <c r="A30" s="114" t="s">
        <v>1320</v>
      </c>
      <c r="B30" s="115" t="s">
        <v>1322</v>
      </c>
      <c r="C30" s="114" t="s">
        <v>358</v>
      </c>
      <c r="D30" s="114">
        <v>0.33</v>
      </c>
      <c r="E30" s="114">
        <f t="shared" ca="1" si="0"/>
        <v>4</v>
      </c>
      <c r="F30" s="114">
        <f t="shared" ca="1" si="3"/>
        <v>1.32</v>
      </c>
      <c r="G30" s="114" t="s">
        <v>659</v>
      </c>
      <c r="H30" s="115" t="s">
        <v>1508</v>
      </c>
    </row>
    <row r="31" spans="1:8" ht="51">
      <c r="A31" s="114" t="s">
        <v>1138</v>
      </c>
      <c r="B31" s="115" t="s">
        <v>1447</v>
      </c>
      <c r="C31" s="114" t="s">
        <v>354</v>
      </c>
      <c r="D31" s="114">
        <v>0.5</v>
      </c>
      <c r="E31" s="114">
        <f t="shared" ca="1" si="0"/>
        <v>3</v>
      </c>
      <c r="F31" s="114">
        <f t="shared" ca="1" si="1"/>
        <v>1.5</v>
      </c>
      <c r="G31" s="114" t="s">
        <v>659</v>
      </c>
      <c r="H31" s="115" t="s">
        <v>1554</v>
      </c>
    </row>
    <row r="32" spans="1:8" ht="38.25">
      <c r="A32" s="114" t="s">
        <v>1137</v>
      </c>
      <c r="B32" s="115" t="s">
        <v>508</v>
      </c>
      <c r="C32" s="114" t="s">
        <v>354</v>
      </c>
      <c r="D32" s="114">
        <v>0.33</v>
      </c>
      <c r="E32" s="114">
        <f t="shared" ca="1" si="0"/>
        <v>4</v>
      </c>
      <c r="F32" s="114">
        <f t="shared" ca="1" si="1"/>
        <v>1.32</v>
      </c>
      <c r="G32" s="114" t="s">
        <v>659</v>
      </c>
      <c r="H32" s="115" t="s">
        <v>1157</v>
      </c>
    </row>
    <row r="33" spans="1:8" ht="38.25">
      <c r="A33" s="114" t="s">
        <v>1137</v>
      </c>
      <c r="B33" s="115" t="s">
        <v>1394</v>
      </c>
      <c r="C33" s="114" t="s">
        <v>407</v>
      </c>
      <c r="D33" s="114">
        <v>0.33</v>
      </c>
      <c r="E33" s="114">
        <f t="shared" ca="1" si="0"/>
        <v>3</v>
      </c>
      <c r="F33" s="114">
        <f t="shared" ca="1" si="1"/>
        <v>0.99</v>
      </c>
      <c r="G33" s="114" t="s">
        <v>659</v>
      </c>
      <c r="H33" s="115" t="s">
        <v>1397</v>
      </c>
    </row>
    <row r="34" spans="1:8" ht="25.5">
      <c r="A34" s="114" t="s">
        <v>1138</v>
      </c>
      <c r="B34" s="115" t="s">
        <v>1071</v>
      </c>
      <c r="C34" s="114" t="s">
        <v>369</v>
      </c>
      <c r="D34" s="114">
        <v>0.33</v>
      </c>
      <c r="E34" s="114">
        <f t="shared" ca="1" si="0"/>
        <v>4</v>
      </c>
      <c r="F34" s="114">
        <f t="shared" ca="1" si="1"/>
        <v>1.32</v>
      </c>
      <c r="G34" s="114" t="s">
        <v>659</v>
      </c>
      <c r="H34" s="115" t="s">
        <v>1158</v>
      </c>
    </row>
    <row r="35" spans="1:8" ht="25.5">
      <c r="A35" s="114" t="s">
        <v>1143</v>
      </c>
      <c r="B35" s="115" t="s">
        <v>1503</v>
      </c>
      <c r="C35" s="114" t="s">
        <v>267</v>
      </c>
      <c r="D35" s="114">
        <v>0.5</v>
      </c>
      <c r="E35" s="114">
        <f t="shared" ca="1" si="0"/>
        <v>3</v>
      </c>
      <c r="F35" s="114">
        <f t="shared" ca="1" si="1"/>
        <v>1.5</v>
      </c>
      <c r="G35" s="114" t="s">
        <v>659</v>
      </c>
      <c r="H35" s="115" t="s">
        <v>1159</v>
      </c>
    </row>
    <row r="36" spans="1:8" ht="25.5">
      <c r="A36" s="114" t="s">
        <v>1143</v>
      </c>
      <c r="B36" s="115" t="s">
        <v>465</v>
      </c>
      <c r="C36" s="114" t="s">
        <v>267</v>
      </c>
      <c r="D36" s="114">
        <v>0.5</v>
      </c>
      <c r="E36" s="114">
        <f t="shared" ca="1" si="0"/>
        <v>4</v>
      </c>
      <c r="F36" s="114">
        <f t="shared" ca="1" si="1"/>
        <v>2</v>
      </c>
      <c r="G36" s="114" t="s">
        <v>659</v>
      </c>
      <c r="H36" s="115" t="s">
        <v>1159</v>
      </c>
    </row>
    <row r="37" spans="1:8" ht="38.25">
      <c r="A37" s="114" t="s">
        <v>1138</v>
      </c>
      <c r="B37" s="115" t="s">
        <v>84</v>
      </c>
      <c r="C37" s="114" t="s">
        <v>267</v>
      </c>
      <c r="D37" s="114">
        <v>0</v>
      </c>
      <c r="E37" s="114">
        <f t="shared" ca="1" si="0"/>
        <v>1</v>
      </c>
      <c r="F37" s="114">
        <f t="shared" ca="1" si="1"/>
        <v>0</v>
      </c>
      <c r="G37" s="114" t="s">
        <v>659</v>
      </c>
      <c r="H37" s="115" t="s">
        <v>1319</v>
      </c>
    </row>
    <row r="38" spans="1:8">
      <c r="A38" s="114" t="s">
        <v>1138</v>
      </c>
      <c r="B38" s="115" t="s">
        <v>1447</v>
      </c>
      <c r="C38" s="114" t="s">
        <v>407</v>
      </c>
      <c r="D38" s="114">
        <v>0.2</v>
      </c>
      <c r="E38" s="114">
        <f t="shared" ca="1" si="0"/>
        <v>3</v>
      </c>
      <c r="F38" s="114">
        <f t="shared" ca="1" si="1"/>
        <v>0.60000000000000009</v>
      </c>
      <c r="G38" s="114" t="s">
        <v>659</v>
      </c>
      <c r="H38" s="115" t="s">
        <v>1160</v>
      </c>
    </row>
    <row r="39" spans="1:8">
      <c r="A39" s="114" t="s">
        <v>1143</v>
      </c>
      <c r="B39" s="115" t="s">
        <v>1503</v>
      </c>
      <c r="C39" s="114" t="s">
        <v>407</v>
      </c>
      <c r="D39" s="114">
        <v>0.2</v>
      </c>
      <c r="E39" s="114">
        <f t="shared" ca="1" si="0"/>
        <v>3</v>
      </c>
      <c r="F39" s="114">
        <f t="shared" ca="1" si="1"/>
        <v>0.60000000000000009</v>
      </c>
      <c r="G39" s="114" t="s">
        <v>659</v>
      </c>
      <c r="H39" s="115" t="s">
        <v>1161</v>
      </c>
    </row>
    <row r="40" spans="1:8" ht="25.5">
      <c r="A40" s="114" t="s">
        <v>1138</v>
      </c>
      <c r="B40" s="115" t="s">
        <v>84</v>
      </c>
      <c r="C40" s="114" t="s">
        <v>407</v>
      </c>
      <c r="D40" s="114">
        <v>0</v>
      </c>
      <c r="E40" s="114">
        <f t="shared" ca="1" si="0"/>
        <v>1</v>
      </c>
      <c r="F40" s="114">
        <f t="shared" ca="1" si="1"/>
        <v>0</v>
      </c>
      <c r="G40" s="114" t="s">
        <v>659</v>
      </c>
      <c r="H40" s="115" t="s">
        <v>1162</v>
      </c>
    </row>
    <row r="41" spans="1:8">
      <c r="A41" s="114" t="s">
        <v>1139</v>
      </c>
      <c r="B41" s="115" t="s">
        <v>266</v>
      </c>
      <c r="C41" s="114" t="s">
        <v>418</v>
      </c>
      <c r="D41" s="114">
        <v>0.2</v>
      </c>
      <c r="E41" s="114">
        <f t="shared" ca="1" si="0"/>
        <v>4</v>
      </c>
      <c r="F41" s="114">
        <f t="shared" ca="1" si="1"/>
        <v>0.8</v>
      </c>
      <c r="G41" s="114" t="s">
        <v>659</v>
      </c>
      <c r="H41" s="115" t="s">
        <v>1163</v>
      </c>
    </row>
    <row r="42" spans="1:8">
      <c r="A42" s="114" t="s">
        <v>1139</v>
      </c>
      <c r="B42" s="115" t="s">
        <v>1106</v>
      </c>
      <c r="C42" s="114" t="s">
        <v>418</v>
      </c>
      <c r="D42" s="114">
        <v>0.2</v>
      </c>
      <c r="E42" s="114">
        <f t="shared" ca="1" si="0"/>
        <v>3</v>
      </c>
      <c r="F42" s="114">
        <f t="shared" ca="1" si="1"/>
        <v>0.60000000000000009</v>
      </c>
      <c r="G42" s="114" t="s">
        <v>659</v>
      </c>
      <c r="H42" s="115" t="s">
        <v>1164</v>
      </c>
    </row>
    <row r="43" spans="1:8">
      <c r="A43" s="114" t="s">
        <v>1139</v>
      </c>
      <c r="B43" s="115" t="s">
        <v>1104</v>
      </c>
      <c r="C43" s="114" t="s">
        <v>418</v>
      </c>
      <c r="D43" s="114">
        <v>0.2</v>
      </c>
      <c r="E43" s="114">
        <f t="shared" ca="1" si="0"/>
        <v>3</v>
      </c>
      <c r="F43" s="114">
        <f t="shared" ca="1" si="1"/>
        <v>0.60000000000000009</v>
      </c>
      <c r="G43" s="114" t="s">
        <v>659</v>
      </c>
      <c r="H43" s="115" t="s">
        <v>1165</v>
      </c>
    </row>
    <row r="44" spans="1:8" ht="25.5">
      <c r="A44" s="114" t="s">
        <v>1139</v>
      </c>
      <c r="B44" s="115" t="s">
        <v>1309</v>
      </c>
      <c r="C44" s="114" t="s">
        <v>418</v>
      </c>
      <c r="D44" s="114">
        <v>0.2</v>
      </c>
      <c r="E44" s="114">
        <f t="shared" ca="1" si="0"/>
        <v>2</v>
      </c>
      <c r="F44" s="114">
        <f t="shared" ref="F44" ca="1" si="4">IF(ISNUMBER(E44),$D44*E44,0)</f>
        <v>0.4</v>
      </c>
      <c r="G44" s="114" t="s">
        <v>659</v>
      </c>
      <c r="H44" s="115" t="s">
        <v>1313</v>
      </c>
    </row>
    <row r="45" spans="1:8" ht="25.5">
      <c r="A45" s="114" t="s">
        <v>1143</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1166</v>
      </c>
    </row>
    <row r="46" spans="1:8" ht="38.25">
      <c r="A46" s="114" t="s">
        <v>1134</v>
      </c>
      <c r="B46" s="115" t="s">
        <v>1236</v>
      </c>
      <c r="C46" s="114" t="s">
        <v>282</v>
      </c>
      <c r="D46" s="114">
        <v>0.33</v>
      </c>
      <c r="E46" s="114">
        <f t="shared" ca="1" si="5"/>
        <v>3</v>
      </c>
      <c r="F46" s="114">
        <f t="shared" ca="1" si="6"/>
        <v>0.99</v>
      </c>
      <c r="G46" s="114" t="s">
        <v>659</v>
      </c>
      <c r="H46" s="115" t="s">
        <v>1167</v>
      </c>
    </row>
    <row r="47" spans="1:8">
      <c r="A47" s="114" t="s">
        <v>1138</v>
      </c>
      <c r="B47" s="115" t="s">
        <v>523</v>
      </c>
      <c r="C47" s="114" t="s">
        <v>282</v>
      </c>
      <c r="D47" s="114">
        <v>0.33</v>
      </c>
      <c r="E47" s="114">
        <f t="shared" ca="1" si="5"/>
        <v>3</v>
      </c>
      <c r="F47" s="114">
        <f t="shared" ca="1" si="6"/>
        <v>0.99</v>
      </c>
      <c r="G47" s="114" t="s">
        <v>659</v>
      </c>
      <c r="H47" s="115" t="s">
        <v>1168</v>
      </c>
    </row>
    <row r="48" spans="1:8">
      <c r="A48" s="114" t="s">
        <v>1137</v>
      </c>
      <c r="B48" s="115" t="s">
        <v>970</v>
      </c>
      <c r="C48" s="114" t="s">
        <v>282</v>
      </c>
      <c r="D48" s="114">
        <v>0.33</v>
      </c>
      <c r="E48" s="114">
        <f t="shared" ca="1" si="5"/>
        <v>6</v>
      </c>
      <c r="F48" s="114">
        <f t="shared" ca="1" si="6"/>
        <v>1.98</v>
      </c>
      <c r="G48" s="114" t="s">
        <v>659</v>
      </c>
      <c r="H48" s="115" t="s">
        <v>1168</v>
      </c>
    </row>
    <row r="49" spans="1:8" ht="25.5">
      <c r="A49" s="114" t="s">
        <v>1246</v>
      </c>
      <c r="B49" s="115" t="s">
        <v>970</v>
      </c>
      <c r="C49" s="114" t="s">
        <v>282</v>
      </c>
      <c r="D49" s="114">
        <v>0.33</v>
      </c>
      <c r="E49" s="114">
        <f t="shared" ca="1" si="5"/>
        <v>4</v>
      </c>
      <c r="F49" s="114">
        <f t="shared" ref="F49" ca="1" si="7">IF(ISNUMBER(E49),$D49*E49,0)</f>
        <v>1.32</v>
      </c>
      <c r="G49" s="114" t="s">
        <v>659</v>
      </c>
      <c r="H49" s="115" t="s">
        <v>1247</v>
      </c>
    </row>
    <row r="50" spans="1:8">
      <c r="A50" s="114" t="s">
        <v>1143</v>
      </c>
      <c r="B50" s="115" t="s">
        <v>472</v>
      </c>
      <c r="C50" s="114" t="s">
        <v>282</v>
      </c>
      <c r="D50" s="114">
        <v>0.5</v>
      </c>
      <c r="E50" s="114">
        <f t="shared" ca="1" si="5"/>
        <v>4</v>
      </c>
      <c r="F50" s="114">
        <f t="shared" ca="1" si="6"/>
        <v>2</v>
      </c>
      <c r="G50" s="114" t="s">
        <v>659</v>
      </c>
      <c r="H50" s="115" t="s">
        <v>1169</v>
      </c>
    </row>
    <row r="51" spans="1:8" ht="25.5">
      <c r="A51" s="114" t="s">
        <v>1143</v>
      </c>
      <c r="B51" s="115" t="s">
        <v>1254</v>
      </c>
      <c r="C51" s="114" t="s">
        <v>282</v>
      </c>
      <c r="D51" s="114">
        <v>0.5</v>
      </c>
      <c r="E51" s="114">
        <f t="shared" ca="1" si="5"/>
        <v>2</v>
      </c>
      <c r="F51" s="114">
        <f t="shared" ref="F51" ca="1" si="8">IF(ISNUMBER(E51),$D51*E51,0)</f>
        <v>1</v>
      </c>
      <c r="G51" s="114" t="s">
        <v>659</v>
      </c>
      <c r="H51" s="115" t="s">
        <v>1261</v>
      </c>
    </row>
    <row r="52" spans="1:8" ht="38.25">
      <c r="A52" s="114" t="s">
        <v>1137</v>
      </c>
      <c r="B52" s="115" t="s">
        <v>82</v>
      </c>
      <c r="C52" s="114" t="s">
        <v>313</v>
      </c>
      <c r="D52" s="114">
        <v>0</v>
      </c>
      <c r="E52" s="114">
        <f t="shared" ca="1" si="5"/>
        <v>5</v>
      </c>
      <c r="F52" s="114">
        <f t="shared" ca="1" si="6"/>
        <v>0</v>
      </c>
      <c r="G52" s="114" t="s">
        <v>659</v>
      </c>
      <c r="H52" s="115" t="s">
        <v>1170</v>
      </c>
    </row>
    <row r="53" spans="1:8" ht="38.25">
      <c r="A53" s="114" t="s">
        <v>1143</v>
      </c>
      <c r="B53" s="115" t="s">
        <v>1503</v>
      </c>
      <c r="C53" s="114" t="s">
        <v>313</v>
      </c>
      <c r="D53" s="114">
        <v>0</v>
      </c>
      <c r="E53" s="114">
        <f t="shared" ca="1" si="5"/>
        <v>3</v>
      </c>
      <c r="F53" s="114">
        <f t="shared" ca="1" si="6"/>
        <v>0</v>
      </c>
      <c r="G53" s="114" t="s">
        <v>659</v>
      </c>
      <c r="H53" s="115" t="s">
        <v>1507</v>
      </c>
    </row>
    <row r="54" spans="1:8" ht="25.5">
      <c r="A54" s="114" t="s">
        <v>1139</v>
      </c>
      <c r="B54" s="115" t="s">
        <v>417</v>
      </c>
      <c r="C54" s="114" t="s">
        <v>313</v>
      </c>
      <c r="D54" s="114">
        <v>0</v>
      </c>
      <c r="E54" s="114">
        <f t="shared" ca="1" si="5"/>
        <v>3</v>
      </c>
      <c r="F54" s="114">
        <f t="shared" ca="1" si="6"/>
        <v>0</v>
      </c>
      <c r="G54" s="114" t="s">
        <v>659</v>
      </c>
      <c r="H54" s="115" t="s">
        <v>1318</v>
      </c>
    </row>
    <row r="55" spans="1:8" ht="51">
      <c r="A55" s="114" t="s">
        <v>1138</v>
      </c>
      <c r="B55" s="115" t="s">
        <v>559</v>
      </c>
      <c r="C55" s="114" t="s">
        <v>313</v>
      </c>
      <c r="D55" s="114">
        <v>0.5</v>
      </c>
      <c r="E55" s="114">
        <f t="shared" ca="1" si="5"/>
        <v>3</v>
      </c>
      <c r="F55" s="114">
        <f t="shared" ca="1" si="6"/>
        <v>1.5</v>
      </c>
      <c r="G55" s="114" t="s">
        <v>659</v>
      </c>
      <c r="H55" s="115" t="s">
        <v>1171</v>
      </c>
    </row>
    <row r="56" spans="1:8" ht="25.5">
      <c r="A56" s="114" t="s">
        <v>1143</v>
      </c>
      <c r="B56" s="115" t="s">
        <v>484</v>
      </c>
      <c r="C56" s="114" t="s">
        <v>313</v>
      </c>
      <c r="D56" s="114">
        <v>0</v>
      </c>
      <c r="E56" s="114">
        <f t="shared" ca="1" si="5"/>
        <v>3</v>
      </c>
      <c r="F56" s="114">
        <f t="shared" ca="1" si="6"/>
        <v>0</v>
      </c>
      <c r="G56" s="114" t="s">
        <v>659</v>
      </c>
      <c r="H56" s="115" t="s">
        <v>1172</v>
      </c>
    </row>
    <row r="57" spans="1:8">
      <c r="A57" s="114" t="s">
        <v>1137</v>
      </c>
      <c r="B57" s="115" t="s">
        <v>82</v>
      </c>
      <c r="C57" s="114" t="s">
        <v>375</v>
      </c>
      <c r="D57" s="114">
        <v>0.5</v>
      </c>
      <c r="E57" s="114">
        <f t="shared" ca="1" si="5"/>
        <v>5</v>
      </c>
      <c r="F57" s="114">
        <f t="shared" ca="1" si="6"/>
        <v>2.5</v>
      </c>
      <c r="G57" s="114" t="s">
        <v>659</v>
      </c>
      <c r="H57" s="115" t="s">
        <v>681</v>
      </c>
    </row>
    <row r="58" spans="1:8">
      <c r="A58" s="114" t="s">
        <v>1138</v>
      </c>
      <c r="B58" s="115" t="s">
        <v>84</v>
      </c>
      <c r="C58" s="114" t="s">
        <v>375</v>
      </c>
      <c r="D58" s="114">
        <v>0.5</v>
      </c>
      <c r="E58" s="114">
        <f t="shared" ca="1" si="5"/>
        <v>1</v>
      </c>
      <c r="F58" s="114">
        <f t="shared" ca="1" si="6"/>
        <v>0.5</v>
      </c>
      <c r="G58" s="114" t="s">
        <v>659</v>
      </c>
      <c r="H58" s="115" t="s">
        <v>1173</v>
      </c>
    </row>
    <row r="59" spans="1:8" ht="25.5">
      <c r="A59" s="114" t="s">
        <v>1138</v>
      </c>
      <c r="B59" s="115" t="s">
        <v>1068</v>
      </c>
      <c r="C59" s="114" t="s">
        <v>375</v>
      </c>
      <c r="D59" s="114">
        <v>0.5</v>
      </c>
      <c r="E59" s="114">
        <f t="shared" ca="1" si="5"/>
        <v>2</v>
      </c>
      <c r="F59" s="114">
        <f t="shared" ca="1" si="6"/>
        <v>1</v>
      </c>
      <c r="G59" s="114" t="s">
        <v>659</v>
      </c>
      <c r="H59" s="115" t="s">
        <v>1529</v>
      </c>
    </row>
    <row r="60" spans="1:8">
      <c r="A60" s="114" t="s">
        <v>1137</v>
      </c>
      <c r="B60" s="115" t="s">
        <v>374</v>
      </c>
      <c r="C60" s="114" t="s">
        <v>375</v>
      </c>
      <c r="D60" s="114">
        <v>0.33</v>
      </c>
      <c r="E60" s="114">
        <f t="shared" ca="1" si="5"/>
        <v>4</v>
      </c>
      <c r="F60" s="114">
        <f t="shared" ca="1" si="6"/>
        <v>1.32</v>
      </c>
      <c r="G60" s="114" t="s">
        <v>659</v>
      </c>
      <c r="H60" s="115" t="s">
        <v>682</v>
      </c>
    </row>
    <row r="61" spans="1:8">
      <c r="A61" s="114" t="s">
        <v>1138</v>
      </c>
      <c r="B61" s="115" t="s">
        <v>559</v>
      </c>
      <c r="C61" s="114" t="s">
        <v>375</v>
      </c>
      <c r="D61" s="114">
        <v>0.5</v>
      </c>
      <c r="E61" s="114">
        <f t="shared" ca="1" si="5"/>
        <v>3</v>
      </c>
      <c r="F61" s="114">
        <f t="shared" ca="1" si="6"/>
        <v>1.5</v>
      </c>
      <c r="G61" s="114" t="s">
        <v>659</v>
      </c>
      <c r="H61" s="115" t="s">
        <v>1174</v>
      </c>
    </row>
    <row r="62" spans="1:8" ht="38.25">
      <c r="A62" s="114" t="s">
        <v>1416</v>
      </c>
      <c r="B62" s="115" t="s">
        <v>556</v>
      </c>
      <c r="C62" s="114" t="s">
        <v>384</v>
      </c>
      <c r="D62" s="114">
        <v>0.2</v>
      </c>
      <c r="E62" s="114">
        <f t="shared" ca="1" si="5"/>
        <v>4</v>
      </c>
      <c r="F62" s="114">
        <f t="shared" ca="1" si="6"/>
        <v>0.8</v>
      </c>
      <c r="G62" s="114" t="s">
        <v>659</v>
      </c>
      <c r="H62" s="115" t="s">
        <v>1175</v>
      </c>
    </row>
    <row r="63" spans="1:8" ht="38.25">
      <c r="A63" s="114" t="s">
        <v>1138</v>
      </c>
      <c r="B63" s="115" t="s">
        <v>84</v>
      </c>
      <c r="C63" s="114" t="s">
        <v>384</v>
      </c>
      <c r="D63" s="114">
        <v>0.33</v>
      </c>
      <c r="E63" s="114">
        <f t="shared" ca="1" si="5"/>
        <v>1</v>
      </c>
      <c r="F63" s="114">
        <f t="shared" ca="1" si="6"/>
        <v>0.33</v>
      </c>
      <c r="G63" s="114" t="s">
        <v>659</v>
      </c>
      <c r="H63" s="115" t="s">
        <v>1176</v>
      </c>
    </row>
    <row r="64" spans="1:8" ht="25.5">
      <c r="A64" s="114" t="s">
        <v>1138</v>
      </c>
      <c r="B64" s="115" t="s">
        <v>1068</v>
      </c>
      <c r="C64" s="114" t="s">
        <v>384</v>
      </c>
      <c r="D64" s="114">
        <v>0.33</v>
      </c>
      <c r="E64" s="114">
        <f t="shared" ca="1" si="5"/>
        <v>2</v>
      </c>
      <c r="F64" s="114">
        <f t="shared" ca="1" si="6"/>
        <v>0.66</v>
      </c>
      <c r="G64" s="114" t="s">
        <v>659</v>
      </c>
      <c r="H64" s="115" t="s">
        <v>1177</v>
      </c>
    </row>
    <row r="65" spans="1:8" ht="51">
      <c r="A65" s="114" t="s">
        <v>1138</v>
      </c>
      <c r="B65" s="115" t="s">
        <v>1071</v>
      </c>
      <c r="C65" s="114" t="s">
        <v>384</v>
      </c>
      <c r="D65" s="114">
        <v>0.2</v>
      </c>
      <c r="E65" s="114">
        <f t="shared" ca="1" si="5"/>
        <v>4</v>
      </c>
      <c r="F65" s="114">
        <f t="shared" ca="1" si="6"/>
        <v>0.8</v>
      </c>
      <c r="G65" s="114" t="s">
        <v>659</v>
      </c>
      <c r="H65" s="115" t="s">
        <v>1178</v>
      </c>
    </row>
    <row r="66" spans="1:8" ht="38.25">
      <c r="A66" s="114" t="s">
        <v>1137</v>
      </c>
      <c r="B66" s="115" t="s">
        <v>82</v>
      </c>
      <c r="C66" s="114" t="s">
        <v>388</v>
      </c>
      <c r="D66" s="114">
        <v>0.33</v>
      </c>
      <c r="E66" s="114">
        <f t="shared" ca="1" si="5"/>
        <v>5</v>
      </c>
      <c r="F66" s="114">
        <f t="shared" ca="1" si="6"/>
        <v>1.6500000000000001</v>
      </c>
      <c r="G66" s="114" t="s">
        <v>659</v>
      </c>
      <c r="H66" s="115" t="s">
        <v>1179</v>
      </c>
    </row>
    <row r="67" spans="1:8" ht="25.5">
      <c r="A67" s="114" t="s">
        <v>1137</v>
      </c>
      <c r="B67" s="115" t="s">
        <v>374</v>
      </c>
      <c r="C67" s="114" t="s">
        <v>388</v>
      </c>
      <c r="D67" s="114">
        <v>0.33</v>
      </c>
      <c r="E67" s="114">
        <f t="shared" ca="1" si="5"/>
        <v>4</v>
      </c>
      <c r="F67" s="114">
        <f t="shared" ca="1" si="6"/>
        <v>1.32</v>
      </c>
      <c r="G67" s="114" t="s">
        <v>659</v>
      </c>
      <c r="H67" s="115" t="s">
        <v>1180</v>
      </c>
    </row>
    <row r="68" spans="1:8" ht="25.5">
      <c r="A68" s="114" t="s">
        <v>1138</v>
      </c>
      <c r="B68" s="115" t="s">
        <v>1071</v>
      </c>
      <c r="C68" s="114" t="s">
        <v>388</v>
      </c>
      <c r="D68" s="114">
        <v>0.33</v>
      </c>
      <c r="E68" s="114">
        <f t="shared" ca="1" si="5"/>
        <v>4</v>
      </c>
      <c r="F68" s="114">
        <f t="shared" ca="1" si="6"/>
        <v>1.32</v>
      </c>
      <c r="G68" s="114" t="s">
        <v>659</v>
      </c>
      <c r="H68" s="115" t="s">
        <v>1181</v>
      </c>
    </row>
    <row r="69" spans="1:8">
      <c r="A69" s="114" t="s">
        <v>1143</v>
      </c>
      <c r="B69" s="115" t="s">
        <v>481</v>
      </c>
      <c r="C69" s="114" t="s">
        <v>295</v>
      </c>
      <c r="D69" s="114">
        <v>0.33</v>
      </c>
      <c r="E69" s="114">
        <f t="shared" ca="1" si="5"/>
        <v>3</v>
      </c>
      <c r="F69" s="114">
        <f t="shared" ca="1" si="6"/>
        <v>0.99</v>
      </c>
      <c r="G69" s="114" t="s">
        <v>659</v>
      </c>
      <c r="H69" s="115" t="s">
        <v>662</v>
      </c>
    </row>
    <row r="70" spans="1:8">
      <c r="A70" s="114" t="s">
        <v>1147</v>
      </c>
      <c r="B70" s="115" t="s">
        <v>591</v>
      </c>
      <c r="C70" s="114" t="s">
        <v>295</v>
      </c>
      <c r="D70" s="114">
        <v>0.33</v>
      </c>
      <c r="E70" s="114">
        <f t="shared" ca="1" si="5"/>
        <v>4</v>
      </c>
      <c r="F70" s="114">
        <f t="shared" ca="1" si="6"/>
        <v>1.32</v>
      </c>
      <c r="G70" s="114" t="s">
        <v>659</v>
      </c>
      <c r="H70" s="115" t="s">
        <v>662</v>
      </c>
    </row>
    <row r="71" spans="1:8">
      <c r="A71" s="114" t="s">
        <v>1139</v>
      </c>
      <c r="B71" s="115" t="s">
        <v>1114</v>
      </c>
      <c r="C71" s="114" t="s">
        <v>295</v>
      </c>
      <c r="D71" s="114">
        <v>0.33</v>
      </c>
      <c r="E71" s="114">
        <f t="shared" ca="1" si="5"/>
        <v>3</v>
      </c>
      <c r="F71" s="114">
        <f t="shared" ca="1" si="6"/>
        <v>0.99</v>
      </c>
      <c r="G71" s="114" t="s">
        <v>659</v>
      </c>
      <c r="H71" s="115" t="s">
        <v>1182</v>
      </c>
    </row>
    <row r="72" spans="1:8" ht="38.25">
      <c r="A72" s="114" t="s">
        <v>1134</v>
      </c>
      <c r="B72" s="115" t="s">
        <v>86</v>
      </c>
      <c r="C72" s="114" t="s">
        <v>349</v>
      </c>
      <c r="D72" s="114">
        <v>0</v>
      </c>
      <c r="E72" s="114">
        <f t="shared" ca="1" si="5"/>
        <v>4</v>
      </c>
      <c r="F72" s="114">
        <f t="shared" ca="1" si="6"/>
        <v>0</v>
      </c>
      <c r="G72" s="114" t="s">
        <v>659</v>
      </c>
      <c r="H72" s="115" t="s">
        <v>1183</v>
      </c>
    </row>
    <row r="73" spans="1:8" ht="25.5">
      <c r="A73" s="114" t="s">
        <v>1139</v>
      </c>
      <c r="B73" s="115" t="s">
        <v>427</v>
      </c>
      <c r="C73" s="114" t="s">
        <v>349</v>
      </c>
      <c r="D73" s="114">
        <v>0</v>
      </c>
      <c r="E73" s="114">
        <f t="shared" ca="1" si="5"/>
        <v>4</v>
      </c>
      <c r="F73" s="114">
        <f t="shared" ca="1" si="6"/>
        <v>0</v>
      </c>
      <c r="G73" s="114" t="s">
        <v>659</v>
      </c>
      <c r="H73" s="115" t="s">
        <v>1184</v>
      </c>
    </row>
    <row r="74" spans="1:8" ht="25.5">
      <c r="A74" s="114" t="s">
        <v>1134</v>
      </c>
      <c r="B74" s="115" t="s">
        <v>517</v>
      </c>
      <c r="C74" s="114" t="s">
        <v>337</v>
      </c>
      <c r="D74" s="114">
        <v>0</v>
      </c>
      <c r="E74" s="114">
        <f t="shared" ca="1" si="5"/>
        <v>3</v>
      </c>
      <c r="F74" s="114">
        <f t="shared" ca="1" si="6"/>
        <v>0</v>
      </c>
      <c r="G74" s="114" t="s">
        <v>659</v>
      </c>
      <c r="H74" s="115" t="s">
        <v>1185</v>
      </c>
    </row>
    <row r="75" spans="1:8">
      <c r="A75" s="114" t="s">
        <v>1134</v>
      </c>
      <c r="B75" s="115" t="s">
        <v>586</v>
      </c>
      <c r="C75" s="114" t="s">
        <v>337</v>
      </c>
      <c r="D75" s="114">
        <v>0.2</v>
      </c>
      <c r="E75" s="114">
        <f t="shared" ca="1" si="5"/>
        <v>3</v>
      </c>
      <c r="F75" s="114">
        <f t="shared" ca="1" si="6"/>
        <v>0.60000000000000009</v>
      </c>
      <c r="G75" s="114" t="s">
        <v>659</v>
      </c>
      <c r="H75" s="115" t="s">
        <v>1186</v>
      </c>
    </row>
    <row r="76" spans="1:8">
      <c r="A76" s="114" t="s">
        <v>1137</v>
      </c>
      <c r="B76" s="115" t="s">
        <v>82</v>
      </c>
      <c r="C76" s="114" t="s">
        <v>299</v>
      </c>
      <c r="D76" s="114">
        <v>0</v>
      </c>
      <c r="E76" s="114">
        <f t="shared" ca="1" si="5"/>
        <v>5</v>
      </c>
      <c r="F76" s="114">
        <f t="shared" ca="1" si="6"/>
        <v>0</v>
      </c>
      <c r="G76" s="114" t="s">
        <v>659</v>
      </c>
      <c r="H76" s="115" t="s">
        <v>1187</v>
      </c>
    </row>
    <row r="77" spans="1:8">
      <c r="A77" s="114" t="s">
        <v>1137</v>
      </c>
      <c r="B77" s="115" t="s">
        <v>488</v>
      </c>
      <c r="C77" s="114" t="s">
        <v>308</v>
      </c>
      <c r="D77" s="114">
        <v>0</v>
      </c>
      <c r="E77" s="114">
        <f t="shared" ca="1" si="5"/>
        <v>6</v>
      </c>
      <c r="F77" s="114">
        <f t="shared" ca="1" si="6"/>
        <v>0</v>
      </c>
      <c r="G77" s="114" t="s">
        <v>659</v>
      </c>
      <c r="H77" s="115" t="s">
        <v>1188</v>
      </c>
    </row>
    <row r="78" spans="1:8" ht="25.5">
      <c r="A78" s="114" t="s">
        <v>1147</v>
      </c>
      <c r="B78" s="115" t="s">
        <v>1039</v>
      </c>
      <c r="C78" s="114" t="s">
        <v>912</v>
      </c>
      <c r="D78" s="114">
        <v>0</v>
      </c>
      <c r="E78" s="114">
        <f t="shared" ca="1" si="5"/>
        <v>3</v>
      </c>
      <c r="F78" s="114">
        <f t="shared" ca="1" si="6"/>
        <v>0</v>
      </c>
      <c r="G78" s="114" t="s">
        <v>659</v>
      </c>
      <c r="H78" s="115" t="s">
        <v>1189</v>
      </c>
    </row>
    <row r="79" spans="1:8" ht="25.5">
      <c r="A79" s="114" t="s">
        <v>1555</v>
      </c>
      <c r="B79" s="115" t="s">
        <v>1542</v>
      </c>
      <c r="C79" s="114" t="s">
        <v>1556</v>
      </c>
      <c r="D79" s="114">
        <v>0.5</v>
      </c>
      <c r="E79" s="114">
        <f t="shared" ca="1" si="5"/>
        <v>3</v>
      </c>
      <c r="F79" s="114">
        <f t="shared" ref="F79:F81" ca="1" si="9">IF(ISNUMBER(E79),$D79*E79,0)</f>
        <v>1.5</v>
      </c>
      <c r="G79" s="114" t="s">
        <v>1557</v>
      </c>
      <c r="H79" s="115" t="s">
        <v>1558</v>
      </c>
    </row>
    <row r="80" spans="1:8" ht="38.25">
      <c r="A80" s="114" t="s">
        <v>1555</v>
      </c>
      <c r="B80" s="115" t="s">
        <v>1542</v>
      </c>
      <c r="C80" s="114" t="s">
        <v>1232</v>
      </c>
      <c r="D80" s="114">
        <v>0.5</v>
      </c>
      <c r="E80" s="114">
        <f t="shared" ca="1" si="5"/>
        <v>3</v>
      </c>
      <c r="F80" s="114">
        <f t="shared" ca="1" si="9"/>
        <v>1.5</v>
      </c>
      <c r="G80" s="114" t="s">
        <v>1557</v>
      </c>
      <c r="H80" s="115" t="s">
        <v>1559</v>
      </c>
    </row>
    <row r="81" spans="1:8" ht="25.5">
      <c r="A81" s="114" t="s">
        <v>1555</v>
      </c>
      <c r="B81" s="115" t="s">
        <v>1542</v>
      </c>
      <c r="C81" s="114" t="s">
        <v>1560</v>
      </c>
      <c r="D81" s="114">
        <v>0.2</v>
      </c>
      <c r="E81" s="114">
        <f t="shared" ca="1" si="5"/>
        <v>3</v>
      </c>
      <c r="F81" s="114">
        <f t="shared" ca="1" si="9"/>
        <v>0.60000000000000009</v>
      </c>
      <c r="G81" s="114" t="s">
        <v>1557</v>
      </c>
      <c r="H81" s="115" t="s">
        <v>1561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1190</v>
      </c>
    </row>
    <row r="2" spans="1:9">
      <c r="A2" s="119" t="s">
        <v>1191</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1607</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1192</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1526</v>
      </c>
      <c r="H7" s="124" t="s">
        <v>1193</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1509</v>
      </c>
      <c r="H8" s="124" t="s">
        <v>1194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1314</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1527</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1469</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1562</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1563</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1403</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1581</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1478</v>
      </c>
      <c r="H16" s="124" t="s">
        <v>1195</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1444</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1442</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1429</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1196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1410</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1570</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1411</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1494</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1430</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1197</v>
      </c>
    </row>
    <row r="27" spans="1:6">
      <c r="A27" s="107" t="s">
        <v>759</v>
      </c>
      <c r="B27" s="116">
        <f>SUM(B5:B26)</f>
        <v>235</v>
      </c>
      <c r="D27" s="116">
        <f ca="1">SUM(D5:D26)</f>
        <v>308</v>
      </c>
    </row>
    <row r="29" spans="1:6">
      <c r="A29" s="107" t="s">
        <v>760</v>
      </c>
    </row>
    <row r="30" spans="1:6">
      <c r="A30" s="123" t="s">
        <v>1198</v>
      </c>
    </row>
    <row r="31" spans="1:6">
      <c r="A31" s="123" t="s">
        <v>1199</v>
      </c>
    </row>
    <row r="32" spans="1:6">
      <c r="A32" s="123" t="s">
        <v>1200</v>
      </c>
    </row>
    <row r="33" spans="1:1">
      <c r="A33" s="123" t="s">
        <v>1201</v>
      </c>
    </row>
    <row r="35" spans="1:1">
      <c r="A35" s="107" t="s">
        <v>1202</v>
      </c>
    </row>
    <row r="36" spans="1:1">
      <c r="A36" s="123" t="s">
        <v>1203</v>
      </c>
    </row>
    <row r="37" spans="1:1">
      <c r="A37" s="123" t="s">
        <v>1204</v>
      </c>
    </row>
    <row r="38" spans="1:1">
      <c r="A38" s="123" t="s">
        <v>1205</v>
      </c>
    </row>
    <row r="39" spans="1:1">
      <c r="A39" s="123" t="s">
        <v>1206</v>
      </c>
    </row>
    <row r="40" spans="1:1">
      <c r="A40" s="123" t="s">
        <v>1207</v>
      </c>
    </row>
    <row r="41" spans="1:1">
      <c r="A41" s="123" t="s">
        <v>1208</v>
      </c>
    </row>
    <row r="42" spans="1:1">
      <c r="A42" s="123" t="s">
        <v>1209</v>
      </c>
    </row>
    <row r="43" spans="1:1">
      <c r="A43" s="123" t="s">
        <v>1210</v>
      </c>
    </row>
    <row r="44" spans="1:1">
      <c r="A44" s="123" t="s">
        <v>1211</v>
      </c>
    </row>
    <row r="45" spans="1:1">
      <c r="A45" s="123" t="s">
        <v>1327</v>
      </c>
    </row>
    <row r="47" spans="1:1">
      <c r="A47" s="107" t="s">
        <v>1212</v>
      </c>
    </row>
    <row r="48" spans="1:1">
      <c r="A48" s="123" t="s">
        <v>1213</v>
      </c>
    </row>
    <row r="49" spans="1:1">
      <c r="A49" s="123" t="s">
        <v>1214</v>
      </c>
    </row>
    <row r="50" spans="1:1">
      <c r="A50" s="123" t="s">
        <v>1215</v>
      </c>
    </row>
    <row r="51" spans="1:1">
      <c r="A51" s="123" t="s">
        <v>1216</v>
      </c>
    </row>
    <row r="53" spans="1:1">
      <c r="A53" s="107" t="s">
        <v>1217</v>
      </c>
    </row>
    <row r="54" spans="1:1">
      <c r="A54" s="123" t="s">
        <v>1218</v>
      </c>
    </row>
    <row r="55" spans="1:1">
      <c r="A55" s="123" t="s">
        <v>1464</v>
      </c>
    </row>
    <row r="56" spans="1:1">
      <c r="A56" s="123" t="s">
        <v>1219</v>
      </c>
    </row>
    <row r="57" spans="1:1">
      <c r="A57" s="123" t="s">
        <v>1220</v>
      </c>
    </row>
    <row r="58" spans="1:1">
      <c r="A58" s="123" t="s">
        <v>1221</v>
      </c>
    </row>
    <row r="59" spans="1:1">
      <c r="A59" s="123" t="s">
        <v>1222</v>
      </c>
    </row>
    <row r="60" spans="1:1">
      <c r="A60" s="123" t="s">
        <v>1298</v>
      </c>
    </row>
    <row r="61" spans="1:1">
      <c r="A61" s="123" t="s">
        <v>1223</v>
      </c>
    </row>
    <row r="62" spans="1:1">
      <c r="A62" s="123" t="s">
        <v>1404</v>
      </c>
    </row>
    <row r="63" spans="1:1">
      <c r="A63" s="123" t="s">
        <v>1460</v>
      </c>
    </row>
    <row r="65" spans="1:1">
      <c r="A65" s="107" t="s">
        <v>1224</v>
      </c>
    </row>
    <row r="66" spans="1:1">
      <c r="A66" s="123" t="s">
        <v>1225</v>
      </c>
    </row>
    <row r="67" spans="1:1">
      <c r="A67" s="123" t="s">
        <v>1226</v>
      </c>
    </row>
    <row r="68" spans="1:1">
      <c r="A68" s="123" t="s">
        <v>1227</v>
      </c>
    </row>
    <row r="69" spans="1:1">
      <c r="A69" s="123" t="s">
        <v>1228</v>
      </c>
    </row>
    <row r="70" spans="1:1">
      <c r="A70" s="123" t="s">
        <v>1229</v>
      </c>
    </row>
    <row r="71" spans="1:1">
      <c r="A71" s="123" t="s">
        <v>1431</v>
      </c>
    </row>
    <row r="72" spans="1:1">
      <c r="A72" s="123" t="s">
        <v>1230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2026-10-23T05:31:54Z</dcterms:modified>
  <dc:language>en-US</dc:language>
</cp:coreProperties>
</file>