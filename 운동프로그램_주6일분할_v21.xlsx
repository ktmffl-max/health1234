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b2bc197408547891/Desktop/운동/"/>
    </mc:Choice>
  </mc:AlternateContent>
  <xr:revisionPtr revIDLastSave="4116" documentId="11_6AF0B42629B6F5CFF7DAC05DB27E968F34409905" xr6:coauthVersionLast="47" xr6:coauthVersionMax="47" xr10:uidLastSave="{D6F54E9D-9ECE-4D18-A15F-F5E4DD39A413}"/>
  <bookViews>
    <workbookView xWindow="-120" yWindow="-120" windowWidth="38640" windowHeight="21120" tabRatio="976" firstSheet="7" activeTab="14" xr2:uid="{00000000-000D-0000-FFFF-FFFF00000000}"/>
  </bookViews>
  <sheets>
    <sheet name="시작중량_설정" sheetId="1" r:id="rId1"/>
    <sheet name="주간계획" sheetId="2" r:id="rId2"/>
    <sheet name="D1_당기기A" sheetId="3" r:id="rId3"/>
    <sheet name="D2_밀기A" sheetId="4" r:id="rId4"/>
    <sheet name="D3_하체A" sheetId="5" r:id="rId5"/>
    <sheet name="D4_어깨팔A" sheetId="6" r:id="rId6"/>
    <sheet name="D6_당기기B" sheetId="7" r:id="rId7"/>
    <sheet name="D7_밀기B" sheetId="8" r:id="rId8"/>
    <sheet name="D8_하체B" sheetId="9" r:id="rId9"/>
    <sheet name="D9_어깨팔B" sheetId="10" r:id="rId10"/>
    <sheet name="간접계수맵" sheetId="11" r:id="rId11"/>
    <sheet name="세트검산" sheetId="12" r:id="rId12"/>
    <sheet name="증량기록" sheetId="13" r:id="rId13"/>
    <sheet name="9월이후조정" sheetId="14" r:id="rId14"/>
    <sheet name="분할_주간계획" sheetId="15" r:id="rId15"/>
    <sheet name="분할_월_하체A" sheetId="28" r:id="rId16"/>
    <sheet name="분할_화_가슴" sheetId="29" r:id="rId17"/>
    <sheet name="분할_수_등" sheetId="30" r:id="rId18"/>
    <sheet name="분할_목_어깨" sheetId="31" r:id="rId19"/>
    <sheet name="분할_금_하체B" sheetId="32" r:id="rId20"/>
    <sheet name="분할_토_가슴등" sheetId="33" r:id="rId21"/>
    <sheet name="복귀_집계단" sheetId="27" r:id="rId22"/>
    <sheet name="복귀_캐리" sheetId="25" r:id="rId23"/>
    <sheet name="복귀_스텝박스" sheetId="26" r:id="rId24"/>
    <sheet name="복귀_증량원칙" sheetId="22" r:id="rId2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28" l="1"/>
  <c r="B36" i="15"/>
  <c r="E12" i="15"/>
  <c r="E23" i="33"/>
  <c r="I22" i="33"/>
  <c r="I21" i="33"/>
  <c r="I20" i="33"/>
  <c r="I19" i="33"/>
  <c r="I18" i="33"/>
  <c r="I17" i="33"/>
  <c r="I16" i="33"/>
  <c r="I15" i="33"/>
  <c r="I14" i="33"/>
  <c r="I13" i="33"/>
  <c r="I12" i="33"/>
  <c r="I11" i="33"/>
  <c r="I10" i="33"/>
  <c r="I9" i="33"/>
  <c r="I23" i="33" s="1"/>
  <c r="D10" i="15" s="1"/>
  <c r="F10" i="15" s="1"/>
  <c r="E27" i="32"/>
  <c r="I26" i="32"/>
  <c r="I25" i="32"/>
  <c r="I24" i="32"/>
  <c r="I23" i="32"/>
  <c r="I22" i="32"/>
  <c r="I21" i="32"/>
  <c r="I20" i="32"/>
  <c r="I19" i="32"/>
  <c r="I18" i="32"/>
  <c r="I17" i="32"/>
  <c r="E24" i="31"/>
  <c r="I23" i="31"/>
  <c r="I22" i="31"/>
  <c r="I21" i="31"/>
  <c r="I20" i="31"/>
  <c r="I19" i="31"/>
  <c r="I18" i="31"/>
  <c r="I17" i="31"/>
  <c r="I16" i="31"/>
  <c r="I15" i="31"/>
  <c r="I24" i="31" s="1"/>
  <c r="D8" i="15" s="1"/>
  <c r="F8" i="15" s="1"/>
  <c r="E22" i="30"/>
  <c r="I21" i="30"/>
  <c r="I20" i="30"/>
  <c r="I19" i="30"/>
  <c r="I18" i="30"/>
  <c r="I17" i="30"/>
  <c r="I16" i="30"/>
  <c r="I15" i="30"/>
  <c r="I14" i="30"/>
  <c r="I13" i="30"/>
  <c r="I12" i="30"/>
  <c r="I11" i="30"/>
  <c r="I10" i="30"/>
  <c r="I22" i="30" s="1"/>
  <c r="D7" i="15" s="1"/>
  <c r="F7" i="15" s="1"/>
  <c r="E30" i="29"/>
  <c r="I29" i="29"/>
  <c r="I28" i="29"/>
  <c r="I27" i="29"/>
  <c r="I26" i="29"/>
  <c r="I25" i="29"/>
  <c r="I24" i="29"/>
  <c r="I23" i="29"/>
  <c r="I22" i="29"/>
  <c r="I21" i="29"/>
  <c r="I20" i="29"/>
  <c r="I19" i="29"/>
  <c r="I18" i="29"/>
  <c r="E28" i="28"/>
  <c r="I27" i="28"/>
  <c r="I26" i="28"/>
  <c r="I25" i="28"/>
  <c r="I24" i="28"/>
  <c r="I23" i="28"/>
  <c r="I22" i="28"/>
  <c r="I21" i="28"/>
  <c r="I20" i="28"/>
  <c r="I18" i="28"/>
  <c r="I17" i="28"/>
  <c r="E22" i="1"/>
  <c r="D10" i="33" s="1"/>
  <c r="AJ29" i="13"/>
  <c r="AJ30" i="13" s="1"/>
  <c r="AJ31" i="13" s="1"/>
  <c r="AJ32" i="13" s="1"/>
  <c r="AJ33" i="13" s="1"/>
  <c r="AJ34" i="13" s="1"/>
  <c r="AJ35" i="13" s="1"/>
  <c r="AJ36" i="13" s="1"/>
  <c r="AJ37" i="13" s="1"/>
  <c r="AJ38" i="13" s="1"/>
  <c r="AJ39" i="13" s="1"/>
  <c r="AJ40" i="13" s="1"/>
  <c r="AJ41" i="13" s="1"/>
  <c r="AJ42" i="13" s="1"/>
  <c r="AJ43" i="13" s="1"/>
  <c r="AJ44" i="13" s="1"/>
  <c r="AJ45" i="13" s="1"/>
  <c r="AJ46" i="13" s="1"/>
  <c r="AJ47" i="13" s="1"/>
  <c r="AJ48" i="13" s="1"/>
  <c r="AJ49" i="13" s="1"/>
  <c r="AJ50" i="13" s="1"/>
  <c r="AJ51" i="13" s="1"/>
  <c r="E21" i="1"/>
  <c r="D16" i="30" s="1"/>
  <c r="AH29" i="13"/>
  <c r="AH30" i="13" s="1"/>
  <c r="AH31" i="13" s="1"/>
  <c r="AH32" i="13" s="1"/>
  <c r="AH33" i="13" s="1"/>
  <c r="AH34" i="13" s="1"/>
  <c r="AH35" i="13" s="1"/>
  <c r="AH36" i="13" s="1"/>
  <c r="AH37" i="13" s="1"/>
  <c r="AH38" i="13" s="1"/>
  <c r="AH39" i="13" s="1"/>
  <c r="AH40" i="13" s="1"/>
  <c r="AH41" i="13" s="1"/>
  <c r="AH42" i="13" s="1"/>
  <c r="AH43" i="13" s="1"/>
  <c r="AH44" i="13" s="1"/>
  <c r="AH45" i="13" s="1"/>
  <c r="AH46" i="13" s="1"/>
  <c r="AH47" i="13" s="1"/>
  <c r="AH48" i="13" s="1"/>
  <c r="AH49" i="13" s="1"/>
  <c r="AH50" i="13" s="1"/>
  <c r="AH51" i="13" s="1"/>
  <c r="E20" i="1"/>
  <c r="D23" i="31" s="1"/>
  <c r="AF29" i="13"/>
  <c r="AF30" i="13" s="1"/>
  <c r="AF31" i="13" s="1"/>
  <c r="AF32" i="13" s="1"/>
  <c r="AF33" i="13" s="1"/>
  <c r="AF34" i="13" s="1"/>
  <c r="AF35" i="13" s="1"/>
  <c r="AF36" i="13" s="1"/>
  <c r="AF37" i="13" s="1"/>
  <c r="AF38" i="13" s="1"/>
  <c r="AF39" i="13" s="1"/>
  <c r="AF40" i="13" s="1"/>
  <c r="AF41" i="13" s="1"/>
  <c r="AF42" i="13" s="1"/>
  <c r="AF43" i="13" s="1"/>
  <c r="AF44" i="13" s="1"/>
  <c r="AF45" i="13" s="1"/>
  <c r="AF46" i="13" s="1"/>
  <c r="AF47" i="13" s="1"/>
  <c r="AF48" i="13" s="1"/>
  <c r="AF49" i="13" s="1"/>
  <c r="AF50" i="13" s="1"/>
  <c r="AF51" i="13" s="1"/>
  <c r="E19" i="1"/>
  <c r="AD29" i="13"/>
  <c r="AD30" i="13" s="1"/>
  <c r="AD31" i="13" s="1"/>
  <c r="AD32" i="13" s="1"/>
  <c r="AD33" i="13" s="1"/>
  <c r="AD34" i="13" s="1"/>
  <c r="AD35" i="13" s="1"/>
  <c r="AD36" i="13" s="1"/>
  <c r="AD37" i="13" s="1"/>
  <c r="AD38" i="13" s="1"/>
  <c r="AD39" i="13" s="1"/>
  <c r="AD40" i="13" s="1"/>
  <c r="AD41" i="13" s="1"/>
  <c r="AD42" i="13" s="1"/>
  <c r="AD43" i="13" s="1"/>
  <c r="AD44" i="13" s="1"/>
  <c r="AD45" i="13" s="1"/>
  <c r="AD46" i="13" s="1"/>
  <c r="AD47" i="13" s="1"/>
  <c r="AD48" i="13" s="1"/>
  <c r="AD49" i="13" s="1"/>
  <c r="AD50" i="13" s="1"/>
  <c r="AD51" i="13" s="1"/>
  <c r="E18" i="1"/>
  <c r="AB29" i="13"/>
  <c r="AB30" i="13" s="1"/>
  <c r="AB31" i="13" s="1"/>
  <c r="AB32" i="13" s="1"/>
  <c r="AB33" i="13" s="1"/>
  <c r="AB34" i="13" s="1"/>
  <c r="AB35" i="13" s="1"/>
  <c r="AB36" i="13" s="1"/>
  <c r="AB37" i="13" s="1"/>
  <c r="AB38" i="13" s="1"/>
  <c r="AB39" i="13" s="1"/>
  <c r="AB40" i="13" s="1"/>
  <c r="AB41" i="13" s="1"/>
  <c r="AB42" i="13" s="1"/>
  <c r="AB43" i="13" s="1"/>
  <c r="AB44" i="13" s="1"/>
  <c r="AB45" i="13" s="1"/>
  <c r="AB46" i="13" s="1"/>
  <c r="AB47" i="13" s="1"/>
  <c r="AB48" i="13" s="1"/>
  <c r="AB49" i="13" s="1"/>
  <c r="AB50" i="13" s="1"/>
  <c r="AB51" i="13" s="1"/>
  <c r="E17" i="1"/>
  <c r="D21" i="31" s="1"/>
  <c r="Z29" i="13"/>
  <c r="Z30" i="13" s="1"/>
  <c r="Z31" i="13" s="1"/>
  <c r="Z32" i="13" s="1"/>
  <c r="Z33" i="13" s="1"/>
  <c r="Z34" i="13" s="1"/>
  <c r="Z35" i="13" s="1"/>
  <c r="Z36" i="13" s="1"/>
  <c r="Z37" i="13" s="1"/>
  <c r="Z38" i="13" s="1"/>
  <c r="Z39" i="13" s="1"/>
  <c r="Z40" i="13" s="1"/>
  <c r="Z41" i="13" s="1"/>
  <c r="Z42" i="13" s="1"/>
  <c r="Z43" i="13" s="1"/>
  <c r="Z44" i="13" s="1"/>
  <c r="Z45" i="13" s="1"/>
  <c r="Z46" i="13" s="1"/>
  <c r="Z47" i="13" s="1"/>
  <c r="Z48" i="13" s="1"/>
  <c r="Z49" i="13" s="1"/>
  <c r="Z50" i="13" s="1"/>
  <c r="Z51" i="13" s="1"/>
  <c r="E16" i="1"/>
  <c r="D20" i="32" s="1"/>
  <c r="X29" i="13"/>
  <c r="X30" i="13" s="1"/>
  <c r="X31" i="13" s="1"/>
  <c r="X32" i="13" s="1"/>
  <c r="X33" i="13" s="1"/>
  <c r="X34" i="13" s="1"/>
  <c r="X35" i="13" s="1"/>
  <c r="X36" i="13" s="1"/>
  <c r="X37" i="13" s="1"/>
  <c r="X38" i="13" s="1"/>
  <c r="X39" i="13" s="1"/>
  <c r="X40" i="13" s="1"/>
  <c r="X41" i="13" s="1"/>
  <c r="X42" i="13" s="1"/>
  <c r="X43" i="13" s="1"/>
  <c r="X44" i="13" s="1"/>
  <c r="X45" i="13" s="1"/>
  <c r="X46" i="13" s="1"/>
  <c r="X47" i="13" s="1"/>
  <c r="X48" i="13" s="1"/>
  <c r="X49" i="13" s="1"/>
  <c r="X50" i="13" s="1"/>
  <c r="X51" i="13" s="1"/>
  <c r="E15" i="1"/>
  <c r="D19" i="32" s="1"/>
  <c r="V29" i="13"/>
  <c r="V30" i="13" s="1"/>
  <c r="V31" i="13" s="1"/>
  <c r="V32" i="13" s="1"/>
  <c r="V33" i="13" s="1"/>
  <c r="V34" i="13" s="1"/>
  <c r="V35" i="13" s="1"/>
  <c r="V36" i="13" s="1"/>
  <c r="V37" i="13" s="1"/>
  <c r="V38" i="13" s="1"/>
  <c r="V39" i="13" s="1"/>
  <c r="V40" i="13" s="1"/>
  <c r="V41" i="13" s="1"/>
  <c r="V42" i="13" s="1"/>
  <c r="V43" i="13" s="1"/>
  <c r="V44" i="13" s="1"/>
  <c r="V45" i="13" s="1"/>
  <c r="V46" i="13" s="1"/>
  <c r="V47" i="13" s="1"/>
  <c r="V48" i="13" s="1"/>
  <c r="V49" i="13" s="1"/>
  <c r="V50" i="13" s="1"/>
  <c r="V51" i="13" s="1"/>
  <c r="E14" i="1"/>
  <c r="T29" i="13"/>
  <c r="T30" i="13" s="1"/>
  <c r="T31" i="13" s="1"/>
  <c r="T32" i="13" s="1"/>
  <c r="T33" i="13" s="1"/>
  <c r="T34" i="13" s="1"/>
  <c r="T35" i="13" s="1"/>
  <c r="T36" i="13" s="1"/>
  <c r="T37" i="13" s="1"/>
  <c r="T38" i="13" s="1"/>
  <c r="T39" i="13" s="1"/>
  <c r="T40" i="13" s="1"/>
  <c r="T41" i="13" s="1"/>
  <c r="T42" i="13" s="1"/>
  <c r="T43" i="13" s="1"/>
  <c r="T44" i="13" s="1"/>
  <c r="T45" i="13" s="1"/>
  <c r="T46" i="13" s="1"/>
  <c r="T47" i="13" s="1"/>
  <c r="T48" i="13" s="1"/>
  <c r="T49" i="13" s="1"/>
  <c r="T50" i="13" s="1"/>
  <c r="T51" i="13" s="1"/>
  <c r="E13" i="1"/>
  <c r="D18" i="28" s="1"/>
  <c r="R29" i="13"/>
  <c r="R30" i="13" s="1"/>
  <c r="R31" i="13" s="1"/>
  <c r="R32" i="13" s="1"/>
  <c r="R33" i="13" s="1"/>
  <c r="R34" i="13" s="1"/>
  <c r="R35" i="13" s="1"/>
  <c r="R36" i="13" s="1"/>
  <c r="R37" i="13" s="1"/>
  <c r="R38" i="13" s="1"/>
  <c r="R39" i="13" s="1"/>
  <c r="R40" i="13" s="1"/>
  <c r="R41" i="13" s="1"/>
  <c r="R42" i="13" s="1"/>
  <c r="R43" i="13" s="1"/>
  <c r="R44" i="13" s="1"/>
  <c r="R45" i="13" s="1"/>
  <c r="R46" i="13" s="1"/>
  <c r="R47" i="13" s="1"/>
  <c r="R48" i="13" s="1"/>
  <c r="R49" i="13" s="1"/>
  <c r="R50" i="13" s="1"/>
  <c r="R51" i="13" s="1"/>
  <c r="E12" i="1"/>
  <c r="D13" i="33" s="1"/>
  <c r="E11" i="1"/>
  <c r="D11" i="30" s="1"/>
  <c r="P29" i="13"/>
  <c r="P30" i="13" s="1"/>
  <c r="P31" i="13" s="1"/>
  <c r="P32" i="13" s="1"/>
  <c r="P33" i="13" s="1"/>
  <c r="P34" i="13" s="1"/>
  <c r="P35" i="13" s="1"/>
  <c r="P36" i="13" s="1"/>
  <c r="P37" i="13" s="1"/>
  <c r="P38" i="13" s="1"/>
  <c r="P39" i="13" s="1"/>
  <c r="P40" i="13" s="1"/>
  <c r="P41" i="13" s="1"/>
  <c r="P42" i="13" s="1"/>
  <c r="P43" i="13" s="1"/>
  <c r="P44" i="13" s="1"/>
  <c r="P45" i="13" s="1"/>
  <c r="P46" i="13" s="1"/>
  <c r="P47" i="13" s="1"/>
  <c r="P48" i="13" s="1"/>
  <c r="P49" i="13" s="1"/>
  <c r="P50" i="13" s="1"/>
  <c r="P51" i="13" s="1"/>
  <c r="N29" i="13"/>
  <c r="N30" i="13" s="1"/>
  <c r="N31" i="13" s="1"/>
  <c r="N32" i="13" s="1"/>
  <c r="N33" i="13" s="1"/>
  <c r="N34" i="13" s="1"/>
  <c r="N35" i="13" s="1"/>
  <c r="N36" i="13" s="1"/>
  <c r="N37" i="13" s="1"/>
  <c r="N38" i="13" s="1"/>
  <c r="N39" i="13" s="1"/>
  <c r="N40" i="13" s="1"/>
  <c r="N41" i="13" s="1"/>
  <c r="N42" i="13" s="1"/>
  <c r="N43" i="13" s="1"/>
  <c r="N44" i="13" s="1"/>
  <c r="N45" i="13" s="1"/>
  <c r="N46" i="13" s="1"/>
  <c r="N47" i="13" s="1"/>
  <c r="N48" i="13" s="1"/>
  <c r="N49" i="13" s="1"/>
  <c r="N50" i="13" s="1"/>
  <c r="N51" i="13" s="1"/>
  <c r="D35" i="25"/>
  <c r="D34" i="25"/>
  <c r="D33" i="25"/>
  <c r="D32" i="25"/>
  <c r="D31" i="25"/>
  <c r="D30" i="25"/>
  <c r="D29" i="25"/>
  <c r="D28" i="25"/>
  <c r="D27" i="25"/>
  <c r="D26" i="25"/>
  <c r="D25" i="25"/>
  <c r="D24" i="25"/>
  <c r="D23" i="25"/>
  <c r="D22" i="25"/>
  <c r="D21" i="25"/>
  <c r="D20" i="25"/>
  <c r="D19" i="25"/>
  <c r="D18" i="25"/>
  <c r="I22" i="13"/>
  <c r="I23" i="13" s="1"/>
  <c r="I24" i="13" s="1"/>
  <c r="I25" i="13" s="1"/>
  <c r="I26" i="13" s="1"/>
  <c r="I27" i="13" s="1"/>
  <c r="I28" i="13" s="1"/>
  <c r="I29" i="13" s="1"/>
  <c r="I30" i="13" s="1"/>
  <c r="I31" i="13" s="1"/>
  <c r="I32" i="13" s="1"/>
  <c r="I33" i="13" s="1"/>
  <c r="I34" i="13" s="1"/>
  <c r="I35" i="13" s="1"/>
  <c r="I36" i="13" s="1"/>
  <c r="I37" i="13" s="1"/>
  <c r="I38" i="13" s="1"/>
  <c r="I39" i="13" s="1"/>
  <c r="I40" i="13" s="1"/>
  <c r="I41" i="13" s="1"/>
  <c r="I42" i="13" s="1"/>
  <c r="I43" i="13" s="1"/>
  <c r="I44" i="13" s="1"/>
  <c r="I45" i="13" s="1"/>
  <c r="I46" i="13" s="1"/>
  <c r="I47" i="13" s="1"/>
  <c r="I48" i="13" s="1"/>
  <c r="I49" i="13" s="1"/>
  <c r="I50" i="13" s="1"/>
  <c r="I51" i="13" s="1"/>
  <c r="G22" i="13"/>
  <c r="G23" i="13" s="1"/>
  <c r="G24" i="13" s="1"/>
  <c r="G25" i="13" s="1"/>
  <c r="G26" i="13" s="1"/>
  <c r="G27" i="13" s="1"/>
  <c r="G28" i="13" s="1"/>
  <c r="G29" i="13" s="1"/>
  <c r="G30" i="13" s="1"/>
  <c r="G31" i="13" s="1"/>
  <c r="G32" i="13" s="1"/>
  <c r="G33" i="13" s="1"/>
  <c r="G34" i="13" s="1"/>
  <c r="G35" i="13" s="1"/>
  <c r="G36" i="13" s="1"/>
  <c r="G37" i="13" s="1"/>
  <c r="G38" i="13" s="1"/>
  <c r="G39" i="13" s="1"/>
  <c r="G40" i="13" s="1"/>
  <c r="G41" i="13" s="1"/>
  <c r="G42" i="13" s="1"/>
  <c r="G43" i="13" s="1"/>
  <c r="G44" i="13" s="1"/>
  <c r="G45" i="13" s="1"/>
  <c r="G46" i="13" s="1"/>
  <c r="G47" i="13" s="1"/>
  <c r="G48" i="13" s="1"/>
  <c r="G49" i="13" s="1"/>
  <c r="G50" i="13" s="1"/>
  <c r="G51" i="13" s="1"/>
  <c r="E22" i="13"/>
  <c r="E23" i="13" s="1"/>
  <c r="E24" i="13" s="1"/>
  <c r="E25" i="13" s="1"/>
  <c r="E26" i="13" s="1"/>
  <c r="E27" i="13" s="1"/>
  <c r="E28" i="13" s="1"/>
  <c r="E29" i="13" s="1"/>
  <c r="E30" i="13" s="1"/>
  <c r="E31" i="13" s="1"/>
  <c r="E32" i="13" s="1"/>
  <c r="E33" i="13" s="1"/>
  <c r="E34" i="13" s="1"/>
  <c r="E35" i="13" s="1"/>
  <c r="E36" i="13" s="1"/>
  <c r="E37" i="13" s="1"/>
  <c r="E38" i="13" s="1"/>
  <c r="E39" i="13" s="1"/>
  <c r="E40" i="13" s="1"/>
  <c r="E41" i="13" s="1"/>
  <c r="E42" i="13" s="1"/>
  <c r="E43" i="13" s="1"/>
  <c r="E44" i="13" s="1"/>
  <c r="E45" i="13" s="1"/>
  <c r="E46" i="13" s="1"/>
  <c r="E47" i="13" s="1"/>
  <c r="E48" i="13" s="1"/>
  <c r="E49" i="13" s="1"/>
  <c r="E50" i="13" s="1"/>
  <c r="E51" i="13" s="1"/>
  <c r="C22" i="13"/>
  <c r="C23" i="13" s="1"/>
  <c r="C24" i="13" s="1"/>
  <c r="C25" i="13" s="1"/>
  <c r="C26" i="13" s="1"/>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49" i="13" s="1"/>
  <c r="C50" i="13" s="1"/>
  <c r="C51" i="13" s="1"/>
  <c r="H7" i="13"/>
  <c r="B24" i="12"/>
  <c r="C23" i="12"/>
  <c r="B23" i="12"/>
  <c r="B22" i="12"/>
  <c r="B21" i="12"/>
  <c r="B20" i="12"/>
  <c r="C19" i="12"/>
  <c r="B19" i="12"/>
  <c r="B18" i="12"/>
  <c r="B17" i="12"/>
  <c r="B16" i="12"/>
  <c r="B15" i="12"/>
  <c r="B14" i="12"/>
  <c r="B13" i="12"/>
  <c r="B12" i="12"/>
  <c r="B11" i="12"/>
  <c r="B10" i="12"/>
  <c r="B9" i="12"/>
  <c r="B8" i="12"/>
  <c r="B7" i="12"/>
  <c r="B6" i="12"/>
  <c r="B5" i="12"/>
  <c r="J4" i="12"/>
  <c r="E75" i="11"/>
  <c r="F75" i="11" s="1"/>
  <c r="E74" i="11"/>
  <c r="F74" i="11" s="1"/>
  <c r="E73" i="11"/>
  <c r="F73" i="11" s="1"/>
  <c r="E72" i="11"/>
  <c r="F72" i="11" s="1"/>
  <c r="E71" i="11"/>
  <c r="F71" i="11" s="1"/>
  <c r="E70" i="11"/>
  <c r="F70" i="11" s="1"/>
  <c r="E69" i="11"/>
  <c r="F69" i="11" s="1"/>
  <c r="E68" i="11"/>
  <c r="F68" i="11" s="1"/>
  <c r="E67" i="11"/>
  <c r="F67" i="11" s="1"/>
  <c r="E66" i="11"/>
  <c r="F66" i="11" s="1"/>
  <c r="E65" i="11"/>
  <c r="F65" i="11" s="1"/>
  <c r="E64" i="11"/>
  <c r="F64" i="11" s="1"/>
  <c r="E63" i="11"/>
  <c r="F63" i="11" s="1"/>
  <c r="E62" i="11"/>
  <c r="F62" i="11" s="1"/>
  <c r="E61" i="11"/>
  <c r="F61" i="11" s="1"/>
  <c r="E60" i="11"/>
  <c r="F60" i="11" s="1"/>
  <c r="E59" i="11"/>
  <c r="F59" i="11" s="1"/>
  <c r="E58" i="11"/>
  <c r="F58" i="11" s="1"/>
  <c r="E57" i="11"/>
  <c r="F57" i="11" s="1"/>
  <c r="E56" i="11"/>
  <c r="F56" i="11" s="1"/>
  <c r="E55" i="11"/>
  <c r="F55" i="11" s="1"/>
  <c r="E54" i="11"/>
  <c r="F54" i="11" s="1"/>
  <c r="E53" i="11"/>
  <c r="F53" i="11" s="1"/>
  <c r="C9" i="12" s="1"/>
  <c r="E52" i="11"/>
  <c r="F52" i="11" s="1"/>
  <c r="E51" i="11"/>
  <c r="F51" i="11" s="1"/>
  <c r="E50" i="11"/>
  <c r="F50" i="11" s="1"/>
  <c r="E49" i="11"/>
  <c r="F49" i="11" s="1"/>
  <c r="C6" i="12" s="1"/>
  <c r="E48" i="11"/>
  <c r="F48" i="11" s="1"/>
  <c r="C5" i="12" s="1"/>
  <c r="E47" i="11"/>
  <c r="F47" i="11" s="1"/>
  <c r="E46" i="11"/>
  <c r="F46" i="11" s="1"/>
  <c r="E45" i="11"/>
  <c r="F45" i="11" s="1"/>
  <c r="E44" i="11"/>
  <c r="F44" i="11" s="1"/>
  <c r="E43" i="11"/>
  <c r="F43" i="11" s="1"/>
  <c r="C18" i="12" s="1"/>
  <c r="E42" i="11"/>
  <c r="F42" i="11" s="1"/>
  <c r="C15" i="12" s="1"/>
  <c r="E41" i="11"/>
  <c r="F41" i="11" s="1"/>
  <c r="E40" i="11"/>
  <c r="F40" i="11" s="1"/>
  <c r="E39" i="11"/>
  <c r="F39" i="11" s="1"/>
  <c r="E38" i="11"/>
  <c r="F38" i="11" s="1"/>
  <c r="E37" i="11"/>
  <c r="F37" i="11" s="1"/>
  <c r="E36" i="11"/>
  <c r="F36" i="11" s="1"/>
  <c r="E35" i="11"/>
  <c r="F35" i="11" s="1"/>
  <c r="E34" i="11"/>
  <c r="F34" i="11" s="1"/>
  <c r="E33" i="11"/>
  <c r="F33" i="11" s="1"/>
  <c r="E32" i="11"/>
  <c r="F32" i="11" s="1"/>
  <c r="E31" i="11"/>
  <c r="F31" i="11" s="1"/>
  <c r="E30" i="11"/>
  <c r="F30" i="11" s="1"/>
  <c r="E29" i="11"/>
  <c r="F29" i="11" s="1"/>
  <c r="E28" i="11"/>
  <c r="F28" i="11" s="1"/>
  <c r="E27" i="11"/>
  <c r="F27" i="11" s="1"/>
  <c r="E26" i="11"/>
  <c r="F26" i="11" s="1"/>
  <c r="E25" i="11"/>
  <c r="F25" i="11" s="1"/>
  <c r="E24" i="11"/>
  <c r="F24" i="11" s="1"/>
  <c r="E23" i="11"/>
  <c r="F23" i="11" s="1"/>
  <c r="E22" i="11"/>
  <c r="F22" i="11" s="1"/>
  <c r="E21" i="11"/>
  <c r="F21" i="11" s="1"/>
  <c r="E20" i="11"/>
  <c r="F20" i="11" s="1"/>
  <c r="E19" i="11"/>
  <c r="F19" i="11" s="1"/>
  <c r="E18" i="11"/>
  <c r="F18" i="11" s="1"/>
  <c r="E17" i="11"/>
  <c r="F17" i="11" s="1"/>
  <c r="E16" i="11"/>
  <c r="F16" i="11" s="1"/>
  <c r="E15" i="11"/>
  <c r="F15" i="11" s="1"/>
  <c r="E14" i="11"/>
  <c r="F14" i="11" s="1"/>
  <c r="E13" i="11"/>
  <c r="F13" i="11" s="1"/>
  <c r="E12" i="11"/>
  <c r="F12" i="11" s="1"/>
  <c r="E11" i="11"/>
  <c r="F11" i="11" s="1"/>
  <c r="E10" i="11"/>
  <c r="F10" i="11" s="1"/>
  <c r="E9" i="11"/>
  <c r="F9" i="11" s="1"/>
  <c r="E8" i="11"/>
  <c r="F8" i="11" s="1"/>
  <c r="E7" i="11"/>
  <c r="E16" i="10"/>
  <c r="E13" i="2" s="1"/>
  <c r="I15" i="10"/>
  <c r="I14" i="10"/>
  <c r="I13" i="10"/>
  <c r="I12" i="10"/>
  <c r="I11" i="10"/>
  <c r="I10" i="10"/>
  <c r="I9" i="10"/>
  <c r="I8" i="10"/>
  <c r="I7" i="10"/>
  <c r="I6" i="10"/>
  <c r="E23" i="9"/>
  <c r="I22" i="9"/>
  <c r="I21" i="9"/>
  <c r="I20" i="9"/>
  <c r="I19" i="9"/>
  <c r="I18" i="9"/>
  <c r="I17" i="9"/>
  <c r="I16" i="9"/>
  <c r="I15" i="9"/>
  <c r="E30" i="8"/>
  <c r="I29" i="8"/>
  <c r="I28" i="8"/>
  <c r="I27" i="8"/>
  <c r="I26" i="8"/>
  <c r="I25" i="8"/>
  <c r="I24" i="8"/>
  <c r="I23" i="8"/>
  <c r="I22" i="8"/>
  <c r="I21" i="8"/>
  <c r="I20" i="8"/>
  <c r="E16" i="7"/>
  <c r="E10" i="2" s="1"/>
  <c r="I15" i="7"/>
  <c r="I14" i="7"/>
  <c r="I13" i="7"/>
  <c r="I12" i="7"/>
  <c r="I11" i="7"/>
  <c r="I10" i="7"/>
  <c r="I9" i="7"/>
  <c r="I8" i="7"/>
  <c r="I7" i="7"/>
  <c r="I6" i="7"/>
  <c r="E17" i="6"/>
  <c r="E8" i="2" s="1"/>
  <c r="I16" i="6"/>
  <c r="I15" i="6"/>
  <c r="I14" i="6"/>
  <c r="I13" i="6"/>
  <c r="I12" i="6"/>
  <c r="I11" i="6"/>
  <c r="I10" i="6"/>
  <c r="I9" i="6"/>
  <c r="I8" i="6"/>
  <c r="I7" i="6"/>
  <c r="I6" i="6"/>
  <c r="E22" i="5"/>
  <c r="I21" i="5"/>
  <c r="I20" i="5"/>
  <c r="I19" i="5"/>
  <c r="I18" i="5"/>
  <c r="I17" i="5"/>
  <c r="I16" i="5"/>
  <c r="I15" i="5"/>
  <c r="E26" i="4"/>
  <c r="I25" i="4"/>
  <c r="I24" i="4"/>
  <c r="I23" i="4"/>
  <c r="I22" i="4"/>
  <c r="I21" i="4"/>
  <c r="I20" i="4"/>
  <c r="E17" i="3"/>
  <c r="I16" i="3"/>
  <c r="I15" i="3"/>
  <c r="I14" i="3"/>
  <c r="I13" i="3"/>
  <c r="I12" i="3"/>
  <c r="I11" i="3"/>
  <c r="I10" i="3"/>
  <c r="I9" i="3"/>
  <c r="I8" i="3"/>
  <c r="I7" i="3"/>
  <c r="I6" i="3"/>
  <c r="E5" i="2"/>
  <c r="C10" i="1"/>
  <c r="C9" i="1"/>
  <c r="C8" i="1"/>
  <c r="C7" i="1"/>
  <c r="I27" i="32" l="1"/>
  <c r="I28" i="28"/>
  <c r="I30" i="29"/>
  <c r="C10" i="15"/>
  <c r="A2" i="33"/>
  <c r="C9" i="15"/>
  <c r="C8" i="15"/>
  <c r="A2" i="31"/>
  <c r="C7" i="15"/>
  <c r="A2" i="30"/>
  <c r="C6" i="15"/>
  <c r="C5" i="15"/>
  <c r="F5" i="15"/>
  <c r="I16" i="7"/>
  <c r="F10" i="2" s="1"/>
  <c r="E55" i="1"/>
  <c r="D55" i="1"/>
  <c r="C55" i="1"/>
  <c r="B55" i="1"/>
  <c r="I26" i="4"/>
  <c r="C8" i="12"/>
  <c r="D8" i="12" s="1"/>
  <c r="J8" i="12" s="1"/>
  <c r="E8" i="12" s="1"/>
  <c r="C16" i="12"/>
  <c r="D16" i="12" s="1"/>
  <c r="J16" i="12" s="1"/>
  <c r="E16" i="12" s="1"/>
  <c r="I23" i="9"/>
  <c r="C14" i="12"/>
  <c r="D14" i="12" s="1"/>
  <c r="J14" i="12" s="1"/>
  <c r="E14" i="12" s="1"/>
  <c r="C24" i="12"/>
  <c r="D24" i="12" s="1"/>
  <c r="J24" i="12" s="1"/>
  <c r="E24" i="12" s="1"/>
  <c r="C7" i="12"/>
  <c r="D7" i="12" s="1"/>
  <c r="C17" i="12"/>
  <c r="D17" i="12" s="1"/>
  <c r="I17" i="6"/>
  <c r="F8" i="2" s="1"/>
  <c r="C22" i="12"/>
  <c r="D22" i="12" s="1"/>
  <c r="J22" i="12" s="1"/>
  <c r="E22" i="12" s="1"/>
  <c r="C10" i="12"/>
  <c r="D10" i="12" s="1"/>
  <c r="J10" i="12" s="1"/>
  <c r="E10" i="12" s="1"/>
  <c r="C21" i="12"/>
  <c r="D21" i="12" s="1"/>
  <c r="J21" i="12" s="1"/>
  <c r="E21" i="12" s="1"/>
  <c r="C11" i="12"/>
  <c r="D11" i="12" s="1"/>
  <c r="J11" i="12" s="1"/>
  <c r="E11" i="12" s="1"/>
  <c r="I16" i="10"/>
  <c r="F13" i="2" s="1"/>
  <c r="I30" i="8"/>
  <c r="I17" i="3"/>
  <c r="F5" i="2" s="1"/>
  <c r="I22" i="5"/>
  <c r="C12" i="12"/>
  <c r="D12" i="12" s="1"/>
  <c r="J12" i="12" s="1"/>
  <c r="E12" i="12" s="1"/>
  <c r="E56" i="1"/>
  <c r="D56" i="1"/>
  <c r="L24" i="12"/>
  <c r="L23" i="12"/>
  <c r="D23" i="12"/>
  <c r="J23" i="12" s="1"/>
  <c r="E23" i="12" s="1"/>
  <c r="L22" i="12"/>
  <c r="L21" i="12"/>
  <c r="L20" i="12"/>
  <c r="D19" i="12"/>
  <c r="J19" i="12" s="1"/>
  <c r="E19" i="12" s="1"/>
  <c r="L19" i="12"/>
  <c r="L18" i="12"/>
  <c r="D18" i="12"/>
  <c r="J18" i="12" s="1"/>
  <c r="E18" i="12" s="1"/>
  <c r="L17" i="12"/>
  <c r="L16" i="12"/>
  <c r="L15" i="12"/>
  <c r="D15" i="12"/>
  <c r="L14" i="12"/>
  <c r="L13" i="12"/>
  <c r="L12" i="12"/>
  <c r="L11" i="12"/>
  <c r="L10" i="12"/>
  <c r="D9" i="12"/>
  <c r="J9" i="12" s="1"/>
  <c r="E9" i="12" s="1"/>
  <c r="L9" i="12"/>
  <c r="L8" i="12"/>
  <c r="L7" i="12"/>
  <c r="D6" i="12"/>
  <c r="J6" i="12" s="1"/>
  <c r="E6" i="12" s="1"/>
  <c r="L6" i="12"/>
  <c r="B25" i="12"/>
  <c r="D5" i="12"/>
  <c r="L5" i="12"/>
  <c r="F3" i="11"/>
  <c r="F7" i="11"/>
  <c r="C20" i="12" s="1"/>
  <c r="D20" i="12" s="1"/>
  <c r="J20" i="12" s="1"/>
  <c r="E20" i="12" s="1"/>
  <c r="C13" i="12"/>
  <c r="D13" i="12" s="1"/>
  <c r="J13" i="12" s="1"/>
  <c r="E13" i="12" s="1"/>
  <c r="D9" i="15" l="1"/>
  <c r="F9" i="15" s="1"/>
  <c r="A2" i="32"/>
  <c r="D5" i="15"/>
  <c r="A2" i="28"/>
  <c r="D6" i="15"/>
  <c r="A2" i="29"/>
  <c r="C12" i="15"/>
  <c r="B37" i="15" s="1"/>
  <c r="C56" i="1"/>
  <c r="B56" i="1"/>
  <c r="E57" i="1"/>
  <c r="D57" i="1"/>
  <c r="H17" i="12"/>
  <c r="J17" i="12"/>
  <c r="E17" i="12" s="1"/>
  <c r="H15" i="12"/>
  <c r="J15" i="12"/>
  <c r="E15" i="12" s="1"/>
  <c r="H7" i="12"/>
  <c r="J7" i="12"/>
  <c r="E7" i="12" s="1"/>
  <c r="L25" i="12"/>
  <c r="L2" i="12"/>
  <c r="J5" i="12"/>
  <c r="E5" i="12" s="1"/>
  <c r="D25" i="12"/>
  <c r="J25" i="12" s="1"/>
  <c r="H5" i="12"/>
  <c r="I5" i="12" s="1"/>
  <c r="F6" i="15" l="1"/>
  <c r="F12" i="15" s="1"/>
  <c r="D12" i="15"/>
  <c r="C57" i="1"/>
  <c r="B57" i="1"/>
  <c r="E58" i="1"/>
  <c r="D58" i="1"/>
  <c r="H3" i="12"/>
  <c r="J3" i="12"/>
  <c r="C58" i="1" l="1"/>
  <c r="B58" i="1"/>
  <c r="E10" i="1"/>
  <c r="E59" i="1"/>
  <c r="E9" i="1"/>
  <c r="D59" i="1"/>
  <c r="L3" i="12"/>
  <c r="A3" i="12"/>
  <c r="D16" i="31" l="1"/>
  <c r="A7" i="31"/>
  <c r="D18" i="29"/>
  <c r="A10" i="29"/>
  <c r="A8" i="29"/>
  <c r="A7" i="29"/>
  <c r="A6" i="29"/>
  <c r="A9" i="29"/>
  <c r="C59" i="1"/>
  <c r="B59" i="1"/>
  <c r="A6" i="8"/>
  <c r="A7" i="8"/>
  <c r="A8" i="8"/>
  <c r="A9" i="8"/>
  <c r="A10" i="8"/>
  <c r="D20" i="8"/>
  <c r="A7" i="4"/>
  <c r="A6" i="4"/>
  <c r="A8" i="4"/>
  <c r="A9" i="4"/>
  <c r="A10" i="4"/>
  <c r="D20" i="4"/>
  <c r="E60" i="1"/>
  <c r="D60" i="1"/>
  <c r="E8" i="1" l="1"/>
  <c r="C60" i="1"/>
  <c r="E7" i="1"/>
  <c r="B60" i="1"/>
  <c r="F11" i="2"/>
  <c r="E11" i="2"/>
  <c r="F6" i="2"/>
  <c r="E6" i="2"/>
  <c r="E61" i="1"/>
  <c r="D61" i="1"/>
  <c r="D18" i="32" l="1"/>
  <c r="D17" i="32"/>
  <c r="A10" i="32"/>
  <c r="A9" i="32"/>
  <c r="A8" i="32"/>
  <c r="A7" i="32"/>
  <c r="A6" i="32"/>
  <c r="A10" i="28"/>
  <c r="D17" i="28"/>
  <c r="A9" i="28"/>
  <c r="A8" i="28"/>
  <c r="A7" i="28"/>
  <c r="A6" i="28"/>
  <c r="A7" i="9"/>
  <c r="A6" i="9"/>
  <c r="A10" i="9"/>
  <c r="D16" i="9"/>
  <c r="D15" i="9"/>
  <c r="A9" i="9"/>
  <c r="A8" i="9"/>
  <c r="C61" i="1"/>
  <c r="B61" i="1"/>
  <c r="A7" i="5"/>
  <c r="A9" i="5"/>
  <c r="A10" i="5"/>
  <c r="D15" i="5"/>
  <c r="A8" i="5"/>
  <c r="A6" i="5"/>
  <c r="E62" i="1"/>
  <c r="D62" i="1"/>
  <c r="F12" i="2" l="1"/>
  <c r="E12" i="2"/>
  <c r="C62" i="1"/>
  <c r="B62" i="1"/>
  <c r="F15" i="2"/>
  <c r="E7" i="2"/>
  <c r="F7" i="2"/>
  <c r="E63" i="1"/>
  <c r="D63" i="1"/>
  <c r="E15" i="2" l="1"/>
  <c r="C63" i="1"/>
  <c r="B63" i="1"/>
  <c r="E64" i="1"/>
  <c r="D64" i="1"/>
  <c r="C64" i="1" l="1"/>
  <c r="B64" i="1"/>
  <c r="E65" i="1"/>
  <c r="D65" i="1"/>
  <c r="C65" i="1" l="1"/>
  <c r="B65" i="1"/>
  <c r="E66" i="1"/>
  <c r="D66" i="1"/>
  <c r="C66" i="1" l="1"/>
  <c r="B66" i="1"/>
</calcChain>
</file>

<file path=xl/sharedStrings.xml><?xml version="1.0" encoding="utf-8"?>
<sst xmlns="http://schemas.openxmlformats.org/spreadsheetml/2006/main" count="2457" uniqueCount="1282">
  <si>
    <t>복귀 버전 — 증량 및 판단 기준 (주 6회 · 2026-10-02 개편)</t>
  </si>
  <si>
    <t>현장 근무가 끝나 요일을 고정할 수 있게 됐다. 빈도를 주 4회 → 6회로 올리고 데드를 성장으로 돌린다.</t>
  </si>
  <si>
    <t>항목</t>
  </si>
  <si>
    <t>재택 버전</t>
  </si>
  <si>
    <t>복귀 버전 (주 6회)</t>
  </si>
  <si>
    <t>이유</t>
  </si>
  <si>
    <t>목표</t>
  </si>
  <si>
    <t>성장</t>
  </si>
  <si>
    <t>현장 근무가 끝나 '완만한 성장'으로 눌러둘 이유가 없어졌다. 재택과 같은 방향으로 되돌린다</t>
  </si>
  <si>
    <t>빈도</t>
  </si>
  <si>
    <t>주 6회</t>
  </si>
  <si>
    <t>주 6회 (토~목 · 금 휴식)</t>
  </si>
  <si>
    <t>요일을 고정할 수 있게 됐다. 큰 부위 셋을 둘로 쪼개 가슴 · 등 · 하체 빈도를 주 2회로 올렸다</t>
  </si>
  <si>
    <t>총 세트</t>
  </si>
  <si>
    <t>주당 환산 161세트</t>
  </si>
  <si>
    <t>증량 방식</t>
  </si>
  <si>
    <t>매주 선형</t>
  </si>
  <si>
    <t>메인 4종목 선형 · 나머지는 더블 프로그레션</t>
  </si>
  <si>
    <t>데드가 '지키는 종목'에서 풀려 선형 넷이 됐다. 보조는 반복을 먼저 채우고 중량을 올린다</t>
  </si>
  <si>
    <t>증량 폭</t>
  </si>
  <si>
    <t>하체 5 / 벤치 2.25 / 프레스 1.25</t>
  </si>
  <si>
    <t>스쿼트 · 데드 매주 2~3 / 벤치 매주 1 / 프레스 격주 1</t>
  </si>
  <si>
    <t>작은 원판이 2.5 · 1 · 0.5kg 각 2개뿐이라 봉 전체 1kg이 최소 계단이다. 증량기록 30주 표가 폭을 정한다</t>
  </si>
  <si>
    <t>미는 종목</t>
  </si>
  <si>
    <t>전부</t>
  </si>
  <si>
    <t>넷 다 세션 앞쪽에 둔다. 오버헤드 프레스만 어깨 블록 첫 종목이라 수요일 13세트 뒤다 — 복귀_수_하체후면 참조</t>
  </si>
  <si>
    <t>지키는 종목</t>
  </si>
  <si>
    <t>—</t>
  </si>
  <si>
    <t>없음</t>
  </si>
  <si>
    <t>2026-10-02에 데드를 풀었다. 허리와 직접 경쟁하던 현장 일이 끝났다</t>
  </si>
  <si>
    <t>실패지점</t>
  </si>
  <si>
    <t>2~3회 남기고</t>
  </si>
  <si>
    <t>다음날 현장 일이 없으므로 재택 기준으로 되돌린다. 메인 리프트는 3~4회 남기고가 그대로다</t>
  </si>
  <si>
    <t>팔 전용 종목</t>
  </si>
  <si>
    <t>25세트</t>
  </si>
  <si>
    <t>장비</t>
  </si>
  <si>
    <t>프리웨이트 중심</t>
  </si>
  <si>
    <t>머신 · 케이블 중심 (스쿼트 · 벤치 · 데드 제외)</t>
  </si>
  <si>
    <t>[중량은 주 단위로 오른다 — 2026-09-13 전환 유지]</t>
  </si>
  <si>
    <t>· 중량은 '시작중량_설정' C4의 주차가 정하고, 증량기록 시트의 30주 표가 주차마다 한 줄이다.</t>
  </si>
  <si>
    <t>· 주 6회로 바뀌어도 이 속도는 안 바뀐다 — 표는 주차에 매달려 있고 주당 세션 수와 무관하다.</t>
  </si>
  <si>
    <t>· 프레스만 격주다. 0.5kg 원판이 한쪽 하나뿐이라 봉 전체 1kg이 최소 계단인데, 그걸 매주 올리면 설계 폭의 두 배 반이 된다.</t>
  </si>
  <si>
    <t>· 올리기 전에 그 주의 결과를 증량기록에 먼저 적는다. 목표 반복을 못 채운 리프트는 X를 넣어 그 칸만 유지시킨다.</t>
  </si>
  <si>
    <t>· 사다리는 못 끼우는 값(5로 나눈 나머지 4)을 자동으로 1kg 올린다. 그래서 주마다 폭이 +2가 되기도 +3이 되기도 한다.</t>
  </si>
  <si>
    <t>[더블 프로그레션 — 보조 종목의 기본 증량법]</t>
  </si>
  <si>
    <t>· 목표 반복이 8~12라면, 전 세트에서 12회를 채운 다음 주에 중량을 올린다. 올린 주에는 반복이 8회로 떨어지는 것이 정상이다.</t>
  </si>
  <si>
    <t>· 선형은 날짜가 증량을 정하고 더블 프로그레션은 몸이 정한다. 6일 연속에서 컨디션이 흔들릴 때 뒤쪽이 안 무너진다.</t>
  </si>
  <si>
    <t>· 메인 넷(스쿼트 · 벤치 · 오버헤드 프레스 · 데드)만 선형으로 남긴다. 반복이 고정이라 반복으로 진행을 잴 수가 없기 때문이다 — 스쿼트 · 데드 · 오버헤드는 5회, 벤치만 8회다((2026-10-02 사용자 지정)). 반복이 고정인 것은 같으므로 증량 방식은 그대로다: 증량기록 표가 매주 올리고, 목표 반복을 못 채운 주에는 X를 넣어 그 칸을 유지시킨다.</t>
  </si>
  <si>
    <t>[판단 기준]</t>
  </si>
  <si>
    <t>· 주 6회의 유일한 지표는 토요일 스쿼트다. 금요일 하루를 쉬고 들어가는 자리이므로 거기서 안 오르면 주 전체가 과한 것이다.</t>
  </si>
  <si>
    <t>· 둘째 지표는 목요일 아침 허리다. 수요일 데드 다음날이고, 뻐근하면 그 주 백오프 2세트를 먼저 뺀다.</t>
  </si>
  <si>
    <t>· 몸 상태가 안 좋은 날은 건너뛴다. 주 6회 중 5회만 가는 주가 있어도 된다 — 그것은 의지박약이 아니라 그 상황에서의 규율이다.</t>
  </si>
  <si>
    <t>· 6일 연속이 이 프로그램의 가장 큰 미지수다. 4주간 토요일 스쿼트와 월요일 벤치가 둘 다 오르면 구조가 맞은 것이다.</t>
  </si>
  <si>
    <t>[164세트가 버거우면 이 순서로 뺀다]</t>
  </si>
  <si>
    <t>· 1순위 — 화요일 전체(27). 메인 리프트가 없는 세 날 중 가장 작고, 빼면 주 5회로 떨어진다. 단 빼는 주에는 일요일 뒤에 리스트 컬 2종(6)을 얹는다 — 전완이 통째로 비기 때문이다.</t>
  </si>
  <si>
    <t>· 2순위 — 목 2종목(6). 2026-10-02 신설이라 되돌려도 잃을 적응이 없다.</t>
  </si>
  <si>
    <t>· 마지막까지 지키는 것은 스쿼트 · 벤치 · 오버헤드 프레스 · 데드 톱세트와 가슴 · 등 · 어깨 볼륨이다.</t>
  </si>
  <si>
    <t>· 계수로 전 종목을 깎지 않는다. 뺄 때도 종목 단위로, 근거를 달아 뺀다.</t>
  </si>
  <si>
    <t>[디로드 — 6~8주마다 한 주]</t>
  </si>
  <si>
    <t>· 세트를 절반으로 내리고 중량은 그대로 둔다. 볼륨만 빼고 강도를 유지해야 근력이 남는다.</t>
  </si>
  <si>
    <t>· 보조 종목은 전부 절반으로. 3세트짜리는 1~2세트, 4세트짜리는 2세트.</t>
  </si>
  <si>
    <t>· 즉 디로드는 '한 주 쉬는 것'이 아니라 '한 주 멈추는 것'이다 — 볼륨도 진행도 같이 멈춘다.</t>
  </si>
  <si>
    <t>· 디로드 다음 주에 기록이 깨지는 경우가 많다. 쉬어서 느려지는 것이 아니라 쌓인 피로가 빠지면서 그동안의 적응이 드러나는 것이다.</t>
  </si>
  <si>
    <t>· 주 6회에서는 이것이 선택이 아니다. 없으면 반드시 막히고, 막힌 것을 '볼륨이 부족한가'로 오해해 더 넣게 된다.</t>
  </si>
  <si>
    <t>[세트별 휴식 램프]</t>
  </si>
  <si>
    <t>· L열 '세트별 휴식(초)'에 "150/165/180/195/210"처럼 적으면 타이머가 세트마다 그 값을 쓴다. 비어 있으면 '휴식(초)' 한 값을 전 세트에 쓴다.</t>
  </si>
  <si>
    <t>· 앞 세트에서 덜어 뒤 세트에 준다. 평균을 그대로 두었으므로 세션 시간은 1초도 안 늘었다.</t>
  </si>
  <si>
    <t>· '휴식(초)' 열은 반드시 램프의 평균으로 맞춘다 — '종목 분'이 세트×(수행+휴식)이라 어긋나면 세션 시간 추정이 틀어진다.</t>
  </si>
  <si>
    <t>[성장 속도에 대한 현실적인 기대]</t>
  </si>
  <si>
    <t>· 5년 공백 후 복귀이고 지금 9주차다. 벤치 주 1kg가 다 채워지면 1년에 52kg이다. 절반만 채워도 복귀 전보다 위에 있다.</t>
  </si>
  <si>
    <t>· 장기 목표는 3대 500이다. 스쿼트 · 데드 매주 2~3kg가 유지되면 표의 30주차에서 스쿼트 90 · 데드 95에 닿는다.</t>
  </si>
  <si>
    <t>· 못 채운 주가 이어져도 실패가 아니다 — 증량기록에 X를 넣으면 그 주 중량이 유지된다.</t>
  </si>
  <si>
    <t>시작 중량 설정 — 5년 공백 후 복귀</t>
  </si>
  <si>
    <t>노란 칸(D7~D10)이 6주차 기준 중량이고, C4가 지금 몇 주차인지입니다. 두 곳만 맞으면 각 일차 시트의 웜업 램프와 본세트 중량이 전부 자동 계산됩니다.</t>
  </si>
  <si>
    <t>현재 주차</t>
  </si>
  <si>
    <t>← 지금 몇 주차인지. 앱 복귀 달력이 날짜로 계산해 주므로 보통은 달력이 알려줄 때만 바꾸면 된다 (1~35)</t>
  </si>
  <si>
    <t>종목</t>
  </si>
  <si>
    <t>5년 전 중량</t>
  </si>
  <si>
    <t>5년 전 대비</t>
  </si>
  <si>
    <t>6주차 중량 ★입력★</t>
  </si>
  <si>
    <t>현재 작업중량</t>
  </si>
  <si>
    <t>본세트</t>
  </si>
  <si>
    <t>스쿼트</t>
  </si>
  <si>
    <t>5회 × 5세트</t>
  </si>
  <si>
    <t>데드리프트</t>
  </si>
  <si>
    <t>5회 × 1세트</t>
  </si>
  <si>
    <t>벤치프레스</t>
  </si>
  <si>
    <t>8회 × 4세트</t>
  </si>
  <si>
    <t>밀리터리 프레스</t>
  </si>
  <si>
    <t>↑ 여기에 숫자를 직접 입력</t>
  </si>
  <si>
    <t>D열(시작 중량)을 바꾸는 법</t>
  </si>
  <si>
    <t>· D7~D10 노란 칸에 원하는 숫자를 그냥 입력하면 됩니다. 수식이 아니라 일반 숫자입니다.</t>
  </si>
  <si>
    <t>· 예: 스쿼트를 30kg으로 시작하고 싶으면 D7에 30을 입력. 나머지는 전부 자동으로 따라옵니다.</t>
  </si>
  <si>
    <t>· C열은 참고용 계산값이므로 건드리지 않아도 됩니다.</t>
  </si>
  <si>
    <t>· C4의 '현재 주차'는 매주 1씩 올라갑니다 — 앱 '복귀 → 달력'이 날짜로 계산해 알려주므로 보통은 달력이 말할 때만 바꾸면 됩니다.</t>
  </si>
  <si>
    <t>5년 공백 후 시작 중량 잡는 법</t>
  </si>
  <si>
    <t>· 5년 쉬었으면 근력보다 관절 · 건 · 인대와 폼 감각이 먼저 무너져 있다. 근육은 빨리 돌아오지만 이쪽은 느리다.</t>
  </si>
  <si>
    <t>· 벤치와 프레스는 빈 봉(20kg)에서 시작하는 것이 맞다. 이것이 과한 것이 아니라 정상이다.</t>
  </si>
  <si>
    <t>· 기준: 10회는 할 수 있을 것 같은 무게로 5회만 하는 것. 여유가 크게 느껴져야 맞다.</t>
  </si>
  <si>
    <t>· 첫 3~4주는 훈련이 아니라 재적응 기간으로 본다. 가볍다고 느껴도 그대로 간다.</t>
  </si>
  <si>
    <t>· 너무 가볍게 시작해서 잃는 것은 3~4주뿐이다. 너무 무겁게 시작하면 몇 달을 잃는다.</t>
  </si>
  <si>
    <t>· 5년 전 중량은 참고치일 뿐 목표가 아니다. 다만 한 번 만들어본 근력은 처음 만들 때보다 빠르게 돌아온다.</t>
  </si>
  <si>
    <t>· 주 2.5kg씩만 올라가도 13주면 스쿼트가 예전 중량에 닿는다. 조급해할 이유가 없다.</t>
  </si>
  <si>
    <t>사용법</t>
  </si>
  <si>
    <t>· 1단계: D7~D10에 시작 중량을 입력한다 (기본값은 5년 전 중량의 40%).</t>
  </si>
  <si>
    <t>· 2단계: 증량기록 시트에서 주마다 달성 여부에 O / X를 입력한다.</t>
  </si>
  <si>
    <t>· 3단계: C4의 현재 주차를 바꾸면 일차 시트의 웜업과 본세트 중량이 자동으로 따라온다.</t>
  </si>
  <si>
    <t>· 웜업은 작업중량의 40 / 60 / 75 / 90%로 자동 계산되며 1kg 단위로 반올림된다.</t>
  </si>
  <si>
    <t>· 중량이 낮아 앞 세트와 겹치는 웜업은 '생략'으로 자동 표시된다 — 웜업 세트 수가 스스로 조정된다.</t>
  </si>
  <si>
    <t>· 20으로 표시되면 빈 봉이라는 뜻이다.</t>
  </si>
  <si>
    <t>· 1kg 단위인 이유 — 헬스장 작은 원판이 2.5kg · 1kg · 0.5kg 각 2개뿐이다. 한쪽에 하나씩만 쓸 수 있으므로 한쪽에 만들 수 있는 끝수는 0 / 0.5 / 1 / 1.5 / 2.5 / 3 / 3.5 / 4 뿐이다.</t>
  </si>
  <si>
    <t>· 그래서 총 중량이 5로 나눈 나머지 4(24 · 29 · 34 · 39 · 44 …)면 끼울 수 없다. 표와 웜업은 그런 값이 나오면 자동으로 1kg 올린다 — 내리면 증량 폭이 1kg인 프레스가 같은 자리에 갇힌다.</t>
  </si>
  <si>
    <t>· 2026-09-13 이전 표는 2.5kg 격자(한쪽 1.25kg)였다. 37.5 · 57.5 · 31.5처럼 한쪽에 .75 또는 .25kg이 필요한 값이라 48칸 중 45칸이 실제로는 못 끼우는 숫자였고 매번 반올림해 왔다.</t>
  </si>
  <si>
    <t>예상 진행 (X 입력이 없을 때) — 앞 12주. 전체 30주는 증량기록 시트에 있다</t>
  </si>
  <si>
    <t>주차</t>
  </si>
  <si>
    <t>6주차</t>
  </si>
  <si>
    <t>7주차</t>
  </si>
  <si>
    <t>8주차</t>
  </si>
  <si>
    <t>9주차</t>
  </si>
  <si>
    <t>10주차</t>
  </si>
  <si>
    <t>11주차</t>
  </si>
  <si>
    <t>12주차</t>
  </si>
  <si>
    <t>13주차</t>
  </si>
  <si>
    <t>14주차</t>
  </si>
  <si>
    <t>15주차</t>
  </si>
  <si>
    <t>16주차</t>
  </si>
  <si>
    <t>17주차</t>
  </si>
  <si>
    <t>· 위 표는 X 입력이 없다고 가정한 계획선이다. 실제 진행은 증량기록 시트가 결정한다.</t>
  </si>
  <si>
    <t>복귀 운용 — 날짜로 자동 계산 (2026-09-13 신설 · 09-13 기준 정정)</t>
  </si>
  <si>
    <t>프로그램 시작일</t>
  </si>
  <si>
    <t>주차 기준일</t>
  </si>
  <si>
    <t>기준 주차</t>
  </si>
  <si>
    <t>← 주차 기준일에 시작된 주차 번호. '현재 주차'(C4)와 같게 둔다</t>
  </si>
  <si>
    <t>증량 전진(주)</t>
  </si>
  <si>
    <t>← 몇 주마다 표를 한 칸 내릴지. 주 단위 전환 뒤로는 1</t>
  </si>
  <si>
    <t>재택 1일차 기준일</t>
  </si>
  <si>
    <t>← 재택 달력이 '오늘 몇 일차'를 푸는 기준. 복귀 중에는 안 쓰인다</t>
  </si>
  <si>
    <t>· 앱 '복귀 → 달력'이 이 칸들로 오늘의 주차와 네 리프트 중량을 계산한다. 손으로 셀 필요가 없고, 어디쯤인지 까먹어도 달력이 알려준다.</t>
  </si>
  <si>
    <t>· 2026-09-13에 사이클(2주에 5kg)을 주 단위(매주 2~3kg)로 바꿨다. 주당 평균은 그대로다 — 스쿼트 · 데드 2.5 · 벤치 1.2 · 프레스 0.6. 계단만 잘게 나눈 것이다.</t>
  </si>
  <si>
    <t>· 프레스만 격주다. 0.5kg 원판이 한쪽 하나뿐이라 봉 전체 1kg이 최소 계단인데, 그걸 매주 올리면 주 1.25kg으로 지금 속도의 2.5배가 된다.</t>
  </si>
  <si>
    <t>· 중량 자체는 증량기록 표가 정한다. 이 칸들이 정하는 것은 '오늘이 표의 몇 번째 줄인가'뿐이다.</t>
  </si>
  <si>
    <t>· 재택으로 돌아가면 표는 그대로 쓰되 한 줄 내려가는 속도가 다르다 — 재택은 10일 주기라 주당 진행이 이보다 느려진다. 그때 증량 폭을 다시 본다.</t>
  </si>
  <si>
    <t>운동 프로그램 — 10일 주기 (A블록 4일 · 휴식 · B블록 4일 · 휴식)</t>
  </si>
  <si>
    <t>적용 시기: 재택 근무 기간 (~9월)  |  10일 주기 / 1일 1세션  |  1사이클부터 설계 볼륨 100% (볼륨램프 해제)  |  요일이 아니라 주기 안의 순서로 돈다</t>
  </si>
  <si>
    <t>일차</t>
  </si>
  <si>
    <t>내용</t>
  </si>
  <si>
    <t>메인 리프트</t>
  </si>
  <si>
    <t>주요 근육군</t>
  </si>
  <si>
    <t>세트</t>
  </si>
  <si>
    <t>예상 시간</t>
  </si>
  <si>
    <t>당기기 A (수직)</t>
  </si>
  <si>
    <t>광배 · 승모(중부) · 기립근 · 복부</t>
  </si>
  <si>
    <t>밀기 A (수평)</t>
  </si>
  <si>
    <t>벤치프레스 5×5</t>
  </si>
  <si>
    <t>흉근 · 측면삼각 · 후면삼각 · 삼두</t>
  </si>
  <si>
    <t>하체 A (무릎)</t>
  </si>
  <si>
    <t>스쿼트 5×5</t>
  </si>
  <si>
    <t>대퇴사두 · 햄스트링 · 둔근</t>
  </si>
  <si>
    <t>어깨·팔 A</t>
  </si>
  <si>
    <t>삼각근(측면·후면) · 승모(하부) · 흉근(인클라인 스미스 · 펙덱) · 이두 · 전완 · 종아리</t>
  </si>
  <si>
    <t>휴식</t>
  </si>
  <si>
    <t>당기기 B (수평)</t>
  </si>
  <si>
    <t>광배 · 능형근 · 승모(중부·상부) · 이두 · 기립근 · 중둔근 · 종아리</t>
  </si>
  <si>
    <t>밀기 B (수직)</t>
  </si>
  <si>
    <t>밀리터리 3×5</t>
  </si>
  <si>
    <t>삼각근 · 흉근(상부 · 디클라인 플라이) · 승모(하부) · 복부</t>
  </si>
  <si>
    <t>하체 B (고관절)</t>
  </si>
  <si>
    <t>데드리프트 1×5 + 백오프 2×5</t>
  </si>
  <si>
    <t>둔근 · 햄스트링 · 대퇴사두</t>
  </si>
  <si>
    <t>어깨·팔 B</t>
  </si>
  <si>
    <t>삼각근(측면·후면·전면) · 승모(하부) · 흉근(상부 플라이) · 삼두 · 이두 · 전완 · 내전근 · 중둔근</t>
  </si>
  <si>
    <t>합계</t>
  </si>
  <si>
    <t>배치 논리</t>
  </si>
  <si>
    <t>· 10일 주기다. 1~4일차 A블록 · 5일차 완전휴식 · 6~9일차 B블록 · 10일차 완전휴식 · 다시 1일차. 네 패턴(당기기 · 밀기 · 하체 · 어깨팔)이 각각 A/B로 5일 간격.</t>
  </si>
  <si>
    <t>· 무거운 하체일 뒤가 둘 다 저부하다: 3일차 스쿼트 → 4일차 어깨·팔 A → 5일차 완전휴식, 8일차 데드 → 9일차 어깨·팔 B → 10일차 완전휴식. 어깨·팔 날은 척추 부하가 0이다.</t>
  </si>
  <si>
    <t>· 부위 간격이 5일로 완전히 균등하다 — 짝수 주기라 가능하다. 9일에서는 4일과 5일이 번갈아 왔다. 벤치(2) ↔ 밀리터리(7) · 스쿼트(3) ↔ 데드(8) · 당기기(1) ↔ (6) · 어깨·팔(4) ↔ (9).</t>
  </si>
  <si>
    <t>· 4·9일차 어깨·팔은 척추 부하 0인 고립일이다 — 33~38세트라 가벼운 날은 아니다. 다음 세션에 영향이 있으면 무게가 과한 것 — 세트가 아니라 무게를 내린다.</t>
  </si>
  <si>
    <t>· 연속 훈련은 최대 4일(1~4 · 6~9)이고 각 블록 4일째가 고립 세션이라 체감은 3일 → 가벼움 → 휴식이다.</t>
  </si>
  <si>
    <t>· 당기기 A(수직) / B(수평), 밀기 A(수평) / B(수직), 하체 A(무릎) / B(고관절), 어깨·팔 A / B. 같은 부위를 5일 뒤 다른 각도로 친다.</t>
  </si>
  <si>
    <t>· 기립근: 데드(8일차) + 덤벨 RDL(1일차). RDL은 20kg으로 가볍게 — 척추 부하가 아니라 자세 유지가 목적.</t>
  </si>
  <si>
    <t>10일 주기로 바꾸며 (2026-09-04 전환)</t>
  </si>
  <si>
    <t>· 4훈련 · 휴식 · 4훈련 · 휴식. 어깨(옛 8일차 40세트)를 다른 세 패턴처럼 A/B로 나눠 4 · 9일차에 두고, 1 · 2 · 5 · 6일차의 삼두 · 이두 · 전완을 그쪽으로 옮겼다. 종목 12개 이동, 세트는 한 개도 안 늘고 안 줄었다 — 239 그대로.</t>
  </si>
  <si>
    <t>· 세션이 24~38세트 · 67~73분으로 고르게 됐다. 9일 주기에서는 1일차 38 · 6일차 34(84분) · 8일차 40이었고 80분 넘는 날이 셋이었다. 이제 없다.</t>
  </si>
  <si>
    <t>· 시간 균등화(같은 날 추가): 디클라인 플라이(2일차) · 펙덱(7일차) → 4일차, 케이블 힙 외전(8일차) → 9일차, 스탠딩 카프(3일차) → 6일차. 4종목 13세트, 총량 불변. 분할 직후 57~80분이던 편차를 67~73분으로 좁혔다 — 남은 6분은 종목 하나 크기라 세트를 쪼개지 않는 한 더 못 좁힌다. 흉근이 2·4·7일차 셋으로 흩어졌고 종아리는 (1,6) 거울이 됐다.</t>
  </si>
  <si>
    <t>· 주당 환산 185.9 → 167.3. 볼륨을 뺀 게 아니라 같은 양을 하루 더 긴 달력에 편 것이다. 세트검산이 여러 부위를 '유지 미만'으로 띄우겠지만 그건 분모가 커진 산술이지 결핍이 아니다 — 총량 예산(세트검산 J2)이 239로 잠겨 있어 채워 넣을 수 없다.</t>
  </si>
  <si>
    <t>· 짝수 주기라 거울 슬롯이 생긴다: (1,6) 당기기 · (2,7) 밀기 · (3,8) 하체 · (4,9) 어깨·팔. 전부 5일 간격. 9일에서는 4일과 5일이 번갈아 왔다.</t>
  </si>
  <si>
    <t>· 최대 연속 훈련 4일은 그대로다. 휴식 비율은 2/9(22%) → 2/10(20%)로 조금 낮아졌지만, 각 블록 4일째가 고립 세션이라 실질 부담은 가볍다.</t>
  </si>
  <si>
    <t>· 12사이클 = 120일. 9일 기준 108일보다 12일 더 걸린다. 메인 리프트 목표 중량은 그대로고 도달 시점만 늦어진다.</t>
  </si>
  <si>
    <t>· 옮긴 종목은 원래 시트에서 지웠다(세트 0으로 남기지 않았다 — 한 시트에 회색 행이 셋씩 생겨서). 어디서 왔는지는 4 · 9일차 시트 노트와 이 항목이 기록한다.</t>
  </si>
  <si>
    <t>· [2026-09-05] 2일차 인클라인 스미스(4) ↔ 4일차 케이블 푸쉬다운(4) 맞교환 — 사용자 요청. 세트 불변(244), 2일차 73→68분 · 4일차 70→75분. 2일차 흉근이 17→13세트로 세션 부위 상한(8~9)에 가까워졌고, 삼두는 밀기 날 마지막에서 프레스 피로 위에 얹힌다 — '신선한 날의 삼두'는 포기한 것. 간접계수맵의 인클라인 스미스 두 줄은 원천 일차를 D4로 바꿨다.</t>
  </si>
  <si>
    <t>· [2026-09-05] 9일차 인클라인 덤벨 플라이 3세트 추가 — 사용자 요청. 같은 날 사용자가 4일차 인클라인 스미스 4→3 · 7일차 인클라인 머신 6→3으로 먼저 줄였으니 흉근 상부를 프레스에서 플라이로 옮긴 셈이다. 총량 241 · 상한 244 · 잔여 3. 흉근 상부 직접 13(2·4·7·9일차 · 주당 9.1) · 흉근 합산 31(주당 21.7, 천장 초과 예외에 9일차 추가).</t>
  </si>
  <si>
    <t>· [2026-09-05] 4일차 이너·아우터 타이·리스트 컬(13) ↔ 9일차 리버스 리스트 컬·리버스컬·시티드 카프(10) 맞교환 — 3일차 바로 다음 날 같은 기구를 또 타는 게 부담스럽다는 사용자 요청. 내전근 3·9일차(6/4일), 중둔근 9일차 8세트(앉아서·서서 각도 분리). 전완은 4일차 8(굴근·엎침) · 9일차 3(신근)으로 갈라 한 날에 몰지 않았다(사용자 요청). 같은 날 4일차 디클라인 케이블 플라이 3 → 7일차(헤머·인클라인 머신 뒤). 세트 241 불변 · 4일차 31 약 62분 · 7일차 27 약 67분 · 9일차 39 약 77분.</t>
  </si>
  <si>
    <t>· [2026-09-05] 세 자리 회전 — 사용자 합의: 9일차 케이블 힙 외전 → 6일차(카프 자리, 백 익스텐션 앞), 6일차 스탠딩 카프 → 4일차, 6일차 중량 크런치 → 7일차 마지막. 중둔근 3·6·9(3/3/4일) · 종아리 1·4·8(3/4/3일) · 복부 1·3·7(2/4/4일). 세션이 전부 68~73분 — 4일차 35 약 70 · 6일차 31 약 72 · 7일차 30 약 72 · 9일차 36 약 70. 데드 전날 크런치는 마지막 종목으로 가볍게, 셋업에서 배 힘이 덜 들어가면 6일차로 되돌린다.</t>
  </si>
  <si>
    <t>· [2026-09-05] 6일차 오버헤드 슈러그 ↔ 4일차 시티드 카프 맞교환 — 마지막 남은 이틀 연속(승모 하부 6·7일차)을 풀었다. 승모 하부 4·7·9(3/2/5일), 종아리 1·4·6·8(3/2/2/3일 — 4일차 비복근·6·8일차 가자미근). 4일차 36세트 약 71분 · 6일차 30세트 약 71분. 이제 이틀 연속으로 맞는 부위가 없다.</t>
  </si>
  <si>
    <t>· [2026-09-05] 1일차 랫풀다운 4 → 양팔 2 + 원암 랫풀다운 2, 6일차 시티드 케이블 로우 5 → 양팔 3 + 원암 케이블 로우 2 — 사용자 요청. 원암은 좌우 한 번씩을 1세트로 세고 수행 시간만 두 배(80초)라 세트 241 불변, 광배 직접 13 그대로, 1일차 70→72분 · 6일차 71→72분. 계수맵에 원암 2종을 신설(D핸들 뉴트럴 → 이두 0.33, 원암 로우 → 승모 중부 0.5) — 이두 간접 +0.3. 시작 무게는 양팔의 절반(20)이고 약한 쪽 기준으로 올린다.</t>
  </si>
  <si>
    <t>8일 주기로 바꾸며 치른 값 (2026-08-28 전환)</t>
  </si>
  <si>
    <t>· 달력과 어긋난다. 밀기 A(벤치)가 8일에 한 번씩 월요일에 걸린다 — 월요일 벤치 혼잡을 피하려던 원래 제약은 포기한 것이다.</t>
  </si>
  <si>
    <t>· 주당 볼륨이 12.5% 희석된다. 사이클당 세트 × 7/8 = 주당 환산. 세트검산 J열에 환산값을 두고 판정도 그 기준으로 한다.</t>
  </si>
  <si>
    <t>· 12사이클 = 96일로 12주(84일)보다 12일 길다. 메인 리프트 목표 중량은 그대로고 도달 시점만 늦어진다.</t>
  </si>
  <si>
    <t>· '이번 주'라는 단위가 사라진다. 지금이 몇 사이클인지는 시작중량_설정 C4에서, 몇 일차인지는 앱 탭에서 본다.</t>
  </si>
  <si>
    <t>· 되돌리려면: 9일차를 빼고 5일차 휴식을 맨 뒤로 옮기면 원래의 주 6일 배치다.</t>
  </si>
  <si>
    <t>주 단위 버전과의 차이</t>
  </si>
  <si>
    <t>· 총 세트 184 (사이클당) · 주당 환산 161. E열 실측.</t>
  </si>
  <si>
    <t>· 세션 상한은 26세트. 다만 고립 소근육 세트는 이 상한에서 예외로 본다 (2026-08-28 결정) — 컬 · 리스트 컬 · 푸쉬다운 · 레이즈처럼 관절 하나만 쓰고 세트당 1분이면 끝나는 종목은 세션 시간에도 전신 피로에도 큰 값을 붙이지 않기 때문이다. 그래서 1일차 27 · 6일차 27은 초과가 아니라 허용이다 (둘 다 팔 고립이 6·12세트씩 들어간 날).</t>
  </si>
  <si>
    <t>· 26 상한이 실제로 걸리는 날은 메인 리프트와 다관절 종목이 몰린 2일차(벤치 5×5)와 7일차(밀리터리 5×3)다. 여기서는 상한을 지킨다 — 2026-08-28에 2일차 바벨 컬 3세트를 넣을 때 디클라인 케이블 플라이를 0으로 내린 것이 그 적용이다.</t>
  </si>
  <si>
    <t>· 주요 부위 빈도 사이클당 2회, 5일 간격 균등. 팔은 3회 (이두 2·5·9일차 · 삼두 1·7일차) — 고립 소근육은 회복이 빨라 빈도를 더 준다.</t>
  </si>
  <si>
    <t>· 세션 상한과 별개로 한 세션 부위당 8~9세트 상한이 있다 — 그 위로는 앞 세트의 피로 위에 얹힌다. 예외는 둘: 2일차 흉근 합산 12세트(프레스 8 + 상부 편향 플라이 4, 고립 플라이는 프레스와 피로 중첩이 작아 허용), 9일차 후면 삼각근 9세트(종목을 셋으로 나눠 자극 축을 갈랐다).</t>
  </si>
  <si>
    <t>· 완전 휴식일은 5일차 하나 (8일에 1일 = 12.5%). 주 6일 버전의 7일에 1일(14.3%)보다 비율은 낮지만, 9일차가 30분 고립 세션이라 실질 회복 부담은 더 가볍다.</t>
  </si>
  <si>
    <t>빈도를 올린 이유</t>
  </si>
  <si>
    <t>· 한 세션에서 부위당 대략 8~10세트를 넘어가면 뒤쪽 세트는 앞의 피로 위에 얹혀 자극당 값이 떨어진다.</t>
  </si>
  <si>
    <t>· 5일 버전의 흉근 20 / 삼각근 21 / 광배 14는 그 구간을 넘어서 있었다.</t>
  </si>
  <si>
    <t>· 다만 "20세트 1회보다 10세트씩 2회가 낫다"는 직접 검증된 결과가 아니라 추론이다. 견고한 것은 "빈도를 올려도 손해는 없다" 정도.</t>
  </si>
  <si>
    <t>· 5년 공백 구간에서는 동작 반복 횟수 자체가 중요하다. 벤치·스쿼트 폼을 다시 배우는 시기이므로 빈도가 그 자체로 이득.</t>
  </si>
  <si>
    <t>F열 예상 시간 — 산정 기준</t>
  </si>
  <si>
    <t>· 본세트만 센 값이다. 웜업(회전근개 · 스캡 풀업 · 밴드 풀 어파트)과 메인 리프트 웜업 램프는 빠져 있으니 그만큼 더 잡을 것.</t>
  </si>
  <si>
    <t>· 계산식: 종목 시간 = 세트수 × (수행 + 휴식). 마지막 세트의 휴식은 다음 종목으로 넘어가는 전환 시간으로 친다.</t>
  </si>
  <si>
    <t>· 휴식 기준: 메인 본세트 3분 · 다관절 보조 2~2분 30초 · 하체 고립 2분 · 흉근 고립 105초 · 종아리 75초 · 팔·어깨 고립 60~75초 · 복부 60초.</t>
  </si>
  <si>
    <t>· 기준을 가르는 것은 근육 크기가 아니라 그 세트가 동원하는 근육량이다. 레그 익스텐션은 고립이어도 대퇴사두 전체를 쓰므로 2분이 필요하고, 레터럴은 60초면 된다.</t>
  </si>
  <si>
    <t>· 같은 스테이션에서 이어 하는 조합은 이동이 0이라 계산보다 빠르다 — 1일차 랫풀다운→페이스풀, 6일차 시티드 케이블 로우→스캡 슈러그, 7일차 머신 숄더→오버헤드 슈러그.</t>
  </si>
  <si>
    <t>· 시계보다 반복 수가 우선이다. 직전 세트보다 2회 이상 떨어지면 휴식이 짧은 것 — 특히 스쿼트·데드는 8사이클 넘어가면 3분으로 모자란다.</t>
  </si>
  <si>
    <t>범례</t>
  </si>
  <si>
    <t>파란 글씨 = 직접 입력하는 값 · 검은 글씨 = 수식 (건드리지 말 것) · 노란 칸 = 매 사이클 채워 넣는 칸</t>
  </si>
  <si>
    <t>E열 = 설계 세트 (100% 고정). 볼륨 램프 미사용 — 1사이클부터 이 값 그대로 수행.</t>
  </si>
  <si>
    <t>주의</t>
  </si>
  <si>
    <t>· 판단 기준: 이전 세션의 근육통이 안 빠지거나 메인 리프트에 X가 연속으로 뜨면 9일차 어깨를 0세트로 내린다 — 완전 휴식일이 둘이 되고 배치는 그대로 남는다.</t>
  </si>
  <si>
    <t>· 그래도 안 되면 하체 B를 빼고 그 종목을 하체 A와 당기기 B에 나눠 붙인다 — 데드는 당기기 B로. 그러면 7일 주기가 된다.</t>
  </si>
  <si>
    <t>· 9일차 어깨 (2026-08-28 · 4사이클 추가): 측면·후면이 MEV 근처였고 2·7일차가 세션 상한이라 별도 일차로 뺐다. 회복 판정이 흔들리면 여기부터 0으로 내린다 — 프로그램에서 가장 먼저 버릴 세션이다.</t>
  </si>
  <si>
    <t>· 8일 주기 전환 직후 2사이클은 회복 확인 구간으로 썼다. 7일 연속 구간(당시 5일차~다음 3일차)이 버티는지가 관건이었고, 안 버티면 9일차 어깨를 0세트로 내려 완전휴식일을 하나 더 만들기로 했었다. → 2026-09-04 결론: 중량은 계속 올랐지만 '좀 피곤하다'는 답이 나왔고, 마침 부족 부위 보강으로 볼륨을 얹으려던 참이라 10일차 완전휴식을 신설했다. 9일차를 0으로 내리는 대신 날을 하나 더 붙인 쪽을 택했다 — 어깨 볼륨은 2026-08-28에 MAV 하단으로 올려둔 것이라 없앨 수 없었다. 이제 3연속 · 휴식 · 4연속 · 휴식이다.</t>
  </si>
  <si>
    <t>세트별 휴식 램프 (2026-09-04 추가)</t>
  </si>
  <si>
    <t>· M열 '세트별 휴식(초)'에 "150/170/190/215/240"처럼 적으면 타이머가 세트마다 그 값을 쓴다. 비어 있으면 H열 한 값을 전 세트에 쓴다 — 종전과 같다.</t>
  </si>
  <si>
    <t>· 피로는 세트가 쌓이며 누적된다. 5×5가 무너지는 자리는 늘 4~5세트째다. 앞 세트에서 덜어 뒤 세트에 주면 평균이 같으므로 세션 시간은 그대로인데 마지막 세트의 볼륨 로드가 산다.</t>
  </si>
  <si>
    <t>· 넣은 곳 — 스쿼트 · 벤치 · 밀리터리 · 딥스 · 친업. 데드는 본세트가 1세트라 세트 간 휴식 자체가 없다. 늘릴 것이 있다면 웜업 램프 간격이다.</t>
  </si>
  <si>
    <t>· 스쿼트만 평균을 180 → 193으로 올렸다 (5세트째 240초). 5세트째에 주의가 흩어져 자세가 무너지고 무릎이 시큰했던 건이 근거다 — 피로가 적을수록 그런 순간에 버틸 여유가 남는다.</t>
  </si>
  <si>
    <t>· H열은 반드시 램프의 평균으로 둔다. I열 '종목 분' 수식이 E×(G+H)/60이라 평균이 어긋나면 예상 시간이 통째로 틀어진다.</t>
  </si>
  <si>
    <t>· 확장은 달력이 아니라 실패에 반응시킨다 — 본세트 목표 반복을 처음 놓친 사이클에 그 종목 마지막 세트에만 +30초. 상한에 닿고도 미달이면 그때가 중량을 멈출 때다.</t>
  </si>
  <si>
    <t>· 상한 — 스쿼트 300초 · 벤치/밀리터리 240초 · 로우 계열 180초 · 친업/딥스 180초 · 푸쉬업 계열 90초. 그 위로는 근비대 이득이 사실상 없고 세션 시간만 먹는다.</t>
  </si>
  <si>
    <t>· 휴식은 일회성 자원이다. 3분 → 5분은 되지만 5분 → 10분은 안 된다. 상대강도가 낮은 지금 다 써버리면 중량이 붙었을 때 꺼낼 카드가 없다.</t>
  </si>
  <si>
    <t>· 중량과 휴식을 같이 올리면 기록 갱신이 힘이 는 건지 잘 쉰 탓인지 구분이 안 된다. 정체가 왔을 때 무엇을 건드릴지 못 정하게 되므로 한 번에 하나만 움직인다.</t>
  </si>
  <si>
    <t>슈퍼세트 열 (2026-09-04 추가)</t>
  </si>
  <si>
    <t>· 종목표 오른쪽 '슈퍼세트' 칸에 같은 글자(예: A)를 붙인 이웃 종목끼리 한 묶음이 되어, 타이머가 세트를 번갈아 돈다 — A1 → A2 → 휴식 → A1 → A2 → …</t>
  </si>
  <si>
    <t>· 휴식(초)의 뜻은 그대로다: '이 종목 세트 뒤에 오는 쉼'. 그래서 묶음 앞쪽에는 전환 시간을, 마지막 종목에는 라운드 간 휴식을 적는다. '종목 분' 수식도 손댈 필요가 없다.</t>
  </si>
  <si>
    <t>· 첫 적용 — 3일차 이너 타이(전환 10초) + 아우터 타이(휴식 105초). 겸용 머신이라 패드만 뒤집으면 되어 전환 비용이 사실상 0이다.</t>
  </si>
  <si>
    <t>· 길항근 쌍일 때만 묶어라. 같은 근육을 두 종목으로 묶으면 뒤쪽이 앞쪽 피로 위에 얹혀 자극당 값이 떨어진다 — 시간은 아끼지만 세트를 버리는 셈이 된다.</t>
  </si>
  <si>
    <t>· 묶음 안의 세트 수는 달라도 된다. 모자란 쪽은 그 라운드에서 빠진다.</t>
  </si>
  <si>
    <t>· 앱에서는 묶음의 어느 종목을 눌러도 그 묶음의 처음부터 시작한다 — 라운드 중간에서 시작하면 짝이 어긋나기 때문이다.</t>
  </si>
  <si>
    <t>드롭 세트 (2026-09-07)</t>
  </si>
  <si>
    <t>· 고립·케이블 12곳의 마지막 세트에만 드롭 2단 — 1일차 원암 랫풀다운, 2일차 레터럴·리버스 펙덱·푸쉬다운, 3일차 레그 컬, 4일차 머신 레터럴·펙덱, 6일차 원암 로우·스캡 슈러그·프리쳐 컬, 7일차 디클라인 케이블 플라이, 8일차 레그 익스텐션. 메인 4종, 척추 부하 종목, 복합 프레스·로우, 기술 종목(오버헤드 슈러그·프론 Y·업라이트 로우)에는 붙이지 않는다.</t>
  </si>
  <si>
    <t>· 세트 수·예산(244)은 그대로다. 드롭은 같은 세트의 연장이지 새 세트가 아니다. 시간만 O열 '드롭(초)'로 얹혀 세션이 +1~4분. 증량 판정은 드롭이 없는 앞 세트로만 한다.</t>
  </si>
  <si>
    <t>· 9일차는 드롭 0 — 36세트로 이미 꽉 찬 날이다. 측면은 2일차 레터럴에 더해 4일차 머신 레터럴에도 붙였다(사용자 선택, 둘 다 +60초). 이두는 프리쳐 컬 한 곳(9일차 인클라인 컬은 이틀 뒤 친업), 머신 숄더 프레스는 제외(전면 삼각근은 프레스 4종으로 충분), 시티드 카프·트랩바 슈러그·흉근 상부(케이블 플라이 교체 필요)는 보류.</t>
  </si>
  <si>
    <t>1일차 — 당기기 A (수직)</t>
  </si>
  <si>
    <t>광배 위쪽 · 견갑골 하강 · 전완 · 삼두. 6일차 당기기 B(수평)와 각도를 나눈다.</t>
  </si>
  <si>
    <t>웜업 — 스캡 풀업 2세트 × 5~8 (세트 카운트 제외): 팔은 편 채 견갑골만 하강, 여유 있게(실패 4회+ 전 종료). 친업 직전 견갑 하강 프라이밍.</t>
  </si>
  <si>
    <t>운동 구성</t>
  </si>
  <si>
    <t>#</t>
  </si>
  <si>
    <t>근육군</t>
  </si>
  <si>
    <t>중량(Kg)</t>
  </si>
  <si>
    <t>횟수</t>
  </si>
  <si>
    <t>수행(초)</t>
  </si>
  <si>
    <t>휴식(초)</t>
  </si>
  <si>
    <t>종목 분</t>
  </si>
  <si>
    <t>간접 자극</t>
  </si>
  <si>
    <t>메모</t>
  </si>
  <si>
    <t>대체 종목</t>
  </si>
  <si>
    <t>세트별 휴식(초)</t>
  </si>
  <si>
    <t>슈퍼세트</t>
  </si>
  <si>
    <t>드롭(초)</t>
  </si>
  <si>
    <t>친업 (어시스트 가능)</t>
  </si>
  <si>
    <t>광배</t>
  </si>
  <si>
    <t>6~8</t>
  </si>
  <si>
    <t>이두</t>
  </si>
  <si>
    <t>수직 당기기 메인. 광배 위쪽 섬유 비중이 큼</t>
  </si>
  <si>
    <t>어시스트 풀업 머신 (개수가 안 나올 때) / 뉴트럴 그립 친업 (팔꿈치가 편함) / 랫풀다운</t>
  </si>
  <si>
    <t>135/145/160/180</t>
  </si>
  <si>
    <t>랫풀다운</t>
  </si>
  <si>
    <t>8~12</t>
  </si>
  <si>
    <t>친업 뒤에 무게 조절 수단으로. 그립을 친업과 다르게 (친업이 언더면 여기선 오버) [2026-09-05 4→2] 뒤 2세트를 원암 랫풀다운으로 나눴다 (사용자 요청).</t>
  </si>
  <si>
    <t>뉴트럴 그립 랫풀다운 / 원암 랫풀다운 (좌우 독립) / 케이블 풀오버 (이두 개입 최소)</t>
  </si>
  <si>
    <t>원암 랫풀다운</t>
  </si>
  <si>
    <t>8~12 (좌우)</t>
  </si>
  <si>
    <t>[2026-09-05 신설] 랫풀다운 4세트를 양팔 2 + 원암 2로 나눴다 (사용자 요청). 하이 풀리에 D핸들을 걸고 뉴트럴 그립으로 한 팔씩 — 좌우를 따로 세니 약한 쪽이 강한 쪽에 묻히지 않고, 당기는 쪽으로 몸통을 살짝 기울여 광배를 더 늘린 자리에서 시작할 수 있다. 팔꿈치를 옆구리 쪽으로 끌어내리고 맨 아래에서 1초 정지. 세트 수는 좌우 한 번씩을 1세트로 센다(수행 80초 = 40초 × 2). 무게는 양팔의 절반에서 시작해 약한 쪽 기준으로 올린다. 광배 직접 세트는 이 날 8 그대로. [2026-09-07 마지막 세트 드롭 2단 — 실패 뒤 쉬지 않고 20~30% 내려 두 번. 한쪽을 끝까지 내려간 뒤 반대쪽. 팔로 당기기 시작하면 그 자리에서 끝. 세트 수 그대로, 증량 판정은 첫 세트로만. +120초는 O열]</t>
  </si>
  <si>
    <t>원암 케이블 풀다운 (다른 하이 풀리) / 원암 덤벨 로우 (풀다운 기구가 찼을 때) / 뉴트럴 그립 랫풀다운 4세트로 합치기</t>
  </si>
  <si>
    <t>바벨 로우(스미스)(그립 넓게)</t>
  </si>
  <si>
    <t>승모(중부)·능형근</t>
  </si>
  <si>
    <t>맨몸</t>
  </si>
  <si>
    <t>8~10</t>
  </si>
  <si>
    <t>전거근</t>
  </si>
  <si>
    <t>그립을 어깨너비보다 넓게 — 팔꿈치를 45~90°로 벌려 견갑골을 모으는 종목이다. 주동근은 능형근·중부승모이고 광배는 협력근으로 계상한다(간접 0.5). 팔꿈치를 몸통에 붙여 당기면 광배 종목이 되어 같은 날 친업·랫풀다운과 겹친다 — 그러라고 넣은 자리가 아니다. [2026-09-04 라벨 정정: 광배 → 승모(중부)·능형근. 세트 수는 그대로 4]</t>
  </si>
  <si>
    <t>스캡 랫풀다운 (앉아서) / 어시스트 풀업 머신에서 스캡 풀업 / 바에 매달려 정지 3초</t>
  </si>
  <si>
    <t>페이스풀(로프)</t>
  </si>
  <si>
    <t>12~15</t>
  </si>
  <si>
    <t>삼각근(후면) · 외회전근</t>
  </si>
  <si>
    <t>수평 후인 + 외회전. 랫풀다운과 같은 케이블 스테이션에서 높이만 올려 이어서 한다. 팔꿈치를 어깨 높이로 유지하고 마지막에 손등이 뒤로 돌아갈 때까지 외회전을 끝낼 것 — 외회전을 빼면 그냥 후면삼각 종목이 되어 6일차와 겹친다. 무게 욕심 내면 승모 상부가 다 가져간다. 수직 당기기 날이지만 승모 중부 사이클당 2회(6일차와 5일 간격)를 만들기 위한 배치이며, 10~15kg으로 가벼워 친업·랫풀다운의 광배 자극과 경쟁하지 않는다. 덤벨 RDL과 같은 성격의 예외 배치.</t>
  </si>
  <si>
    <t>로프 페이스풀 (1순위) / 밴드 페이스풀 (케이블 자리가 없을 때) / 리버스 펙덱을 팔 편 채로 + 케이블 외회전 별도 (외회전 성분을 분리 수행)</t>
  </si>
  <si>
    <t>바벨 컬</t>
  </si>
  <si>
    <t>30~35</t>
  </si>
  <si>
    <t>전완</t>
  </si>
  <si>
    <t>[2026-08-28 — 이 종목은 2일차 밀기 A로 옮겨 3세트로 되살아났다. 당기기 날은 친업·랫풀다운으로 이두가 이미 간접 3.5세트분 지친 뒤라 컬을 두기에 나쁜 자리였다. 이 행은 기록으로만 남긴다]</t>
  </si>
  <si>
    <t>EZ바 컬 (손목이 편함) / 케이블 컬 (전 구간 장력) / 해머 컬 (상완요골근 동시)</t>
  </si>
  <si>
    <t>라잉 레그 레이즈</t>
  </si>
  <si>
    <t>복부</t>
  </si>
  <si>
    <t>복부 굴곡(하부). 바닥에 누워 다리를 모은 채 들어올린다 — 허리가 뜨면 장요근 종목이 되므로 손을 엉덩이 밑에 받쳐 골반을 후방경사로 고정하고, 내릴 때 발이 바닥에 닿기 전에 멈춰 장력을 유지한다. 6일차 중량 크런치(상부)와 굴곡 축을 나눈다. [2026-09-02 — 변형 4가지 서킷에서 일반 라잉 레그 레이즈로 환원. 세트당 100회·150초라 4세트가 14분으로 이 세션에서 가장 긴 종목이었고, 변형마다 자극 부위가 흩어져 하부 굴곡 한 축에 집중되지 않았다. 종목 분 14.0 → 6.7]</t>
  </si>
  <si>
    <t>캡틴 체어 레그 레이즈 (그립·허리 부담 없음 — 1순위) / 행잉 레그 레이즈 (가장 어렵다, 그립이 먼저 나감) / 리버스 크런치 (골반을 말아 올려 하부 집중) / 라잉 레그 레이즈 변형 4가지 https://www.youtube.com/watch?v=BGaOGtfTKPc</t>
  </si>
  <si>
    <t>케이블 트렁크 로테이션</t>
  </si>
  <si>
    <t>10~15</t>
  </si>
  <si>
    <t>12~15 (좌우)</t>
  </si>
  <si>
    <t>[2026-09-04 신설] 복부의 네 번째 축 — 회전. 그동안 굴곡(상·하)과 항신전만 있고 회전은 통째로 비어 있었다. **뒷발 뒤꿈치를 돌려 골반이 상체를 따라가게 한다** — 골반을 고정한 채 돌리면 회전이 요추 하나에 몰린다(앉아서 하는 트렁크 로테이션 머신을 안 쓰는 이유가 이것이다). **팔은 고정하고 몸통으로 돌린다** — 팔로 당기면 어깨 운동이 된다. 무게는 가볍게, 통제되는 범위에서. 6일차 중량 크런치를 6→3으로 내리며 이쪽으로 옮겨온 자리다. 왜 1일차인가 — 10일차 휴식 다음 날이라 척추가 가장 신선하다. 9일차는 데드(8일차) 다음 날이고 "척추 부하 0"이 그 날의 설계 근거라 회전을 얹지 않았다.</t>
  </si>
  <si>
    <t>케이블 우드촙 (하이 투 로우) / 팔로프 프레스 (항회전) / 밴드 트렁크 로테이션</t>
  </si>
  <si>
    <t>카프 레이즈 (스탠딩)</t>
  </si>
  <si>
    <t>종아리</t>
  </si>
  <si>
    <t>10</t>
  </si>
  <si>
    <t>[2026-09-04 신설] 종아리를 성장 구간(주당 10)으로 올리려고 3일차·8일차에 이어 세 번째 자리를 만들었다. 무릎 편 상태라 비복근 쪽. 당기기 날에 둔 이유는 하체날 두 곳이 이미 가장 긴 세션이라 더 얹지 않기로 해서다 — 종아리는 고립이라 어느 날에 있든 상관없다.</t>
  </si>
  <si>
    <t>레그 프레스 카프 (기계가 비었을 때) / 스미스 카프 레이즈</t>
  </si>
  <si>
    <t>덤벨 루마니안 데드리프트</t>
  </si>
  <si>
    <t>기립근</t>
  </si>
  <si>
    <t>12</t>
  </si>
  <si>
    <t>둔근·햄스트링</t>
  </si>
  <si>
    <t>기립근 보조. 20kg으로 가볍게 — 무게를 올리면 햄스트링 종목이 되고 척추 부하도 같이 올라간다. 데드(8일차)와 이틀 간격이라 이 자리가 맞다 [2026-09-04 3→6→3] 백 익스텐션이 없던 동안 기립근을 늘릴 수단이 이것뿐이라 6으로 올렸다가, 기구를 쓸 수 있다는 확인을 받고 3으로 되돌렸다. 힌지를 두 배로 하는 것보다 기립근 전용 종목을 따로 두는 편이 척추 부하도 낮고 자극도 곧다. [2026-09-04 순서 변경: 백 익스텐션과 자리를 맞바꿔 10번이 됐다]</t>
  </si>
  <si>
    <t>케이블 풀스루 (척추 압박 최소) / 굿모닝 (빈 봉~40kg, 가볍게) / 45도 하이퍼익스텐션 벤치 (있는 경우) / 스티프 레그드 데드리프트. 어느 쪽이든 가볍게 — 성장이 아니라 자세 유지가 목적</t>
  </si>
  <si>
    <t>백 익스텐션 (45도)</t>
  </si>
  <si>
    <t>[2026-09-04 순서 변경] 기구가 옆 체육관에 있어 세션 맨 마지막으로 내렸다 — 본 체육관 일을 전부 끝내고 이동한다. 앞으로 종목을 추가할 때 이 뒤에 붙이지 말 것. 45도 백 익스텐션, 이 프로그램의 원래 설계 종목이었는데 기구를 못 써서 덤벨 RDL로 대체해 뒀던 것을 되돌렸다. **척추 신전을 강조해서 한다** — 등을 편 채 고관절만 접는 힌지식으로 하면 둔근·햄스트링이 주동근이 되고 기립근은 버티기만 한다. 옆 체육관까지 갔는데 그러면 헛걸음이다.</t>
  </si>
  <si>
    <t>원판 5~10kg 안고 (맨몸이 쉬워지면) / 굿모닝(스미스) / 덤벨 루마니안 데드리프트</t>
  </si>
  <si>
    <t>세트 합계</t>
  </si>
  <si>
    <t>변경 (2026-09-05)</t>
  </si>
  <si>
    <t>· 랫풀다운 4 → 양팔 2 + 원암 2 (사용자 요청). 3번 원암 랫풀다운을 새로 두고 뒤 종목 번호가 하나씩 밀렸다. 광배 직접 세트는 8 그대로 · 31세트 · 약 72분.</t>
  </si>
  <si>
    <t>· 원암 랫풀다운 마지막 세트에 드롭 2단, +120초 (사용자 요청). 편측이라 한쪽을 끝까지 내려간 뒤 반대쪽으로 넘어간다 — 번갈아 하면 쉬는 시간이 생겨 드롭 효과가 약해진다. 광배는 주당 12.4로 낮고 예산은 잠겨 있어, 세트 수를 안 늘리고 자극만 얹는 자리다.</t>
  </si>
  <si>
    <t>· O열 '드롭(초)'는 마지막 세트에 더해지는 시간이다. I열 종목 분에 합산되고, 앱 타이머는 마지막 세트를 그만큼 늘린 뒤 '드롭세트'라고 읊는다. E열 세트 수와 세트검산은 건드리지 않는다.</t>
  </si>
  <si>
    <t xml:space="preserve"> </t>
  </si>
  <si>
    <t>2일차 — 밀기 A (수평)</t>
  </si>
  <si>
    <t>벤치 5×5가 이 프로그램의 최우선 종목. 7일차 밀기 B(수직)와 각도를 나눈다. 삼두 푸쉬다운을 마지막에 둔다 — 프레스로 지친 삼두를 고립으로 마무리한다 (2026-09-05, 4일차에서 이동). [이력] 바벨 컬은 2026-09-04에 4일차로 갔다.</t>
  </si>
  <si>
    <t>메인: 벤치프레스</t>
  </si>
  <si>
    <t>반복</t>
  </si>
  <si>
    <t>↑ '시작중량_설정'과 자동 연동. 20 = 빈 봉. '생략'은 앞 세트와 중량이 겹쳐 불필요하다는 뜻.</t>
  </si>
  <si>
    <t>웜업 — 회전근개 (세트 카운트 제외)</t>
  </si>
  <si>
    <t>· 케이블 외회전 2세트 × 12~15회. 팔꿈치 90도로 접어 옆구리에 붙이고 바깥으로만 회전.</t>
  </si>
  <si>
    <t>· 매우 가볍게 — 2.5~5kg. 무거우면 광배와 후면 삼각근이 대신 일하며 목적을 잃는다.</t>
  </si>
  <si>
    <t>· 근비대 항목이 아니라 관절 준비 항목이므로 세트 합계에 넣지 않는다.</t>
  </si>
  <si>
    <t>벤치프레스 (본세트)</t>
  </si>
  <si>
    <t>흉근(중하부)</t>
  </si>
  <si>
    <t>5</t>
  </si>
  <si>
    <t>삼두·전면삼각</t>
  </si>
  <si>
    <t>현재 최우선 종목. 사이클당 2.25kg 마이크로로딩. 여기가 무너지면 그 사이클 나머지를 줄인다</t>
  </si>
  <si>
    <t>스미스 벤치프레스 (궤도 고정) / 체스트 프레스 머신 / 플로어 프레스 (어깨가 아플 때)</t>
  </si>
  <si>
    <t>150/165/180/195/210</t>
  </si>
  <si>
    <t>딥스</t>
  </si>
  <si>
    <t>70 10개 채움</t>
  </si>
  <si>
    <t>삼두</t>
  </si>
  <si>
    <t>상체 앞으로 기울여 흉근 비중 확보. 쉬워지면 벨트로 중량 추가</t>
  </si>
  <si>
    <t>어시스트 딥스 머신 / 디클라인 덤벨 프레스 / 체스트 딥스 머신  https://www.youtube.com/shorts/1tQQKeAMwr0</t>
  </si>
  <si>
    <t>인클라인 덤벨 플라이(혹은 벡덱플라이 머신으로)</t>
  </si>
  <si>
    <t>흉근(상부)</t>
  </si>
  <si>
    <t>10~12</t>
  </si>
  <si>
    <t>프레싱 뒤 고립. 늘어난 구간에서 멈추지 말고 부드럽게 [2026-09-04 4→7] 흉근 상부 보강(주당 7.0 → 10.1). 7일차 인클라인 머신과 함께 사이클당 2회. [2026-09-04 7→4] 같은 날 인클라인 벤치프레스(스미스) 3세트를 새로 두면서 나눴다. 흉근 상부 직접 합계는 그대로다.</t>
  </si>
  <si>
    <t>케이블 크로스오버 (아래→위) / 펙덱 플라이 (등받이를 눕혀 인클라인 각으로) / 인클라인 머신 플라이</t>
  </si>
  <si>
    <t>레터럴 레이즈</t>
  </si>
  <si>
    <t>삼각근(측면)</t>
  </si>
  <si>
    <t>덤벨은 아래 구간에 저항이 안 걸린다 — 원암 케이블(7일차)이 그 구간을 메운다 [2026-09-07 마지막 세트 드롭 2단 — 실패 뒤 쉬지 않고 20~30% 내려 두 번. 무거운 구간에서 승모가 끼면 내린 무게로 어깨만 마저 채운다. 세트 수 그대로, 증량 판정은 앞 세트로만. +60초는 O열]</t>
  </si>
  <si>
    <t>케이블 레터럴 레이즈 (전 구간 장력) / 레터럴 레이즈 머신 / 라잉 레터럴</t>
  </si>
  <si>
    <t>리버스 펙덱플라이</t>
  </si>
  <si>
    <t>삼각근(후면)</t>
  </si>
  <si>
    <t>[2026-09-07 마지막 세트 드롭 2단 — 실패 뒤 쉬지 않고 핀 20~30% 내려 두 번. 세트 수 그대로, 증량 판정은 앞 세트로만. +60초는 O열]</t>
  </si>
  <si>
    <t>https://www.youtube.com/shorts/Et70PVUQpDE</t>
  </si>
  <si>
    <t>케이블 푸쉬다운 (로프)</t>
  </si>
  <si>
    <t>[2026-09-05 4일차 → 2일차 이동] 벤치·딥스·플라이·레이즈를 다 마친 뒤 마지막에 — 프레스에서 이미 지친 삼두를 고립으로 마무리하는 자리다. 4일차에 있을 때의 근거였던 '삼두가 안 쓰인 날의 신선함'은 포기했고, 대신 밀기 날에 삼두가 같이 끝난다. 로프로 마지막에 손등을 바깥으로 벌리면 외측두가 끝까지 수축한다. 팔꿈치는 옆구리에 고정 — 어깨로 누르면 광배 종목이 된다. 9일차 라잉 익스텐션이 늘어난 구간(장두)이라 여기는 짧아진 구간(외측두·내측두)으로 축을 나눈다. 삼두 직접은 2일차 4 · 9일차 4로 사이클당 2회 그대로. [2026-08-28 — 원래 1일차 인클라인 덤벨 컬 자리에 들어왔던 종목] [2026-09-07 마지막 세트 드롭 2단 — 실패 뒤 쉬지 않고 핀 20~30% 내려 두 번. 팔꿈치는 끝까지 옆구리에. 세트 수 그대로, 증량 판정은 앞 세트로만. +60초는 O열]</t>
  </si>
  <si>
    <t>V바 푸쉬다운 (손목이 편함) / 오버헤드 케이블 익스텐션 (장두 — 7일차와 겹치므로 차선) / 덤벨 킥백 / 벤치 딥스 (케이블이 없을 때)</t>
  </si>
  <si>
    <t>· 레터럴 레이즈 · 리버스 펙덱 · 푸쉬다운 마지막 세트에 드롭 2단, 각 +60초 (사용자 요청). 벤치 뒤라 셋이 몰려도 메인에 영향이 없다. 20~30%씩 내려 쉬지 않고 두 번, 세 번째부터는 피로만 쌓인다.</t>
  </si>
  <si>
    <t>3일차 — 하체 A (무릎 지배)</t>
  </si>
  <si>
    <t>스쿼트 · 레그프레스 중심. 8일차 하체 B(고관절 지배)와 5일 간격.</t>
  </si>
  <si>
    <t>메인: 스쿼트</t>
  </si>
  <si>
    <t>스쿼트 (본세트)</t>
  </si>
  <si>
    <t>대퇴사두</t>
  </si>
  <si>
    <t>둔근·기립근</t>
  </si>
  <si>
    <t>무릎 지배 메인. 데드(8일차)와 5일 간격이라 기립근이 회복된 상태에서 친다</t>
  </si>
  <si>
    <t>스미스 스쿼트 / 핵 스쿼트 (대퇴사두 집중) / 프론트 스쿼트 / 벨트 스쿼트 (척추 부하 없음)</t>
  </si>
  <si>
    <t>150/170/190/215/240</t>
  </si>
  <si>
    <t>레그 프레스</t>
  </si>
  <si>
    <t>둔근</t>
  </si>
  <si>
    <t>수/토 3+3 분할. 궤도 고정이라 대퇴사두가 확실히 한계까지 간다. 발판 위치는 중간</t>
  </si>
  <si>
    <t>핵 스쿼트 / 레그 익스텐션 (완전 고립) / 프론트 스쿼트</t>
  </si>
  <si>
    <t>불가리안 스플릿 스쿼트</t>
  </si>
  <si>
    <t>10 (좌우)</t>
  </si>
  <si>
    <t>대퇴사두·중둔근</t>
  </si>
  <si>
    <t>한 다리 지지라 관상면 안정화가 함께 들어온다</t>
  </si>
  <si>
    <t>덤벨 런지 / 워킹 런지 / 스텝업 / 리버스 런지 (무릎 부담 ↓)</t>
  </si>
  <si>
    <t>레그 컬</t>
  </si>
  <si>
    <t>햄스트링</t>
  </si>
  <si>
    <t>무릎 굴곡. 8일차 RDL(고관절 신전)과 기능이 다르다 — 둘 다 필요 [2026-09-07 마지막 세트 드롭 2단 — 실패 뒤 쉬지 않고 핀 20~30% 내려 두 번. 지친 햄스트링은 수축 위치에서 쥐가 잘 나니 위에서 멈추지 말고 바로 내린다. 다음 햄스트링은 8일차, 5일 뒤. 세트 수 그대로, 증량 판정은 앞 세트로만. +75초는 O열]</t>
  </si>
  <si>
    <t>라잉 레그 컬 · 시티드 레그 컬 (시티드가 늘어난 구간을 더 씀) / 노르딕 햄 컬</t>
  </si>
  <si>
    <t>이너 타이</t>
  </si>
  <si>
    <t>내전근</t>
  </si>
  <si>
    <t>내전근 직접 종목은 이것뿐. 스쿼트·레그프레스·불가리안이 간접 5.5를 채워 주므로 실질은 이미 하한 위다. [2026-09-04 — 아우터 타이와 슈퍼세트로 묶었다. 겸용 머신이라 패드만 뒤집으면 되어 전환이 10초다. 휴식 105 → 10초는 그 전환 시간이고, 라운드 간 휴식은 아우터 쪽 105초가 맡는다. 길항근 쌍이라 서로의 피로를 나눠 갖지 않으며, 각 근육 입장에서는 자기 세트 간격이 오히려 155초로 늘어난다]</t>
  </si>
  <si>
    <t>와이드 스탠스 레그 프레스 / 코사크 스쿼트 / 케이블 힙 내전</t>
  </si>
  <si>
    <t>A</t>
  </si>
  <si>
    <t>아우터 타이 (힙 외전)</t>
  </si>
  <si>
    <t>중둔근</t>
  </si>
  <si>
    <t>관상면 외전. [2026-09-04 부활 — v18에서 8일차로 보냈던 자리를 이너 타이와의 슈퍼세트로 되살렸다. 중둔근이 직접 3 · 간접 1.0으로 주당 환산 3.5, 프로그램 최하위였다. 여기 4세트로 주당 7.0 · 사이클당 2회(3일차·8일차, 간격 4일)가 된다. 8일차 케이블 힙 외전은 그대로 둔다 — 앉아서 고관절 굽힌 채(여기)와 서서 편 채(8일차)는 각도가 다르다. 반드시 양측 동시 머신으로 — 케이블 좌우 버전은 수행 80초라 40초짜리 이너와 라운드가 안 맞는다]</t>
  </si>
  <si>
    <t>힙 어브덕션 머신 (겸용 머신이 없을 때) / 케이블 힙 외전 (좌우 — 슈퍼세트로는 부적합) / 밴드 몬스터 워크 / 사이드 라잉 힙 외전</t>
  </si>
  <si>
    <t>앱휠 롤아웃</t>
  </si>
  <si>
    <t>항신전. 다음날이 당기기 B라 브레이싱 손실이 문제되지 않는다</t>
  </si>
  <si>
    <t>애브 롤아웃 / 사이드 플랭크 / 팔로프 프레스 (항회전)</t>
  </si>
  <si>
    <t>· 레그 컬 마지막 세트에 드롭 2단, +75초 (사용자 요청). 핀 스택 단관절이고 그날 햄스트링 마지막 종목이다. 다음 햄스트링은 8일차 RDL, 5일 뒤. 3일차 뒤는 4일차 고립·5일차 휴식이라 회복이 겹치지 않는다. 지친 햄스트링은 수축 위치에서 쥐가 나기 쉬우니 드롭 반복은 위에서 멈추지 않는다.</t>
  </si>
  <si>
    <t>4일차 — 어깨·팔 A</t>
  </si>
  <si>
    <t>측면·후면 삼각근 + 승모 하부 + 흉근(인클라인 스미스 · 펙덱) + 이두 · 전완 + 종아리. 약 71분. 4-1-4-1 전환으로 신설 — 옛 8일차 어깨 세션의 절반과 1·2일차의 팔이 여기로 왔다. 거울 슬롯은 9일차 어깨·팔 B. [2026-09-05] 이너·아우터 타이·리스트 컬은 9일차로, 디클라인 플라이는 7일차로, 시티드 카프는 6일차로 갔고, 9일차의 리버스 리스트 컬·리버스컬과 6일차 스탠딩 카프·오버헤드 슈러그가 왔다. 펙덱·머신 레터럴 마지막 세트 드롭 +2분 — 약 73분 (2026-09-07).</t>
  </si>
  <si>
    <t>웜업 — 케이블 외회전 2세트 × 12~15 (세트 카운트 제외): 매우 가볍게 2.5~5kg. 팔꿈치를 90도로 접어 옆구리에 붙이고 바깥으로만 회전. 대체: 밴드 외회전 / 아주 가벼운 페이스풀.</t>
  </si>
  <si>
    <t>머신 레터럴 레이즈</t>
  </si>
  <si>
    <t>궤도가 고정돼 반동이 안 들어간다. 중간 구간을 끝까지 쓴다. 어깨가 으쓱 따라 올라가면 승모가 대신 일하는 것 — 무게를 내린다. [2026-09-07 마지막 세트 드롭 2단 — 실패 뒤 쉬지 않고 핀 20~30% 내려 두 번. 측면 두 번째 드롭 자리(2일차 레터럴과 이틀 간격, 사용자 선택). 세트 수 그대로, 증량 판정은 앞 세트로만. +60초는 O열]</t>
  </si>
  <si>
    <t>덤벨 레터럴 (머신 없을 때 — 몸 옆이 아니라 살짝 앞) / 케이블 레터럴 양팔 크로스</t>
  </si>
  <si>
    <t>와이드 그립 케이블 업라이트 로우</t>
  </si>
  <si>
    <t>승모(상부)</t>
  </si>
  <si>
    <t>레이즈 계열과 달리 팔꿈치를 굽힌 채 당기는 궤적이라 측면의 다른 섬유가 동원되고, 승모 상부가 같이 온다 (승모 상부는 사이클당 3세트로 하한 미달이라 이 겸용이 값을 한다). 그립은 어깨너비보다 넓게, 팔꿈치는 가슴 높이까지만 — 좁은 그립으로 턱까지 올리면 견봉하 공간이 좁아진다.</t>
  </si>
  <si>
    <t>EZ바 와이드 업라이트 로우 / 스미스 업라이트 로우 / 케이블 Y 레이즈 (충돌이 느껴질 때)</t>
  </si>
  <si>
    <t>케이블 리버스 플라이</t>
  </si>
  <si>
    <t>중부승모·능형근</t>
  </si>
  <si>
    <t>팔을 편 채 수평으로만 벌린다. 케이블이라 수축 지점에서도 장력이 유지된다. 팔꿈치가 어깨선을 크게 지나가면 후면 삼각근에서 능형근으로 넘어간다.</t>
  </si>
  <si>
    <t>리버스 펙덱 (2일차와 같은 머신이면 그립만 바꿔 각도를 나눈다) / 벤트오버 케이블 크로스</t>
  </si>
  <si>
    <t>리어 델트 로우 (로프)</t>
  </si>
  <si>
    <t>팔꿈치를 어깨 높이로 벌린 채 당긴다. 4·5번이 팔을 편 수평 외전이라면 이쪽은 굽힌 채 당기기라 모멘트암과 동원 섬유가 다르다 — 한 세션에 후면 9세트를 넣으면서 자극이 겹치지 않게 하는 축이 이것이다. 팔꿈치가 몸통 옆으로 붙으면 광배 로우가 된다.</t>
  </si>
  <si>
    <t>와이드 그립 시티드 케이블 로우 (팔꿈치 벌려) / 페이스풀 (외회전까지 포함) / 머신 로우 와이드 그립</t>
  </si>
  <si>
    <t>오버헤드 슈러그(스미스)</t>
  </si>
  <si>
    <t>승모(하부)</t>
  </si>
  <si>
    <t>20</t>
  </si>
  <si>
    <t>[2026-09-05 6일차 → 4일차 이동] 6·7일차 이틀 연속이던 승모 하부를 4·7·9일차(3/2/5일)로 폈다. 스미스에서 하므로 바로 뒤 인클라인 스미스와 같은 기구 — 벤치만 넣으면 된다. [2026-09-04 신설] 승모 하부는 실질 4.5로 가장 크게 모자랐다. 7일차에 같은 종목이 3세트 있었지만 사이클당 1회뿐이었고, 여기와 9일차를 더해 3회로 만들었다. 견갑 상방회전 — 팔을 머리 위에 둔 채 으쓱한다.</t>
  </si>
  <si>
    <t>오버헤드 케이블 슈러그 / 프론 Y 레이즈</t>
  </si>
  <si>
    <t>인클라인 벤치프레스(스미스)</t>
  </si>
  <si>
    <t>30</t>
  </si>
  <si>
    <t>삼두 · 삼각근(전면)</t>
  </si>
  <si>
    <t>[2026-09-05 2일차 → 4일차 이동] 이 날 유일한 프레스라 벤치·딥스 뒤 세 번째로 치던 때보다 신선하다 — 중량을 2일차 시절보다 올려 잡아도 된다. 레이즈 6세트 뒤에 두는 이유는 9일차 머신 숄더 프레스와 같다: 앞에 두면 프레스 피로로 레이즈 중량이 눌린다. 복합관절이라 뒤의 플라이 두 종목 앞이다. [2026-09-04 신설 당시] 흉근 상부 7세트를 플라이 하나로 채우던 것을 프레스 3 + 플라이 4로 나눴다. 플라이는 늘어난 구간에서 벌리는 자극, 프레스는 중량을 실을 수 있는 축 — 상부 흉근을 한 종류로만 때리지 않는다. 2일차 인클라인 플라이 · 7일차 인클라인 머신과 함께 흉근 상부 사이클당 3회.</t>
  </si>
  <si>
    <t>인클라인 바벨 벤치프레스 / 인클라인 덤벨 프레스 / 인클라인 벤치프레스 머신</t>
  </si>
  <si>
    <t>펙덱 플라이</t>
  </si>
  <si>
    <t>25~30</t>
  </si>
  <si>
    <t>삼각근(전면)</t>
  </si>
  <si>
    <t>[2026-09-04 신설] 프레싱 두 종목을 끝내고 고립으로 마무리하는 자리. 팔꿈치 각도를 고정한 채 어깨 수평 내전만 — 굽혔다 펴면 프레스가 된다. 첫날은 25kg으로 10~12회가 실패 2~3회 안에 들어오는지 보고 맞춘다. 이 종목을 넣어 흉근 합산이 주당 환산 24.1이 됐다(천장 20 초과) — 사용자가 알고 선택한 것이며, 세트 질이 떨어지면 2일차 디클라인 케이블 플라이 3세트를 먼저 뺀다. [2026-09-07 마지막 세트 드롭 2단 — 실패 뒤 쉬지 않고 핀 20~30% 내려 두 번. 세트 수 그대로, 증량 판정은 앞 세트로만. +60초는 O열]</t>
  </si>
  <si>
    <t>케이블 크로스오버 / 플랫 벤치 덤벨 플라이 (가동범위 ↑) / 머신 체스트 플라이</t>
  </si>
  <si>
    <t>20~25</t>
  </si>
  <si>
    <t>밀기 날에 이두를 넣는 이유는 1일차 푸쉬다운과 같다 — 이 세션에서 이두는 전혀 안 쓰이므로 완전히 신선하다. 이두 직접이 6 → 9세트, 사이클당 2회 → 3회가 된다 (2일차 · 6일차 · 9일차, 간격 3-3-2일). 6일차 프리쳐(반동 차단 · 짧아진 구간) · 9일차 인클라인(늘어난 구간)과 달리 여기는 선 자세 전 구간이라 무게를 가장 많이 건다. 반동 쓰지 말 것 — 상체를 뒤로 젖히면 이두가 아니라 기립근 종목이 된다. 팔꿈치는 몸통 옆에 고정. [2026-08-28 추가 — 1일차에 0세트로 접혀 있던 종목을 이 자리로 되살린 것]</t>
  </si>
  <si>
    <t>EZ바 컬 (손목이 편함) / 케이블 바 컬 (전 구간 장력 유지) / 머신 컬 / 덤벨 컬 양팔 동시</t>
  </si>
  <si>
    <t>리버스 리스트익스텐션 컬(손등 아래)</t>
  </si>
  <si>
    <t>15</t>
  </si>
  <si>
    <t>[2026-09-05 9일차 → 4일차 이동] 신근(리스트 컬 손등 위)은 9일차로 가서 대항쌍이 날을 나눠 갖는다. 전완 4일차 8 · 9일차 3. 손목 굴근. 1일차 리버스와 대항쌍 [v17 감량 4→3 — 전완 실질 8로 자체 하한 유지]</t>
  </si>
  <si>
    <t>덤벨 리스트 컬 (한 손씩) / 케이블 리스트 컬 / 비하인드백 리스트 컬</t>
  </si>
  <si>
    <t>리버스컬</t>
  </si>
  <si>
    <t>이두(상완근)</t>
  </si>
  <si>
    <t>[2026-09-05 9일차 → 4일차 이동] 바벨 컬(뒤침) 바로 뒤에 엎침 그립으로 — 같은 굴곡 패턴을 다른 축으로. 오버핸드(엎침) 그립 컬 — 상완요골근·상완근이 주동이다. 언더핸드 프리쳐 컬(#5)과 그립을 나눠 같은 굴곡 패턴을 다른 축으로 친다. 손목은 중립으로 고정하고 반동 금지 — 손목을 위로 꺾으면 리스트 컬(#6)이 되고 상완요골근에서 빠진다. 회외가 없어 이두가 짧아진 자리에서 힘을 못 쓰므로 언더핸드 컬보다 30~40% 가벼운 것이 정상이다. #7 자리인 이유: 그립을 쓰는 종목이라 컬 계열 바로 뒤에 붙이고, 스트랩을 쓰는 트랩바 슈러그를 뒤로 보낸다. [2026-08-28 추가 — 전완 직접 6→9세트]</t>
  </si>
  <si>
    <t>EZ바 리버스 컬 (손목 부담 ↓ — 1순위) / 케이블 리버스 컬 (수축 지점까지 장력 유지 · 핀 단위 미세 증량) / 리버스 프리쳐 컬 (반동 차단) / 해머 컬 (중립 그립 — 상완요골근 같은 계열이나 자극 각도가 다르다)</t>
  </si>
  <si>
    <t>[2026-09-05 6일차 → 4일차 이동] 6일차 자리를 힙 외전에 내주고 왔다. 종아리 1·4·8일차(3일/4일/3일). 같은 날 시티드 카프 2세트와 비복근·가자미근으로 나뉜다. 무릎 편 상태 — 비복근 주도. 8일차 시티드(가자미근)와 역할이 다르다</t>
  </si>
  <si>
    <t>스탠딩 카프 레이즈 머신 / 레그 프레스 발판 끝에서 / 스미스 카프 레이즈</t>
  </si>
  <si>
    <t>랫풀다운 3세트/ 그립 변경 3세트 추가</t>
  </si>
  <si>
    <t>4일차 원칙</t>
  </si>
  <si>
    <t>· 2026-09-04 4-1-4-1 전환으로 신설. 옛 8일차 어깨 40세트를 A/B로 나누고 1·2일차에서 삼두 · 이두 · 전완을 가져왔다. 세트는 한 개도 안 늘었다 — 총량 예산 239 안에서 자리만 옮긴 것이다.</t>
  </si>
  <si>
    <t>· 시간 균등화(같은 날)로 흉근 플라이 2종(디클라인 케이블 · 펙덱)이 2·7일차에서 왔다. 벤치 이틀 뒤 고립 6세트 — 흉근이 2·4·7일차 셋으로 흩어진다. "볼륨을 여러 날로 흩는 쪽이 낫지만 자리가 없었다"던 그 자리가 생긴 것이다.</t>
  </si>
  <si>
    <t>· 3일차 스쿼트 다음 날이자 5일차 휴식 앞. 척추 부하 0 — 이 자리에 있는 이유다.</t>
  </si>
  <si>
    <t>· 실패지점 1~2회 남기고 멈춘다. 세트 간 휴식 60~80초. 메인 리프트 없음 — 볼륨을 채우는 날이지 무게를 올리는 날이 아니다.</t>
  </si>
  <si>
    <t>· 측면 · 후면 · 이두 · 전완이 9일차와 5일 간격으로 두 번 온다. [2026-09-05] 삼두 푸쉬다운은 2일차(벤치 날 마지막)로 갔다 — 삼두 직접은 2일차 4 · 9일차 4, 간격 7일/3일로 비대칭이 됐다. 대신 이 날 인클라인 스미스 4세트가 벤치 이틀 뒤 두 번째 프레스로 온다.</t>
  </si>
  <si>
    <t>· 바벨 컬은 2일차 밀기에서 왔다. "당기기 뒤 지친 이두를 피한다"는 원래 이유는 팔 전용일이 생기며 해소됐고, 2일차는 82분 → 76분으로 시간 상한 안에 들어왔다.</t>
  </si>
  <si>
    <t>· 이너·아우터 타이는 겸용 머신 슈퍼세트(A). 3일차와 같은 방식이고, 옛 8일차에서 그대로 옮겨 왔다.</t>
  </si>
  <si>
    <t>되돌리는 법 [2026-09-05 9일차로 이동]</t>
  </si>
  <si>
    <t>· E열을 0으로 내리면 회색으로 접히고 합계 · 세트검산에서 빠진다. 다만 그 세트는 예산에서 사라지는 게 아니라 어딘가로 돌아가야 한다 — 잔여 예산이 양수로 뜨면 그 신호다.</t>
  </si>
  <si>
    <t>이동 (2026-09-05)</t>
  </si>
  <si>
    <t>· 이너·아우터 타이 슈퍼세트와 리스트 컬(손등 위)이 9일차로, 디클라인 케이블 플라이가 7일차로 갔다. 9일차에서 리버스 리스트 컬·리버스컬·시티드 카프가 왔다. 31세트 · 약 62분 — 스쿼트 다음 날인 이 날에서 하체 고립을 뺀 것이라 가장 가벼운 날이 됐다. 척추 부하 0은 그대로.</t>
  </si>
  <si>
    <t>· 6일차 스탠딩 카프 4세트가 시티드 카프 앞으로 왔다 — 6일차 자리를 힙 외전에 내준 것. 35세트 · 약 70분.</t>
  </si>
  <si>
    <t>· 6일차 오버헤드 슈러그 3세트가 5번(인클라인 스미스 앞, 같은 스미스 머신)으로 왔고 시티드 카프 2세트는 6일차로 갔다. 승모 하부 4·7·9일차. 36세트 · 약 71분.</t>
  </si>
  <si>
    <t>· 펙덱 플라이 마지막 세트에 드롭 2단, +60초 (사용자 요청). 인클라인 스미스 뒤 흉근 마지막 자리라 여기. 인클라인 프레스 계열은 복합이라 드롭을 붙이지 않는다.</t>
  </si>
  <si>
    <t>· 머신 레터럴 레이즈 마지막 세트에도 드롭 2단, +60초 (사용자 선택, 2026-09-07 추가). 측면 두 번째 자리 — 2일차 레터럴과 이틀 간격이지만 측면은 회복이 빠르다. 4일차 드롭은 둘, 약 73분.</t>
  </si>
  <si>
    <t>6일차 — 당기기 B (수평)</t>
  </si>
  <si>
    <t>로우 · 견갑골 후인 · 이두 · 전완. 1일차 당기기 A(수직)와 각도를 나눈다. [2026-09-05] 스탠딩 카프는 4일차로, 중량 크런치는 7일차로 갔고 9일차 케이블 힙 외전이 왔다. 약 72분. 오버헤드 슈러그는 4일차로 가고 4일차 시티드 카프 2세트가 왔다 — 약 71분. 원암 로우·프리쳐 컬·스캡 슈러그 마지막 세트 드롭 +4분 — 약 76분 (2026-09-07).</t>
  </si>
  <si>
    <t>웜업 — 밴드 풀 어파트 2세트 × 15 (세트 카운트 제외): 가볍게, 견갑골 후인 프라이밍. 대체: 케이블 스캡 로우 / 아주 가벼운 페이스풀.</t>
  </si>
  <si>
    <t>해머 스트랭스 로우(오버그립)</t>
  </si>
  <si>
    <t>중부승모·이두</t>
  </si>
  <si>
    <t>수평 당기기 메인. 가슴이 받쳐져 허리 부담이 없다. 그립은 넓게 · 팔꿈치는 벌려서 — 견갑 후인이 주동이라 능형근·중부승모로 계상하고 광배는 협력근이다(간접 0.5). [2026-09-04 라벨 정정: 광배 → 승모(중부)·능형근. 세트 수는 그대로 4]</t>
  </si>
  <si>
    <t>체스트 서포티드 로우 / 티바 로우 / 펜들레이 로우 (척추 부하 ↑) / 바벨 로우</t>
  </si>
  <si>
    <t>시티드 케이블 로우</t>
  </si>
  <si>
    <t>해머 로우와 역할을 나눈다 — 해머는 넓은 그립·팔꿈치 벌려 상부등, 이쪽은 좁은 그립·팔꿈치 붙여 광배. 이 날 광배 직접 종목은 이것과 3번 원암 로우뿐이다. [2026-09-05 5→3] 뒤 2세트를 원암 케이블 로우로 나눴다 (사용자 요청).</t>
  </si>
  <si>
    <t>원암 케이블 로우 (좌우 독립) / 덤벨 로우 / 머신 로우</t>
  </si>
  <si>
    <t>원암 케이블 로우</t>
  </si>
  <si>
    <t>[2026-09-05 신설] 시티드 케이블 로우 5세트를 양팔 3 + 원암 2로 나눴다 (사용자 요청). 같은 로우 스테이션에서 바를 D핸들로 바꿔 한 팔씩 — 팔꿈치를 몸통에 붙이고, 당기는 쪽으로 몸통을 살짝 돌려 광배 수축을 끝까지 가져간다(반대 손은 기구를 잡아 몸통을 고정). 좌우를 따로 세니 약한 쪽이 강한 쪽에 묻히지 않는다. 세트 수는 좌우 한 번씩을 1세트로 센다(수행 80초 = 40초 × 2). 무게는 양팔의 절반에서 시작해 약한 쪽 기준으로 올린다. 광배 직접 세트는 이 날 5 그대로. 4번 스캡 슈러그는 이 뒤에 바를 다시 걸고 이어서 한다. [2026-09-07 마지막 세트 드롭 2단 — 실패 뒤 쉬지 않고 20~30% 내려 두 번. 한쪽을 끝까지 내려간 뒤 반대쪽. 몸통이 돌아가거나 팔로 당기기 시작하면 그 자리에서 끝. 세트 수 그대로, 증량 판정은 첫 세트로만. +120초는 O열]</t>
  </si>
  <si>
    <t>원암 덤벨 로우 (벤치 지지) / 원암 머신 로우 (해머 스트랭스 한 팔씩) / 시티드 케이블 로우 5세트로 합치기</t>
  </si>
  <si>
    <t>시티드 케이블 로우 스캡 슈러그(두번째 크기 바)</t>
  </si>
  <si>
    <t>후면 삼각근</t>
  </si>
  <si>
    <t>2번 시티드 케이블 로우와 같은 스테이션 — 3번 원암 로우 뒤에 바를 다시 걸고 무게만 내려 이어서 한다 (자리 이동 없음). 팔꿈치 각도를 세트 내내 고정하고 견갑골만 뒤로 — 가동범위 2~3cm, 모은 자리에서 1초 정지. 상체를 뒤로 눕히면 하부 승모 각도가 되고, 팔을 당기면 광배로 넘어간다. 케이블이라 수축 지점에서도 장력이 유지되고 핀 단위 미세 증량이 된다 (플레이트 로드 머신은 이 무게대에서 계단이 너무 큼). [2026-09-07 마지막 세트 드롭 2단 — 실패 뒤 쉬지 않고 핀 20~30% 내려 두 번. 지치면 팔로 당겨 로우가 되는데 그래도 등 상부라 손해가 작다. 세트 수 그대로, 증량 판정은 앞 세트로만. +60초는 O열]</t>
  </si>
  <si>
    <t>해머 스트랭스 로우에서 팔 편 채 견갑골만 — 가슴 패드가 상체를 고정해줘 자세 잡기는 더 쉬우나 무게 미세 조정이 어렵다 / 리버스 펙덱을 팔 편 채로 / 켈소 슈러그 (받침 벤치가 있을 때)</t>
  </si>
  <si>
    <t>후면 삼각근은 프레스로 자라지 않는다 — 반드시 별도로 센다 [v17 제외 — 후면은 2일차 4 · 7일차 3 · 9일차 9로 사이클당 3회 16세트 — 이 행은 그 재편으로 비워둔 자리다]</t>
  </si>
  <si>
    <t>리버스 펙덱 (자세 유지가 쉬워 사실상 상위 호환) / 페이스풀 / 인클라인 벤치 리어델트 레이즈</t>
  </si>
  <si>
    <t>프리쳐 컬</t>
  </si>
  <si>
    <t>반동이 차단되는 종목. 인클라인(9일차)과 각도를 나눈다 [2026-09-07 마지막 세트 드롭 2단 — 실패 뒤 쉬지 않고 20~30% 내려 두 번. 팔꿈치가 패드에 고정돼 지쳐도 자세가 남는 종목이라 이두 드롭은 여기 한 곳. 세트 수 그대로, 증량 판정은 앞 세트로만. +60초는 O열]</t>
  </si>
  <si>
    <t>EZ바 프리처 컬 / 머신 프리처 컬 / 컨센트레이션 컬</t>
  </si>
  <si>
    <t>트랩바 슈러그</t>
  </si>
  <si>
    <t>전완 · 기립근</t>
  </si>
  <si>
    <t>몸 옆에서 잡는 중립 그립이라 견갑골이 전인되지 않는다 — 바벨(몸 앞)보다 승모 상부 섬유 방향에 맞고 가동범위도 더 나온다. 어깨를 위로만, 돌리지 말 것 (회전은 가동범위를 늘리는 게 아니라 견봉하 공간만 좁힌다). 맨 위에서 1초 정지 — 정지 없이 하면 반동으로 끝난다. 턱은 당기고 목은 중립 (목을 앞으로 빼면 경추 신전근이 일한다). 그립이 승모보다 먼저 나가므로 스트랩 권장 — 전완은 이미 주 7세트 직접으로 충족돼 여기서 그립을 훈련할 이유가 없다. #8 자리인 이유: 앞의 로우 7세트 + 스캡 슈러그로 그립이 지쳐 있어 프리쳐 컬·리스트 컬보다 뒤에 와야 연쇄 피해가 없다. 7일차 오버헤드 슈러그(승모 하부·상방회전)와는 다른 근육이므로 대체가 아니라 추가다.</t>
  </si>
  <si>
    <t>덤벨 슈러그 (트랩바 없을 때 — 몸 옆 그립 동일) / 스미스 슈러그 (궤도 고정) / 바벨 슈러그 (몸 앞이라 가동범위 약간 손해) / 케이블 슈러그</t>
  </si>
  <si>
    <t>시티드 카프 레이즈</t>
  </si>
  <si>
    <t>8</t>
  </si>
  <si>
    <t>[2026-09-05 4일차 → 6일차 이동] 오버헤드 슈러그에 자리를 내주고 왔다. 종아리 1·4·6·8일차(3/2/2/3일) — 4일차 스탠딩(비복근)과 6·8일차 시티드(가자미근)는 다른 근육이라 이틀 간격이 겹치지 않는다. [2026-09-05 9일차 → 4일차 이동] 종아리 1·4·6·8일차. [2026-09-04 신설] 무릎 굽힌 상태 — 가자미근. 1일차 스탠딩(비복근)과 각도를 나눈다. 8일차에 같은 종목이 4세트 있고 여기 2세트를 더해 종아리를 주당 10으로 올린다.</t>
  </si>
  <si>
    <t>레그 프레스 카프 / 스탠딩 카프 (기계가 찼을 때)</t>
  </si>
  <si>
    <t>케이블 힙 외전</t>
  </si>
  <si>
    <t>[2026-09-05 9일차 → 6일차 이동] 중둔근을 3·6·9일차 3일/3일/4일 간격으로 펴려고 — 스쿼트·데드 다음 날 어느 쪽에도 엉덩이 고립을 두지 않는 자리는 여기뿐이다. 서서 하는 케이블이라 척추 부하 0, 데드 이틀 전. 백 익스텐션(옆 체육관) 앞 마지막 본관 종목. 관상면 외전 — 고관절 날로 복귀 (v18). 5일 버전 8일차 과부하 때문에 3일차로 갔던 종목이나 그 사유 소멸. 앉는 시간이 길면 대둔근보다 중둔근이 먼저 잠든다. (이 자리의 트렁크 로테이션은 v17 제외 — 복부 직접 8 유지)</t>
  </si>
  <si>
    <t>밴드 몬스터 워크 / 사이드 라잉 힙 외전 / 힙 어브덕션 머신</t>
  </si>
  <si>
    <t>· 스탠딩 카프 → 4일차, 중량 크런치 → 7일차, 9일차 케이블 힙 외전이 8번(백 익스텐션 앞)으로 왔다. 중둔근 3·6·9일차 — 스쿼트·데드 다음 날에는 엉덩이 고립이 없다. 31세트 · 약 72분, 가장 길던 날(77분)이 내려왔다.</t>
  </si>
  <si>
    <t>· 오버헤드 슈러그 → 4일차, 4일차 시티드 카프 2세트가 8번(힙 외전 앞)으로 왔다. 6·7일차 이틀 연속이던 승모 하부가 풀렸다. 30세트 · 약 71분.</t>
  </si>
  <si>
    <t>· 시티드 케이블 로우 5 → 양팔 3 + 원암 2 (사용자 요청). 3번 원암 케이블 로우를 새로 두고 스캡 슈러그부터 번호가 하나씩 밀렸다. 광배 직접 세트는 5 그대로 · 30세트 · 약 72분.</t>
  </si>
  <si>
    <t>· 원암 로우(+120초 · 편측) · 프리쳐 컬(+60초) 마지막 세트에 드롭 2단 (사용자 요청). 원암 로우는 몸통이 돌아가거나 팔로 당기기 시작하면 그 자리에서 끝 — 지친 상태에서 광배가 빠지기 가장 쉬운 종목이다. 이두 드롭은 여기 한 곳이다. 9일차 인클라인 컬은 이틀 뒤 1일차 친업 때문에 직선으로 둔다.</t>
  </si>
  <si>
    <t>· 스캡 슈러그 마지막 세트에도 드롭 2단, +60초 (사용자 요청, 2026-09-07 추가). 핀 스택 단관절이고 그날 승모 중부 마지막 종목이다. 지치면 팔로 당겨 로우가 되는데 그래도 등 상부라 손해가 작다. 6일차 드롭은 셋, 약 76분.</t>
  </si>
  <si>
    <t>7일차 — 밀기 B (수직)</t>
  </si>
  <si>
    <t>오버헤드 프레싱 · 흉근 상부 · 어깨 측면/후면. 벤치(2일차)와 5일 간격이라 무게가 온전히 나온다. [2026-09-05] 4일차 디클라인 케이블 플라이 3세트가 왔다 — 흉근 9세트(헤머 · 인클라인 머신 · 디클라인). 6일차 중량 크런치 3세트도 마지막에 왔다 — 약 72분. 디클라인 플라이 마지막 세트 드롭 +1분 — 약 73분 (2026-09-07).</t>
  </si>
  <si>
    <t>메인: 밀리터리 프레스</t>
  </si>
  <si>
    <t>밀리터리 프레스 (본세트)</t>
  </si>
  <si>
    <t>삼두 · 삼각근(측면)</t>
  </si>
  <si>
    <t>벤치와 5일 간격 — 5일 버전의 "전날 벤치 여파" 문제가 사라진 자리. 팔꿈치 다 내리지 말 것</t>
  </si>
  <si>
    <t>스미스 오버헤드 프레스 / 숄더 프레스 머신 / 덤벨 숄더 프레스 (가동범위 ↑) / 아놀드 프레스</t>
  </si>
  <si>
    <t>165/180/195</t>
  </si>
  <si>
    <t>머신 숄더 프레스</t>
  </si>
  <si>
    <t>승모 · 삼각근(측면)</t>
  </si>
  <si>
    <t>주동은 전면이나 오버헤드라 측면도 상당히 쓴다. 그립 넓게 — 좁으면 승모가 대신 일한다</t>
  </si>
  <si>
    <t>덤벨 숄더 프레스 / 스미스 오버헤드 프레스 / 아놀드 프레스</t>
  </si>
  <si>
    <t>머신 숄더 프레스 직후 — 오버헤드 각도가 이미 나와 있어 세팅 이동이 없다. 팔꿈치 편 채 견갑골만 2~3cm 위로. 팔꿈치가 굽으면 그건 프레스지 슈러그가 아니다</t>
  </si>
  <si>
    <t>스미스 오버헤드 슈러그 (1순위 — 궤도 고정으로 안정화 부담 없음) / 숄더 프레스 머신에서 팔 편 채 밀어올리기 / 덤벨 오버헤드 슈러그 (좌우 독립이나 안정화가 먼저 한계에 닿는다) / 케틀벨 보텀업 홀드</t>
  </si>
  <si>
    <t>헤머스트랭스 체스트 프레스</t>
  </si>
  <si>
    <t>좌우 독립 + 궤도 고정. 벤치(2일차)가 수평 메인이므로 여기선 보조 볼륨 [v17 제외 — 흉근 합산 천장(19→16) 감량, 벤치·딥스·인클라인이 담당]</t>
  </si>
  <si>
    <t>케이블 체스트 프레스 (전 구간 장력) / 덤벨 프레스 (가동범위 ↑) / 스미스 벤치는 대체 불가</t>
  </si>
  <si>
    <t>인클라인 벤치프레스 머신</t>
  </si>
  <si>
    <t>쇄골지. 오버헤드 프레싱과 각도가 이어져 세팅 이동이 적다 [2026-09-04 4→6] 흉근 상부 보강. 2일차 인클라인 플라이와 짝.</t>
  </si>
  <si>
    <t>인클라인 스미스 프레스 / 인클라인 덤벨 프레스 (가동범위 ↑) / 인클라인 체스트 프레스 머신</t>
  </si>
  <si>
    <t>디클라인 케이블 플라이</t>
  </si>
  <si>
    <t>[2026-09-05 4일차 → 7일차 이동 — 사용자 요청] 흉근 중하부 고립. 헤머 체스트·인클라인 머신 두 프레스 뒤 마무리 자리다. 위에서 아래로 내리는 궤적이라 하부 섬유 비중이 크고, 케이블이라 수축 지점에서도 장력이 유지된다. 흉근 합산이 천장(20)을 넘어 있어 세트 질이 떨어지면 먼저 빼는 후보가 이 3세트다. [이력] 이 행은 v18 전 삼두 종목 자리였고, 2026-09-04 2일차 → 4일차, 오늘 7일차로 왔다. [2026-09-07 마지막 세트 드롭 2단 — 실패 뒤 쉬지 않고 핀 20~30% 내려 두 번. 팔을 굽혀 프레스처럼 밀기 시작하면 끝. 4일차 펙덱과 3일 간격. 세트 수 그대로, 증량 판정은 앞 세트로만. +60초는 O열]</t>
  </si>
  <si>
    <t>케이블 크로스오버 (위→아래) / 디클라인 덤벨 플라이 / 펙덱 플라이 (시트를 높여 하부 각)</t>
  </si>
  <si>
    <t>벤트오버 레터럴 레이즈 머신</t>
  </si>
  <si>
    <t>수평 외전. 2일차 리버스 펙덱 · 9일차 후면 3종목(9세트)과 함께 후면 사이클당 3회 16세트를 만든다</t>
  </si>
  <si>
    <t>리버스 펙덱 / 케이블 리버스 플라이 / 인클라인 벤치에 엎드려 덤벨 리어델트</t>
  </si>
  <si>
    <t>원암 사이드 케이블 레터럴 레이즈</t>
  </si>
  <si>
    <t>몸을 반대로 기울여 늘어난 위치부터 부하. 덤벨 레터럴(2일차)이 못 거는 구간</t>
  </si>
  <si>
    <t>케이블 원암 레터럴 레이즈 (최우선) / 원암 레터럴 레이즈 머신</t>
  </si>
  <si>
    <t>프론 Y 레이즈</t>
  </si>
  <si>
    <t>2~5</t>
  </si>
  <si>
    <t>벤트오버 레터럴과 같은 인클라인 벤치 — 세팅 그대로 이어서. 매우 가볍게. 오버헤드 슈러그가 상방회전, 이쪽은 하강 — 역할이 다르다 [2026-09-04 0→3] 꺼져 있던 종목을 켰다. 승모 하부가 실질 4.5로 가장 모자란데 이 종목이 0세트로 잠들어 있었다 — 새 종목을 찾기 전에 이것부터.</t>
  </si>
  <si>
    <t>케이블 Y 레이즈 / 페이스풀 (마지막에 견갑골 하강) / 프론 스윔</t>
  </si>
  <si>
    <t>중량 크런치</t>
  </si>
  <si>
    <t>[2026-09-05 6일차 → 7일차 이동] 6일차 길이를 내리고 복부를 1·3·7일차로 펴려고. 데드 전날이라 부하 건 굴곡이 이상적이진 않다 — 마지막 종목으로 가볍게, 데드 셋업에서 배에 힘이 덜 들어가면 6일차로 되돌린다. 복부 굴곡(상부). 1일차 레그레이즈(하부)와 굴곡 축을 나눈다. [2026-09-04 6→3] 한 종목을 한 세션에서 6세트 연달아 하면 뒤쪽 세트의 자극당 값이 떨어진다 — 9일차 후면삼각 9세트를 3종목으로 쪼갠 것과 같은 이유다. 뺀 3세트는 1일차 케이블 트렁크 로테이션으로 갔고 복부 총량(13 · 주당 10.1)은 그대로다.</t>
  </si>
  <si>
    <t>케이블 크런치 (점진적 과부하에 최적 — 1순위) / 압도미널 크런치 머신 / 인클라인 싯업</t>
  </si>
  <si>
    <t>하부 승모 — 세 패턴 (v3)</t>
  </si>
  <si>
    <t>· 하부 승모의 일은 두 갈래다: 견갑골 하강, 그리고 팔이 올라갈 때의 상방회전.</t>
  </si>
  <si>
    <t>· 스캡 풀업(월 웜업) = 순수 하강 · 프론 Y(7일차) = 하강 + 후인 · 오버헤드 슈러그(7일차) = 상방회전.</t>
  </si>
  <si>
    <t>· 상방회전은 팔이 머리 위로 간 각도에서만 훈련된다 — 지금까지 프로그램에 통째로 비어 있던 패턴.</t>
  </si>
  <si>
    <t>· 전거근이 함께 온다. 전거근이 약하면 하부 승모를 키워도 견갑골이 제 위치로 안 간다.</t>
  </si>
  <si>
    <t>· 가동범위가 아주 작다. 견갑골만 2~3cm 올렸다 내리는 동작이고, 그 이상은 팔꿈치가 굽은 것이다.</t>
  </si>
  <si>
    <t>· 무게는 오버헤드로 안정적으로 지지할 수 있는 것보다 가볍게. 스미스나 머신 권장.</t>
  </si>
  <si>
    <t>· 하부 승모는 무게로 밀어붙일 수 없다. 과부하는 정지 2~3초 · 하강 3초 · 반복 수 확장으로.</t>
  </si>
  <si>
    <t>· 4일차 디클라인 케이블 플라이 3세트가 인클라인 머신 뒤 6번으로 왔다 — 사용자 요청. 흉근 9세트(헤머 3 · 인클라인 머신 3 · 디클라인 3). 27세트 · 약 67분.</t>
  </si>
  <si>
    <t>· 6일차 중량 크런치 3세트가 마지막(10번)으로 왔다. 복부 1·3·7일차. 데드 전날이라 가볍게 — 셋업에서 배 힘이 덜 들어가면 6일차로 되돌린다. 30세트 · 약 72분.</t>
  </si>
  <si>
    <t>· 디클라인 케이블 플라이 마지막 세트에 드롭 2단, +60초 (사용자 요청). 4일차 펙덱과 3일 간격. 머신 숄더 프레스에는 붙이지 않는다 — 복합 프레스이고, 전면 삼각근은 프레스 4종으로 이미 충분하며, 밀리터리 직후·벤치 3일 전이라 피로만 얹힌다.</t>
  </si>
  <si>
    <t>8일차 — 하체 B (고관절 지배)</t>
  </si>
  <si>
    <t>· 힙 힌지 · 둔근. 3일차 하체 A(무릎 지배)와 5일 간격. 다음 날은 9일차 어깨 — 척추 부하가 0인 고립 세션이라 사실상 회복일이다.</t>
  </si>
  <si>
    <t>메인: 데드리프트</t>
  </si>
  <si>
    <t>데드리프트 (본세트)</t>
  </si>
  <si>
    <t>광배·햄스트링·둔근</t>
  </si>
  <si>
    <t>사이클당 1회. 다음 날이 9일차 어깨(레터럴·리버스 플라이뿐이라 척추 부하 0)라 이 자리가 가장 안전하다. 기립근 보조는 1일차 덤벨 RDL이 맡는다. [2026-09-04 — 톱 1세트 + 백오프 2세트로 확장. 이 종목은 사이클당 5회 수행으로 +5kg를 올려 왔고, 노출 1회당 증량이 스쿼트(25회에 +5kg)의 5배였다. 5년 공백에서 폼을 다시 배우는 종목을 가장 적은 반복으로 밀고 있었다는 뜻이다. 톱세트 강도는 그대로 두고 반복 노출만 3배로 늘린다]</t>
  </si>
  <si>
    <t>트랩바 데드리프트 (요추 전단력 ↓) / 랙풀 (무릎 위에서 시작) / 스모 데드리프트</t>
  </si>
  <si>
    <t>데드리프트 (백오프)</t>
  </si>
  <si>
    <t>백오프 = 톱세트 − 5kg = 2주 전 톱세트 중량. 즉 모든 중량을 두 번 만난다 — 한 사이클은 톱으로 5회, 다음 사이클은 백오프로 10회. 중량 하나당 노출이 5 → 15회다. 여기는 기록이 아니라 폼 연습 자리다. 여유 있게 5회, 매 렙 셋업을 새로 잡을 것 — 무겁게 느껴지면 톱세트가 과했던 것이다. [2026-09-13 정정] 현장 복귀판에도 같은 구조를 넣었다 — 복귀_일_등에 톱 1 + 백오프 2. 복귀에서 상한인 것은 톱세트뿐이고, 백오프는 직전 사이클 중량이라 톱엔드 노출을 안 늘린다.</t>
  </si>
  <si>
    <t>힙 쓰러스트</t>
  </si>
  <si>
    <t>둔근 메인. 무겁게. 데드 뒤라 둔근이 예열된 상태</t>
  </si>
  <si>
    <t>힙 쓰러스트 머신 / 스미스 힙 쓰러스트 / 글룻 브릿지</t>
  </si>
  <si>
    <t>루마니안 데드리프트</t>
  </si>
  <si>
    <t>고관절 신전. 3일차 레그 컬(무릎 굴곡)과 기능이 다르다</t>
  </si>
  <si>
    <t>덤벨 RDL (좌우 독립) / 스티프 레그드 데드리프트 / 케이블 풀스루 (허리 부담 최소)</t>
  </si>
  <si>
    <t>원 레그 컬</t>
  </si>
  <si>
    <t>레그 컬의 좌우 독립 버전. 약한 쪽이 강한 쪽에 묻히지 않는다</t>
  </si>
  <si>
    <t>싱글 레그 라잉 컬 / 싱글 레그 시티드 컬 / 케이블 레그 컬</t>
  </si>
  <si>
    <t>수/토 3+3 분할. 데드·힙 이후라 대퇴가 예열된 상태에서 궤도 고정으로 확실히 간다 [2026-09-07 레그 익스텐션과 자리 바꿈 — 복합을 먼저, 고립 드롭을 마지막에]</t>
  </si>
  <si>
    <t>핵 스쿼트 / 레그 익스텐션 / 프론트 스쿼트 / 45도 레그 프레스</t>
  </si>
  <si>
    <t>레그 익스텐션</t>
  </si>
  <si>
    <t>대퇴사두 사이클당 2회를 만들기 위한 배치. 3일차 스쿼트 볼륨과 5일 간격 [2026-09-07 레그 프레스 뒤로 이동 + 마지막 세트 드롭 2단 — 실패 뒤 쉬지 않고 핀 20~30% 내려 두 번. 드롭으로 대퇴를 다 쓴 뒤 프레스를 하면 프레스 3세트가 죽어서 순서를 바꿨다. 세트 수 그대로, 증량 판정은 앞 세트로만. +75초는 O열]</t>
  </si>
  <si>
    <t>싱글 레그 익스텐션 / 시시 스쿼트 / 레그 프레스 발판 높게</t>
  </si>
  <si>
    <t>무릎 굽힘 — 가자미근 주도. 3일차 스탠딩(비복근)과 역할이 다르다</t>
  </si>
  <si>
    <t>시티드 카프 레이즈 머신 (1순위) / 레그 프레스에서 무릎 굽힌 채 / 덤벨을 무릎에 올리고</t>
  </si>
  <si>
    <t>· 레그 프레스 ↔ 레그 익스텐션 자리 바꿈 — 복합을 먼저, 고립을 마지막에. 익스텐션 마지막 세트에 드롭 2단, +75초 (사용자 요청). 드롭으로 대퇴를 다 쓴 뒤 프레스를 하면 프레스 3세트가 죽어서 순서를 바꿨다. 다음 하체는 3일차, 5일 뒤라 회복이 겹치지 않는다.</t>
  </si>
  <si>
    <t>9일차 — 어깨·팔 B</t>
  </si>
  <si>
    <t>측면 · 후면 · 전면 삼각근 + 하부 승모 + 흉근 상부 플라이 + 삼두 · 이두 · 전완 + 내전근·중둔근. 약 70분. 옛 8일차 어깨 세션의 절반 — 나머지 절반은 4일차 어깨·팔 A. 8일차 데드 다음 날이라 척추 부하 0은 그대로다. [2026-09-05] 인클라인 덤벨 플라이 3세트 추가(5번). 이너·아우터 타이·리스트 컬(손등 위)이 4일차에서 왔고 리버스 리스트 컬·리버스컬·시티드 카프는 4일차로, 케이블 힙 외전은 6일차로 갔다.</t>
  </si>
  <si>
    <t>리닝 원암 케이블 레터럴 레이즈</t>
  </si>
  <si>
    <t>기둥을 잡고 몸을 반대로 기울여 늘어난 위치부터 부하가 걸린다 — 머신·덤벨이 못 거는 구간이다. 좌우 각 2세트. 7일차에도 같은 종목이 있지만 5일 간격이라 겹치지 않는다.</t>
  </si>
  <si>
    <t>케이블 비하인드백 레터럴 / 로우 풀리 원암 레터럴 / 인클라인 벤치에 옆으로 누워 덤벨 레터럴</t>
  </si>
  <si>
    <t>인클라인 벤치 프론 리어 델트 레이즈</t>
  </si>
  <si>
    <t>가슴을 벤치에 대고 엎드려 상체를 고정한다 — 반동과 기립근 개입이 통째로 차단돼 후면만 남는다. 자유중량이라 궤도가 고정된 4번과 다른 안정화 요구가 붙는다. 아주 가볍게, 무게보다 정지 1초.</t>
  </si>
  <si>
    <t>프론 덤벨 리어 레이즈 (평벤치) / 시티드 벤트오버 덤벨 리어 레이즈 / 리버스 펙덱</t>
  </si>
  <si>
    <t>25</t>
  </si>
  <si>
    <t>[2026-09-04 신설] 전면삼각 직접이 6세트(7일차 밀리터리 3 + 머신 숄더 3)뿐이라 측면 18 · 후면 17에 견주면 얇았다. 9일 주기 전환으로 주당 9.7까지 내려와 이 자리를 만들었다. 레터럴·리어 6종목 뒤에 두는 이유: 앞에 두면 프레스 피로로 레이즈 중량이 눌린다. 여기 목적은 근력이 아니라 볼륨이므로 중량이 7일차보다 낮아도 된다.</t>
  </si>
  <si>
    <t>덤벨 숄더 프레스 / 스미스 오버헤드 프레스</t>
  </si>
  <si>
    <t>[2026-09-04 신설] 승모 하부 세 번째 자리. 7일차에서 0세트로 꺼져 있던 종목을 그쪽에서 켜고 여기에도 뒀다. 견갑 하강 + 상방회전. 엎드려 팔을 Y자로 — 중량보다 견갑이 먼저 움직이는지가 중요하다.</t>
  </si>
  <si>
    <t>인클라인 벤치 프론 Y / 케이블 로 투 하이 (한 팔)</t>
  </si>
  <si>
    <t>인클라인 덤벨 플라이</t>
  </si>
  <si>
    <t>[2026-09-05 신설 — 사용자 요청] 2일차 인클라인 플라이의 두 번째 자리. 같은 날 4일차 인클라인 스미스 4→3 · 7일차 인클라인 머신 6→3으로 프레스를 줄이고 플라이를 더한 것이라, 흉근 상부는 프레스 6 + 플라이 7 = 직접 13(2·4·7·9일차, 주당 9.1)이 된다. 프론 Y와 같은 인클라인 벤치에서 등을 대고 이어서 한다 — 세팅 이동 없음. 늘어난 구간에서 멈추지 말고 부드럽게 (2일차 메모와 같다). 데드 다음 날이지만 척추 부하 0이라 이 날의 성격은 그대로다. 흉근 합산은 천장(20)을 여전히 넘으므로(주당 21.7) 세트 질이 떨어지면 먼저 빼는 후보는 4일차 디클라인 케이블 플라이 3세트다.</t>
  </si>
  <si>
    <t>라잉 트라이셉스 익스텐션</t>
  </si>
  <si>
    <t>늘어난 구간 삼두 — 2일차에서 이동 (v18). 푸쉬다운 제외로 2일차 고정 사유가 소멸, 유일한 삼두 고립을 프레싱 전부 마친 뒤 마지막에. 팔꿈치 시큰하면 EZ바나 오버헤드 케이블로. (이 자리의 케이블 푸쉬다운은 v17 제외 — 삼두 간접 9로 충족)</t>
  </si>
  <si>
    <t>오버헤드 케이블 익스텐션 / 스컬크러셔 / EZ바 라잉 익스텐션</t>
  </si>
  <si>
    <t>인클라인 덤벨 컬</t>
  </si>
  <si>
    <t>1일차에서 옮겨 왔다 (2026-08-28). 그 날은 친업 4 + 랫풀다운 3으로 이두가 간접 3.5세트분 지친 뒤였는데, 이 날은 어깨만 치므로 이두가 완전히 신선하다. 같은 3세트라도 자극당 값이 다르다. 인클라인 벤치에 기대 팔을 뒤로 늘어뜨린다 — 이두 장두가 늘어난 위치에서 시작하는 것이 이 종목의 전부다. 6일차 프리쳐 컬(짧아진 구간)과 각도를 나눈다. 어깨를 앞으로 말면 늘어난 구간이 사라진다.</t>
  </si>
  <si>
    <t>케이블 컬 (뒤로 물러서서 스트레치 확보) / 스파이더 컬 (반대 각도) / 드래그 컬</t>
  </si>
  <si>
    <t>시티드 리스트 컬(손등 위)</t>
  </si>
  <si>
    <t>[2026-09-05 4일차 → 9일차 이동] 전완을 한 날에 몰지 않으려고 굴근·엎침(4일차 리버스 리스트 컬·리버스컬)과 날을 갈랐다 — 사용자 요청. 손목 신근. 타이핑으로 약해지는 쪽이라 비중을 더 준다</t>
  </si>
  <si>
    <t>케이블 리버스 리스트 컬 / 리버스 EZ바 컬 (상완요골근까지) / 덤벨로 한 손씩</t>
  </si>
  <si>
    <t>35</t>
  </si>
  <si>
    <t>[2026-09-05 4일차 → 9일차 이동] 3일차 바로 다음 날 같은 기구를 또 타는 게 부담스럽다는 요청. 내전근 3·9일차로 6일/4일 간격. 아우터 타이와 슈퍼세트(A)는 그대로. [2026-09-04 신설] 내전근을 성장 구간으로. 3일차에 4세트가 있지만 사이클당 1회라 모자랐다. 3일차와 같이 아우터 타이와 슈퍼세트로 묶는다 — 겸용 머신이라 패드만 뒤집으면 되어 전환이 10초고, 라운드 간 휴식은 아우터 쪽 105초가 맡는다. 길항근 쌍이라 서로의 피로를 나눠 갖지 않는다.</t>
  </si>
  <si>
    <t>와이드 스탠스 레그 프레스 / 케이블 힙 내전</t>
  </si>
  <si>
    <t>[2026-09-05 4일차 → 9일차 이동] 케이블 힙 외전과 같은 날이라 중둔근 8세트(세션 상한선) — 앉아서(여기)·서서(힙 외전)로 각도가 다르다. 3일차와 6일/4일 간격. [2026-09-04 신설] 중둔근을 성장 구간으로. 3일차 4세트 · 8일차 케이블 힙 외전 3세트에 이어 세 번째 자리. 이너 타이와 슈퍼세트(A) — 이 105초가 두 종목의 라운드 간 휴식이다.</t>
  </si>
  <si>
    <t>케이블 힙 외전 / 밴드 사이드 워크</t>
  </si>
  <si>
    <t>시티드 로우 3세트/ 그립 변경 3세트 추가</t>
  </si>
  <si>
    <t>어깨·팔 B (2026-09-04 4-1-4-1 전환)</t>
  </si>
  <si>
    <t>· 옛 8일차 어깨 세션을 둘로 나눈 뒤쪽 절반이다. 측면 1 · 후면 1 · 전면 1 · 하부 승모 1에 삼두(옛 6일차에서) · 전완 2종(옛 5일차에서) · 이두 · 종아리. 측면 2 · 후면 2 · 이너/아우터는 4일차로 갔다.</t>
  </si>
  <si>
    <t>· 세트는 한 개도 안 늘었다. 40 → 30이 된 것은 10세트가 4일차로 간 것이지 뺀 게 아니다.</t>
  </si>
  <si>
    <t>· 시간 균등화로 8일차 케이블 힙 외전 3세트가 왔다. 4일차 아우터 타이와 짝 — 중둔근이 3·4·9일차. 케이블이라 척추 부하는 없다.</t>
  </si>
  <si>
    <t>· 아래 서술은 통합 시절(옛 8일차 · 40세트 · 6종목 분할) 기준이라 세트 수와 종목 번호가 지금과 다르다. 기록으로 남긴다.</t>
  </si>
  <si>
    <t>· 실패지점 1~2회 남기고 멈춘다. 9일차는 6일차부터 이어진 연속 구간 한가운데라 여기서 회복을 깎으면 다음 사이클 앞머리가 밀린다.</t>
  </si>
  <si>
    <t>· 세트 간 휴식 60~80초. 소근육 고립이라 길게 쉴 이유가 없다. 본세트 기준 약 39분 (웜업 별도).</t>
  </si>
  <si>
    <t>· 이 세션에 메인 리프트는 없다. 무게를 올리는 날이 아니라 볼륨을 채우는 날이다.</t>
  </si>
  <si>
    <t>· 척추 부하가 0이라 8일차 데드리프트 다음 날 자리로 안전하다 — 그게 이 날이 여기 있는 이유다. 이두 컬이 붙어도 그 성질은 그대로다.</t>
  </si>
  <si>
    <t>· 척추 부하가 0이라 8일차 데드리프트 다음 날 자리로 안전하다 — 그게 이 날이 여기 있는 이유다.</t>
  </si>
  <si>
    <t>왜 프레스가 없는가</t>
  </si>
  <si>
    <t>· 볼륨 랜드마크 표에 전면 삼각근 행이 아예 없다 — 모든 프레스가 자동으로 채워주는 부위라 별도 하한을 잡지 않는다.</t>
  </si>
  <si>
    <t>· 실제로 전면은 벤치 · 밀리터리 · 머신 숄더 · 인클라인 · 딥스로 실질 11세트대다. 숄더 프레스를 더 넣으면 늘어나는 건 어깨가 아니라 삼두와 전면의 중복 피로다.</t>
  </si>
  <si>
    <t>왜 6종목으로 나눴는가</t>
  </si>
  <si>
    <t>· 한 세션 부위당 8~9세트가 이 프로그램의 상한인데, 여기서 후면이 9세트다. 상한에 정확히 걸쳐 있다.</t>
  </si>
  <si>
    <t>· 같은 종목 9세트는 뒤쪽 세트의 자극당 값이 떨어진다. 축을 셋으로 나눠 그 손해를 줄인 것이다 — 팔 편 수평 외전(4번) · 몸통 고정 자유중량(5번) · 팔 굽힌 당기기(6번).</t>
  </si>
  <si>
    <t>· 측면도 같은 이유로 셋이다 — 궤도 고정(1번) · 늘어난 구간(2번) · 굽힌 팔 당기기(3번).</t>
  </si>
  <si>
    <t>· 이상적인 배치는 아니다. 볼륨을 여러 날로 흩는 쪽이 낫지만, 2일차 26 · 7일차 26이 세션 상한이라 실을 자리가 없었다. 고립 소근육은 상한 예외지만 그건 이미 26에 닿은 날에 더 얹어도 된다는 뜻이 아니라, 팔 고립이 많은 날이 27이 되는 것을 허용한다는 뜻이다.</t>
  </si>
  <si>
    <t>배치 근거 (2026-08-28)</t>
  </si>
  <si>
    <t>· 측면 16 = 2일차 6 + 7일차 3 + 9일차 7. 후면 16 = 2일차 4 + 7일차 3 + 9일차 9. 사이클당 기준.</t>
  </si>
  <si>
    <t>· 주당 환산은 각 14다 (×7/8). MAV 하단(16)에 맞추려면 사이클당 18이 필요하고, 그러면 이 세션이 20세트가 된다. 거기까지는 가지 않았다.</t>
  </si>
  <si>
    <t>· 후면 간격: 2일차 → 7일차 4일 · 7일차 → 9일차 2일 · 9일차 → 다음 2일차 2일. 사이클당 3회.</t>
  </si>
  <si>
    <t>· 어깨 볼륨은 기존 일차를 건드리지 않고 전부 이 날에 넣었다. 이후 팔 재배치로 1일차 인클라인 덤벨 컬 3세트가 여기로 옮겨 왔고, 그 자리엔 케이블 푸쉬다운 3세트가 들어갔다 — 1일차 세트 수는 26 그대로다.</t>
  </si>
  <si>
    <t>되돌리는 법</t>
  </si>
  <si>
    <t>· 회복이 안 따라오면 E열 세트를 0으로 내린다. 조건부서식이 회색으로 접고 세트 합계 · 세트검산에서 자동으로 빠진다 — 시트를 지울 필요가 없다.</t>
  </si>
  <si>
    <t>· 전부 끄면 5일차에 이어 완전 휴식일이 하나 더 생긴다. 프로그램에서 가장 먼저 버릴 세션이 여기다.</t>
  </si>
  <si>
    <t>추가 (2026-09-05)</t>
  </si>
  <si>
    <t>· 인클라인 덤벨 플라이 3세트를 5번(프론 Y 뒤, 같은 인클라인 벤치)에 — 사용자 요청. 같은 날 4일차 인클라인 스미스 4→3 · 7일차 인클라인 머신 6→3을 사용자가 먼저 줄여 총량 238이었고, 여기 3을 더해 241 · 상한 244 · 잔여 3. 세션 33→36세트 · 67→74분.</t>
  </si>
  <si>
    <t>· 이너·아우터 타이 슈퍼세트(9·10번)와 리스트 컬(손등 위, 8번)이 4일차에서 왔고, 리버스 리스트 컬·리버스컬·시티드 카프는 4일차로 갔다 — 3일차 다음 날 같은 기구 부담. 데드 다음 날이지만 기구를 전날 안 썼고 다음 날이 휴식이다. 39세트 · 약 77분 — 프로그램에서 가장 많은 세트지만 전부 고립이다.</t>
  </si>
  <si>
    <t>· 케이블 힙 외전은 6일차로 갔다 — 중둔근을 3·6·9일차로 펴고 이 날을 70분으로. 36세트.</t>
  </si>
  <si>
    <t>간접 세트 계수 맵 — 세트검산 간접 열(C)의 계산 원천</t>
  </si>
  <si>
    <t>각 줄 = "이 종목이 → 이 근육에 → 계수만큼 기여". 원천세트는 일차 시트 E열(설계 볼륨)에서 이름 매칭으로 자동 산출, 간접세트 = 계수 × 원천세트. 세트검산 C열이 이 표를 근육별 SUMIFS로 합산한다. E열 설계 세트 변경 시 자동 갱신. (세트검산 표시값은 0.5 단위 반올림)</t>
  </si>
  <si>
    <t>이름 매칭 실패 줄 수 (0이어야 정상 — 0이 아니면 요일 시트에서 종목 이름이 바뀐 것이다)</t>
  </si>
  <si>
    <t>계수 규칙(상한 0.5):  0.5 = 명확한 협력근(능동 수축·신전, 큰 ROM) · 0.33 = 부분 협력(관여하나 비주도, 또는 저반복 본세트의 협력근) · 0.2 = 미미한 동적 관여 · 0 = 순수 그립·안정화·고장력 등척성(길이변화 작음 — 자극 없음).   파란 계수 = 수정 가능 · 출처 G = 프로그램 선언(초록) / C = Claude 추가(주황)</t>
  </si>
  <si>
    <t>원천 일차</t>
  </si>
  <si>
    <t>원천종목</t>
  </si>
  <si>
    <t>대상근육</t>
  </si>
  <si>
    <t>계수</t>
  </si>
  <si>
    <t>원천세트</t>
  </si>
  <si>
    <t>간접세트</t>
  </si>
  <si>
    <t>출처</t>
  </si>
  <si>
    <t>계수 근거</t>
  </si>
  <si>
    <t>D1_당기기A</t>
  </si>
  <si>
    <t>G</t>
  </si>
  <si>
    <t>뒤침 그립 — 이두가 가장 유리한 자리에서 능동 굴곡하고 실패 근처까지 간다. 당기기 → 이두 계수는 그립으로 정한다: 뒤침 0.5 · 뉴트럴 0.33 · 엎침 0.2 (2026-09-04 정리).</t>
  </si>
  <si>
    <t>엎침 그립(친업과 반대로 잡는 자리) — 굽히는 일은 주로 상완근·상완요골근이 한다. 당기기 → 이두 계수는 그립으로 정한다: 뒤침 0.5 · 뉴트럴 0.33 · 엎침 0.2 (2026-09-04 정리). 만약 뉴트럴 손잡이로 바꾸면 0.33.</t>
  </si>
  <si>
    <t>D6_당기기B</t>
  </si>
  <si>
    <t>엎침 그립 + 팔꿈치를 벌린 수평 로우 — 이두가 불리한 각도에 있고 실패는 등이 정한다. 당기기 → 이두 계수는 그립으로 정한다: 뒤침 0.5 · 뉴트럴 0.33 · 엎침 0.2 (2026-09-04 정리).</t>
  </si>
  <si>
    <t>좁은 뉴트럴 그립 — 이두와 상완근이 나눠 쓴다. 엎침(0.2)과 뒤침(0.5) 사이. 당기기 → 이두 계수는 그립으로 정한다: 뒤침 0.5 · 뉴트럴 0.33 · 엎침 0.2 (2026-09-04 정리).</t>
  </si>
  <si>
    <t>D2_밀기A</t>
  </si>
  <si>
    <t>프레스 중 삼두 신전 — 5×5 저반복 본세트라 가슴이 먼저 실패하고 삼두 유효반복이 적다. 보조 프레스는 0.5 유지 (2026-09-04 0.5→0.33)</t>
  </si>
  <si>
    <t>딥스는 삼두 스트레치+신전 강함</t>
  </si>
  <si>
    <t>D7_밀기B</t>
  </si>
  <si>
    <t>오버헤드 프레스 삼두 신전 — 5×5 저반복 본세트 하향. 머신 숄더(0.5)와 구분 (2026-09-04 0.5→0.33)</t>
  </si>
  <si>
    <t>프레스 중 삼두 신전</t>
  </si>
  <si>
    <t>D4_어깨팔A</t>
  </si>
  <si>
    <t>C</t>
  </si>
  <si>
    <t>프레스 중 삼두 신전 — 인클라인 벤치프레스 머신(0.5)과 같은 등급 (2026-09-04 신설)</t>
  </si>
  <si>
    <t>D9_어깨팔B</t>
  </si>
  <si>
    <t>컬 중 상완요골근 동적 굴곡 — 부분 협력</t>
  </si>
  <si>
    <t>상완요골근 동적 굴곡</t>
  </si>
  <si>
    <t>순수 그립 유지(스트랩 권장) — 성장 자극 없음</t>
  </si>
  <si>
    <t>벤치 중 전면삼각 능동 관여 — 수평 프레스의 전면삼각 비대 근거는 인클라인(0.5)만큼 확실하지 않다 (2026-09-04 0.5→0.33)</t>
  </si>
  <si>
    <t>인클라인은 전면삼각 관여 큼 — 인클라인 벤치프레스 머신(0.5)과 같은 등급 (2026-09-04 신설)</t>
  </si>
  <si>
    <t>인클라인은 전면삼각 관여 큼</t>
  </si>
  <si>
    <t>오버헤드 프레스 측면삼각 관여 — 5×5 본세트라 측면삼각이 자기 실패 근처에 못 간다 (2026-09-04 0.5→0.33)</t>
  </si>
  <si>
    <t>오버헤드 프레스 측면삼각 관여 — 밀리터리 본세트(0.33)와 같은 등급. 이전에는 이 행이 없었는데 제외 사유였던 '직접 전면삼각 분류'는 밀리터리에도 똑같이 해당돼 성립하지 않았다. 보조 종목이라 오히려 실패에 더 가깝다 (2026-09-04 신설)</t>
  </si>
  <si>
    <t>오버헤드 프레스 측면삼각 관여 — 7일차 같은 종목(0.33)과 동일 등급 (2026-09-04 신설)</t>
  </si>
  <si>
    <t>페이스풀 중 후면삼각 능동 수축</t>
  </si>
  <si>
    <t>Y레이즈 후면삼각 능동 관여 — 7일차 같은 종목(0.5)과 동일 등급 (2026-09-04 신설)</t>
  </si>
  <si>
    <t>Y레이즈 후면삼각 능동 관여</t>
  </si>
  <si>
    <t>넓은 그립 로우의 광배 관여 — 팔꿈치를 벌려도 상완 신전은 일어나므로 명확한 협력근. 주동근(능형·중부승모)은 요일 시트에서 직접으로 센다 (2026-09-04 전환)</t>
  </si>
  <si>
    <t>견갑 후인 능동 수축</t>
  </si>
  <si>
    <t>D8_하체B</t>
  </si>
  <si>
    <t>무릎 90° 고정이라 햄스트링이 짧아진 채 작동(능동부전) — RDL의 신장 부하와 같은 등급일 수 없다 (2026-09-04 0.5→0.2)</t>
  </si>
  <si>
    <t>힌지 — 햄스트링 준주동. 단 컨벤셔널은 바닥에서 무릎 신전이 먼저라 ROM이 RDL보다 작다 (2026-09-04 0.5→0.33)</t>
  </si>
  <si>
    <t>힌지 — 햄스트링 준주동</t>
  </si>
  <si>
    <t>D3_하체A</t>
  </si>
  <si>
    <t>고관절 신전 능동 — 강한 협력</t>
  </si>
  <si>
    <t>둔근 관여하나 스쿼트보다 부분적</t>
  </si>
  <si>
    <t>고관절 신전 — 준주동</t>
  </si>
  <si>
    <t>힌지 고관절 신전 능동</t>
  </si>
  <si>
    <t>힌지 고관절 신전</t>
  </si>
  <si>
    <t>고장력 등척성 — 척추 중립 받치기(길이변화 작음). 데드→광배(0)와 같은 근거이므로 0으로 통일 (2026-09-04 0.2→0)</t>
  </si>
  <si>
    <t>고장력 등척성 — 중량 받치기. 버티기만 하는 자극은 세지 않는다 (2026-09-04 0.2→0)</t>
  </si>
  <si>
    <t>RDL은 기립근 동적 신전·수축 — 등척성 아님</t>
  </si>
  <si>
    <t>스플릿 스쿼트 대퇴사두 동적 작동</t>
  </si>
  <si>
    <t>관상면 안정화 부하 — 부분 관여</t>
  </si>
  <si>
    <t>고장력 등척성 — 바를 몸쪽에 고정(길이변화 작음)</t>
  </si>
  <si>
    <t>대내전근은 고관절 신전근 — 깊은 스쿼트서 동적 작동. 단 둔근(0.5)과 동급은 과하고 레그프레스·불가리안(0.33)과 같은 등급 (2026-09-04 0.5→0.33)</t>
  </si>
  <si>
    <t>부분 관여</t>
  </si>
  <si>
    <t>단측 부하 부분 관여</t>
  </si>
  <si>
    <t>흉근 상/하는 H열에서 합산 판정 — 서로에게 간접을 얹으면 합산이 이중 계상된다 (2026-09-04 0.2→0)</t>
  </si>
  <si>
    <t>흉근 상/하 합산 판정이라 교차 계상 제거 (2026-09-04 0.2→0)</t>
  </si>
  <si>
    <t>로우 중 상부승모 약한 등척성 — 등척성은 0 (2026-09-04 0.2→0)</t>
  </si>
  <si>
    <t>오버헤드 상방회전 약한 관여</t>
  </si>
  <si>
    <t>고장력 등척성 견갑대 유지 — 등척성은 0 (2026-09-04 0.2→0)</t>
  </si>
  <si>
    <t>당기기 중 견갑 하강 약한 관여</t>
  </si>
  <si>
    <t>로우 중 하부승모 약한 관여</t>
  </si>
  <si>
    <t>리버스 펙덱 견갑 후인 — 능형·중부승모 부분 협력</t>
  </si>
  <si>
    <t>둔근 관여하나 스쿼트보다 부분적 (8일차 분할분)</t>
  </si>
  <si>
    <t>부분 관여 (8일차 분할분)</t>
  </si>
  <si>
    <t>오버헤드 프레스 삼두 신전 — 기존 프레스 삼두 엣지(0.5)와 일관</t>
  </si>
  <si>
    <t>오버헤드 프레스 삼두 신전 — 7일차 같은 종목(0.5)과 동일 등급 (2026-09-04 신설)</t>
  </si>
  <si>
    <t>체스트 프레스 삼두 신전 — 기존 프레스 삼두 엣지(0.5)와 일관</t>
  </si>
  <si>
    <t>딥스는 전면삼각 부차 관여 — 벤치 상부흉근(0.2)과 같은 약관여 등급</t>
  </si>
  <si>
    <t>수평 프레스 전면삼각 관여 — 벤치(0.33)와 같은 등급 (2026-09-04 0.5→0.33)</t>
  </si>
  <si>
    <t>엎침 그립이라 이두가 짧아진 자리에서 불리 — 일하는 건 주로 상완근이라 이두는 약자극 등급 (2026-09-04 0.33→0.2)</t>
  </si>
  <si>
    <t>견갑 후인 능동 수축 — 경부하 리어델트 종목이라 리버스 펙덱(0.33)과 같은 등급. 중량 로우(0.5)와 구분 (2026-09-04 0.5→0.33)</t>
  </si>
  <si>
    <t>팔꿈치를 어깨 높이로 올리는 궤적 — 상부승모 부분 협력. 레이즈 계열(계수 없음)과 다른 점이 이것이다</t>
  </si>
  <si>
    <t>견갑 후인 능동 수축 — 경부하 리어델트 종목이라 리버스 펙덱(0.33)과 같은 등급 (2026-09-04 0.5→0.33)</t>
  </si>
  <si>
    <t>컬 중 상완요골근 동적 굴곡 — 인클라인·프리쳐 컬(0.33)과 동일 등급</t>
  </si>
  <si>
    <t>힌지 — 본세트와 같은 동작이므로 같은 계수 (2026-09-04 0.5→0.33)</t>
  </si>
  <si>
    <t>고관절 신전 — 준주동. 본세트와 같은 계수</t>
  </si>
  <si>
    <t>고장력 등척성 견갑대 유지 — 본세트와 같은 계수 (2026-09-04 0.2→0)</t>
  </si>
  <si>
    <t>넓은 그립 로우의 광배 관여 — 해머 로우(0.5)와 같은 등급. 이전에는 이 종목이 광배 직접으로 잡혀 있어 간접 줄 자체가 없었다 (2026-09-04 신설)</t>
  </si>
  <si>
    <t>엎침 그립 + 팔꿈치를 벌린 수평 로우 — 해머 로우(0.2)와 같은 등급. 이전에는 이 종목의 이두 줄 자체가 없었다 (2026-09-04 신설). 당기기 → 이두 계수는 그립으로 정한다: 뒤침 0.5 · 뉴트럴 0.33 · 엎침 0.2 (2026-09-04 정리).</t>
  </si>
  <si>
    <t>D핸들 뉴트럴 그립 — 당기기 → 이두 계수는 그립으로 정한다: 뒤침 0.5 · 뉴트럴 0.33 · 엎침 0.2. 랫풀다운 4세트를 양팔 2(엎침 0.2) + 원암 2(뉴트럴 0.33)로 나누며 신설 (2026-09-05).</t>
  </si>
  <si>
    <t>D핸들 뉴트럴 그립 — 시티드 케이블 로우(좁은 뉴트럴 0.33)와 같은 등급. 시티드 케이블 로우 5세트를 양팔 3 + 원암 2로 나누며 신설 (2026-09-05).</t>
  </si>
  <si>
    <t>견갑 후인 능동 수축 — 시티드 케이블 로우(0.5)와 같은 등급. 한 팔씩이라 몸통 회전이 섞이지만 후인은 그대로 일어난다 (2026-09-05 신설).</t>
  </si>
  <si>
    <t>근육군별 주간 세트 — 검산</t>
  </si>
  <si>
    <t>■ 사이클 총량 예산 — 늘리려면 먼저 어딘가에서 빼라</t>
  </si>
  <si>
    <t>세트는 근육군 단위로 센다. '하체 20세트'는 의미 없는 숫자 — 대퇴 18 / 햄스트링 2여도 하체 20이 된다. 집계는 일차 시트 E열(설계 세트) 기준이며 B~D열은 사이클당(주기 길이는 H2) 값이다. 판정(E열)은 J열의 주당 환산(사이클당 × 7/주기)으로 한다 — 볼륨 랜드마크가 주 단위이기 때문이다. 간접·실질은 0.5 단위 반올림으로 표시한다 — 메모의 계산 원값과 ±0.25 이내 차이가 날 수 있다.</t>
  </si>
  <si>
    <t>주기(일)</t>
  </si>
  <si>
    <t>총량 상한</t>
  </si>
  <si>
    <t>현재 총량</t>
  </si>
  <si>
    <t>잔여 예산</t>
  </si>
  <si>
    <t>실제 주당</t>
  </si>
  <si>
    <t>상태</t>
  </si>
  <si>
    <t>직접 세트</t>
  </si>
  <si>
    <t>간접 추정</t>
  </si>
  <si>
    <t>실질</t>
  </si>
  <si>
    <t>판정</t>
  </si>
  <si>
    <t>간접 출처 / 비고</t>
  </si>
  <si>
    <t>플랫 벤치의 쇄골지 관여(0.2)를 2026-09-04에 0으로 내렸다. 흉근 상/하는 H열에서 합산 판정하므로 서로에게 간접을 얹으면 합산이 이중 계상된다.</t>
  </si>
  <si>
    <t>흉근 합산(상+중하)</t>
  </si>
  <si>
    <t>인클라인 머신의 중하부 관여(0.2)를 2026-09-04에 0으로 내렸다(흉근 상/하 교차 계상 제거).</t>
  </si>
  <si>
    <t>직접 12세트: 1일차 친업 4 · 랫풀다운 4 · 6일차 시티드 케이블 로우 4(좁은 그립). 간접은 넓은 그립 로우 2종(바벨 로우 · 해머 로우) 각 0.5 — 2026-09-04에 주동근을 능형·중부승모로 옮기며 협력근으로 내려왔다. 데드리프트의 광배 등척성은 0.</t>
  </si>
  <si>
    <t>등</t>
  </si>
  <si>
    <t>밀리터리 0.2 · 9일차 와이드 그립 업라이트 로우 0.33. 2026-09-04에 등척성 행(해머 로우 · 데드 본세트 · 백오프, 각 0.2)을 0으로 내렸다 — 견갑대를 버티기만 하는 자극은 세지 않는다. 하한 미달 자체는 증액 근거가 아니다 — 늘리려면 총량 예산(J2) 안에서 다른 종목과 교환한다.</t>
  </si>
  <si>
    <t>친업 0.2×4=0.8 + 해머 로우 0.2×4=0.8 = 1.6 — 견갑 하강은 동작 개시 관여라 약계수</t>
  </si>
  <si>
    <t>직접 15세트: 1일차 넓은 그립 바벨 로우 4 · 페이스풀 3 · 6일차 넓은 그립 해머 로우 4 · 스캡 슈러그 4. 간접은 시티드 케이블 로우 0.5 · 리어델트 계열(리버스 펙덱 · 케이블 리버스 플라이 · 리어 델트 로우) 0.33. 2026-09-04에 넓은 그립 로우 2종이 간접 0.5에서 직접으로 올라왔다 — 팔꿈치를 벌린 수평 로우의 주동근은 견갑 후인근이다.</t>
  </si>
  <si>
    <t>8일차 RDL 0.5(동적 신전·수축)뿐. 2026-09-04에 스쿼트·트랩바 슈러그의 등척성 행(0.2)을 0으로 내렸다. 기립근은 스쿼트·데드에서 피로는 크게 받지만 버티기만 해서는 자라지 않는다 — 동적 힌지가 유일한 자극원이다.</t>
  </si>
  <si>
    <t>인클라인 머신 0.5(전면삼각 편향 큼) · 벤치 0.33 · 헤머 체스트 0.33 · 딥스 0.2. 2026-09-04에 수평 프레스를 0.5→0.33으로 내렸다. [2026-09-04 9일차 머신 숄더 프레스 3세트 신설 — 직접 6→9] 처음에는 2026-08-28 판단(RP 표에 전면 삼각근 행이 없다 · 프레스로 자동 충족)을 근거로 안 넣었는데, 같은 날 벤치·헤머 체스트의 전면삼각 계수를 0.5→0.33으로 내려놓고 그렇게 줄어든 간접을 근거로 직접을 생략한 것이라 앞뒤가 안 맞았다. 나머지 여섯 부위에는 안 쓴 잣대를 여기만 쓴 셈이기도 하다.</t>
  </si>
  <si>
    <t>오버헤드 프레스 두 종목 모두 0.33 — 밀리터리 본세트(2026-09-04 0.5에서 하향, 5×5라 측면삼각이 자기 실패 근처에 못 간다)와 머신 숄더 프레스(2026-09-04 신설). 머신 숄더만 행이 없었는데, 제외 사유였던 '직접 전면삼각 분류'는 밀리터리에도 똑같이 해당돼 성립하지 않았다 — 보조 종목이라 실패에 더 가까이 가는 쪽이 오히려 0이던 것을 바로잡았다. 직접 세트가 두터워 판정에는 영향 없음.</t>
  </si>
  <si>
    <t>페이스풀(1일차) 0.5×3=1.5 + 프론 Y(7일차) 0.5×2=1.0 = 2.5. 후면삼각은 프레스로 안 자라 직접 16세트로 별도 확보 — 2일차 리버스 펙덱 4 · 7일차 벤트오버 3 · 9일차 3종목 9 (케이블 리버스 플라이 3 · 인클라인 프론 리어 레이즈 3 · 리어 델트 로우 3). 사이클당 3회, 주당 환산 14.</t>
  </si>
  <si>
    <t>하체(대퇴·햄·종아리)</t>
  </si>
  <si>
    <t>덤벨 RDL 0.5 · 데드 본세트/백오프 0.33 · 힙 쓰러스트 0.2. 2026-09-04 하향: 힙 쓰러스트는 무릎 90° 고정이라 햄스트링이 짧아진 채 작동(능동부전)해 RDL의 신장 부하와 동급일 수 없고, 컨벤셔널 데드는 ROM이 RDL보다 작다.</t>
  </si>
  <si>
    <t>스쿼트 0.5×5=2.5 + 데드 본세트 0.5×1=0.5 + 데드 백오프 0.5×2=1 + RDL(8일차) 0.5×3=1.5 + 덤벨 RDL(1일차) 0.5×3=1.5 + 레그 프레스(수·토) 0.33×6=1.98 = 8.98</t>
  </si>
  <si>
    <t>불가리안 0.33×3=0.99 — 한 다리 지지 관상면 안정화. 스쿼트·레그프레스는 양측 지지라 계수 없음</t>
  </si>
  <si>
    <t>직접 세트 내역: 3일차 스탠딩 카프 3 (무릎 편 상태 — 비복근) · 8일차 시티드 카프 3 (무릎 굽힘 — 가자미근). 간접 출처는 없음 — 스쿼트·레그프레스의 발목 관여는 실패지점 근처까지 가지 않아 0으로 둔다.</t>
  </si>
  <si>
    <t>당기기 5종목을 그립별로 나눠 센다 — 친업(뒤침) 0.5 · 시티드 케이블 로우(좁은 뉴트럴) 0.33 · 랫풀다운 · 해머 로우 · 바벨 로우(모두 엎침) 각 0.2 · 리버스컬 0.2. 2026-09-04 정리: 엎침 그립에서 팔꿈치를 굽히는 건 주로 상완근·상완요골근이라 리버스컬에 쓴 잣대(0.2)를 당기기 전체에 맞췄다. 바벨 로우는 이전에 줄 자체가 없어 이때 신설. 컬은 셋 다 당기기 간접이 안 걸린 자리에 둔다(어깨·팔 A · 당기기 B는 프리쳐만 · 어깨·팔 B — 2026-09-04 4-1-4-1 전환 후). [2026-09-05] 원암 랫풀다운 · 원암 케이블 로우(D핸들 뉴트럴) 0.33 신설 — 랫풀다운 4 → 양팔 2 + 원암 2, 시티드 로우 5 → 양팔 3 + 원암 2로 나누며.</t>
  </si>
  <si>
    <t>딥스 · 인클라인 머신 · 머신 숄더 · 헤머 체스트 각 0.5 · 벤치 본세트 · 밀리터리 본세트 0.33. 2026-09-04에 두 메인 본세트를 0.5→0.33으로 내렸다 — 5×5 저반복이라 주동근이 실패를 결정하고 삼두 유효반복이 적다. 보조 프레스는 0.5 유지.</t>
  </si>
  <si>
    <t>바벨 컬(2일차) · 프리쳐 컬(6일차) · 인클라인 덤벨 컬(9일차) 0.33×각3 = 2.97. 리버스컬(6일차)은 상완요골근 주동이라 간접이 아니라 직접 전완 3세트로 센다. 순수 그립(데드·로우·친업·트랩바)은 규칙상 0 — 성장 자극 없음</t>
  </si>
  <si>
    <t>직접 13세트: 1일차 라잉 레그 레이즈 4(굴곡 하부) · 케이블 트렁크 로테이션 3(회전) · 3일차 앱휠 롤아웃 3(항신전) · 6일차 중량 크런치 3(굴곡 상부). 네 축이 다 찼다. 스쿼트 · 데드의 코어 브레이싱은 등척성 안정화이며 실패지점 근처까지 가지 않아 간접 0.</t>
  </si>
  <si>
    <t>스쿼트 · 레그 프레스 · 불가리안 모두 0.33. 2026-09-04에 스쿼트를 0.5→0.33으로 내려 세 종목을 같은 등급으로 맞췄다 — 대내전근이 고관절 신전근인 건 맞지만 둔근(0.5)과 동급은 과하다. 성장이 아닌 유지 목적 항목.</t>
  </si>
  <si>
    <t>직접 세트 총계</t>
  </si>
  <si>
    <t>기준선</t>
  </si>
  <si>
    <t>· 주 10~20세트 = 성장 구간. 사이클당 세트를 그대로 쓰면 안 되고, J열의 주당 환산(×7/주기 · 주기 길이는 H2)으로 판정한다.</t>
  </si>
  <si>
    <t>· 주 8세트 = 유지 하한 (역시 주당 환산 기준).</t>
  </si>
  <si>
    <t>· 실패지점 2~3회 이내 세트만 카운트 (웜업 · 여유 세트 제외)</t>
  </si>
  <si>
    <t>따로 세야 하는 경우</t>
  </si>
  <si>
    <t>· 판단 기준은 하나 — 다른 종목이 그 부위를 대신 키워주는가.</t>
  </si>
  <si>
    <t>· 안 키워주면 따로 센다: 햄스트링(스쿼트로 안 자람), 후면 삼각근(프레스로 안 자람), 종아리</t>
  </si>
  <si>
    <t>· 키워주면 합쳐 판단한다: 흉근 상/하, 광배 상/하 — 하나의 근육이며 함께 수축한다. 표의 상/하 분리 행은 분포 점검용이며, 총량·상한 판단은 합산 기준으로 본다 (흉근 합산은 H5에 상시 표시 — 현재 직접 16 · 실질 18).</t>
  </si>
  <si>
    <t>부위별 이력 · 미결 항목</t>
  </si>
  <si>
    <t>· 종아리 (2026-08): 3일차 스탠딩 카프 3 + 8일차 시티드 카프 3 = 사이클당 6세트 · 주당 환산 5.3 — 유지 하한(8) 미달. 올리려면 총량 예산 안에서 교환한다.  |  후면 삼각근 (2026-08-28 해소): 직접 7 → 10세트. 9일차 어깨 세션 신설로 MEV(8) 통과.</t>
  </si>
  <si>
    <t>· 9일 주기 (A블록 3일 · 휴식 · B블록 3일 · 어깨+약점 · 휴식). 서술상 계보: 5일 147 → 재편 159 → v17 143 → v18 140 → 6일차 리버스컬 3 → 9일차 어깨 7. 다만 E열 실측은 162다 (2026-08-28 확인).</t>
  </si>
  <si>
    <t>· 하부 승모: 프론 Y(하강+후인) 2 + 오버헤드 슈러그(상방회전) 3 = 직접 5. 스캡 풀업(하강)은 v18에서 1일차 웜업으로 전환 — 패턴은 매주 유지되나 카운트 제외.</t>
  </si>
  <si>
    <t>· 중둔근·종아리는 하한(8) 미달이지만 성장이 아닌 유지 목적 — 계수 0으로 둔 양측 지지 안정화 자극(스쿼트·레그프레스)까지 감안한 판단이다. 내전근은 실질 10으로 충분에 진입 (v14).</t>
  </si>
  <si>
    <t>· 승모(중부)·능형근 보강 (2026-08): 직접 종목이 6일차 켈소 슈러그 3세트뿐이라 사이클당 1회였다. 켈소는 받침 벤치가 필요해 시티드 케이블 로우 스캡 슈러그로 교체하고, 1일차에 페이스풀 3세트를 추가해 직접 6세트 · 사이클당 2회 확보. 총 직접 세트 162 — E열 실측 (v18 + 6일차 리버스컬 3 + 9일차 어깨 7).</t>
  </si>
  <si>
    <t>· 승모(상부) 신설 (2026-08): 이전에는 항목 자체가 없었다. 6일차 트랩바 슈러그 2세트 — 사이클당 1회. 7일차 오버헤드 슈러그는 승모 하부·상방회전이라 대체가 아니라 별개 근육이므로 그대로 유지. 실질 3.6 — 하한 미만 — 자극이 부족하면 D2_밀기A 2세트가 후보다 — 다만 총량 예산 안에서 교환할 때만.</t>
  </si>
  <si>
    <t>· 서술 ↔ E열 불일치 (2026-08-28 발견): 남은 두 칸 — 1일차 바벨 로우 3(v18 웜업 전환) · 7일차 헤머스트랭스 체스트 프레스 3(v17 제외). 메모는 제외인데 E열에 세트가 남아 있다. 둘 다 0으로 내리면 사이클당 168. 2일차 디클라인 케이블 플라이는 바벨 컬을 넣으며 해소했다.</t>
  </si>
  <si>
    <t>· 간접계수 하향 (2026-09-04): 관대하게 잡힌 19행을 내렸다. ① 등척성 버티기(스쿼트·슈러그·데드→기립근/상부승모)를 0.2→0 — 직접 세트에 쓰는 '실패지점 2~3회' 잣대를 간접에도 적용. ② 경부하 리어델트→중부승모 0.5→0.33. ③ 힙 쓰러스트→햄스트링 0.5→0.2(능동부전). ④ 수평 프레스→전면삼각, 스쿼트→내전근, 5×5 본세트→삼두/측면삼각 0.5→0.33. 간접 총합이 실제 수행 세트 대비 38%→32%로 내려왔다(2026-09-04 기준). 판정 변화는 기립근·내전근 둘뿐 — 둘 다 하한→보완 필요.</t>
  </si>
  <si>
    <t>· 9일 주기 전환 · 약점 보강 (2026-09-04): 9일차 뒤에 휴식을 넣어 9일 주기가 됐다. 이유는 D8을 키우려서가 아니라 5→6→7→8→1→2→3으로 7일 연속 훈련이었기 때문이다(휴식이 당시 4일차 하나뿐이었다). 그날 3연속·휴식·4연속·휴식이 됐고, 같은 날 저녁 10일 4-1-4-1로 다시 바꿨다 — 주간계획 참조. 대신 판정 분모가 ×7/8에서 ×7/9로 바뀌어 모든 부위가 11% 내려가므로, 부족했던 7개를 성장 구간(주당 10)까지 올렸다 — 흉근(상부)·승모(하부)·중둔근·종아리·복부·내전근 여섯은 도달, 기립근은 하한권에 남았다(아래 참조). 배치 원칙: 하체날(3·8일차)은 이미 가장 긴 세션(77분·80분)이라 한 세트도 얹지 않았다. 추가분은 전부 고립 종목(실측 1.9분/세트)이라 시간이 싸고, 가장 가벼웠던 9일차(41분)가 절반을 흡수했다. 세션 상한도 세트 수(26)가 아니라 시간 80분으로 바꿔 읽는다 — 9일차는 35세트지만 66분으로 8일차 27세트 80분보다 가볍다.</t>
  </si>
  <si>
    <t>· 기립근 해결 (2026-09-04): 고립 종목이 없어 1일차 덤벨 RDL 3→6으로 버티다가 하한(주당 8.2)에 그쳤었다. 백 익스텐션(45도)을 쓸 수 있다는 확인을 받고 1일차·6일차에 3세트씩 넣고 덤벨 RDL은 3으로 되돌렸다. 직접 12 · 주당 10.5로 성장 구간. 힌지를 늘리는 대신 전용 종목을 둔 것이라 척추 부하는 오히려 줄었다. 수행은 척추 신전 강조 — 힌지식으로 하면 주동근이 둔근·햄스트링으로 바뀐다.</t>
  </si>
  <si>
    <t>· 견갑 프라이밍 웜업 — 1일차 스캡 풀업 2 (하강) · 2·7일차 케이블 외회전 2씩 · 6일차 밴드 풀 어파트 2 (후인). 네 상체일 전부 그날 패턴의 웜업 보유. (1일차 페이스풀은 실제 부하 카운트 세트이므로 여기서 제외)</t>
  </si>
  <si>
    <t>· 근육군 표에 넣지 않는 이유: 실패지점 근처까지 가지 않는 웜업 세트는 카운트 대상이 아니다.</t>
  </si>
  <si>
    <t>· 벤트오버 레터럴 4세트와 리버스 펙덱은 수평 외전이라 외회전을 대신하지 못한다 — 부하가 걸린 외회전 종목은 1일차 페이스풀 3세트가 유일 (이전에는 직접 0세트).</t>
  </si>
  <si>
    <t>· 벤치 5×5가 최우선 종목이고 12주간 계속 오른다. 근비대가 아니라 어깨 관절 유지 목적.</t>
  </si>
  <si>
    <t>· 넓은 그립 로우 라벨 정정 (2026-09-04): 바벨 로우(1일차) · 해머 로우(6일차)를 광배 → 승모(중부)·능형근으로 옮겼다. 주동근을 정하는 것은 그립 폭이 아니라 팔꿈치 경로이며, 팔꿈치를 벌린 수평 로우는 견갑 후인이 주동이고 광배는 협력근이다. 수행 세트는 한 개도 바뀌지 않았고 장부만 맞춘 것이다. 부수 효과 둘 — ① 1일차 광배가 12세트에서 8세트로 내려와 세션 부위당 상한(8~9)을 지키게 됐다. ② 넓은 그립 바벨 로우 4세트가 상부등 집계에 전혀 안 잡혀 있던 구멍이 메워졌다. 복귀판(평일A 해머 로우 · 일요일 스미스 바벨 로우)에도 같은 정정을 적용했다.</t>
  </si>
  <si>
    <t>· 당기기 → 이두 계수 그립별 정리 (2026-09-04): 당기기 4종목이 그립과 무관하게 일괄 0.5였다. 리버스컬을 0.2로 내리며 세운 근거(엎침 그립에서는 상완근·상완요골근이 주로 굽힌다)를 당기기에도 적용해 뒤침 0.5 · 뉴트럴 0.33 · 엎침 0.2로 나눴고, 줄이 없던 바벨 로우를 0.2로 신설했다. 이두 주당 15.6 → 13.6 — 판정은 충분 그대로다. 복귀판도 같이 정리했다(랫풀다운이 언더그립이라 거기선 0.5 유지). 남은 질문: 엎침 로우가 상완요골근을 동적으로 굽히는 만큼 전완에 간접을 붙일지는 아직 안 정했다. 지금 규칙의 "로우는 순수 그립이라 0"은 정적 파지를 뜻하므로 서로 모순은 아니다.</t>
  </si>
  <si>
    <t>· 펙덱 플라이 신설 (2026-09-04): 7일차 인클라인 벤치프레스 머신 뒤에 3세트. 흉근(중하부) 직접 15 → 18 · 주당 14.0, 흉근 합산 28 → 31 · 주당 24.1로 천장(20)을 넘겼다 — 2일차에 이어 7일차도 예외 처리다. 7일차는 34세트 84분으로 시간 상한(80분)도 4분 넘는다. 2일차(33세트 82분·흉근 19세트)보다 여유 있는 날을 고른 결과이며 사용자가 두 초과를 알고 선택했다. 되돌릴 때 먼저 빼는 것은 2일차 디클라인 케이블 플라이 3세트. 간접계수맵에는 줄을 넣지 않았다 — 재택 맵은 플라이 계열에 전면삼각 줄을 두지 않는다(인클라인 덤벨 플라이도 없다).</t>
  </si>
  <si>
    <t>· 백 익스텐션 순서 변경 (2026-09-04): 기구가 옆 체육관에 있다는 것이 확인돼 1일차·6일차 모두 세션 맨 마지막 종목으로 내렸다(각각 덤벨 RDL · 중량 크런치와 자리 교환). 순서만 바꾼 것이라 세트 수 · 부위 볼륨 · 세션 시간은 전부 그대로다 — 기립근 직접 12 · 주당 10.5 유지. 앞으로 이 두 날에 종목을 추가할 때 백 익스텐션 뒤에 붙이지 말 것.</t>
  </si>
  <si>
    <t>· 복부 회전 축 신설 · 크런치 분산 (2026-09-04): 6일차 중량 크런치 6세트를 3으로 내리고 1일차에 케이블 트렁크 로테이션 3세트를 넣었다. 총량 13 · 주당 10.1 불변이고 자리만 옮긴 것이다. 계기는 "한 번에 6세트는 빡세다"였고, 실제로 한 세션 한 종목 6세트는 9일차 후면삼각을 3종목으로 쪼갠 원칙과 어긋나 있었다. 겸사겸사 비어 있던 네 번째 축(회전)이 채워졌다 — 그전까지 굴곡 상·하와 항신전 셋뿐이었다. 9일차가 아니라 1일차인 이유: 9일차는 데드(8일차) 다음 날이고 "척추 부하 0"이 그 날의 설계 근거라 회전 부하를 얹지 않았다. 1일차는 10일차 휴식 다음 날이라 척추가 가장 신선하다. 시간은 1일차 75.8 → 82.3분 · 6일차 82.0 → 77.0분으로 맞바꿨다. 앉아서 하는 트렁크 로테이션 머신은 쓰지 않는다 — 골반이 고정돼 회전이 요추에 몰린다.</t>
  </si>
  <si>
    <t>상한 변경 이력 — 총량 상한(J2)을 고칠 때마다 한 줄 남긴다</t>
  </si>
  <si>
    <t>날짜</t>
  </si>
  <si>
    <t>이전</t>
  </si>
  <si>
    <t>이후</t>
  </si>
  <si>
    <t>근거</t>
  </si>
  <si>
    <t>무엇을 뺐나</t>
  </si>
  <si>
    <t>최초 설정 — v19 현재 총량을 그대로 예산으로 고정</t>
  </si>
  <si>
    <t>10일 주기(4-1-4-1) 전환 — 상한 불변. 주당 환산 185.9→167.3은 분모가 9→10이 된 산술이지 감축이 아니다</t>
  </si>
  <si>
    <t>없음 — 종목 12개 이동, 세트 0 변동</t>
  </si>
  <si>
    <t>등(광배 · 승모중부) 4종목 각 +1, 흉근상부 인클라인 스미스 +1 — 사용자 판단. 같은 날 15종목 +1을 넣었다가 잠금(잔여 −15)에 걸려 10은 되돌렸다</t>
  </si>
  <si>
    <t>총량 예산 — 운용 규칙</t>
  </si>
  <si>
    <t>· 세트를 늘리려면 같은 수를 다른 종목에서 뺀다. 잔여 예산(H3)이 음수면 프로그램 전체가 INVALID다.</t>
  </si>
  <si>
    <t>· 판정 열의 "유지 미만"은 정보이지 지시가 아니다. 하한 미달은 그 자체로 증액 근거가 되지 못한다.</t>
  </si>
  <si>
    <t>· 주기를 바꿀 때는 H2 한 칸만 고친다. 모든 판정이 내려앉지만 잔여 예산은 그대로라 세트는 안 붙는다.</t>
  </si>
  <si>
    <t>· 총량 상한(J2)을 올리는 것은 자유지만 상한 변경 이력에 한 줄 남긴다 — 근거와 무엇을 뺐는지까지.</t>
  </si>
  <si>
    <t>· 배분은 안 잠근다. 총량이 같다면 부위 간 이동은 자유다 — 문제가 된 것은 배분이 아니라 총량이었다.</t>
  </si>
  <si>
    <t>· 증액 근거는 기록이다. 증량기록 L·M열(다음날 피로 · 관절)이 3사이클 쌓이기 전에는 근거가 없다.</t>
  </si>
  <si>
    <t>메인 리프트 증량 기록 — 주 단위 (2026-09-13 전환)</t>
  </si>
  <si>
    <t>매주 한 줄. 목표 반복을 채우면 다음 주에 오르고, 못 채우면 그 주 칸에 반복수나 X를 적어 그 중량을 한 번 더 든다. 못 끼우는 값(5로 나눈 나머지 4)은 자동으로 1kg 올라가므로 계단이 +2와 +3을 오간다 — 평균이 위 증량 폭이다.</t>
  </si>
  <si>
    <t>증량 설정 — 종목별</t>
  </si>
  <si>
    <t>증량 주기(주)</t>
  </si>
  <si>
    <t>데드리프트 주당 증량 (kg)</t>
  </si>
  <si>
    <t>매주 +2 → 못 끼우는 값에서 +3이 되므로 평균 주 2.5kg</t>
  </si>
  <si>
    <t>스쿼트 주당 증량 (kg)</t>
  </si>
  <si>
    <t>매주 +2 → 평균 주 2.5kg. 사이클(2주 5kg) 때와 같은 기울기다</t>
  </si>
  <si>
    <t>벤치프레스 주당 증량 (kg)</t>
  </si>
  <si>
    <t>매주 +1 → 평균 주 1.25kg. 한쪽 0.5kg이 봉 전체 1kg이라 이게 최소 계단</t>
  </si>
  <si>
    <t>밀리터리 프레스 주당 증량 (kg)</t>
  </si>
  <si>
    <t>격주 +1 → 평균 주 0.6kg. 매주 올리면 1.25kg이라 지금 속도의 2.5배가 된다</t>
  </si>
  <si>
    <t>스쿼트 목표</t>
  </si>
  <si>
    <t>미달 시 반복수</t>
  </si>
  <si>
    <t>데드 목표</t>
  </si>
  <si>
    <t>벤치 목표</t>
  </si>
  <si>
    <t>프레스 목표</t>
  </si>
  <si>
    <t>다음날 피로 0~5</t>
  </si>
  <si>
    <t>관절 이상</t>
  </si>
  <si>
    <t>[2026-09-13] 사이클(2주에 5kg) → 주 단위(매주 2~3kg) 전환. 이 줄이 전환 시점 중량이다. 1~5주차는 재택 사이클로 지나간 구간이라 표에 없다. [이전 기록] [2026-09-05] 6일차를 하루 미룸 — 늦게 일어나 갔더니 헬스장이 닫혀 있었다. 실제 1일차는 08-31이었으나 앱 달력 기준을 09-01로 당겨 적어 09-06이 6일차가 되게 했다(이 사이클만 11일, 다음 사이클 1일차 09-11).</t>
  </si>
  <si>
    <t>18주차</t>
  </si>
  <si>
    <t>19주차</t>
  </si>
  <si>
    <t>20주차</t>
  </si>
  <si>
    <t>21주차</t>
  </si>
  <si>
    <t>22주차</t>
  </si>
  <si>
    <t>23주차</t>
  </si>
  <si>
    <t>24주차</t>
  </si>
  <si>
    <t>25주차</t>
  </si>
  <si>
    <t>26주차</t>
  </si>
  <si>
    <t>27주차</t>
  </si>
  <si>
    <t>28주차</t>
  </si>
  <si>
    <t>29주차</t>
  </si>
  <si>
    <t>30주차</t>
  </si>
  <si>
    <t>31주차</t>
  </si>
  <si>
    <t>32주차</t>
  </si>
  <si>
    <t>33주차</t>
  </si>
  <si>
    <t>34주차</t>
  </si>
  <si>
    <t>35주차</t>
  </si>
  <si>
    <t>· 공란 또는 O = 계획대로 증량. 그 밖의 입력(반복수 · X) = 그 중량을 다음 주에도 유지.</t>
  </si>
  <si>
    <t>· 6주차 중량은 '시작중량_설정' 시트 D열과 연동됨. 여기서 직접 수정하지 말 것.</t>
  </si>
  <si>
    <t>· 같은 종목에 X가 3주 연속이면 그 종목만 10%% 디로드 후 재상승.</t>
  </si>
  <si>
    <t>· 증량폭을 종목별로 나눈 이유: 절대값이 같아도 부담이 전혀 다르다.</t>
  </si>
  <si>
    <t>· 26kg 프레스에 1kg은 3.8% 증가지만, 105kg 데드에 2.5kg은 2.4%다. 프레스만 격주인 것이 그 때문이다 — 매주 올리면 주 1.25kg으로 지금의 2.5배가 된다.</t>
  </si>
  <si>
    <t>· 균일 증량을 쓰면 작은 종목만 비현실적으로 빨리 오르고 큰 종목은 제자리에 머문다.</t>
  </si>
  <si>
    <t>· 하체 주 2.5kg이 커 보이지만 복귀 구간 첫 두세 달은 정상 범위다. 근력을 새로 만드는 것이 아니라 되찾는 구간이기 때문.</t>
  </si>
  <si>
    <t>· 이 속도가 버거워지면(X가 반복되면) 위 증량 폭을 절반으로 내리거나 증량 주기를 2로 바꾼다.</t>
  </si>
  <si>
    <t>· 미달 시 반복수: X 대신 마지막 세트에서 실제로 나온 횟수를 적는다. 5회 목표에 4와 2는 전혀 다른 신호다.</t>
  </si>
  <si>
    <t>· 다음날 피로 0~5 (L열): 0 가뿐 · 3 뻐근하지만 훈련 가능 · 5 탈진. 다음 세션 아침에 적는다.</t>
  </si>
  <si>
    <t>· 관절 이상 (M열): 없으면 비워둔다. 있을 때만 부위와 0~10 (예: 무릎 3).</t>
  </si>
  <si>
    <t>· 기억으로 소급해 채우지 말 것 — 없는 데이터보다 지어낸 데이터가 나쁘다. 모르는 주는 비워둔다.</t>
  </si>
  <si>
    <t>· 이 두 칸이 3주 쌓이기 전에는 볼륨을 올릴 근거가 없다. 검산표의 하한 미달은 근거가 아니다.</t>
  </si>
  <si>
    <t>9월 이후 — 현장 복귀 시 조정</t>
  </si>
  <si>
    <t>이 프로그램은 재택 = 생활 부하 0 전제. 현장 복귀 시 그대로 쓰면 과부하 — 다만 목표는 유지가 아니라 완만한 성장이다.</t>
  </si>
  <si>
    <t>부위 / 항목</t>
  </si>
  <si>
    <t>조정</t>
  </si>
  <si>
    <t>감축</t>
  </si>
  <si>
    <t>일이 하루 종일 채움 — 들고 · 당기고 · 버티는 동작 전부</t>
  </si>
  <si>
    <t>하체</t>
  </si>
  <si>
    <t>서 있기 · 걷기로 이미 볼륨 누적</t>
  </si>
  <si>
    <t>대폭 감축</t>
  </si>
  <si>
    <t>데드 주 1회 유지가 상한. 현장 일이 허리를 이미 소모시킴</t>
  </si>
  <si>
    <t>프레싱 (벤치 · 프레스)</t>
  </si>
  <si>
    <t>유지</t>
  </si>
  <si>
    <t>현장 일이 채워주지 않는 유일한 영역</t>
  </si>
  <si>
    <t>후면 삼각근 · 코어</t>
  </si>
  <si>
    <t>당기고 버티는 동작만으로는 안 채워짐</t>
  </si>
  <si>
    <t>주 6회 → 주 4회</t>
  </si>
  <si>
    <t>12시간 근무일과 그 다음날은 회피. 요일이 유동이라 토 · 일만 고정한다</t>
  </si>
  <si>
    <t>메인 리프트 배치</t>
  </si>
  <si>
    <t>12시간 근무일 회피</t>
  </si>
  <si>
    <t>허리가 안 돌아온 상태에서 치는 것이 가장 위험</t>
  </si>
  <si>
    <t>판단 기준</t>
  </si>
  <si>
    <t>다음 근무일 아침 허리 상태</t>
  </si>
  <si>
    <t>뻐근하면 그 주 무게가 과했던 것. 어떤 프로그램 표보다 정확</t>
  </si>
  <si>
    <t>· 같은 프로그램이라도 생활 부하에 따라 적정선이 움직인다.</t>
  </si>
  <si>
    <t>· 지금은 빠르게 쌓는 시기, 복귀 후는 느리게 쌓는 시기다. 멈추는 시기가 아니다.</t>
  </si>
  <si>
    <t>· 재택 기간에 근력 베이스를 만들어두면 복귀 후에는 좁은 자리(벤치 · 스쿼트)만 밀어도 3대가 올라간다.</t>
  </si>
  <si>
    <t>· 헬스보다 중요한 것: 일하는 중간의 움직임. 50분 앉으면 5분 일어나기, 하루 30분 걷기.</t>
  </si>
  <si>
    <t>· 헬스는 하루 1시간이고 앉아 있는 건 8시간 — 총량으로 보면 앉은 시간이 이긴다.</t>
  </si>
  <si>
    <t>→ 실제 요일 배치와 종목표는 '복귀_주간계획' 이하 4개 탭에 작성됨.</t>
  </si>
  <si>
    <t>9월 전 완충 구간 (v15 추가)</t>
  </si>
  <si>
    <t>· 재택 161세트 → 복귀 120세트 (75%). 유지 하한 밴드(54~80) 위에 두어 성장 여지를 남겼다.</t>
  </si>
  <si>
    <t>· 복귀 2~3주 전을 완충 구간으로 둘 것 — 주 4회 · 약 130세트로 한 단계 걸치고 내려간다.</t>
  </si>
  <si>
    <t>· 감축 순서: 팔 전용 → 전완 → 등 · 하체 보조 종목. 메인 리프트와 프레싱은 마지막까지 유지.</t>
  </si>
  <si>
    <t>· 완충 구간에서 중량은 내리지 않는다. 볼륨만 줄이고 강도를 유지해야 근력이 남는다.</t>
  </si>
  <si>
    <t>· 복귀_주간계획의 현재 수치: 161 → 120세트 · 주 296분. 주 4회 2분할 · 성장선 · 6~8주마다 디로드.</t>
  </si>
  <si>
    <t>요일</t>
  </si>
  <si>
    <t>토</t>
  </si>
  <si>
    <t>일</t>
  </si>
  <si>
    <t>월</t>
  </si>
  <si>
    <t>화</t>
  </si>
  <si>
    <t>수</t>
  </si>
  <si>
    <t>목</t>
  </si>
  <si>
    <t>금</t>
  </si>
  <si>
    <t>레그 프레스 (허리 부담 시 1순위) / 스미스 스쿼트 / 핵 스쿼트</t>
  </si>
  <si>
    <t>핵 스쿼트 / 45도 레그 프레스 / 스미스 스쿼트</t>
  </si>
  <si>
    <t>케이블 레터럴 레이즈 / 머신 레터럴</t>
  </si>
  <si>
    <t>리버스 펙덱</t>
  </si>
  <si>
    <t>와이드 스탠스 레그 프레스 / 케이블 어덕션</t>
  </si>
  <si>
    <t>135/145/155/165</t>
  </si>
  <si>
    <t>시티드 리스트 컬(손등 아래)</t>
  </si>
  <si>
    <t>150/170/190/210</t>
  </si>
  <si>
    <t>원암 케이블 레터럴 레이즈</t>
  </si>
  <si>
    <t>넥 익스텐션 (플레이트)</t>
  </si>
  <si>
    <t>넥 플렉션 (플레이트)</t>
  </si>
  <si>
    <t>데드리프트 백오프</t>
  </si>
  <si>
    <t>레그 프레스 (발 높게)</t>
  </si>
  <si>
    <t>← 1주차가 시작된 토요일. 주차는 토요일에 넘어간다(훈련 주가 토요일에 출발한다 · 2026-10-04). 주차는 세는 숫자일 뿐 중량과 무관하다</t>
    <phoneticPr fontId="29" type="noConversion"/>
  </si>
  <si>
    <t>← 아래 '기준 주차'가 시작된 토요일</t>
    <phoneticPr fontId="29" type="noConversion"/>
  </si>
  <si>
    <t>· [2026-10-04 사용자 지정] 10/3(토)에 출발한 이번 훈련 주를 11주차로 정했다 — 표시와 중량 둘 다. 날짜로 세면 9주차였고 중량 표도 9주차 줄이었으니 두 칸을 건너뛴 것이다(스쿼트 70 → 75 · 데드 75 → 80 · 벤치 38 → 41 · 프레스 27 → 28). 같은 날 주차가 넘어가는 요일을 월요일 → 토요일로 바꿨다 — 그래서 시작일이 7/25(토)로 보인다. 지난 주들의 번호도 그에 맞춰 다시 매겨진다.</t>
  </si>
  <si>
    <t>날짜 (토요일)</t>
    <phoneticPr fontId="29" type="noConversion"/>
  </si>
  <si>
    <t>· [2026-10-04 사용자 지정] 오버헤드 프레스를 11주차 30kg으로 — 계획 28에서 두 칸 앞당겼다. 앱도 6주차 시작값에서 사다리를 걸어 중량을 내므로 11주차 칸 하나를 덮지 않고 D10을 26 → 27로 바꿔 11주차에 30이 나오게 했다(29는 못 끼우는 값이라 30). 격주 1kg은 그대로 — 12주차 31 · 14주차 32.</t>
  </si>
  <si>
    <t>규칙</t>
  </si>
  <si>
    <t>토 · 수 — 하체 웨이트 끝나고 바로</t>
  </si>
  <si>
    <t>힘든 날은 몰아서 힘들게. 하체 전날(화 · 금)은 피한다</t>
  </si>
  <si>
    <t>파머스 워크(덤벨) / 트랩바 캐리</t>
  </si>
  <si>
    <t>덤벨이 모자라면 트랩바에 원판 — 양손 72kg도 쉽게 만든다</t>
  </si>
  <si>
    <t>양</t>
  </si>
  <si>
    <t>트럭 → 현관 구간이 이 길이다</t>
  </si>
  <si>
    <t>시작</t>
  </si>
  <si>
    <t>한 손 24kg</t>
  </si>
  <si>
    <t>데드 80kg이라 드는 힘은 충분하고, 막히는 건 악력이다</t>
  </si>
  <si>
    <t>증량</t>
  </si>
  <si>
    <t>스트랩</t>
  </si>
  <si>
    <t>금지</t>
  </si>
  <si>
    <t>무겁게는 주 2회까지</t>
  </si>
  <si>
    <t>재검토 조건</t>
  </si>
  <si>
    <t>순서</t>
  </si>
  <si>
    <t>악력이 신선할 때 무거운 걸 먼저</t>
  </si>
  <si>
    <r>
      <t>한</t>
    </r>
    <r>
      <rPr>
        <b/>
        <sz val="10"/>
        <color rgb="FFFFFFFF"/>
        <rFont val="Calibri"/>
        <family val="2"/>
      </rPr>
      <t xml:space="preserve"> </t>
    </r>
    <r>
      <rPr>
        <b/>
        <sz val="10"/>
        <color rgb="FFFFFFFF"/>
        <rFont val="Calibri"/>
        <family val="2"/>
        <charset val="1"/>
      </rPr>
      <t>손</t>
    </r>
    <r>
      <rPr>
        <b/>
        <sz val="10"/>
        <color rgb="FFFFFFFF"/>
        <rFont val="Calibri"/>
        <family val="2"/>
      </rPr>
      <t xml:space="preserve"> </t>
    </r>
    <r>
      <rPr>
        <b/>
        <sz val="10"/>
        <color rgb="FFFFFFFF"/>
        <rFont val="Calibri"/>
        <family val="2"/>
        <charset val="1"/>
      </rPr>
      <t>목표</t>
    </r>
    <r>
      <rPr>
        <b/>
        <sz val="10"/>
        <color rgb="FFFFFFFF"/>
        <rFont val="Calibri"/>
        <family val="2"/>
      </rPr>
      <t>(kg)</t>
    </r>
  </si>
  <si>
    <r>
      <t>양손</t>
    </r>
    <r>
      <rPr>
        <b/>
        <sz val="10"/>
        <color rgb="FFFFFFFF"/>
        <rFont val="Calibri"/>
        <family val="2"/>
      </rPr>
      <t xml:space="preserve"> </t>
    </r>
    <r>
      <rPr>
        <b/>
        <sz val="10"/>
        <color rgb="FFFFFFFF"/>
        <rFont val="Calibri"/>
        <family val="2"/>
        <charset val="1"/>
      </rPr>
      <t>합계</t>
    </r>
    <r>
      <rPr>
        <b/>
        <sz val="10"/>
        <color rgb="FFFFFFFF"/>
        <rFont val="Calibri"/>
        <family val="2"/>
      </rPr>
      <t>(kg)</t>
    </r>
  </si>
  <si>
    <r>
      <t>실제</t>
    </r>
    <r>
      <rPr>
        <b/>
        <sz val="10"/>
        <color rgb="FFFFFFFF"/>
        <rFont val="Calibri"/>
        <family val="2"/>
      </rPr>
      <t xml:space="preserve"> </t>
    </r>
    <r>
      <rPr>
        <b/>
        <sz val="10"/>
        <color rgb="FFFFFFFF"/>
        <rFont val="Calibri"/>
        <family val="2"/>
        <charset val="1"/>
      </rPr>
      <t>한</t>
    </r>
    <r>
      <rPr>
        <b/>
        <sz val="10"/>
        <color rgb="FFFFFFFF"/>
        <rFont val="Calibri"/>
        <family val="2"/>
      </rPr>
      <t xml:space="preserve"> </t>
    </r>
    <r>
      <rPr>
        <b/>
        <sz val="10"/>
        <color rgb="FFFFFFFF"/>
        <rFont val="Calibri"/>
        <family val="2"/>
        <charset val="1"/>
      </rPr>
      <t>손</t>
    </r>
    <r>
      <rPr>
        <b/>
        <sz val="10"/>
        <color rgb="FFFFFFFF"/>
        <rFont val="Calibri"/>
        <family val="2"/>
      </rPr>
      <t>(kg)</t>
    </r>
  </si>
  <si>
    <r>
      <t>메모</t>
    </r>
    <r>
      <rPr>
        <b/>
        <sz val="10"/>
        <color rgb="FFFFFFFF"/>
        <rFont val="Calibri"/>
        <family val="2"/>
      </rPr>
      <t xml:space="preserve"> (</t>
    </r>
    <r>
      <rPr>
        <b/>
        <sz val="10"/>
        <color rgb="FFFFFFFF"/>
        <rFont val="Calibri"/>
        <family val="2"/>
        <charset val="1"/>
      </rPr>
      <t>놓침</t>
    </r>
    <r>
      <rPr>
        <b/>
        <sz val="10"/>
        <color rgb="FFFFFFFF"/>
        <rFont val="Calibri"/>
        <family val="2"/>
      </rPr>
      <t xml:space="preserve"> · </t>
    </r>
    <r>
      <rPr>
        <b/>
        <sz val="10"/>
        <color rgb="FFFFFFFF"/>
        <rFont val="Calibri"/>
        <family val="2"/>
        <charset val="1"/>
      </rPr>
      <t>통증</t>
    </r>
    <r>
      <rPr>
        <b/>
        <sz val="10"/>
        <color rgb="FFFFFFFF"/>
        <rFont val="Calibri"/>
        <family val="2"/>
      </rPr>
      <t>)</t>
    </r>
  </si>
  <si>
    <t>구분</t>
  </si>
  <si>
    <t>메인 (캐리 뒤)</t>
  </si>
  <si>
    <t>스쿼트 날 — 하체를 이미 쓴 날에 몰기</t>
  </si>
  <si>
    <t>짧게</t>
  </si>
  <si>
    <t>적응용</t>
  </si>
  <si>
    <t>다음 날 데드리프트</t>
  </si>
  <si>
    <t>데드 날 — 하체를 이미 쓴 날에 몰기</t>
  </si>
  <si>
    <t>없음 (휴식)</t>
  </si>
  <si>
    <t>다음 날 스쿼트</t>
  </si>
  <si>
    <t>화요일 24세트 (삼두 3 · 이두 3 · 전완 6 · 목 6 · 복근 6)</t>
    <phoneticPr fontId="29" type="noConversion"/>
  </si>
  <si>
    <t>통증이 나면 그날 증량 금지. 리스트컬은 2026-10-04에 굴근을 줄였다(전완 실질 24 → 20) — 더 줄이는 건 이 조건일 때만</t>
    <phoneticPr fontId="29" type="noConversion"/>
  </si>
  <si>
    <t>디로드 시작일</t>
    <phoneticPr fontId="29" type="noConversion"/>
  </si>
  <si>
    <t>· 계획한 디로드는 위 '디로드 시작일'에 적는다 — 그 주는 주차로 세지 않고 '디로드 주'로 표시되며, 주차 · 중량 · C4가 같이 멈춘다(2026-10-04 사용자 지정). C4는 디로드 주에 그대로 두고 다음 주에 평소처럼 올린다. 계획 밖에 통째로 쉰 주만 앱 달력에서 '한 주 미루기'를 누른다 — 중량만 한 주 늦게 올라가고 주차 표시는 그대로다.</t>
    <phoneticPr fontId="29" type="noConversion"/>
  </si>
  <si>
    <t>· 디로드 주는 주차로 세지 않는다 — 시작중량_설정 '디로드 시작일'에 적어 두면 앱이 그 주를 '디로드 주'로만 표시하고 주차 · 중량 · C4를 같이 멈춘다. 세트는 위 규칙대로 절반으로 보인다(메인은 내림 · 보조는 반올림 · 데드는 0). 그 주는 증량 기록을 적지 않는다.</t>
    <phoneticPr fontId="29" type="noConversion"/>
  </si>
  <si>
    <t>디로드 간격(주)</t>
  </si>
  <si>
    <t>← 증량 6주 + 디로드 1주 = 7(사용자 지정 2026-10-04). 위 시작일 중 마지막 날짜부터 이 간격으로 앱이 디로드를 계속 만든다 — 10/17 · 12/5 · 1/23 · 3/13 … 스쿼트가 2주 연속 막혀 앞당기면 그 토요일을 위 칸에 쉼표로 추가한다(그 뒤는 거기서 다시 7주). 0이면 반복 안 함</t>
  </si>
  <si>
    <t>← 디로드 주가 시작되는 토요일(여럿이면 텍스트로 2026-10-17, 2026-12-05). 그 주는 주차로 세지 않고 디로드 주로만 표시된다 — 주차 · 중량 · C4가 전부 그 주에 멈추고, 앱이 세트를 절반으로 보여 준다. 미루기는 누르지 않는다. 다음 디로드부터는 아래 간격으로 자동</t>
    <phoneticPr fontId="29" type="noConversion"/>
  </si>
  <si>
    <t>· 기본은 증량 6주 + 디로드 1주(7주 덩어리)다 — 시작중량_설정 '디로드 간격(주)' = 7로 앱이 자동 반복한다(2026-10-04 사용자 지정: 10/17 · 12/5 · 1/23 · 3/13 …). 토요일 스쿼트가 2주 연속 안 오르면 그 시점에 앞당기고, 그 토요일을 '디로드 시작일'에 추가한다.</t>
    <phoneticPr fontId="29" type="noConversion"/>
  </si>
  <si>
    <t>· 높이: 실제 계단 한 칸(17~18cm)에 맞춘다 — 발판에 받침 1단이면 대개 이 높이다. 높이 올리기는 시간 · 무게 다음의 마지막 수단이고, 무릎이 90°보다 깊게 굽는 높이는 쓰지 않는다.</t>
  </si>
  <si>
    <t>· 동작: 올라-올라-내려-내려가 1회, 분당 20회 안팎. 발 전체를 판 위에 올리고(뒤꿈치가 걸치지 않게) 올라간 다리로 밀어 선다 — 뒷발로 튕기지 않는다.</t>
  </si>
  <si>
    <t>· 리드 다리: 1분마다(또는 20회마다) 바꾼다. 한쪽만 먼저 올리면 그 다리만 지친다.</t>
  </si>
  <si>
    <t>· 안전: 내려설 때는 발판 바로 뒤에 — 멀리 내리면 뒤로 넘어진다. 발판이 매트 위에서 밀리지 않는지 먼저 확인한다. 덤벨이 미끄러지거나 다리가 휘청이면 시간을 못 채워도 바로 끊는다.</t>
  </si>
  <si>
    <t>· 내려오는 동작을 천천히 — 배달에서 계단 내려올 때 브레이크를 거는 힘(허벅지 앞 신장성)이 여기서 길러진다. 기계 계단에는 없던 부분이다.</t>
  </si>
  <si>
    <t>이 연습의 목적이 악력이다 (스텝박스에서는 허용)</t>
    <phoneticPr fontId="29" type="noConversion"/>
  </si>
  <si>
    <t>악력을 매일 무겁게 쓰면 회복이 안 돼 오히려 안 오른다. 나머지 날은 복귀_스텝박스로 채운다</t>
    <phoneticPr fontId="29" type="noConversion"/>
  </si>
  <si>
    <t>캐리 → 스텝박스(짧게)</t>
    <phoneticPr fontId="29" type="noConversion"/>
  </si>
  <si>
    <t>캐리 — 무겁게 들고 걷기 (생수배송 대비 · 2026-10-04 신설 · 2026-10-05 회차마다 증량으로 당김)</t>
    <phoneticPr fontId="29" type="noConversion"/>
  </si>
  <si>
    <t>막힘 없으면 디로드 한 주 포함 4주 만에 36kg(10/31 토). 2026-10-05 주 1회 → 회차마다로 당겼다(사용자 결정, 원래 11/21). 이보다 빠르게는 안 올린다 — 팔꿈치 힘줄이 근육보다 늦게 적응한다</t>
    <phoneticPr fontId="29" type="noConversion"/>
  </si>
  <si>
    <t>같은 무게 3회 연속 놓침 · 팔꿈치 안쪽/바깥쪽 통증</t>
    <phoneticPr fontId="29" type="noConversion"/>
  </si>
  <si>
    <t>진행표 (회차 = 캐리 하는 날 · 토와 수)</t>
    <phoneticPr fontId="29" type="noConversion"/>
  </si>
  <si>
    <t>회차</t>
    <phoneticPr fontId="29" type="noConversion"/>
  </si>
  <si>
    <t>날짜</t>
    <phoneticPr fontId="29" type="noConversion"/>
  </si>
  <si>
    <t>진행표 — 메인 날(토 · 수)마다 한 칸, 짧은 날(일 · 월 · 목)은 바로 앞 칸의 짧은 날 값 · 휴식은 전부 60초</t>
  </si>
  <si>
    <t>회차</t>
  </si>
  <si>
    <t>메인 한 손(kg)</t>
  </si>
  <si>
    <t>메인 분</t>
  </si>
  <si>
    <t>메인 세트</t>
  </si>
  <si>
    <t>짧은 날 한 손(kg)</t>
  </si>
  <si>
    <t>짧은 날 분</t>
  </si>
  <si>
    <t>짧은 날 세트</t>
  </si>
  <si>
    <t>· 배달 일이 시작되면 실제 일(몇 층 · 몇 팩 · 한 번에 몇 분)과 비교해 이 표를 다시 본다.</t>
  </si>
  <si>
    <t>스텝박스 오르내리기 + 덤벨 (생수배송 대비 · 2026-10-04 신설 · 10-05 천국의 계단 → 스텝박스 · 10-05 일 시작(11월 중순 ~ 12월 초)에 맞춰 메인 날마다 +2kg)</t>
    <phoneticPr fontId="29" type="noConversion"/>
  </si>
  <si>
    <t>짧은 날 손</t>
  </si>
  <si>
    <t>· 메인 날(토 · 수 — 캐리 뒤)은 맨손. 시간은 2분 × 2로 고정하고 한 칸마다 +2kg. 36kg에 닿으면 그때부터 시간을 3 → 4 → 5분으로 늘린다. 시간과 무게를 한 번에 둘 다 올리지 않는다.</t>
  </si>
  <si>
    <t>· 메인 날 맨손으로 미끄러지기 시작하면 스트랩을 차고 시간만 채운다 — 그 세트는 맨손 기록으로 치지 않는다.</t>
  </si>
  <si>
    <t>· 표는 날짜로 간다. 칸을 못 채웠으면(내려놓음 · 스트랩) 다음 메인 날 그 칸을 한 번 더 하고, 팔꿈치 바깥쪽 통증이 4/10을 넘는 날은 무게를 올리지 않는다.</t>
  </si>
  <si>
    <t>· 현실 점검: 막힘 없이 가면 11/18 36kg × 2분이지만, 손이 먼저 막혀 26~30kg 근처에서 같은 칸을 몇 번 반복하는 게 흔하다. 12월 초 30kg 이상 × 2분이면 일을 시작해도 된다 — 캐리 표대로면 36kg × 40초는 10/31에 이미 된다.</t>
  </si>
  <si>
    <t>· 짧은 날(일 · 월 · 목)은 바로 앞 메인과 같은 무게 · 스트랩 착용 · 시간은 3분 × 2(~10/23, 디로드 주 포함) → 4분 × 2(10/24~) → 5분 × 2(10/31~ 고정). 다리와 숨은 메인만큼 힘들게, 손과 팔꿈치(바깥쪽 신근)는 쉬게 — 맨손으로 무겁게 쥐는 날은 주 2회(토 · 수)로 지킨다. 스트랩이라 무게와 시간이 같이 올라도 된다 — '둘 다 한 번에 올리지 않는다'는 손을 지키는 규칙이다(2026-10-05 사용자 결정).</t>
    <phoneticPr fontId="29" type="noConversion"/>
  </si>
  <si>
    <t>아침에 일어나서 한 번, 저녁 먹고 산책 뒤 한 번. 실제 배달처럼 한쪽 3팩 — 2 · 3번 팩 손잡이에 푸쉬업바를 끼워 손에 들고, 1번 팩은 옆구리와 2번 팩 위에 걸친다. 1번 무게가 일부 손으로 내려와 손 하중은 한쪽 30~36kg이다. 푸쉬업바에 스트랩을 감는다. 세트 카운트 · 세트검산에는 넣지 않는다.</t>
  </si>
  <si>
    <t>시작일</t>
  </si>
  <si>
    <t>한쪽</t>
  </si>
  <si>
    <t>아침</t>
  </si>
  <si>
    <t>저녁</t>
  </si>
  <si>
    <t>바에 2팩(24kg) · 1번 팩 없이 · 스트랩</t>
  </si>
  <si>
    <t>토 · 일 · 월 · 수 · 목</t>
  </si>
  <si>
    <t>지하 1층 → 7층 1~2왕복</t>
  </si>
  <si>
    <t>3팩(6팩 전부 · 손 30~36kg) · 스트랩</t>
  </si>
  <si>
    <t>일 · 월 · 목</t>
  </si>
  <si>
    <t>· 스트랩은 푸쉬업바에 감는다 — 손은 쉬고 다리 · 숨 · 어깨만 쓴다. 맨손으로 무겁게 쥐는 건 헬스장 메인 날(토 · 수)뿐이다. 손 하중이 30kg을 넘으니 하루 2번 맨손이면 팔꿈치가 못 버틴다.</t>
  </si>
  <si>
    <t>· 메인 날(토 · 수) 저녁은 쉰다 — 헬스장에서 맨손 캐리 + 스텝박스로 손을 이미 다 썼다.</t>
  </si>
  <si>
    <t>· 화 · 금은 아침 · 저녁 다 쉰다 — 다음 날 데드 · 스쿼트다.</t>
  </si>
  <si>
    <t>· 1번 팩 없이 한 주 먼저 — 옆구리에 끼우는 힘(팔을 몸통에 붙여 조이기)은 처음 쓰는 부담이라 한 단계씩. 저녁 추가는 6팩에 익숙해진 뒤(10/24~).</t>
  </si>
  <si>
    <t>· 6팩 처음 들기 전: 평지에서 들고 30초 서서 흔들어 본다. 바가 휘거나 손잡이가 헛돌면 쓰지 않는다 — 계단에서 부러지면 생수와 같이 넘어진다.</t>
  </si>
  <si>
    <t>· 자세: 어깨를 으쓱 올리지 말고 내린 채로 걷는다. 몸이 한쪽으로 기울거나 허리가 비틀리면 그날은 거기서 끝.</t>
  </si>
  <si>
    <t>· 계단 손잡이를 못 잡으니 내려올 때 천천히, 발 디딜 곳을 보면서.</t>
  </si>
  <si>
    <t>· 디로드 주(10/17 ~ 10/23)는 왕복 1번만.</t>
  </si>
  <si>
    <t>· 먼저 빼는 신호: 팔꿈치 바깥쪽 통증 4/10 초과 · 아침에 허리나 무릎이 뻐근함 · 스쿼트나 데드 무게가 떨어짐 → 집부터 줄인다(저녁 → 아침 순). 헬스장 표가 우선이다.</t>
  </si>
  <si>
    <r>
      <rPr>
        <b/>
        <sz val="14"/>
        <color theme="1"/>
        <rFont val="Calibri"/>
        <family val="2"/>
        <charset val="1"/>
      </rPr>
      <t>집</t>
    </r>
    <r>
      <rPr>
        <b/>
        <sz val="14"/>
        <color theme="1"/>
        <rFont val="Calibri"/>
        <family val="2"/>
      </rPr>
      <t xml:space="preserve"> — </t>
    </r>
    <r>
      <rPr>
        <b/>
        <sz val="14"/>
        <color theme="1"/>
        <rFont val="Calibri"/>
        <family val="2"/>
        <charset val="1"/>
      </rPr>
      <t>진짜</t>
    </r>
    <r>
      <rPr>
        <b/>
        <sz val="14"/>
        <color theme="1"/>
        <rFont val="Calibri"/>
        <family val="2"/>
      </rPr>
      <t xml:space="preserve"> </t>
    </r>
    <r>
      <rPr>
        <b/>
        <sz val="14"/>
        <color theme="1"/>
        <rFont val="Calibri"/>
        <family val="2"/>
        <charset val="1"/>
      </rPr>
      <t>생수팩</t>
    </r>
    <r>
      <rPr>
        <b/>
        <sz val="14"/>
        <color theme="1"/>
        <rFont val="Calibri"/>
        <family val="2"/>
      </rPr>
      <t xml:space="preserve"> + </t>
    </r>
    <r>
      <rPr>
        <b/>
        <sz val="14"/>
        <color theme="1"/>
        <rFont val="Calibri"/>
        <family val="2"/>
        <charset val="1"/>
      </rPr>
      <t>아파트</t>
    </r>
    <r>
      <rPr>
        <b/>
        <sz val="14"/>
        <color theme="1"/>
        <rFont val="Calibri"/>
        <family val="2"/>
      </rPr>
      <t xml:space="preserve"> </t>
    </r>
    <r>
      <rPr>
        <b/>
        <sz val="14"/>
        <color theme="1"/>
        <rFont val="Calibri"/>
        <family val="2"/>
        <charset val="1"/>
      </rPr>
      <t>계단</t>
    </r>
    <r>
      <rPr>
        <b/>
        <sz val="14"/>
        <color theme="1"/>
        <rFont val="Calibri"/>
        <family val="2"/>
      </rPr>
      <t xml:space="preserve"> (</t>
    </r>
    <r>
      <rPr>
        <b/>
        <sz val="14"/>
        <color theme="1"/>
        <rFont val="Calibri"/>
        <family val="2"/>
        <charset val="1"/>
      </rPr>
      <t>생수배송</t>
    </r>
    <r>
      <rPr>
        <b/>
        <sz val="14"/>
        <color theme="1"/>
        <rFont val="Calibri"/>
        <family val="2"/>
      </rPr>
      <t xml:space="preserve"> </t>
    </r>
    <r>
      <rPr>
        <b/>
        <sz val="14"/>
        <color theme="1"/>
        <rFont val="Calibri"/>
        <family val="2"/>
        <charset val="1"/>
      </rPr>
      <t>대비</t>
    </r>
    <r>
      <rPr>
        <b/>
        <sz val="14"/>
        <color theme="1"/>
        <rFont val="Calibri"/>
        <family val="2"/>
      </rPr>
      <t xml:space="preserve"> · 2026-10-05 </t>
    </r>
    <r>
      <rPr>
        <b/>
        <sz val="14"/>
        <color theme="1"/>
        <rFont val="Calibri"/>
        <family val="2"/>
        <charset val="1"/>
      </rPr>
      <t>신설</t>
    </r>
    <r>
      <rPr>
        <b/>
        <sz val="14"/>
        <color theme="1"/>
        <rFont val="Calibri"/>
        <family val="2"/>
      </rPr>
      <t xml:space="preserve">, </t>
    </r>
    <r>
      <rPr>
        <b/>
        <sz val="14"/>
        <color theme="1"/>
        <rFont val="Calibri"/>
        <family val="2"/>
        <charset val="1"/>
      </rPr>
      <t>사용자</t>
    </r>
    <r>
      <rPr>
        <b/>
        <sz val="14"/>
        <color theme="1"/>
        <rFont val="Calibri"/>
        <family val="2"/>
      </rPr>
      <t xml:space="preserve"> </t>
    </r>
    <r>
      <rPr>
        <b/>
        <sz val="14"/>
        <color theme="1"/>
        <rFont val="Calibri"/>
        <family val="2"/>
        <charset val="1"/>
      </rPr>
      <t>제안</t>
    </r>
    <r>
      <rPr>
        <b/>
        <sz val="14"/>
        <color theme="1"/>
        <rFont val="Calibri"/>
        <family val="2"/>
      </rPr>
      <t>)</t>
    </r>
  </si>
  <si>
    <r>
      <t>단계</t>
    </r>
    <r>
      <rPr>
        <b/>
        <sz val="11"/>
        <color theme="1"/>
        <rFont val="Calibri"/>
        <family val="2"/>
      </rPr>
      <t xml:space="preserve"> (</t>
    </r>
    <r>
      <rPr>
        <b/>
        <sz val="11"/>
        <color theme="1"/>
        <rFont val="Calibri"/>
        <family val="2"/>
        <charset val="1"/>
      </rPr>
      <t>시작일부터</t>
    </r>
    <r>
      <rPr>
        <b/>
        <sz val="11"/>
        <color theme="1"/>
        <rFont val="Calibri"/>
        <family val="2"/>
      </rPr>
      <t xml:space="preserve"> </t>
    </r>
    <r>
      <rPr>
        <b/>
        <sz val="11"/>
        <color theme="1"/>
        <rFont val="Calibri"/>
        <family val="2"/>
        <charset val="1"/>
      </rPr>
      <t>다음</t>
    </r>
    <r>
      <rPr>
        <b/>
        <sz val="11"/>
        <color theme="1"/>
        <rFont val="Calibri"/>
        <family val="2"/>
      </rPr>
      <t xml:space="preserve"> </t>
    </r>
    <r>
      <rPr>
        <b/>
        <sz val="11"/>
        <color theme="1"/>
        <rFont val="Calibri"/>
        <family val="2"/>
        <charset val="1"/>
      </rPr>
      <t>줄</t>
    </r>
    <r>
      <rPr>
        <b/>
        <sz val="11"/>
        <color theme="1"/>
        <rFont val="Calibri"/>
        <family val="2"/>
      </rPr>
      <t xml:space="preserve"> </t>
    </r>
    <r>
      <rPr>
        <b/>
        <sz val="11"/>
        <color theme="1"/>
        <rFont val="Calibri"/>
        <family val="2"/>
        <charset val="1"/>
      </rPr>
      <t>전날까지</t>
    </r>
    <r>
      <rPr>
        <b/>
        <sz val="11"/>
        <color theme="1"/>
        <rFont val="Calibri"/>
        <family val="2"/>
      </rPr>
      <t>)</t>
    </r>
  </si>
  <si>
    <t>해머 컬</t>
  </si>
  <si>
    <t>220세트</t>
    <phoneticPr fontId="29" type="noConversion"/>
  </si>
  <si>
    <t>주 4회 140에서 올렸다. 유지선은 75. 현장 일 보정이 사라진 자리들 + 2026-10-02 사용자 추가 여섯(원 레그 컬 · 발 높은 레그 프레스 · 수요일 이너/아우터 · 페이스풀 · 전완 슈퍼세트 주 3회 · 백 익스텐션 주 2회) · 2026-10-04 월요일 측면 +4 · 후면 +2 · 2026-10-05 후면 +2 · 이두 +1 · 2026-10-06 측면 +5(토 · 수 레터럴을 세션당 6까지) · 후면 +2(토 리버스 펙덱 4 → 6) · 이두 +3(화 해머 컬)</t>
    <phoneticPr fontId="29" type="noConversion"/>
  </si>
  <si>
    <t>· 3순위 — 레그 익스텐션 3 · 카프 2종 중 하나 3 · 라잉 레그 레이즈 3. 고립이라 메인 리프트 진행에 영향이 없다. 레그 익스텐션은 수요일 레그 프레스가 사두에 간접을 얹어 줘 값이 가장 싸졌고, 화요일 케이블 힙 외전 3은 같은 날 아우터 타이 4가 같은 근육을 맡으므로 그다음이다.</t>
    <phoneticPr fontId="29" type="noConversion"/>
  </si>
  <si>
    <t>· [2026-10-07 사용자 요청] 수요일 프레스를 스미스 오버헤드 프레스 → 시티드 바벨 밀리터리 프레스로 바꿔 D10을 27 → 25로 내렸다 — 12주차 31 → 28(약 90%). 스미스는 궤도를 기계가 잡아 주고 기계에 따라 바 무게도 달라 같은 숫자가 프리웨이트로 옮겨 오지 않는다. 첫 세션에 5회 후 1~2회 남는지 보고, 3회 이상 남으면 앱에서 올린다.</t>
  </si>
  <si>
    <t>팔 주간 세트는 삼두 9 · 이두 9이고 셋으로 나뉘어 있다(일 · 화 · 목 각 3). 화요일이 유일하게 '전용'인 것은 전완 · 목이다(복근은 2026-10-10 월요일로)</t>
    <phoneticPr fontId="29" type="noConversion"/>
  </si>
  <si>
    <t>· 넣은 곳 — 스쿼트 · 벤치 · 시티드 바벨 밀리터리 프레스 · 딥스 · 친업 · 인클라인 덤벨 로우. 데드 톱세트는 1세트라 세트 간 휴식이 없다.</t>
    <phoneticPr fontId="29" type="noConversion"/>
  </si>
  <si>
    <t>복귀 중 익힌 구성이고 6일 연속에서는 안정화 부담이 적은 쪽이 남는다. 바벨 로우는 스미스로 둔 채다(2026-10-11 인클라인 덤벨 로우로 바꿨다 — 가슴 지지)</t>
    <phoneticPr fontId="29" type="noConversion"/>
  </si>
  <si>
    <t>8회 × 3세트</t>
    <phoneticPr fontId="29" type="noConversion"/>
  </si>
  <si>
    <t>· [2026-10-21 사용자 결정] 시티드 바벨 밀리터리를 3×5 → 3×8로. 10/21 27kg × 16회 — 5회 기준으로 너무 가벼웠다. 추정 1RM 약 41 → 8회 약 32. D10 25 → 28로 12주차(10/28) 32 · 14주차 33(격주 1kg 그대로). F10 · 수요일 램프 B18 · 종목표 F33 · 앱 메인 카드가 같이 8회다.</t>
  </si>
  <si>
    <t>스쿼트 5×5 · 벤치 4×8 · 오버헤드 3×8 · 데드 톱1+백오프2</t>
    <phoneticPr fontId="29" type="noConversion"/>
  </si>
  <si>
    <t>· 메인 리프트는 세트만 줄인다 — 스쿼트 5×5 → 2×5 · 벤치 4×8 → 2×8 · 오버헤드 3×8 → 1×8 · 데드는 건너뛴다.</t>
    <phoneticPr fontId="29" type="noConversion"/>
  </si>
  <si>
    <t>인클라인 덤벨 프로트랙션</t>
  </si>
  <si>
    <t>해머 스트랭스 로우</t>
  </si>
  <si>
    <t>10회 × 3세트</t>
  </si>
  <si>
    <t>시작 주차</t>
  </si>
  <si>
    <t>해머 스트랭스 로우 주당 증량 (kg)</t>
  </si>
  <si>
    <t>매주 +1 → 평균 주 1.25kg. 원판식 기구 · 13주차 60kg에서 출발 (2026-10-23 사용자 결정)</t>
  </si>
  <si>
    <t>인클라인 벤치프레스 머신 주당 증량 (kg)</t>
  </si>
  <si>
    <t>매주 +1 · 13주차 42kg에서 출발. 2주 연속 미달이면 선형 중단 → 8~10 더블 프로그레션 (2026-10-23)</t>
  </si>
  <si>
    <t>해머 로우 목표</t>
    <phoneticPr fontId="29" type="noConversion"/>
  </si>
  <si>
    <t>미달 시 반복수</t>
    <phoneticPr fontId="29" type="noConversion"/>
  </si>
  <si>
    <t>인클라인 머신 목표</t>
    <phoneticPr fontId="29" type="noConversion"/>
  </si>
  <si>
    <t>· [2026-10-23 사용자 결정] 해머 스트랭스 로우 4×8 · 인클라인 벤치프레스 머신 3×10을 매주 +1kg 선형으로 — 둘 다 원판식이라 1kg 격자가 맞는다. D11 · D12는 6주차가 아니라 13주차(10/24 주) 중량이다. 미달 기록은 증량기록 O · Q열. 인클라인 머신은 2주 연속 미달이면 선형을 멈추고 8~10 더블 프로그레션으로 돌아간다 — 벤치 바로 뒤라 벤치 피로인지 정체인지 구분이 안 되기 때문이다. 앱에는 메인 카드 없이 종목표 그 줄의 중량만 주차를 따라간다.</t>
  </si>
  <si>
    <t>10회 × 4세트</t>
  </si>
  <si>
    <t>레그 프레스 주당 증량 (kg)</t>
  </si>
  <si>
    <t>매주 +2 · 13주차 160kg에서 출발 (2026-10-23 사용자 결정)</t>
  </si>
  <si>
    <t>레그 프레스 목표</t>
    <phoneticPr fontId="29" type="noConversion"/>
  </si>
  <si>
    <t>레그 프레스 (발 높게) 주당 증량 (kg)</t>
  </si>
  <si>
    <t>2주마다 +2 · 13주차 140kg에서 출발 (2026-10-23 사용자 결정)</t>
  </si>
  <si>
    <t>레그 프레스 발 높게 목표</t>
    <phoneticPr fontId="29" type="noConversion"/>
  </si>
  <si>
    <t>루마니안 데드리프트 주당 증량 (kg)</t>
  </si>
  <si>
    <t>2주마다 +1 · 13주차 50kg에서 출발 (2026-10-23 사용자 결정)</t>
  </si>
  <si>
    <t>루마니안 목표</t>
    <phoneticPr fontId="29" type="noConversion"/>
  </si>
  <si>
    <t>12회 × 4세트</t>
  </si>
  <si>
    <t>힙 쓰러스트 주당 증량 (kg)</t>
  </si>
  <si>
    <t>2주마다 +1 · 13주차 25kg에서 출발 (2026-10-23 사용자 결정)</t>
  </si>
  <si>
    <t>힙 쓰러스트 목표</t>
    <phoneticPr fontId="29" type="noConversion"/>
  </si>
  <si>
    <t>15회 × 3세트</t>
  </si>
  <si>
    <t>오버헤드 슈러그(스미스) 주당 증량 (kg)</t>
  </si>
  <si>
    <t>3주마다 +1 · 13주차 25kg에서 출발 · 원판만 센 무게(봉 제외) (2026-10-23 사용자 결정)</t>
  </si>
  <si>
    <t>오버헤드 슈러그 목표</t>
    <phoneticPr fontId="29" type="noConversion"/>
  </si>
  <si>
    <t>해머 스트랭스 스캡 슈러그(중립 그립)</t>
  </si>
  <si>
    <t>해머 스트랭스 스캡 슈러그(중립 그립) 주당 증량 (kg)</t>
  </si>
  <si>
    <t>2주마다 +1 · 13주차 50kg에서 출발 · 원판만 센 무게(봉 제외) (2026-10-23 사용자 결정)</t>
  </si>
  <si>
    <t>스캡 슈러그 목표</t>
    <phoneticPr fontId="29" type="noConversion"/>
  </si>
  <si>
    <t>15회 × 4세트</t>
  </si>
  <si>
    <t>스미스 프로트랙션 주당 증량 (kg)</t>
  </si>
  <si>
    <t>프로트랙션 목표</t>
    <phoneticPr fontId="29" type="noConversion"/>
  </si>
  <si>
    <t>· [2026-10-23 사용자 결정 · 둘째 묶음] 13~19행 일곱 종목도 선형으로 — 주기는 종목마다(증량기록 E열 · 1~3주). D열은 13주차 중량이다. 스미스 · 머신은 원판만 센 무게(봉 무게를 몰라도 '5로 나눈 나머지 4' 규칙이 맞는다). 공통 규칙: 2주 연속 미달이면 그 종목만 선형을 멈추고 범위 방식으로 돌아간다. 라잉 트라이셉스 · 리버스컬은 고정 EZ바라 보류 — 원판 EZ바로 바꾸고 원판 무게가 정해지면 넣는다.</t>
  </si>
  <si>
    <t>라잉 트라이셉스 익스텐션 주당 증량 (kg)</t>
  </si>
  <si>
    <t>3주마다 +1 · 13주차 15kg에서 출발 · EZ바 봉 포함 총무게 (2026-10-23 사용자 결정)</t>
  </si>
  <si>
    <t>라잉 트라이셉스 목표</t>
    <phoneticPr fontId="29" type="noConversion"/>
  </si>
  <si>
    <t>12회 × 3세트</t>
  </si>
  <si>
    <t>리버스컬 주당 증량 (kg)</t>
  </si>
  <si>
    <t>리버스컬 목표</t>
    <phoneticPr fontId="29" type="noConversion"/>
  </si>
  <si>
    <t>인클라인 벤치프레스(바벨)</t>
  </si>
  <si>
    <t>8회 × 3세트</t>
  </si>
  <si>
    <t>인클라인 벤치프레스(바벨) 주당 증량 (kg)</t>
  </si>
  <si>
    <t>매주 +1 · 13주차 40kg에서 출발 · 봉 20 포함 총무게 · 벤치와 같은 방식 (2026-10-23 사용자 결정)</t>
  </si>
  <si>
    <t>인클라인 바벨 목표</t>
    <phoneticPr fontId="29" type="noConversion"/>
  </si>
  <si>
    <t>· [2026-10-23 사용자 결정 · 셋째 묶음] 라잉 트라이셉스 4×10 · 리버스컬 3×12 — 봉만 있는 EZ바 + 원판으로 바꿔 3주마다 +1kg(D20 · D21은 봉 포함 총무게 · 지금 고정 바와 같은 15). 위 '보류' 줄은 이것으로 끝났다. 목 인클라인 벤치프레스(바벨) 3×8 매주 +1kg — 벤치처럼 바로(사용자 요청 · D22 = 봉 20 + 한쪽 10).</t>
  </si>
  <si>
    <t>15~20</t>
  </si>
  <si>
    <t>하이로우 머신(언더그립)</t>
  </si>
  <si>
    <t>걷기(초)</t>
    <phoneticPr fontId="29" type="noConversion"/>
  </si>
  <si>
    <t>목표 32 → 헬스장에 32 덤벨 없음 · 30으로 함</t>
  </si>
  <si>
    <t>목표: 한 손 35kg(헬스장 덤벨 칸 · 2L 6병 묶음 3팩 = 손에 30~36kg)을 손에서 놓치지 않고 컨트롤한다. 세트 카운트 · 세트검산에는 넣지 않는다.</t>
    <phoneticPr fontId="29" type="noConversion"/>
  </si>
  <si>
    <t>걷기 × 4(시간은 진행표 G열 · 보통 40초), 휴식 120초</t>
    <phoneticPr fontId="29" type="noConversion"/>
  </si>
  <si>
    <t>· 디로드 주(10/17 토 · 10/21 수) 줄은 직전 칸 그대로 — 웨이트 · 캐리와 같이 멈춘다. 표는 12/2에서 끝난다 — 다음 디로드(12/5 주) 즈음이면 배달 일이 이 표를 대신한다. [2026-10-25] 덤벨이 30 다음 35라 32 · 34 · 36 칸을 없앴다 — 11/11 35 × 1분 → 11/14 1.5분 → 11/18 2분(일 시작 기준 날짜 그대로) → 3 · 4 · 5분. 짧은 날(스트랩)은 11/11만 30, 11/14부터 35.</t>
    <phoneticPr fontId="29" type="noConversion"/>
  </si>
  <si>
    <t>일 시작 기준: 한 손 35kg 맨손 × 2분 연속(지하 1층 → 7층 한 번) — 표대로면 11/18(수). 최종 목표 5분 연속은 11/28 칸에 있지만 못 채우면 일을 하면서 채운다. 세트 카운트 · 세트검산에는 넣지 않는다.</t>
    <phoneticPr fontId="29" type="noConversion"/>
  </si>
  <si>
    <t>· 5 · 6회차(10/17 토 · 10/21 수)는 디로드 주라 30kg 그대로 — 웨이트와 같이 한 주 멈추고, 앱에는 회차 대신 디로드로 뜬다. 디로드 날짜가 바뀌면 멈추는 줄도 같이 옮긴다. 다음 디로드는 12/5 주 — 그 전에 줄을 이어 붙인다. 놓친 회차는 같은 무게를 한 번 더 들고, 표는 날짜대로 간다(앱도 날짜로 고른다). [2026-10-25] 헬스장 덤벨이 30 · 35 · 40뿐이라 32 · 34 · 36 칸이 없다 — 덤벨로 하기로(사용자). 30에서 35는 +17%라 30에서 시간을 먼저 늘리고(사용자 요청 — 30으로 조금 더 준비) 35로 넘어가며 시간을 다시 쪼갠다: 10/28 30 × 50초 → 10/31 30 × 60초 → 11/4 35 × 20초 → 11/7 30초 → 11/11부터 40초 = 목표 도달 (배달 손 하중 30~36kg이라 35면 채운 것). 35 첫날 놓치면 30 × 60초로 한 번 돌아갔다가 다시 간다.</t>
    <phoneticPr fontId="29" type="noConversion"/>
  </si>
  <si>
    <t>4번 다 안 놓치면 다음 회차(토 → 수 → 토 …) — 30까지는 한 손 +2kg, 30에서 50 → 60초로 늘린 뒤 35(덤벨 칸)로: 20 → 30 → 40초</t>
    <phoneticPr fontId="29" type="noConversion"/>
  </si>
  <si>
    <t>스미스 프로트랙션 (2026-10-26 중단 — 월 체스트 프레스 머신 프로트랙션 범위 방식)</t>
    <phoneticPr fontId="29" type="noConversion"/>
  </si>
  <si>
    <t>2주마다 +1 · 13주차 0kg에서 출발 · 원판만 센 무게(봉 제외) (2026-10-23 사용자 결정) · [2026-10-26 중단 — 월요일 체스트 프레스 머신 프로트랙션으로 교체 · 토요일과 같은 범위 + 핀 방식 (사용자 결정)]</t>
    <phoneticPr fontId="29" type="noConversion"/>
  </si>
  <si>
    <r>
      <rPr>
        <b/>
        <sz val="14"/>
        <color theme="1"/>
        <rFont val="Calibri"/>
        <family val="2"/>
        <charset val="1"/>
      </rPr>
      <t>월요일</t>
    </r>
    <r>
      <rPr>
        <b/>
        <sz val="14"/>
        <color theme="1"/>
        <rFont val="Calibri"/>
        <family val="2"/>
      </rPr>
      <t xml:space="preserve"> — </t>
    </r>
    <r>
      <rPr>
        <b/>
        <sz val="14"/>
        <color theme="1"/>
        <rFont val="Calibri"/>
        <family val="2"/>
        <charset val="1"/>
      </rPr>
      <t>하체</t>
    </r>
    <r>
      <rPr>
        <b/>
        <sz val="14"/>
        <color theme="1"/>
        <rFont val="Calibri"/>
        <family val="2"/>
      </rPr>
      <t xml:space="preserve"> A (</t>
    </r>
    <r>
      <rPr>
        <b/>
        <sz val="14"/>
        <color theme="1"/>
        <rFont val="Calibri"/>
        <family val="2"/>
        <charset val="1"/>
      </rPr>
      <t>사두</t>
    </r>
    <r>
      <rPr>
        <b/>
        <sz val="14"/>
        <color theme="1"/>
        <rFont val="Calibri"/>
        <family val="2"/>
      </rPr>
      <t xml:space="preserve"> · </t>
    </r>
    <r>
      <rPr>
        <b/>
        <sz val="14"/>
        <color theme="1"/>
        <rFont val="Calibri"/>
        <family val="2"/>
        <charset val="1"/>
      </rPr>
      <t>내전</t>
    </r>
    <r>
      <rPr>
        <b/>
        <sz val="14"/>
        <color theme="1"/>
        <rFont val="Calibri"/>
        <family val="2"/>
      </rPr>
      <t xml:space="preserve"> · </t>
    </r>
    <r>
      <rPr>
        <b/>
        <sz val="14"/>
        <color theme="1"/>
        <rFont val="Calibri"/>
        <family val="2"/>
        <charset val="1"/>
      </rPr>
      <t>외전</t>
    </r>
    <r>
      <rPr>
        <b/>
        <sz val="14"/>
        <color theme="1"/>
        <rFont val="Calibri"/>
        <family val="2"/>
      </rPr>
      <t>)</t>
    </r>
  </si>
  <si>
    <t>메인: 스쿼트</t>
    <phoneticPr fontId="29" type="noConversion"/>
  </si>
  <si>
    <r>
      <t>웜업</t>
    </r>
    <r>
      <rPr>
        <b/>
        <sz val="11"/>
        <color theme="1"/>
        <rFont val="Calibri"/>
        <family val="2"/>
      </rPr>
      <t xml:space="preserve"> (</t>
    </r>
    <r>
      <rPr>
        <b/>
        <sz val="11"/>
        <color theme="1"/>
        <rFont val="Calibri"/>
        <family val="2"/>
        <charset val="1"/>
      </rPr>
      <t>세트</t>
    </r>
    <r>
      <rPr>
        <b/>
        <sz val="11"/>
        <color theme="1"/>
        <rFont val="Calibri"/>
        <family val="2"/>
      </rPr>
      <t xml:space="preserve"> </t>
    </r>
    <r>
      <rPr>
        <b/>
        <sz val="11"/>
        <color theme="1"/>
        <rFont val="Calibri"/>
        <family val="2"/>
        <charset val="1"/>
      </rPr>
      <t>카운트</t>
    </r>
    <r>
      <rPr>
        <b/>
        <sz val="11"/>
        <color theme="1"/>
        <rFont val="Calibri"/>
        <family val="2"/>
      </rPr>
      <t xml:space="preserve"> </t>
    </r>
    <r>
      <rPr>
        <b/>
        <sz val="11"/>
        <color theme="1"/>
        <rFont val="Calibri"/>
        <family val="2"/>
        <charset val="1"/>
      </rPr>
      <t>제외</t>
    </r>
    <r>
      <rPr>
        <b/>
        <sz val="11"/>
        <color theme="1"/>
        <rFont val="Calibri"/>
        <family val="2"/>
      </rPr>
      <t>)</t>
    </r>
  </si>
  <si>
    <r>
      <t>운동</t>
    </r>
    <r>
      <rPr>
        <b/>
        <sz val="11"/>
        <color theme="1"/>
        <rFont val="Calibri"/>
        <family val="2"/>
      </rPr>
      <t xml:space="preserve"> </t>
    </r>
    <r>
      <rPr>
        <b/>
        <sz val="11"/>
        <color theme="1"/>
        <rFont val="Calibri"/>
        <family val="2"/>
        <charset val="1"/>
      </rPr>
      <t>구성</t>
    </r>
  </si>
  <si>
    <r>
      <rPr>
        <b/>
        <sz val="11"/>
        <color theme="1"/>
        <rFont val="Calibri"/>
        <family val="2"/>
        <charset val="1"/>
      </rPr>
      <t>종목</t>
    </r>
  </si>
  <si>
    <r>
      <rPr>
        <b/>
        <sz val="11"/>
        <color theme="1"/>
        <rFont val="Calibri"/>
        <family val="2"/>
        <charset val="1"/>
      </rPr>
      <t>근육군</t>
    </r>
  </si>
  <si>
    <r>
      <rPr>
        <b/>
        <sz val="11"/>
        <color theme="1"/>
        <rFont val="Calibri"/>
        <family val="2"/>
        <charset val="1"/>
      </rPr>
      <t>중량</t>
    </r>
    <r>
      <rPr>
        <b/>
        <sz val="11"/>
        <color theme="1"/>
        <rFont val="Calibri"/>
        <family val="2"/>
      </rPr>
      <t>(Kg)</t>
    </r>
  </si>
  <si>
    <r>
      <rPr>
        <b/>
        <sz val="11"/>
        <color theme="1"/>
        <rFont val="Calibri"/>
        <family val="2"/>
        <charset val="1"/>
      </rPr>
      <t>세트</t>
    </r>
  </si>
  <si>
    <r>
      <rPr>
        <b/>
        <sz val="11"/>
        <color theme="1"/>
        <rFont val="Calibri"/>
        <family val="2"/>
        <charset val="1"/>
      </rPr>
      <t>횟수</t>
    </r>
  </si>
  <si>
    <r>
      <rPr>
        <b/>
        <sz val="11"/>
        <color theme="1"/>
        <rFont val="Calibri"/>
        <family val="2"/>
        <charset val="1"/>
      </rPr>
      <t>수행</t>
    </r>
    <r>
      <rPr>
        <b/>
        <sz val="11"/>
        <color theme="1"/>
        <rFont val="Calibri"/>
        <family val="2"/>
      </rPr>
      <t>(</t>
    </r>
    <r>
      <rPr>
        <b/>
        <sz val="11"/>
        <color theme="1"/>
        <rFont val="Calibri"/>
        <family val="2"/>
        <charset val="1"/>
      </rPr>
      <t>초</t>
    </r>
    <r>
      <rPr>
        <b/>
        <sz val="11"/>
        <color theme="1"/>
        <rFont val="Calibri"/>
        <family val="2"/>
      </rPr>
      <t>)</t>
    </r>
  </si>
  <si>
    <r>
      <rPr>
        <b/>
        <sz val="11"/>
        <color theme="1"/>
        <rFont val="Calibri"/>
        <family val="2"/>
        <charset val="1"/>
      </rPr>
      <t>휴식</t>
    </r>
    <r>
      <rPr>
        <b/>
        <sz val="11"/>
        <color theme="1"/>
        <rFont val="Calibri"/>
        <family val="2"/>
      </rPr>
      <t>(</t>
    </r>
    <r>
      <rPr>
        <b/>
        <sz val="11"/>
        <color theme="1"/>
        <rFont val="Calibri"/>
        <family val="2"/>
        <charset val="1"/>
      </rPr>
      <t>초</t>
    </r>
    <r>
      <rPr>
        <b/>
        <sz val="11"/>
        <color theme="1"/>
        <rFont val="Calibri"/>
        <family val="2"/>
      </rPr>
      <t>)</t>
    </r>
  </si>
  <si>
    <r>
      <rPr>
        <b/>
        <sz val="11"/>
        <color theme="1"/>
        <rFont val="Calibri"/>
        <family val="2"/>
        <charset val="1"/>
      </rPr>
      <t>종목</t>
    </r>
    <r>
      <rPr>
        <b/>
        <sz val="11"/>
        <color theme="1"/>
        <rFont val="Calibri"/>
        <family val="2"/>
      </rPr>
      <t xml:space="preserve"> </t>
    </r>
    <r>
      <rPr>
        <b/>
        <sz val="11"/>
        <color theme="1"/>
        <rFont val="Calibri"/>
        <family val="2"/>
        <charset val="1"/>
      </rPr>
      <t>분</t>
    </r>
  </si>
  <si>
    <r>
      <rPr>
        <b/>
        <sz val="11"/>
        <color theme="1"/>
        <rFont val="Calibri"/>
        <family val="2"/>
        <charset val="1"/>
      </rPr>
      <t>메모</t>
    </r>
  </si>
  <si>
    <r>
      <rPr>
        <b/>
        <sz val="11"/>
        <color theme="1"/>
        <rFont val="Calibri"/>
        <family val="2"/>
        <charset val="1"/>
      </rPr>
      <t>대체</t>
    </r>
    <r>
      <rPr>
        <b/>
        <sz val="11"/>
        <color theme="1"/>
        <rFont val="Calibri"/>
        <family val="2"/>
      </rPr>
      <t xml:space="preserve"> </t>
    </r>
    <r>
      <rPr>
        <b/>
        <sz val="11"/>
        <color theme="1"/>
        <rFont val="Calibri"/>
        <family val="2"/>
        <charset val="1"/>
      </rPr>
      <t>종목</t>
    </r>
  </si>
  <si>
    <r>
      <rPr>
        <b/>
        <sz val="11"/>
        <color theme="1"/>
        <rFont val="Calibri"/>
        <family val="2"/>
        <charset val="1"/>
      </rPr>
      <t>세트별</t>
    </r>
    <r>
      <rPr>
        <b/>
        <sz val="11"/>
        <color theme="1"/>
        <rFont val="Calibri"/>
        <family val="2"/>
      </rPr>
      <t xml:space="preserve"> </t>
    </r>
    <r>
      <rPr>
        <b/>
        <sz val="11"/>
        <color theme="1"/>
        <rFont val="Calibri"/>
        <family val="2"/>
        <charset val="1"/>
      </rPr>
      <t>휴식</t>
    </r>
    <r>
      <rPr>
        <b/>
        <sz val="11"/>
        <color theme="1"/>
        <rFont val="Calibri"/>
        <family val="2"/>
      </rPr>
      <t>(</t>
    </r>
    <r>
      <rPr>
        <b/>
        <sz val="11"/>
        <color theme="1"/>
        <rFont val="Calibri"/>
        <family val="2"/>
        <charset val="1"/>
      </rPr>
      <t>초</t>
    </r>
    <r>
      <rPr>
        <b/>
        <sz val="11"/>
        <color theme="1"/>
        <rFont val="Calibri"/>
        <family val="2"/>
      </rPr>
      <t>)</t>
    </r>
  </si>
  <si>
    <r>
      <rPr>
        <b/>
        <sz val="11"/>
        <color theme="1"/>
        <rFont val="Calibri"/>
        <family val="2"/>
        <charset val="1"/>
      </rPr>
      <t>슈퍼세트</t>
    </r>
  </si>
  <si>
    <r>
      <rPr>
        <b/>
        <sz val="11"/>
        <color theme="1"/>
        <rFont val="Calibri"/>
        <family val="2"/>
        <charset val="1"/>
      </rPr>
      <t>드롭</t>
    </r>
    <r>
      <rPr>
        <b/>
        <sz val="11"/>
        <color theme="1"/>
        <rFont val="Calibri"/>
        <family val="2"/>
      </rPr>
      <t>(</t>
    </r>
    <r>
      <rPr>
        <b/>
        <sz val="11"/>
        <color theme="1"/>
        <rFont val="Calibri"/>
        <family val="2"/>
        <charset val="1"/>
      </rPr>
      <t>초</t>
    </r>
    <r>
      <rPr>
        <b/>
        <sz val="11"/>
        <color theme="1"/>
        <rFont val="Calibri"/>
        <family val="2"/>
      </rPr>
      <t>)</t>
    </r>
  </si>
  <si>
    <t>증량표(시작중량_설정 E7). 일요일 휴식 다음날이라 주에서 가장 신선한 자리.</t>
  </si>
  <si>
    <t>발 낮게(사두). 증량표 E13 — 10회 × 4세트 고정.</t>
  </si>
  <si>
    <t>자이언트 세트 둘째 — 같은 머신에서 핀만 옮긴다.</t>
  </si>
  <si>
    <t>자이언트 세트 셋째 · 끝나고 120초.</t>
  </si>
  <si>
    <t>힙 어브덕션 머신 / 케이블 힙 외전</t>
  </si>
  <si>
    <t>라잉 · 마지막 세트 드롭. [셋업 2026-10-27] 골반 앞(엉덩이뼈 ~ 허벅지 윗부분) 아래에 접은 패드를 끼운다.</t>
  </si>
  <si>
    <t>시티드 레그 컬 (옆 센터) / 노르딕 햄 컬</t>
  </si>
  <si>
    <t>앉아서 — 가자미근. 금요일 스탠딩과 각도를 나눈다.</t>
  </si>
  <si>
    <t>레그 프레스 카프 레이즈</t>
  </si>
  <si>
    <t>넥 익스텐션 ↔ 플렉션 2라운드 · 지금 무게 그대로.</t>
  </si>
  <si>
    <t>B</t>
  </si>
  <si>
    <t>라운드 후 60초.</t>
  </si>
  <si>
    <t>[2026-10-29 사용자 결정] 승모 상부 직접 — 목요일 오버헤드 슈러그와 주 2회(3일 간격). 넥 뒤 맨 끝: 넥 익스텐션에도 승모 상부가 쓰여 먼저 지치면 넥 무게가 흔들린다. 그립 쓰는 종목이 없는 날이라 손이 멀쩡하다.</t>
  </si>
  <si>
    <t>덤벨 슈러그 / 바벨 슈러그 / 머신 슈러그</t>
  </si>
  <si>
    <r>
      <t>세트</t>
    </r>
    <r>
      <rPr>
        <b/>
        <sz val="11"/>
        <color theme="1"/>
        <rFont val="Calibri"/>
        <family val="2"/>
      </rPr>
      <t xml:space="preserve"> </t>
    </r>
    <r>
      <rPr>
        <b/>
        <sz val="11"/>
        <color theme="1"/>
        <rFont val="Calibri"/>
        <family val="2"/>
        <charset val="1"/>
      </rPr>
      <t>합계</t>
    </r>
  </si>
  <si>
    <t>· 원본: Downloads\주6일_분할_프로그램.md (2026-10-29) — 이 날은 원본 그대로 + 트랩바 슈러그 3.</t>
  </si>
  <si>
    <r>
      <rPr>
        <b/>
        <sz val="14"/>
        <color theme="1"/>
        <rFont val="Calibri"/>
        <family val="2"/>
        <charset val="1"/>
      </rPr>
      <t>화요일</t>
    </r>
    <r>
      <rPr>
        <b/>
        <sz val="14"/>
        <color theme="1"/>
        <rFont val="Calibri"/>
        <family val="2"/>
      </rPr>
      <t xml:space="preserve"> — </t>
    </r>
    <r>
      <rPr>
        <b/>
        <sz val="14"/>
        <color theme="1"/>
        <rFont val="Calibri"/>
        <family val="2"/>
        <charset val="1"/>
      </rPr>
      <t>가슴</t>
    </r>
    <r>
      <rPr>
        <b/>
        <sz val="14"/>
        <color theme="1"/>
        <rFont val="Calibri"/>
        <family val="2"/>
      </rPr>
      <t xml:space="preserve"> · </t>
    </r>
    <r>
      <rPr>
        <b/>
        <sz val="14"/>
        <color theme="1"/>
        <rFont val="Calibri"/>
        <family val="2"/>
        <charset val="1"/>
      </rPr>
      <t>삼두</t>
    </r>
    <r>
      <rPr>
        <b/>
        <sz val="14"/>
        <color theme="1"/>
        <rFont val="Calibri"/>
        <family val="2"/>
      </rPr>
      <t xml:space="preserve"> · </t>
    </r>
    <r>
      <rPr>
        <b/>
        <sz val="14"/>
        <color theme="1"/>
        <rFont val="Calibri"/>
        <family val="2"/>
        <charset val="1"/>
      </rPr>
      <t>후면</t>
    </r>
  </si>
  <si>
    <t>메인: 벤치프레스</t>
    <phoneticPr fontId="29" type="noConversion"/>
  </si>
  <si>
    <t>· 케이블 외회전 2×15 — 팔꿈치 90도로 옆구리에 붙이고 바깥으로만, 매우 가볍게(약 3분).</t>
  </si>
  <si>
    <t>· 벤치 램프 · 몸풀기 5세트(위 표) — 약 12분.</t>
  </si>
  <si>
    <t>증량표 E9 · 4×8.</t>
  </si>
  <si>
    <t>덤벨 벤치프레스 / 머신 체스트 프레스</t>
  </si>
  <si>
    <t>인클라인 덤벨 프레스 (뉴트럴 그립)</t>
  </si>
  <si>
    <t>벤치 15~30도 — 45도 넘게 세우면 전면삼각 비중이 커진다. 폰 각도계로 한 번 확인. 3~4초 내리기 · 1초 정지.</t>
  </si>
  <si>
    <t>인클라인 벤치프레스 머신 / 인클라인 스미스</t>
  </si>
  <si>
    <t>머신 체스트 프레스</t>
  </si>
  <si>
    <t>덤벨 벤치프레스</t>
  </si>
  <si>
    <t>로우 투 하이 케이블 플라이</t>
  </si>
  <si>
    <t>[2026-10-29 교체 · 디클라인 케이블 플라이에서] 윗가슴. 손이 쇄골~턱 높이에서 모이게. 마지막 세트 드롭.</t>
  </si>
  <si>
    <t>인클라인 플라이 머신 / 인클라인 덤벨 플라이</t>
  </si>
  <si>
    <t>딥스 → 오버헤드 익스텐션 → 로프 푸쉬다운 2라운드 · 라운드 후 90초.</t>
  </si>
  <si>
    <t>머신 딥스 / 디클라인 프레스</t>
  </si>
  <si>
    <t>케이블 오버헤드 익스텐션 (로프)</t>
  </si>
  <si>
    <t>자이언트 세트 둘째.</t>
  </si>
  <si>
    <t>로프 푸쉬다운</t>
  </si>
  <si>
    <t>자이언트 세트 셋째 · 끝나고 90초.</t>
  </si>
  <si>
    <t>체스트 프레스 머신 프로트랙션</t>
  </si>
  <si>
    <t>원암 오버헤드 케이블 익스텐션</t>
  </si>
  <si>
    <t>[2026-10-29 교체 · 원암 케이블 익스텐션에서] 팔꿈치를 귀 옆에 고정하고, 아래에서 끝까지 늘린다. 페이스풀과 3라운드 · 라운드 후 60초.</t>
  </si>
  <si>
    <t>페이스풀 (로프)</t>
  </si>
  <si>
    <t>슈퍼세트 둘째 · 끝나고 60초.</t>
  </si>
  <si>
    <t>· 원본 대비 바뀐 두 종목: 디클라인 케이블 플라이 → 로우 투 하이 케이블 플라이 · 원암 케이블 익스텐션 → 원암 오버헤드 케이블 익스텐션.</t>
  </si>
  <si>
    <r>
      <rPr>
        <b/>
        <sz val="14"/>
        <color theme="1"/>
        <rFont val="Calibri"/>
        <family val="2"/>
        <charset val="1"/>
      </rPr>
      <t>수요일</t>
    </r>
    <r>
      <rPr>
        <b/>
        <sz val="14"/>
        <color theme="1"/>
        <rFont val="Calibri"/>
        <family val="2"/>
      </rPr>
      <t xml:space="preserve"> — </t>
    </r>
    <r>
      <rPr>
        <b/>
        <sz val="14"/>
        <color theme="1"/>
        <rFont val="Calibri"/>
        <family val="2"/>
        <charset val="1"/>
      </rPr>
      <t>등</t>
    </r>
    <r>
      <rPr>
        <b/>
        <sz val="14"/>
        <color theme="1"/>
        <rFont val="Calibri"/>
        <family val="2"/>
      </rPr>
      <t xml:space="preserve"> · </t>
    </r>
    <r>
      <rPr>
        <b/>
        <sz val="14"/>
        <color theme="1"/>
        <rFont val="Calibri"/>
        <family val="2"/>
        <charset val="1"/>
      </rPr>
      <t>이두</t>
    </r>
    <r>
      <rPr>
        <b/>
        <sz val="14"/>
        <color theme="1"/>
        <rFont val="Calibri"/>
        <family val="2"/>
      </rPr>
      <t xml:space="preserve"> · </t>
    </r>
    <r>
      <rPr>
        <b/>
        <sz val="14"/>
        <color theme="1"/>
        <rFont val="Calibri"/>
        <family val="2"/>
        <charset val="1"/>
      </rPr>
      <t>전완</t>
    </r>
  </si>
  <si>
    <t>· 랫풀다운 가볍게 램프 2~3세트 — 약 4분.</t>
  </si>
  <si>
    <t>· 등은 상부(해머 로우 · 인클라인 덤벨 로우)와 광배 하부(원암 케이블 로우 · 암풀다운)로 나눠 겨냥한다.</t>
  </si>
  <si>
    <t>랫풀다운 (뉴트럴 그립)</t>
  </si>
  <si>
    <t>[미정 제안] 원암 케이블 풀다운으로 바꾸는 안 — 위에서 더 깊게 늘리고 아래 끝까지 당긴다.</t>
  </si>
  <si>
    <t>원암 케이블 풀다운</t>
  </si>
  <si>
    <t>증량표 E11 · 4×8. 등 상부 — 넓은 오버그립, 팔꿈치를 옆으로 70~90도 벌려 가슴 쪽으로.</t>
  </si>
  <si>
    <t>시티드 케이블 로우 (와이드 바)</t>
  </si>
  <si>
    <t>인클라인 덤벨 로우(오버그립)</t>
  </si>
  <si>
    <t>등 상부 — 넓은 오버그립, 팔꿈치 70~90도. 덤벨은 그립 넓이보다 팔꿈치 각도를 유지하는 게 핵심.</t>
  </si>
  <si>
    <t>체스트 서포티드 로우 머신</t>
  </si>
  <si>
    <t>10~12 (좌우)</t>
  </si>
  <si>
    <t>[2026-10-29] 낮은 도르래 앞에 벤치를 두고 한쪽 무릎과 손을 짚고 숙인다(몸통이 기울어 도르래를 높인 것과 같은 각도). 몸통은 바닥을 향해 반듯하게 — 어깨선은 벤치와 평행으로 고정하고 날개뼈만 움직인다. 늘어날 때 어깨가 앞·아래로 딸려 나가게 두고(몸통은 10° 안쪽까지만), 당길 때 날개뼈를 뒤·아래로 내리며 팔꿈치를 골반 쪽으로. 손을 가슴 쪽으로 당기면 등 상부로 빠진다. 끝에서 상체를 비틀지 않는다. 시선은 벤치 앞 바닥.</t>
  </si>
  <si>
    <t>원암 시티드 케이블 로우 (팔꿈치를 몸통에 붙여 골반 쪽으로)</t>
  </si>
  <si>
    <t>암풀다운</t>
  </si>
  <si>
    <t>광배 하부 — 팔을 골반 쪽으로.</t>
  </si>
  <si>
    <t>로프 암풀다운</t>
  </si>
  <si>
    <t>EZ 프리쳐 컬</t>
  </si>
  <si>
    <t>프리쳐 → 리버스 EZ 컬 → 로우 케이블 컬 3라운드 · 라운드 후 90초.</t>
  </si>
  <si>
    <t>머신 프리쳐 컬</t>
  </si>
  <si>
    <t>증량표 E21 · EZ바(봉 포함). 자이언트 세트 둘째.</t>
  </si>
  <si>
    <t>케이블 리버스 컬</t>
  </si>
  <si>
    <t>로우 케이블 컬</t>
  </si>
  <si>
    <t>손등 아래 2 ↔ 손등 위 3.</t>
  </si>
  <si>
    <t>옆 센터로 이동(약 3분) 후 — 하이퍼 익스텐션.</t>
  </si>
  <si>
    <t>· 한 달 뒤 등 그립 회전표는 원본 md의 '한 달 뒤 — 등 그립 회전표'에 있다(이 워크북에는 아직 넣지 않았다).</t>
  </si>
  <si>
    <t>· [미정 제안] 순서 해머 로우 → 원암 케이블 로우 → 암풀다운 → 인클라인 덤벨 로우(광배를 덜 지친 상태에서).</t>
  </si>
  <si>
    <r>
      <rPr>
        <b/>
        <sz val="14"/>
        <color theme="1"/>
        <rFont val="Calibri"/>
        <family val="2"/>
        <charset val="1"/>
      </rPr>
      <t>목요일</t>
    </r>
    <r>
      <rPr>
        <b/>
        <sz val="14"/>
        <color theme="1"/>
        <rFont val="Calibri"/>
        <family val="2"/>
      </rPr>
      <t xml:space="preserve"> — </t>
    </r>
    <r>
      <rPr>
        <b/>
        <sz val="14"/>
        <color theme="1"/>
        <rFont val="Calibri"/>
        <family val="2"/>
        <charset val="1"/>
      </rPr>
      <t>어깨</t>
    </r>
    <r>
      <rPr>
        <b/>
        <sz val="14"/>
        <color theme="1"/>
        <rFont val="Calibri"/>
        <family val="2"/>
      </rPr>
      <t xml:space="preserve"> · </t>
    </r>
    <r>
      <rPr>
        <b/>
        <sz val="14"/>
        <color theme="1"/>
        <rFont val="Calibri"/>
        <family val="2"/>
        <charset val="1"/>
      </rPr>
      <t>삼두</t>
    </r>
  </si>
  <si>
    <r>
      <t>메인</t>
    </r>
    <r>
      <rPr>
        <b/>
        <sz val="11"/>
        <color theme="1"/>
        <rFont val="Calibri"/>
        <family val="2"/>
      </rPr>
      <t xml:space="preserve">: </t>
    </r>
    <r>
      <rPr>
        <b/>
        <sz val="11"/>
        <color theme="1"/>
        <rFont val="Calibri"/>
        <family val="2"/>
        <charset val="1"/>
      </rPr>
      <t>시티드</t>
    </r>
    <r>
      <rPr>
        <b/>
        <sz val="11"/>
        <color theme="1"/>
        <rFont val="Calibri"/>
        <family val="2"/>
      </rPr>
      <t xml:space="preserve"> </t>
    </r>
    <r>
      <rPr>
        <b/>
        <sz val="11"/>
        <color theme="1"/>
        <rFont val="Calibri"/>
        <family val="2"/>
        <charset val="1"/>
      </rPr>
      <t>바벨</t>
    </r>
    <r>
      <rPr>
        <b/>
        <sz val="11"/>
        <color theme="1"/>
        <rFont val="Calibri"/>
        <family val="2"/>
      </rPr>
      <t xml:space="preserve"> </t>
    </r>
    <r>
      <rPr>
        <b/>
        <sz val="11"/>
        <color theme="1"/>
        <rFont val="Calibri"/>
        <family val="2"/>
        <charset val="1"/>
      </rPr>
      <t>밀리터리</t>
    </r>
    <r>
      <rPr>
        <b/>
        <sz val="11"/>
        <color theme="1"/>
        <rFont val="Calibri"/>
        <family val="2"/>
      </rPr>
      <t xml:space="preserve"> </t>
    </r>
    <r>
      <rPr>
        <b/>
        <sz val="11"/>
        <color theme="1"/>
        <rFont val="Calibri"/>
        <family val="2"/>
        <charset val="1"/>
      </rPr>
      <t>프레스</t>
    </r>
  </si>
  <si>
    <t>· 케이블 외회전 2×15 — 매우 가볍게(약 3분).</t>
  </si>
  <si>
    <t>· 밀리터리 램프 20kg × 5 × 2 — 원암 레터럴 뒤, 밀리터리 직전에(약 3분).</t>
  </si>
  <si>
    <t>위에서 1초 정지 · 좌우.</t>
  </si>
  <si>
    <t>케이블 레터럴 레이즈</t>
  </si>
  <si>
    <t>시티드 바벨 밀리터리 프레스</t>
  </si>
  <si>
    <t>증량표 E10 · 3×8.</t>
  </si>
  <si>
    <t>스미스 오버헤드 프레스 / 덤벨 숄더 프레스</t>
  </si>
  <si>
    <t>리버스 펙덱 ↔ 시티드 덤벨 레터럴 4라운드 · 라운드 후 75초.</t>
  </si>
  <si>
    <t>시티드 레터럴 레이즈</t>
  </si>
  <si>
    <t>슈퍼세트 둘째 · 끝나고 75초.</t>
  </si>
  <si>
    <t>원암 케이블 리버스 플라이</t>
  </si>
  <si>
    <t>덤벨 숄더 프레스 (뉴트럴 그립)</t>
  </si>
  <si>
    <t>증량표 E17 · 승모 상부(거상 + 상방 회전). 팔꿈치 잠금 · 위 1초 · 천천히 내림. 월요일 트랩바 슈러그와 주 2회.</t>
  </si>
  <si>
    <t>바벨 오버헤드 슈러그</t>
  </si>
  <si>
    <t>증량표 E20 · 바를 이마 대신 머리 뒤쪽으로 내리면 삼두 장두가 더 늘어난다.</t>
  </si>
  <si>
    <t>케이블 오버헤드 익스텐션</t>
  </si>
  <si>
    <r>
      <rPr>
        <b/>
        <sz val="14"/>
        <color theme="1"/>
        <rFont val="Calibri"/>
        <family val="2"/>
        <charset val="1"/>
      </rPr>
      <t>금요일</t>
    </r>
    <r>
      <rPr>
        <b/>
        <sz val="14"/>
        <color theme="1"/>
        <rFont val="Calibri"/>
        <family val="2"/>
      </rPr>
      <t xml:space="preserve"> — </t>
    </r>
    <r>
      <rPr>
        <b/>
        <sz val="14"/>
        <color theme="1"/>
        <rFont val="Calibri"/>
        <family val="2"/>
        <charset val="1"/>
      </rPr>
      <t>하체</t>
    </r>
    <r>
      <rPr>
        <b/>
        <sz val="14"/>
        <color theme="1"/>
        <rFont val="Calibri"/>
        <family val="2"/>
      </rPr>
      <t xml:space="preserve"> B (</t>
    </r>
    <r>
      <rPr>
        <b/>
        <sz val="14"/>
        <color theme="1"/>
        <rFont val="Calibri"/>
        <family val="2"/>
        <charset val="1"/>
      </rPr>
      <t>햄</t>
    </r>
    <r>
      <rPr>
        <b/>
        <sz val="14"/>
        <color theme="1"/>
        <rFont val="Calibri"/>
        <family val="2"/>
      </rPr>
      <t xml:space="preserve"> · </t>
    </r>
    <r>
      <rPr>
        <b/>
        <sz val="14"/>
        <color theme="1"/>
        <rFont val="Calibri"/>
        <family val="2"/>
        <charset val="1"/>
      </rPr>
      <t>둔근</t>
    </r>
    <r>
      <rPr>
        <b/>
        <sz val="14"/>
        <color theme="1"/>
        <rFont val="Calibri"/>
        <family val="2"/>
      </rPr>
      <t>)</t>
    </r>
  </si>
  <si>
    <t>메인: 데드리프트</t>
    <phoneticPr fontId="29" type="noConversion"/>
  </si>
  <si>
    <t>증량표 E8 · 톱 1×5.</t>
  </si>
  <si>
    <t>트랩바 데드리프트 / 랙풀</t>
  </si>
  <si>
    <t>톱 × 0.82 · 2×5. 엉덩이 뒤가 당기면 그날 백오프 생략.</t>
  </si>
  <si>
    <t>증량표 E15 · 3×10.</t>
  </si>
  <si>
    <t>덤벨 루마니안 / 굿모닝</t>
  </si>
  <si>
    <t>증량표 E16 · 4×12.</t>
  </si>
  <si>
    <t>스미스 힙 쓰러스트 / 글루트 브리지</t>
  </si>
  <si>
    <t>원 레그 라잉 컬</t>
  </si>
  <si>
    <t>라잉 레그 컬</t>
  </si>
  <si>
    <t>아우터 ↔ 이너 3라운드 · 라운드 후 120초.</t>
  </si>
  <si>
    <t>슈퍼세트 둘째 · 끝나고 120초.</t>
  </si>
  <si>
    <t>케이블 어덕션</t>
  </si>
  <si>
    <t>서서 — 비복근. 월요일 시티드와 각도를 나눈다.</t>
  </si>
  <si>
    <t>시티드 레그 컬</t>
  </si>
  <si>
    <r>
      <rPr>
        <b/>
        <sz val="14"/>
        <color theme="1"/>
        <rFont val="Calibri"/>
        <family val="2"/>
        <charset val="1"/>
      </rPr>
      <t>토요일</t>
    </r>
    <r>
      <rPr>
        <b/>
        <sz val="14"/>
        <color theme="1"/>
        <rFont val="Calibri"/>
        <family val="2"/>
      </rPr>
      <t xml:space="preserve"> — </t>
    </r>
    <r>
      <rPr>
        <b/>
        <sz val="14"/>
        <color theme="1"/>
        <rFont val="Calibri"/>
        <family val="2"/>
        <charset val="1"/>
      </rPr>
      <t>가슴</t>
    </r>
    <r>
      <rPr>
        <b/>
        <sz val="14"/>
        <color theme="1"/>
        <rFont val="Calibri"/>
        <family val="2"/>
      </rPr>
      <t xml:space="preserve"> + </t>
    </r>
    <r>
      <rPr>
        <b/>
        <sz val="14"/>
        <color theme="1"/>
        <rFont val="Calibri"/>
        <family val="2"/>
        <charset val="1"/>
      </rPr>
      <t>등</t>
    </r>
    <r>
      <rPr>
        <b/>
        <sz val="14"/>
        <color theme="1"/>
        <rFont val="Calibri"/>
        <family val="2"/>
      </rPr>
      <t xml:space="preserve"> (</t>
    </r>
    <r>
      <rPr>
        <b/>
        <sz val="14"/>
        <color theme="1"/>
        <rFont val="Calibri"/>
        <family val="2"/>
        <charset val="1"/>
      </rPr>
      <t>교대</t>
    </r>
    <r>
      <rPr>
        <b/>
        <sz val="14"/>
        <color theme="1"/>
        <rFont val="Calibri"/>
        <family val="2"/>
      </rPr>
      <t xml:space="preserve">) · </t>
    </r>
    <r>
      <rPr>
        <b/>
        <sz val="14"/>
        <color theme="1"/>
        <rFont val="Calibri"/>
        <family val="2"/>
        <charset val="1"/>
      </rPr>
      <t>이두</t>
    </r>
    <r>
      <rPr>
        <b/>
        <sz val="14"/>
        <color theme="1"/>
        <rFont val="Calibri"/>
        <family val="2"/>
      </rPr>
      <t xml:space="preserve"> · </t>
    </r>
    <r>
      <rPr>
        <b/>
        <sz val="14"/>
        <color theme="1"/>
        <rFont val="Calibri"/>
        <family val="2"/>
        <charset val="1"/>
      </rPr>
      <t>전완</t>
    </r>
  </si>
  <si>
    <t>· 랫풀다운 가볍게 + 인클라인 바벨 램프 4세트 — 약 6분.</t>
  </si>
  <si>
    <t>풀업 (어시스트 가능)</t>
  </si>
  <si>
    <t>어깨너비보다 살짝 넓은 오버그립 — 겨드랑이 바로 밑(광배 위쪽 바깥 · 대원근). 너무 넓게 잡으면 가동범위만 줄어든다.</t>
  </si>
  <si>
    <t>어시스트 풀업 머신 / 와이드 랫풀다운</t>
  </si>
  <si>
    <t>증량표 E22 · 3×8. 벤치 15~30도 — 고정 벤치가 가파르면 조절식 벤치를 랙이나 스미스 안에. 언더그립 랫풀다운과 교대 3라운드 · 라운드 후 150초.</t>
  </si>
  <si>
    <t>인클라인 스미스</t>
  </si>
  <si>
    <t>랫풀다운(언더그립)</t>
  </si>
  <si>
    <t>팔꿈치를 골반 쪽으로 — 광배 아래쪽.</t>
  </si>
  <si>
    <t>팔꿈치를 골반 쪽으로. 인클라인 머신과 교대 3라운드 · 라운드 후 150초.</t>
  </si>
  <si>
    <t>증량표 E12 · 3×10.</t>
  </si>
  <si>
    <t>인클라인 덤벨 프레스</t>
  </si>
  <si>
    <t>펙덱 ↔ 리버스 펙덱 3라운드 + 리버스 펙덱 1세트 · 라운드 후 105초.</t>
  </si>
  <si>
    <t>케이블 플라이</t>
  </si>
  <si>
    <t>4세트째는 혼자.</t>
  </si>
  <si>
    <t>인클라인 덤벨 컬 ↔ 해머 컬 3라운드 · 라운드 후 75초.</t>
  </si>
  <si>
    <t>D</t>
  </si>
  <si>
    <t>E</t>
  </si>
  <si>
    <t>스탠딩 케이블 크런치</t>
  </si>
  <si>
    <r>
      <rPr>
        <b/>
        <sz val="14"/>
        <color theme="1"/>
        <rFont val="Calibri"/>
        <family val="2"/>
        <charset val="1"/>
      </rPr>
      <t>주</t>
    </r>
    <r>
      <rPr>
        <b/>
        <sz val="14"/>
        <color theme="1"/>
        <rFont val="Calibri"/>
        <family val="2"/>
      </rPr>
      <t xml:space="preserve"> 6</t>
    </r>
    <r>
      <rPr>
        <b/>
        <sz val="14"/>
        <color theme="1"/>
        <rFont val="Calibri"/>
        <family val="2"/>
        <charset val="1"/>
      </rPr>
      <t>일</t>
    </r>
    <r>
      <rPr>
        <b/>
        <sz val="14"/>
        <color theme="1"/>
        <rFont val="Calibri"/>
        <family val="2"/>
      </rPr>
      <t xml:space="preserve"> </t>
    </r>
    <r>
      <rPr>
        <b/>
        <sz val="14"/>
        <color theme="1"/>
        <rFont val="Calibri"/>
        <family val="2"/>
        <charset val="1"/>
      </rPr>
      <t>분할</t>
    </r>
    <r>
      <rPr>
        <b/>
        <sz val="14"/>
        <color theme="1"/>
        <rFont val="Calibri"/>
        <family val="2"/>
      </rPr>
      <t xml:space="preserve"> — </t>
    </r>
    <r>
      <rPr>
        <b/>
        <sz val="14"/>
        <color theme="1"/>
        <rFont val="Calibri"/>
        <family val="2"/>
        <charset val="1"/>
      </rPr>
      <t>주간</t>
    </r>
    <r>
      <rPr>
        <b/>
        <sz val="14"/>
        <color theme="1"/>
        <rFont val="Calibri"/>
        <family val="2"/>
      </rPr>
      <t xml:space="preserve"> </t>
    </r>
    <r>
      <rPr>
        <b/>
        <sz val="14"/>
        <color theme="1"/>
        <rFont val="Calibri"/>
        <family val="2"/>
        <charset val="1"/>
      </rPr>
      <t>계획</t>
    </r>
    <r>
      <rPr>
        <b/>
        <sz val="14"/>
        <color theme="1"/>
        <rFont val="Calibri"/>
        <family val="2"/>
      </rPr>
      <t xml:space="preserve"> (</t>
    </r>
    <r>
      <rPr>
        <b/>
        <sz val="14"/>
        <color theme="1"/>
        <rFont val="Calibri"/>
        <family val="2"/>
        <charset val="1"/>
      </rPr>
      <t>한</t>
    </r>
    <r>
      <rPr>
        <b/>
        <sz val="14"/>
        <color theme="1"/>
        <rFont val="Calibri"/>
        <family val="2"/>
      </rPr>
      <t xml:space="preserve"> </t>
    </r>
    <r>
      <rPr>
        <b/>
        <sz val="14"/>
        <color theme="1"/>
        <rFont val="Calibri"/>
        <family val="2"/>
        <charset val="1"/>
      </rPr>
      <t>달</t>
    </r>
    <r>
      <rPr>
        <b/>
        <sz val="14"/>
        <color theme="1"/>
        <rFont val="Calibri"/>
        <family val="2"/>
      </rPr>
      <t xml:space="preserve"> </t>
    </r>
    <r>
      <rPr>
        <b/>
        <sz val="14"/>
        <color theme="1"/>
        <rFont val="Calibri"/>
        <family val="2"/>
        <charset val="1"/>
      </rPr>
      <t>시험</t>
    </r>
    <r>
      <rPr>
        <b/>
        <sz val="14"/>
        <color theme="1"/>
        <rFont val="Calibri"/>
        <family val="2"/>
      </rPr>
      <t xml:space="preserve"> · 2026-10-29 </t>
    </r>
    <r>
      <rPr>
        <b/>
        <sz val="14"/>
        <color theme="1"/>
        <rFont val="Calibri"/>
        <family val="2"/>
        <charset val="1"/>
      </rPr>
      <t>작성</t>
    </r>
    <r>
      <rPr>
        <b/>
        <sz val="14"/>
        <color theme="1"/>
        <rFont val="Calibri"/>
        <family val="2"/>
      </rPr>
      <t>)</t>
    </r>
  </si>
  <si>
    <t>구성</t>
  </si>
  <si>
    <r>
      <t>운동</t>
    </r>
    <r>
      <rPr>
        <b/>
        <sz val="11"/>
        <color theme="1"/>
        <rFont val="Calibri"/>
        <family val="2"/>
      </rPr>
      <t xml:space="preserve"> </t>
    </r>
    <r>
      <rPr>
        <b/>
        <sz val="11"/>
        <color theme="1"/>
        <rFont val="Calibri"/>
        <family val="2"/>
        <charset val="1"/>
      </rPr>
      <t>분</t>
    </r>
  </si>
  <si>
    <r>
      <t>웜업</t>
    </r>
    <r>
      <rPr>
        <b/>
        <sz val="11"/>
        <color theme="1"/>
        <rFont val="Calibri"/>
        <family val="2"/>
      </rPr>
      <t xml:space="preserve"> </t>
    </r>
    <r>
      <rPr>
        <b/>
        <sz val="11"/>
        <color theme="1"/>
        <rFont val="Calibri"/>
        <family val="2"/>
        <charset val="1"/>
      </rPr>
      <t>분</t>
    </r>
  </si>
  <si>
    <r>
      <t>합계</t>
    </r>
    <r>
      <rPr>
        <b/>
        <sz val="11"/>
        <color theme="1"/>
        <rFont val="Calibri"/>
        <family val="2"/>
      </rPr>
      <t xml:space="preserve"> </t>
    </r>
    <r>
      <rPr>
        <b/>
        <sz val="11"/>
        <color theme="1"/>
        <rFont val="Calibri"/>
        <family val="2"/>
        <charset val="1"/>
      </rPr>
      <t>분</t>
    </r>
  </si>
  <si>
    <t>가슴 · 삼두 · 후면</t>
  </si>
  <si>
    <t>등 · 이두 · 전완</t>
  </si>
  <si>
    <t>어깨 · 삼두</t>
  </si>
  <si>
    <t>하체 B (햄 · 둔근)</t>
  </si>
  <si>
    <t>가슴 + 등 (교대) · 이두 · 전완</t>
  </si>
  <si>
    <r>
      <t>부위별</t>
    </r>
    <r>
      <rPr>
        <b/>
        <sz val="11"/>
        <color theme="1"/>
        <rFont val="Calibri"/>
        <family val="2"/>
      </rPr>
      <t xml:space="preserve"> </t>
    </r>
    <r>
      <rPr>
        <b/>
        <sz val="11"/>
        <color theme="1"/>
        <rFont val="Calibri"/>
        <family val="2"/>
        <charset val="1"/>
      </rPr>
      <t>주간</t>
    </r>
    <r>
      <rPr>
        <b/>
        <sz val="11"/>
        <color theme="1"/>
        <rFont val="Calibri"/>
        <family val="2"/>
      </rPr>
      <t xml:space="preserve"> </t>
    </r>
    <r>
      <rPr>
        <b/>
        <sz val="11"/>
        <color theme="1"/>
        <rFont val="Calibri"/>
        <family val="2"/>
        <charset val="1"/>
      </rPr>
      <t>직접</t>
    </r>
    <r>
      <rPr>
        <b/>
        <sz val="11"/>
        <color theme="1"/>
        <rFont val="Calibri"/>
        <family val="2"/>
      </rPr>
      <t xml:space="preserve"> </t>
    </r>
    <r>
      <rPr>
        <b/>
        <sz val="11"/>
        <color theme="1"/>
        <rFont val="Calibri"/>
        <family val="2"/>
        <charset val="1"/>
      </rPr>
      <t>세트</t>
    </r>
    <r>
      <rPr>
        <b/>
        <sz val="11"/>
        <color theme="1"/>
        <rFont val="Calibri"/>
        <family val="2"/>
      </rPr>
      <t xml:space="preserve"> (</t>
    </r>
    <r>
      <rPr>
        <b/>
        <sz val="11"/>
        <color theme="1"/>
        <rFont val="Calibri"/>
        <family val="2"/>
        <charset val="1"/>
      </rPr>
      <t>원본</t>
    </r>
    <r>
      <rPr>
        <b/>
        <sz val="11"/>
        <color theme="1"/>
        <rFont val="Calibri"/>
        <family val="2"/>
      </rPr>
      <t xml:space="preserve"> md </t>
    </r>
    <r>
      <rPr>
        <b/>
        <sz val="11"/>
        <color theme="1"/>
        <rFont val="Calibri"/>
        <family val="2"/>
        <charset val="1"/>
      </rPr>
      <t>표</t>
    </r>
    <r>
      <rPr>
        <b/>
        <sz val="11"/>
        <color theme="1"/>
        <rFont val="Calibri"/>
        <family val="2"/>
      </rPr>
      <t xml:space="preserve"> + </t>
    </r>
    <r>
      <rPr>
        <b/>
        <sz val="11"/>
        <color theme="1"/>
        <rFont val="Calibri"/>
        <family val="2"/>
        <charset val="1"/>
      </rPr>
      <t>트랩바</t>
    </r>
    <r>
      <rPr>
        <b/>
        <sz val="11"/>
        <color theme="1"/>
        <rFont val="Calibri"/>
        <family val="2"/>
      </rPr>
      <t xml:space="preserve"> </t>
    </r>
    <r>
      <rPr>
        <b/>
        <sz val="11"/>
        <color theme="1"/>
        <rFont val="Calibri"/>
        <family val="2"/>
        <charset val="1"/>
      </rPr>
      <t>슈러그</t>
    </r>
    <r>
      <rPr>
        <b/>
        <sz val="11"/>
        <color theme="1"/>
        <rFont val="Calibri"/>
        <family val="2"/>
      </rPr>
      <t xml:space="preserve"> 3)</t>
    </r>
  </si>
  <si>
    <t>부위</t>
  </si>
  <si>
    <t>랫풀다운 2 · 원암 케이블 로우 3 · 암풀다운 3 · 풀업 3 · 언더그립 랫풀다운 3 · 하이로우 3</t>
  </si>
  <si>
    <t>이두 · 상완</t>
  </si>
  <si>
    <t>EZ 프리쳐 3 · 리버스 EZ 컬 3 · 로우 케이블 컬 3 · 인클라인 덤벨 컬 3 · 해머 컬 3</t>
  </si>
  <si>
    <t>측면삼각</t>
  </si>
  <si>
    <t>레터럴 3(화) · 원암 케이블 레터럴 4 · 시티드 레터럴 4 · 레터럴 4(토)</t>
  </si>
  <si>
    <t>사두</t>
  </si>
  <si>
    <t>후면삼각</t>
  </si>
  <si>
    <t>페이스풀 3 · 리버스 펙덱 4(목) · 4(토) · 원암 리버스 플라이 3</t>
  </si>
  <si>
    <t>윗가슴</t>
  </si>
  <si>
    <t>인클라인 덤벨 프레스 3 · 로우 투 하이 3 · 인클라인 바벨 3 · 인클라인 머신 3</t>
  </si>
  <si>
    <t>내전 · 외전</t>
  </si>
  <si>
    <t>이너 · 아우터 각 3(월) · 각 3(금)</t>
  </si>
  <si>
    <t>오버헤드 익스텐션 2 · 로프 푸쉬다운 2 · 원암 오버헤드 익스텐션 3 · 라잉 4</t>
  </si>
  <si>
    <t>가슴(윗가슴 외)</t>
  </si>
  <si>
    <t>벤치 4 · 머신 체스트 프레스 2 · 딥스 2 · 펙덱 플라이 3</t>
  </si>
  <si>
    <t>리스트 컬 5(수) · 5(토)</t>
  </si>
  <si>
    <t>시티드 카프 5 · 스탠딩 카프 5</t>
  </si>
  <si>
    <t>등 상부</t>
  </si>
  <si>
    <t>해머 스트랭스 로우 4 · 인클라인 덤벨 로우 5</t>
  </si>
  <si>
    <t>복근</t>
  </si>
  <si>
    <t>중량 크런치 3 · 라잉 레그 레이즈 3 · 스탠딩 케이블 크런치 3</t>
  </si>
  <si>
    <t>트랩바 슈러그 3(월) · 오버헤드 슈러그 3(목)</t>
  </si>
  <si>
    <t>전면삼각</t>
  </si>
  <si>
    <t>밀리터리 3 · 덤벨 숄더 프레스 3</t>
  </si>
  <si>
    <t>허리</t>
  </si>
  <si>
    <t>백 익스텐션 3(수) · 3(토)</t>
  </si>
  <si>
    <t>체스트 프레스 머신 프로트랙션 2 · 인클라인 덤벨 프로트랙션 3</t>
  </si>
  <si>
    <t>넥 익스텐션 · 플렉션 2라운드</t>
  </si>
  <si>
    <r>
      <t>검산</t>
    </r>
    <r>
      <rPr>
        <b/>
        <sz val="11"/>
        <color theme="1"/>
        <rFont val="Calibri"/>
        <family val="2"/>
      </rPr>
      <t xml:space="preserve"> — </t>
    </r>
    <r>
      <rPr>
        <b/>
        <sz val="11"/>
        <color theme="1"/>
        <rFont val="Calibri"/>
        <family val="2"/>
        <charset val="1"/>
      </rPr>
      <t>요일</t>
    </r>
    <r>
      <rPr>
        <b/>
        <sz val="11"/>
        <color theme="1"/>
        <rFont val="Calibri"/>
        <family val="2"/>
      </rPr>
      <t xml:space="preserve"> </t>
    </r>
    <r>
      <rPr>
        <b/>
        <sz val="11"/>
        <color theme="1"/>
        <rFont val="Calibri"/>
        <family val="2"/>
        <charset val="1"/>
      </rPr>
      <t>시트</t>
    </r>
    <r>
      <rPr>
        <b/>
        <sz val="11"/>
        <color theme="1"/>
        <rFont val="Calibri"/>
        <family val="2"/>
      </rPr>
      <t xml:space="preserve"> </t>
    </r>
    <r>
      <rPr>
        <b/>
        <sz val="11"/>
        <color theme="1"/>
        <rFont val="Calibri"/>
        <family val="2"/>
        <charset val="1"/>
      </rPr>
      <t>합계</t>
    </r>
  </si>
  <si>
    <t>[운영 메모 — 원본 md]</t>
  </si>
  <si>
    <t>· 증량표 13종목은 그대로. 2주 넘게 정체되는 종목만 더블 프로그레션으로 돌린다.</t>
  </si>
  <si>
    <t>· 덜어낼 신호: 증량표 무게가 2주 넘게 멈춤 · 어깨나 팔꿈치 통증 · 자고 나도 피로가 안 풀림.</t>
  </si>
  <si>
    <t>· 덜어낼 때 후보: 목 덤벨 숄더 프레스 · 화 머신 체스트 프레스 · 금 원 레그 라잉 컬 · 목 원암 리버스 플라이 · 프로트랙션 2종 · 인클라인 덤벨 로우 일부 · 외전 일부 · 토 리스트 컬.</t>
  </si>
  <si>
    <t>· '—' 중량 칸은 이 프로그램에서 처음 하는 종목이다. 첫 주에 정해서 적는다.</t>
  </si>
  <si>
    <t>· 복귀_캐리 · 복귀_스텝박스 · 복귀_집계단은 v20 그대로 가져왔다(요일 배치는 아직 정하지 않음).</t>
  </si>
  <si>
    <r>
      <rPr>
        <sz val="11"/>
        <color theme="1"/>
        <rFont val="Calibri"/>
        <family val="2"/>
        <charset val="1"/>
      </rPr>
      <t>불가리안</t>
    </r>
    <r>
      <rPr>
        <sz val="11"/>
        <color theme="1"/>
        <rFont val="Calibri"/>
        <family val="2"/>
      </rPr>
      <t xml:space="preserve"> </t>
    </r>
    <r>
      <rPr>
        <sz val="11"/>
        <color theme="1"/>
        <rFont val="Calibri"/>
        <family val="2"/>
        <charset val="1"/>
      </rPr>
      <t>스플릿</t>
    </r>
    <r>
      <rPr>
        <sz val="11"/>
        <color theme="1"/>
        <rFont val="Calibri"/>
        <family val="2"/>
      </rPr>
      <t xml:space="preserve"> </t>
    </r>
    <r>
      <rPr>
        <sz val="11"/>
        <color theme="1"/>
        <rFont val="Calibri"/>
        <family val="2"/>
        <charset val="1"/>
      </rPr>
      <t>스쿼트</t>
    </r>
    <r>
      <rPr>
        <sz val="11"/>
        <color theme="1"/>
        <rFont val="Calibri"/>
        <family val="2"/>
      </rPr>
      <t xml:space="preserve"> (</t>
    </r>
    <r>
      <rPr>
        <sz val="11"/>
        <color theme="1"/>
        <rFont val="Calibri"/>
        <family val="2"/>
        <charset val="1"/>
      </rPr>
      <t>상체</t>
    </r>
    <r>
      <rPr>
        <sz val="11"/>
        <color theme="1"/>
        <rFont val="Calibri"/>
        <family val="2"/>
      </rPr>
      <t xml:space="preserve"> </t>
    </r>
    <r>
      <rPr>
        <sz val="11"/>
        <color theme="1"/>
        <rFont val="Calibri"/>
        <family val="2"/>
        <charset val="1"/>
      </rPr>
      <t>숙여서</t>
    </r>
    <r>
      <rPr>
        <sz val="11"/>
        <color theme="1"/>
        <rFont val="Calibri"/>
        <family val="2"/>
      </rPr>
      <t>)</t>
    </r>
  </si>
  <si>
    <r>
      <rPr>
        <sz val="11"/>
        <color theme="1"/>
        <rFont val="Calibri"/>
        <family val="2"/>
        <charset val="1"/>
      </rPr>
      <t>둔근</t>
    </r>
  </si>
  <si>
    <r>
      <t>8~10 (</t>
    </r>
    <r>
      <rPr>
        <sz val="11"/>
        <color theme="1"/>
        <rFont val="Calibri"/>
        <family val="2"/>
        <charset val="1"/>
      </rPr>
      <t>좌우</t>
    </r>
    <r>
      <rPr>
        <sz val="11"/>
        <color theme="1"/>
        <rFont val="Calibri"/>
        <family val="2"/>
      </rPr>
      <t>)</t>
    </r>
  </si>
  <si>
    <r>
      <t xml:space="preserve">[2026-10-29 </t>
    </r>
    <r>
      <rPr>
        <sz val="11"/>
        <color theme="1"/>
        <rFont val="Calibri"/>
        <family val="2"/>
        <charset val="1"/>
      </rPr>
      <t>사용자</t>
    </r>
    <r>
      <rPr>
        <sz val="11"/>
        <color theme="1"/>
        <rFont val="Calibri"/>
        <family val="2"/>
      </rPr>
      <t xml:space="preserve"> </t>
    </r>
    <r>
      <rPr>
        <sz val="11"/>
        <color theme="1"/>
        <rFont val="Calibri"/>
        <family val="2"/>
        <charset val="1"/>
      </rPr>
      <t>결정</t>
    </r>
    <r>
      <rPr>
        <sz val="11"/>
        <color theme="1"/>
        <rFont val="Calibri"/>
        <family val="2"/>
      </rPr>
      <t xml:space="preserve">] </t>
    </r>
    <r>
      <rPr>
        <sz val="11"/>
        <color theme="1"/>
        <rFont val="Calibri"/>
        <family val="2"/>
        <charset val="1"/>
      </rPr>
      <t>둔근을</t>
    </r>
    <r>
      <rPr>
        <sz val="11"/>
        <color theme="1"/>
        <rFont val="Calibri"/>
        <family val="2"/>
      </rPr>
      <t xml:space="preserve"> </t>
    </r>
    <r>
      <rPr>
        <sz val="11"/>
        <color theme="1"/>
        <rFont val="Calibri"/>
        <family val="2"/>
        <charset val="1"/>
      </rPr>
      <t>늘어난</t>
    </r>
    <r>
      <rPr>
        <sz val="11"/>
        <color theme="1"/>
        <rFont val="Calibri"/>
        <family val="2"/>
      </rPr>
      <t xml:space="preserve"> </t>
    </r>
    <r>
      <rPr>
        <sz val="11"/>
        <color theme="1"/>
        <rFont val="Calibri"/>
        <family val="2"/>
        <charset val="1"/>
      </rPr>
      <t>위치에서</t>
    </r>
    <r>
      <rPr>
        <sz val="11"/>
        <color theme="1"/>
        <rFont val="Calibri"/>
        <family val="2"/>
      </rPr>
      <t xml:space="preserve"> — </t>
    </r>
    <r>
      <rPr>
        <sz val="11"/>
        <color theme="1"/>
        <rFont val="Calibri"/>
        <family val="2"/>
        <charset val="1"/>
      </rPr>
      <t>힙</t>
    </r>
    <r>
      <rPr>
        <sz val="11"/>
        <color theme="1"/>
        <rFont val="Calibri"/>
        <family val="2"/>
      </rPr>
      <t xml:space="preserve"> </t>
    </r>
    <r>
      <rPr>
        <sz val="11"/>
        <color theme="1"/>
        <rFont val="Calibri"/>
        <family val="2"/>
        <charset val="1"/>
      </rPr>
      <t>쓰러스트</t>
    </r>
    <r>
      <rPr>
        <sz val="11"/>
        <color theme="1"/>
        <rFont val="Calibri"/>
        <family val="2"/>
      </rPr>
      <t>(</t>
    </r>
    <r>
      <rPr>
        <sz val="11"/>
        <color theme="1"/>
        <rFont val="Calibri"/>
        <family val="2"/>
        <charset val="1"/>
      </rPr>
      <t>짧은</t>
    </r>
    <r>
      <rPr>
        <sz val="11"/>
        <color theme="1"/>
        <rFont val="Calibri"/>
        <family val="2"/>
      </rPr>
      <t xml:space="preserve"> </t>
    </r>
    <r>
      <rPr>
        <sz val="11"/>
        <color theme="1"/>
        <rFont val="Calibri"/>
        <family val="2"/>
        <charset val="1"/>
      </rPr>
      <t>위치</t>
    </r>
    <r>
      <rPr>
        <sz val="11"/>
        <color theme="1"/>
        <rFont val="Calibri"/>
        <family val="2"/>
      </rPr>
      <t>)</t>
    </r>
    <r>
      <rPr>
        <sz val="11"/>
        <color theme="1"/>
        <rFont val="Calibri"/>
        <family val="2"/>
        <charset val="1"/>
      </rPr>
      <t>와</t>
    </r>
    <r>
      <rPr>
        <sz val="11"/>
        <color theme="1"/>
        <rFont val="Calibri"/>
        <family val="2"/>
      </rPr>
      <t xml:space="preserve"> </t>
    </r>
    <r>
      <rPr>
        <sz val="11"/>
        <color theme="1"/>
        <rFont val="Calibri"/>
        <family val="2"/>
        <charset val="1"/>
      </rPr>
      <t>짝</t>
    </r>
    <r>
      <rPr>
        <sz val="11"/>
        <color theme="1"/>
        <rFont val="Calibri"/>
        <family val="2"/>
      </rPr>
      <t xml:space="preserve">. </t>
    </r>
    <r>
      <rPr>
        <sz val="11"/>
        <color theme="1"/>
        <rFont val="Calibri"/>
        <family val="2"/>
        <charset val="1"/>
      </rPr>
      <t>상체</t>
    </r>
    <r>
      <rPr>
        <sz val="11"/>
        <color theme="1"/>
        <rFont val="Calibri"/>
        <family val="2"/>
      </rPr>
      <t xml:space="preserve"> 30~45</t>
    </r>
    <r>
      <rPr>
        <sz val="11"/>
        <color theme="1"/>
        <rFont val="Calibri"/>
        <family val="2"/>
        <charset val="1"/>
      </rPr>
      <t>도</t>
    </r>
    <r>
      <rPr>
        <sz val="11"/>
        <color theme="1"/>
        <rFont val="Calibri"/>
        <family val="2"/>
      </rPr>
      <t xml:space="preserve"> </t>
    </r>
    <r>
      <rPr>
        <sz val="11"/>
        <color theme="1"/>
        <rFont val="Calibri"/>
        <family val="2"/>
        <charset val="1"/>
      </rPr>
      <t>숙이고</t>
    </r>
    <r>
      <rPr>
        <sz val="11"/>
        <color theme="1"/>
        <rFont val="Calibri"/>
        <family val="2"/>
      </rPr>
      <t xml:space="preserve"> </t>
    </r>
    <r>
      <rPr>
        <sz val="11"/>
        <color theme="1"/>
        <rFont val="Calibri"/>
        <family val="2"/>
        <charset val="1"/>
      </rPr>
      <t>앞발은</t>
    </r>
    <r>
      <rPr>
        <sz val="11"/>
        <color theme="1"/>
        <rFont val="Calibri"/>
        <family val="2"/>
      </rPr>
      <t xml:space="preserve"> </t>
    </r>
    <r>
      <rPr>
        <sz val="11"/>
        <color theme="1"/>
        <rFont val="Calibri"/>
        <family val="2"/>
        <charset val="1"/>
      </rPr>
      <t>조금</t>
    </r>
    <r>
      <rPr>
        <sz val="11"/>
        <color theme="1"/>
        <rFont val="Calibri"/>
        <family val="2"/>
      </rPr>
      <t xml:space="preserve"> </t>
    </r>
    <r>
      <rPr>
        <sz val="11"/>
        <color theme="1"/>
        <rFont val="Calibri"/>
        <family val="2"/>
        <charset val="1"/>
      </rPr>
      <t>멀리</t>
    </r>
    <r>
      <rPr>
        <sz val="11"/>
        <color theme="1"/>
        <rFont val="Calibri"/>
        <family val="2"/>
      </rPr>
      <t xml:space="preserve">, </t>
    </r>
    <r>
      <rPr>
        <sz val="11"/>
        <color theme="1"/>
        <rFont val="Calibri"/>
        <family val="2"/>
        <charset val="1"/>
      </rPr>
      <t>무릎보다</t>
    </r>
    <r>
      <rPr>
        <sz val="11"/>
        <color theme="1"/>
        <rFont val="Calibri"/>
        <family val="2"/>
      </rPr>
      <t xml:space="preserve"> </t>
    </r>
    <r>
      <rPr>
        <sz val="11"/>
        <color theme="1"/>
        <rFont val="Calibri"/>
        <family val="2"/>
        <charset val="1"/>
      </rPr>
      <t>엉덩이를</t>
    </r>
    <r>
      <rPr>
        <sz val="11"/>
        <color theme="1"/>
        <rFont val="Calibri"/>
        <family val="2"/>
      </rPr>
      <t xml:space="preserve"> </t>
    </r>
    <r>
      <rPr>
        <sz val="11"/>
        <color theme="1"/>
        <rFont val="Calibri"/>
        <family val="2"/>
        <charset val="1"/>
      </rPr>
      <t>뒤로</t>
    </r>
    <r>
      <rPr>
        <sz val="11"/>
        <color theme="1"/>
        <rFont val="Calibri"/>
        <family val="2"/>
      </rPr>
      <t xml:space="preserve"> </t>
    </r>
    <r>
      <rPr>
        <sz val="11"/>
        <color theme="1"/>
        <rFont val="Calibri"/>
        <family val="2"/>
        <charset val="1"/>
      </rPr>
      <t>보내며</t>
    </r>
    <r>
      <rPr>
        <sz val="11"/>
        <color theme="1"/>
        <rFont val="Calibri"/>
        <family val="2"/>
      </rPr>
      <t xml:space="preserve"> </t>
    </r>
    <r>
      <rPr>
        <sz val="11"/>
        <color theme="1"/>
        <rFont val="Calibri"/>
        <family val="2"/>
        <charset val="1"/>
      </rPr>
      <t>내려가</t>
    </r>
    <r>
      <rPr>
        <sz val="11"/>
        <color theme="1"/>
        <rFont val="Calibri"/>
        <family val="2"/>
      </rPr>
      <t xml:space="preserve"> </t>
    </r>
    <r>
      <rPr>
        <sz val="11"/>
        <color theme="1"/>
        <rFont val="Calibri"/>
        <family val="2"/>
        <charset val="1"/>
      </rPr>
      <t>앞발</t>
    </r>
    <r>
      <rPr>
        <sz val="11"/>
        <color theme="1"/>
        <rFont val="Calibri"/>
        <family val="2"/>
      </rPr>
      <t xml:space="preserve"> </t>
    </r>
    <r>
      <rPr>
        <sz val="11"/>
        <color theme="1"/>
        <rFont val="Calibri"/>
        <family val="2"/>
        <charset val="1"/>
      </rPr>
      <t>뒤꿈치로</t>
    </r>
    <r>
      <rPr>
        <sz val="11"/>
        <color theme="1"/>
        <rFont val="Calibri"/>
        <family val="2"/>
      </rPr>
      <t xml:space="preserve"> </t>
    </r>
    <r>
      <rPr>
        <sz val="11"/>
        <color theme="1"/>
        <rFont val="Calibri"/>
        <family val="2"/>
        <charset val="1"/>
      </rPr>
      <t>민다</t>
    </r>
    <r>
      <rPr>
        <sz val="11"/>
        <color theme="1"/>
        <rFont val="Calibri"/>
        <family val="2"/>
      </rPr>
      <t xml:space="preserve">. </t>
    </r>
    <r>
      <rPr>
        <sz val="11"/>
        <color theme="1"/>
        <rFont val="Calibri"/>
        <family val="2"/>
        <charset val="1"/>
      </rPr>
      <t>사두</t>
    </r>
    <r>
      <rPr>
        <sz val="11"/>
        <color theme="1"/>
        <rFont val="Calibri"/>
        <family val="2"/>
      </rPr>
      <t xml:space="preserve"> </t>
    </r>
    <r>
      <rPr>
        <sz val="11"/>
        <color theme="1"/>
        <rFont val="Calibri"/>
        <family val="2"/>
        <charset val="1"/>
      </rPr>
      <t>간접</t>
    </r>
    <r>
      <rPr>
        <sz val="11"/>
        <color theme="1"/>
        <rFont val="Calibri"/>
        <family val="2"/>
      </rPr>
      <t xml:space="preserve"> 0.5 · </t>
    </r>
    <r>
      <rPr>
        <sz val="11"/>
        <color theme="1"/>
        <rFont val="Calibri"/>
        <family val="2"/>
        <charset val="1"/>
      </rPr>
      <t>대내전근도</t>
    </r>
    <r>
      <rPr>
        <sz val="11"/>
        <color theme="1"/>
        <rFont val="Calibri"/>
        <family val="2"/>
      </rPr>
      <t xml:space="preserve"> </t>
    </r>
    <r>
      <rPr>
        <sz val="11"/>
        <color theme="1"/>
        <rFont val="Calibri"/>
        <family val="2"/>
        <charset val="1"/>
      </rPr>
      <t>늘어난</t>
    </r>
    <r>
      <rPr>
        <sz val="11"/>
        <color theme="1"/>
        <rFont val="Calibri"/>
        <family val="2"/>
      </rPr>
      <t xml:space="preserve"> </t>
    </r>
    <r>
      <rPr>
        <sz val="11"/>
        <color theme="1"/>
        <rFont val="Calibri"/>
        <family val="2"/>
        <charset val="1"/>
      </rPr>
      <t>위치에서</t>
    </r>
    <r>
      <rPr>
        <sz val="11"/>
        <color theme="1"/>
        <rFont val="Calibri"/>
        <family val="2"/>
      </rPr>
      <t xml:space="preserve"> </t>
    </r>
    <r>
      <rPr>
        <sz val="11"/>
        <color theme="1"/>
        <rFont val="Calibri"/>
        <family val="2"/>
        <charset val="1"/>
      </rPr>
      <t>쓴다</t>
    </r>
    <r>
      <rPr>
        <sz val="11"/>
        <color theme="1"/>
        <rFont val="Calibri"/>
        <family val="2"/>
      </rPr>
      <t xml:space="preserve">. </t>
    </r>
    <r>
      <rPr>
        <sz val="11"/>
        <color theme="1"/>
        <rFont val="Calibri"/>
        <family val="2"/>
        <charset val="1"/>
      </rPr>
      <t>엉덩이</t>
    </r>
    <r>
      <rPr>
        <sz val="11"/>
        <color theme="1"/>
        <rFont val="Calibri"/>
        <family val="2"/>
      </rPr>
      <t xml:space="preserve"> </t>
    </r>
    <r>
      <rPr>
        <sz val="11"/>
        <color theme="1"/>
        <rFont val="Calibri"/>
        <family val="2"/>
        <charset val="1"/>
      </rPr>
      <t>뒤</t>
    </r>
    <r>
      <rPr>
        <sz val="11"/>
        <color theme="1"/>
        <rFont val="Calibri"/>
        <family val="2"/>
      </rPr>
      <t xml:space="preserve"> </t>
    </r>
    <r>
      <rPr>
        <sz val="11"/>
        <color theme="1"/>
        <rFont val="Calibri"/>
        <family val="2"/>
        <charset val="1"/>
      </rPr>
      <t>팝</t>
    </r>
    <r>
      <rPr>
        <sz val="11"/>
        <color theme="1"/>
        <rFont val="Calibri"/>
        <family val="2"/>
      </rPr>
      <t xml:space="preserve"> </t>
    </r>
    <r>
      <rPr>
        <sz val="11"/>
        <color theme="1"/>
        <rFont val="Calibri"/>
        <family val="2"/>
        <charset val="1"/>
      </rPr>
      <t>이력</t>
    </r>
    <r>
      <rPr>
        <sz val="11"/>
        <color theme="1"/>
        <rFont val="Calibri"/>
        <family val="2"/>
      </rPr>
      <t xml:space="preserve"> — </t>
    </r>
    <r>
      <rPr>
        <sz val="11"/>
        <color theme="1"/>
        <rFont val="Calibri"/>
        <family val="2"/>
        <charset val="1"/>
      </rPr>
      <t>첫</t>
    </r>
    <r>
      <rPr>
        <sz val="11"/>
        <color theme="1"/>
        <rFont val="Calibri"/>
        <family val="2"/>
      </rPr>
      <t xml:space="preserve"> 2</t>
    </r>
    <r>
      <rPr>
        <sz val="11"/>
        <color theme="1"/>
        <rFont val="Calibri"/>
        <family val="2"/>
        <charset val="1"/>
      </rPr>
      <t>주는</t>
    </r>
    <r>
      <rPr>
        <sz val="11"/>
        <color theme="1"/>
        <rFont val="Calibri"/>
        <family val="2"/>
      </rPr>
      <t xml:space="preserve"> </t>
    </r>
    <r>
      <rPr>
        <sz val="11"/>
        <color theme="1"/>
        <rFont val="Calibri"/>
        <family val="2"/>
        <charset val="1"/>
      </rPr>
      <t>맨몸이나</t>
    </r>
    <r>
      <rPr>
        <sz val="11"/>
        <color theme="1"/>
        <rFont val="Calibri"/>
        <family val="2"/>
      </rPr>
      <t xml:space="preserve"> </t>
    </r>
    <r>
      <rPr>
        <sz val="11"/>
        <color theme="1"/>
        <rFont val="Calibri"/>
        <family val="2"/>
        <charset val="1"/>
      </rPr>
      <t>가볍게</t>
    </r>
    <r>
      <rPr>
        <sz val="11"/>
        <color theme="1"/>
        <rFont val="Calibri"/>
        <family val="2"/>
      </rPr>
      <t xml:space="preserve">, </t>
    </r>
    <r>
      <rPr>
        <sz val="11"/>
        <color theme="1"/>
        <rFont val="Calibri"/>
        <family val="2"/>
        <charset val="1"/>
      </rPr>
      <t>아래에서</t>
    </r>
    <r>
      <rPr>
        <sz val="11"/>
        <color theme="1"/>
        <rFont val="Calibri"/>
        <family val="2"/>
      </rPr>
      <t xml:space="preserve"> </t>
    </r>
    <r>
      <rPr>
        <sz val="11"/>
        <color theme="1"/>
        <rFont val="Calibri"/>
        <family val="2"/>
        <charset val="1"/>
      </rPr>
      <t>당기면</t>
    </r>
    <r>
      <rPr>
        <sz val="11"/>
        <color theme="1"/>
        <rFont val="Calibri"/>
        <family val="2"/>
      </rPr>
      <t xml:space="preserve"> </t>
    </r>
    <r>
      <rPr>
        <sz val="11"/>
        <color theme="1"/>
        <rFont val="Calibri"/>
        <family val="2"/>
        <charset val="1"/>
      </rPr>
      <t>깊이를</t>
    </r>
    <r>
      <rPr>
        <sz val="11"/>
        <color theme="1"/>
        <rFont val="Calibri"/>
        <family val="2"/>
      </rPr>
      <t xml:space="preserve"> </t>
    </r>
    <r>
      <rPr>
        <sz val="11"/>
        <color theme="1"/>
        <rFont val="Calibri"/>
        <family val="2"/>
        <charset val="1"/>
      </rPr>
      <t>줄인다</t>
    </r>
    <r>
      <rPr>
        <sz val="11"/>
        <color theme="1"/>
        <rFont val="Calibri"/>
        <family val="2"/>
      </rPr>
      <t>.</t>
    </r>
  </si>
  <si>
    <r>
      <rPr>
        <sz val="11"/>
        <color theme="1"/>
        <rFont val="Calibri"/>
        <family val="2"/>
        <charset val="1"/>
      </rPr>
      <t>덤벨</t>
    </r>
    <r>
      <rPr>
        <sz val="11"/>
        <color theme="1"/>
        <rFont val="Calibri"/>
        <family val="2"/>
      </rPr>
      <t xml:space="preserve"> </t>
    </r>
    <r>
      <rPr>
        <sz val="11"/>
        <color theme="1"/>
        <rFont val="Calibri"/>
        <family val="2"/>
        <charset val="1"/>
      </rPr>
      <t>리버스</t>
    </r>
    <r>
      <rPr>
        <sz val="11"/>
        <color theme="1"/>
        <rFont val="Calibri"/>
        <family val="2"/>
      </rPr>
      <t xml:space="preserve"> </t>
    </r>
    <r>
      <rPr>
        <sz val="11"/>
        <color theme="1"/>
        <rFont val="Calibri"/>
        <family val="2"/>
        <charset val="1"/>
      </rPr>
      <t>런지</t>
    </r>
    <r>
      <rPr>
        <sz val="11"/>
        <color theme="1"/>
        <rFont val="Calibri"/>
        <family val="2"/>
      </rPr>
      <t xml:space="preserve"> (</t>
    </r>
    <r>
      <rPr>
        <sz val="11"/>
        <color theme="1"/>
        <rFont val="Calibri"/>
        <family val="2"/>
        <charset val="1"/>
      </rPr>
      <t>상체</t>
    </r>
    <r>
      <rPr>
        <sz val="11"/>
        <color theme="1"/>
        <rFont val="Calibri"/>
        <family val="2"/>
      </rPr>
      <t xml:space="preserve"> </t>
    </r>
    <r>
      <rPr>
        <sz val="11"/>
        <color theme="1"/>
        <rFont val="Calibri"/>
        <family val="2"/>
        <charset val="1"/>
      </rPr>
      <t>숙여서</t>
    </r>
    <r>
      <rPr>
        <sz val="11"/>
        <color theme="1"/>
        <rFont val="Calibri"/>
        <family val="2"/>
      </rPr>
      <t xml:space="preserve">) / </t>
    </r>
    <r>
      <rPr>
        <sz val="11"/>
        <color theme="1"/>
        <rFont val="Calibri"/>
        <family val="2"/>
        <charset val="1"/>
      </rPr>
      <t>스미스</t>
    </r>
    <r>
      <rPr>
        <sz val="11"/>
        <color theme="1"/>
        <rFont val="Calibri"/>
        <family val="2"/>
      </rPr>
      <t xml:space="preserve"> </t>
    </r>
    <r>
      <rPr>
        <sz val="11"/>
        <color theme="1"/>
        <rFont val="Calibri"/>
        <family val="2"/>
        <charset val="1"/>
      </rPr>
      <t>불가리안</t>
    </r>
  </si>
  <si>
    <t>익스텐션 2 · 이너 3 · 아우터 3 자이언트 세트 · 라운드 후 120초 — 마지막 라운드는 이너 → 아우터만. [2026-10-29] 3 → 2: 불가리안이 사두 간접 1.5를 채운다. 대퇴직근(고관절이 굽은 종목에선 안 늘어남)을 맡는 자리라 0으로는 안 뺐다. 월요일이 버거우면 가장 먼저 뺄 2세트.</t>
    <phoneticPr fontId="29" type="noConversion"/>
  </si>
  <si>
    <t>스쿼트 5 · 레그 프레스 4 · 레그 익스텐션 2(월) · 3(금) — 불가리안 간접 1.5 별도</t>
    <phoneticPr fontId="29" type="noConversion"/>
  </si>
  <si>
    <t>힙 쓰러스트 4 · 데드리프트 3 · 불가리안 스플릿 스쿼트 3(월)</t>
    <phoneticPr fontId="29" type="noConversion"/>
  </si>
  <si>
    <t>하체 A (사두 · 둔근 늘어난 위치 · 내전 · 외전) · 승모 상부</t>
    <phoneticPr fontId="29" type="noConversion"/>
  </si>
  <si>
    <t>옆 센터로 이동(약 3분) 후. 고관절이 굽어 햄스트링이 늘어난 구간. [2026-10-29 사용자 결정] 4 → 3 — 금요일 하체 부담 덜기(햄스트링 금 10 → 9).</t>
    <phoneticPr fontId="29" type="noConversion"/>
  </si>
  <si>
    <t>라잉 레그 컬 4 · 루마니안 3 · 원 레그 라잉 컬 3 · 시티드 레그 컬 3</t>
    <phoneticPr fontId="29" type="noConversion"/>
  </si>
  <si>
    <t>· [2026-10-29 사용자 결정] 맨 앞, 신발 신기 전 맨발로 — 숏풋 5초 × 10(왼발 위주 · 발가락 펴고 엄지 뿌리를 뒤꿈치 쪽으로 당겨 아치만 세움) + 무릎 굽힌 종아리 스트레칭(가자미근) 왼쪽 2×45초 — 약 3분. 왼 아치 낮음 · 아치 세운 무릎 벽 테스트에서 왼쪽 1cm 못 닿음. 한 달 뒤 같은 조건 재측정(왼쪽이 닿거나 차이가 줄면 유지) + 오래 걸을 때 왼발 피로로 판정.</t>
    <phoneticPr fontId="29" type="noConversion"/>
  </si>
  <si>
    <t>· 스쿼트 램프 · 몸풀기 5세트(위 표) — 약 12분(합계 웜업 15분).</t>
    <phoneticPr fontId="29" type="noConversion"/>
  </si>
  <si>
    <t>· 데드 램프 · 몸풀기 5세트(위 표) — 약 12분(합계 웜업 15분).</t>
    <phoneticPr fontId="29" type="noConversion"/>
  </si>
  <si>
    <t>월~토 · 일요일 휴식 · 원본 Downloads\주6일_분할_프로그램.md + 월요일 트랩바 슈러그 3 · 불가리안(상체 숙여서) 3 · 레그 익스텐션 3→2 · 복귀판(v20)은 그대로 두고 한 달 뒤 돌아간다 · 금요일 시티드 레그 컬 4→3 · 월·금 웜업에 숏풋 + 왼 종아리 스트레칭 3분</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</si>
</sst>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m\/d\ \(aaa\)"/>
  </numFmts>
  <fonts count="60">
    <font>
      <sz val="11"/>
      <color theme="1"/>
      <name val="Calibri"/>
      <family val="2"/>
      <charset val="1"/>
    </font>
    <font>
      <b/>
      <sz val="14"/>
      <name val="Noto Sans CJK SC"/>
      <family val="2"/>
      <charset val="1"/>
    </font>
    <font>
      <i/>
      <sz val="9"/>
      <color rgb="FF595959"/>
      <name val="Noto Sans CJK SC"/>
      <family val="2"/>
      <charset val="1"/>
    </font>
    <font>
      <b/>
      <sz val="11"/>
      <name val="Noto Sans CJK SC"/>
      <family val="2"/>
      <charset val="1"/>
    </font>
    <font>
      <sz val="10"/>
      <color rgb="FF0000FF"/>
      <name val="Arial"/>
      <family val="2"/>
      <charset val="1"/>
    </font>
    <font>
      <b/>
      <sz val="10"/>
      <color rgb="FFFFFFFF"/>
      <name val="Noto Sans CJK SC"/>
      <family val="2"/>
      <charset val="1"/>
    </font>
    <font>
      <b/>
      <sz val="10"/>
      <color rgb="FFFFFFFF"/>
      <name val="Arial"/>
      <family val="2"/>
      <charset val="1"/>
    </font>
    <font>
      <sz val="10"/>
      <name val="Noto Sans CJK SC"/>
      <family val="2"/>
      <charset val="1"/>
    </font>
    <font>
      <sz val="10"/>
      <name val="Arial"/>
      <family val="2"/>
      <charset val="1"/>
    </font>
    <font>
      <b/>
      <sz val="10"/>
      <name val="Arial"/>
      <family val="2"/>
      <charset val="1"/>
    </font>
    <font>
      <i/>
      <sz val="9"/>
      <color rgb="FF595959"/>
      <name val="Arial"/>
      <family val="2"/>
      <charset val="1"/>
    </font>
    <font>
      <b/>
      <sz val="11"/>
      <name val="Arial"/>
      <family val="2"/>
      <charset val="1"/>
    </font>
    <font>
      <b/>
      <sz val="13"/>
      <name val="Noto Sans CJK SC"/>
      <family val="2"/>
      <charset val="1"/>
    </font>
    <font>
      <sz val="11"/>
      <name val="Noto Sans CJK SC"/>
      <family val="2"/>
      <charset val="1"/>
    </font>
    <font>
      <b/>
      <sz val="11"/>
      <color rgb="FFFFFFFF"/>
      <name val="Noto Sans CJK SC"/>
      <family val="2"/>
      <charset val="1"/>
    </font>
    <font>
      <sz val="11"/>
      <name val="Arial"/>
      <family val="2"/>
      <charset val="1"/>
    </font>
    <font>
      <b/>
      <sz val="10"/>
      <name val="Noto Sans CJK SC"/>
      <family val="2"/>
      <charset val="1"/>
    </font>
    <font>
      <sz val="11"/>
      <color theme="1"/>
      <name val="Noto Sans CJK SC"/>
      <family val="2"/>
    </font>
    <font>
      <b/>
      <sz val="11"/>
      <color rgb="FFFFFFFF"/>
      <name val="Arial"/>
      <family val="2"/>
      <charset val="1"/>
    </font>
    <font>
      <sz val="11"/>
      <name val="Noto Sans CJK SC"/>
      <family val="3"/>
      <charset val="129"/>
    </font>
    <font>
      <sz val="11"/>
      <name val="맑은 고딕"/>
      <family val="3"/>
      <charset val="129"/>
    </font>
    <font>
      <sz val="9"/>
      <color rgb="FF7F8C8D"/>
      <name val="Noto Sans CJK SC"/>
      <family val="2"/>
      <charset val="1"/>
    </font>
    <font>
      <i/>
      <sz val="9"/>
      <color rgb="FF7F8C8D"/>
      <name val="Noto Sans CJK SC"/>
      <family val="2"/>
      <charset val="1"/>
    </font>
    <font>
      <sz val="9"/>
      <color rgb="FF1F4E3D"/>
      <name val="Arial"/>
      <family val="2"/>
      <charset val="1"/>
    </font>
    <font>
      <sz val="9"/>
      <color rgb="FF566573"/>
      <name val="Noto Sans CJK SC"/>
      <family val="2"/>
      <charset val="1"/>
    </font>
    <font>
      <sz val="9"/>
      <color rgb="FF566573"/>
      <name val="Arial"/>
      <family val="2"/>
      <charset val="1"/>
    </font>
    <font>
      <sz val="9"/>
      <color rgb="FFB9770E"/>
      <name val="Arial"/>
      <family val="2"/>
      <charset val="1"/>
    </font>
    <font>
      <sz val="11"/>
      <color theme="1"/>
      <name val="Noto Sans CJK SC"/>
      <family val="2"/>
      <charset val="1"/>
    </font>
    <font>
      <b/>
      <sz val="14"/>
      <name val="Arial"/>
      <family val="2"/>
      <charset val="1"/>
    </font>
    <font>
      <sz val="8"/>
      <name val="돋움"/>
      <family val="3"/>
      <charset val="129"/>
    </font>
    <font>
      <sz val="11"/>
      <name val="맑은 고딕"/>
      <family val="2"/>
      <charset val="129"/>
    </font>
    <font>
      <u/>
      <sz val="11"/>
      <color theme="10"/>
      <name val="Calibri"/>
      <family val="2"/>
      <charset val="1"/>
    </font>
    <font>
      <sz val="11"/>
      <color theme="1"/>
      <name val="돋움"/>
      <family val="2"/>
      <charset val="129"/>
    </font>
    <font>
      <sz val="11"/>
      <color theme="1"/>
      <name val="맑은 고딕"/>
      <family val="3"/>
      <charset val="129"/>
    </font>
    <font>
      <sz val="11"/>
      <color theme="1"/>
      <name val="맑은 고딕"/>
      <family val="2"/>
      <charset val="129"/>
    </font>
    <font>
      <b/>
      <sz val="11"/>
      <name val="Calibri"/>
      <family val="2"/>
    </font>
    <font>
      <b/>
      <sz val="10"/>
      <color rgb="FFFFFFFF"/>
      <name val="Calibri"/>
      <family val="2"/>
    </font>
    <font>
      <b/>
      <sz val="10"/>
      <color rgb="FF0000FF"/>
      <name val="Calibri"/>
      <family val="2"/>
    </font>
    <font>
      <b/>
      <sz val="10"/>
      <name val="Calibri"/>
      <family val="2"/>
    </font>
    <font>
      <b/>
      <sz val="10"/>
      <color rgb="FF9C0006"/>
      <name val="Calibri"/>
      <family val="2"/>
    </font>
    <font>
      <sz val="10"/>
      <color rgb="FF0000FF"/>
      <name val="Calibri"/>
      <family val="2"/>
    </font>
    <font>
      <b/>
      <sz val="11"/>
      <name val="Calibri"/>
      <family val="2"/>
    </font>
    <font>
      <b/>
      <sz val="11"/>
      <name val="Calibri"/>
      <family val="2"/>
    </font>
    <font>
      <sz val="10"/>
      <color rgb="FF0000FF"/>
      <name val="Calibri"/>
      <family val="2"/>
    </font>
    <font>
      <b/>
      <sz val="11"/>
      <name val="Calibri"/>
      <family val="2"/>
    </font>
    <font>
      <sz val="10"/>
      <name val="Calibri"/>
      <family val="2"/>
    </font>
    <font>
      <sz val="10"/>
      <color rgb="FF0000FF"/>
      <name val="Calibri"/>
      <family val="2"/>
    </font>
    <font>
      <b/>
      <sz val="11"/>
      <color theme="1"/>
      <name val="Calibri"/>
      <family val="2"/>
      <charset val="1"/>
    </font>
    <font>
      <b/>
      <sz val="14"/>
      <name val="Calibri"/>
      <family val="2"/>
    </font>
    <font>
      <b/>
      <sz val="11"/>
      <name val="Calibri"/>
      <family val="2"/>
    </font>
    <font>
      <b/>
      <sz val="11"/>
      <color rgb="FFFFFFFF"/>
      <name val="Calibri"/>
      <family val="2"/>
    </font>
    <font>
      <sz val="10"/>
      <name val="Calibri"/>
      <family val="2"/>
    </font>
    <font>
      <b/>
      <sz val="10"/>
      <color rgb="FFFFFFFF"/>
      <name val="Calibri"/>
      <family val="2"/>
    </font>
    <font>
      <sz val="9"/>
      <name val="Calibri"/>
      <family val="2"/>
    </font>
    <font>
      <sz val="10"/>
      <color theme="1"/>
      <name val="Calibri"/>
      <family val="2"/>
      <charset val="1"/>
    </font>
    <font>
      <b/>
      <sz val="14"/>
      <color theme="1"/>
      <name val="Calibri"/>
      <family val="2"/>
    </font>
    <font>
      <b/>
      <sz val="10"/>
      <color rgb="FFFFFFFF"/>
      <name val="Calibri"/>
      <family val="2"/>
      <charset val="1"/>
    </font>
    <font>
      <b/>
      <sz val="11"/>
      <color theme="1"/>
      <name val="Calibri"/>
      <family val="2"/>
    </font>
    <font>
      <b/>
      <sz val="14"/>
      <color theme="1"/>
      <name val="Calibri"/>
      <family val="2"/>
      <charset val="1"/>
    </font>
    <font>
      <sz val="11"/>
      <color theme="1"/>
      <name val="Calibri"/>
      <family val="2"/>
    </font>
  </fonts>
  <fills count="13">
    <fill>
      <patternFill patternType="none"/>
    </fill>
    <fill>
      <patternFill patternType="gray125"/>
    </fill>
    <fill>
      <patternFill patternType="solid">
        <fgColor rgb="FFFFFF00"/>
        <bgColor rgb="FFFFFF00"/>
      </patternFill>
    </fill>
    <fill>
      <patternFill patternType="solid">
        <fgColor rgb="FF404040"/>
        <bgColor rgb="FF34495E"/>
      </patternFill>
    </fill>
    <fill>
      <patternFill patternType="solid">
        <fgColor rgb="FFE2EFDA"/>
        <bgColor rgb="FFF2F2F2"/>
      </patternFill>
    </fill>
    <fill>
      <patternFill patternType="solid">
        <fgColor rgb="FFD9D9D9"/>
        <bgColor rgb="FFD5D8DC"/>
      </patternFill>
    </fill>
    <fill>
      <patternFill patternType="solid">
        <fgColor rgb="FFFEF9E7"/>
        <bgColor rgb="FFFFFFFF"/>
      </patternFill>
    </fill>
    <fill>
      <patternFill patternType="solid">
        <fgColor rgb="FF34495E"/>
        <bgColor rgb="FF404040"/>
      </patternFill>
    </fill>
    <fill>
      <patternFill patternType="solid">
        <fgColor rgb="FF404040"/>
      </patternFill>
    </fill>
    <fill>
      <patternFill patternType="solid">
        <fgColor rgb="FFFFFF00"/>
      </patternFill>
    </fill>
    <fill>
      <patternFill patternType="solid">
        <fgColor rgb="FFE2EFDA"/>
      </patternFill>
    </fill>
    <fill>
      <patternFill patternType="solid">
        <fgColor rgb="FF404040"/>
        <bgColor indexed="64"/>
      </patternFill>
    </fill>
    <fill>
      <patternFill patternType="solid">
        <fgColor rgb="FFEEEEEE"/>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D5D8DC"/>
      </left>
      <right style="thin">
        <color rgb="FFD5D8DC"/>
      </right>
      <top style="thin">
        <color rgb="FFD5D8DC"/>
      </top>
      <bottom style="thin">
        <color rgb="FFD5D8DC"/>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1" fillId="0" borderId="0"/>
  </cellStyleXfs>
  <cellXfs count="145">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2" fontId="9" fillId="4" borderId="1" xfId="0" applyNumberFormat="1" applyFont="1" applyFill="1" applyBorder="1" applyAlignment="1">
      <alignment horizontal="center" vertical="center"/>
    </xf>
    <xf numFmtId="0" fontId="2" fillId="0" borderId="0" xfId="0" applyFont="1" applyAlignment="1">
      <alignment horizontal="center"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3" fillId="0" borderId="0" xfId="0" applyFont="1" applyAlignment="1">
      <alignment horizontal="left" vertical="center" wrapText="1"/>
    </xf>
    <xf numFmtId="0" fontId="11" fillId="0" borderId="0" xfId="0" applyFont="1"/>
    <xf numFmtId="0" fontId="9" fillId="4" borderId="1" xfId="0" applyFont="1" applyFill="1" applyBorder="1" applyAlignment="1">
      <alignment horizontal="center" vertical="center"/>
    </xf>
    <xf numFmtId="2" fontId="8" fillId="0" borderId="1" xfId="0" applyNumberFormat="1" applyFont="1" applyBorder="1" applyAlignment="1">
      <alignment horizontal="center" vertical="center"/>
    </xf>
    <xf numFmtId="0" fontId="12" fillId="0" borderId="0" xfId="0" applyFont="1"/>
    <xf numFmtId="0" fontId="13" fillId="0" borderId="0" xfId="0" applyFont="1"/>
    <xf numFmtId="0" fontId="14" fillId="3"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xf>
    <xf numFmtId="0" fontId="15" fillId="0" borderId="1" xfId="0" applyFont="1" applyBorder="1" applyAlignment="1">
      <alignment horizontal="left" vertical="center"/>
    </xf>
    <xf numFmtId="0" fontId="13" fillId="5" borderId="1" xfId="0" applyFont="1" applyFill="1" applyBorder="1" applyAlignment="1">
      <alignment horizontal="center" vertical="center"/>
    </xf>
    <xf numFmtId="0" fontId="13" fillId="5" borderId="1" xfId="0" applyFont="1" applyFill="1" applyBorder="1" applyAlignment="1">
      <alignment horizontal="left" vertical="center"/>
    </xf>
    <xf numFmtId="0" fontId="15" fillId="5" borderId="1" xfId="0" applyFont="1" applyFill="1" applyBorder="1" applyAlignment="1">
      <alignment horizontal="left" vertical="center"/>
    </xf>
    <xf numFmtId="0" fontId="15" fillId="0" borderId="1" xfId="0" applyFont="1" applyBorder="1" applyAlignment="1">
      <alignment horizontal="center" vertical="center"/>
    </xf>
    <xf numFmtId="0" fontId="3"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15" fillId="0" borderId="0" xfId="0" applyFont="1" applyAlignment="1">
      <alignment horizontal="left" vertical="center" wrapText="1"/>
    </xf>
    <xf numFmtId="0" fontId="15" fillId="0" borderId="0" xfId="0" applyFont="1"/>
    <xf numFmtId="0" fontId="13" fillId="0" borderId="0" xfId="0" applyFont="1" applyAlignment="1">
      <alignment horizontal="left" vertical="center" wrapText="1"/>
    </xf>
    <xf numFmtId="0" fontId="17" fillId="0" borderId="0" xfId="0" applyFont="1"/>
    <xf numFmtId="0" fontId="18"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9" fillId="0" borderId="1" xfId="0" applyFont="1" applyBorder="1" applyAlignment="1">
      <alignment horizontal="left" vertical="center"/>
    </xf>
    <xf numFmtId="2" fontId="11" fillId="4"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13" fillId="4" borderId="1" xfId="0" applyFont="1" applyFill="1" applyBorder="1" applyAlignment="1">
      <alignment horizontal="center" vertical="center"/>
    </xf>
    <xf numFmtId="2" fontId="15" fillId="4" borderId="1" xfId="0" applyNumberFormat="1" applyFont="1" applyFill="1" applyBorder="1" applyAlignment="1">
      <alignment horizontal="center" vertical="center"/>
    </xf>
    <xf numFmtId="0" fontId="20" fillId="0" borderId="1" xfId="0" applyFont="1" applyBorder="1" applyAlignment="1">
      <alignment horizontal="center" vertical="center"/>
    </xf>
    <xf numFmtId="0" fontId="19" fillId="0" borderId="1" xfId="0" applyFont="1" applyBorder="1" applyAlignment="1">
      <alignment horizontal="center" vertical="center"/>
    </xf>
    <xf numFmtId="0" fontId="5" fillId="7" borderId="2" xfId="0" applyFont="1" applyFill="1" applyBorder="1" applyAlignment="1">
      <alignment horizontal="center"/>
    </xf>
    <xf numFmtId="0" fontId="7" fillId="0" borderId="2" xfId="0" applyFont="1" applyBorder="1"/>
    <xf numFmtId="2" fontId="4" fillId="0" borderId="2" xfId="0" applyNumberFormat="1" applyFont="1" applyBorder="1" applyAlignment="1">
      <alignment horizontal="center"/>
    </xf>
    <xf numFmtId="0" fontId="8" fillId="0" borderId="2" xfId="0" applyFont="1" applyBorder="1" applyAlignment="1">
      <alignment horizontal="center"/>
    </xf>
    <xf numFmtId="2" fontId="8" fillId="0" borderId="2" xfId="0" applyNumberFormat="1" applyFont="1" applyBorder="1" applyAlignment="1">
      <alignment horizontal="center"/>
    </xf>
    <xf numFmtId="0" fontId="23" fillId="0" borderId="2" xfId="0" applyFont="1" applyBorder="1" applyAlignment="1">
      <alignment horizontal="center"/>
    </xf>
    <xf numFmtId="0" fontId="24" fillId="0" borderId="2" xfId="0" applyFont="1" applyBorder="1"/>
    <xf numFmtId="0" fontId="25" fillId="0" borderId="2" xfId="0" applyFont="1" applyBorder="1"/>
    <xf numFmtId="0" fontId="26" fillId="0" borderId="2" xfId="0" applyFont="1" applyBorder="1" applyAlignment="1">
      <alignment horizontal="center"/>
    </xf>
    <xf numFmtId="0" fontId="7" fillId="0" borderId="1" xfId="0" applyFont="1" applyBorder="1" applyAlignment="1">
      <alignment horizontal="left" vertical="center" wrapText="1"/>
    </xf>
    <xf numFmtId="176" fontId="4" fillId="2" borderId="1" xfId="0" applyNumberFormat="1" applyFont="1" applyFill="1" applyBorder="1" applyAlignment="1">
      <alignment horizontal="center" vertical="center"/>
    </xf>
    <xf numFmtId="176" fontId="9" fillId="0" borderId="1" xfId="0" applyNumberFormat="1" applyFont="1" applyBorder="1" applyAlignment="1">
      <alignment horizontal="center" vertical="center"/>
    </xf>
    <xf numFmtId="176" fontId="0" fillId="0" borderId="0" xfId="0" applyNumberFormat="1"/>
    <xf numFmtId="0" fontId="0" fillId="0" borderId="0" xfId="0" applyAlignment="1">
      <alignment vertical="center"/>
    </xf>
    <xf numFmtId="0" fontId="27" fillId="0" borderId="0" xfId="0" applyFont="1" applyAlignment="1">
      <alignment vertical="center"/>
    </xf>
    <xf numFmtId="0" fontId="8" fillId="4" borderId="1" xfId="0" applyFont="1" applyFill="1" applyBorder="1" applyAlignment="1">
      <alignment horizontal="center" vertical="center"/>
    </xf>
    <xf numFmtId="0" fontId="16" fillId="0" borderId="1" xfId="0" applyFont="1" applyBorder="1" applyAlignment="1">
      <alignment horizontal="left" vertical="center" wrapText="1"/>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2" fillId="0" borderId="0" xfId="0" applyFont="1" applyAlignment="1">
      <alignment horizontal="left" vertical="center" wrapText="1"/>
    </xf>
    <xf numFmtId="0" fontId="7" fillId="0" borderId="0" xfId="0" applyFont="1"/>
    <xf numFmtId="0" fontId="4" fillId="0" borderId="1" xfId="0" applyFont="1" applyBorder="1" applyAlignment="1">
      <alignment horizontal="left" vertical="center" wrapText="1"/>
    </xf>
    <xf numFmtId="0" fontId="28" fillId="0" borderId="0" xfId="0" applyFont="1"/>
    <xf numFmtId="0" fontId="7"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8" fillId="0" borderId="1" xfId="0" applyFont="1" applyBorder="1" applyAlignment="1">
      <alignment horizontal="left" vertical="center" wrapText="1"/>
    </xf>
    <xf numFmtId="0" fontId="20" fillId="0" borderId="1" xfId="0" applyFont="1" applyBorder="1" applyAlignment="1">
      <alignment horizontal="left" vertical="center"/>
    </xf>
    <xf numFmtId="0" fontId="30" fillId="0" borderId="1" xfId="0" applyFont="1" applyBorder="1" applyAlignment="1">
      <alignment horizontal="center" vertical="center"/>
    </xf>
    <xf numFmtId="0" fontId="32" fillId="0" borderId="0" xfId="0" applyFont="1"/>
    <xf numFmtId="14" fontId="4" fillId="2" borderId="1" xfId="0" applyNumberFormat="1" applyFont="1" applyFill="1" applyBorder="1" applyAlignment="1">
      <alignment horizontal="center" vertical="center"/>
    </xf>
    <xf numFmtId="0" fontId="33" fillId="0" borderId="0" xfId="0" applyFont="1"/>
    <xf numFmtId="0" fontId="31" fillId="0" borderId="0" xfId="1"/>
    <xf numFmtId="0" fontId="34" fillId="0" borderId="0" xfId="0" applyFont="1"/>
    <xf numFmtId="0" fontId="0" fillId="0" borderId="0" xfId="0" applyAlignment="1">
      <alignment horizontal="left" vertical="center" wrapText="1"/>
    </xf>
    <xf numFmtId="0" fontId="13" fillId="0" borderId="0" xfId="0" applyFont="1" applyAlignment="1">
      <alignment horizontal="left" vertical="center"/>
    </xf>
    <xf numFmtId="0" fontId="15" fillId="0" borderId="0" xfId="0" applyFont="1" applyAlignment="1">
      <alignment horizontal="center" vertical="center"/>
    </xf>
    <xf numFmtId="0" fontId="35" fillId="0" borderId="0" xfId="0" applyFont="1"/>
    <xf numFmtId="0" fontId="36" fillId="8" borderId="0" xfId="0" applyFont="1" applyFill="1" applyAlignment="1">
      <alignment horizontal="center"/>
    </xf>
    <xf numFmtId="0" fontId="37" fillId="9" borderId="0" xfId="0" applyFont="1" applyFill="1"/>
    <xf numFmtId="0" fontId="38" fillId="10" borderId="0" xfId="0" applyFont="1" applyFill="1"/>
    <xf numFmtId="0" fontId="39" fillId="0" borderId="0" xfId="0" applyFont="1"/>
    <xf numFmtId="0" fontId="38" fillId="0" borderId="0" xfId="0" applyFont="1"/>
    <xf numFmtId="0" fontId="36" fillId="8" borderId="1" xfId="0" applyFont="1" applyFill="1" applyBorder="1" applyAlignment="1">
      <alignment horizontal="center" vertical="center"/>
    </xf>
    <xf numFmtId="0" fontId="36" fillId="8" borderId="0" xfId="0" applyFont="1" applyFill="1"/>
    <xf numFmtId="177" fontId="40" fillId="0" borderId="0" xfId="0" applyNumberFormat="1" applyFont="1"/>
    <xf numFmtId="0" fontId="40" fillId="0" borderId="0" xfId="0" applyFont="1"/>
    <xf numFmtId="0" fontId="40" fillId="9" borderId="0" xfId="0" applyFont="1" applyFill="1"/>
    <xf numFmtId="0" fontId="41" fillId="0" borderId="0" xfId="0" applyFont="1"/>
    <xf numFmtId="0" fontId="42" fillId="0" borderId="0" xfId="0" applyFont="1"/>
    <xf numFmtId="177" fontId="43" fillId="0" borderId="0" xfId="0" applyNumberFormat="1" applyFont="1"/>
    <xf numFmtId="0" fontId="43" fillId="0" borderId="0" xfId="0" applyFont="1"/>
    <xf numFmtId="0" fontId="44" fillId="0" borderId="0" xfId="0" applyFont="1"/>
    <xf numFmtId="0" fontId="45" fillId="0" borderId="0" xfId="0" applyFont="1"/>
    <xf numFmtId="177" fontId="46" fillId="0" borderId="0" xfId="0" applyNumberFormat="1" applyFont="1"/>
    <xf numFmtId="0" fontId="46" fillId="0" borderId="0" xfId="0" applyFont="1"/>
    <xf numFmtId="0" fontId="47" fillId="0" borderId="0" xfId="0" applyFont="1"/>
    <xf numFmtId="14" fontId="0" fillId="0" borderId="0" xfId="0" applyNumberFormat="1"/>
    <xf numFmtId="0" fontId="8" fillId="0" borderId="0" xfId="0" applyFont="1" applyAlignment="1">
      <alignment horizontal="center" vertical="center"/>
    </xf>
    <xf numFmtId="0" fontId="4" fillId="2" borderId="0" xfId="0" applyFont="1" applyFill="1" applyAlignment="1">
      <alignment horizontal="center" vertical="center"/>
    </xf>
    <xf numFmtId="2" fontId="8" fillId="0" borderId="0" xfId="0" applyNumberFormat="1" applyFont="1" applyAlignment="1">
      <alignment horizontal="center" vertical="center"/>
    </xf>
    <xf numFmtId="0" fontId="4" fillId="0" borderId="0" xfId="0" applyFont="1" applyAlignment="1">
      <alignment horizontal="left" vertical="center" wrapText="1"/>
    </xf>
    <xf numFmtId="14" fontId="4" fillId="2" borderId="0" xfId="0" applyNumberFormat="1" applyFont="1" applyFill="1" applyAlignment="1">
      <alignment horizontal="center" vertical="center"/>
    </xf>
    <xf numFmtId="0" fontId="48" fillId="0" borderId="0" xfId="0" applyFont="1"/>
    <xf numFmtId="0" fontId="49" fillId="0" borderId="0" xfId="0" applyFont="1"/>
    <xf numFmtId="0" fontId="50" fillId="8" borderId="0" xfId="0" applyFont="1" applyFill="1" applyAlignment="1">
      <alignment horizontal="center" vertical="center"/>
    </xf>
    <xf numFmtId="0" fontId="0" fillId="0" borderId="0" xfId="0" applyAlignment="1">
      <alignment horizontal="center" vertical="center"/>
    </xf>
    <xf numFmtId="0" fontId="52" fillId="8" borderId="4" xfId="0" applyFont="1" applyFill="1" applyBorder="1" applyAlignment="1">
      <alignment horizontal="center" vertical="center"/>
    </xf>
    <xf numFmtId="0" fontId="51" fillId="0" borderId="4" xfId="0" applyFont="1" applyBorder="1" applyAlignment="1">
      <alignment horizontal="center" vertical="center"/>
    </xf>
    <xf numFmtId="0" fontId="51" fillId="0" borderId="4" xfId="0" applyFont="1" applyBorder="1" applyAlignment="1">
      <alignment horizontal="left" vertical="center" wrapText="1"/>
    </xf>
    <xf numFmtId="0" fontId="51" fillId="0" borderId="0" xfId="0" applyFont="1" applyAlignment="1">
      <alignment horizontal="left" vertical="center"/>
    </xf>
    <xf numFmtId="0" fontId="51" fillId="0" borderId="4" xfId="0" applyFont="1" applyBorder="1" applyAlignment="1">
      <alignment horizontal="left" vertical="center"/>
    </xf>
    <xf numFmtId="0" fontId="53" fillId="0" borderId="0" xfId="0" applyFont="1" applyAlignment="1">
      <alignment horizontal="left" vertical="center"/>
    </xf>
    <xf numFmtId="0" fontId="54" fillId="0" borderId="0" xfId="0" applyFont="1"/>
    <xf numFmtId="0" fontId="55" fillId="0" borderId="0" xfId="0" applyFont="1"/>
    <xf numFmtId="0" fontId="56" fillId="11" borderId="0" xfId="0" applyFont="1" applyFill="1"/>
    <xf numFmtId="0" fontId="36" fillId="11" borderId="0" xfId="0" applyFont="1" applyFill="1"/>
    <xf numFmtId="0" fontId="57" fillId="0" borderId="0" xfId="0" applyFont="1"/>
    <xf numFmtId="0" fontId="54" fillId="0" borderId="0" xfId="0" applyFont="1" applyAlignment="1">
      <alignment horizontal="center"/>
    </xf>
    <xf numFmtId="1" fontId="0" fillId="0" borderId="0" xfId="0" applyNumberFormat="1"/>
    <xf numFmtId="178" fontId="54" fillId="0" borderId="0" xfId="0" applyNumberFormat="1" applyFont="1" applyAlignment="1">
      <alignment horizontal="center"/>
    </xf>
    <xf numFmtId="0" fontId="0" fillId="0" borderId="0" xfId="0" applyAlignment="1">
      <alignment horizontal="center"/>
    </xf>
    <xf numFmtId="178" fontId="0" fillId="0" borderId="0" xfId="0" applyNumberFormat="1" applyAlignment="1">
      <alignment horizontal="center"/>
    </xf>
    <xf numFmtId="178" fontId="0" fillId="0" borderId="0" xfId="0" applyNumberFormat="1"/>
    <xf numFmtId="0" fontId="47" fillId="11" borderId="0" xfId="0" applyFont="1" applyFill="1"/>
    <xf numFmtId="0" fontId="7" fillId="0" borderId="0" xfId="0" applyFont="1" applyAlignment="1">
      <alignment horizontal="center" vertical="center"/>
    </xf>
    <xf numFmtId="2" fontId="9" fillId="4" borderId="0" xfId="0" applyNumberFormat="1" applyFont="1" applyFill="1" applyAlignment="1">
      <alignment horizontal="center" vertical="center"/>
    </xf>
    <xf numFmtId="0" fontId="4" fillId="2" borderId="4" xfId="0" applyFont="1" applyFill="1" applyBorder="1" applyAlignment="1">
      <alignment horizontal="center" vertical="center"/>
    </xf>
    <xf numFmtId="0" fontId="57" fillId="12" borderId="0" xfId="0" applyFont="1" applyFill="1"/>
    <xf numFmtId="2" fontId="0" fillId="0" borderId="0" xfId="0" applyNumberFormat="1"/>
    <xf numFmtId="49" fontId="0" fillId="0" borderId="0" xfId="0" applyNumberFormat="1"/>
    <xf numFmtId="0" fontId="0" fillId="0" borderId="0" xfId="0" applyAlignment="1">
      <alignment wrapText="1"/>
    </xf>
    <xf numFmtId="0" fontId="59" fillId="0" borderId="0" xfId="0" applyFont="1"/>
    <xf numFmtId="2" fontId="59" fillId="0" borderId="0" xfId="0" applyNumberFormat="1" applyFont="1"/>
    <xf numFmtId="49" fontId="59" fillId="0" borderId="0" xfId="0" applyNumberFormat="1" applyFont="1"/>
    <xf numFmtId="0" fontId="59" fillId="0" borderId="0" xfId="0" applyFont="1" applyAlignment="1">
      <alignment wrapText="1"/>
    </xf>
    <xf numFmtId="0" fontId="22" fillId="6" borderId="0" xfId="0" applyFont="1" applyFill="1" applyAlignment="1">
      <alignment vertical="top" wrapText="1"/>
    </xf>
    <xf numFmtId="0" fontId="0" fillId="0" borderId="0" xfId="0"/>
    <xf numFmtId="0" fontId="21" fillId="0" borderId="0" xfId="0" applyFont="1" applyAlignment="1">
      <alignment vertical="top" wrapText="1"/>
    </xf>
    <xf numFmtId="0" fontId="27" fillId="0" borderId="3" xfId="0" applyFont="1" applyBorder="1" applyAlignment="1">
      <alignment horizontal="center" vertical="center"/>
    </xf>
    <xf numFmtId="0" fontId="0" fillId="0" borderId="3" xfId="0" applyBorder="1"/>
    <xf numFmtId="0" fontId="54" fillId="0" borderId="0" xfId="0" applyFont="1"/>
  </cellXfs>
  <cellStyles count="2">
    <cellStyle name="표준" xfId="0" builtinId="0"/>
    <cellStyle name="하이퍼링크" xfId="1" builtinId="8"/>
  </cellStyles>
  <dxfs count="11">
    <dxf>
      <fill>
        <patternFill patternType="solid">
          <fgColor rgb="FFE2EFDA"/>
        </patternFill>
      </fill>
    </dxf>
    <dxf>
      <font>
        <b/>
        <color rgb="FF9C0006"/>
      </font>
      <fill>
        <patternFill patternType="solid">
          <fgColor rgb="FFFFC7CE"/>
        </patternFill>
      </fill>
    </dxf>
    <dxf>
      <fill>
        <patternFill patternType="solid">
          <fgColor rgb="FFFFC7CE"/>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ill>
        <patternFill>
          <bgColor rgb="FFD9D9D9"/>
        </patternFill>
      </fill>
    </dxf>
    <dxf>
      <font>
        <color rgb="FF95A5A6"/>
      </font>
      <fill>
        <patternFill>
          <bgColor rgb="FFF2F2F2"/>
        </patternFill>
      </fill>
    </dxf>
    <dxf>
      <font>
        <color rgb="FF95A5A6"/>
      </font>
      <fill>
        <patternFill>
          <bgColor rgb="FFF2F2F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9770E"/>
      <rgbColor rgb="FF800080"/>
      <rgbColor rgb="FF008080"/>
      <rgbColor rgb="FFBFBFBF"/>
      <rgbColor rgb="FF7F8C8D"/>
      <rgbColor rgb="FF9999FF"/>
      <rgbColor rgb="FF595959"/>
      <rgbColor rgb="FFFEF9E7"/>
      <rgbColor rgb="FFF2F2F2"/>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9D9D9"/>
      <rgbColor rgb="FF3366FF"/>
      <rgbColor rgb="FF33CCCC"/>
      <rgbColor rgb="FF99CC00"/>
      <rgbColor rgb="FFFFCC00"/>
      <rgbColor rgb="FFFF9900"/>
      <rgbColor rgb="FFFF6600"/>
      <rgbColor rgb="FF566573"/>
      <rgbColor rgb="FF95A5A6"/>
      <rgbColor rgb="FF1F4E3D"/>
      <rgbColor rgb="FF339966"/>
      <rgbColor rgb="FF003300"/>
      <rgbColor rgb="FF333300"/>
      <rgbColor rgb="FF993300"/>
      <rgbColor rgb="FF993366"/>
      <rgbColor rgb="FF34495E"/>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BGaOGtfTKPc&amp;list=LL&amp;index=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
  <sheetViews>
    <sheetView topLeftCell="A36" zoomScaleNormal="100" workbookViewId="0">
      <selection activeCell="A75" sqref="A75"/>
    </sheetView>
  </sheetViews>
  <sheetFormatPr defaultColWidth="8.7109375" defaultRowHeight="15"/>
  <cols>
    <col min="1" max="1" width="18" customWidth="1"/>
    <col min="2" max="2" width="14" customWidth="1"/>
    <col min="3" max="6" width="16" customWidth="1"/>
  </cols>
  <sheetData>
    <row r="1" spans="1:6" ht="21" customHeight="1">
      <c r="A1" s="1" t="s">
        <v>72</v>
      </c>
    </row>
    <row r="2" spans="1:6" ht="15" customHeight="1">
      <c r="A2" s="2" t="s">
        <v>73</v>
      </c>
    </row>
    <row r="4" spans="1:6" ht="15" customHeight="1">
      <c r="A4" s="3" t="s">
        <v>74</v>
      </c>
      <c r="C4" s="4">
        <v>11</v>
      </c>
      <c r="D4" s="2" t="s">
        <v>75</v>
      </c>
    </row>
    <row r="6" spans="1:6" ht="15" customHeight="1">
      <c r="A6" s="5" t="s">
        <v>76</v>
      </c>
      <c r="B6" s="6" t="s">
        <v>77</v>
      </c>
      <c r="C6" s="5" t="s">
        <v>78</v>
      </c>
      <c r="D6" s="5" t="s">
        <v>79</v>
      </c>
      <c r="E6" s="5" t="s">
        <v>80</v>
      </c>
      <c r="F6" s="5" t="s">
        <v>81</v>
      </c>
    </row>
    <row r="7" spans="1:6" ht="15" customHeight="1">
      <c r="A7" s="7" t="s">
        <v>82</v>
      </c>
      <c r="B7" s="7">
        <v>92.5</v>
      </c>
      <c r="C7" s="8" t="str">
        <f>TEXT(D7/B7,"0%")</f>
        <v>67%</v>
      </c>
      <c r="D7" s="4">
        <v>62</v>
      </c>
      <c r="E7" s="9">
        <f>INDEX(증량기록!$C$22:$C$51,MAX(1,MIN(30,$C$4-5)))</f>
        <v>75</v>
      </c>
      <c r="F7" s="8" t="s">
        <v>83</v>
      </c>
    </row>
    <row r="8" spans="1:6" ht="15" customHeight="1">
      <c r="A8" s="7" t="s">
        <v>84</v>
      </c>
      <c r="B8" s="7">
        <v>105</v>
      </c>
      <c r="C8" s="8" t="str">
        <f>TEXT(D8/B8,"0%")</f>
        <v>64%</v>
      </c>
      <c r="D8" s="4">
        <v>67</v>
      </c>
      <c r="E8" s="9">
        <f>INDEX(증량기록!$E$22:$E$51,MAX(1,MIN(30,$C$4-5)))</f>
        <v>80</v>
      </c>
      <c r="F8" s="8" t="s">
        <v>85</v>
      </c>
    </row>
    <row r="9" spans="1:6" ht="15" customHeight="1">
      <c r="A9" s="7" t="s">
        <v>86</v>
      </c>
      <c r="B9" s="7">
        <v>47.25</v>
      </c>
      <c r="C9" s="8" t="str">
        <f>TEXT(D9/B9,"0%")</f>
        <v>74%</v>
      </c>
      <c r="D9" s="4">
        <v>35</v>
      </c>
      <c r="E9" s="9">
        <f>INDEX(증량기록!$G$22:$G$51,MAX(1,MIN(30,$C$4-5)))</f>
        <v>41</v>
      </c>
      <c r="F9" s="8" t="s">
        <v>87</v>
      </c>
    </row>
    <row r="10" spans="1:6" ht="15" customHeight="1">
      <c r="A10" s="7" t="s">
        <v>88</v>
      </c>
      <c r="B10" s="7">
        <v>40</v>
      </c>
      <c r="C10" s="8" t="str">
        <f>TEXT(D10/B10,"0%")</f>
        <v>70%</v>
      </c>
      <c r="D10" s="4">
        <v>28</v>
      </c>
      <c r="E10" s="9">
        <f>INDEX(증량기록!$I$22:$I$51,MAX(1,MIN(30,$C$4-5)))</f>
        <v>31</v>
      </c>
      <c r="F10" s="8" t="s">
        <v>1015</v>
      </c>
    </row>
    <row r="11" spans="1:6" ht="15" customHeight="1">
      <c r="A11" s="128" t="s">
        <v>1020</v>
      </c>
      <c r="B11" s="128" t="s">
        <v>27</v>
      </c>
      <c r="C11" s="101" t="s">
        <v>27</v>
      </c>
      <c r="D11" s="102">
        <v>60</v>
      </c>
      <c r="E11" s="129">
        <f>IF($C$4&lt;증량기록!$F$9,D11,INDEX(증량기록!$N$22:$N$51,MAX(1,MIN(30,$C$4-5))))</f>
        <v>60</v>
      </c>
      <c r="F11" s="101" t="s">
        <v>87</v>
      </c>
    </row>
    <row r="12" spans="1:6" ht="15" customHeight="1">
      <c r="A12" s="128" t="s">
        <v>517</v>
      </c>
      <c r="B12" s="128" t="s">
        <v>27</v>
      </c>
      <c r="C12" s="101" t="s">
        <v>27</v>
      </c>
      <c r="D12" s="102">
        <v>42</v>
      </c>
      <c r="E12" s="129">
        <f>IF($C$4&lt;증량기록!$F$10,D12,INDEX(증량기록!$P$22:$P$51,MAX(1,MIN(30,$C$4-5))))</f>
        <v>42</v>
      </c>
      <c r="F12" s="101" t="s">
        <v>1021</v>
      </c>
    </row>
    <row r="13" spans="1:6" ht="15" customHeight="1">
      <c r="A13" s="128" t="s">
        <v>374</v>
      </c>
      <c r="B13" s="128" t="s">
        <v>27</v>
      </c>
      <c r="C13" s="101" t="s">
        <v>27</v>
      </c>
      <c r="D13" s="102">
        <v>160</v>
      </c>
      <c r="E13" s="129">
        <f>IF($C$4&lt;증량기록!$F$11,D13,INDEX(증량기록!$R$22:$R$51,MAX(1,MIN(30,$C$4-5))))</f>
        <v>160</v>
      </c>
      <c r="F13" s="101" t="s">
        <v>1031</v>
      </c>
    </row>
    <row r="14" spans="1:6" ht="15" customHeight="1">
      <c r="A14" s="128" t="s">
        <v>911</v>
      </c>
      <c r="B14" s="128" t="s">
        <v>27</v>
      </c>
      <c r="C14" s="101" t="s">
        <v>27</v>
      </c>
      <c r="D14" s="102">
        <v>140</v>
      </c>
      <c r="E14" s="129">
        <f>IF($C$4&lt;증량기록!$F$12,D14,INDEX(증량기록!$T$22:$T$51,MAX(1,MIN(30,$C$4-5))))</f>
        <v>140</v>
      </c>
      <c r="F14" s="101" t="s">
        <v>1031</v>
      </c>
    </row>
    <row r="15" spans="1:6" ht="15" customHeight="1">
      <c r="A15" s="128" t="s">
        <v>559</v>
      </c>
      <c r="B15" s="128" t="s">
        <v>27</v>
      </c>
      <c r="C15" s="101" t="s">
        <v>27</v>
      </c>
      <c r="D15" s="102">
        <v>50</v>
      </c>
      <c r="E15" s="129">
        <f>IF($C$4&lt;증량기록!$F$13,D15,INDEX(증량기록!$V$22:$V$51,MAX(1,MIN(30,$C$4-5))))</f>
        <v>50</v>
      </c>
      <c r="F15" s="101" t="s">
        <v>1021</v>
      </c>
    </row>
    <row r="16" spans="1:6" ht="15" customHeight="1">
      <c r="A16" s="128" t="s">
        <v>556</v>
      </c>
      <c r="B16" s="128" t="s">
        <v>27</v>
      </c>
      <c r="C16" s="101" t="s">
        <v>27</v>
      </c>
      <c r="D16" s="102">
        <v>25</v>
      </c>
      <c r="E16" s="129">
        <f>IF($C$4&lt;증량기록!$F$14,D16,INDEX(증량기록!$X$22:$X$51,MAX(1,MIN(30,$C$4-5))))</f>
        <v>25</v>
      </c>
      <c r="F16" s="101" t="s">
        <v>1041</v>
      </c>
    </row>
    <row r="17" spans="1:6" ht="15" customHeight="1">
      <c r="A17" s="128" t="s">
        <v>417</v>
      </c>
      <c r="B17" s="128" t="s">
        <v>27</v>
      </c>
      <c r="C17" s="101" t="s">
        <v>27</v>
      </c>
      <c r="D17" s="102">
        <v>25</v>
      </c>
      <c r="E17" s="129">
        <f>IF($C$4&lt;증량기록!$F$15,D17,INDEX(증량기록!$Z$22:$Z$51,MAX(1,MIN(30,$C$4-5))))</f>
        <v>25</v>
      </c>
      <c r="F17" s="101" t="s">
        <v>1045</v>
      </c>
    </row>
    <row r="18" spans="1:6" ht="15" customHeight="1">
      <c r="A18" s="128" t="s">
        <v>1049</v>
      </c>
      <c r="B18" s="128" t="s">
        <v>27</v>
      </c>
      <c r="C18" s="101" t="s">
        <v>27</v>
      </c>
      <c r="D18" s="102">
        <v>50</v>
      </c>
      <c r="E18" s="129">
        <f>IF($C$4&lt;증량기록!$F$16,D18,INDEX(증량기록!$AB$22:$AB$51,MAX(1,MIN(30,$C$4-5))))</f>
        <v>50</v>
      </c>
      <c r="F18" s="101" t="s">
        <v>1045</v>
      </c>
    </row>
    <row r="19" spans="1:6" ht="15" customHeight="1">
      <c r="A19" s="128" t="s">
        <v>1079</v>
      </c>
      <c r="B19" s="128" t="s">
        <v>27</v>
      </c>
      <c r="C19" s="101" t="s">
        <v>27</v>
      </c>
      <c r="D19" s="102">
        <v>0</v>
      </c>
      <c r="E19" s="129">
        <f>IF($C$4&lt;증량기록!$F$17,D19,INDEX(증량기록!$AD$22:$AD$51,MAX(1,MIN(30,$C$4-5))))</f>
        <v>0</v>
      </c>
      <c r="F19" s="101" t="s">
        <v>1053</v>
      </c>
    </row>
    <row r="20" spans="1:6" ht="15" customHeight="1">
      <c r="A20" s="128" t="s">
        <v>588</v>
      </c>
      <c r="B20" s="128" t="s">
        <v>27</v>
      </c>
      <c r="C20" s="101" t="s">
        <v>27</v>
      </c>
      <c r="D20" s="102">
        <v>15</v>
      </c>
      <c r="E20" s="129">
        <f>IF($C$4&lt;증량기록!$F$18,D20,INDEX(증량기록!$AF$22:$AF$51,MAX(1,MIN(30,$C$4-5))))</f>
        <v>15</v>
      </c>
      <c r="F20" s="101" t="s">
        <v>1031</v>
      </c>
    </row>
    <row r="21" spans="1:6" ht="15" customHeight="1">
      <c r="A21" s="128" t="s">
        <v>439</v>
      </c>
      <c r="B21" s="128" t="s">
        <v>27</v>
      </c>
      <c r="C21" s="101" t="s">
        <v>27</v>
      </c>
      <c r="D21" s="102">
        <v>15</v>
      </c>
      <c r="E21" s="129">
        <f>IF($C$4&lt;증량기록!$F$19,D21,INDEX(증량기록!$AH$22:$AH$51,MAX(1,MIN(30,$C$4-5))))</f>
        <v>15</v>
      </c>
      <c r="F21" s="101" t="s">
        <v>1060</v>
      </c>
    </row>
    <row r="22" spans="1:6" ht="15" customHeight="1">
      <c r="A22" s="128" t="s">
        <v>1063</v>
      </c>
      <c r="B22" s="128" t="s">
        <v>27</v>
      </c>
      <c r="C22" s="101" t="s">
        <v>27</v>
      </c>
      <c r="D22" s="102">
        <v>40</v>
      </c>
      <c r="E22" s="129">
        <f>IF($C$4&lt;증량기록!$F$20,D22,INDEX(증량기록!$AJ$22:$AJ$51,MAX(1,MIN(30,$C$4-5))))</f>
        <v>40</v>
      </c>
      <c r="F22" s="101" t="s">
        <v>1064</v>
      </c>
    </row>
    <row r="23" spans="1:6" ht="15" customHeight="1">
      <c r="D23" s="10" t="s">
        <v>89</v>
      </c>
    </row>
    <row r="24" spans="1:6" ht="15" customHeight="1">
      <c r="A24" s="11"/>
    </row>
    <row r="25" spans="1:6" ht="32.25" customHeight="1">
      <c r="A25" s="12" t="s">
        <v>90</v>
      </c>
    </row>
    <row r="26" spans="1:6" ht="51.75" customHeight="1">
      <c r="A26" s="11" t="s">
        <v>91</v>
      </c>
    </row>
    <row r="27" spans="1:6" ht="51.75" customHeight="1">
      <c r="A27" s="11" t="s">
        <v>92</v>
      </c>
    </row>
    <row r="28" spans="1:6" ht="64.5" customHeight="1">
      <c r="A28" s="11" t="s">
        <v>93</v>
      </c>
    </row>
    <row r="29" spans="1:6" ht="51.75" customHeight="1">
      <c r="A29" s="11" t="s">
        <v>94</v>
      </c>
    </row>
    <row r="30" spans="1:6" ht="51.75" customHeight="1">
      <c r="A30" s="11"/>
    </row>
    <row r="31" spans="1:6" ht="15" customHeight="1">
      <c r="A31" s="12" t="s">
        <v>95</v>
      </c>
    </row>
    <row r="32" spans="1:6" ht="77.25" customHeight="1">
      <c r="A32" s="11" t="s">
        <v>96</v>
      </c>
    </row>
    <row r="33" spans="1:1" ht="51.75" customHeight="1">
      <c r="A33" s="11" t="s">
        <v>97</v>
      </c>
    </row>
    <row r="34" spans="1:1" ht="15" customHeight="1">
      <c r="A34" s="11" t="s">
        <v>98</v>
      </c>
    </row>
    <row r="35" spans="1:1" ht="16.5" customHeight="1">
      <c r="A35" s="11" t="s">
        <v>99</v>
      </c>
    </row>
    <row r="36" spans="1:1" ht="51.75" customHeight="1">
      <c r="A36" s="11" t="s">
        <v>100</v>
      </c>
    </row>
    <row r="37" spans="1:1" ht="39" customHeight="1">
      <c r="A37" s="11"/>
    </row>
    <row r="38" spans="1:1" ht="64.5" customHeight="1">
      <c r="A38" s="11" t="s">
        <v>101</v>
      </c>
    </row>
    <row r="39" spans="1:1" ht="15" customHeight="1">
      <c r="A39" s="11" t="s">
        <v>102</v>
      </c>
    </row>
    <row r="40" spans="1:1" ht="60" customHeight="1">
      <c r="A40" s="11"/>
    </row>
    <row r="41" spans="1:1" ht="51.75" customHeight="1">
      <c r="A41" s="13" t="s">
        <v>103</v>
      </c>
    </row>
    <row r="42" spans="1:1" ht="51.75" customHeight="1">
      <c r="A42" s="11" t="s">
        <v>104</v>
      </c>
    </row>
    <row r="43" spans="1:1" ht="64.5" customHeight="1">
      <c r="A43" s="11" t="s">
        <v>105</v>
      </c>
    </row>
    <row r="44" spans="1:1" ht="64.5" customHeight="1">
      <c r="A44" s="11" t="s">
        <v>106</v>
      </c>
    </row>
    <row r="45" spans="1:1" ht="15" customHeight="1">
      <c r="A45" s="11"/>
    </row>
    <row r="46" spans="1:1" ht="51.75" customHeight="1">
      <c r="A46" s="11" t="s">
        <v>107</v>
      </c>
    </row>
    <row r="47" spans="1:1" ht="64.5" customHeight="1">
      <c r="A47" s="11" t="s">
        <v>108</v>
      </c>
    </row>
    <row r="48" spans="1:1" ht="26.25" customHeight="1">
      <c r="A48" s="11" t="s">
        <v>109</v>
      </c>
    </row>
    <row r="49" spans="1:5" ht="26.25" customHeight="1">
      <c r="A49" s="11" t="s">
        <v>110</v>
      </c>
    </row>
    <row r="50" spans="1:5" ht="26.25" customHeight="1">
      <c r="A50" s="11" t="s">
        <v>111</v>
      </c>
    </row>
    <row r="51" spans="1:5" ht="26.25" customHeight="1">
      <c r="A51" s="11" t="s">
        <v>112</v>
      </c>
    </row>
    <row r="53" spans="1:5" ht="16.5" customHeight="1">
      <c r="A53" s="14" t="s">
        <v>113</v>
      </c>
    </row>
    <row r="54" spans="1:5" ht="15" customHeight="1">
      <c r="A54" s="5" t="s">
        <v>114</v>
      </c>
      <c r="B54" s="5" t="s">
        <v>82</v>
      </c>
      <c r="C54" s="5" t="s">
        <v>84</v>
      </c>
      <c r="D54" s="5" t="s">
        <v>86</v>
      </c>
      <c r="E54" s="5" t="s">
        <v>88</v>
      </c>
    </row>
    <row r="55" spans="1:5" ht="15" customHeight="1">
      <c r="A55" s="15" t="s">
        <v>115</v>
      </c>
      <c r="B55" s="9">
        <f>증량기록!C22</f>
        <v>62</v>
      </c>
      <c r="C55" s="9">
        <f>증량기록!E22</f>
        <v>67</v>
      </c>
      <c r="D55" s="9">
        <f>증량기록!G22</f>
        <v>35</v>
      </c>
      <c r="E55" s="9">
        <f>증량기록!I22</f>
        <v>28</v>
      </c>
    </row>
    <row r="56" spans="1:5" ht="15" customHeight="1">
      <c r="A56" s="8" t="s">
        <v>116</v>
      </c>
      <c r="B56" s="16">
        <f>증량기록!C23</f>
        <v>65</v>
      </c>
      <c r="C56" s="16">
        <f>증량기록!E23</f>
        <v>70</v>
      </c>
      <c r="D56" s="16">
        <f>증량기록!G23</f>
        <v>36</v>
      </c>
      <c r="E56" s="16">
        <f>증량기록!I23</f>
        <v>28</v>
      </c>
    </row>
    <row r="57" spans="1:5" ht="15" customHeight="1">
      <c r="A57" s="8" t="s">
        <v>117</v>
      </c>
      <c r="B57" s="16">
        <f>증량기록!C24</f>
        <v>67</v>
      </c>
      <c r="C57" s="16">
        <f>증량기록!E24</f>
        <v>72</v>
      </c>
      <c r="D57" s="16">
        <f>증량기록!G24</f>
        <v>37</v>
      </c>
      <c r="E57" s="16">
        <f>증량기록!I24</f>
        <v>30</v>
      </c>
    </row>
    <row r="58" spans="1:5" ht="15" customHeight="1">
      <c r="A58" s="8" t="s">
        <v>118</v>
      </c>
      <c r="B58" s="16">
        <f>증량기록!C25</f>
        <v>70</v>
      </c>
      <c r="C58" s="16">
        <f>증량기록!E25</f>
        <v>75</v>
      </c>
      <c r="D58" s="16">
        <f>증량기록!G25</f>
        <v>38</v>
      </c>
      <c r="E58" s="16">
        <f>증량기록!I25</f>
        <v>30</v>
      </c>
    </row>
    <row r="59" spans="1:5" ht="15" customHeight="1">
      <c r="A59" s="8" t="s">
        <v>119</v>
      </c>
      <c r="B59" s="16">
        <f>증량기록!C26</f>
        <v>72</v>
      </c>
      <c r="C59" s="16">
        <f>증량기록!E26</f>
        <v>77</v>
      </c>
      <c r="D59" s="16">
        <f>증량기록!G26</f>
        <v>40</v>
      </c>
      <c r="E59" s="16">
        <f>증량기록!I26</f>
        <v>31</v>
      </c>
    </row>
    <row r="60" spans="1:5" ht="15" customHeight="1">
      <c r="A60" s="8" t="s">
        <v>120</v>
      </c>
      <c r="B60" s="16">
        <f>증량기록!C27</f>
        <v>75</v>
      </c>
      <c r="C60" s="16">
        <f>증량기록!E27</f>
        <v>80</v>
      </c>
      <c r="D60" s="16">
        <f>증량기록!G27</f>
        <v>41</v>
      </c>
      <c r="E60" s="16">
        <f>증량기록!I27</f>
        <v>31</v>
      </c>
    </row>
    <row r="61" spans="1:5" ht="15" customHeight="1">
      <c r="A61" s="8" t="s">
        <v>121</v>
      </c>
      <c r="B61" s="16">
        <f>증량기록!C28</f>
        <v>77</v>
      </c>
      <c r="C61" s="16">
        <f>증량기록!E28</f>
        <v>82</v>
      </c>
      <c r="D61" s="16">
        <f>증량기록!G28</f>
        <v>42</v>
      </c>
      <c r="E61" s="16">
        <f>증량기록!I28</f>
        <v>32</v>
      </c>
    </row>
    <row r="62" spans="1:5" ht="15" customHeight="1">
      <c r="A62" s="8" t="s">
        <v>122</v>
      </c>
      <c r="B62" s="16">
        <f>증량기록!C29</f>
        <v>80</v>
      </c>
      <c r="C62" s="16">
        <f>증량기록!E29</f>
        <v>85</v>
      </c>
      <c r="D62" s="16">
        <f>증량기록!G29</f>
        <v>43</v>
      </c>
      <c r="E62" s="16">
        <f>증량기록!I29</f>
        <v>32</v>
      </c>
    </row>
    <row r="63" spans="1:5" ht="15" customHeight="1">
      <c r="A63" s="8" t="s">
        <v>123</v>
      </c>
      <c r="B63" s="16">
        <f>증량기록!C30</f>
        <v>82</v>
      </c>
      <c r="C63" s="16">
        <f>증량기록!E30</f>
        <v>87</v>
      </c>
      <c r="D63" s="16">
        <f>증량기록!G30</f>
        <v>45</v>
      </c>
      <c r="E63" s="16">
        <f>증량기록!I30</f>
        <v>33</v>
      </c>
    </row>
    <row r="64" spans="1:5" ht="15" customHeight="1">
      <c r="A64" s="8" t="s">
        <v>124</v>
      </c>
      <c r="B64" s="16">
        <f>증량기록!C31</f>
        <v>85</v>
      </c>
      <c r="C64" s="16">
        <f>증량기록!E31</f>
        <v>90</v>
      </c>
      <c r="D64" s="16">
        <f>증량기록!G31</f>
        <v>46</v>
      </c>
      <c r="E64" s="16">
        <f>증량기록!I31</f>
        <v>33</v>
      </c>
    </row>
    <row r="65" spans="1:5" ht="15" customHeight="1">
      <c r="A65" s="8" t="s">
        <v>125</v>
      </c>
      <c r="B65" s="16">
        <f>증량기록!C32</f>
        <v>87</v>
      </c>
      <c r="C65" s="16">
        <f>증량기록!E32</f>
        <v>92</v>
      </c>
      <c r="D65" s="16">
        <f>증량기록!G32</f>
        <v>47</v>
      </c>
      <c r="E65" s="16">
        <f>증량기록!I32</f>
        <v>35</v>
      </c>
    </row>
    <row r="66" spans="1:5" ht="15" customHeight="1">
      <c r="A66" s="8" t="s">
        <v>126</v>
      </c>
      <c r="B66" s="16">
        <f>증량기록!C33</f>
        <v>90</v>
      </c>
      <c r="C66" s="16">
        <f>증량기록!E33</f>
        <v>95</v>
      </c>
      <c r="D66" s="16">
        <f>증량기록!G33</f>
        <v>48</v>
      </c>
      <c r="E66" s="16">
        <f>증량기록!I33</f>
        <v>35</v>
      </c>
    </row>
    <row r="68" spans="1:5" ht="51.75" customHeight="1">
      <c r="A68" s="11" t="s">
        <v>127</v>
      </c>
    </row>
    <row r="70" spans="1:5">
      <c r="A70" t="s">
        <v>128</v>
      </c>
    </row>
    <row r="71" spans="1:5">
      <c r="A71" t="s">
        <v>129</v>
      </c>
      <c r="C71" s="100">
        <v>46228</v>
      </c>
      <c r="D71" t="s">
        <v>912</v>
      </c>
    </row>
    <row r="72" spans="1:5">
      <c r="A72" t="s">
        <v>130</v>
      </c>
      <c r="C72" s="100">
        <v>46298</v>
      </c>
      <c r="D72" t="s">
        <v>913</v>
      </c>
    </row>
    <row r="73" spans="1:5">
      <c r="A73" t="s">
        <v>131</v>
      </c>
      <c r="C73">
        <v>11</v>
      </c>
      <c r="D73" t="s">
        <v>132</v>
      </c>
    </row>
    <row r="74" spans="1:5">
      <c r="A74" t="s">
        <v>133</v>
      </c>
      <c r="C74">
        <v>1</v>
      </c>
      <c r="D74" t="s">
        <v>134</v>
      </c>
    </row>
    <row r="75" spans="1:5">
      <c r="A75" t="s">
        <v>949</v>
      </c>
      <c r="C75" s="100">
        <v>46312</v>
      </c>
      <c r="D75" t="s">
        <v>954</v>
      </c>
    </row>
    <row r="76" spans="1:5">
      <c r="A76" t="s">
        <v>952</v>
      </c>
      <c r="C76" s="122">
        <v>7</v>
      </c>
      <c r="D76" t="s">
        <v>953</v>
      </c>
    </row>
    <row r="77" spans="1:5">
      <c r="A77" t="s">
        <v>135</v>
      </c>
      <c r="C77" s="100">
        <v>46266</v>
      </c>
      <c r="D77" t="s">
        <v>136</v>
      </c>
    </row>
    <row r="78" spans="1:5">
      <c r="A78" t="s">
        <v>137</v>
      </c>
    </row>
    <row r="79" spans="1:5">
      <c r="A79" t="s">
        <v>138</v>
      </c>
    </row>
    <row r="80" spans="1:5">
      <c r="A80" t="s">
        <v>139</v>
      </c>
    </row>
    <row r="81" spans="1:1">
      <c r="A81" t="s">
        <v>950</v>
      </c>
    </row>
    <row r="82" spans="1:1">
      <c r="A82" t="s">
        <v>140</v>
      </c>
    </row>
    <row r="83" spans="1:1">
      <c r="A83" t="s">
        <v>141</v>
      </c>
    </row>
    <row r="84" spans="1:1">
      <c r="A84" t="s">
        <v>914</v>
      </c>
    </row>
    <row r="85" spans="1:1">
      <c r="A85" t="s">
        <v>916</v>
      </c>
    </row>
    <row r="86" spans="1:1">
      <c r="A86" t="s">
        <v>1011</v>
      </c>
    </row>
    <row r="87" spans="1:1">
      <c r="A87" t="s">
        <v>1016</v>
      </c>
    </row>
    <row r="88" spans="1:1">
      <c r="A88" t="s">
        <v>1030</v>
      </c>
    </row>
    <row r="89" spans="1:1">
      <c r="A89" t="s">
        <v>1056</v>
      </c>
    </row>
    <row r="90" spans="1:1">
      <c r="A90" t="s">
        <v>1068</v>
      </c>
    </row>
  </sheetData>
  <phoneticPr fontId="29"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zoomScaleNormal="100" workbookViewId="0"/>
  </sheetViews>
  <sheetFormatPr defaultColWidth="8.7109375" defaultRowHeight="15"/>
  <cols>
    <col min="1" max="1" width="8" customWidth="1"/>
    <col min="2" max="3" width="20" customWidth="1"/>
    <col min="4" max="5" width="28" customWidth="1"/>
    <col min="6" max="6" width="12" customWidth="1"/>
  </cols>
  <sheetData>
    <row r="1" spans="1:6" ht="18" customHeight="1">
      <c r="A1" s="17" t="s">
        <v>142</v>
      </c>
    </row>
    <row r="2" spans="1:6" ht="15" customHeight="1">
      <c r="A2" s="18" t="s">
        <v>143</v>
      </c>
    </row>
    <row r="4" spans="1:6" ht="15" customHeight="1">
      <c r="A4" s="19" t="s">
        <v>144</v>
      </c>
      <c r="B4" s="19" t="s">
        <v>145</v>
      </c>
      <c r="C4" s="19" t="s">
        <v>146</v>
      </c>
      <c r="D4" s="19" t="s">
        <v>147</v>
      </c>
      <c r="E4" s="19" t="s">
        <v>148</v>
      </c>
      <c r="F4" s="19" t="s">
        <v>149</v>
      </c>
    </row>
    <row r="5" spans="1:6" ht="15" customHeight="1">
      <c r="A5" s="20">
        <v>1</v>
      </c>
      <c r="B5" s="21" t="s">
        <v>150</v>
      </c>
      <c r="C5" s="22" t="s">
        <v>27</v>
      </c>
      <c r="D5" s="21" t="s">
        <v>151</v>
      </c>
      <c r="E5" s="20">
        <f>INDEX(D1_당기기A!$E:$E,MATCH("세트 합계",D1_당기기A!$D:$D,0))</f>
        <v>32</v>
      </c>
      <c r="F5" s="20" t="str">
        <f>"약 "&amp;INDEX(D1_당기기A!$I:$I,MATCH("세트 합계",D1_당기기A!$D:$D,0))&amp;"분"</f>
        <v>약 76분</v>
      </c>
    </row>
    <row r="6" spans="1:6" ht="15" customHeight="1">
      <c r="A6" s="20">
        <v>2</v>
      </c>
      <c r="B6" s="21" t="s">
        <v>152</v>
      </c>
      <c r="C6" s="22" t="s">
        <v>153</v>
      </c>
      <c r="D6" s="21" t="s">
        <v>154</v>
      </c>
      <c r="E6" s="20">
        <f>INDEX(D2_밀기A!$E:$E,MATCH("세트 합계",D2_밀기A!$D:$D,0))</f>
        <v>28</v>
      </c>
      <c r="F6" s="20" t="str">
        <f>"약 "&amp;INDEX(D2_밀기A!$I:$I,MATCH("세트 합계",D2_밀기A!$D:$D,0))&amp;"분"</f>
        <v>약 71분</v>
      </c>
    </row>
    <row r="7" spans="1:6" ht="15" customHeight="1">
      <c r="A7" s="20">
        <v>3</v>
      </c>
      <c r="B7" s="21" t="s">
        <v>155</v>
      </c>
      <c r="C7" s="22" t="s">
        <v>156</v>
      </c>
      <c r="D7" s="21" t="s">
        <v>157</v>
      </c>
      <c r="E7" s="20">
        <f>INDEX(D3_하체A!$E:$E,MATCH("세트 합계",D3_하체A!$D:$D,0))</f>
        <v>26</v>
      </c>
      <c r="F7" s="20" t="str">
        <f>"약 "&amp;INDEX(D3_하체A!$I:$I,MATCH("세트 합계",D3_하체A!$D:$D,0))&amp;"분"</f>
        <v>약 71분</v>
      </c>
    </row>
    <row r="8" spans="1:6" ht="15" customHeight="1">
      <c r="A8" s="20">
        <v>4</v>
      </c>
      <c r="B8" s="21" t="s">
        <v>158</v>
      </c>
      <c r="C8" s="22" t="s">
        <v>27</v>
      </c>
      <c r="D8" s="21" t="s">
        <v>159</v>
      </c>
      <c r="E8" s="20">
        <f>INDEX(D4_어깨팔A!$E:$E,MATCH("세트 합계",D4_어깨팔A!$D:$D,0))</f>
        <v>36</v>
      </c>
      <c r="F8" s="20" t="str">
        <f>"약 "&amp;INDEX(D4_어깨팔A!$I:$I,MATCH("세트 합계",D4_어깨팔A!$D:$D,0))&amp;"분"</f>
        <v>약 73분</v>
      </c>
    </row>
    <row r="9" spans="1:6" ht="15" customHeight="1">
      <c r="A9" s="23">
        <v>5</v>
      </c>
      <c r="B9" s="24" t="s">
        <v>160</v>
      </c>
      <c r="C9" s="25" t="s">
        <v>27</v>
      </c>
      <c r="D9" s="24" t="s">
        <v>27</v>
      </c>
      <c r="E9" s="23">
        <v>0</v>
      </c>
      <c r="F9" s="20" t="s">
        <v>27</v>
      </c>
    </row>
    <row r="10" spans="1:6" ht="15" customHeight="1">
      <c r="A10" s="20">
        <v>6</v>
      </c>
      <c r="B10" s="21" t="s">
        <v>161</v>
      </c>
      <c r="C10" s="22" t="s">
        <v>27</v>
      </c>
      <c r="D10" s="21" t="s">
        <v>162</v>
      </c>
      <c r="E10" s="20">
        <f>INDEX(D6_당기기B!$E:$E,MATCH("세트 합계",D6_당기기B!$D:$D,0))</f>
        <v>28</v>
      </c>
      <c r="F10" s="20" t="str">
        <f>"약 "&amp;INDEX(D6_당기기B!$I:$I,MATCH("세트 합계",D6_당기기B!$D:$D,0))&amp;"분"</f>
        <v>약 70분</v>
      </c>
    </row>
    <row r="11" spans="1:6" ht="15" customHeight="1">
      <c r="A11" s="20">
        <v>7</v>
      </c>
      <c r="B11" s="21" t="s">
        <v>163</v>
      </c>
      <c r="C11" s="22" t="s">
        <v>164</v>
      </c>
      <c r="D11" s="21" t="s">
        <v>165</v>
      </c>
      <c r="E11" s="20">
        <f>INDEX(D7_밀기B!$E:$E,MATCH("세트 합계",D7_밀기B!$D:$D,0))</f>
        <v>30</v>
      </c>
      <c r="F11" s="20" t="str">
        <f>"약 "&amp;INDEX(D7_밀기B!$I:$I,MATCH("세트 합계",D7_밀기B!$D:$D,0))&amp;"분"</f>
        <v>약 73분</v>
      </c>
    </row>
    <row r="12" spans="1:6" ht="15" customHeight="1">
      <c r="A12" s="20">
        <v>8</v>
      </c>
      <c r="B12" s="21" t="s">
        <v>166</v>
      </c>
      <c r="C12" s="22" t="s">
        <v>167</v>
      </c>
      <c r="D12" s="21" t="s">
        <v>168</v>
      </c>
      <c r="E12" s="20">
        <f>INDEX(D8_하체B!$E:$E,MATCH("세트 합계",D8_하체B!$D:$D,0))</f>
        <v>24</v>
      </c>
      <c r="F12" s="20" t="str">
        <f>"약 "&amp;INDEX(D8_하체B!$I:$I,MATCH("세트 합계",D8_하체B!$D:$D,0))&amp;"분"</f>
        <v>약 74분</v>
      </c>
    </row>
    <row r="13" spans="1:6" ht="15" customHeight="1">
      <c r="A13" s="20">
        <v>9</v>
      </c>
      <c r="B13" s="21" t="s">
        <v>169</v>
      </c>
      <c r="C13" s="22" t="s">
        <v>27</v>
      </c>
      <c r="D13" s="21" t="s">
        <v>170</v>
      </c>
      <c r="E13" s="20">
        <f>INDEX(D9_어깨팔B!$E:$E,MATCH("세트 합계",D9_어깨팔B!$D:$D,0))</f>
        <v>36</v>
      </c>
      <c r="F13" s="20" t="str">
        <f>"약 "&amp;INDEX(D9_어깨팔B!$I:$I,MATCH("세트 합계",D9_어깨팔B!$D:$D,0))&amp;"분"</f>
        <v>약 70분</v>
      </c>
    </row>
    <row r="14" spans="1:6">
      <c r="A14" s="23">
        <v>10</v>
      </c>
      <c r="B14" s="24" t="s">
        <v>160</v>
      </c>
      <c r="C14" s="25" t="s">
        <v>27</v>
      </c>
      <c r="D14" s="24" t="s">
        <v>27</v>
      </c>
      <c r="E14" s="23">
        <v>0</v>
      </c>
      <c r="F14" s="20" t="s">
        <v>27</v>
      </c>
    </row>
    <row r="15" spans="1:6" ht="16.5" customHeight="1">
      <c r="A15" s="27" t="s">
        <v>171</v>
      </c>
      <c r="B15" s="28"/>
      <c r="C15" s="29"/>
      <c r="D15" s="28"/>
      <c r="E15" s="27">
        <f>SUM(E5:E14)</f>
        <v>240</v>
      </c>
      <c r="F15" t="str">
        <f>"약 "&amp;(INDEX(D1_당기기A!$I:$I,MATCH("세트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합계",D9_어깨팔B!$D:$D,0)))&amp;"분 ("&amp;INT((INDEX(D1_당기기A!$I:$I,MATCH("세트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합계",D9_어깨팔B!$D:$D,0)))/60)&amp;"시간 "&amp;MOD((INDEX(D1_당기기A!$I:$I,MATCH("세트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합계",D9_어깨팔B!$D:$D,0))),60)&amp;"분)"</f>
        <v>약 578분 (9시간 38분)</v>
      </c>
    </row>
    <row r="16" spans="1:6" ht="89.25" customHeight="1"/>
    <row r="17" spans="1:1" ht="76.5" customHeight="1">
      <c r="A17" s="13" t="s">
        <v>172</v>
      </c>
    </row>
    <row r="18" spans="1:1" ht="38.25" customHeight="1">
      <c r="A18" s="30" t="s">
        <v>173</v>
      </c>
    </row>
    <row r="19" spans="1:1" ht="114.75" customHeight="1">
      <c r="A19" s="30" t="s">
        <v>174</v>
      </c>
    </row>
    <row r="20" spans="1:1" ht="16.5" customHeight="1">
      <c r="A20" s="30" t="s">
        <v>175</v>
      </c>
    </row>
    <row r="21" spans="1:1" ht="16.5" customHeight="1">
      <c r="A21" s="30" t="s">
        <v>176</v>
      </c>
    </row>
    <row r="22" spans="1:1" ht="15" customHeight="1">
      <c r="A22" s="30" t="s">
        <v>177</v>
      </c>
    </row>
    <row r="23" spans="1:1" ht="15" customHeight="1">
      <c r="A23" s="30" t="s">
        <v>178</v>
      </c>
    </row>
    <row r="24" spans="1:1" ht="15" customHeight="1">
      <c r="A24" s="30" t="s">
        <v>179</v>
      </c>
    </row>
    <row r="25" spans="1:1" ht="15" customHeight="1">
      <c r="A25" s="31"/>
    </row>
    <row r="26" spans="1:1" ht="16.5" customHeight="1">
      <c r="A26" s="92" t="s">
        <v>180</v>
      </c>
    </row>
    <row r="27" spans="1:1" ht="15" customHeight="1">
      <c r="A27" t="s">
        <v>181</v>
      </c>
    </row>
    <row r="28" spans="1:1" ht="15" customHeight="1">
      <c r="A28" t="s">
        <v>182</v>
      </c>
    </row>
    <row r="29" spans="1:1" ht="79.5" customHeight="1">
      <c r="A29" t="s">
        <v>183</v>
      </c>
    </row>
    <row r="30" spans="1:1" ht="64.5" customHeight="1">
      <c r="A30" t="s">
        <v>184</v>
      </c>
    </row>
    <row r="31" spans="1:1" ht="90" customHeight="1">
      <c r="A31" t="s">
        <v>185</v>
      </c>
    </row>
    <row r="32" spans="1:1" ht="102.75" customHeight="1">
      <c r="A32" t="s">
        <v>186</v>
      </c>
    </row>
    <row r="33" spans="1:1" ht="100.5" customHeight="1">
      <c r="A33" t="s">
        <v>187</v>
      </c>
    </row>
    <row r="34" spans="1:1" ht="15" customHeight="1">
      <c r="A34" t="s">
        <v>188</v>
      </c>
    </row>
    <row r="35" spans="1:1" ht="90" customHeight="1">
      <c r="A35" t="s">
        <v>189</v>
      </c>
    </row>
    <row r="36" spans="1:1" ht="90" customHeight="1">
      <c r="A36" t="s">
        <v>190</v>
      </c>
    </row>
    <row r="37" spans="1:1" ht="90" customHeight="1">
      <c r="A37" t="s">
        <v>191</v>
      </c>
    </row>
    <row r="38" spans="1:1" ht="90" customHeight="1">
      <c r="A38" t="s">
        <v>192</v>
      </c>
    </row>
    <row r="39" spans="1:1" ht="90" customHeight="1">
      <c r="A39" t="s">
        <v>193</v>
      </c>
    </row>
    <row r="40" spans="1:1" ht="90" customHeight="1">
      <c r="A40" t="s">
        <v>194</v>
      </c>
    </row>
    <row r="41" spans="1:1" ht="51.75" customHeight="1">
      <c r="A41" s="13" t="s">
        <v>195</v>
      </c>
    </row>
    <row r="42" spans="1:1" ht="77.25" customHeight="1">
      <c r="A42" s="30" t="s">
        <v>196</v>
      </c>
    </row>
    <row r="43" spans="1:1" ht="64.5" customHeight="1">
      <c r="A43" s="30" t="s">
        <v>197</v>
      </c>
    </row>
    <row r="44" spans="1:1" ht="16.5" customHeight="1">
      <c r="A44" s="30" t="s">
        <v>198</v>
      </c>
    </row>
    <row r="45" spans="1:1" ht="16.5" customHeight="1">
      <c r="A45" s="30" t="s">
        <v>199</v>
      </c>
    </row>
    <row r="46" spans="1:1" ht="16.5" customHeight="1">
      <c r="A46" s="30" t="s">
        <v>200</v>
      </c>
    </row>
    <row r="47" spans="1:1" ht="242.25" customHeight="1">
      <c r="A47" s="30"/>
    </row>
    <row r="48" spans="1:1" ht="270.75" customHeight="1">
      <c r="A48" s="13" t="s">
        <v>201</v>
      </c>
    </row>
    <row r="49" spans="1:1" ht="242.25" customHeight="1">
      <c r="A49" s="30" t="s">
        <v>202</v>
      </c>
    </row>
    <row r="50" spans="1:1" ht="199.5" customHeight="1">
      <c r="A50" s="30" t="s">
        <v>203</v>
      </c>
    </row>
    <row r="51" spans="1:1" ht="185.25" customHeight="1">
      <c r="A51" s="30" t="s">
        <v>204</v>
      </c>
    </row>
    <row r="52" spans="1:1" ht="199.5" customHeight="1">
      <c r="A52" s="30" t="s">
        <v>205</v>
      </c>
    </row>
    <row r="53" spans="1:1" ht="185.25" customHeight="1">
      <c r="A53" s="30" t="s">
        <v>206</v>
      </c>
    </row>
    <row r="54" spans="1:1" ht="327.75" customHeight="1">
      <c r="A54" s="30" t="s">
        <v>207</v>
      </c>
    </row>
    <row r="55" spans="1:1" ht="256.5" customHeight="1">
      <c r="A55" s="32"/>
    </row>
    <row r="56" spans="1:1" ht="409.5" customHeight="1">
      <c r="A56" s="13" t="s">
        <v>208</v>
      </c>
    </row>
    <row r="57" spans="1:1" ht="370.5" customHeight="1">
      <c r="A57" s="30" t="s">
        <v>209</v>
      </c>
    </row>
    <row r="58" spans="1:1" ht="409.5" customHeight="1">
      <c r="A58" s="30" t="s">
        <v>210</v>
      </c>
    </row>
    <row r="59" spans="1:1" ht="370.5" customHeight="1">
      <c r="A59" s="30" t="s">
        <v>211</v>
      </c>
    </row>
    <row r="60" spans="1:1" ht="185.25" customHeight="1">
      <c r="A60" s="30" t="s">
        <v>212</v>
      </c>
    </row>
    <row r="61" spans="1:1" ht="60" customHeight="1">
      <c r="A61" s="31"/>
    </row>
    <row r="62" spans="1:1" ht="256.5" customHeight="1">
      <c r="A62" s="13" t="s">
        <v>213</v>
      </c>
    </row>
    <row r="63" spans="1:1" ht="327.75" customHeight="1">
      <c r="A63" s="30" t="s">
        <v>214</v>
      </c>
    </row>
    <row r="64" spans="1:1" ht="256.5" customHeight="1">
      <c r="A64" s="30" t="s">
        <v>215</v>
      </c>
    </row>
    <row r="65" spans="1:1" ht="409.5" customHeight="1">
      <c r="A65" s="30" t="s">
        <v>216</v>
      </c>
    </row>
    <row r="66" spans="1:1" ht="370.5" customHeight="1">
      <c r="A66" s="30" t="s">
        <v>217</v>
      </c>
    </row>
    <row r="67" spans="1:1" ht="285" customHeight="1">
      <c r="A67" s="30" t="s">
        <v>218</v>
      </c>
    </row>
    <row r="68" spans="1:1" ht="90" customHeight="1">
      <c r="A68" s="30" t="s">
        <v>219</v>
      </c>
    </row>
    <row r="69" spans="1:1" ht="313.5" customHeight="1">
      <c r="A69" s="13" t="s">
        <v>220</v>
      </c>
    </row>
    <row r="70" spans="1:1" ht="370.5" customHeight="1">
      <c r="A70" s="30" t="s">
        <v>221</v>
      </c>
    </row>
    <row r="71" spans="1:1" ht="285" customHeight="1">
      <c r="A71" s="30" t="s">
        <v>222</v>
      </c>
    </row>
    <row r="72" spans="1:1" ht="370.5" customHeight="1"/>
    <row r="73" spans="1:1" ht="256.5" customHeight="1">
      <c r="A73" s="13" t="s">
        <v>223</v>
      </c>
    </row>
    <row r="74" spans="1:1" ht="327.75" customHeight="1">
      <c r="A74" s="30" t="s">
        <v>224</v>
      </c>
    </row>
    <row r="75" spans="1:1" ht="327.75" customHeight="1">
      <c r="A75" s="30" t="s">
        <v>225</v>
      </c>
    </row>
    <row r="76" spans="1:1" ht="299.25" customHeight="1">
      <c r="A76" s="30" t="s">
        <v>226</v>
      </c>
    </row>
    <row r="77" spans="1:1" ht="327.75" customHeight="1">
      <c r="A77" s="30" t="s">
        <v>227</v>
      </c>
    </row>
    <row r="78" spans="1:1" ht="90" customHeight="1"/>
    <row r="79" spans="1:1" ht="75" customHeight="1">
      <c r="A79" s="13" t="s">
        <v>228</v>
      </c>
    </row>
    <row r="80" spans="1:1" ht="327.75" customHeight="1">
      <c r="A80" s="30" t="s">
        <v>229</v>
      </c>
    </row>
    <row r="81" spans="1:1" ht="356.25" customHeight="1">
      <c r="A81" s="30" t="s">
        <v>230</v>
      </c>
    </row>
    <row r="82" spans="1:1" ht="270.75" customHeight="1">
      <c r="A82" s="30" t="s">
        <v>231</v>
      </c>
    </row>
    <row r="83" spans="1:1" ht="313.5" customHeight="1">
      <c r="A83" s="30" t="s">
        <v>232</v>
      </c>
    </row>
    <row r="84" spans="1:1" ht="142.5" customHeight="1">
      <c r="A84" s="30" t="s">
        <v>233</v>
      </c>
    </row>
    <row r="85" spans="1:1" ht="242.25" customHeight="1">
      <c r="A85" s="30" t="s">
        <v>234</v>
      </c>
    </row>
    <row r="86" spans="1:1" ht="299.25" customHeight="1">
      <c r="A86" s="30" t="s">
        <v>235</v>
      </c>
    </row>
    <row r="87" spans="1:1" ht="327.75" customHeight="1">
      <c r="A87" s="30" t="s">
        <v>236</v>
      </c>
    </row>
    <row r="88" spans="1:1" ht="327.75" customHeight="1">
      <c r="A88" s="30" t="s">
        <v>237</v>
      </c>
    </row>
    <row r="89" spans="1:1" ht="75" customHeight="1"/>
    <row r="90" spans="1:1" ht="327.75" customHeight="1">
      <c r="A90" s="13" t="s">
        <v>238</v>
      </c>
    </row>
    <row r="91" spans="1:1" ht="356.25" customHeight="1">
      <c r="A91" s="30" t="s">
        <v>239</v>
      </c>
    </row>
    <row r="92" spans="1:1" ht="270.75" customHeight="1">
      <c r="A92" s="30" t="s">
        <v>240</v>
      </c>
    </row>
    <row r="93" spans="1:1" ht="313.5" customHeight="1">
      <c r="A93" s="30" t="s">
        <v>241</v>
      </c>
    </row>
    <row r="94" spans="1:1" ht="142.5" customHeight="1">
      <c r="A94" s="30" t="s">
        <v>242</v>
      </c>
    </row>
    <row r="95" spans="1:1" ht="242.25" customHeight="1">
      <c r="A95" s="30" t="s">
        <v>243</v>
      </c>
    </row>
    <row r="96" spans="1:1" ht="242.25" customHeight="1">
      <c r="A96" s="30" t="s">
        <v>244</v>
      </c>
    </row>
    <row r="98" spans="1:1">
      <c r="A98" s="99" t="s">
        <v>245</v>
      </c>
    </row>
    <row r="99" spans="1:1">
      <c r="A99" t="s">
        <v>246</v>
      </c>
    </row>
    <row r="100" spans="1:1">
      <c r="A100" t="s">
        <v>247</v>
      </c>
    </row>
    <row r="101" spans="1:1">
      <c r="A101" t="s">
        <v>248</v>
      </c>
    </row>
  </sheetData>
  <phoneticPr fontId="29"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
  <sheetViews>
    <sheetView zoomScaleNormal="100" workbookViewId="0">
      <pane ySplit="5" topLeftCell="A6" activePane="bottomLeft" state="frozen"/>
      <selection pane="bottomLeft" activeCell="I27" sqref="I27"/>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249</v>
      </c>
    </row>
    <row r="2" spans="1:15" ht="16.5" customHeight="1">
      <c r="A2" s="18" t="s">
        <v>250</v>
      </c>
    </row>
    <row r="3" spans="1:15">
      <c r="A3" s="33" t="s">
        <v>251</v>
      </c>
    </row>
    <row r="4" spans="1:15" ht="15" customHeight="1">
      <c r="A4" s="3" t="s">
        <v>252</v>
      </c>
    </row>
    <row r="5" spans="1:15" ht="16.5" customHeight="1">
      <c r="A5" s="34" t="s">
        <v>253</v>
      </c>
      <c r="B5" s="35" t="s">
        <v>76</v>
      </c>
      <c r="C5" s="35" t="s">
        <v>254</v>
      </c>
      <c r="D5" s="35" t="s">
        <v>255</v>
      </c>
      <c r="E5" s="35" t="s">
        <v>148</v>
      </c>
      <c r="F5" s="35" t="s">
        <v>256</v>
      </c>
      <c r="G5" s="35" t="s">
        <v>257</v>
      </c>
      <c r="H5" s="35" t="s">
        <v>258</v>
      </c>
      <c r="I5" s="35" t="s">
        <v>259</v>
      </c>
      <c r="J5" s="35" t="s">
        <v>260</v>
      </c>
      <c r="K5" s="35" t="s">
        <v>261</v>
      </c>
      <c r="L5" s="35" t="s">
        <v>262</v>
      </c>
      <c r="M5" s="35" t="s">
        <v>263</v>
      </c>
      <c r="N5" s="35" t="s">
        <v>264</v>
      </c>
      <c r="O5" s="35" t="s">
        <v>265</v>
      </c>
    </row>
    <row r="6" spans="1:15" ht="16.5" customHeight="1">
      <c r="A6" s="20">
        <v>1</v>
      </c>
      <c r="B6" s="21" t="s">
        <v>266</v>
      </c>
      <c r="C6" s="20" t="s">
        <v>267</v>
      </c>
      <c r="D6" s="20">
        <v>60</v>
      </c>
      <c r="E6" s="20">
        <v>4</v>
      </c>
      <c r="F6" s="26" t="s">
        <v>268</v>
      </c>
      <c r="G6" s="26">
        <v>35</v>
      </c>
      <c r="H6" s="26">
        <v>155</v>
      </c>
      <c r="I6" s="26">
        <f t="shared" ref="I6:I16" si="0">IF(E6=0,0,ROUND((E6*(G6+H6)+O6)/60,1))</f>
        <v>12.7</v>
      </c>
      <c r="J6" s="21" t="s">
        <v>269</v>
      </c>
      <c r="K6" s="21" t="s">
        <v>270</v>
      </c>
      <c r="L6" s="21" t="s">
        <v>271</v>
      </c>
      <c r="M6" s="26" t="s">
        <v>272</v>
      </c>
      <c r="O6" s="26"/>
    </row>
    <row r="7" spans="1:15" ht="16.5" customHeight="1">
      <c r="A7" s="20">
        <v>2</v>
      </c>
      <c r="B7" s="21" t="s">
        <v>273</v>
      </c>
      <c r="C7" s="20" t="s">
        <v>267</v>
      </c>
      <c r="D7" s="26">
        <v>40</v>
      </c>
      <c r="E7" s="20">
        <v>3</v>
      </c>
      <c r="F7" s="26" t="s">
        <v>274</v>
      </c>
      <c r="G7" s="26">
        <v>40</v>
      </c>
      <c r="H7" s="26">
        <v>120</v>
      </c>
      <c r="I7" s="26">
        <f t="shared" si="0"/>
        <v>8</v>
      </c>
      <c r="J7" s="21" t="s">
        <v>269</v>
      </c>
      <c r="K7" s="36" t="s">
        <v>275</v>
      </c>
      <c r="L7" s="21" t="s">
        <v>276</v>
      </c>
      <c r="O7" s="26"/>
    </row>
    <row r="8" spans="1:15" ht="16.5" customHeight="1">
      <c r="A8" s="20">
        <v>3</v>
      </c>
      <c r="B8" s="21" t="s">
        <v>277</v>
      </c>
      <c r="C8" s="20" t="s">
        <v>267</v>
      </c>
      <c r="D8" s="26">
        <v>20</v>
      </c>
      <c r="E8" s="20">
        <v>2</v>
      </c>
      <c r="F8" s="26" t="s">
        <v>278</v>
      </c>
      <c r="G8" s="26">
        <v>80</v>
      </c>
      <c r="H8" s="26">
        <v>120</v>
      </c>
      <c r="I8" s="26">
        <f t="shared" si="0"/>
        <v>8.6999999999999993</v>
      </c>
      <c r="J8" s="21" t="s">
        <v>269</v>
      </c>
      <c r="K8" s="36" t="s">
        <v>279</v>
      </c>
      <c r="L8" s="21" t="s">
        <v>280</v>
      </c>
      <c r="O8" s="26">
        <v>120</v>
      </c>
    </row>
    <row r="9" spans="1:15" ht="16.5" customHeight="1">
      <c r="A9" s="20">
        <v>4</v>
      </c>
      <c r="B9" s="36" t="s">
        <v>281</v>
      </c>
      <c r="C9" s="42" t="s">
        <v>282</v>
      </c>
      <c r="D9" s="20" t="s">
        <v>283</v>
      </c>
      <c r="E9" s="20">
        <v>4</v>
      </c>
      <c r="F9" s="26" t="s">
        <v>284</v>
      </c>
      <c r="G9" s="26">
        <v>40</v>
      </c>
      <c r="H9" s="26">
        <v>120</v>
      </c>
      <c r="I9" s="26">
        <f t="shared" si="0"/>
        <v>10.7</v>
      </c>
      <c r="J9" s="21" t="s">
        <v>285</v>
      </c>
      <c r="K9" s="21" t="s">
        <v>286</v>
      </c>
      <c r="L9" s="21" t="s">
        <v>287</v>
      </c>
      <c r="O9" s="26"/>
    </row>
    <row r="10" spans="1:15" ht="16.5" customHeight="1">
      <c r="A10" s="20">
        <v>5</v>
      </c>
      <c r="B10" s="36" t="s">
        <v>288</v>
      </c>
      <c r="C10" s="20" t="s">
        <v>282</v>
      </c>
      <c r="D10" s="20">
        <v>12.5</v>
      </c>
      <c r="E10" s="20">
        <v>3</v>
      </c>
      <c r="F10" s="26" t="s">
        <v>289</v>
      </c>
      <c r="G10" s="26">
        <v>45</v>
      </c>
      <c r="H10" s="26">
        <v>60</v>
      </c>
      <c r="I10" s="26">
        <f t="shared" si="0"/>
        <v>5.3</v>
      </c>
      <c r="J10" s="21" t="s">
        <v>290</v>
      </c>
      <c r="K10" s="21" t="s">
        <v>291</v>
      </c>
      <c r="L10" s="21" t="s">
        <v>292</v>
      </c>
      <c r="O10" s="26"/>
    </row>
    <row r="11" spans="1:15" ht="16.5" customHeight="1">
      <c r="A11" s="20">
        <v>6</v>
      </c>
      <c r="B11" s="21" t="s">
        <v>293</v>
      </c>
      <c r="C11" s="20" t="s">
        <v>269</v>
      </c>
      <c r="D11" s="26" t="s">
        <v>294</v>
      </c>
      <c r="E11" s="20">
        <v>0</v>
      </c>
      <c r="F11" s="26" t="s">
        <v>274</v>
      </c>
      <c r="G11" s="26">
        <v>40</v>
      </c>
      <c r="H11" s="26">
        <v>70</v>
      </c>
      <c r="I11" s="26">
        <f t="shared" si="0"/>
        <v>0</v>
      </c>
      <c r="J11" s="21" t="s">
        <v>295</v>
      </c>
      <c r="K11" s="21" t="s">
        <v>296</v>
      </c>
      <c r="L11" s="22" t="s">
        <v>297</v>
      </c>
      <c r="O11" s="26"/>
    </row>
    <row r="12" spans="1:15" ht="16.5" customHeight="1">
      <c r="A12" s="20">
        <v>7</v>
      </c>
      <c r="B12" s="70" t="s">
        <v>298</v>
      </c>
      <c r="C12" s="20" t="s">
        <v>299</v>
      </c>
      <c r="D12" s="20" t="s">
        <v>283</v>
      </c>
      <c r="E12" s="20">
        <v>4</v>
      </c>
      <c r="F12" s="26" t="s">
        <v>289</v>
      </c>
      <c r="G12" s="26">
        <v>40</v>
      </c>
      <c r="H12" s="26">
        <v>60</v>
      </c>
      <c r="I12" s="26">
        <f t="shared" si="0"/>
        <v>6.7</v>
      </c>
      <c r="J12" s="21"/>
      <c r="K12" s="21" t="s">
        <v>300</v>
      </c>
      <c r="L12" s="75" t="s">
        <v>301</v>
      </c>
      <c r="O12" s="26"/>
    </row>
    <row r="13" spans="1:15" ht="16.5" customHeight="1">
      <c r="A13" s="20">
        <v>8</v>
      </c>
      <c r="B13" s="70" t="s">
        <v>302</v>
      </c>
      <c r="C13" s="20" t="s">
        <v>299</v>
      </c>
      <c r="D13" s="20" t="s">
        <v>303</v>
      </c>
      <c r="E13" s="20">
        <v>3</v>
      </c>
      <c r="F13" s="26" t="s">
        <v>304</v>
      </c>
      <c r="G13" s="26">
        <v>70</v>
      </c>
      <c r="H13" s="26">
        <v>60</v>
      </c>
      <c r="I13" s="26">
        <f t="shared" si="0"/>
        <v>6.5</v>
      </c>
      <c r="J13" s="21"/>
      <c r="K13" s="21" t="s">
        <v>305</v>
      </c>
      <c r="L13" s="75" t="s">
        <v>306</v>
      </c>
      <c r="O13" s="26"/>
    </row>
    <row r="14" spans="1:15" ht="15" customHeight="1">
      <c r="A14" s="20">
        <v>9</v>
      </c>
      <c r="B14" s="70" t="s">
        <v>307</v>
      </c>
      <c r="C14" s="20" t="s">
        <v>308</v>
      </c>
      <c r="D14" s="20" t="s">
        <v>309</v>
      </c>
      <c r="E14" s="20">
        <v>3</v>
      </c>
      <c r="F14" s="26" t="s">
        <v>289</v>
      </c>
      <c r="G14" s="26">
        <v>40</v>
      </c>
      <c r="H14" s="26">
        <v>75</v>
      </c>
      <c r="I14" s="26">
        <f t="shared" si="0"/>
        <v>5.8</v>
      </c>
      <c r="J14" s="21"/>
      <c r="K14" s="21" t="s">
        <v>310</v>
      </c>
      <c r="L14" s="75" t="s">
        <v>311</v>
      </c>
      <c r="O14" s="26"/>
    </row>
    <row r="15" spans="1:15" ht="15" customHeight="1">
      <c r="A15" s="20">
        <v>10</v>
      </c>
      <c r="B15" s="21" t="s">
        <v>312</v>
      </c>
      <c r="C15" s="20" t="s">
        <v>313</v>
      </c>
      <c r="D15" s="20">
        <v>20</v>
      </c>
      <c r="E15" s="20">
        <v>3</v>
      </c>
      <c r="F15" s="26" t="s">
        <v>314</v>
      </c>
      <c r="G15" s="26">
        <v>45</v>
      </c>
      <c r="H15" s="26">
        <v>90</v>
      </c>
      <c r="I15" s="26">
        <f t="shared" si="0"/>
        <v>6.8</v>
      </c>
      <c r="J15" s="21" t="s">
        <v>315</v>
      </c>
      <c r="K15" s="36" t="s">
        <v>316</v>
      </c>
      <c r="L15" s="36" t="s">
        <v>317</v>
      </c>
      <c r="O15" s="26"/>
    </row>
    <row r="16" spans="1:15" ht="15" customHeight="1">
      <c r="A16" s="20">
        <v>11</v>
      </c>
      <c r="B16" s="21" t="s">
        <v>318</v>
      </c>
      <c r="C16" s="20" t="s">
        <v>313</v>
      </c>
      <c r="D16" s="20" t="s">
        <v>283</v>
      </c>
      <c r="E16" s="20">
        <v>3</v>
      </c>
      <c r="F16" s="26" t="s">
        <v>289</v>
      </c>
      <c r="G16" s="26">
        <v>40</v>
      </c>
      <c r="H16" s="26">
        <v>60</v>
      </c>
      <c r="I16" s="26">
        <f t="shared" si="0"/>
        <v>5</v>
      </c>
      <c r="J16" s="21"/>
      <c r="K16" s="36" t="s">
        <v>319</v>
      </c>
      <c r="L16" s="36" t="s">
        <v>320</v>
      </c>
      <c r="O16" s="26"/>
    </row>
    <row r="17" spans="1:12" ht="15" customHeight="1">
      <c r="A17" s="20"/>
      <c r="B17" s="21"/>
      <c r="C17" s="20"/>
      <c r="D17" s="20" t="s">
        <v>321</v>
      </c>
      <c r="E17" s="20">
        <f>SUM(E6:E16)</f>
        <v>32</v>
      </c>
      <c r="F17" s="26"/>
      <c r="G17" s="26"/>
      <c r="H17" s="26"/>
      <c r="I17" s="26">
        <f>ROUND(SUM(I6:I16),0)</f>
        <v>76</v>
      </c>
      <c r="J17" s="21"/>
      <c r="K17" s="36"/>
      <c r="L17" s="36"/>
    </row>
    <row r="18" spans="1:12" ht="15" customHeight="1"/>
    <row r="19" spans="1:12">
      <c r="A19" t="s">
        <v>322</v>
      </c>
    </row>
    <row r="20" spans="1:12">
      <c r="A20" t="s">
        <v>323</v>
      </c>
    </row>
    <row r="22" spans="1:12">
      <c r="A22" s="99" t="s">
        <v>245</v>
      </c>
    </row>
    <row r="23" spans="1:12">
      <c r="A23" t="s">
        <v>324</v>
      </c>
    </row>
    <row r="24" spans="1:12">
      <c r="A24" t="s">
        <v>325</v>
      </c>
    </row>
    <row r="26" spans="1:12">
      <c r="B26" s="36"/>
    </row>
    <row r="34" spans="10:10">
      <c r="J34" t="s">
        <v>326</v>
      </c>
    </row>
  </sheetData>
  <phoneticPr fontId="29" type="noConversion"/>
  <conditionalFormatting sqref="A6:O16">
    <cfRule type="expression" dxfId="10" priority="1">
      <formula>$E6=0</formula>
    </cfRule>
  </conditionalFormatting>
  <hyperlinks>
    <hyperlink ref="L14" r:id="rId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zoomScaleNormal="100" workbookViewId="0">
      <pane ySplit="19" topLeftCell="A20" activePane="bottomLeft" state="frozen"/>
      <selection pane="bottomLeft" activeCell="D21" sqref="D21"/>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3" ht="19.5" customHeight="1">
      <c r="A1" s="17" t="s">
        <v>327</v>
      </c>
    </row>
    <row r="2" spans="1:3" ht="16.5" customHeight="1">
      <c r="A2" s="18" t="s">
        <v>328</v>
      </c>
    </row>
    <row r="4" spans="1:3" ht="16.5" customHeight="1">
      <c r="A4" s="3" t="s">
        <v>329</v>
      </c>
    </row>
    <row r="5" spans="1:3" ht="16.5" customHeight="1">
      <c r="A5" s="19" t="s">
        <v>255</v>
      </c>
      <c r="B5" s="19" t="s">
        <v>330</v>
      </c>
      <c r="C5" s="19" t="s">
        <v>148</v>
      </c>
    </row>
    <row r="6" spans="1:3" ht="15" customHeight="1">
      <c r="A6" s="20">
        <f>MAX(20,(MROUND(시작중량_설정!$E$9*0.4,1)+(MOD(MROUND(시작중량_설정!$E$9*0.4,1),5)=4)))</f>
        <v>20</v>
      </c>
      <c r="B6" s="20">
        <v>5</v>
      </c>
      <c r="C6" s="20">
        <v>2</v>
      </c>
    </row>
    <row r="7" spans="1:3" ht="15" customHeight="1">
      <c r="A7" s="20">
        <f>IF(MAX(20,(MROUND(시작중량_설정!$E$9*0.6,1)+(MOD(MROUND(시작중량_설정!$E$9*0.6,1),5)=4)))&lt;=MAX(20,(MROUND(시작중량_설정!$E$9*0.4,1)+(MOD(MROUND(시작중량_설정!$E$9*0.4,1),5)=4))),"생략",MAX(20,(MROUND(시작중량_설정!$E$9*0.6,1)+(MOD(MROUND(시작중량_설정!$E$9*0.6,1),5)=4))))</f>
        <v>25</v>
      </c>
      <c r="B7" s="20">
        <v>5</v>
      </c>
      <c r="C7" s="20">
        <v>1</v>
      </c>
    </row>
    <row r="8" spans="1:3" ht="15" customHeight="1">
      <c r="A8" s="20">
        <f>IF(MAX(20,(MROUND(시작중량_설정!$E$9*0.75,1)+(MOD(MROUND(시작중량_설정!$E$9*0.75,1),5)=4)))&lt;=MAX(20,(MROUND(시작중량_설정!$E$9*0.6,1)+(MOD(MROUND(시작중량_설정!$E$9*0.6,1),5)=4))),"생략",MAX(20,(MROUND(시작중량_설정!$E$9*0.75,1)+(MOD(MROUND(시작중량_설정!$E$9*0.75,1),5)=4))))</f>
        <v>31</v>
      </c>
      <c r="B8" s="20">
        <v>3</v>
      </c>
      <c r="C8" s="20">
        <v>1</v>
      </c>
    </row>
    <row r="9" spans="1:3" ht="15" customHeight="1">
      <c r="A9" s="20">
        <f>IF(MAX(20,(MROUND(시작중량_설정!$E$9*0.9,1)+(MOD(MROUND(시작중량_설정!$E$9*0.9,1),5)=4)))&lt;=MAX(20,(MROUND(시작중량_설정!$E$9*0.75,1)+(MOD(MROUND(시작중량_설정!$E$9*0.75,1),5)=4))),"생략",MAX(20,(MROUND(시작중량_설정!$E$9*0.9,1)+(MOD(MROUND(시작중량_설정!$E$9*0.9,1),5)=4))))</f>
        <v>37</v>
      </c>
      <c r="B9" s="20">
        <v>2</v>
      </c>
      <c r="C9" s="20">
        <v>1</v>
      </c>
    </row>
    <row r="10" spans="1:3" ht="15" customHeight="1">
      <c r="A10" s="37">
        <f>시작중량_설정!$E$9</f>
        <v>41</v>
      </c>
      <c r="B10" s="27">
        <v>5</v>
      </c>
      <c r="C10" s="27">
        <v>5</v>
      </c>
    </row>
    <row r="11" spans="1:3" ht="16.5" customHeight="1">
      <c r="A11" s="31" t="s">
        <v>331</v>
      </c>
    </row>
    <row r="13" spans="1:3" ht="16.5" customHeight="1">
      <c r="A13" s="3" t="s">
        <v>332</v>
      </c>
    </row>
    <row r="14" spans="1:3" ht="16.5" customHeight="1">
      <c r="A14" s="31" t="s">
        <v>333</v>
      </c>
    </row>
    <row r="15" spans="1:3" ht="16.5" customHeight="1">
      <c r="A15" s="31" t="s">
        <v>334</v>
      </c>
    </row>
    <row r="16" spans="1:3" ht="16.5" customHeight="1">
      <c r="A16" s="31" t="s">
        <v>335</v>
      </c>
    </row>
    <row r="18" spans="1:15" ht="15" customHeight="1">
      <c r="A18" s="3" t="s">
        <v>252</v>
      </c>
    </row>
    <row r="19" spans="1:15" ht="16.5" customHeight="1">
      <c r="A19" s="34" t="s">
        <v>253</v>
      </c>
      <c r="B19" s="35" t="s">
        <v>76</v>
      </c>
      <c r="C19" s="35" t="s">
        <v>254</v>
      </c>
      <c r="D19" s="35" t="s">
        <v>255</v>
      </c>
      <c r="E19" s="35" t="s">
        <v>148</v>
      </c>
      <c r="F19" s="35" t="s">
        <v>256</v>
      </c>
      <c r="G19" s="35" t="s">
        <v>257</v>
      </c>
      <c r="H19" s="35" t="s">
        <v>258</v>
      </c>
      <c r="I19" s="35" t="s">
        <v>259</v>
      </c>
      <c r="J19" s="35" t="s">
        <v>260</v>
      </c>
      <c r="K19" s="35" t="s">
        <v>261</v>
      </c>
      <c r="L19" s="35" t="s">
        <v>262</v>
      </c>
      <c r="M19" s="35" t="s">
        <v>263</v>
      </c>
      <c r="N19" s="35" t="s">
        <v>264</v>
      </c>
      <c r="O19" s="35" t="s">
        <v>265</v>
      </c>
    </row>
    <row r="20" spans="1:15" ht="16.5" customHeight="1">
      <c r="A20" s="38">
        <v>1</v>
      </c>
      <c r="B20" s="39" t="s">
        <v>336</v>
      </c>
      <c r="C20" s="40" t="s">
        <v>337</v>
      </c>
      <c r="D20" s="41">
        <f>시작중량_설정!$E$9</f>
        <v>41</v>
      </c>
      <c r="E20" s="40">
        <v>5</v>
      </c>
      <c r="F20" s="38" t="s">
        <v>338</v>
      </c>
      <c r="G20" s="38">
        <v>30</v>
      </c>
      <c r="H20" s="38">
        <v>180</v>
      </c>
      <c r="I20" s="38">
        <f t="shared" ref="I20:I25" si="0">IF(E20=0,0,ROUND((E20*(G20+H20)+O20)/60,1))</f>
        <v>17.5</v>
      </c>
      <c r="J20" s="39" t="s">
        <v>339</v>
      </c>
      <c r="K20" s="39" t="s">
        <v>340</v>
      </c>
      <c r="L20" s="39" t="s">
        <v>341</v>
      </c>
      <c r="M20" s="38" t="s">
        <v>342</v>
      </c>
      <c r="O20" s="38"/>
    </row>
    <row r="21" spans="1:15" ht="16.5" customHeight="1">
      <c r="A21" s="20">
        <v>2</v>
      </c>
      <c r="B21" s="21" t="s">
        <v>343</v>
      </c>
      <c r="C21" s="20" t="s">
        <v>337</v>
      </c>
      <c r="D21" s="42" t="s">
        <v>344</v>
      </c>
      <c r="E21" s="20">
        <v>4</v>
      </c>
      <c r="F21" s="26" t="s">
        <v>284</v>
      </c>
      <c r="G21" s="26">
        <v>40</v>
      </c>
      <c r="H21" s="26">
        <v>155</v>
      </c>
      <c r="I21" s="26">
        <f t="shared" si="0"/>
        <v>13</v>
      </c>
      <c r="J21" s="21" t="s">
        <v>345</v>
      </c>
      <c r="K21" s="21" t="s">
        <v>346</v>
      </c>
      <c r="L21" s="36" t="s">
        <v>347</v>
      </c>
      <c r="M21" s="26" t="s">
        <v>272</v>
      </c>
      <c r="O21" s="26"/>
    </row>
    <row r="22" spans="1:15" ht="16.5" customHeight="1">
      <c r="A22" s="20">
        <v>3</v>
      </c>
      <c r="B22" s="36" t="s">
        <v>348</v>
      </c>
      <c r="C22" s="20" t="s">
        <v>349</v>
      </c>
      <c r="D22" s="26">
        <v>8</v>
      </c>
      <c r="E22" s="20">
        <v>4</v>
      </c>
      <c r="F22" s="26" t="s">
        <v>350</v>
      </c>
      <c r="G22" s="26">
        <v>40</v>
      </c>
      <c r="H22" s="26">
        <v>105</v>
      </c>
      <c r="I22" s="26">
        <f t="shared" si="0"/>
        <v>9.6999999999999993</v>
      </c>
      <c r="J22" s="21"/>
      <c r="K22" s="21" t="s">
        <v>351</v>
      </c>
      <c r="L22" s="21" t="s">
        <v>352</v>
      </c>
      <c r="O22" s="26"/>
    </row>
    <row r="23" spans="1:15" ht="16.5" customHeight="1">
      <c r="A23" s="20">
        <v>4</v>
      </c>
      <c r="B23" s="21" t="s">
        <v>353</v>
      </c>
      <c r="C23" s="20" t="s">
        <v>354</v>
      </c>
      <c r="D23" s="26">
        <v>6</v>
      </c>
      <c r="E23" s="20">
        <v>6</v>
      </c>
      <c r="F23" s="26" t="s">
        <v>289</v>
      </c>
      <c r="G23" s="26">
        <v>40</v>
      </c>
      <c r="H23" s="26">
        <v>70</v>
      </c>
      <c r="I23" s="26">
        <f t="shared" si="0"/>
        <v>12</v>
      </c>
      <c r="J23" s="21"/>
      <c r="K23" s="21" t="s">
        <v>355</v>
      </c>
      <c r="L23" s="21" t="s">
        <v>356</v>
      </c>
      <c r="O23" s="26">
        <v>60</v>
      </c>
    </row>
    <row r="24" spans="1:15" ht="16.5" customHeight="1">
      <c r="A24" s="20">
        <v>5</v>
      </c>
      <c r="B24" s="21" t="s">
        <v>357</v>
      </c>
      <c r="C24" s="43" t="s">
        <v>358</v>
      </c>
      <c r="D24" s="26">
        <v>20</v>
      </c>
      <c r="E24" s="20">
        <v>5</v>
      </c>
      <c r="F24" s="26" t="s">
        <v>289</v>
      </c>
      <c r="G24" s="26">
        <v>40</v>
      </c>
      <c r="H24" s="26">
        <v>70</v>
      </c>
      <c r="I24" s="26">
        <f t="shared" si="0"/>
        <v>10.199999999999999</v>
      </c>
      <c r="J24" s="21"/>
      <c r="K24" s="21" t="s">
        <v>359</v>
      </c>
      <c r="L24" s="75" t="s">
        <v>360</v>
      </c>
      <c r="O24" s="26">
        <v>60</v>
      </c>
    </row>
    <row r="25" spans="1:15" ht="16.5" customHeight="1">
      <c r="A25" s="20">
        <v>6</v>
      </c>
      <c r="B25" s="21" t="s">
        <v>361</v>
      </c>
      <c r="C25" s="20" t="s">
        <v>345</v>
      </c>
      <c r="D25" s="26">
        <v>20</v>
      </c>
      <c r="E25" s="20">
        <v>4</v>
      </c>
      <c r="F25" s="26" t="s">
        <v>303</v>
      </c>
      <c r="G25" s="26">
        <v>40</v>
      </c>
      <c r="H25" s="26">
        <v>70</v>
      </c>
      <c r="I25" s="26">
        <f t="shared" si="0"/>
        <v>8.3000000000000007</v>
      </c>
      <c r="J25" s="21"/>
      <c r="K25" s="21" t="s">
        <v>362</v>
      </c>
      <c r="L25" s="21" t="s">
        <v>363</v>
      </c>
      <c r="O25" s="26">
        <v>60</v>
      </c>
    </row>
    <row r="26" spans="1:15" ht="16.5" customHeight="1">
      <c r="D26" s="3" t="s">
        <v>321</v>
      </c>
      <c r="E26" s="27">
        <f>SUM(E20:E25)</f>
        <v>28</v>
      </c>
      <c r="I26">
        <f>ROUND(SUM(I20:I25),0)</f>
        <v>71</v>
      </c>
    </row>
    <row r="27" spans="1:15" ht="16.5" customHeight="1">
      <c r="A27" s="99" t="s">
        <v>245</v>
      </c>
    </row>
    <row r="28" spans="1:15">
      <c r="A28" t="s">
        <v>364</v>
      </c>
    </row>
    <row r="29" spans="1:15">
      <c r="A29" t="s">
        <v>325</v>
      </c>
    </row>
  </sheetData>
  <phoneticPr fontId="29" type="noConversion"/>
  <conditionalFormatting sqref="A20:O25">
    <cfRule type="expression" dxfId="9" priority="1">
      <formula>$E20=0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5"/>
  <sheetViews>
    <sheetView zoomScaleNormal="100" workbookViewId="0">
      <pane ySplit="14" topLeftCell="A15" activePane="bottomLeft" state="frozen"/>
      <selection pane="bottomLeft" activeCell="O15" sqref="O15:O21"/>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365</v>
      </c>
    </row>
    <row r="2" spans="1:15" ht="16.5" customHeight="1">
      <c r="A2" s="18" t="s">
        <v>366</v>
      </c>
    </row>
    <row r="4" spans="1:15" ht="16.5" customHeight="1">
      <c r="A4" s="3" t="s">
        <v>367</v>
      </c>
    </row>
    <row r="5" spans="1:15" ht="16.5" customHeight="1">
      <c r="A5" s="19" t="s">
        <v>255</v>
      </c>
      <c r="B5" s="19" t="s">
        <v>330</v>
      </c>
      <c r="C5" s="19" t="s">
        <v>148</v>
      </c>
    </row>
    <row r="6" spans="1:15" ht="15" customHeight="1">
      <c r="A6" s="20">
        <f>MAX(20,(MROUND(시작중량_설정!$E$7*0.4,1)+(MOD(MROUND(시작중량_설정!$E$7*0.4,1),5)=4)))</f>
        <v>30</v>
      </c>
      <c r="B6" s="20">
        <v>5</v>
      </c>
      <c r="C6" s="20">
        <v>2</v>
      </c>
    </row>
    <row r="7" spans="1:15" ht="15" customHeight="1">
      <c r="A7" s="20">
        <f>IF(MAX(20,(MROUND(시작중량_설정!$E$7*0.6,1)+(MOD(MROUND(시작중량_설정!$E$7*0.6,1),5)=4)))&lt;=MAX(20,(MROUND(시작중량_설정!$E$7*0.4,1)+(MOD(MROUND(시작중량_설정!$E$7*0.4,1),5)=4))),"생략",MAX(20,(MROUND(시작중량_설정!$E$7*0.6,1)+(MOD(MROUND(시작중량_설정!$E$7*0.6,1),5)=4))))</f>
        <v>45</v>
      </c>
      <c r="B7" s="20">
        <v>5</v>
      </c>
      <c r="C7" s="20">
        <v>1</v>
      </c>
    </row>
    <row r="8" spans="1:15" ht="15" customHeight="1">
      <c r="A8" s="20">
        <f>IF(MAX(20,(MROUND(시작중량_설정!$E$7*0.75,1)+(MOD(MROUND(시작중량_설정!$E$7*0.75,1),5)=4)))&lt;=MAX(20,(MROUND(시작중량_설정!$E$7*0.6,1)+(MOD(MROUND(시작중량_설정!$E$7*0.6,1),5)=4))),"생략",MAX(20,(MROUND(시작중량_설정!$E$7*0.75,1)+(MOD(MROUND(시작중량_설정!$E$7*0.75,1),5)=4))))</f>
        <v>56</v>
      </c>
      <c r="B8" s="20">
        <v>3</v>
      </c>
      <c r="C8" s="20">
        <v>1</v>
      </c>
    </row>
    <row r="9" spans="1:15" ht="15" customHeight="1">
      <c r="A9" s="20">
        <f>IF(MAX(20,(MROUND(시작중량_설정!$E$7*0.9,1)+(MOD(MROUND(시작중량_설정!$E$7*0.9,1),5)=4)))&lt;=MAX(20,(MROUND(시작중량_설정!$E$7*0.75,1)+(MOD(MROUND(시작중량_설정!$E$7*0.75,1),5)=4))),"생략",MAX(20,(MROUND(시작중량_설정!$E$7*0.9,1)+(MOD(MROUND(시작중량_설정!$E$7*0.9,1),5)=4))))</f>
        <v>68</v>
      </c>
      <c r="B9" s="20">
        <v>2</v>
      </c>
      <c r="C9" s="20">
        <v>1</v>
      </c>
    </row>
    <row r="10" spans="1:15" ht="15" customHeight="1">
      <c r="A10" s="37">
        <f>시작중량_설정!$E$7</f>
        <v>75</v>
      </c>
      <c r="B10" s="27">
        <v>5</v>
      </c>
      <c r="C10" s="27">
        <v>5</v>
      </c>
    </row>
    <row r="11" spans="1:15" ht="16.5" customHeight="1">
      <c r="A11" s="31" t="s">
        <v>331</v>
      </c>
    </row>
    <row r="13" spans="1:15" ht="15" customHeight="1">
      <c r="A13" s="3" t="s">
        <v>252</v>
      </c>
    </row>
    <row r="14" spans="1:15" ht="16.5" customHeight="1">
      <c r="A14" s="34" t="s">
        <v>253</v>
      </c>
      <c r="B14" s="35" t="s">
        <v>76</v>
      </c>
      <c r="C14" s="35" t="s">
        <v>254</v>
      </c>
      <c r="D14" s="35" t="s">
        <v>255</v>
      </c>
      <c r="E14" s="35" t="s">
        <v>148</v>
      </c>
      <c r="F14" s="35" t="s">
        <v>256</v>
      </c>
      <c r="G14" s="35" t="s">
        <v>257</v>
      </c>
      <c r="H14" s="35" t="s">
        <v>258</v>
      </c>
      <c r="I14" s="35" t="s">
        <v>259</v>
      </c>
      <c r="J14" s="35" t="s">
        <v>260</v>
      </c>
      <c r="K14" s="35" t="s">
        <v>261</v>
      </c>
      <c r="L14" s="35" t="s">
        <v>262</v>
      </c>
      <c r="M14" s="35" t="s">
        <v>263</v>
      </c>
      <c r="N14" s="35" t="s">
        <v>264</v>
      </c>
      <c r="O14" s="35" t="s">
        <v>265</v>
      </c>
    </row>
    <row r="15" spans="1:15" ht="16.5" customHeight="1">
      <c r="A15" s="40">
        <v>1</v>
      </c>
      <c r="B15" s="39" t="s">
        <v>368</v>
      </c>
      <c r="C15" s="40" t="s">
        <v>369</v>
      </c>
      <c r="D15" s="41">
        <f>시작중량_설정!$E$7</f>
        <v>75</v>
      </c>
      <c r="E15" s="40">
        <v>5</v>
      </c>
      <c r="F15" s="38" t="s">
        <v>338</v>
      </c>
      <c r="G15" s="38">
        <v>35</v>
      </c>
      <c r="H15" s="38">
        <v>193</v>
      </c>
      <c r="I15" s="38">
        <f t="shared" ref="I15:I21" si="0">IF(E15=0,0,ROUND((E15*(G15+H15)+O15)/60,1))</f>
        <v>19</v>
      </c>
      <c r="J15" s="39" t="s">
        <v>370</v>
      </c>
      <c r="K15" s="39" t="s">
        <v>371</v>
      </c>
      <c r="L15" s="39" t="s">
        <v>372</v>
      </c>
      <c r="M15" s="38" t="s">
        <v>373</v>
      </c>
      <c r="O15" s="38"/>
    </row>
    <row r="16" spans="1:15" ht="16.5" customHeight="1">
      <c r="A16" s="20">
        <v>2</v>
      </c>
      <c r="B16" s="21" t="s">
        <v>374</v>
      </c>
      <c r="C16" s="20" t="s">
        <v>369</v>
      </c>
      <c r="D16" s="26">
        <v>120</v>
      </c>
      <c r="E16" s="20">
        <v>3</v>
      </c>
      <c r="F16" s="26" t="s">
        <v>274</v>
      </c>
      <c r="G16" s="26">
        <v>45</v>
      </c>
      <c r="H16" s="26">
        <v>150</v>
      </c>
      <c r="I16" s="26">
        <f t="shared" si="0"/>
        <v>9.8000000000000007</v>
      </c>
      <c r="J16" s="21" t="s">
        <v>375</v>
      </c>
      <c r="K16" s="21" t="s">
        <v>376</v>
      </c>
      <c r="L16" s="21" t="s">
        <v>377</v>
      </c>
      <c r="O16" s="26"/>
    </row>
    <row r="17" spans="1:15" ht="16.5" customHeight="1">
      <c r="A17" s="20">
        <v>3</v>
      </c>
      <c r="B17" s="21" t="s">
        <v>378</v>
      </c>
      <c r="C17" s="20" t="s">
        <v>375</v>
      </c>
      <c r="D17" s="20" t="s">
        <v>283</v>
      </c>
      <c r="E17" s="20">
        <v>3</v>
      </c>
      <c r="F17" s="26" t="s">
        <v>379</v>
      </c>
      <c r="G17" s="26">
        <v>90</v>
      </c>
      <c r="H17" s="26">
        <v>150</v>
      </c>
      <c r="I17" s="26">
        <f t="shared" si="0"/>
        <v>12</v>
      </c>
      <c r="J17" s="21" t="s">
        <v>380</v>
      </c>
      <c r="K17" s="21" t="s">
        <v>381</v>
      </c>
      <c r="L17" s="21" t="s">
        <v>382</v>
      </c>
      <c r="O17" s="26"/>
    </row>
    <row r="18" spans="1:15" ht="16.5" customHeight="1">
      <c r="A18" s="20">
        <v>4</v>
      </c>
      <c r="B18" s="21" t="s">
        <v>383</v>
      </c>
      <c r="C18" s="20" t="s">
        <v>384</v>
      </c>
      <c r="D18" s="26">
        <v>40</v>
      </c>
      <c r="E18" s="20">
        <v>4</v>
      </c>
      <c r="F18" s="26" t="s">
        <v>350</v>
      </c>
      <c r="G18" s="26">
        <v>40</v>
      </c>
      <c r="H18" s="26">
        <v>120</v>
      </c>
      <c r="I18" s="26">
        <f t="shared" si="0"/>
        <v>11.9</v>
      </c>
      <c r="J18" s="21"/>
      <c r="K18" s="21" t="s">
        <v>385</v>
      </c>
      <c r="L18" s="21" t="s">
        <v>386</v>
      </c>
      <c r="O18" s="26">
        <v>75</v>
      </c>
    </row>
    <row r="19" spans="1:15" ht="16.5" customHeight="1">
      <c r="A19" s="20">
        <v>5</v>
      </c>
      <c r="B19" s="21" t="s">
        <v>387</v>
      </c>
      <c r="C19" s="20" t="s">
        <v>388</v>
      </c>
      <c r="D19" s="26">
        <v>35</v>
      </c>
      <c r="E19" s="20">
        <v>4</v>
      </c>
      <c r="F19" s="26" t="s">
        <v>289</v>
      </c>
      <c r="G19" s="26">
        <v>40</v>
      </c>
      <c r="H19" s="26">
        <v>10</v>
      </c>
      <c r="I19" s="26">
        <f t="shared" si="0"/>
        <v>3.3</v>
      </c>
      <c r="J19" s="21"/>
      <c r="K19" s="21" t="s">
        <v>389</v>
      </c>
      <c r="L19" s="21" t="s">
        <v>390</v>
      </c>
      <c r="N19" t="s">
        <v>391</v>
      </c>
      <c r="O19" s="26"/>
    </row>
    <row r="20" spans="1:15" ht="16.5" customHeight="1">
      <c r="A20" s="20">
        <v>6</v>
      </c>
      <c r="B20" s="21" t="s">
        <v>392</v>
      </c>
      <c r="C20" s="20" t="s">
        <v>393</v>
      </c>
      <c r="D20" s="26" t="s">
        <v>294</v>
      </c>
      <c r="E20" s="20">
        <v>4</v>
      </c>
      <c r="F20" s="26" t="s">
        <v>289</v>
      </c>
      <c r="G20" s="26">
        <v>40</v>
      </c>
      <c r="H20" s="26">
        <v>105</v>
      </c>
      <c r="I20" s="26">
        <f t="shared" si="0"/>
        <v>9.6999999999999993</v>
      </c>
      <c r="J20" s="21"/>
      <c r="K20" s="21" t="s">
        <v>394</v>
      </c>
      <c r="L20" s="21" t="s">
        <v>395</v>
      </c>
      <c r="N20" t="s">
        <v>391</v>
      </c>
      <c r="O20" s="26"/>
    </row>
    <row r="21" spans="1:15" ht="16.5" customHeight="1">
      <c r="A21" s="20">
        <v>7</v>
      </c>
      <c r="B21" s="70" t="s">
        <v>396</v>
      </c>
      <c r="C21" s="20" t="s">
        <v>299</v>
      </c>
      <c r="D21" s="71" t="s">
        <v>283</v>
      </c>
      <c r="E21" s="20">
        <v>3</v>
      </c>
      <c r="F21" s="26">
        <v>10</v>
      </c>
      <c r="G21" s="26">
        <v>40</v>
      </c>
      <c r="H21" s="26">
        <v>60</v>
      </c>
      <c r="I21" s="26">
        <f t="shared" si="0"/>
        <v>5</v>
      </c>
      <c r="J21" s="21"/>
      <c r="K21" s="21" t="s">
        <v>397</v>
      </c>
      <c r="L21" s="21" t="s">
        <v>398</v>
      </c>
      <c r="O21" s="26"/>
    </row>
    <row r="22" spans="1:15" ht="15" customHeight="1">
      <c r="D22" s="3" t="s">
        <v>321</v>
      </c>
      <c r="E22" s="27">
        <f>SUM(E15:E21)</f>
        <v>26</v>
      </c>
      <c r="I22">
        <f>ROUND(SUM(I15:I21),0)</f>
        <v>71</v>
      </c>
    </row>
    <row r="23" spans="1:15" ht="15" customHeight="1">
      <c r="A23" s="99" t="s">
        <v>245</v>
      </c>
    </row>
    <row r="24" spans="1:15">
      <c r="A24" t="s">
        <v>399</v>
      </c>
    </row>
    <row r="25" spans="1:15">
      <c r="A25" t="s">
        <v>325</v>
      </c>
    </row>
  </sheetData>
  <phoneticPr fontId="29" type="noConversion"/>
  <conditionalFormatting sqref="A15:O21">
    <cfRule type="expression" dxfId="8" priority="1">
      <formula>$E15=0</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0"/>
  <sheetViews>
    <sheetView workbookViewId="0">
      <selection activeCell="D48" sqref="D48"/>
    </sheetView>
  </sheetViews>
  <sheetFormatPr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0" width="11" customWidth="1"/>
    <col min="13" max="13" width="24" customWidth="1"/>
    <col min="14" max="14" width="11" customWidth="1"/>
    <col min="15" max="15" width="9.42578125" customWidth="1"/>
  </cols>
  <sheetData>
    <row r="1" spans="1:15" ht="19.5" customHeight="1">
      <c r="A1" s="17" t="s">
        <v>400</v>
      </c>
    </row>
    <row r="2" spans="1:15" ht="16.5" customHeight="1">
      <c r="A2" s="18" t="s">
        <v>401</v>
      </c>
    </row>
    <row r="3" spans="1:15" ht="30" customHeight="1">
      <c r="A3" s="33" t="s">
        <v>402</v>
      </c>
    </row>
    <row r="4" spans="1:15" ht="15" customHeight="1">
      <c r="A4" s="3" t="s">
        <v>252</v>
      </c>
    </row>
    <row r="5" spans="1:15" ht="16.5" customHeight="1">
      <c r="A5" s="34" t="s">
        <v>253</v>
      </c>
      <c r="B5" s="35" t="s">
        <v>76</v>
      </c>
      <c r="C5" s="35" t="s">
        <v>254</v>
      </c>
      <c r="D5" s="35" t="s">
        <v>255</v>
      </c>
      <c r="E5" s="35" t="s">
        <v>148</v>
      </c>
      <c r="F5" s="35" t="s">
        <v>256</v>
      </c>
      <c r="G5" s="35" t="s">
        <v>257</v>
      </c>
      <c r="H5" s="35" t="s">
        <v>258</v>
      </c>
      <c r="I5" s="35" t="s">
        <v>259</v>
      </c>
      <c r="J5" s="35" t="s">
        <v>260</v>
      </c>
      <c r="K5" s="35" t="s">
        <v>261</v>
      </c>
      <c r="L5" s="35" t="s">
        <v>262</v>
      </c>
      <c r="M5" s="35" t="s">
        <v>263</v>
      </c>
      <c r="N5" s="35" t="s">
        <v>264</v>
      </c>
      <c r="O5" s="35" t="s">
        <v>265</v>
      </c>
    </row>
    <row r="6" spans="1:15" ht="16.5" customHeight="1">
      <c r="A6" s="20">
        <v>1</v>
      </c>
      <c r="B6" s="70" t="s">
        <v>403</v>
      </c>
      <c r="C6" s="20" t="s">
        <v>354</v>
      </c>
      <c r="D6" s="20">
        <v>10</v>
      </c>
      <c r="E6" s="20">
        <v>3</v>
      </c>
      <c r="F6" s="26" t="s">
        <v>289</v>
      </c>
      <c r="G6" s="26">
        <v>40</v>
      </c>
      <c r="H6" s="26">
        <v>70</v>
      </c>
      <c r="I6" s="26">
        <f t="shared" ref="I6:I16" si="0">IF(E6=0,0,ROUND((E6*(G6+H6)+O6)/60,1))</f>
        <v>6.5</v>
      </c>
      <c r="J6" s="21"/>
      <c r="K6" s="21" t="s">
        <v>404</v>
      </c>
      <c r="L6" s="21" t="s">
        <v>405</v>
      </c>
      <c r="O6" s="26">
        <v>60</v>
      </c>
    </row>
    <row r="7" spans="1:15" ht="16.5" customHeight="1">
      <c r="A7" s="20">
        <v>2</v>
      </c>
      <c r="B7" s="70" t="s">
        <v>406</v>
      </c>
      <c r="C7" s="20" t="s">
        <v>354</v>
      </c>
      <c r="D7" s="20">
        <v>15</v>
      </c>
      <c r="E7" s="20">
        <v>3</v>
      </c>
      <c r="F7" s="26" t="s">
        <v>289</v>
      </c>
      <c r="G7" s="26">
        <v>40</v>
      </c>
      <c r="H7" s="26">
        <v>75</v>
      </c>
      <c r="I7" s="26">
        <f t="shared" si="0"/>
        <v>5.8</v>
      </c>
      <c r="J7" s="21" t="s">
        <v>407</v>
      </c>
      <c r="K7" s="21" t="s">
        <v>408</v>
      </c>
      <c r="L7" s="21" t="s">
        <v>409</v>
      </c>
      <c r="O7" s="26"/>
    </row>
    <row r="8" spans="1:15" ht="16.5" customHeight="1">
      <c r="A8" s="20">
        <v>3</v>
      </c>
      <c r="B8" s="70" t="s">
        <v>410</v>
      </c>
      <c r="C8" s="20" t="s">
        <v>358</v>
      </c>
      <c r="D8" s="20" t="s">
        <v>289</v>
      </c>
      <c r="E8" s="20">
        <v>3</v>
      </c>
      <c r="F8" s="26" t="s">
        <v>289</v>
      </c>
      <c r="G8" s="26">
        <v>40</v>
      </c>
      <c r="H8" s="26">
        <v>70</v>
      </c>
      <c r="I8" s="26">
        <f t="shared" si="0"/>
        <v>5.5</v>
      </c>
      <c r="J8" s="21" t="s">
        <v>411</v>
      </c>
      <c r="K8" s="21" t="s">
        <v>412</v>
      </c>
      <c r="L8" s="21" t="s">
        <v>413</v>
      </c>
      <c r="O8" s="26"/>
    </row>
    <row r="9" spans="1:15" ht="16.5" customHeight="1">
      <c r="A9" s="20">
        <v>4</v>
      </c>
      <c r="B9" s="70" t="s">
        <v>414</v>
      </c>
      <c r="C9" s="20" t="s">
        <v>358</v>
      </c>
      <c r="D9" s="20">
        <v>20</v>
      </c>
      <c r="E9" s="20">
        <v>3</v>
      </c>
      <c r="F9" s="26" t="s">
        <v>289</v>
      </c>
      <c r="G9" s="26">
        <v>40</v>
      </c>
      <c r="H9" s="26">
        <v>80</v>
      </c>
      <c r="I9" s="26">
        <f t="shared" si="0"/>
        <v>6</v>
      </c>
      <c r="J9" s="21" t="s">
        <v>411</v>
      </c>
      <c r="K9" s="21" t="s">
        <v>415</v>
      </c>
      <c r="L9" s="21" t="s">
        <v>416</v>
      </c>
      <c r="O9" s="26"/>
    </row>
    <row r="10" spans="1:15" ht="16.5" customHeight="1">
      <c r="A10" s="20">
        <v>5</v>
      </c>
      <c r="B10" s="78" t="s">
        <v>417</v>
      </c>
      <c r="C10" s="20" t="s">
        <v>418</v>
      </c>
      <c r="D10" s="20" t="s">
        <v>419</v>
      </c>
      <c r="E10" s="20">
        <v>3</v>
      </c>
      <c r="F10" s="26" t="s">
        <v>289</v>
      </c>
      <c r="G10" s="26">
        <v>40</v>
      </c>
      <c r="H10" s="26">
        <v>60</v>
      </c>
      <c r="I10" s="26">
        <f t="shared" si="0"/>
        <v>5</v>
      </c>
      <c r="J10" s="21"/>
      <c r="K10" s="21" t="s">
        <v>420</v>
      </c>
      <c r="L10" s="21" t="s">
        <v>421</v>
      </c>
      <c r="O10" s="26"/>
    </row>
    <row r="11" spans="1:15" ht="16.5" customHeight="1">
      <c r="A11" s="20">
        <v>6</v>
      </c>
      <c r="B11" s="21" t="s">
        <v>422</v>
      </c>
      <c r="C11" s="20" t="s">
        <v>349</v>
      </c>
      <c r="D11" s="42" t="s">
        <v>423</v>
      </c>
      <c r="E11" s="20">
        <v>3</v>
      </c>
      <c r="F11" s="26" t="s">
        <v>274</v>
      </c>
      <c r="G11" s="26">
        <v>40</v>
      </c>
      <c r="H11" s="26">
        <v>150</v>
      </c>
      <c r="I11" s="26">
        <f t="shared" si="0"/>
        <v>9.5</v>
      </c>
      <c r="J11" s="21" t="s">
        <v>424</v>
      </c>
      <c r="K11" s="21" t="s">
        <v>425</v>
      </c>
      <c r="L11" s="36" t="s">
        <v>426</v>
      </c>
      <c r="M11" s="79"/>
      <c r="O11" s="26"/>
    </row>
    <row r="12" spans="1:15" ht="16.5" customHeight="1">
      <c r="A12" s="20">
        <v>7</v>
      </c>
      <c r="B12" s="21" t="s">
        <v>427</v>
      </c>
      <c r="C12" s="20" t="s">
        <v>337</v>
      </c>
      <c r="D12" s="26" t="s">
        <v>428</v>
      </c>
      <c r="E12" s="20">
        <v>3</v>
      </c>
      <c r="F12" s="26" t="s">
        <v>350</v>
      </c>
      <c r="G12" s="26">
        <v>40</v>
      </c>
      <c r="H12" s="26">
        <v>90</v>
      </c>
      <c r="I12" s="26">
        <f t="shared" si="0"/>
        <v>7.5</v>
      </c>
      <c r="J12" s="21" t="s">
        <v>429</v>
      </c>
      <c r="K12" s="21" t="s">
        <v>430</v>
      </c>
      <c r="L12" s="21" t="s">
        <v>431</v>
      </c>
      <c r="O12" s="26">
        <v>60</v>
      </c>
    </row>
    <row r="13" spans="1:15" ht="16.5" customHeight="1">
      <c r="A13" s="20">
        <v>8</v>
      </c>
      <c r="B13" s="21" t="s">
        <v>293</v>
      </c>
      <c r="C13" s="43" t="s">
        <v>269</v>
      </c>
      <c r="D13" s="26" t="s">
        <v>432</v>
      </c>
      <c r="E13" s="20">
        <v>3</v>
      </c>
      <c r="F13" s="26" t="s">
        <v>274</v>
      </c>
      <c r="G13" s="26">
        <v>40</v>
      </c>
      <c r="H13" s="26">
        <v>70</v>
      </c>
      <c r="I13" s="26">
        <f t="shared" si="0"/>
        <v>5.5</v>
      </c>
      <c r="J13" s="21" t="s">
        <v>295</v>
      </c>
      <c r="K13" s="21" t="s">
        <v>433</v>
      </c>
      <c r="L13" s="21" t="s">
        <v>434</v>
      </c>
      <c r="O13" s="26"/>
    </row>
    <row r="14" spans="1:15" ht="16.5" customHeight="1">
      <c r="A14" s="20">
        <v>9</v>
      </c>
      <c r="B14" s="70" t="s">
        <v>435</v>
      </c>
      <c r="C14" s="20" t="s">
        <v>295</v>
      </c>
      <c r="D14" s="20">
        <v>15</v>
      </c>
      <c r="E14" s="20">
        <v>4</v>
      </c>
      <c r="F14" s="26" t="s">
        <v>436</v>
      </c>
      <c r="G14" s="26">
        <v>40</v>
      </c>
      <c r="H14" s="26">
        <v>60</v>
      </c>
      <c r="I14" s="26">
        <f t="shared" si="0"/>
        <v>6.7</v>
      </c>
      <c r="J14" s="21"/>
      <c r="K14" s="21" t="s">
        <v>437</v>
      </c>
      <c r="L14" s="21" t="s">
        <v>438</v>
      </c>
      <c r="O14" s="26"/>
    </row>
    <row r="15" spans="1:15" ht="16.5" customHeight="1">
      <c r="A15" s="20">
        <v>10</v>
      </c>
      <c r="B15" s="70" t="s">
        <v>439</v>
      </c>
      <c r="C15" s="20" t="s">
        <v>295</v>
      </c>
      <c r="D15" s="20">
        <v>15</v>
      </c>
      <c r="E15" s="20">
        <v>4</v>
      </c>
      <c r="F15" s="26" t="s">
        <v>303</v>
      </c>
      <c r="G15" s="26">
        <v>40</v>
      </c>
      <c r="H15" s="26">
        <v>70</v>
      </c>
      <c r="I15" s="26">
        <f t="shared" si="0"/>
        <v>7.3</v>
      </c>
      <c r="J15" s="21" t="s">
        <v>440</v>
      </c>
      <c r="K15" s="21" t="s">
        <v>441</v>
      </c>
      <c r="L15" s="21" t="s">
        <v>442</v>
      </c>
      <c r="O15" s="26"/>
    </row>
    <row r="16" spans="1:15" ht="16.5" customHeight="1">
      <c r="A16" s="20">
        <v>11</v>
      </c>
      <c r="B16" s="21" t="s">
        <v>307</v>
      </c>
      <c r="C16" s="20" t="s">
        <v>308</v>
      </c>
      <c r="D16" s="26">
        <v>10</v>
      </c>
      <c r="E16" s="20">
        <v>4</v>
      </c>
      <c r="F16" s="26" t="s">
        <v>289</v>
      </c>
      <c r="G16" s="26">
        <v>40</v>
      </c>
      <c r="H16" s="26">
        <v>75</v>
      </c>
      <c r="I16" s="26">
        <f t="shared" si="0"/>
        <v>7.7</v>
      </c>
      <c r="J16" s="21"/>
      <c r="K16" s="21" t="s">
        <v>443</v>
      </c>
      <c r="L16" s="21" t="s">
        <v>444</v>
      </c>
      <c r="O16" s="26"/>
    </row>
    <row r="17" spans="1:9" ht="16.5" customHeight="1">
      <c r="D17" s="3" t="s">
        <v>321</v>
      </c>
      <c r="E17" s="27">
        <f>SUM(E6:E16)</f>
        <v>36</v>
      </c>
      <c r="I17">
        <f>ROUND(SUM(I6:I16),0)</f>
        <v>73</v>
      </c>
    </row>
    <row r="18" spans="1:9" ht="16.5" customHeight="1">
      <c r="F18" s="76" t="s">
        <v>445</v>
      </c>
    </row>
    <row r="19" spans="1:9" ht="16.5" customHeight="1">
      <c r="A19" s="95" t="s">
        <v>446</v>
      </c>
    </row>
    <row r="20" spans="1:9" ht="16.5" customHeight="1">
      <c r="A20" s="96" t="s">
        <v>447</v>
      </c>
    </row>
    <row r="21" spans="1:9" ht="16.5" customHeight="1">
      <c r="A21" t="s">
        <v>448</v>
      </c>
    </row>
    <row r="22" spans="1:9" ht="16.5" customHeight="1">
      <c r="A22" s="96" t="s">
        <v>449</v>
      </c>
    </row>
    <row r="23" spans="1:9" ht="16.5" customHeight="1">
      <c r="A23" s="96" t="s">
        <v>450</v>
      </c>
    </row>
    <row r="24" spans="1:9" ht="16.5" customHeight="1">
      <c r="A24" s="96" t="s">
        <v>451</v>
      </c>
    </row>
    <row r="25" spans="1:9" ht="16.5" customHeight="1">
      <c r="A25" s="96" t="s">
        <v>452</v>
      </c>
    </row>
    <row r="26" spans="1:9" ht="16.5" customHeight="1">
      <c r="A26" s="96" t="s">
        <v>453</v>
      </c>
    </row>
    <row r="27" spans="1:9" ht="16.5" customHeight="1">
      <c r="A27" s="95" t="s">
        <v>454</v>
      </c>
    </row>
    <row r="28" spans="1:9" ht="16.5" customHeight="1">
      <c r="A28" s="96" t="s">
        <v>455</v>
      </c>
    </row>
    <row r="29" spans="1:9" ht="16.5" customHeight="1"/>
    <row r="30" spans="1:9" ht="16.5" customHeight="1">
      <c r="A30" t="s">
        <v>456</v>
      </c>
    </row>
    <row r="31" spans="1:9" ht="16.5" customHeight="1">
      <c r="A31" t="s">
        <v>457</v>
      </c>
    </row>
    <row r="32" spans="1:9" ht="16.5" customHeight="1">
      <c r="A32" t="s">
        <v>458</v>
      </c>
    </row>
    <row r="33" spans="1:1" ht="16.5" customHeight="1">
      <c r="A33" t="s">
        <v>459</v>
      </c>
    </row>
    <row r="34" spans="1:1" ht="16.5" customHeight="1"/>
    <row r="35" spans="1:1" ht="16.5" customHeight="1">
      <c r="A35" s="99" t="s">
        <v>245</v>
      </c>
    </row>
    <row r="36" spans="1:1" ht="16.5" customHeight="1">
      <c r="A36" t="s">
        <v>460</v>
      </c>
    </row>
    <row r="37" spans="1:1" ht="16.5" customHeight="1">
      <c r="A37" t="s">
        <v>325</v>
      </c>
    </row>
    <row r="38" spans="1:1" ht="16.5" customHeight="1">
      <c r="A38" t="s">
        <v>461</v>
      </c>
    </row>
    <row r="39" spans="1:1" ht="16.5" customHeight="1"/>
    <row r="40" spans="1:1" ht="16.5" customHeight="1"/>
  </sheetData>
  <phoneticPr fontId="29" type="noConversion"/>
  <conditionalFormatting sqref="A6:O16">
    <cfRule type="expression" dxfId="7" priority="1">
      <formula>$E6=0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5"/>
  <sheetViews>
    <sheetView zoomScaleNormal="100" workbookViewId="0">
      <pane ySplit="5" topLeftCell="A6" activePane="bottomLeft" state="frozen"/>
      <selection pane="bottomLeft" activeCell="E33" sqref="E33"/>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462</v>
      </c>
    </row>
    <row r="2" spans="1:15" ht="16.5" customHeight="1">
      <c r="A2" s="18" t="s">
        <v>463</v>
      </c>
    </row>
    <row r="3" spans="1:15">
      <c r="A3" s="33" t="s">
        <v>464</v>
      </c>
    </row>
    <row r="4" spans="1:15" ht="15" customHeight="1">
      <c r="A4" s="3" t="s">
        <v>252</v>
      </c>
    </row>
    <row r="5" spans="1:15" ht="16.5" customHeight="1">
      <c r="A5" s="34" t="s">
        <v>253</v>
      </c>
      <c r="B5" s="35" t="s">
        <v>76</v>
      </c>
      <c r="C5" s="35" t="s">
        <v>254</v>
      </c>
      <c r="D5" s="35" t="s">
        <v>255</v>
      </c>
      <c r="E5" s="35" t="s">
        <v>148</v>
      </c>
      <c r="F5" s="35" t="s">
        <v>256</v>
      </c>
      <c r="G5" s="35" t="s">
        <v>257</v>
      </c>
      <c r="H5" s="35" t="s">
        <v>258</v>
      </c>
      <c r="I5" s="35" t="s">
        <v>259</v>
      </c>
      <c r="J5" s="35" t="s">
        <v>260</v>
      </c>
      <c r="K5" s="35" t="s">
        <v>261</v>
      </c>
      <c r="L5" s="35" t="s">
        <v>262</v>
      </c>
      <c r="M5" s="35" t="s">
        <v>263</v>
      </c>
      <c r="N5" s="35" t="s">
        <v>264</v>
      </c>
      <c r="O5" s="35" t="s">
        <v>265</v>
      </c>
    </row>
    <row r="6" spans="1:15" ht="16.5" customHeight="1">
      <c r="A6" s="20">
        <v>1</v>
      </c>
      <c r="B6" s="36" t="s">
        <v>465</v>
      </c>
      <c r="C6" s="20" t="s">
        <v>282</v>
      </c>
      <c r="D6" s="26">
        <v>45</v>
      </c>
      <c r="E6" s="20">
        <v>4</v>
      </c>
      <c r="F6" s="26" t="s">
        <v>284</v>
      </c>
      <c r="G6" s="26">
        <v>40</v>
      </c>
      <c r="H6" s="26">
        <v>150</v>
      </c>
      <c r="I6" s="26">
        <f t="shared" ref="I6:I15" si="0">IF(E6=0,0,ROUND((E6*(G6+H6)+O6)/60,1))</f>
        <v>12.7</v>
      </c>
      <c r="J6" s="21" t="s">
        <v>466</v>
      </c>
      <c r="K6" s="21" t="s">
        <v>467</v>
      </c>
      <c r="L6" s="21" t="s">
        <v>468</v>
      </c>
      <c r="O6" s="26"/>
    </row>
    <row r="7" spans="1:15" ht="16.5" customHeight="1">
      <c r="A7" s="20">
        <v>2</v>
      </c>
      <c r="B7" s="36" t="s">
        <v>469</v>
      </c>
      <c r="C7" s="20" t="s">
        <v>267</v>
      </c>
      <c r="D7" s="26">
        <v>47</v>
      </c>
      <c r="E7" s="20">
        <v>2</v>
      </c>
      <c r="F7" s="26" t="s">
        <v>274</v>
      </c>
      <c r="G7" s="26">
        <v>40</v>
      </c>
      <c r="H7" s="26">
        <v>150</v>
      </c>
      <c r="I7" s="26">
        <f t="shared" si="0"/>
        <v>6.3</v>
      </c>
      <c r="J7" s="21" t="s">
        <v>466</v>
      </c>
      <c r="K7" s="21" t="s">
        <v>470</v>
      </c>
      <c r="L7" s="21" t="s">
        <v>471</v>
      </c>
      <c r="O7" s="26"/>
    </row>
    <row r="8" spans="1:15" ht="16.5" customHeight="1">
      <c r="A8" s="20">
        <v>3</v>
      </c>
      <c r="B8" s="36" t="s">
        <v>472</v>
      </c>
      <c r="C8" s="20" t="s">
        <v>267</v>
      </c>
      <c r="D8" s="26">
        <v>20</v>
      </c>
      <c r="E8" s="20">
        <v>2</v>
      </c>
      <c r="F8" s="26" t="s">
        <v>278</v>
      </c>
      <c r="G8" s="26">
        <v>80</v>
      </c>
      <c r="H8" s="26">
        <v>150</v>
      </c>
      <c r="I8" s="26">
        <f t="shared" si="0"/>
        <v>9.6999999999999993</v>
      </c>
      <c r="J8" s="21" t="s">
        <v>466</v>
      </c>
      <c r="K8" s="21" t="s">
        <v>473</v>
      </c>
      <c r="L8" s="21" t="s">
        <v>474</v>
      </c>
      <c r="O8" s="26">
        <v>120</v>
      </c>
    </row>
    <row r="9" spans="1:15" ht="16.5" customHeight="1">
      <c r="A9" s="20">
        <v>4</v>
      </c>
      <c r="B9" s="36" t="s">
        <v>475</v>
      </c>
      <c r="C9" s="20" t="s">
        <v>282</v>
      </c>
      <c r="D9" s="20">
        <v>32</v>
      </c>
      <c r="E9" s="20">
        <v>4</v>
      </c>
      <c r="F9" s="26" t="s">
        <v>289</v>
      </c>
      <c r="G9" s="26">
        <v>40</v>
      </c>
      <c r="H9" s="26">
        <v>60</v>
      </c>
      <c r="I9" s="26">
        <f t="shared" si="0"/>
        <v>7.7</v>
      </c>
      <c r="J9" s="21" t="s">
        <v>476</v>
      </c>
      <c r="K9" s="21" t="s">
        <v>477</v>
      </c>
      <c r="L9" s="21" t="s">
        <v>478</v>
      </c>
      <c r="O9" s="26">
        <v>60</v>
      </c>
    </row>
    <row r="10" spans="1:15" ht="16.5" customHeight="1">
      <c r="A10" s="20">
        <v>5</v>
      </c>
      <c r="B10" s="21" t="s">
        <v>410</v>
      </c>
      <c r="C10" s="20" t="s">
        <v>358</v>
      </c>
      <c r="D10" s="26" t="s">
        <v>289</v>
      </c>
      <c r="E10" s="20">
        <v>0</v>
      </c>
      <c r="F10" s="26" t="s">
        <v>314</v>
      </c>
      <c r="G10" s="26">
        <v>40</v>
      </c>
      <c r="H10" s="26">
        <v>70</v>
      </c>
      <c r="I10" s="26">
        <f t="shared" si="0"/>
        <v>0</v>
      </c>
      <c r="J10" s="21" t="s">
        <v>411</v>
      </c>
      <c r="K10" s="21" t="s">
        <v>479</v>
      </c>
      <c r="L10" s="21" t="s">
        <v>480</v>
      </c>
      <c r="O10" s="26"/>
    </row>
    <row r="11" spans="1:15" ht="16.5" customHeight="1">
      <c r="A11" s="20">
        <v>6</v>
      </c>
      <c r="B11" s="21" t="s">
        <v>481</v>
      </c>
      <c r="C11" s="20" t="s">
        <v>269</v>
      </c>
      <c r="D11" s="26">
        <v>30</v>
      </c>
      <c r="E11" s="20">
        <v>4</v>
      </c>
      <c r="F11" s="26" t="s">
        <v>274</v>
      </c>
      <c r="G11" s="26">
        <v>40</v>
      </c>
      <c r="H11" s="26">
        <v>70</v>
      </c>
      <c r="I11" s="26">
        <f t="shared" si="0"/>
        <v>8.3000000000000007</v>
      </c>
      <c r="J11" s="21" t="s">
        <v>295</v>
      </c>
      <c r="K11" s="21" t="s">
        <v>482</v>
      </c>
      <c r="L11" s="22" t="s">
        <v>483</v>
      </c>
      <c r="O11" s="26">
        <v>60</v>
      </c>
    </row>
    <row r="12" spans="1:15" ht="16.5" customHeight="1">
      <c r="A12" s="20">
        <v>7</v>
      </c>
      <c r="B12" s="21" t="s">
        <v>484</v>
      </c>
      <c r="C12" s="20" t="s">
        <v>407</v>
      </c>
      <c r="D12" s="20">
        <v>15</v>
      </c>
      <c r="E12" s="20">
        <v>4</v>
      </c>
      <c r="F12" s="26" t="s">
        <v>350</v>
      </c>
      <c r="G12" s="26">
        <v>40</v>
      </c>
      <c r="H12" s="26">
        <v>90</v>
      </c>
      <c r="I12" s="26">
        <f t="shared" si="0"/>
        <v>8.6999999999999993</v>
      </c>
      <c r="J12" s="21" t="s">
        <v>485</v>
      </c>
      <c r="K12" s="21" t="s">
        <v>486</v>
      </c>
      <c r="L12" s="21" t="s">
        <v>487</v>
      </c>
      <c r="O12" s="26"/>
    </row>
    <row r="13" spans="1:15" ht="16.5" customHeight="1">
      <c r="A13" s="20">
        <v>8</v>
      </c>
      <c r="B13" s="70" t="s">
        <v>488</v>
      </c>
      <c r="C13" s="20" t="s">
        <v>308</v>
      </c>
      <c r="D13" s="20" t="s">
        <v>489</v>
      </c>
      <c r="E13" s="20">
        <v>2</v>
      </c>
      <c r="F13" s="26" t="s">
        <v>289</v>
      </c>
      <c r="G13" s="26">
        <v>40</v>
      </c>
      <c r="H13" s="26">
        <v>75</v>
      </c>
      <c r="I13" s="26">
        <f t="shared" si="0"/>
        <v>3.8</v>
      </c>
      <c r="J13" s="21"/>
      <c r="K13" s="21" t="s">
        <v>490</v>
      </c>
      <c r="L13" s="21" t="s">
        <v>491</v>
      </c>
      <c r="O13" s="26"/>
    </row>
    <row r="14" spans="1:15" ht="16.5" customHeight="1">
      <c r="A14" s="20">
        <v>9</v>
      </c>
      <c r="B14" s="21" t="s">
        <v>492</v>
      </c>
      <c r="C14" s="20" t="s">
        <v>393</v>
      </c>
      <c r="D14" s="26">
        <v>10</v>
      </c>
      <c r="E14" s="20">
        <v>3</v>
      </c>
      <c r="F14" s="26" t="s">
        <v>304</v>
      </c>
      <c r="G14" s="26">
        <v>80</v>
      </c>
      <c r="H14" s="26">
        <v>75</v>
      </c>
      <c r="I14" s="26">
        <f t="shared" si="0"/>
        <v>7.8</v>
      </c>
      <c r="J14" s="21"/>
      <c r="K14" s="21" t="s">
        <v>493</v>
      </c>
      <c r="L14" s="21" t="s">
        <v>494</v>
      </c>
      <c r="O14" s="26"/>
    </row>
    <row r="15" spans="1:15" ht="16.5" customHeight="1">
      <c r="A15" s="20">
        <v>10</v>
      </c>
      <c r="B15" s="74" t="s">
        <v>318</v>
      </c>
      <c r="C15" s="20" t="s">
        <v>313</v>
      </c>
      <c r="D15" s="20" t="s">
        <v>283</v>
      </c>
      <c r="E15" s="20">
        <v>3</v>
      </c>
      <c r="F15" s="26" t="s">
        <v>289</v>
      </c>
      <c r="G15" s="26">
        <v>40</v>
      </c>
      <c r="H15" s="26">
        <v>60</v>
      </c>
      <c r="I15" s="26">
        <f t="shared" si="0"/>
        <v>5</v>
      </c>
      <c r="J15" s="21"/>
      <c r="K15" s="21" t="s">
        <v>319</v>
      </c>
      <c r="L15" s="21" t="s">
        <v>320</v>
      </c>
      <c r="O15" s="26"/>
    </row>
    <row r="16" spans="1:15" ht="15" customHeight="1">
      <c r="D16" s="3" t="s">
        <v>321</v>
      </c>
      <c r="E16" s="27">
        <f>SUM(E6:E15)</f>
        <v>28</v>
      </c>
      <c r="I16">
        <f>ROUND(SUM(I6:I15),0)</f>
        <v>70</v>
      </c>
    </row>
    <row r="17" spans="1:2" ht="15" customHeight="1">
      <c r="A17" t="s">
        <v>456</v>
      </c>
    </row>
    <row r="18" spans="1:2">
      <c r="A18" t="s">
        <v>495</v>
      </c>
    </row>
    <row r="19" spans="1:2">
      <c r="A19" t="s">
        <v>496</v>
      </c>
    </row>
    <row r="20" spans="1:2">
      <c r="A20" t="s">
        <v>497</v>
      </c>
    </row>
    <row r="22" spans="1:2">
      <c r="A22" s="99" t="s">
        <v>245</v>
      </c>
      <c r="B22" s="72"/>
    </row>
    <row r="23" spans="1:2">
      <c r="A23" t="s">
        <v>498</v>
      </c>
    </row>
    <row r="24" spans="1:2">
      <c r="A24" t="s">
        <v>325</v>
      </c>
    </row>
    <row r="25" spans="1:2">
      <c r="A25" t="s">
        <v>499</v>
      </c>
    </row>
  </sheetData>
  <phoneticPr fontId="29" type="noConversion"/>
  <conditionalFormatting sqref="A6:O15">
    <cfRule type="expression" dxfId="6" priority="1">
      <formula>$E6=0</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6"/>
  <sheetViews>
    <sheetView zoomScaleNormal="100" workbookViewId="0">
      <pane ySplit="19" topLeftCell="A20" activePane="bottomLeft" state="frozen"/>
      <selection pane="bottomLeft" activeCell="N13" sqref="N13"/>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3" ht="19.5" customHeight="1">
      <c r="A1" s="17" t="s">
        <v>500</v>
      </c>
    </row>
    <row r="2" spans="1:3" ht="16.5" customHeight="1">
      <c r="A2" s="18" t="s">
        <v>501</v>
      </c>
    </row>
    <row r="4" spans="1:3" ht="16.5" customHeight="1">
      <c r="A4" s="3" t="s">
        <v>502</v>
      </c>
    </row>
    <row r="5" spans="1:3" ht="16.5" customHeight="1">
      <c r="A5" s="19" t="s">
        <v>255</v>
      </c>
      <c r="B5" s="19" t="s">
        <v>330</v>
      </c>
      <c r="C5" s="19" t="s">
        <v>148</v>
      </c>
    </row>
    <row r="6" spans="1:3" ht="15" customHeight="1">
      <c r="A6" s="20">
        <f>MAX(20,(MROUND(시작중량_설정!$E$10*0.4,1)+(MOD(MROUND(시작중량_설정!$E$10*0.4,1),5)=4)))</f>
        <v>20</v>
      </c>
      <c r="B6" s="20">
        <v>5</v>
      </c>
      <c r="C6" s="20">
        <v>2</v>
      </c>
    </row>
    <row r="7" spans="1:3" ht="15" customHeight="1">
      <c r="A7" s="20" t="str">
        <f>IF(MAX(20,(MROUND(시작중량_설정!$E$10*0.6,1)+(MOD(MROUND(시작중량_설정!$E$10*0.6,1),5)=4)))&lt;=MAX(20,(MROUND(시작중량_설정!$E$10*0.4,1)+(MOD(MROUND(시작중량_설정!$E$10*0.4,1),5)=4))),"생략",MAX(20,(MROUND(시작중량_설정!$E$10*0.6,1)+(MOD(MROUND(시작중량_설정!$E$10*0.6,1),5)=4))))</f>
        <v>생략</v>
      </c>
      <c r="B7" s="20">
        <v>5</v>
      </c>
      <c r="C7" s="20">
        <v>1</v>
      </c>
    </row>
    <row r="8" spans="1:3" ht="15" customHeight="1">
      <c r="A8" s="20">
        <f>IF(MAX(20,(MROUND(시작중량_설정!$E$10*0.75,1)+(MOD(MROUND(시작중량_설정!$E$10*0.75,1),5)=4)))&lt;=MAX(20,(MROUND(시작중량_설정!$E$10*0.6,1)+(MOD(MROUND(시작중량_설정!$E$10*0.6,1),5)=4))),"생략",MAX(20,(MROUND(시작중량_설정!$E$10*0.75,1)+(MOD(MROUND(시작중량_설정!$E$10*0.75,1),5)=4))))</f>
        <v>23</v>
      </c>
      <c r="B8" s="20">
        <v>3</v>
      </c>
      <c r="C8" s="20">
        <v>1</v>
      </c>
    </row>
    <row r="9" spans="1:3" ht="15" customHeight="1">
      <c r="A9" s="20">
        <f>IF(MAX(20,(MROUND(시작중량_설정!$E$10*0.9,1)+(MOD(MROUND(시작중량_설정!$E$10*0.9,1),5)=4)))&lt;=MAX(20,(MROUND(시작중량_설정!$E$10*0.75,1)+(MOD(MROUND(시작중량_설정!$E$10*0.75,1),5)=4))),"생략",MAX(20,(MROUND(시작중량_설정!$E$10*0.9,1)+(MOD(MROUND(시작중량_설정!$E$10*0.9,1),5)=4))))</f>
        <v>28</v>
      </c>
      <c r="B9" s="20">
        <v>2</v>
      </c>
      <c r="C9" s="20">
        <v>1</v>
      </c>
    </row>
    <row r="10" spans="1:3" ht="15" customHeight="1">
      <c r="A10" s="37">
        <f>시작중량_설정!$E$10</f>
        <v>31</v>
      </c>
      <c r="B10" s="27">
        <v>5</v>
      </c>
      <c r="C10" s="27">
        <v>3</v>
      </c>
    </row>
    <row r="11" spans="1:3" ht="16.5" customHeight="1">
      <c r="A11" s="31" t="s">
        <v>331</v>
      </c>
    </row>
    <row r="13" spans="1:3" ht="16.5" customHeight="1">
      <c r="A13" s="3" t="s">
        <v>332</v>
      </c>
    </row>
    <row r="14" spans="1:3" ht="16.5" customHeight="1">
      <c r="A14" s="31" t="s">
        <v>333</v>
      </c>
    </row>
    <row r="15" spans="1:3" ht="16.5" customHeight="1">
      <c r="A15" s="31" t="s">
        <v>334</v>
      </c>
    </row>
    <row r="16" spans="1:3" ht="16.5" customHeight="1">
      <c r="A16" s="31" t="s">
        <v>335</v>
      </c>
    </row>
    <row r="18" spans="1:15" ht="15" customHeight="1">
      <c r="A18" s="3" t="s">
        <v>252</v>
      </c>
    </row>
    <row r="19" spans="1:15" ht="16.5" customHeight="1">
      <c r="A19" s="34" t="s">
        <v>253</v>
      </c>
      <c r="B19" s="35" t="s">
        <v>76</v>
      </c>
      <c r="C19" s="35" t="s">
        <v>254</v>
      </c>
      <c r="D19" s="35" t="s">
        <v>255</v>
      </c>
      <c r="E19" s="35" t="s">
        <v>148</v>
      </c>
      <c r="F19" s="35" t="s">
        <v>256</v>
      </c>
      <c r="G19" s="35" t="s">
        <v>257</v>
      </c>
      <c r="H19" s="35" t="s">
        <v>258</v>
      </c>
      <c r="I19" s="35" t="s">
        <v>259</v>
      </c>
      <c r="J19" s="35" t="s">
        <v>260</v>
      </c>
      <c r="K19" s="35" t="s">
        <v>261</v>
      </c>
      <c r="L19" s="35" t="s">
        <v>262</v>
      </c>
      <c r="M19" s="35" t="s">
        <v>263</v>
      </c>
      <c r="N19" s="35" t="s">
        <v>264</v>
      </c>
      <c r="O19" s="35" t="s">
        <v>265</v>
      </c>
    </row>
    <row r="20" spans="1:15" ht="16.5" customHeight="1">
      <c r="A20" s="40">
        <v>1</v>
      </c>
      <c r="B20" s="39" t="s">
        <v>503</v>
      </c>
      <c r="C20" s="40" t="s">
        <v>429</v>
      </c>
      <c r="D20" s="41">
        <f>시작중량_설정!$E$10</f>
        <v>31</v>
      </c>
      <c r="E20" s="40">
        <v>3</v>
      </c>
      <c r="F20" s="38" t="s">
        <v>338</v>
      </c>
      <c r="G20" s="38">
        <v>30</v>
      </c>
      <c r="H20" s="38">
        <v>180</v>
      </c>
      <c r="I20" s="38">
        <f t="shared" ref="I20:I29" si="0">IF(E20=0,0,ROUND((E20*(G20+H20)+O20)/60,1))</f>
        <v>10.5</v>
      </c>
      <c r="J20" s="39" t="s">
        <v>504</v>
      </c>
      <c r="K20" s="39" t="s">
        <v>505</v>
      </c>
      <c r="L20" s="39" t="s">
        <v>506</v>
      </c>
      <c r="M20" s="38" t="s">
        <v>507</v>
      </c>
      <c r="O20" s="38"/>
    </row>
    <row r="21" spans="1:15" ht="16.5" customHeight="1">
      <c r="A21" s="20">
        <v>2</v>
      </c>
      <c r="B21" s="21" t="s">
        <v>508</v>
      </c>
      <c r="C21" s="20" t="s">
        <v>429</v>
      </c>
      <c r="D21" s="20">
        <v>25</v>
      </c>
      <c r="E21" s="20">
        <v>3</v>
      </c>
      <c r="F21" s="26" t="s">
        <v>314</v>
      </c>
      <c r="G21" s="26">
        <v>40</v>
      </c>
      <c r="H21" s="26">
        <v>120</v>
      </c>
      <c r="I21" s="26">
        <f t="shared" si="0"/>
        <v>8</v>
      </c>
      <c r="J21" s="21" t="s">
        <v>509</v>
      </c>
      <c r="K21" s="21" t="s">
        <v>510</v>
      </c>
      <c r="L21" s="21" t="s">
        <v>511</v>
      </c>
      <c r="O21" s="26"/>
    </row>
    <row r="22" spans="1:15" ht="16.5" customHeight="1">
      <c r="A22" s="20">
        <v>3</v>
      </c>
      <c r="B22" s="36" t="s">
        <v>417</v>
      </c>
      <c r="C22" s="20" t="s">
        <v>418</v>
      </c>
      <c r="D22" s="20">
        <v>20</v>
      </c>
      <c r="E22" s="20">
        <v>3</v>
      </c>
      <c r="F22" s="26" t="s">
        <v>289</v>
      </c>
      <c r="G22" s="26">
        <v>40</v>
      </c>
      <c r="H22" s="26">
        <v>60</v>
      </c>
      <c r="I22" s="26">
        <f t="shared" si="0"/>
        <v>5</v>
      </c>
      <c r="J22" s="21" t="s">
        <v>285</v>
      </c>
      <c r="K22" s="21" t="s">
        <v>512</v>
      </c>
      <c r="L22" s="21" t="s">
        <v>513</v>
      </c>
      <c r="O22" s="26"/>
    </row>
    <row r="23" spans="1:15" ht="16.5" customHeight="1">
      <c r="A23" s="20">
        <v>4</v>
      </c>
      <c r="B23" s="21" t="s">
        <v>514</v>
      </c>
      <c r="C23" s="20" t="s">
        <v>337</v>
      </c>
      <c r="D23" s="26">
        <v>25</v>
      </c>
      <c r="E23" s="20">
        <v>3</v>
      </c>
      <c r="F23" s="26" t="s">
        <v>274</v>
      </c>
      <c r="G23" s="26">
        <v>40</v>
      </c>
      <c r="H23" s="26">
        <v>150</v>
      </c>
      <c r="I23" s="26">
        <f t="shared" si="0"/>
        <v>9.5</v>
      </c>
      <c r="J23" s="21" t="s">
        <v>345</v>
      </c>
      <c r="K23" s="21" t="s">
        <v>515</v>
      </c>
      <c r="L23" s="21" t="s">
        <v>516</v>
      </c>
      <c r="O23" s="26"/>
    </row>
    <row r="24" spans="1:15" ht="16.5" customHeight="1">
      <c r="A24" s="20">
        <v>5</v>
      </c>
      <c r="B24" s="21" t="s">
        <v>517</v>
      </c>
      <c r="C24" s="20" t="s">
        <v>349</v>
      </c>
      <c r="D24" s="26">
        <v>35</v>
      </c>
      <c r="E24" s="20">
        <v>3</v>
      </c>
      <c r="F24" s="26" t="s">
        <v>284</v>
      </c>
      <c r="G24" s="26">
        <v>40</v>
      </c>
      <c r="H24" s="26">
        <v>150</v>
      </c>
      <c r="I24" s="26">
        <f t="shared" si="0"/>
        <v>9.5</v>
      </c>
      <c r="J24" s="21" t="s">
        <v>339</v>
      </c>
      <c r="K24" s="21" t="s">
        <v>518</v>
      </c>
      <c r="L24" s="21" t="s">
        <v>519</v>
      </c>
      <c r="O24" s="26"/>
    </row>
    <row r="25" spans="1:15" ht="16.5" customHeight="1">
      <c r="A25" s="20">
        <v>6</v>
      </c>
      <c r="B25" s="21" t="s">
        <v>520</v>
      </c>
      <c r="C25" s="43" t="s">
        <v>337</v>
      </c>
      <c r="D25" s="26">
        <v>10</v>
      </c>
      <c r="E25" s="20">
        <v>3</v>
      </c>
      <c r="F25" s="26" t="s">
        <v>274</v>
      </c>
      <c r="G25" s="26">
        <v>40</v>
      </c>
      <c r="H25" s="26">
        <v>90</v>
      </c>
      <c r="I25" s="26">
        <f t="shared" si="0"/>
        <v>7.5</v>
      </c>
      <c r="J25" s="21"/>
      <c r="K25" s="21" t="s">
        <v>521</v>
      </c>
      <c r="L25" s="21" t="s">
        <v>522</v>
      </c>
      <c r="O25" s="26">
        <v>60</v>
      </c>
    </row>
    <row r="26" spans="1:15" ht="16.5" customHeight="1">
      <c r="A26" s="20">
        <v>7</v>
      </c>
      <c r="B26" s="21" t="s">
        <v>523</v>
      </c>
      <c r="C26" s="20" t="s">
        <v>358</v>
      </c>
      <c r="D26" s="26">
        <v>15</v>
      </c>
      <c r="E26" s="20">
        <v>3</v>
      </c>
      <c r="F26" s="26" t="s">
        <v>289</v>
      </c>
      <c r="G26" s="26">
        <v>40</v>
      </c>
      <c r="H26" s="26">
        <v>70</v>
      </c>
      <c r="I26" s="26">
        <f t="shared" si="0"/>
        <v>5.5</v>
      </c>
      <c r="J26" s="21"/>
      <c r="K26" s="21" t="s">
        <v>524</v>
      </c>
      <c r="L26" s="21" t="s">
        <v>525</v>
      </c>
      <c r="O26" s="26"/>
    </row>
    <row r="27" spans="1:15" ht="16.5" customHeight="1">
      <c r="A27" s="20">
        <v>8</v>
      </c>
      <c r="B27" s="21" t="s">
        <v>526</v>
      </c>
      <c r="C27" s="20" t="s">
        <v>354</v>
      </c>
      <c r="D27" s="26">
        <v>5</v>
      </c>
      <c r="E27" s="20">
        <v>3</v>
      </c>
      <c r="F27" s="26" t="s">
        <v>350</v>
      </c>
      <c r="G27" s="26">
        <v>70</v>
      </c>
      <c r="H27" s="26">
        <v>70</v>
      </c>
      <c r="I27" s="26">
        <f t="shared" si="0"/>
        <v>7</v>
      </c>
      <c r="J27" s="21"/>
      <c r="K27" s="21" t="s">
        <v>527</v>
      </c>
      <c r="L27" s="21" t="s">
        <v>528</v>
      </c>
      <c r="O27" s="26"/>
    </row>
    <row r="28" spans="1:15" ht="16.5" customHeight="1">
      <c r="A28" s="20">
        <v>9</v>
      </c>
      <c r="B28" s="21" t="s">
        <v>529</v>
      </c>
      <c r="C28" s="20" t="s">
        <v>418</v>
      </c>
      <c r="D28" s="26" t="s">
        <v>530</v>
      </c>
      <c r="E28" s="20">
        <v>3</v>
      </c>
      <c r="F28" s="26" t="s">
        <v>289</v>
      </c>
      <c r="G28" s="26">
        <v>40</v>
      </c>
      <c r="H28" s="26">
        <v>60</v>
      </c>
      <c r="I28" s="26">
        <f t="shared" si="0"/>
        <v>5</v>
      </c>
      <c r="J28" s="21" t="s">
        <v>476</v>
      </c>
      <c r="K28" s="21" t="s">
        <v>531</v>
      </c>
      <c r="L28" s="21" t="s">
        <v>532</v>
      </c>
      <c r="O28" s="26"/>
    </row>
    <row r="29" spans="1:15" ht="16.5" customHeight="1">
      <c r="A29" s="20">
        <v>10</v>
      </c>
      <c r="B29" s="74" t="s">
        <v>533</v>
      </c>
      <c r="C29" s="20" t="s">
        <v>299</v>
      </c>
      <c r="D29" s="20">
        <v>15</v>
      </c>
      <c r="E29" s="20">
        <v>3</v>
      </c>
      <c r="F29" s="26" t="s">
        <v>314</v>
      </c>
      <c r="G29" s="26">
        <v>40</v>
      </c>
      <c r="H29" s="26">
        <v>60</v>
      </c>
      <c r="I29" s="26">
        <f t="shared" si="0"/>
        <v>5</v>
      </c>
      <c r="J29" s="21"/>
      <c r="K29" s="21" t="s">
        <v>534</v>
      </c>
      <c r="L29" s="21" t="s">
        <v>535</v>
      </c>
      <c r="O29" s="26"/>
    </row>
    <row r="30" spans="1:15" ht="15" customHeight="1">
      <c r="A30" s="20"/>
      <c r="B30" s="21"/>
      <c r="C30" s="20"/>
      <c r="D30" s="26" t="s">
        <v>321</v>
      </c>
      <c r="E30" s="20">
        <f>SUM(E20:E29)</f>
        <v>30</v>
      </c>
      <c r="F30" s="26"/>
      <c r="G30" s="26"/>
      <c r="H30" s="26"/>
      <c r="I30" s="26">
        <f>ROUND(SUM(I20:I29),0)</f>
        <v>73</v>
      </c>
      <c r="J30" s="21"/>
      <c r="K30" s="21"/>
      <c r="L30" s="21"/>
    </row>
    <row r="31" spans="1:15" ht="15" customHeight="1">
      <c r="A31" s="3" t="s">
        <v>536</v>
      </c>
    </row>
    <row r="32" spans="1:15">
      <c r="A32" s="31" t="s">
        <v>537</v>
      </c>
    </row>
    <row r="33" spans="1:1" ht="16.5" customHeight="1">
      <c r="A33" s="31" t="s">
        <v>538</v>
      </c>
    </row>
    <row r="34" spans="1:1" ht="16.5" customHeight="1">
      <c r="A34" s="31" t="s">
        <v>539</v>
      </c>
    </row>
    <row r="35" spans="1:1" ht="16.5" customHeight="1">
      <c r="A35" s="31" t="s">
        <v>540</v>
      </c>
    </row>
    <row r="36" spans="1:1" ht="16.5" customHeight="1">
      <c r="A36" s="31" t="s">
        <v>541</v>
      </c>
    </row>
    <row r="37" spans="1:1" ht="16.5" customHeight="1">
      <c r="A37" s="31" t="s">
        <v>542</v>
      </c>
    </row>
    <row r="38" spans="1:1" ht="16.5" customHeight="1">
      <c r="A38" s="31" t="s">
        <v>543</v>
      </c>
    </row>
    <row r="39" spans="1:1" ht="16.5" customHeight="1"/>
    <row r="40" spans="1:1" ht="16.5" customHeight="1">
      <c r="A40" t="s">
        <v>456</v>
      </c>
    </row>
    <row r="41" spans="1:1">
      <c r="A41" t="s">
        <v>544</v>
      </c>
    </row>
    <row r="42" spans="1:1">
      <c r="A42" t="s">
        <v>545</v>
      </c>
    </row>
    <row r="44" spans="1:1">
      <c r="A44" s="99" t="s">
        <v>245</v>
      </c>
    </row>
    <row r="45" spans="1:1">
      <c r="A45" t="s">
        <v>546</v>
      </c>
    </row>
    <row r="46" spans="1:1">
      <c r="A46" t="s">
        <v>325</v>
      </c>
    </row>
  </sheetData>
  <phoneticPr fontId="29" type="noConversion"/>
  <conditionalFormatting sqref="A20:O29">
    <cfRule type="expression" dxfId="5" priority="1">
      <formula>$E20=0</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3"/>
  <sheetViews>
    <sheetView zoomScaleNormal="100" workbookViewId="0">
      <pane ySplit="14" topLeftCell="A15" activePane="bottomLeft" state="frozen"/>
      <selection pane="bottomLeft" activeCell="O15" sqref="O15:O22"/>
    </sheetView>
  </sheetViews>
  <sheetFormatPr defaultColWidth="8.7109375" defaultRowHeight="15"/>
  <cols>
    <col min="1" max="1" width="7.1406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547</v>
      </c>
    </row>
    <row r="2" spans="1:15" ht="16.5" customHeight="1">
      <c r="A2" s="18" t="s">
        <v>548</v>
      </c>
    </row>
    <row r="4" spans="1:15" ht="16.5" customHeight="1">
      <c r="A4" s="3" t="s">
        <v>549</v>
      </c>
    </row>
    <row r="5" spans="1:15" ht="16.5" customHeight="1">
      <c r="A5" s="19" t="s">
        <v>255</v>
      </c>
      <c r="B5" s="19" t="s">
        <v>330</v>
      </c>
      <c r="C5" s="19" t="s">
        <v>148</v>
      </c>
    </row>
    <row r="6" spans="1:15" ht="15" customHeight="1">
      <c r="A6" s="20">
        <f>MAX(20,(MROUND(시작중량_설정!$E$8*0.4,1)+(MOD(MROUND(시작중량_설정!$E$8*0.4,1),5)=4)))</f>
        <v>32</v>
      </c>
      <c r="B6" s="20">
        <v>5</v>
      </c>
      <c r="C6" s="20">
        <v>2</v>
      </c>
    </row>
    <row r="7" spans="1:15" ht="15" customHeight="1">
      <c r="A7" s="20">
        <f>IF(MAX(20,(MROUND(시작중량_설정!$E$8*0.6,1)+(MOD(MROUND(시작중량_설정!$E$8*0.6,1),5)=4)))&lt;=MAX(20,(MROUND(시작중량_설정!$E$8*0.4,1)+(MOD(MROUND(시작중량_설정!$E$8*0.4,1),5)=4))),"생략",MAX(20,(MROUND(시작중량_설정!$E$8*0.6,1)+(MOD(MROUND(시작중량_설정!$E$8*0.6,1),5)=4))))</f>
        <v>48</v>
      </c>
      <c r="B7" s="20">
        <v>5</v>
      </c>
      <c r="C7" s="20">
        <v>1</v>
      </c>
    </row>
    <row r="8" spans="1:15" ht="15" customHeight="1">
      <c r="A8" s="20">
        <f>IF(MAX(20,(MROUND(시작중량_설정!$E$8*0.75,1)+(MOD(MROUND(시작중량_설정!$E$8*0.75,1),5)=4)))&lt;=MAX(20,(MROUND(시작중량_설정!$E$8*0.6,1)+(MOD(MROUND(시작중량_설정!$E$8*0.6,1),5)=4))),"생략",MAX(20,(MROUND(시작중량_설정!$E$8*0.75,1)+(MOD(MROUND(시작중량_설정!$E$8*0.75,1),5)=4))))</f>
        <v>60</v>
      </c>
      <c r="B8" s="20">
        <v>3</v>
      </c>
      <c r="C8" s="20">
        <v>1</v>
      </c>
    </row>
    <row r="9" spans="1:15" ht="15" customHeight="1">
      <c r="A9" s="20">
        <f>IF(MAX(20,(MROUND(시작중량_설정!$E$8*0.9,1)+(MOD(MROUND(시작중량_설정!$E$8*0.9,1),5)=4)))&lt;=MAX(20,(MROUND(시작중량_설정!$E$8*0.75,1)+(MOD(MROUND(시작중량_설정!$E$8*0.75,1),5)=4))),"생략",MAX(20,(MROUND(시작중량_설정!$E$8*0.9,1)+(MOD(MROUND(시작중량_설정!$E$8*0.9,1),5)=4))))</f>
        <v>72</v>
      </c>
      <c r="B9" s="20">
        <v>2</v>
      </c>
      <c r="C9" s="20">
        <v>1</v>
      </c>
    </row>
    <row r="10" spans="1:15" ht="15" customHeight="1">
      <c r="A10" s="37">
        <f>시작중량_설정!$E$8</f>
        <v>80</v>
      </c>
      <c r="B10" s="27">
        <v>5</v>
      </c>
      <c r="C10" s="27">
        <v>1</v>
      </c>
    </row>
    <row r="11" spans="1:15" ht="16.5" customHeight="1">
      <c r="A11" s="31" t="s">
        <v>331</v>
      </c>
    </row>
    <row r="13" spans="1:15" ht="15" customHeight="1">
      <c r="A13" s="3" t="s">
        <v>252</v>
      </c>
    </row>
    <row r="14" spans="1:15" ht="16.5" customHeight="1">
      <c r="A14" s="34" t="s">
        <v>253</v>
      </c>
      <c r="B14" s="35" t="s">
        <v>76</v>
      </c>
      <c r="C14" s="35" t="s">
        <v>254</v>
      </c>
      <c r="D14" s="35" t="s">
        <v>255</v>
      </c>
      <c r="E14" s="35" t="s">
        <v>148</v>
      </c>
      <c r="F14" s="35" t="s">
        <v>256</v>
      </c>
      <c r="G14" s="35" t="s">
        <v>257</v>
      </c>
      <c r="H14" s="35" t="s">
        <v>258</v>
      </c>
      <c r="I14" s="35" t="s">
        <v>259</v>
      </c>
      <c r="J14" s="35" t="s">
        <v>260</v>
      </c>
      <c r="K14" s="35" t="s">
        <v>261</v>
      </c>
      <c r="L14" s="35" t="s">
        <v>262</v>
      </c>
      <c r="M14" s="35" t="s">
        <v>263</v>
      </c>
      <c r="N14" s="35" t="s">
        <v>264</v>
      </c>
      <c r="O14" s="35" t="s">
        <v>265</v>
      </c>
    </row>
    <row r="15" spans="1:15" ht="16.5" customHeight="1">
      <c r="A15" s="40">
        <v>1</v>
      </c>
      <c r="B15" s="39" t="s">
        <v>550</v>
      </c>
      <c r="C15" s="40" t="s">
        <v>313</v>
      </c>
      <c r="D15" s="41">
        <f>시작중량_설정!$E$8</f>
        <v>80</v>
      </c>
      <c r="E15" s="40">
        <v>1</v>
      </c>
      <c r="F15" s="38" t="s">
        <v>338</v>
      </c>
      <c r="G15" s="38">
        <v>35</v>
      </c>
      <c r="H15" s="38">
        <v>240</v>
      </c>
      <c r="I15" s="38">
        <f t="shared" ref="I15:I22" si="0">IF(E15=0,0,ROUND((E15*(G15+H15)+O15)/60,1))</f>
        <v>4.5999999999999996</v>
      </c>
      <c r="J15" s="39" t="s">
        <v>551</v>
      </c>
      <c r="K15" s="39" t="s">
        <v>552</v>
      </c>
      <c r="L15" s="39" t="s">
        <v>553</v>
      </c>
      <c r="O15" s="38"/>
    </row>
    <row r="16" spans="1:15" ht="16.5" customHeight="1">
      <c r="A16" s="40">
        <v>2</v>
      </c>
      <c r="B16" s="39" t="s">
        <v>554</v>
      </c>
      <c r="C16" s="40" t="s">
        <v>313</v>
      </c>
      <c r="D16" s="41">
        <f>시작중량_설정!$E$8-5</f>
        <v>75</v>
      </c>
      <c r="E16" s="40">
        <v>2</v>
      </c>
      <c r="F16" s="38" t="s">
        <v>338</v>
      </c>
      <c r="G16" s="38">
        <v>35</v>
      </c>
      <c r="H16" s="38">
        <v>180</v>
      </c>
      <c r="I16" s="38">
        <f t="shared" si="0"/>
        <v>7.2</v>
      </c>
      <c r="J16" s="39" t="s">
        <v>551</v>
      </c>
      <c r="K16" s="39" t="s">
        <v>555</v>
      </c>
      <c r="L16" s="39" t="s">
        <v>553</v>
      </c>
      <c r="O16" s="38"/>
    </row>
    <row r="17" spans="1:15" ht="16.5" customHeight="1">
      <c r="A17" s="20">
        <v>3</v>
      </c>
      <c r="B17" s="21" t="s">
        <v>556</v>
      </c>
      <c r="C17" s="20" t="s">
        <v>375</v>
      </c>
      <c r="D17" s="26">
        <v>25</v>
      </c>
      <c r="E17" s="20">
        <v>4</v>
      </c>
      <c r="F17" s="26" t="s">
        <v>274</v>
      </c>
      <c r="G17" s="26">
        <v>45</v>
      </c>
      <c r="H17" s="26">
        <v>150</v>
      </c>
      <c r="I17" s="26">
        <f t="shared" si="0"/>
        <v>13</v>
      </c>
      <c r="J17" s="21" t="s">
        <v>384</v>
      </c>
      <c r="K17" s="21" t="s">
        <v>557</v>
      </c>
      <c r="L17" s="21" t="s">
        <v>558</v>
      </c>
      <c r="O17" s="26"/>
    </row>
    <row r="18" spans="1:15" ht="16.5" customHeight="1">
      <c r="A18" s="20">
        <v>4</v>
      </c>
      <c r="B18" s="21" t="s">
        <v>559</v>
      </c>
      <c r="C18" s="20" t="s">
        <v>384</v>
      </c>
      <c r="D18" s="20">
        <v>35</v>
      </c>
      <c r="E18" s="20">
        <v>3</v>
      </c>
      <c r="F18" s="26" t="s">
        <v>489</v>
      </c>
      <c r="G18" s="26">
        <v>40</v>
      </c>
      <c r="H18" s="26">
        <v>150</v>
      </c>
      <c r="I18" s="26">
        <f t="shared" si="0"/>
        <v>9.5</v>
      </c>
      <c r="J18" s="21" t="s">
        <v>370</v>
      </c>
      <c r="K18" s="21" t="s">
        <v>560</v>
      </c>
      <c r="L18" s="21" t="s">
        <v>561</v>
      </c>
      <c r="O18" s="26"/>
    </row>
    <row r="19" spans="1:15" ht="16.5" customHeight="1">
      <c r="A19" s="20">
        <v>5</v>
      </c>
      <c r="B19" s="21" t="s">
        <v>562</v>
      </c>
      <c r="C19" s="20" t="s">
        <v>384</v>
      </c>
      <c r="D19" s="26">
        <v>15</v>
      </c>
      <c r="E19" s="20">
        <v>3</v>
      </c>
      <c r="F19" s="26" t="s">
        <v>309</v>
      </c>
      <c r="G19" s="26">
        <v>80</v>
      </c>
      <c r="H19" s="26">
        <v>120</v>
      </c>
      <c r="I19" s="26">
        <f t="shared" si="0"/>
        <v>10</v>
      </c>
      <c r="J19" s="21"/>
      <c r="K19" s="21" t="s">
        <v>563</v>
      </c>
      <c r="L19" s="21" t="s">
        <v>564</v>
      </c>
      <c r="O19" s="26"/>
    </row>
    <row r="20" spans="1:15" ht="16.5" customHeight="1">
      <c r="A20" s="20">
        <v>6</v>
      </c>
      <c r="B20" s="21" t="s">
        <v>374</v>
      </c>
      <c r="C20" s="20" t="s">
        <v>369</v>
      </c>
      <c r="D20" s="26">
        <v>120</v>
      </c>
      <c r="E20" s="20">
        <v>3</v>
      </c>
      <c r="F20" s="26" t="s">
        <v>274</v>
      </c>
      <c r="G20" s="26">
        <v>45</v>
      </c>
      <c r="H20" s="26">
        <v>150</v>
      </c>
      <c r="I20" s="26">
        <f t="shared" si="0"/>
        <v>9.8000000000000007</v>
      </c>
      <c r="J20" s="21" t="s">
        <v>375</v>
      </c>
      <c r="K20" s="21" t="s">
        <v>565</v>
      </c>
      <c r="L20" s="21" t="s">
        <v>566</v>
      </c>
      <c r="O20" s="26"/>
    </row>
    <row r="21" spans="1:15" ht="16.5" customHeight="1">
      <c r="A21" s="20">
        <v>7</v>
      </c>
      <c r="B21" s="21" t="s">
        <v>567</v>
      </c>
      <c r="C21" s="20" t="s">
        <v>369</v>
      </c>
      <c r="D21" s="26">
        <v>42</v>
      </c>
      <c r="E21" s="20">
        <v>4</v>
      </c>
      <c r="F21" s="26" t="s">
        <v>350</v>
      </c>
      <c r="G21" s="26">
        <v>40</v>
      </c>
      <c r="H21" s="26">
        <v>120</v>
      </c>
      <c r="I21" s="26">
        <f t="shared" si="0"/>
        <v>11.9</v>
      </c>
      <c r="J21" s="21"/>
      <c r="K21" s="21" t="s">
        <v>568</v>
      </c>
      <c r="L21" s="21" t="s">
        <v>569</v>
      </c>
      <c r="O21" s="26">
        <v>75</v>
      </c>
    </row>
    <row r="22" spans="1:15" ht="16.5" customHeight="1">
      <c r="A22" s="20">
        <v>8</v>
      </c>
      <c r="B22" s="21" t="s">
        <v>488</v>
      </c>
      <c r="C22" s="20" t="s">
        <v>308</v>
      </c>
      <c r="D22" s="26">
        <v>8</v>
      </c>
      <c r="E22" s="20">
        <v>4</v>
      </c>
      <c r="F22" s="26" t="s">
        <v>289</v>
      </c>
      <c r="G22" s="26">
        <v>40</v>
      </c>
      <c r="H22" s="26">
        <v>75</v>
      </c>
      <c r="I22" s="26">
        <f t="shared" si="0"/>
        <v>7.7</v>
      </c>
      <c r="J22" s="21"/>
      <c r="K22" s="21" t="s">
        <v>570</v>
      </c>
      <c r="L22" s="21" t="s">
        <v>571</v>
      </c>
      <c r="O22" s="26"/>
    </row>
    <row r="23" spans="1:15" ht="16.5" customHeight="1">
      <c r="D23" s="3" t="s">
        <v>321</v>
      </c>
      <c r="E23" s="27">
        <f>SUM(E15:E22)</f>
        <v>24</v>
      </c>
      <c r="I23">
        <f>ROUND(SUM(I15:I22),0)</f>
        <v>74</v>
      </c>
    </row>
    <row r="24" spans="1:15" ht="15" customHeight="1">
      <c r="A24" s="99" t="s">
        <v>245</v>
      </c>
    </row>
    <row r="25" spans="1:15">
      <c r="A25" t="s">
        <v>572</v>
      </c>
    </row>
    <row r="26" spans="1:15">
      <c r="A26" t="s">
        <v>325</v>
      </c>
    </row>
    <row r="33" spans="2:2">
      <c r="B33" s="72"/>
    </row>
  </sheetData>
  <phoneticPr fontId="29" type="noConversion"/>
  <conditionalFormatting sqref="A15:O22">
    <cfRule type="expression" dxfId="4" priority="1">
      <formula>$E15=0</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8"/>
  <sheetViews>
    <sheetView workbookViewId="0">
      <pane ySplit="5" topLeftCell="A6" activePane="bottomLeft" state="frozen"/>
      <selection pane="bottomLeft" activeCell="G17" sqref="G17"/>
    </sheetView>
  </sheetViews>
  <sheetFormatPr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0" width="11" customWidth="1"/>
    <col min="13" max="13" width="24" customWidth="1"/>
    <col min="14" max="14" width="11" customWidth="1"/>
    <col min="15" max="15" width="9.42578125" customWidth="1"/>
  </cols>
  <sheetData>
    <row r="1" spans="1:15" ht="19.5" customHeight="1">
      <c r="A1" s="17" t="s">
        <v>573</v>
      </c>
    </row>
    <row r="2" spans="1:15" ht="16.5" customHeight="1">
      <c r="A2" s="18" t="s">
        <v>574</v>
      </c>
    </row>
    <row r="3" spans="1:15" ht="30" customHeight="1">
      <c r="A3" s="33" t="s">
        <v>402</v>
      </c>
    </row>
    <row r="4" spans="1:15" ht="15" customHeight="1">
      <c r="A4" s="3" t="s">
        <v>252</v>
      </c>
    </row>
    <row r="5" spans="1:15" ht="16.5" customHeight="1">
      <c r="A5" s="34" t="s">
        <v>253</v>
      </c>
      <c r="B5" s="35" t="s">
        <v>76</v>
      </c>
      <c r="C5" s="35" t="s">
        <v>254</v>
      </c>
      <c r="D5" s="35" t="s">
        <v>255</v>
      </c>
      <c r="E5" s="35" t="s">
        <v>148</v>
      </c>
      <c r="F5" s="35" t="s">
        <v>256</v>
      </c>
      <c r="G5" s="35" t="s">
        <v>257</v>
      </c>
      <c r="H5" s="35" t="s">
        <v>258</v>
      </c>
      <c r="I5" s="35" t="s">
        <v>259</v>
      </c>
      <c r="J5" s="35" t="s">
        <v>260</v>
      </c>
      <c r="K5" s="35" t="s">
        <v>261</v>
      </c>
      <c r="L5" s="35" t="s">
        <v>262</v>
      </c>
      <c r="M5" s="35" t="s">
        <v>263</v>
      </c>
      <c r="N5" s="35" t="s">
        <v>264</v>
      </c>
      <c r="O5" s="35" t="s">
        <v>265</v>
      </c>
    </row>
    <row r="6" spans="1:15" ht="16.5" customHeight="1">
      <c r="A6" s="20">
        <v>1</v>
      </c>
      <c r="B6" s="70" t="s">
        <v>575</v>
      </c>
      <c r="C6" s="20" t="s">
        <v>354</v>
      </c>
      <c r="D6" s="20">
        <v>5</v>
      </c>
      <c r="E6" s="20">
        <v>3</v>
      </c>
      <c r="F6" s="26" t="s">
        <v>289</v>
      </c>
      <c r="G6" s="26">
        <v>80</v>
      </c>
      <c r="H6" s="26">
        <v>70</v>
      </c>
      <c r="I6" s="26">
        <f t="shared" ref="I6:I15" si="0">IF(E6=0,0,ROUND((E6*(G6+H6)+O6)/60,1))</f>
        <v>7.5</v>
      </c>
      <c r="J6" s="21"/>
      <c r="K6" s="21" t="s">
        <v>576</v>
      </c>
      <c r="L6" s="21" t="s">
        <v>577</v>
      </c>
      <c r="O6" s="26"/>
    </row>
    <row r="7" spans="1:15" ht="16.5" customHeight="1">
      <c r="A7" s="20">
        <v>2</v>
      </c>
      <c r="B7" s="70" t="s">
        <v>578</v>
      </c>
      <c r="C7" s="20" t="s">
        <v>358</v>
      </c>
      <c r="D7" s="20">
        <v>5</v>
      </c>
      <c r="E7" s="20">
        <v>3</v>
      </c>
      <c r="F7" s="26" t="s">
        <v>289</v>
      </c>
      <c r="G7" s="26">
        <v>40</v>
      </c>
      <c r="H7" s="26">
        <v>70</v>
      </c>
      <c r="I7" s="26">
        <f t="shared" si="0"/>
        <v>5.5</v>
      </c>
      <c r="J7" s="21"/>
      <c r="K7" s="21" t="s">
        <v>579</v>
      </c>
      <c r="L7" s="21" t="s">
        <v>580</v>
      </c>
      <c r="O7" s="26"/>
    </row>
    <row r="8" spans="1:15" ht="16.5" customHeight="1">
      <c r="A8" s="20">
        <v>3</v>
      </c>
      <c r="B8" s="70" t="s">
        <v>508</v>
      </c>
      <c r="C8" s="20" t="s">
        <v>429</v>
      </c>
      <c r="D8" s="20" t="s">
        <v>581</v>
      </c>
      <c r="E8" s="20">
        <v>3</v>
      </c>
      <c r="F8" s="26" t="s">
        <v>314</v>
      </c>
      <c r="G8" s="26">
        <v>40</v>
      </c>
      <c r="H8" s="26">
        <v>120</v>
      </c>
      <c r="I8" s="26">
        <f t="shared" si="0"/>
        <v>8</v>
      </c>
      <c r="J8" s="21" t="s">
        <v>504</v>
      </c>
      <c r="K8" s="21" t="s">
        <v>582</v>
      </c>
      <c r="L8" s="21" t="s">
        <v>583</v>
      </c>
      <c r="O8" s="26"/>
    </row>
    <row r="9" spans="1:15" ht="16.5" customHeight="1">
      <c r="A9" s="20">
        <v>4</v>
      </c>
      <c r="B9" s="70" t="s">
        <v>529</v>
      </c>
      <c r="C9" s="20" t="s">
        <v>418</v>
      </c>
      <c r="D9" s="20" t="s">
        <v>530</v>
      </c>
      <c r="E9" s="20">
        <v>3</v>
      </c>
      <c r="F9" s="26" t="s">
        <v>289</v>
      </c>
      <c r="G9" s="26">
        <v>40</v>
      </c>
      <c r="H9" s="26">
        <v>60</v>
      </c>
      <c r="I9" s="26">
        <f t="shared" si="0"/>
        <v>5</v>
      </c>
      <c r="J9" s="21" t="s">
        <v>358</v>
      </c>
      <c r="K9" s="21" t="s">
        <v>584</v>
      </c>
      <c r="L9" s="21" t="s">
        <v>585</v>
      </c>
      <c r="O9" s="26"/>
    </row>
    <row r="10" spans="1:15" ht="16.5" customHeight="1">
      <c r="A10" s="20">
        <v>5</v>
      </c>
      <c r="B10" s="70" t="s">
        <v>586</v>
      </c>
      <c r="C10" s="20" t="s">
        <v>349</v>
      </c>
      <c r="D10" s="20">
        <v>8</v>
      </c>
      <c r="E10" s="20">
        <v>3</v>
      </c>
      <c r="F10" s="26" t="s">
        <v>350</v>
      </c>
      <c r="G10" s="26">
        <v>40</v>
      </c>
      <c r="H10" s="26">
        <v>105</v>
      </c>
      <c r="I10" s="26">
        <f t="shared" si="0"/>
        <v>7.3</v>
      </c>
      <c r="J10" s="21"/>
      <c r="K10" s="21" t="s">
        <v>587</v>
      </c>
      <c r="L10" s="21" t="s">
        <v>352</v>
      </c>
      <c r="O10" s="26"/>
    </row>
    <row r="11" spans="1:15" ht="16.5" customHeight="1">
      <c r="A11" s="20">
        <v>6</v>
      </c>
      <c r="B11" s="21" t="s">
        <v>588</v>
      </c>
      <c r="C11" s="20" t="s">
        <v>345</v>
      </c>
      <c r="D11" s="26">
        <v>15</v>
      </c>
      <c r="E11" s="20">
        <v>4</v>
      </c>
      <c r="F11" s="26" t="s">
        <v>274</v>
      </c>
      <c r="G11" s="26">
        <v>40</v>
      </c>
      <c r="H11" s="26">
        <v>75</v>
      </c>
      <c r="I11" s="26">
        <f t="shared" si="0"/>
        <v>7.7</v>
      </c>
      <c r="J11" s="21"/>
      <c r="K11" s="21" t="s">
        <v>589</v>
      </c>
      <c r="L11" s="21" t="s">
        <v>590</v>
      </c>
      <c r="O11" s="26"/>
    </row>
    <row r="12" spans="1:15" ht="16.5" customHeight="1">
      <c r="A12" s="20">
        <v>7</v>
      </c>
      <c r="B12" s="70" t="s">
        <v>591</v>
      </c>
      <c r="C12" s="20" t="s">
        <v>269</v>
      </c>
      <c r="D12" s="20">
        <v>6</v>
      </c>
      <c r="E12" s="20">
        <v>4</v>
      </c>
      <c r="F12" s="26" t="s">
        <v>274</v>
      </c>
      <c r="G12" s="26">
        <v>40</v>
      </c>
      <c r="H12" s="26">
        <v>70</v>
      </c>
      <c r="I12" s="26">
        <f t="shared" si="0"/>
        <v>7.3</v>
      </c>
      <c r="J12" s="21" t="s">
        <v>295</v>
      </c>
      <c r="K12" s="21" t="s">
        <v>592</v>
      </c>
      <c r="L12" s="21" t="s">
        <v>593</v>
      </c>
      <c r="O12" s="26"/>
    </row>
    <row r="13" spans="1:15" ht="16.5" customHeight="1">
      <c r="A13" s="20">
        <v>8</v>
      </c>
      <c r="B13" s="70" t="s">
        <v>594</v>
      </c>
      <c r="C13" s="20" t="s">
        <v>295</v>
      </c>
      <c r="D13" s="20">
        <v>10</v>
      </c>
      <c r="E13" s="20">
        <v>3</v>
      </c>
      <c r="F13" s="26" t="s">
        <v>436</v>
      </c>
      <c r="G13" s="26">
        <v>40</v>
      </c>
      <c r="H13" s="26">
        <v>60</v>
      </c>
      <c r="I13" s="26">
        <f t="shared" si="0"/>
        <v>5</v>
      </c>
      <c r="J13" s="21"/>
      <c r="K13" s="21" t="s">
        <v>595</v>
      </c>
      <c r="L13" s="21" t="s">
        <v>596</v>
      </c>
      <c r="O13" s="26"/>
    </row>
    <row r="14" spans="1:15" ht="16.5" customHeight="1">
      <c r="A14" s="20">
        <v>9</v>
      </c>
      <c r="B14" s="70" t="s">
        <v>387</v>
      </c>
      <c r="C14" s="20" t="s">
        <v>388</v>
      </c>
      <c r="D14" s="20" t="s">
        <v>597</v>
      </c>
      <c r="E14" s="20">
        <v>5</v>
      </c>
      <c r="F14" s="26" t="s">
        <v>289</v>
      </c>
      <c r="G14" s="26">
        <v>40</v>
      </c>
      <c r="H14" s="26">
        <v>10</v>
      </c>
      <c r="I14" s="26">
        <f t="shared" si="0"/>
        <v>4.2</v>
      </c>
      <c r="J14" s="21"/>
      <c r="K14" s="21" t="s">
        <v>598</v>
      </c>
      <c r="L14" s="21" t="s">
        <v>599</v>
      </c>
      <c r="N14" t="s">
        <v>391</v>
      </c>
      <c r="O14" s="26"/>
    </row>
    <row r="15" spans="1:15" ht="16.5" customHeight="1">
      <c r="A15" s="20">
        <v>10</v>
      </c>
      <c r="B15" s="70" t="s">
        <v>392</v>
      </c>
      <c r="C15" s="20" t="s">
        <v>393</v>
      </c>
      <c r="D15" s="20" t="s">
        <v>294</v>
      </c>
      <c r="E15" s="20">
        <v>5</v>
      </c>
      <c r="F15" s="26" t="s">
        <v>289</v>
      </c>
      <c r="G15" s="26">
        <v>40</v>
      </c>
      <c r="H15" s="26">
        <v>105</v>
      </c>
      <c r="I15" s="26">
        <f t="shared" si="0"/>
        <v>12.1</v>
      </c>
      <c r="J15" s="21"/>
      <c r="K15" s="21" t="s">
        <v>600</v>
      </c>
      <c r="L15" s="21" t="s">
        <v>601</v>
      </c>
      <c r="N15" t="s">
        <v>391</v>
      </c>
      <c r="O15" s="26"/>
    </row>
    <row r="16" spans="1:15" ht="16.5" customHeight="1">
      <c r="D16" s="3" t="s">
        <v>321</v>
      </c>
      <c r="E16" s="27">
        <f>SUM(E6:E15)</f>
        <v>36</v>
      </c>
      <c r="I16">
        <f>ROUND(SUM(I6:I15),0)</f>
        <v>70</v>
      </c>
    </row>
    <row r="17" spans="1:6" ht="16.5" customHeight="1">
      <c r="F17" s="76" t="s">
        <v>602</v>
      </c>
    </row>
    <row r="18" spans="1:6" ht="16.5" customHeight="1">
      <c r="A18" s="95" t="s">
        <v>603</v>
      </c>
    </row>
    <row r="19" spans="1:6" ht="16.5" customHeight="1">
      <c r="A19" t="s">
        <v>604</v>
      </c>
    </row>
    <row r="20" spans="1:6" ht="16.5" customHeight="1">
      <c r="A20" t="s">
        <v>605</v>
      </c>
    </row>
    <row r="21" spans="1:6" ht="16.5" customHeight="1">
      <c r="A21" t="s">
        <v>606</v>
      </c>
    </row>
    <row r="22" spans="1:6" ht="16.5" customHeight="1">
      <c r="A22" t="s">
        <v>607</v>
      </c>
    </row>
    <row r="23" spans="1:6" ht="16.5" customHeight="1"/>
    <row r="24" spans="1:6" ht="16.5" customHeight="1">
      <c r="A24" s="3" t="s">
        <v>608</v>
      </c>
    </row>
    <row r="25" spans="1:6" ht="16.5" customHeight="1">
      <c r="A25" s="31" t="s">
        <v>609</v>
      </c>
    </row>
    <row r="26" spans="1:6" ht="16.5" customHeight="1">
      <c r="A26" s="31" t="s">
        <v>610</v>
      </c>
    </row>
    <row r="27" spans="1:6" ht="16.5" customHeight="1">
      <c r="A27" s="31" t="s">
        <v>611</v>
      </c>
    </row>
    <row r="28" spans="1:6" ht="16.5" customHeight="1">
      <c r="A28" s="31" t="s">
        <v>612</v>
      </c>
    </row>
    <row r="29" spans="1:6" ht="16.5" customHeight="1">
      <c r="A29" s="3" t="s">
        <v>613</v>
      </c>
    </row>
    <row r="30" spans="1:6" ht="16.5" customHeight="1">
      <c r="A30" s="31" t="s">
        <v>614</v>
      </c>
    </row>
    <row r="31" spans="1:6" ht="16.5" customHeight="1">
      <c r="A31" s="31" t="s">
        <v>615</v>
      </c>
    </row>
    <row r="32" spans="1:6" ht="16.5" customHeight="1">
      <c r="A32" s="3" t="s">
        <v>616</v>
      </c>
    </row>
    <row r="33" spans="1:1" ht="16.5" customHeight="1">
      <c r="A33" s="31" t="s">
        <v>617</v>
      </c>
    </row>
    <row r="34" spans="1:1" ht="16.5" customHeight="1">
      <c r="A34" s="31" t="s">
        <v>618</v>
      </c>
    </row>
    <row r="35" spans="1:1" ht="16.5" customHeight="1">
      <c r="A35" s="31" t="s">
        <v>619</v>
      </c>
    </row>
    <row r="36" spans="1:1" ht="16.5" customHeight="1">
      <c r="A36" s="31" t="s">
        <v>620</v>
      </c>
    </row>
    <row r="37" spans="1:1" ht="16.5" customHeight="1">
      <c r="A37" s="3" t="s">
        <v>621</v>
      </c>
    </row>
    <row r="38" spans="1:1" ht="16.5" customHeight="1">
      <c r="A38" s="31" t="s">
        <v>622</v>
      </c>
    </row>
    <row r="39" spans="1:1" ht="16.5" customHeight="1">
      <c r="A39" s="31" t="s">
        <v>623</v>
      </c>
    </row>
    <row r="40" spans="1:1" ht="16.5" customHeight="1">
      <c r="A40" s="31" t="s">
        <v>624</v>
      </c>
    </row>
    <row r="41" spans="1:1">
      <c r="A41" s="31" t="s">
        <v>625</v>
      </c>
    </row>
    <row r="42" spans="1:1">
      <c r="A42" s="3" t="s">
        <v>626</v>
      </c>
    </row>
    <row r="43" spans="1:1">
      <c r="A43" s="31" t="s">
        <v>627</v>
      </c>
    </row>
    <row r="44" spans="1:1">
      <c r="A44" s="31" t="s">
        <v>628</v>
      </c>
    </row>
    <row r="45" spans="1:1">
      <c r="A45" s="31" t="s">
        <v>629</v>
      </c>
    </row>
    <row r="46" spans="1:1">
      <c r="A46" t="s">
        <v>630</v>
      </c>
    </row>
    <row r="47" spans="1:1">
      <c r="A47" t="s">
        <v>631</v>
      </c>
    </row>
    <row r="48" spans="1:1">
      <c r="A48" t="s">
        <v>632</v>
      </c>
    </row>
  </sheetData>
  <phoneticPr fontId="29" type="noConversion"/>
  <conditionalFormatting sqref="A6:O15">
    <cfRule type="expression" dxfId="3" priority="1">
      <formula>$E6=0</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5"/>
  <sheetViews>
    <sheetView topLeftCell="A43" zoomScaleNormal="100" workbookViewId="0">
      <selection activeCell="A73" sqref="A73:H75"/>
    </sheetView>
  </sheetViews>
  <sheetFormatPr defaultColWidth="8.7109375" defaultRowHeight="15"/>
  <cols>
    <col min="1" max="1" width="14" customWidth="1"/>
    <col min="2" max="2" width="26" customWidth="1"/>
    <col min="3" max="3" width="18" customWidth="1"/>
    <col min="4" max="4" width="7" customWidth="1"/>
    <col min="5" max="6" width="9" customWidth="1"/>
    <col min="7" max="7" width="7" customWidth="1"/>
    <col min="8" max="8" width="42" customWidth="1"/>
  </cols>
  <sheetData>
    <row r="1" spans="1:8" ht="19.5" customHeight="1">
      <c r="A1" s="17" t="s">
        <v>633</v>
      </c>
    </row>
    <row r="2" spans="1:8" ht="30" customHeight="1">
      <c r="A2" s="141" t="s">
        <v>634</v>
      </c>
      <c r="B2" s="140"/>
      <c r="C2" s="140"/>
      <c r="D2" s="140"/>
      <c r="E2" s="140"/>
      <c r="F2" s="140"/>
      <c r="G2" s="140"/>
      <c r="H2" s="140"/>
    </row>
    <row r="3" spans="1:8">
      <c r="A3" t="s">
        <v>635</v>
      </c>
      <c r="F3">
        <f ca="1">COUNTIF($E$7:$E$80,"?")</f>
        <v>0</v>
      </c>
    </row>
    <row r="4" spans="1:8" ht="39.75" customHeight="1">
      <c r="A4" s="139" t="s">
        <v>636</v>
      </c>
      <c r="B4" s="140"/>
      <c r="C4" s="140"/>
      <c r="D4" s="140"/>
      <c r="E4" s="140"/>
      <c r="F4" s="140"/>
      <c r="G4" s="140"/>
      <c r="H4" s="140"/>
    </row>
    <row r="6" spans="1:8" ht="15" customHeight="1">
      <c r="A6" s="44" t="s">
        <v>637</v>
      </c>
      <c r="B6" s="44" t="s">
        <v>638</v>
      </c>
      <c r="C6" s="44" t="s">
        <v>639</v>
      </c>
      <c r="D6" s="44" t="s">
        <v>640</v>
      </c>
      <c r="E6" s="44" t="s">
        <v>641</v>
      </c>
      <c r="F6" s="44" t="s">
        <v>642</v>
      </c>
      <c r="G6" s="44" t="s">
        <v>643</v>
      </c>
      <c r="H6" s="44" t="s">
        <v>644</v>
      </c>
    </row>
    <row r="7" spans="1:8" ht="15" customHeight="1">
      <c r="A7" s="45" t="s">
        <v>645</v>
      </c>
      <c r="B7" s="45" t="s">
        <v>266</v>
      </c>
      <c r="C7" s="45" t="s">
        <v>269</v>
      </c>
      <c r="D7" s="46">
        <v>0.5</v>
      </c>
      <c r="E7" s="47">
        <f t="shared" ref="E7:E38" ca="1" si="0">IFERROR(INDEX(INDIRECT("'"&amp;$A7&amp;"'!$E$1:$E$45"),MATCH($B7,INDIRECT("'"&amp;$A7&amp;"'!$B$1:$B$45"),0)),"?")</f>
        <v>4</v>
      </c>
      <c r="F7" s="48">
        <f t="shared" ref="F7:F38" ca="1" si="1">IF(ISNUMBER(E7),$D7*E7,0)</f>
        <v>2</v>
      </c>
      <c r="G7" s="49" t="s">
        <v>646</v>
      </c>
      <c r="H7" s="50" t="s">
        <v>647</v>
      </c>
    </row>
    <row r="8" spans="1:8" ht="15" customHeight="1">
      <c r="A8" s="45" t="s">
        <v>645</v>
      </c>
      <c r="B8" s="45" t="s">
        <v>273</v>
      </c>
      <c r="C8" s="45" t="s">
        <v>269</v>
      </c>
      <c r="D8" s="46">
        <v>0.2</v>
      </c>
      <c r="E8" s="47">
        <f t="shared" ca="1" si="0"/>
        <v>3</v>
      </c>
      <c r="F8" s="48">
        <f t="shared" ca="1" si="1"/>
        <v>0.60000000000000009</v>
      </c>
      <c r="G8" s="49" t="s">
        <v>646</v>
      </c>
      <c r="H8" s="50" t="s">
        <v>648</v>
      </c>
    </row>
    <row r="9" spans="1:8" ht="15" customHeight="1">
      <c r="A9" s="45" t="s">
        <v>649</v>
      </c>
      <c r="B9" s="45" t="s">
        <v>465</v>
      </c>
      <c r="C9" s="45" t="s">
        <v>269</v>
      </c>
      <c r="D9" s="46">
        <v>0.2</v>
      </c>
      <c r="E9" s="47">
        <f t="shared" ca="1" si="0"/>
        <v>4</v>
      </c>
      <c r="F9" s="48">
        <f t="shared" ca="1" si="1"/>
        <v>0.8</v>
      </c>
      <c r="G9" s="49" t="s">
        <v>646</v>
      </c>
      <c r="H9" s="50" t="s">
        <v>650</v>
      </c>
    </row>
    <row r="10" spans="1:8" ht="15" customHeight="1">
      <c r="A10" s="45" t="s">
        <v>649</v>
      </c>
      <c r="B10" s="45" t="s">
        <v>469</v>
      </c>
      <c r="C10" s="45" t="s">
        <v>269</v>
      </c>
      <c r="D10" s="46">
        <v>0.33</v>
      </c>
      <c r="E10" s="47">
        <f t="shared" ca="1" si="0"/>
        <v>2</v>
      </c>
      <c r="F10" s="48">
        <f t="shared" ca="1" si="1"/>
        <v>0.66</v>
      </c>
      <c r="G10" s="49" t="s">
        <v>646</v>
      </c>
      <c r="H10" s="50" t="s">
        <v>651</v>
      </c>
    </row>
    <row r="11" spans="1:8" ht="15" customHeight="1">
      <c r="A11" s="45" t="s">
        <v>652</v>
      </c>
      <c r="B11" s="45" t="s">
        <v>336</v>
      </c>
      <c r="C11" s="45" t="s">
        <v>345</v>
      </c>
      <c r="D11" s="46">
        <v>0.33</v>
      </c>
      <c r="E11" s="47">
        <f t="shared" ca="1" si="0"/>
        <v>5</v>
      </c>
      <c r="F11" s="48">
        <f t="shared" ca="1" si="1"/>
        <v>1.6500000000000001</v>
      </c>
      <c r="G11" s="49" t="s">
        <v>646</v>
      </c>
      <c r="H11" s="50" t="s">
        <v>653</v>
      </c>
    </row>
    <row r="12" spans="1:8" ht="15" customHeight="1">
      <c r="A12" s="45" t="s">
        <v>652</v>
      </c>
      <c r="B12" s="45" t="s">
        <v>343</v>
      </c>
      <c r="C12" s="45" t="s">
        <v>345</v>
      </c>
      <c r="D12" s="46">
        <v>0.5</v>
      </c>
      <c r="E12" s="47">
        <f t="shared" ca="1" si="0"/>
        <v>4</v>
      </c>
      <c r="F12" s="48">
        <f t="shared" ca="1" si="1"/>
        <v>2</v>
      </c>
      <c r="G12" s="49" t="s">
        <v>646</v>
      </c>
      <c r="H12" s="50" t="s">
        <v>654</v>
      </c>
    </row>
    <row r="13" spans="1:8" ht="15" customHeight="1">
      <c r="A13" s="45" t="s">
        <v>655</v>
      </c>
      <c r="B13" s="45" t="s">
        <v>503</v>
      </c>
      <c r="C13" s="45" t="s">
        <v>345</v>
      </c>
      <c r="D13" s="46">
        <v>0.33</v>
      </c>
      <c r="E13" s="47">
        <f t="shared" ca="1" si="0"/>
        <v>3</v>
      </c>
      <c r="F13" s="48">
        <f t="shared" ca="1" si="1"/>
        <v>0.99</v>
      </c>
      <c r="G13" s="49" t="s">
        <v>646</v>
      </c>
      <c r="H13" s="50" t="s">
        <v>656</v>
      </c>
    </row>
    <row r="14" spans="1:8" ht="15" customHeight="1">
      <c r="A14" s="45" t="s">
        <v>655</v>
      </c>
      <c r="B14" s="45" t="s">
        <v>517</v>
      </c>
      <c r="C14" s="45" t="s">
        <v>345</v>
      </c>
      <c r="D14" s="46">
        <v>0.5</v>
      </c>
      <c r="E14" s="47">
        <f t="shared" ca="1" si="0"/>
        <v>3</v>
      </c>
      <c r="F14" s="48">
        <f t="shared" ca="1" si="1"/>
        <v>1.5</v>
      </c>
      <c r="G14" s="49" t="s">
        <v>646</v>
      </c>
      <c r="H14" s="50" t="s">
        <v>657</v>
      </c>
    </row>
    <row r="15" spans="1:8" ht="15" customHeight="1">
      <c r="A15" s="45" t="s">
        <v>658</v>
      </c>
      <c r="B15" s="45" t="s">
        <v>422</v>
      </c>
      <c r="C15" s="45" t="s">
        <v>345</v>
      </c>
      <c r="D15" s="46">
        <v>0.5</v>
      </c>
      <c r="E15" s="47">
        <f t="shared" ca="1" si="0"/>
        <v>3</v>
      </c>
      <c r="F15" s="48">
        <f t="shared" ca="1" si="1"/>
        <v>1.5</v>
      </c>
      <c r="G15" s="49" t="s">
        <v>659</v>
      </c>
      <c r="H15" s="50" t="s">
        <v>660</v>
      </c>
    </row>
    <row r="16" spans="1:8" ht="15" customHeight="1">
      <c r="A16" s="45" t="s">
        <v>661</v>
      </c>
      <c r="B16" s="45" t="s">
        <v>591</v>
      </c>
      <c r="C16" s="45" t="s">
        <v>295</v>
      </c>
      <c r="D16" s="46">
        <v>0.33</v>
      </c>
      <c r="E16" s="47">
        <f t="shared" ca="1" si="0"/>
        <v>4</v>
      </c>
      <c r="F16" s="48">
        <f t="shared" ca="1" si="1"/>
        <v>1.32</v>
      </c>
      <c r="G16" s="49" t="s">
        <v>646</v>
      </c>
      <c r="H16" s="50" t="s">
        <v>662</v>
      </c>
    </row>
    <row r="17" spans="1:8" ht="15" customHeight="1">
      <c r="A17" s="45" t="s">
        <v>649</v>
      </c>
      <c r="B17" s="45" t="s">
        <v>481</v>
      </c>
      <c r="C17" s="45" t="s">
        <v>295</v>
      </c>
      <c r="D17" s="46">
        <v>0.33</v>
      </c>
      <c r="E17" s="47">
        <f t="shared" ca="1" si="0"/>
        <v>4</v>
      </c>
      <c r="F17" s="48">
        <f t="shared" ca="1" si="1"/>
        <v>1.32</v>
      </c>
      <c r="G17" s="49" t="s">
        <v>646</v>
      </c>
      <c r="H17" s="50" t="s">
        <v>663</v>
      </c>
    </row>
    <row r="18" spans="1:8" ht="15" customHeight="1">
      <c r="A18" s="45" t="s">
        <v>649</v>
      </c>
      <c r="B18" s="45" t="s">
        <v>484</v>
      </c>
      <c r="C18" s="45" t="s">
        <v>295</v>
      </c>
      <c r="D18" s="46">
        <v>0</v>
      </c>
      <c r="E18" s="47">
        <f t="shared" ca="1" si="0"/>
        <v>4</v>
      </c>
      <c r="F18" s="48">
        <f t="shared" ca="1" si="1"/>
        <v>0</v>
      </c>
      <c r="G18" s="49" t="s">
        <v>646</v>
      </c>
      <c r="H18" s="50" t="s">
        <v>664</v>
      </c>
    </row>
    <row r="19" spans="1:8" ht="15" customHeight="1">
      <c r="A19" s="45" t="s">
        <v>652</v>
      </c>
      <c r="B19" s="45" t="s">
        <v>336</v>
      </c>
      <c r="C19" s="45" t="s">
        <v>429</v>
      </c>
      <c r="D19" s="46">
        <v>0.33</v>
      </c>
      <c r="E19" s="47">
        <f t="shared" ca="1" si="0"/>
        <v>5</v>
      </c>
      <c r="F19" s="48">
        <f t="shared" ca="1" si="1"/>
        <v>1.6500000000000001</v>
      </c>
      <c r="G19" s="49" t="s">
        <v>646</v>
      </c>
      <c r="H19" s="50" t="s">
        <v>665</v>
      </c>
    </row>
    <row r="20" spans="1:8" ht="15" customHeight="1">
      <c r="A20" s="45" t="s">
        <v>658</v>
      </c>
      <c r="B20" s="45" t="s">
        <v>422</v>
      </c>
      <c r="C20" s="45" t="s">
        <v>429</v>
      </c>
      <c r="D20" s="46">
        <v>0.5</v>
      </c>
      <c r="E20" s="47">
        <f t="shared" ca="1" si="0"/>
        <v>3</v>
      </c>
      <c r="F20" s="48">
        <f t="shared" ca="1" si="1"/>
        <v>1.5</v>
      </c>
      <c r="G20" s="49" t="s">
        <v>659</v>
      </c>
      <c r="H20" s="50" t="s">
        <v>666</v>
      </c>
    </row>
    <row r="21" spans="1:8" ht="15" customHeight="1">
      <c r="A21" s="45" t="s">
        <v>655</v>
      </c>
      <c r="B21" s="45" t="s">
        <v>517</v>
      </c>
      <c r="C21" s="45" t="s">
        <v>429</v>
      </c>
      <c r="D21" s="46">
        <v>0.5</v>
      </c>
      <c r="E21" s="47">
        <f t="shared" ca="1" si="0"/>
        <v>3</v>
      </c>
      <c r="F21" s="48">
        <f t="shared" ca="1" si="1"/>
        <v>1.5</v>
      </c>
      <c r="G21" s="49" t="s">
        <v>646</v>
      </c>
      <c r="H21" s="50" t="s">
        <v>667</v>
      </c>
    </row>
    <row r="22" spans="1:8" ht="15" customHeight="1">
      <c r="A22" s="45" t="s">
        <v>655</v>
      </c>
      <c r="B22" s="45" t="s">
        <v>503</v>
      </c>
      <c r="C22" s="45" t="s">
        <v>354</v>
      </c>
      <c r="D22" s="46">
        <v>0.33</v>
      </c>
      <c r="E22" s="47">
        <f t="shared" ca="1" si="0"/>
        <v>3</v>
      </c>
      <c r="F22" s="48">
        <f t="shared" ca="1" si="1"/>
        <v>0.99</v>
      </c>
      <c r="G22" s="49" t="s">
        <v>646</v>
      </c>
      <c r="H22" s="50" t="s">
        <v>668</v>
      </c>
    </row>
    <row r="23" spans="1:8" ht="15" customHeight="1">
      <c r="A23" s="45" t="s">
        <v>655</v>
      </c>
      <c r="B23" s="45" t="s">
        <v>508</v>
      </c>
      <c r="C23" s="45" t="s">
        <v>354</v>
      </c>
      <c r="D23" s="46">
        <v>0.33</v>
      </c>
      <c r="E23" s="47">
        <f t="shared" ca="1" si="0"/>
        <v>3</v>
      </c>
      <c r="F23" s="48">
        <f t="shared" ca="1" si="1"/>
        <v>0.99</v>
      </c>
      <c r="G23" s="52" t="s">
        <v>659</v>
      </c>
      <c r="H23" s="50" t="s">
        <v>669</v>
      </c>
    </row>
    <row r="24" spans="1:8" ht="15" customHeight="1">
      <c r="A24" s="45" t="s">
        <v>661</v>
      </c>
      <c r="B24" s="45" t="s">
        <v>508</v>
      </c>
      <c r="C24" s="45" t="s">
        <v>354</v>
      </c>
      <c r="D24" s="46">
        <v>0.33</v>
      </c>
      <c r="E24" s="47">
        <f t="shared" ca="1" si="0"/>
        <v>3</v>
      </c>
      <c r="F24" s="48">
        <f t="shared" ca="1" si="1"/>
        <v>0.99</v>
      </c>
      <c r="G24" s="52" t="s">
        <v>659</v>
      </c>
      <c r="H24" s="50" t="s">
        <v>670</v>
      </c>
    </row>
    <row r="25" spans="1:8" ht="15" customHeight="1">
      <c r="A25" s="45" t="s">
        <v>645</v>
      </c>
      <c r="B25" s="45" t="s">
        <v>288</v>
      </c>
      <c r="C25" s="45" t="s">
        <v>358</v>
      </c>
      <c r="D25" s="46">
        <v>0.5</v>
      </c>
      <c r="E25" s="47">
        <f t="shared" ca="1" si="0"/>
        <v>3</v>
      </c>
      <c r="F25" s="48">
        <f t="shared" ca="1" si="1"/>
        <v>1.5</v>
      </c>
      <c r="G25" s="49" t="s">
        <v>646</v>
      </c>
      <c r="H25" s="50" t="s">
        <v>671</v>
      </c>
    </row>
    <row r="26" spans="1:8" ht="15" customHeight="1">
      <c r="A26" s="45" t="s">
        <v>661</v>
      </c>
      <c r="B26" s="45" t="s">
        <v>529</v>
      </c>
      <c r="C26" s="45" t="s">
        <v>358</v>
      </c>
      <c r="D26" s="46">
        <v>0.5</v>
      </c>
      <c r="E26" s="47">
        <f t="shared" ca="1" si="0"/>
        <v>3</v>
      </c>
      <c r="F26" s="48">
        <f t="shared" ca="1" si="1"/>
        <v>1.5</v>
      </c>
      <c r="G26" s="52" t="s">
        <v>659</v>
      </c>
      <c r="H26" s="50" t="s">
        <v>672</v>
      </c>
    </row>
    <row r="27" spans="1:8" ht="15" customHeight="1">
      <c r="A27" s="45" t="s">
        <v>655</v>
      </c>
      <c r="B27" s="45" t="s">
        <v>529</v>
      </c>
      <c r="C27" s="45" t="s">
        <v>358</v>
      </c>
      <c r="D27" s="46">
        <v>0.5</v>
      </c>
      <c r="E27" s="47">
        <f t="shared" ca="1" si="0"/>
        <v>3</v>
      </c>
      <c r="F27" s="48">
        <f t="shared" ca="1" si="1"/>
        <v>1.5</v>
      </c>
      <c r="G27" s="49" t="s">
        <v>646</v>
      </c>
      <c r="H27" s="51" t="s">
        <v>673</v>
      </c>
    </row>
    <row r="28" spans="1:8" ht="15" customHeight="1">
      <c r="A28" s="45" t="s">
        <v>649</v>
      </c>
      <c r="B28" s="45" t="s">
        <v>465</v>
      </c>
      <c r="C28" s="45" t="s">
        <v>267</v>
      </c>
      <c r="D28" s="46">
        <v>0.5</v>
      </c>
      <c r="E28" s="47">
        <f t="shared" ca="1" si="0"/>
        <v>4</v>
      </c>
      <c r="F28" s="48">
        <f t="shared" ca="1" si="1"/>
        <v>2</v>
      </c>
      <c r="G28" s="49" t="s">
        <v>646</v>
      </c>
      <c r="H28" s="50" t="s">
        <v>674</v>
      </c>
    </row>
    <row r="29" spans="1:8" ht="15" customHeight="1">
      <c r="A29" s="45" t="s">
        <v>649</v>
      </c>
      <c r="B29" s="45" t="s">
        <v>469</v>
      </c>
      <c r="C29" s="45" t="s">
        <v>282</v>
      </c>
      <c r="D29" s="46">
        <v>0.5</v>
      </c>
      <c r="E29" s="47">
        <f t="shared" ca="1" si="0"/>
        <v>2</v>
      </c>
      <c r="F29" s="48">
        <f t="shared" ca="1" si="1"/>
        <v>1</v>
      </c>
      <c r="G29" s="49" t="s">
        <v>646</v>
      </c>
      <c r="H29" s="50" t="s">
        <v>675</v>
      </c>
    </row>
    <row r="30" spans="1:8" ht="15" customHeight="1">
      <c r="A30" s="45" t="s">
        <v>649</v>
      </c>
      <c r="B30" s="45" t="s">
        <v>410</v>
      </c>
      <c r="C30" s="45" t="s">
        <v>282</v>
      </c>
      <c r="D30" s="46">
        <v>0.5</v>
      </c>
      <c r="E30" s="47">
        <f t="shared" ca="1" si="0"/>
        <v>0</v>
      </c>
      <c r="F30" s="48">
        <f t="shared" ca="1" si="1"/>
        <v>0</v>
      </c>
      <c r="G30" s="49" t="s">
        <v>646</v>
      </c>
      <c r="H30" s="50" t="s">
        <v>675</v>
      </c>
    </row>
    <row r="31" spans="1:8" ht="15" customHeight="1">
      <c r="A31" s="45" t="s">
        <v>676</v>
      </c>
      <c r="B31" s="45" t="s">
        <v>556</v>
      </c>
      <c r="C31" s="45" t="s">
        <v>384</v>
      </c>
      <c r="D31" s="46">
        <v>0.2</v>
      </c>
      <c r="E31" s="47">
        <f t="shared" ca="1" si="0"/>
        <v>4</v>
      </c>
      <c r="F31" s="48">
        <f t="shared" ca="1" si="1"/>
        <v>0.8</v>
      </c>
      <c r="G31" s="49" t="s">
        <v>646</v>
      </c>
      <c r="H31" s="50" t="s">
        <v>677</v>
      </c>
    </row>
    <row r="32" spans="1:8" ht="15" customHeight="1">
      <c r="A32" s="45" t="s">
        <v>676</v>
      </c>
      <c r="B32" s="45" t="s">
        <v>550</v>
      </c>
      <c r="C32" s="45" t="s">
        <v>384</v>
      </c>
      <c r="D32" s="46">
        <v>0.33</v>
      </c>
      <c r="E32" s="47">
        <f t="shared" ca="1" si="0"/>
        <v>1</v>
      </c>
      <c r="F32" s="48">
        <f t="shared" ca="1" si="1"/>
        <v>0.33</v>
      </c>
      <c r="G32" s="49" t="s">
        <v>646</v>
      </c>
      <c r="H32" s="50" t="s">
        <v>678</v>
      </c>
    </row>
    <row r="33" spans="1:8" ht="15" customHeight="1">
      <c r="A33" s="45" t="s">
        <v>645</v>
      </c>
      <c r="B33" s="45" t="s">
        <v>312</v>
      </c>
      <c r="C33" s="45" t="s">
        <v>384</v>
      </c>
      <c r="D33" s="46">
        <v>0.5</v>
      </c>
      <c r="E33" s="47">
        <f t="shared" ca="1" si="0"/>
        <v>3</v>
      </c>
      <c r="F33" s="48">
        <f t="shared" ca="1" si="1"/>
        <v>1.5</v>
      </c>
      <c r="G33" s="49" t="s">
        <v>646</v>
      </c>
      <c r="H33" s="50" t="s">
        <v>679</v>
      </c>
    </row>
    <row r="34" spans="1:8" ht="15" customHeight="1">
      <c r="A34" s="45" t="s">
        <v>680</v>
      </c>
      <c r="B34" s="45" t="s">
        <v>368</v>
      </c>
      <c r="C34" s="45" t="s">
        <v>375</v>
      </c>
      <c r="D34" s="46">
        <v>0.5</v>
      </c>
      <c r="E34" s="47">
        <f t="shared" ca="1" si="0"/>
        <v>5</v>
      </c>
      <c r="F34" s="48">
        <f t="shared" ca="1" si="1"/>
        <v>2.5</v>
      </c>
      <c r="G34" s="49" t="s">
        <v>646</v>
      </c>
      <c r="H34" s="50" t="s">
        <v>681</v>
      </c>
    </row>
    <row r="35" spans="1:8" ht="15" customHeight="1">
      <c r="A35" s="45" t="s">
        <v>680</v>
      </c>
      <c r="B35" s="45" t="s">
        <v>374</v>
      </c>
      <c r="C35" s="45" t="s">
        <v>375</v>
      </c>
      <c r="D35" s="46">
        <v>0.33</v>
      </c>
      <c r="E35" s="47">
        <f t="shared" ca="1" si="0"/>
        <v>3</v>
      </c>
      <c r="F35" s="48">
        <f t="shared" ca="1" si="1"/>
        <v>0.99</v>
      </c>
      <c r="G35" s="49" t="s">
        <v>646</v>
      </c>
      <c r="H35" s="50" t="s">
        <v>682</v>
      </c>
    </row>
    <row r="36" spans="1:8" ht="15" customHeight="1">
      <c r="A36" s="45" t="s">
        <v>676</v>
      </c>
      <c r="B36" s="45" t="s">
        <v>550</v>
      </c>
      <c r="C36" s="45" t="s">
        <v>375</v>
      </c>
      <c r="D36" s="46">
        <v>0.5</v>
      </c>
      <c r="E36" s="47">
        <f t="shared" ca="1" si="0"/>
        <v>1</v>
      </c>
      <c r="F36" s="48">
        <f t="shared" ca="1" si="1"/>
        <v>0.5</v>
      </c>
      <c r="G36" s="49" t="s">
        <v>646</v>
      </c>
      <c r="H36" s="50" t="s">
        <v>683</v>
      </c>
    </row>
    <row r="37" spans="1:8" ht="15" customHeight="1">
      <c r="A37" s="45" t="s">
        <v>676</v>
      </c>
      <c r="B37" s="45" t="s">
        <v>559</v>
      </c>
      <c r="C37" s="45" t="s">
        <v>375</v>
      </c>
      <c r="D37" s="46">
        <v>0.5</v>
      </c>
      <c r="E37" s="47">
        <f t="shared" ca="1" si="0"/>
        <v>3</v>
      </c>
      <c r="F37" s="48">
        <f t="shared" ca="1" si="1"/>
        <v>1.5</v>
      </c>
      <c r="G37" s="49" t="s">
        <v>646</v>
      </c>
      <c r="H37" s="50" t="s">
        <v>684</v>
      </c>
    </row>
    <row r="38" spans="1:8" ht="15" customHeight="1">
      <c r="A38" s="45" t="s">
        <v>645</v>
      </c>
      <c r="B38" s="45" t="s">
        <v>312</v>
      </c>
      <c r="C38" s="45" t="s">
        <v>375</v>
      </c>
      <c r="D38" s="46">
        <v>0.5</v>
      </c>
      <c r="E38" s="47">
        <f t="shared" ca="1" si="0"/>
        <v>3</v>
      </c>
      <c r="F38" s="48">
        <f t="shared" ca="1" si="1"/>
        <v>1.5</v>
      </c>
      <c r="G38" s="49" t="s">
        <v>646</v>
      </c>
      <c r="H38" s="50" t="s">
        <v>685</v>
      </c>
    </row>
    <row r="39" spans="1:8" ht="15" customHeight="1">
      <c r="A39" s="45" t="s">
        <v>680</v>
      </c>
      <c r="B39" s="45" t="s">
        <v>368</v>
      </c>
      <c r="C39" s="45" t="s">
        <v>313</v>
      </c>
      <c r="D39" s="46">
        <v>0</v>
      </c>
      <c r="E39" s="47">
        <f t="shared" ref="E39:E75" ca="1" si="2">IFERROR(INDEX(INDIRECT("'"&amp;$A39&amp;"'!$E$1:$E$45"),MATCH($B39,INDIRECT("'"&amp;$A39&amp;"'!$B$1:$B$45"),0)),"?")</f>
        <v>5</v>
      </c>
      <c r="F39" s="48">
        <f t="shared" ref="F39:F70" ca="1" si="3">IF(ISNUMBER(E39),$D39*E39,0)</f>
        <v>0</v>
      </c>
      <c r="G39" s="49" t="s">
        <v>646</v>
      </c>
      <c r="H39" s="50" t="s">
        <v>686</v>
      </c>
    </row>
    <row r="40" spans="1:8" ht="15" customHeight="1">
      <c r="A40" s="45" t="s">
        <v>649</v>
      </c>
      <c r="B40" s="45" t="s">
        <v>484</v>
      </c>
      <c r="C40" s="45" t="s">
        <v>313</v>
      </c>
      <c r="D40" s="46">
        <v>0</v>
      </c>
      <c r="E40" s="47">
        <f t="shared" ca="1" si="2"/>
        <v>4</v>
      </c>
      <c r="F40" s="48">
        <f t="shared" ca="1" si="3"/>
        <v>0</v>
      </c>
      <c r="G40" s="49" t="s">
        <v>646</v>
      </c>
      <c r="H40" s="50" t="s">
        <v>687</v>
      </c>
    </row>
    <row r="41" spans="1:8" ht="15" customHeight="1">
      <c r="A41" s="45" t="s">
        <v>676</v>
      </c>
      <c r="B41" s="45" t="s">
        <v>559</v>
      </c>
      <c r="C41" s="45" t="s">
        <v>313</v>
      </c>
      <c r="D41" s="46">
        <v>0.5</v>
      </c>
      <c r="E41" s="47">
        <f t="shared" ca="1" si="2"/>
        <v>3</v>
      </c>
      <c r="F41" s="48">
        <f t="shared" ca="1" si="3"/>
        <v>1.5</v>
      </c>
      <c r="G41" s="49" t="s">
        <v>646</v>
      </c>
      <c r="H41" s="51" t="s">
        <v>688</v>
      </c>
    </row>
    <row r="42" spans="1:8" ht="15" customHeight="1">
      <c r="A42" s="45" t="s">
        <v>680</v>
      </c>
      <c r="B42" s="45" t="s">
        <v>378</v>
      </c>
      <c r="C42" s="45" t="s">
        <v>369</v>
      </c>
      <c r="D42" s="46">
        <v>0.5</v>
      </c>
      <c r="E42" s="47">
        <f t="shared" ca="1" si="2"/>
        <v>3</v>
      </c>
      <c r="F42" s="48">
        <f t="shared" ca="1" si="3"/>
        <v>1.5</v>
      </c>
      <c r="G42" s="49" t="s">
        <v>646</v>
      </c>
      <c r="H42" s="50" t="s">
        <v>689</v>
      </c>
    </row>
    <row r="43" spans="1:8" ht="15" customHeight="1">
      <c r="A43" s="45" t="s">
        <v>680</v>
      </c>
      <c r="B43" s="45" t="s">
        <v>378</v>
      </c>
      <c r="C43" s="45" t="s">
        <v>393</v>
      </c>
      <c r="D43" s="46">
        <v>0.33</v>
      </c>
      <c r="E43" s="47">
        <f t="shared" ca="1" si="2"/>
        <v>3</v>
      </c>
      <c r="F43" s="48">
        <f t="shared" ca="1" si="3"/>
        <v>0.99</v>
      </c>
      <c r="G43" s="49" t="s">
        <v>646</v>
      </c>
      <c r="H43" s="50" t="s">
        <v>690</v>
      </c>
    </row>
    <row r="44" spans="1:8" ht="15" customHeight="1">
      <c r="A44" s="45" t="s">
        <v>676</v>
      </c>
      <c r="B44" s="45" t="s">
        <v>550</v>
      </c>
      <c r="C44" s="45" t="s">
        <v>267</v>
      </c>
      <c r="D44" s="46">
        <v>0</v>
      </c>
      <c r="E44" s="47">
        <f t="shared" ca="1" si="2"/>
        <v>1</v>
      </c>
      <c r="F44" s="48">
        <f t="shared" ca="1" si="3"/>
        <v>0</v>
      </c>
      <c r="G44" s="52" t="s">
        <v>659</v>
      </c>
      <c r="H44" s="50" t="s">
        <v>691</v>
      </c>
    </row>
    <row r="45" spans="1:8" ht="15" customHeight="1">
      <c r="A45" s="45" t="s">
        <v>680</v>
      </c>
      <c r="B45" s="45" t="s">
        <v>368</v>
      </c>
      <c r="C45" s="45" t="s">
        <v>388</v>
      </c>
      <c r="D45" s="46">
        <v>0.33</v>
      </c>
      <c r="E45" s="47">
        <f t="shared" ca="1" si="2"/>
        <v>5</v>
      </c>
      <c r="F45" s="48">
        <f t="shared" ca="1" si="3"/>
        <v>1.6500000000000001</v>
      </c>
      <c r="G45" s="52" t="s">
        <v>659</v>
      </c>
      <c r="H45" s="50" t="s">
        <v>692</v>
      </c>
    </row>
    <row r="46" spans="1:8" ht="15" customHeight="1">
      <c r="A46" s="45" t="s">
        <v>680</v>
      </c>
      <c r="B46" s="45" t="s">
        <v>374</v>
      </c>
      <c r="C46" s="45" t="s">
        <v>388</v>
      </c>
      <c r="D46" s="46">
        <v>0.33</v>
      </c>
      <c r="E46" s="47">
        <f t="shared" ca="1" si="2"/>
        <v>3</v>
      </c>
      <c r="F46" s="48">
        <f t="shared" ca="1" si="3"/>
        <v>0.99</v>
      </c>
      <c r="G46" s="52" t="s">
        <v>659</v>
      </c>
      <c r="H46" s="50" t="s">
        <v>693</v>
      </c>
    </row>
    <row r="47" spans="1:8" ht="15" customHeight="1">
      <c r="A47" s="45" t="s">
        <v>680</v>
      </c>
      <c r="B47" s="45" t="s">
        <v>378</v>
      </c>
      <c r="C47" s="45" t="s">
        <v>388</v>
      </c>
      <c r="D47" s="46">
        <v>0.33</v>
      </c>
      <c r="E47" s="47">
        <f t="shared" ca="1" si="2"/>
        <v>3</v>
      </c>
      <c r="F47" s="48">
        <f t="shared" ca="1" si="3"/>
        <v>0.99</v>
      </c>
      <c r="G47" s="52" t="s">
        <v>659</v>
      </c>
      <c r="H47" s="50" t="s">
        <v>694</v>
      </c>
    </row>
    <row r="48" spans="1:8" ht="15" customHeight="1">
      <c r="A48" s="45" t="s">
        <v>652</v>
      </c>
      <c r="B48" s="45" t="s">
        <v>336</v>
      </c>
      <c r="C48" s="45" t="s">
        <v>349</v>
      </c>
      <c r="D48" s="46">
        <v>0</v>
      </c>
      <c r="E48" s="47">
        <f t="shared" ca="1" si="2"/>
        <v>5</v>
      </c>
      <c r="F48" s="48">
        <f t="shared" ca="1" si="3"/>
        <v>0</v>
      </c>
      <c r="G48" s="52" t="s">
        <v>659</v>
      </c>
      <c r="H48" s="50" t="s">
        <v>695</v>
      </c>
    </row>
    <row r="49" spans="1:8" ht="15" customHeight="1">
      <c r="A49" s="45" t="s">
        <v>655</v>
      </c>
      <c r="B49" s="45" t="s">
        <v>517</v>
      </c>
      <c r="C49" s="45" t="s">
        <v>337</v>
      </c>
      <c r="D49" s="46">
        <v>0</v>
      </c>
      <c r="E49" s="47">
        <f t="shared" ca="1" si="2"/>
        <v>3</v>
      </c>
      <c r="F49" s="48">
        <f t="shared" ca="1" si="3"/>
        <v>0</v>
      </c>
      <c r="G49" s="52" t="s">
        <v>659</v>
      </c>
      <c r="H49" s="50" t="s">
        <v>696</v>
      </c>
    </row>
    <row r="50" spans="1:8" ht="15" customHeight="1">
      <c r="A50" s="45" t="s">
        <v>649</v>
      </c>
      <c r="B50" s="45" t="s">
        <v>465</v>
      </c>
      <c r="C50" s="45" t="s">
        <v>407</v>
      </c>
      <c r="D50" s="46">
        <v>0</v>
      </c>
      <c r="E50" s="47">
        <f t="shared" ca="1" si="2"/>
        <v>4</v>
      </c>
      <c r="F50" s="48">
        <f t="shared" ca="1" si="3"/>
        <v>0</v>
      </c>
      <c r="G50" s="52" t="s">
        <v>659</v>
      </c>
      <c r="H50" s="50" t="s">
        <v>697</v>
      </c>
    </row>
    <row r="51" spans="1:8" ht="15" customHeight="1">
      <c r="A51" s="45" t="s">
        <v>655</v>
      </c>
      <c r="B51" s="45" t="s">
        <v>503</v>
      </c>
      <c r="C51" s="45" t="s">
        <v>407</v>
      </c>
      <c r="D51" s="46">
        <v>0.2</v>
      </c>
      <c r="E51" s="47">
        <f t="shared" ca="1" si="2"/>
        <v>3</v>
      </c>
      <c r="F51" s="48">
        <f t="shared" ca="1" si="3"/>
        <v>0.60000000000000009</v>
      </c>
      <c r="G51" s="52" t="s">
        <v>659</v>
      </c>
      <c r="H51" s="50" t="s">
        <v>698</v>
      </c>
    </row>
    <row r="52" spans="1:8" ht="15" customHeight="1">
      <c r="A52" s="45" t="s">
        <v>676</v>
      </c>
      <c r="B52" s="45" t="s">
        <v>550</v>
      </c>
      <c r="C52" s="45" t="s">
        <v>407</v>
      </c>
      <c r="D52" s="46">
        <v>0</v>
      </c>
      <c r="E52" s="47">
        <f t="shared" ca="1" si="2"/>
        <v>1</v>
      </c>
      <c r="F52" s="48">
        <f t="shared" ca="1" si="3"/>
        <v>0</v>
      </c>
      <c r="G52" s="52" t="s">
        <v>659</v>
      </c>
      <c r="H52" s="50" t="s">
        <v>699</v>
      </c>
    </row>
    <row r="53" spans="1:8" ht="15" customHeight="1">
      <c r="A53" s="45" t="s">
        <v>645</v>
      </c>
      <c r="B53" s="45" t="s">
        <v>266</v>
      </c>
      <c r="C53" s="45" t="s">
        <v>418</v>
      </c>
      <c r="D53" s="46">
        <v>0.2</v>
      </c>
      <c r="E53" s="47">
        <f t="shared" ca="1" si="2"/>
        <v>4</v>
      </c>
      <c r="F53" s="48">
        <f t="shared" ca="1" si="3"/>
        <v>0.8</v>
      </c>
      <c r="G53" s="52" t="s">
        <v>659</v>
      </c>
      <c r="H53" s="50" t="s">
        <v>700</v>
      </c>
    </row>
    <row r="54" spans="1:8" ht="15" customHeight="1">
      <c r="A54" s="45" t="s">
        <v>649</v>
      </c>
      <c r="B54" s="45" t="s">
        <v>465</v>
      </c>
      <c r="C54" s="45" t="s">
        <v>418</v>
      </c>
      <c r="D54" s="46">
        <v>0.2</v>
      </c>
      <c r="E54" s="47">
        <f t="shared" ca="1" si="2"/>
        <v>4</v>
      </c>
      <c r="F54" s="48">
        <f t="shared" ca="1" si="3"/>
        <v>0.8</v>
      </c>
      <c r="G54" s="52" t="s">
        <v>659</v>
      </c>
      <c r="H54" s="50" t="s">
        <v>701</v>
      </c>
    </row>
    <row r="55" spans="1:8" ht="15" customHeight="1">
      <c r="A55" s="45" t="s">
        <v>652</v>
      </c>
      <c r="B55" s="45" t="s">
        <v>357</v>
      </c>
      <c r="C55" s="45" t="s">
        <v>282</v>
      </c>
      <c r="D55" s="46">
        <v>0.33</v>
      </c>
      <c r="E55" s="47">
        <f t="shared" ca="1" si="2"/>
        <v>5</v>
      </c>
      <c r="F55" s="48">
        <f t="shared" ca="1" si="3"/>
        <v>1.6500000000000001</v>
      </c>
      <c r="G55" s="52" t="s">
        <v>659</v>
      </c>
      <c r="H55" s="50" t="s">
        <v>702</v>
      </c>
    </row>
    <row r="56" spans="1:8" ht="15" customHeight="1">
      <c r="A56" s="45" t="s">
        <v>676</v>
      </c>
      <c r="B56" s="45" t="s">
        <v>374</v>
      </c>
      <c r="C56" s="45" t="s">
        <v>375</v>
      </c>
      <c r="D56" s="46">
        <v>0.33</v>
      </c>
      <c r="E56" s="47">
        <f t="shared" ca="1" si="2"/>
        <v>3</v>
      </c>
      <c r="F56" s="48">
        <f t="shared" ca="1" si="3"/>
        <v>0.99</v>
      </c>
      <c r="G56" s="52" t="s">
        <v>646</v>
      </c>
      <c r="H56" s="50" t="s">
        <v>703</v>
      </c>
    </row>
    <row r="57" spans="1:8" ht="15" customHeight="1">
      <c r="A57" s="45" t="s">
        <v>676</v>
      </c>
      <c r="B57" s="45" t="s">
        <v>374</v>
      </c>
      <c r="C57" s="45" t="s">
        <v>388</v>
      </c>
      <c r="D57" s="46">
        <v>0.33</v>
      </c>
      <c r="E57" s="47">
        <f t="shared" ca="1" si="2"/>
        <v>3</v>
      </c>
      <c r="F57" s="48">
        <f t="shared" ca="1" si="3"/>
        <v>0.99</v>
      </c>
      <c r="G57" s="52" t="s">
        <v>659</v>
      </c>
      <c r="H57" s="50" t="s">
        <v>704</v>
      </c>
    </row>
    <row r="58" spans="1:8" ht="15" customHeight="1">
      <c r="A58" s="45" t="s">
        <v>655</v>
      </c>
      <c r="B58" s="45" t="s">
        <v>508</v>
      </c>
      <c r="C58" s="45" t="s">
        <v>345</v>
      </c>
      <c r="D58" s="46">
        <v>0.5</v>
      </c>
      <c r="E58" s="47">
        <f t="shared" ca="1" si="2"/>
        <v>3</v>
      </c>
      <c r="F58" s="48">
        <f t="shared" ca="1" si="3"/>
        <v>1.5</v>
      </c>
      <c r="G58" s="52" t="s">
        <v>659</v>
      </c>
      <c r="H58" s="50" t="s">
        <v>705</v>
      </c>
    </row>
    <row r="59" spans="1:8" ht="15" customHeight="1">
      <c r="A59" s="45" t="s">
        <v>661</v>
      </c>
      <c r="B59" s="45" t="s">
        <v>508</v>
      </c>
      <c r="C59" s="45" t="s">
        <v>345</v>
      </c>
      <c r="D59" s="46">
        <v>0.5</v>
      </c>
      <c r="E59" s="47">
        <f t="shared" ca="1" si="2"/>
        <v>3</v>
      </c>
      <c r="F59" s="48">
        <f t="shared" ca="1" si="3"/>
        <v>1.5</v>
      </c>
      <c r="G59" s="52" t="s">
        <v>659</v>
      </c>
      <c r="H59" s="50" t="s">
        <v>706</v>
      </c>
    </row>
    <row r="60" spans="1:8" ht="15" customHeight="1">
      <c r="A60" s="45" t="s">
        <v>655</v>
      </c>
      <c r="B60" s="45" t="s">
        <v>514</v>
      </c>
      <c r="C60" s="45" t="s">
        <v>345</v>
      </c>
      <c r="D60" s="46">
        <v>0.5</v>
      </c>
      <c r="E60" s="47">
        <f t="shared" ca="1" si="2"/>
        <v>3</v>
      </c>
      <c r="F60" s="48">
        <f t="shared" ca="1" si="3"/>
        <v>1.5</v>
      </c>
      <c r="G60" s="52" t="s">
        <v>659</v>
      </c>
      <c r="H60" s="50" t="s">
        <v>707</v>
      </c>
    </row>
    <row r="61" spans="1:8" ht="15" customHeight="1">
      <c r="A61" s="45" t="s">
        <v>652</v>
      </c>
      <c r="B61" s="45" t="s">
        <v>343</v>
      </c>
      <c r="C61" s="45" t="s">
        <v>429</v>
      </c>
      <c r="D61" s="46">
        <v>0.2</v>
      </c>
      <c r="E61" s="47">
        <f t="shared" ca="1" si="2"/>
        <v>4</v>
      </c>
      <c r="F61" s="48">
        <f t="shared" ca="1" si="3"/>
        <v>0.8</v>
      </c>
      <c r="G61" s="52" t="s">
        <v>659</v>
      </c>
      <c r="H61" s="50" t="s">
        <v>708</v>
      </c>
    </row>
    <row r="62" spans="1:8" ht="15" customHeight="1">
      <c r="A62" s="45" t="s">
        <v>655</v>
      </c>
      <c r="B62" s="45" t="s">
        <v>514</v>
      </c>
      <c r="C62" s="45" t="s">
        <v>429</v>
      </c>
      <c r="D62" s="46">
        <v>0.33</v>
      </c>
      <c r="E62" s="47">
        <f t="shared" ca="1" si="2"/>
        <v>3</v>
      </c>
      <c r="F62" s="48">
        <f t="shared" ca="1" si="3"/>
        <v>0.99</v>
      </c>
      <c r="G62" s="52" t="s">
        <v>659</v>
      </c>
      <c r="H62" s="50" t="s">
        <v>709</v>
      </c>
    </row>
    <row r="63" spans="1:8" ht="15" customHeight="1">
      <c r="A63" s="45" t="s">
        <v>658</v>
      </c>
      <c r="B63" s="45" t="s">
        <v>439</v>
      </c>
      <c r="C63" s="45" t="s">
        <v>269</v>
      </c>
      <c r="D63" s="46">
        <v>0.2</v>
      </c>
      <c r="E63" s="47">
        <f t="shared" ca="1" si="2"/>
        <v>4</v>
      </c>
      <c r="F63" s="48">
        <f t="shared" ca="1" si="3"/>
        <v>0.8</v>
      </c>
      <c r="G63" s="52" t="s">
        <v>659</v>
      </c>
      <c r="H63" s="50" t="s">
        <v>710</v>
      </c>
    </row>
    <row r="64" spans="1:8" ht="15" customHeight="1">
      <c r="A64" s="45" t="s">
        <v>658</v>
      </c>
      <c r="B64" s="45" t="s">
        <v>410</v>
      </c>
      <c r="C64" s="45" t="s">
        <v>282</v>
      </c>
      <c r="D64" s="46">
        <v>0.33</v>
      </c>
      <c r="E64" s="47">
        <f t="shared" ca="1" si="2"/>
        <v>3</v>
      </c>
      <c r="F64" s="48">
        <f t="shared" ca="1" si="3"/>
        <v>0.99</v>
      </c>
      <c r="G64" s="52" t="s">
        <v>659</v>
      </c>
      <c r="H64" s="50" t="s">
        <v>711</v>
      </c>
    </row>
    <row r="65" spans="1:8" ht="15" customHeight="1">
      <c r="A65" s="45" t="s">
        <v>658</v>
      </c>
      <c r="B65" s="45" t="s">
        <v>406</v>
      </c>
      <c r="C65" s="45" t="s">
        <v>407</v>
      </c>
      <c r="D65" s="46">
        <v>0.33</v>
      </c>
      <c r="E65" s="47">
        <f t="shared" ca="1" si="2"/>
        <v>3</v>
      </c>
      <c r="F65" s="48">
        <f t="shared" ca="1" si="3"/>
        <v>0.99</v>
      </c>
      <c r="G65" s="52" t="s">
        <v>659</v>
      </c>
      <c r="H65" s="50" t="s">
        <v>712</v>
      </c>
    </row>
    <row r="66" spans="1:8" ht="15" customHeight="1">
      <c r="A66" s="45" t="s">
        <v>658</v>
      </c>
      <c r="B66" s="45" t="s">
        <v>414</v>
      </c>
      <c r="C66" s="45" t="s">
        <v>282</v>
      </c>
      <c r="D66" s="46">
        <v>0.33</v>
      </c>
      <c r="E66" s="47">
        <f t="shared" ca="1" si="2"/>
        <v>3</v>
      </c>
      <c r="F66" s="48">
        <f t="shared" ca="1" si="3"/>
        <v>0.99</v>
      </c>
      <c r="G66" s="52" t="s">
        <v>659</v>
      </c>
      <c r="H66" s="50" t="s">
        <v>713</v>
      </c>
    </row>
    <row r="67" spans="1:8" ht="15" customHeight="1">
      <c r="A67" s="45" t="s">
        <v>658</v>
      </c>
      <c r="B67" s="45" t="s">
        <v>293</v>
      </c>
      <c r="C67" s="45" t="s">
        <v>295</v>
      </c>
      <c r="D67" s="46">
        <v>0.33</v>
      </c>
      <c r="E67" s="47">
        <f t="shared" ca="1" si="2"/>
        <v>3</v>
      </c>
      <c r="F67" s="48">
        <f t="shared" ca="1" si="3"/>
        <v>0.99</v>
      </c>
      <c r="G67" s="52" t="s">
        <v>659</v>
      </c>
      <c r="H67" s="50" t="s">
        <v>714</v>
      </c>
    </row>
    <row r="68" spans="1:8" ht="15" customHeight="1">
      <c r="A68" s="45" t="s">
        <v>676</v>
      </c>
      <c r="B68" s="45" t="s">
        <v>554</v>
      </c>
      <c r="C68" s="45" t="s">
        <v>384</v>
      </c>
      <c r="D68" s="46">
        <v>0.33</v>
      </c>
      <c r="E68" s="47">
        <f t="shared" ca="1" si="2"/>
        <v>2</v>
      </c>
      <c r="F68" s="48">
        <f t="shared" ca="1" si="3"/>
        <v>0.66</v>
      </c>
      <c r="G68" s="49" t="s">
        <v>646</v>
      </c>
      <c r="H68" s="50" t="s">
        <v>715</v>
      </c>
    </row>
    <row r="69" spans="1:8">
      <c r="A69" s="45" t="s">
        <v>676</v>
      </c>
      <c r="B69" s="45" t="s">
        <v>554</v>
      </c>
      <c r="C69" s="45" t="s">
        <v>375</v>
      </c>
      <c r="D69" s="46">
        <v>0.5</v>
      </c>
      <c r="E69" s="47">
        <f t="shared" ca="1" si="2"/>
        <v>2</v>
      </c>
      <c r="F69" s="48">
        <f t="shared" ca="1" si="3"/>
        <v>1</v>
      </c>
      <c r="G69" s="49" t="s">
        <v>646</v>
      </c>
      <c r="H69" s="50" t="s">
        <v>716</v>
      </c>
    </row>
    <row r="70" spans="1:8">
      <c r="A70" s="45" t="s">
        <v>676</v>
      </c>
      <c r="B70" s="45" t="s">
        <v>554</v>
      </c>
      <c r="C70" s="45" t="s">
        <v>407</v>
      </c>
      <c r="D70" s="46">
        <v>0</v>
      </c>
      <c r="E70" s="47">
        <f t="shared" ca="1" si="2"/>
        <v>2</v>
      </c>
      <c r="F70" s="48">
        <f t="shared" ca="1" si="3"/>
        <v>0</v>
      </c>
      <c r="G70" s="49" t="s">
        <v>659</v>
      </c>
      <c r="H70" s="50" t="s">
        <v>717</v>
      </c>
    </row>
    <row r="71" spans="1:8">
      <c r="A71" t="s">
        <v>645</v>
      </c>
      <c r="B71" t="s">
        <v>281</v>
      </c>
      <c r="C71" t="s">
        <v>267</v>
      </c>
      <c r="D71">
        <v>0.5</v>
      </c>
      <c r="E71">
        <f t="shared" ca="1" si="2"/>
        <v>4</v>
      </c>
      <c r="F71">
        <f t="shared" ref="F71:F75" ca="1" si="4">IF(ISNUMBER(E71),$D71*E71,0)</f>
        <v>2</v>
      </c>
      <c r="G71" t="s">
        <v>659</v>
      </c>
      <c r="H71" t="s">
        <v>718</v>
      </c>
    </row>
    <row r="72" spans="1:8">
      <c r="A72" t="s">
        <v>645</v>
      </c>
      <c r="B72" t="s">
        <v>281</v>
      </c>
      <c r="C72" t="s">
        <v>269</v>
      </c>
      <c r="D72">
        <v>0.2</v>
      </c>
      <c r="E72">
        <f t="shared" ca="1" si="2"/>
        <v>4</v>
      </c>
      <c r="F72">
        <f t="shared" ca="1" si="4"/>
        <v>0.8</v>
      </c>
      <c r="G72" t="s">
        <v>659</v>
      </c>
      <c r="H72" t="s">
        <v>719</v>
      </c>
    </row>
    <row r="73" spans="1:8">
      <c r="A73" t="s">
        <v>645</v>
      </c>
      <c r="B73" t="s">
        <v>277</v>
      </c>
      <c r="C73" t="s">
        <v>269</v>
      </c>
      <c r="D73">
        <v>0.33</v>
      </c>
      <c r="E73">
        <f t="shared" ca="1" si="2"/>
        <v>2</v>
      </c>
      <c r="F73">
        <f t="shared" ca="1" si="4"/>
        <v>0.66</v>
      </c>
      <c r="G73" t="s">
        <v>646</v>
      </c>
      <c r="H73" t="s">
        <v>720</v>
      </c>
    </row>
    <row r="74" spans="1:8">
      <c r="A74" t="s">
        <v>649</v>
      </c>
      <c r="B74" t="s">
        <v>472</v>
      </c>
      <c r="C74" t="s">
        <v>269</v>
      </c>
      <c r="D74">
        <v>0.33</v>
      </c>
      <c r="E74">
        <f t="shared" ca="1" si="2"/>
        <v>2</v>
      </c>
      <c r="F74">
        <f t="shared" ca="1" si="4"/>
        <v>0.66</v>
      </c>
      <c r="G74" t="s">
        <v>646</v>
      </c>
      <c r="H74" t="s">
        <v>721</v>
      </c>
    </row>
    <row r="75" spans="1:8">
      <c r="A75" t="s">
        <v>649</v>
      </c>
      <c r="B75" t="s">
        <v>472</v>
      </c>
      <c r="C75" t="s">
        <v>282</v>
      </c>
      <c r="D75">
        <v>0.5</v>
      </c>
      <c r="E75">
        <f t="shared" ca="1" si="2"/>
        <v>2</v>
      </c>
      <c r="F75">
        <f t="shared" ca="1" si="4"/>
        <v>1</v>
      </c>
      <c r="G75" t="s">
        <v>646</v>
      </c>
      <c r="H75" t="s">
        <v>722</v>
      </c>
    </row>
  </sheetData>
  <mergeCells count="2">
    <mergeCell ref="A4:H4"/>
    <mergeCell ref="A2:H2"/>
  </mergeCells>
  <phoneticPr fontId="29"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8"/>
  <sheetViews>
    <sheetView zoomScaleNormal="100" workbookViewId="0">
      <selection activeCell="F30" sqref="F30"/>
    </sheetView>
  </sheetViews>
  <sheetFormatPr defaultColWidth="8.7109375" defaultRowHeight="15"/>
  <cols>
    <col min="1" max="1" width="20" customWidth="1"/>
    <col min="2" max="3" width="12" customWidth="1"/>
    <col min="4" max="4" width="10" customWidth="1"/>
    <col min="5" max="5" width="14" customWidth="1"/>
    <col min="6" max="6" width="46" customWidth="1"/>
    <col min="7" max="12" width="13" customWidth="1"/>
  </cols>
  <sheetData>
    <row r="1" spans="1:12" ht="18" customHeight="1">
      <c r="A1" s="1" t="s">
        <v>723</v>
      </c>
      <c r="G1" s="80" t="s">
        <v>724</v>
      </c>
    </row>
    <row r="2" spans="1:12" ht="15" customHeight="1">
      <c r="A2" s="2" t="s">
        <v>725</v>
      </c>
      <c r="G2" s="81" t="s">
        <v>726</v>
      </c>
      <c r="H2" s="82">
        <v>10</v>
      </c>
      <c r="I2" s="81" t="s">
        <v>727</v>
      </c>
      <c r="J2" s="82">
        <v>244</v>
      </c>
      <c r="K2" s="81" t="s">
        <v>728</v>
      </c>
      <c r="L2" s="83">
        <f>B25</f>
        <v>240</v>
      </c>
    </row>
    <row r="3" spans="1:12">
      <c r="A3" s="84" t="str">
        <f>IF($H$3&lt;0,"⚠ 총량 상한 "&amp;ABS($H$3)&amp;"세트 초과 — 다른 종목에서 그만큼 빼기 전에는 추가 금지. 상한을 올리려면 아래 '상한 변경 이력'에 한 줄 남길 것.","")</f>
        <v/>
      </c>
      <c r="G3" s="81" t="s">
        <v>729</v>
      </c>
      <c r="H3" s="85">
        <f>$J$2-$L$2</f>
        <v>4</v>
      </c>
      <c r="I3" s="81" t="s">
        <v>730</v>
      </c>
      <c r="J3" s="85">
        <f>ROUND($L$2*7/$H$2,1)</f>
        <v>168</v>
      </c>
      <c r="K3" s="81" t="s">
        <v>731</v>
      </c>
      <c r="L3" s="85" t="str">
        <f>IF($H$3&lt;0,"INVALID","VALID")</f>
        <v>VALID</v>
      </c>
    </row>
    <row r="4" spans="1:12" ht="15" customHeight="1">
      <c r="A4" s="5" t="s">
        <v>254</v>
      </c>
      <c r="B4" s="5" t="s">
        <v>732</v>
      </c>
      <c r="C4" s="5" t="s">
        <v>733</v>
      </c>
      <c r="D4" s="5" t="s">
        <v>734</v>
      </c>
      <c r="E4" s="5" t="s">
        <v>735</v>
      </c>
      <c r="F4" s="5" t="s">
        <v>736</v>
      </c>
      <c r="J4" s="86" t="str">
        <f>"주당 환산 (×7/"&amp;$H$2&amp;")"</f>
        <v>주당 환산 (×7/10)</v>
      </c>
    </row>
    <row r="5" spans="1:12" ht="15" customHeight="1">
      <c r="A5" s="53" t="s">
        <v>349</v>
      </c>
      <c r="B5" s="7">
        <f>SUMIFS(D1_당기기A!$E:$E,D1_당기기A!$C:$C,$A5)+SUMIFS(D2_밀기A!$E:$E,D2_밀기A!$C:$C,$A5)+SUMIFS(D3_하체A!$E:$E,D3_하체A!$C:$C,$A5)+SUMIFS(D4_어깨팔A!$E:$E,D4_어깨팔A!$C:$C,$A5)+SUMIFS(D6_당기기B!$E:$E,D6_당기기B!$C:$C,$A5)+SUMIFS(D7_밀기B!$E:$E,D7_밀기B!$C:$C,$A5)+SUMIFS(D8_하체B!$E:$E,D8_하체B!$C:$C,$A5)+SUMIFS(D9_어깨팔B!$E:$E,D9_어깨팔B!$C:$C,$A5)</f>
        <v>13</v>
      </c>
      <c r="C5" s="54">
        <f ca="1">MROUND(SUMIFS(간접계수맵!$F$7:$F$80,간접계수맵!$C$7:$C$80,$A5),0.5)</f>
        <v>0</v>
      </c>
      <c r="D5" s="55">
        <f t="shared" ref="D5:D24" ca="1" si="0">B5+C5</f>
        <v>13</v>
      </c>
      <c r="E5" s="7" t="str">
        <f t="shared" ref="E5:E24" ca="1" si="1">IF(J5&gt;20,"상한",IF(J5&gt;=10,"성장",IF(J5&gt;=8,"유지",IF(J5&gt;=1,"유지 미만","미배치"))))</f>
        <v>유지</v>
      </c>
      <c r="F5" s="53" t="s">
        <v>737</v>
      </c>
      <c r="G5" s="142" t="s">
        <v>738</v>
      </c>
      <c r="H5" s="56">
        <f ca="1">SUM(D5:D6)</f>
        <v>31</v>
      </c>
      <c r="I5" t="str">
        <f ca="1">IF(H5*7/$H$2&gt;20,"주당 환산 천장(20) 초과 — 2·4·7·9일차 예외 허용 · 세트 질 관찰","")</f>
        <v>주당 환산 천장(20) 초과 — 2·4·7·9일차 예외 허용 · 세트 질 관찰</v>
      </c>
      <c r="J5" s="55">
        <f t="shared" ref="J5:J25" ca="1" si="2">ROUND(D5*7/$H$2,1)</f>
        <v>9.1</v>
      </c>
      <c r="L5" s="55">
        <f t="shared" ref="L5:L25" si="3">ROUND(B5*7/$H$2,1)</f>
        <v>9.1</v>
      </c>
    </row>
    <row r="6" spans="1:12" ht="15" customHeight="1">
      <c r="A6" s="53" t="s">
        <v>337</v>
      </c>
      <c r="B6" s="7">
        <f>SUMIFS(D1_당기기A!$E:$E,D1_당기기A!$C:$C,$A6)+SUMIFS(D2_밀기A!$E:$E,D2_밀기A!$C:$C,$A6)+SUMIFS(D3_하체A!$E:$E,D3_하체A!$C:$C,$A6)+SUMIFS(D4_어깨팔A!$E:$E,D4_어깨팔A!$C:$C,$A6)+SUMIFS(D6_당기기B!$E:$E,D6_당기기B!$C:$C,$A6)+SUMIFS(D7_밀기B!$E:$E,D7_밀기B!$C:$C,$A6)+SUMIFS(D8_하체B!$E:$E,D8_하체B!$C:$C,$A6)+SUMIFS(D9_어깨팔B!$E:$E,D9_어깨팔B!$C:$C,$A6)</f>
        <v>18</v>
      </c>
      <c r="C6" s="54">
        <f ca="1">MROUND(SUMIFS(간접계수맵!$F$7:$F$80,간접계수맵!$C$7:$C$80,$A6),0.5)</f>
        <v>0</v>
      </c>
      <c r="D6" s="55">
        <f t="shared" ca="1" si="0"/>
        <v>18</v>
      </c>
      <c r="E6" s="7" t="str">
        <f t="shared" ca="1" si="1"/>
        <v>성장</v>
      </c>
      <c r="F6" s="53" t="s">
        <v>739</v>
      </c>
      <c r="G6" s="143"/>
      <c r="J6" s="55">
        <f t="shared" ca="1" si="2"/>
        <v>12.6</v>
      </c>
      <c r="L6" s="55">
        <f t="shared" si="3"/>
        <v>12.6</v>
      </c>
    </row>
    <row r="7" spans="1:12" ht="15" customHeight="1">
      <c r="A7" s="53" t="s">
        <v>267</v>
      </c>
      <c r="B7" s="7">
        <f>SUMIFS(D1_당기기A!$E:$E,D1_당기기A!$C:$C,$A7)+SUMIFS(D2_밀기A!$E:$E,D2_밀기A!$C:$C,$A7)+SUMIFS(D3_하체A!$E:$E,D3_하체A!$C:$C,$A7)+SUMIFS(D4_어깨팔A!$E:$E,D4_어깨팔A!$C:$C,$A7)+SUMIFS(D6_당기기B!$E:$E,D6_당기기B!$C:$C,$A7)+SUMIFS(D7_밀기B!$E:$E,D7_밀기B!$C:$C,$A7)+SUMIFS(D8_하체B!$E:$E,D8_하체B!$C:$C,$A7)+SUMIFS(D9_어깨팔B!$E:$E,D9_어깨팔B!$C:$C,$A7)</f>
        <v>13</v>
      </c>
      <c r="C7" s="54">
        <f ca="1">MROUND(SUMIFS(간접계수맵!$F$7:$F$80,간접계수맵!$C$7:$C$80,$A7),0.5)</f>
        <v>4</v>
      </c>
      <c r="D7" s="55">
        <f t="shared" ca="1" si="0"/>
        <v>17</v>
      </c>
      <c r="E7" s="7" t="str">
        <f t="shared" ca="1" si="1"/>
        <v>성장</v>
      </c>
      <c r="F7" s="53" t="s">
        <v>740</v>
      </c>
      <c r="G7" s="142" t="s">
        <v>741</v>
      </c>
      <c r="H7" s="56">
        <f ca="1">SUM(D7:D10)</f>
        <v>56.5</v>
      </c>
      <c r="J7" s="55">
        <f t="shared" ca="1" si="2"/>
        <v>11.9</v>
      </c>
      <c r="L7" s="55">
        <f t="shared" si="3"/>
        <v>9.1</v>
      </c>
    </row>
    <row r="8" spans="1:12" ht="15" customHeight="1">
      <c r="A8" s="53" t="s">
        <v>407</v>
      </c>
      <c r="B8" s="7">
        <f>SUMIFS(D1_당기기A!$E:$E,D1_당기기A!$C:$C,$A8)+SUMIFS(D2_밀기A!$E:$E,D2_밀기A!$C:$C,$A8)+SUMIFS(D3_하체A!$E:$E,D3_하체A!$C:$C,$A8)+SUMIFS(D4_어깨팔A!$E:$E,D4_어깨팔A!$C:$C,$A8)+SUMIFS(D6_당기기B!$E:$E,D6_당기기B!$C:$C,$A8)+SUMIFS(D7_밀기B!$E:$E,D7_밀기B!$C:$C,$A8)+SUMIFS(D8_하체B!$E:$E,D8_하체B!$C:$C,$A8)+SUMIFS(D9_어깨팔B!$E:$E,D9_어깨팔B!$C:$C,$A8)</f>
        <v>4</v>
      </c>
      <c r="C8" s="54">
        <f ca="1">MROUND(SUMIFS(간접계수맵!$F$7:$F$80,간접계수맵!$C$7:$C$80,$A8),0.5)</f>
        <v>1.5</v>
      </c>
      <c r="D8" s="55">
        <f t="shared" ca="1" si="0"/>
        <v>5.5</v>
      </c>
      <c r="E8" s="7" t="str">
        <f t="shared" ca="1" si="1"/>
        <v>유지 미만</v>
      </c>
      <c r="F8" s="53" t="s">
        <v>742</v>
      </c>
      <c r="G8" s="143"/>
      <c r="J8" s="55">
        <f t="shared" ca="1" si="2"/>
        <v>3.9</v>
      </c>
      <c r="L8" s="55">
        <f t="shared" si="3"/>
        <v>2.8</v>
      </c>
    </row>
    <row r="9" spans="1:12" ht="15" customHeight="1">
      <c r="A9" s="53" t="s">
        <v>418</v>
      </c>
      <c r="B9" s="7">
        <f>SUMIFS(D1_당기기A!$E:$E,D1_당기기A!$C:$C,$A9)+SUMIFS(D2_밀기A!$E:$E,D2_밀기A!$C:$C,$A9)+SUMIFS(D3_하체A!$E:$E,D3_하체A!$C:$C,$A9)+SUMIFS(D4_어깨팔A!$E:$E,D4_어깨팔A!$C:$C,$A9)+SUMIFS(D6_당기기B!$E:$E,D6_당기기B!$C:$C,$A9)+SUMIFS(D7_밀기B!$E:$E,D7_밀기B!$C:$C,$A9)+SUMIFS(D8_하체B!$E:$E,D8_하체B!$C:$C,$A9)+SUMIFS(D9_어깨팔B!$E:$E,D9_어깨팔B!$C:$C,$A9)</f>
        <v>12</v>
      </c>
      <c r="C9" s="54">
        <f ca="1">MROUND(SUMIFS(간접계수맵!$F$7:$F$80,간접계수맵!$C$7:$C$80,$A9),0.5)</f>
        <v>1.5</v>
      </c>
      <c r="D9" s="55">
        <f t="shared" ca="1" si="0"/>
        <v>13.5</v>
      </c>
      <c r="E9" s="7" t="str">
        <f t="shared" ca="1" si="1"/>
        <v>유지</v>
      </c>
      <c r="F9" s="53" t="s">
        <v>743</v>
      </c>
      <c r="G9" s="143"/>
      <c r="J9" s="55">
        <f t="shared" ca="1" si="2"/>
        <v>9.5</v>
      </c>
      <c r="L9" s="55">
        <f t="shared" si="3"/>
        <v>8.4</v>
      </c>
    </row>
    <row r="10" spans="1:12" ht="15" customHeight="1">
      <c r="A10" s="53" t="s">
        <v>282</v>
      </c>
      <c r="B10" s="7">
        <f>SUMIFS(D1_당기기A!$E:$E,D1_당기기A!$C:$C,$A10)+SUMIFS(D2_밀기A!$E:$E,D2_밀기A!$C:$C,$A10)+SUMIFS(D3_하체A!$E:$E,D3_하체A!$C:$C,$A10)+SUMIFS(D4_어깨팔A!$E:$E,D4_어깨팔A!$C:$C,$A10)+SUMIFS(D6_당기기B!$E:$E,D6_당기기B!$C:$C,$A10)+SUMIFS(D7_밀기B!$E:$E,D7_밀기B!$C:$C,$A10)+SUMIFS(D8_하체B!$E:$E,D8_하체B!$C:$C,$A10)+SUMIFS(D9_어깨팔B!$E:$E,D9_어깨팔B!$C:$C,$A10)</f>
        <v>15</v>
      </c>
      <c r="C10" s="54">
        <f ca="1">MROUND(SUMIFS(간접계수맵!$F$7:$F$80,간접계수맵!$C$7:$C$80,$A10),0.5)</f>
        <v>5.5</v>
      </c>
      <c r="D10" s="55">
        <f t="shared" ca="1" si="0"/>
        <v>20.5</v>
      </c>
      <c r="E10" s="7" t="str">
        <f t="shared" ca="1" si="1"/>
        <v>성장</v>
      </c>
      <c r="F10" s="53" t="s">
        <v>744</v>
      </c>
      <c r="G10" s="143"/>
      <c r="J10" s="55">
        <f t="shared" ca="1" si="2"/>
        <v>14.4</v>
      </c>
      <c r="L10" s="55">
        <f t="shared" si="3"/>
        <v>10.5</v>
      </c>
    </row>
    <row r="11" spans="1:12" ht="15" customHeight="1">
      <c r="A11" s="53" t="s">
        <v>313</v>
      </c>
      <c r="B11" s="7">
        <f>SUMIFS(D1_당기기A!$E:$E,D1_당기기A!$C:$C,$A11)+SUMIFS(D2_밀기A!$E:$E,D2_밀기A!$C:$C,$A11)+SUMIFS(D3_하체A!$E:$E,D3_하체A!$C:$C,$A11)+SUMIFS(D4_어깨팔A!$E:$E,D4_어깨팔A!$C:$C,$A11)+SUMIFS(D6_당기기B!$E:$E,D6_당기기B!$C:$C,$A11)+SUMIFS(D7_밀기B!$E:$E,D7_밀기B!$C:$C,$A11)+SUMIFS(D8_하체B!$E:$E,D8_하체B!$C:$C,$A11)+SUMIFS(D9_어깨팔B!$E:$E,D9_어깨팔B!$C:$C,$A11)</f>
        <v>12</v>
      </c>
      <c r="C11" s="54">
        <f ca="1">MROUND(SUMIFS(간접계수맵!$F$7:$F$80,간접계수맵!$C$7:$C$80,$A11),0.5)</f>
        <v>1.5</v>
      </c>
      <c r="D11" s="55">
        <f t="shared" ca="1" si="0"/>
        <v>13.5</v>
      </c>
      <c r="E11" s="7" t="str">
        <f t="shared" ca="1" si="1"/>
        <v>유지</v>
      </c>
      <c r="F11" s="53" t="s">
        <v>745</v>
      </c>
      <c r="G11" s="57"/>
      <c r="J11" s="55">
        <f t="shared" ca="1" si="2"/>
        <v>9.5</v>
      </c>
      <c r="L11" s="55">
        <f t="shared" si="3"/>
        <v>8.4</v>
      </c>
    </row>
    <row r="12" spans="1:12" ht="15" customHeight="1">
      <c r="A12" s="53" t="s">
        <v>429</v>
      </c>
      <c r="B12" s="7">
        <f>SUMIFS(D1_당기기A!$E:$E,D1_당기기A!$C:$C,$A12)+SUMIFS(D2_밀기A!$E:$E,D2_밀기A!$C:$C,$A12)+SUMIFS(D3_하체A!$E:$E,D3_하체A!$C:$C,$A12)+SUMIFS(D4_어깨팔A!$E:$E,D4_어깨팔A!$C:$C,$A12)+SUMIFS(D6_당기기B!$E:$E,D6_당기기B!$C:$C,$A12)+SUMIFS(D7_밀기B!$E:$E,D7_밀기B!$C:$C,$A12)+SUMIFS(D8_하체B!$E:$E,D8_하체B!$C:$C,$A12)+SUMIFS(D9_어깨팔B!$E:$E,D9_어깨팔B!$C:$C,$A12)</f>
        <v>9</v>
      </c>
      <c r="C12" s="54">
        <f ca="1">MROUND(SUMIFS(간접계수맵!$F$7:$F$80,간접계수맵!$C$7:$C$80,$A12),0.5)</f>
        <v>6.5</v>
      </c>
      <c r="D12" s="55">
        <f t="shared" ca="1" si="0"/>
        <v>15.5</v>
      </c>
      <c r="E12" s="7" t="str">
        <f t="shared" ca="1" si="1"/>
        <v>성장</v>
      </c>
      <c r="F12" s="53" t="s">
        <v>746</v>
      </c>
      <c r="G12" s="57"/>
      <c r="J12" s="55">
        <f t="shared" ca="1" si="2"/>
        <v>10.9</v>
      </c>
      <c r="L12" s="55">
        <f t="shared" si="3"/>
        <v>6.3</v>
      </c>
    </row>
    <row r="13" spans="1:12" ht="15" customHeight="1">
      <c r="A13" s="53" t="s">
        <v>354</v>
      </c>
      <c r="B13" s="7">
        <f>SUMIFS(D1_당기기A!$E:$E,D1_당기기A!$C:$C,$A13)+SUMIFS(D2_밀기A!$E:$E,D2_밀기A!$C:$C,$A13)+SUMIFS(D3_하체A!$E:$E,D3_하체A!$C:$C,$A13)+SUMIFS(D4_어깨팔A!$E:$E,D4_어깨팔A!$C:$C,$A13)+SUMIFS(D6_당기기B!$E:$E,D6_당기기B!$C:$C,$A13)+SUMIFS(D7_밀기B!$E:$E,D7_밀기B!$C:$C,$A13)+SUMIFS(D8_하체B!$E:$E,D8_하체B!$C:$C,$A13)+SUMIFS(D9_어깨팔B!$E:$E,D9_어깨팔B!$C:$C,$A13)</f>
        <v>18</v>
      </c>
      <c r="C13" s="54">
        <f ca="1">MROUND(SUMIFS(간접계수맵!$F$7:$F$80,간접계수맵!$C$7:$C$80,$A13),0.5)</f>
        <v>3</v>
      </c>
      <c r="D13" s="55">
        <f t="shared" ca="1" si="0"/>
        <v>21</v>
      </c>
      <c r="E13" s="7" t="str">
        <f t="shared" ca="1" si="1"/>
        <v>성장</v>
      </c>
      <c r="F13" s="53" t="s">
        <v>747</v>
      </c>
      <c r="G13" s="57"/>
      <c r="J13" s="55">
        <f t="shared" ca="1" si="2"/>
        <v>14.7</v>
      </c>
      <c r="L13" s="55">
        <f t="shared" si="3"/>
        <v>12.6</v>
      </c>
    </row>
    <row r="14" spans="1:12" ht="15" customHeight="1">
      <c r="A14" s="53" t="s">
        <v>358</v>
      </c>
      <c r="B14" s="7">
        <f>SUMIFS(D1_당기기A!$E:$E,D1_당기기A!$C:$C,$A14)+SUMIFS(D2_밀기A!$E:$E,D2_밀기A!$C:$C,$A14)+SUMIFS(D3_하체A!$E:$E,D3_하체A!$C:$C,$A14)+SUMIFS(D4_어깨팔A!$E:$E,D4_어깨팔A!$C:$C,$A14)+SUMIFS(D6_당기기B!$E:$E,D6_당기기B!$C:$C,$A14)+SUMIFS(D7_밀기B!$E:$E,D7_밀기B!$C:$C,$A14)+SUMIFS(D8_하체B!$E:$E,D8_하체B!$C:$C,$A14)+SUMIFS(D9_어깨팔B!$E:$E,D9_어깨팔B!$C:$C,$A14)</f>
        <v>17</v>
      </c>
      <c r="C14" s="54">
        <f ca="1">MROUND(SUMIFS(간접계수맵!$F$7:$F$80,간접계수맵!$C$7:$C$80,$A14),0.5)</f>
        <v>4.5</v>
      </c>
      <c r="D14" s="55">
        <f t="shared" ca="1" si="0"/>
        <v>21.5</v>
      </c>
      <c r="E14" s="7" t="str">
        <f t="shared" ca="1" si="1"/>
        <v>성장</v>
      </c>
      <c r="F14" s="53" t="s">
        <v>748</v>
      </c>
      <c r="G14" s="57"/>
      <c r="H14" s="56"/>
      <c r="J14" s="55">
        <f t="shared" ca="1" si="2"/>
        <v>15.1</v>
      </c>
      <c r="L14" s="55">
        <f t="shared" si="3"/>
        <v>11.9</v>
      </c>
    </row>
    <row r="15" spans="1:12" ht="15" customHeight="1">
      <c r="A15" s="53" t="s">
        <v>369</v>
      </c>
      <c r="B15" s="7">
        <f>SUMIFS(D1_당기기A!$E:$E,D1_당기기A!$C:$C,$A15)+SUMIFS(D2_밀기A!$E:$E,D2_밀기A!$C:$C,$A15)+SUMIFS(D3_하체A!$E:$E,D3_하체A!$C:$C,$A15)+SUMIFS(D4_어깨팔A!$E:$E,D4_어깨팔A!$C:$C,$A15)+SUMIFS(D6_당기기B!$E:$E,D6_당기기B!$C:$C,$A15)+SUMIFS(D7_밀기B!$E:$E,D7_밀기B!$C:$C,$A15)+SUMIFS(D8_하체B!$E:$E,D8_하체B!$C:$C,$A15)+SUMIFS(D9_어깨팔B!$E:$E,D9_어깨팔B!$C:$C,$A15)</f>
        <v>15</v>
      </c>
      <c r="C15" s="54">
        <f ca="1">MROUND(SUMIFS(간접계수맵!$F$7:$F$80,간접계수맵!$C$7:$C$80,$A15),0.5)</f>
        <v>1.5</v>
      </c>
      <c r="D15" s="55">
        <f t="shared" ca="1" si="0"/>
        <v>16.5</v>
      </c>
      <c r="E15" s="7" t="str">
        <f t="shared" ca="1" si="1"/>
        <v>성장</v>
      </c>
      <c r="F15" s="53" t="s">
        <v>378</v>
      </c>
      <c r="G15" s="58" t="s">
        <v>749</v>
      </c>
      <c r="H15" s="56">
        <f ca="1">SUM(D15:D16,D19)</f>
        <v>43</v>
      </c>
      <c r="J15" s="55">
        <f t="shared" ca="1" si="2"/>
        <v>11.6</v>
      </c>
      <c r="L15" s="55">
        <f t="shared" si="3"/>
        <v>10.5</v>
      </c>
    </row>
    <row r="16" spans="1:12" ht="15" customHeight="1">
      <c r="A16" s="53" t="s">
        <v>384</v>
      </c>
      <c r="B16" s="7">
        <f>SUMIFS(D1_당기기A!$E:$E,D1_당기기A!$C:$C,$A16)+SUMIFS(D2_밀기A!$E:$E,D2_밀기A!$C:$C,$A16)+SUMIFS(D3_하체A!$E:$E,D3_하체A!$C:$C,$A16)+SUMIFS(D4_어깨팔A!$E:$E,D4_어깨팔A!$C:$C,$A16)+SUMIFS(D6_당기기B!$E:$E,D6_당기기B!$C:$C,$A16)+SUMIFS(D7_밀기B!$E:$E,D7_밀기B!$C:$C,$A16)+SUMIFS(D8_하체B!$E:$E,D8_하체B!$C:$C,$A16)+SUMIFS(D9_어깨팔B!$E:$E,D9_어깨팔B!$C:$C,$A16)</f>
        <v>10</v>
      </c>
      <c r="C16" s="54">
        <f ca="1">MROUND(SUMIFS(간접계수맵!$F$7:$F$80,간접계수맵!$C$7:$C$80,$A16),0.5)</f>
        <v>3.5</v>
      </c>
      <c r="D16" s="55">
        <f t="shared" ca="1" si="0"/>
        <v>13.5</v>
      </c>
      <c r="E16" s="7" t="str">
        <f t="shared" ca="1" si="1"/>
        <v>유지</v>
      </c>
      <c r="F16" s="53" t="s">
        <v>750</v>
      </c>
      <c r="G16" s="57"/>
      <c r="J16" s="55">
        <f t="shared" ca="1" si="2"/>
        <v>9.5</v>
      </c>
      <c r="L16" s="55">
        <f t="shared" si="3"/>
        <v>7</v>
      </c>
    </row>
    <row r="17" spans="1:12" ht="15" customHeight="1">
      <c r="A17" s="53" t="s">
        <v>375</v>
      </c>
      <c r="B17" s="7">
        <f>SUMIFS(D1_당기기A!$E:$E,D1_당기기A!$C:$C,$A17)+SUMIFS(D2_밀기A!$E:$E,D2_밀기A!$C:$C,$A17)+SUMIFS(D3_하체A!$E:$E,D3_하체A!$C:$C,$A17)+SUMIFS(D4_어깨팔A!$E:$E,D4_어깨팔A!$C:$C,$A17)+SUMIFS(D6_당기기B!$E:$E,D6_당기기B!$C:$C,$A17)+SUMIFS(D7_밀기B!$E:$E,D7_밀기B!$C:$C,$A17)+SUMIFS(D8_하체B!$E:$E,D8_하체B!$C:$C,$A17)+SUMIFS(D9_어깨팔B!$E:$E,D9_어깨팔B!$C:$C,$A17)</f>
        <v>7</v>
      </c>
      <c r="C17" s="54">
        <f ca="1">MROUND(SUMIFS(간접계수맵!$F$7:$F$80,간접계수맵!$C$7:$C$80,$A17),0.5)</f>
        <v>9</v>
      </c>
      <c r="D17" s="55">
        <f t="shared" ca="1" si="0"/>
        <v>16</v>
      </c>
      <c r="E17" s="7" t="str">
        <f t="shared" ca="1" si="1"/>
        <v>성장</v>
      </c>
      <c r="F17" s="53" t="s">
        <v>751</v>
      </c>
      <c r="G17" s="142" t="s">
        <v>375</v>
      </c>
      <c r="H17" s="56">
        <f ca="1">SUM(D17:D18)</f>
        <v>29</v>
      </c>
      <c r="J17" s="55">
        <f t="shared" ca="1" si="2"/>
        <v>11.2</v>
      </c>
      <c r="L17" s="55">
        <f t="shared" si="3"/>
        <v>4.9000000000000004</v>
      </c>
    </row>
    <row r="18" spans="1:12" ht="15" customHeight="1">
      <c r="A18" s="53" t="s">
        <v>393</v>
      </c>
      <c r="B18" s="7">
        <f>SUMIFS(D1_당기기A!$E:$E,D1_당기기A!$C:$C,$A18)+SUMIFS(D2_밀기A!$E:$E,D2_밀기A!$C:$C,$A18)+SUMIFS(D3_하체A!$E:$E,D3_하체A!$C:$C,$A18)+SUMIFS(D4_어깨팔A!$E:$E,D4_어깨팔A!$C:$C,$A18)+SUMIFS(D6_당기기B!$E:$E,D6_당기기B!$C:$C,$A18)+SUMIFS(D7_밀기B!$E:$E,D7_밀기B!$C:$C,$A18)+SUMIFS(D8_하체B!$E:$E,D8_하체B!$C:$C,$A18)+SUMIFS(D9_어깨팔B!$E:$E,D9_어깨팔B!$C:$C,$A18)</f>
        <v>12</v>
      </c>
      <c r="C18" s="54">
        <f ca="1">MROUND(SUMIFS(간접계수맵!$F$7:$F$80,간접계수맵!$C$7:$C$80,$A18),0.5)</f>
        <v>1</v>
      </c>
      <c r="D18" s="55">
        <f t="shared" ca="1" si="0"/>
        <v>13</v>
      </c>
      <c r="E18" s="7" t="str">
        <f t="shared" ca="1" si="1"/>
        <v>유지</v>
      </c>
      <c r="F18" s="53" t="s">
        <v>752</v>
      </c>
      <c r="G18" s="143"/>
      <c r="J18" s="55">
        <f t="shared" ca="1" si="2"/>
        <v>9.1</v>
      </c>
      <c r="L18" s="55">
        <f t="shared" si="3"/>
        <v>8.4</v>
      </c>
    </row>
    <row r="19" spans="1:12" ht="15" customHeight="1">
      <c r="A19" s="53" t="s">
        <v>308</v>
      </c>
      <c r="B19" s="7">
        <f>SUMIFS(D1_당기기A!$E:$E,D1_당기기A!$C:$C,$A19)+SUMIFS(D2_밀기A!$E:$E,D2_밀기A!$C:$C,$A19)+SUMIFS(D3_하체A!$E:$E,D3_하체A!$C:$C,$A19)+SUMIFS(D4_어깨팔A!$E:$E,D4_어깨팔A!$C:$C,$A19)+SUMIFS(D6_당기기B!$E:$E,D6_당기기B!$C:$C,$A19)+SUMIFS(D7_밀기B!$E:$E,D7_밀기B!$C:$C,$A19)+SUMIFS(D8_하체B!$E:$E,D8_하체B!$C:$C,$A19)+SUMIFS(D9_어깨팔B!$E:$E,D9_어깨팔B!$C:$C,$A19)</f>
        <v>13</v>
      </c>
      <c r="C19" s="54">
        <f>MROUND(SUMIFS(간접계수맵!$F$7:$F$80,간접계수맵!$C$7:$C$80,$A19),0.5)</f>
        <v>0</v>
      </c>
      <c r="D19" s="55">
        <f t="shared" si="0"/>
        <v>13</v>
      </c>
      <c r="E19" s="7" t="str">
        <f t="shared" si="1"/>
        <v>유지</v>
      </c>
      <c r="F19" s="53" t="s">
        <v>753</v>
      </c>
      <c r="G19" s="57"/>
      <c r="J19" s="55">
        <f t="shared" si="2"/>
        <v>9.1</v>
      </c>
      <c r="L19" s="55">
        <f t="shared" si="3"/>
        <v>9.1</v>
      </c>
    </row>
    <row r="20" spans="1:12" ht="15" customHeight="1">
      <c r="A20" s="53" t="s">
        <v>269</v>
      </c>
      <c r="B20" s="7">
        <f>SUMIFS(D1_당기기A!$E:$E,D1_당기기A!$C:$C,$A20)+SUMIFS(D2_밀기A!$E:$E,D2_밀기A!$C:$C,$A20)+SUMIFS(D3_하체A!$E:$E,D3_하체A!$C:$C,$A20)+SUMIFS(D4_어깨팔A!$E:$E,D4_어깨팔A!$C:$C,$A20)+SUMIFS(D6_당기기B!$E:$E,D6_당기기B!$C:$C,$A20)+SUMIFS(D7_밀기B!$E:$E,D7_밀기B!$C:$C,$A20)+SUMIFS(D8_하체B!$E:$E,D8_하체B!$C:$C,$A20)+SUMIFS(D9_어깨팔B!$E:$E,D9_어깨팔B!$C:$C,$A20)</f>
        <v>11</v>
      </c>
      <c r="C20" s="54">
        <f ca="1">MROUND(SUMIFS(간접계수맵!$F$7:$F$80,간접계수맵!$C$7:$C$80,$A20),0.5)</f>
        <v>7</v>
      </c>
      <c r="D20" s="55">
        <f t="shared" ca="1" si="0"/>
        <v>18</v>
      </c>
      <c r="E20" s="7" t="str">
        <f t="shared" ca="1" si="1"/>
        <v>성장</v>
      </c>
      <c r="F20" s="53" t="s">
        <v>754</v>
      </c>
      <c r="G20" s="57"/>
      <c r="J20" s="55">
        <f t="shared" ca="1" si="2"/>
        <v>12.6</v>
      </c>
      <c r="L20" s="55">
        <f t="shared" si="3"/>
        <v>7.7</v>
      </c>
    </row>
    <row r="21" spans="1:12" ht="15" customHeight="1">
      <c r="A21" s="53" t="s">
        <v>345</v>
      </c>
      <c r="B21" s="7">
        <f>SUMIFS(D1_당기기A!$E:$E,D1_당기기A!$C:$C,$A21)+SUMIFS(D2_밀기A!$E:$E,D2_밀기A!$C:$C,$A21)+SUMIFS(D3_하체A!$E:$E,D3_하체A!$C:$C,$A21)+SUMIFS(D4_어깨팔A!$E:$E,D4_어깨팔A!$C:$C,$A21)+SUMIFS(D6_당기기B!$E:$E,D6_당기기B!$C:$C,$A21)+SUMIFS(D7_밀기B!$E:$E,D7_밀기B!$C:$C,$A21)+SUMIFS(D8_하체B!$E:$E,D8_하체B!$C:$C,$A21)+SUMIFS(D9_어깨팔B!$E:$E,D9_어깨팔B!$C:$C,$A21)</f>
        <v>8</v>
      </c>
      <c r="C21" s="54">
        <f ca="1">MROUND(SUMIFS(간접계수맵!$F$7:$F$80,간접계수맵!$C$7:$C$80,$A21),0.5)</f>
        <v>12</v>
      </c>
      <c r="D21" s="55">
        <f t="shared" ca="1" si="0"/>
        <v>20</v>
      </c>
      <c r="E21" s="7" t="str">
        <f t="shared" ca="1" si="1"/>
        <v>성장</v>
      </c>
      <c r="F21" s="53" t="s">
        <v>755</v>
      </c>
      <c r="G21" s="57"/>
      <c r="J21" s="55">
        <f t="shared" ca="1" si="2"/>
        <v>14</v>
      </c>
      <c r="L21" s="55">
        <f t="shared" si="3"/>
        <v>5.6</v>
      </c>
    </row>
    <row r="22" spans="1:12" ht="16.5" customHeight="1">
      <c r="A22" s="53" t="s">
        <v>295</v>
      </c>
      <c r="B22" s="7">
        <f>SUMIFS(D1_당기기A!$E:$E,D1_당기기A!$C:$C,$A22)+SUMIFS(D2_밀기A!$E:$E,D2_밀기A!$C:$C,$A22)+SUMIFS(D3_하체A!$E:$E,D3_하체A!$C:$C,$A22)+SUMIFS(D4_어깨팔A!$E:$E,D4_어깨팔A!$C:$C,$A22)+SUMIFS(D6_당기기B!$E:$E,D6_당기기B!$C:$C,$A22)+SUMIFS(D7_밀기B!$E:$E,D7_밀기B!$C:$C,$A22)+SUMIFS(D8_하체B!$E:$E,D8_하체B!$C:$C,$A22)+SUMIFS(D9_어깨팔B!$E:$E,D9_어깨팔B!$C:$C,$A22)</f>
        <v>11</v>
      </c>
      <c r="C22" s="54">
        <f ca="1">MROUND(SUMIFS(간접계수맵!$F$7:$F$80,간접계수맵!$C$7:$C$80,$A22),0.5)</f>
        <v>3.5</v>
      </c>
      <c r="D22" s="55">
        <f t="shared" ca="1" si="0"/>
        <v>14.5</v>
      </c>
      <c r="E22" s="7" t="str">
        <f t="shared" ca="1" si="1"/>
        <v>성장</v>
      </c>
      <c r="F22" s="53" t="s">
        <v>756</v>
      </c>
      <c r="G22" s="57"/>
      <c r="J22" s="55">
        <f t="shared" ca="1" si="2"/>
        <v>10.199999999999999</v>
      </c>
      <c r="L22" s="55">
        <f t="shared" si="3"/>
        <v>7.7</v>
      </c>
    </row>
    <row r="23" spans="1:12" ht="24" customHeight="1">
      <c r="A23" s="53" t="s">
        <v>299</v>
      </c>
      <c r="B23" s="59">
        <f>SUMIFS(D1_당기기A!$E:$E,D1_당기기A!$C:$C,$A23)+SUMIFS(D2_밀기A!$E:$E,D2_밀기A!$C:$C,$A23)+SUMIFS(D3_하체A!$E:$E,D3_하체A!$C:$C,$A23)+SUMIFS(D4_어깨팔A!$E:$E,D4_어깨팔A!$C:$C,$A23)+SUMIFS(D6_당기기B!$E:$E,D6_당기기B!$C:$C,$A23)+SUMIFS(D7_밀기B!$E:$E,D7_밀기B!$C:$C,$A23)+SUMIFS(D8_하체B!$E:$E,D8_하체B!$C:$C,$A23)+SUMIFS(D9_어깨팔B!$E:$E,D9_어깨팔B!$C:$C,$A23)</f>
        <v>13</v>
      </c>
      <c r="C23" s="54">
        <f>MROUND(SUMIFS(간접계수맵!$F$7:$F$80,간접계수맵!$C$7:$C$80,$A23),0.5)</f>
        <v>0</v>
      </c>
      <c r="D23" s="55">
        <f t="shared" si="0"/>
        <v>13</v>
      </c>
      <c r="E23" s="7" t="str">
        <f t="shared" si="1"/>
        <v>유지</v>
      </c>
      <c r="F23" s="53" t="s">
        <v>757</v>
      </c>
      <c r="G23" s="57"/>
      <c r="J23" s="55">
        <f t="shared" si="2"/>
        <v>9.1</v>
      </c>
      <c r="L23" s="55">
        <f t="shared" si="3"/>
        <v>9.1</v>
      </c>
    </row>
    <row r="24" spans="1:12" ht="15" customHeight="1">
      <c r="A24" s="53" t="s">
        <v>388</v>
      </c>
      <c r="B24" s="59">
        <f>SUMIFS(D1_당기기A!$E:$E,D1_당기기A!$C:$C,$A24)+SUMIFS(D2_밀기A!$E:$E,D2_밀기A!$C:$C,$A24)+SUMIFS(D3_하체A!$E:$E,D3_하체A!$C:$C,$A24)+SUMIFS(D4_어깨팔A!$E:$E,D4_어깨팔A!$C:$C,$A24)+SUMIFS(D6_당기기B!$E:$E,D6_당기기B!$C:$C,$A24)+SUMIFS(D7_밀기B!$E:$E,D7_밀기B!$C:$C,$A24)+SUMIFS(D8_하체B!$E:$E,D8_하체B!$C:$C,$A24)+SUMIFS(D9_어깨팔B!$E:$E,D9_어깨팔B!$C:$C,$A24)</f>
        <v>9</v>
      </c>
      <c r="C24" s="54">
        <f ca="1">MROUND(SUMIFS(간접계수맵!$F$7:$F$80,간접계수맵!$C$7:$C$80,$A24),0.5)</f>
        <v>4.5</v>
      </c>
      <c r="D24" s="55">
        <f t="shared" ca="1" si="0"/>
        <v>13.5</v>
      </c>
      <c r="E24" s="7" t="str">
        <f t="shared" ca="1" si="1"/>
        <v>유지</v>
      </c>
      <c r="F24" s="53" t="s">
        <v>758</v>
      </c>
      <c r="G24" s="57"/>
      <c r="J24" s="55">
        <f t="shared" ca="1" si="2"/>
        <v>9.5</v>
      </c>
      <c r="L24" s="55">
        <f t="shared" si="3"/>
        <v>6.3</v>
      </c>
    </row>
    <row r="25" spans="1:12" ht="36" customHeight="1">
      <c r="A25" s="60" t="s">
        <v>759</v>
      </c>
      <c r="B25" s="15">
        <f>SUM(B5:B24)</f>
        <v>240</v>
      </c>
      <c r="C25" s="61"/>
      <c r="D25" s="62">
        <f ca="1">SUM(D5:D24)</f>
        <v>310</v>
      </c>
      <c r="E25" s="61"/>
      <c r="F25" s="61"/>
      <c r="J25" s="62">
        <f t="shared" ca="1" si="2"/>
        <v>217</v>
      </c>
      <c r="L25" s="62">
        <f t="shared" si="3"/>
        <v>168</v>
      </c>
    </row>
    <row r="26" spans="1:12" ht="15" customHeight="1">
      <c r="A26" s="13" t="s">
        <v>760</v>
      </c>
    </row>
    <row r="27" spans="1:12" ht="16.5" customHeight="1">
      <c r="A27" s="11" t="s">
        <v>761</v>
      </c>
    </row>
    <row r="28" spans="1:12" ht="36" customHeight="1">
      <c r="A28" s="11" t="s">
        <v>762</v>
      </c>
    </row>
    <row r="29" spans="1:12" ht="48" customHeight="1">
      <c r="A29" s="11" t="s">
        <v>763</v>
      </c>
    </row>
    <row r="30" spans="1:12" ht="48" customHeight="1">
      <c r="A30" s="63"/>
    </row>
    <row r="31" spans="1:12" ht="15" customHeight="1">
      <c r="A31" s="13" t="s">
        <v>764</v>
      </c>
    </row>
    <row r="32" spans="1:12" ht="16.5" customHeight="1">
      <c r="A32" s="11" t="s">
        <v>765</v>
      </c>
    </row>
    <row r="33" spans="1:1" ht="48" customHeight="1">
      <c r="A33" s="11" t="s">
        <v>766</v>
      </c>
    </row>
    <row r="34" spans="1:1" ht="48" customHeight="1">
      <c r="A34" s="11" t="s">
        <v>767</v>
      </c>
    </row>
    <row r="35" spans="1:1" ht="15" customHeight="1">
      <c r="A35" s="63"/>
    </row>
    <row r="36" spans="1:1" ht="48" customHeight="1">
      <c r="A36" s="13" t="s">
        <v>768</v>
      </c>
    </row>
    <row r="37" spans="1:1" ht="77.25" customHeight="1">
      <c r="A37" s="11" t="s">
        <v>769</v>
      </c>
    </row>
    <row r="38" spans="1:1" ht="48" customHeight="1">
      <c r="A38" s="11" t="s">
        <v>770</v>
      </c>
    </row>
    <row r="39" spans="1:1" ht="39" customHeight="1">
      <c r="A39" s="63" t="s">
        <v>771</v>
      </c>
    </row>
    <row r="40" spans="1:1" ht="45" customHeight="1">
      <c r="A40" s="11" t="s">
        <v>772</v>
      </c>
    </row>
    <row r="41" spans="1:1" ht="48" customHeight="1">
      <c r="A41" s="11" t="s">
        <v>773</v>
      </c>
    </row>
    <row r="42" spans="1:1" ht="48" customHeight="1">
      <c r="A42" s="11" t="s">
        <v>774</v>
      </c>
    </row>
    <row r="43" spans="1:1" ht="48" customHeight="1">
      <c r="A43" s="11" t="s">
        <v>775</v>
      </c>
    </row>
    <row r="44" spans="1:1" ht="48" customHeight="1">
      <c r="A44" s="77" t="s">
        <v>776</v>
      </c>
    </row>
    <row r="45" spans="1:1" ht="51.75" customHeight="1">
      <c r="A45" t="s">
        <v>777</v>
      </c>
    </row>
    <row r="46" spans="1:1" ht="90" customHeight="1">
      <c r="A46" s="11" t="s">
        <v>778</v>
      </c>
    </row>
    <row r="47" spans="1:1" ht="51.75" customHeight="1">
      <c r="A47" s="11" t="s">
        <v>779</v>
      </c>
    </row>
    <row r="48" spans="1:1" ht="48" customHeight="1">
      <c r="A48" s="11" t="s">
        <v>780</v>
      </c>
    </row>
    <row r="49" spans="1:5" ht="48" customHeight="1">
      <c r="A49" s="11" t="s">
        <v>781</v>
      </c>
    </row>
    <row r="50" spans="1:5" ht="48" customHeight="1">
      <c r="A50" s="11" t="s">
        <v>782</v>
      </c>
    </row>
    <row r="51" spans="1:5">
      <c r="A51" t="s">
        <v>783</v>
      </c>
    </row>
    <row r="52" spans="1:5">
      <c r="A52" t="s">
        <v>784</v>
      </c>
    </row>
    <row r="53" spans="1:5">
      <c r="A53" t="s">
        <v>785</v>
      </c>
    </row>
    <row r="54" spans="1:5">
      <c r="A54" t="s">
        <v>786</v>
      </c>
    </row>
    <row r="55" spans="1:5">
      <c r="A55" t="s">
        <v>787</v>
      </c>
    </row>
    <row r="57" spans="1:5">
      <c r="A57" s="80" t="s">
        <v>788</v>
      </c>
    </row>
    <row r="58" spans="1:5">
      <c r="A58" s="87" t="s">
        <v>789</v>
      </c>
      <c r="B58" s="87" t="s">
        <v>790</v>
      </c>
      <c r="C58" s="87" t="s">
        <v>791</v>
      </c>
      <c r="D58" s="87" t="s">
        <v>792</v>
      </c>
      <c r="E58" s="87" t="s">
        <v>793</v>
      </c>
    </row>
    <row r="59" spans="1:5">
      <c r="A59" s="88">
        <v>46269</v>
      </c>
      <c r="B59" s="89" t="s">
        <v>27</v>
      </c>
      <c r="C59" s="89">
        <v>239</v>
      </c>
      <c r="D59" s="89" t="s">
        <v>794</v>
      </c>
      <c r="E59" s="89" t="s">
        <v>27</v>
      </c>
    </row>
    <row r="60" spans="1:5">
      <c r="A60" s="93">
        <v>46269</v>
      </c>
      <c r="B60" s="94">
        <v>239</v>
      </c>
      <c r="C60" s="94">
        <v>239</v>
      </c>
      <c r="D60" s="94" t="s">
        <v>795</v>
      </c>
      <c r="E60" s="94" t="s">
        <v>796</v>
      </c>
    </row>
    <row r="61" spans="1:5">
      <c r="A61" s="97">
        <v>46270</v>
      </c>
      <c r="B61" s="98">
        <v>239</v>
      </c>
      <c r="C61" s="98">
        <v>244</v>
      </c>
      <c r="D61" s="98" t="s">
        <v>797</v>
      </c>
      <c r="E61" s="98" t="s">
        <v>28</v>
      </c>
    </row>
    <row r="62" spans="1:5">
      <c r="A62" s="91" t="s">
        <v>798</v>
      </c>
    </row>
    <row r="63" spans="1:5">
      <c r="A63" t="s">
        <v>799</v>
      </c>
    </row>
    <row r="64" spans="1:5">
      <c r="A64" t="s">
        <v>800</v>
      </c>
    </row>
    <row r="65" spans="1:1">
      <c r="A65" t="s">
        <v>801</v>
      </c>
    </row>
    <row r="66" spans="1:1">
      <c r="A66" t="s">
        <v>802</v>
      </c>
    </row>
    <row r="67" spans="1:1">
      <c r="A67" t="s">
        <v>803</v>
      </c>
    </row>
    <row r="68" spans="1:1">
      <c r="A68" t="s">
        <v>804</v>
      </c>
    </row>
  </sheetData>
  <mergeCells count="3">
    <mergeCell ref="G5:G6"/>
    <mergeCell ref="G17:G18"/>
    <mergeCell ref="G7:G10"/>
  </mergeCells>
  <phoneticPr fontId="29" type="noConversion"/>
  <conditionalFormatting sqref="H3">
    <cfRule type="cellIs" dxfId="2" priority="3" operator="lessThan">
      <formula>0</formula>
    </cfRule>
  </conditionalFormatting>
  <conditionalFormatting sqref="L3">
    <cfRule type="cellIs" dxfId="1" priority="1" operator="equal">
      <formula>"INVALID"</formula>
    </cfRule>
    <cfRule type="cellIs" dxfId="0" priority="2" operator="equal">
      <formula>"VALID"</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66"/>
  <sheetViews>
    <sheetView zoomScaleNormal="100" workbookViewId="0">
      <selection activeCell="F28" sqref="F28"/>
    </sheetView>
  </sheetViews>
  <sheetFormatPr defaultColWidth="8.7109375" defaultRowHeight="15"/>
  <cols>
    <col min="1" max="1" width="9" customWidth="1"/>
    <col min="2" max="2" width="12" customWidth="1"/>
    <col min="3" max="3" width="13" customWidth="1"/>
    <col min="4" max="4" width="8" customWidth="1"/>
    <col min="5" max="5" width="13" customWidth="1"/>
    <col min="6" max="6" width="8" customWidth="1"/>
    <col min="7" max="7" width="13" customWidth="1"/>
    <col min="8" max="8" width="8" customWidth="1"/>
    <col min="9" max="9" width="13" customWidth="1"/>
    <col min="10" max="10" width="8" customWidth="1"/>
    <col min="11" max="11" width="34" customWidth="1"/>
    <col min="12" max="12" width="15" customWidth="1"/>
    <col min="13" max="13" width="14" customWidth="1"/>
    <col min="14" max="37" width="13" customWidth="1"/>
  </cols>
  <sheetData>
    <row r="1" spans="1:8" ht="18" customHeight="1">
      <c r="A1" s="1" t="s">
        <v>805</v>
      </c>
    </row>
    <row r="2" spans="1:8" ht="15" customHeight="1">
      <c r="A2" s="2" t="s">
        <v>806</v>
      </c>
    </row>
    <row r="4" spans="1:8" ht="15" customHeight="1">
      <c r="A4" s="3" t="s">
        <v>807</v>
      </c>
      <c r="E4" t="s">
        <v>808</v>
      </c>
      <c r="F4" t="s">
        <v>1022</v>
      </c>
    </row>
    <row r="5" spans="1:8" ht="15" customHeight="1">
      <c r="A5" s="64" t="s">
        <v>809</v>
      </c>
      <c r="C5" s="4">
        <v>2</v>
      </c>
      <c r="D5" s="63" t="s">
        <v>810</v>
      </c>
      <c r="E5">
        <v>1</v>
      </c>
    </row>
    <row r="6" spans="1:8" ht="15" customHeight="1">
      <c r="A6" s="64" t="s">
        <v>811</v>
      </c>
      <c r="C6" s="4">
        <v>2</v>
      </c>
      <c r="D6" s="63" t="s">
        <v>812</v>
      </c>
      <c r="E6">
        <v>1</v>
      </c>
    </row>
    <row r="7" spans="1:8" ht="15" customHeight="1">
      <c r="A7" s="64" t="s">
        <v>813</v>
      </c>
      <c r="C7" s="4">
        <v>1</v>
      </c>
      <c r="D7" s="63" t="s">
        <v>814</v>
      </c>
      <c r="E7">
        <v>1</v>
      </c>
      <c r="H7">
        <f>SUM(D7:D22)</f>
        <v>0</v>
      </c>
    </row>
    <row r="8" spans="1:8" ht="84" customHeight="1">
      <c r="A8" s="64" t="s">
        <v>815</v>
      </c>
      <c r="C8" s="4">
        <v>1</v>
      </c>
      <c r="D8" s="63" t="s">
        <v>816</v>
      </c>
      <c r="E8">
        <v>2</v>
      </c>
    </row>
    <row r="9" spans="1:8" ht="84" customHeight="1">
      <c r="A9" s="64" t="s">
        <v>1023</v>
      </c>
      <c r="C9" s="130">
        <v>1</v>
      </c>
      <c r="D9" s="63" t="s">
        <v>1024</v>
      </c>
      <c r="E9">
        <v>1</v>
      </c>
      <c r="F9">
        <v>13</v>
      </c>
    </row>
    <row r="10" spans="1:8" ht="84" customHeight="1">
      <c r="A10" s="64" t="s">
        <v>1025</v>
      </c>
      <c r="C10" s="130">
        <v>1</v>
      </c>
      <c r="D10" s="63" t="s">
        <v>1026</v>
      </c>
      <c r="E10">
        <v>1</v>
      </c>
      <c r="F10">
        <v>13</v>
      </c>
    </row>
    <row r="11" spans="1:8" ht="84" customHeight="1">
      <c r="A11" s="64" t="s">
        <v>1032</v>
      </c>
      <c r="C11" s="130">
        <v>2</v>
      </c>
      <c r="D11" s="63" t="s">
        <v>1033</v>
      </c>
      <c r="E11">
        <v>1</v>
      </c>
      <c r="F11">
        <v>13</v>
      </c>
    </row>
    <row r="12" spans="1:8" ht="84" customHeight="1">
      <c r="A12" s="64" t="s">
        <v>1035</v>
      </c>
      <c r="C12" s="130">
        <v>2</v>
      </c>
      <c r="D12" s="63" t="s">
        <v>1036</v>
      </c>
      <c r="E12">
        <v>2</v>
      </c>
      <c r="F12">
        <v>13</v>
      </c>
    </row>
    <row r="13" spans="1:8" ht="84" customHeight="1">
      <c r="A13" s="64" t="s">
        <v>1038</v>
      </c>
      <c r="C13" s="130">
        <v>1</v>
      </c>
      <c r="D13" s="63" t="s">
        <v>1039</v>
      </c>
      <c r="E13">
        <v>2</v>
      </c>
      <c r="F13">
        <v>13</v>
      </c>
    </row>
    <row r="14" spans="1:8" ht="84" customHeight="1">
      <c r="A14" s="64" t="s">
        <v>1042</v>
      </c>
      <c r="C14" s="130">
        <v>1</v>
      </c>
      <c r="D14" s="63" t="s">
        <v>1043</v>
      </c>
      <c r="E14">
        <v>2</v>
      </c>
      <c r="F14">
        <v>13</v>
      </c>
    </row>
    <row r="15" spans="1:8" ht="84" customHeight="1">
      <c r="A15" s="64" t="s">
        <v>1046</v>
      </c>
      <c r="C15" s="130">
        <v>1</v>
      </c>
      <c r="D15" s="63" t="s">
        <v>1047</v>
      </c>
      <c r="E15">
        <v>3</v>
      </c>
      <c r="F15">
        <v>13</v>
      </c>
    </row>
    <row r="16" spans="1:8" ht="84" customHeight="1">
      <c r="A16" s="64" t="s">
        <v>1050</v>
      </c>
      <c r="C16" s="130">
        <v>1</v>
      </c>
      <c r="D16" s="63" t="s">
        <v>1051</v>
      </c>
      <c r="E16">
        <v>2</v>
      </c>
      <c r="F16">
        <v>13</v>
      </c>
    </row>
    <row r="17" spans="1:37" ht="84" customHeight="1">
      <c r="A17" s="64" t="s">
        <v>1054</v>
      </c>
      <c r="C17" s="130">
        <v>1</v>
      </c>
      <c r="D17" s="63" t="s">
        <v>1080</v>
      </c>
      <c r="E17">
        <v>2</v>
      </c>
      <c r="F17">
        <v>13</v>
      </c>
    </row>
    <row r="18" spans="1:37" ht="84" customHeight="1">
      <c r="A18" s="64" t="s">
        <v>1057</v>
      </c>
      <c r="C18" s="130">
        <v>1</v>
      </c>
      <c r="D18" s="63" t="s">
        <v>1058</v>
      </c>
      <c r="E18">
        <v>3</v>
      </c>
      <c r="F18">
        <v>13</v>
      </c>
    </row>
    <row r="19" spans="1:37" ht="84" customHeight="1">
      <c r="A19" s="64" t="s">
        <v>1061</v>
      </c>
      <c r="C19" s="130">
        <v>1</v>
      </c>
      <c r="D19" s="63" t="s">
        <v>1058</v>
      </c>
      <c r="E19">
        <v>3</v>
      </c>
      <c r="F19">
        <v>13</v>
      </c>
    </row>
    <row r="20" spans="1:37" ht="84" customHeight="1">
      <c r="A20" s="64" t="s">
        <v>1065</v>
      </c>
      <c r="C20" s="130">
        <v>1</v>
      </c>
      <c r="D20" s="63" t="s">
        <v>1066</v>
      </c>
      <c r="E20">
        <v>1</v>
      </c>
      <c r="F20">
        <v>13</v>
      </c>
    </row>
    <row r="21" spans="1:37" ht="15" customHeight="1">
      <c r="A21" s="5" t="s">
        <v>114</v>
      </c>
      <c r="B21" s="5" t="s">
        <v>915</v>
      </c>
      <c r="C21" s="5" t="s">
        <v>817</v>
      </c>
      <c r="D21" s="5" t="s">
        <v>818</v>
      </c>
      <c r="E21" s="5" t="s">
        <v>819</v>
      </c>
      <c r="F21" s="5" t="s">
        <v>818</v>
      </c>
      <c r="G21" s="5" t="s">
        <v>820</v>
      </c>
      <c r="H21" s="5" t="s">
        <v>818</v>
      </c>
      <c r="I21" s="5" t="s">
        <v>821</v>
      </c>
      <c r="J21" s="5" t="s">
        <v>818</v>
      </c>
      <c r="K21" s="5" t="s">
        <v>261</v>
      </c>
      <c r="L21" s="87" t="s">
        <v>822</v>
      </c>
      <c r="M21" s="87" t="s">
        <v>823</v>
      </c>
      <c r="N21" s="5" t="s">
        <v>1027</v>
      </c>
      <c r="O21" s="5" t="s">
        <v>1028</v>
      </c>
      <c r="P21" s="5" t="s">
        <v>1029</v>
      </c>
      <c r="Q21" s="5" t="s">
        <v>1028</v>
      </c>
      <c r="R21" s="5" t="s">
        <v>1034</v>
      </c>
      <c r="S21" s="5" t="s">
        <v>1028</v>
      </c>
      <c r="T21" s="5" t="s">
        <v>1037</v>
      </c>
      <c r="U21" s="5" t="s">
        <v>1028</v>
      </c>
      <c r="V21" s="5" t="s">
        <v>1040</v>
      </c>
      <c r="W21" s="5" t="s">
        <v>1028</v>
      </c>
      <c r="X21" s="5" t="s">
        <v>1044</v>
      </c>
      <c r="Y21" s="5" t="s">
        <v>1028</v>
      </c>
      <c r="Z21" s="5" t="s">
        <v>1048</v>
      </c>
      <c r="AA21" s="5" t="s">
        <v>1028</v>
      </c>
      <c r="AB21" s="5" t="s">
        <v>1052</v>
      </c>
      <c r="AC21" s="5" t="s">
        <v>1028</v>
      </c>
      <c r="AD21" s="5" t="s">
        <v>1055</v>
      </c>
      <c r="AE21" s="5" t="s">
        <v>1028</v>
      </c>
      <c r="AF21" s="5" t="s">
        <v>1059</v>
      </c>
      <c r="AG21" s="5" t="s">
        <v>1028</v>
      </c>
      <c r="AH21" s="5" t="s">
        <v>1062</v>
      </c>
      <c r="AI21" s="5" t="s">
        <v>1028</v>
      </c>
      <c r="AJ21" s="5" t="s">
        <v>1067</v>
      </c>
      <c r="AK21" s="5" t="s">
        <v>1028</v>
      </c>
    </row>
    <row r="22" spans="1:37" ht="15" customHeight="1">
      <c r="A22" s="8" t="s">
        <v>115</v>
      </c>
      <c r="B22" s="73">
        <v>46263</v>
      </c>
      <c r="C22" s="16">
        <f>시작중량_설정!$D$7</f>
        <v>62</v>
      </c>
      <c r="D22" s="4"/>
      <c r="E22" s="16">
        <f>시작중량_설정!$D$8</f>
        <v>67</v>
      </c>
      <c r="F22" s="4"/>
      <c r="G22" s="16">
        <f>시작중량_설정!$D$9</f>
        <v>35</v>
      </c>
      <c r="H22" s="4"/>
      <c r="I22" s="16">
        <f>시작중량_설정!$D$10</f>
        <v>28</v>
      </c>
      <c r="J22" s="4"/>
      <c r="K22" s="65" t="s">
        <v>824</v>
      </c>
      <c r="L22" s="90"/>
      <c r="M22" s="90"/>
      <c r="N22" s="16" t="s">
        <v>27</v>
      </c>
      <c r="O22" s="4"/>
      <c r="P22" s="16" t="s">
        <v>27</v>
      </c>
      <c r="Q22" s="4"/>
      <c r="R22" s="16" t="s">
        <v>27</v>
      </c>
      <c r="S22" s="4"/>
      <c r="T22" s="16" t="s">
        <v>27</v>
      </c>
      <c r="U22" s="4"/>
      <c r="V22" s="16" t="s">
        <v>27</v>
      </c>
      <c r="W22" s="4"/>
      <c r="X22" s="16" t="s">
        <v>27</v>
      </c>
      <c r="Y22" s="4"/>
      <c r="Z22" s="16" t="s">
        <v>27</v>
      </c>
      <c r="AA22" s="4"/>
      <c r="AB22" s="16" t="s">
        <v>27</v>
      </c>
      <c r="AC22" s="4"/>
      <c r="AD22" s="16" t="s">
        <v>27</v>
      </c>
      <c r="AE22" s="4"/>
      <c r="AF22" s="16" t="s">
        <v>27</v>
      </c>
      <c r="AG22" s="4"/>
      <c r="AH22" s="16" t="s">
        <v>27</v>
      </c>
      <c r="AI22" s="4"/>
      <c r="AJ22" s="16" t="s">
        <v>27</v>
      </c>
      <c r="AK22" s="4"/>
    </row>
    <row r="23" spans="1:37" ht="15" customHeight="1">
      <c r="A23" s="8" t="s">
        <v>116</v>
      </c>
      <c r="B23" s="73">
        <v>46270</v>
      </c>
      <c r="C23" s="16">
        <f t="shared" ref="C23:C51" si="0">IF(OR(D22="",D22="O"),IF(MOD(ROW()-22,$E$6)=0,C22+$C$6+(MOD(C22+$C$6,5)=4),C22),C22)</f>
        <v>65</v>
      </c>
      <c r="D23" s="4"/>
      <c r="E23" s="16">
        <f t="shared" ref="E23:E51" si="1">IF(OR(F22="",F22="O"),IF(MOD(ROW()-22,$E$5)=0,E22+$C$5+(MOD(E22+$C$5,5)=4),E22),E22)</f>
        <v>70</v>
      </c>
      <c r="F23" s="4"/>
      <c r="G23" s="16">
        <f t="shared" ref="G23:G51" si="2">IF(OR(H22="",H22="O"),IF(MOD(ROW()-22,$E$7)=0,G22+$C$7+(MOD(G22+$C$7,5)=4),G22),G22)</f>
        <v>36</v>
      </c>
      <c r="H23" s="4"/>
      <c r="I23" s="16">
        <f t="shared" ref="I23:I51" si="3">IF(OR(J22="",J22="O"),IF(MOD(ROW()-22,$E$8)=0,I22+$C$8+(MOD(I22+$C$8,5)=4),I22),I22)</f>
        <v>28</v>
      </c>
      <c r="J23" s="4"/>
      <c r="K23" s="65"/>
      <c r="L23" s="90"/>
      <c r="M23" s="90"/>
      <c r="N23" s="16" t="s">
        <v>27</v>
      </c>
      <c r="O23" s="4"/>
      <c r="P23" s="16" t="s">
        <v>27</v>
      </c>
      <c r="Q23" s="4"/>
      <c r="R23" s="16" t="s">
        <v>27</v>
      </c>
      <c r="S23" s="4"/>
      <c r="T23" s="16" t="s">
        <v>27</v>
      </c>
      <c r="U23" s="4"/>
      <c r="V23" s="16" t="s">
        <v>27</v>
      </c>
      <c r="W23" s="4"/>
      <c r="X23" s="16" t="s">
        <v>27</v>
      </c>
      <c r="Y23" s="4"/>
      <c r="Z23" s="16" t="s">
        <v>27</v>
      </c>
      <c r="AA23" s="4"/>
      <c r="AB23" s="16" t="s">
        <v>27</v>
      </c>
      <c r="AC23" s="4"/>
      <c r="AD23" s="16" t="s">
        <v>27</v>
      </c>
      <c r="AE23" s="4"/>
      <c r="AF23" s="16" t="s">
        <v>27</v>
      </c>
      <c r="AG23" s="4"/>
      <c r="AH23" s="16" t="s">
        <v>27</v>
      </c>
      <c r="AI23" s="4"/>
      <c r="AJ23" s="16" t="s">
        <v>27</v>
      </c>
      <c r="AK23" s="4"/>
    </row>
    <row r="24" spans="1:37" ht="15" customHeight="1">
      <c r="A24" s="8" t="s">
        <v>117</v>
      </c>
      <c r="B24" s="73">
        <v>46277</v>
      </c>
      <c r="C24" s="16">
        <f t="shared" si="0"/>
        <v>67</v>
      </c>
      <c r="D24" s="4"/>
      <c r="E24" s="16">
        <f t="shared" si="1"/>
        <v>72</v>
      </c>
      <c r="F24" s="4"/>
      <c r="G24" s="16">
        <f t="shared" si="2"/>
        <v>37</v>
      </c>
      <c r="H24" s="4"/>
      <c r="I24" s="16">
        <f t="shared" si="3"/>
        <v>30</v>
      </c>
      <c r="J24" s="4"/>
      <c r="K24" s="65"/>
      <c r="L24" s="90"/>
      <c r="M24" s="90"/>
      <c r="N24" s="16" t="s">
        <v>27</v>
      </c>
      <c r="O24" s="4"/>
      <c r="P24" s="16" t="s">
        <v>27</v>
      </c>
      <c r="Q24" s="4"/>
      <c r="R24" s="16" t="s">
        <v>27</v>
      </c>
      <c r="S24" s="4"/>
      <c r="T24" s="16" t="s">
        <v>27</v>
      </c>
      <c r="U24" s="4"/>
      <c r="V24" s="16" t="s">
        <v>27</v>
      </c>
      <c r="W24" s="4"/>
      <c r="X24" s="16" t="s">
        <v>27</v>
      </c>
      <c r="Y24" s="4"/>
      <c r="Z24" s="16" t="s">
        <v>27</v>
      </c>
      <c r="AA24" s="4"/>
      <c r="AB24" s="16" t="s">
        <v>27</v>
      </c>
      <c r="AC24" s="4"/>
      <c r="AD24" s="16" t="s">
        <v>27</v>
      </c>
      <c r="AE24" s="4"/>
      <c r="AF24" s="16" t="s">
        <v>27</v>
      </c>
      <c r="AG24" s="4"/>
      <c r="AH24" s="16" t="s">
        <v>27</v>
      </c>
      <c r="AI24" s="4"/>
      <c r="AJ24" s="16" t="s">
        <v>27</v>
      </c>
      <c r="AK24" s="4"/>
    </row>
    <row r="25" spans="1:37" ht="15" customHeight="1">
      <c r="A25" s="8" t="s">
        <v>118</v>
      </c>
      <c r="B25" s="73">
        <v>46284</v>
      </c>
      <c r="C25" s="16">
        <f t="shared" si="0"/>
        <v>70</v>
      </c>
      <c r="D25" s="4"/>
      <c r="E25" s="16">
        <f t="shared" si="1"/>
        <v>75</v>
      </c>
      <c r="F25" s="4"/>
      <c r="G25" s="16">
        <f t="shared" si="2"/>
        <v>38</v>
      </c>
      <c r="H25" s="4"/>
      <c r="I25" s="16">
        <f t="shared" si="3"/>
        <v>30</v>
      </c>
      <c r="J25" s="4"/>
      <c r="K25" s="65"/>
      <c r="L25" s="90"/>
      <c r="M25" s="90"/>
      <c r="N25" s="16" t="s">
        <v>27</v>
      </c>
      <c r="O25" s="4"/>
      <c r="P25" s="16" t="s">
        <v>27</v>
      </c>
      <c r="Q25" s="4"/>
      <c r="R25" s="16" t="s">
        <v>27</v>
      </c>
      <c r="S25" s="4"/>
      <c r="T25" s="16" t="s">
        <v>27</v>
      </c>
      <c r="U25" s="4"/>
      <c r="V25" s="16" t="s">
        <v>27</v>
      </c>
      <c r="W25" s="4"/>
      <c r="X25" s="16" t="s">
        <v>27</v>
      </c>
      <c r="Y25" s="4"/>
      <c r="Z25" s="16" t="s">
        <v>27</v>
      </c>
      <c r="AA25" s="4"/>
      <c r="AB25" s="16" t="s">
        <v>27</v>
      </c>
      <c r="AC25" s="4"/>
      <c r="AD25" s="16" t="s">
        <v>27</v>
      </c>
      <c r="AE25" s="4"/>
      <c r="AF25" s="16" t="s">
        <v>27</v>
      </c>
      <c r="AG25" s="4"/>
      <c r="AH25" s="16" t="s">
        <v>27</v>
      </c>
      <c r="AI25" s="4"/>
      <c r="AJ25" s="16" t="s">
        <v>27</v>
      </c>
      <c r="AK25" s="4"/>
    </row>
    <row r="26" spans="1:37" ht="15" customHeight="1">
      <c r="A26" s="8" t="s">
        <v>119</v>
      </c>
      <c r="B26" s="73">
        <v>46291</v>
      </c>
      <c r="C26" s="16">
        <f t="shared" si="0"/>
        <v>72</v>
      </c>
      <c r="D26" s="4"/>
      <c r="E26" s="16">
        <f t="shared" si="1"/>
        <v>77</v>
      </c>
      <c r="F26" s="4"/>
      <c r="G26" s="16">
        <f t="shared" si="2"/>
        <v>40</v>
      </c>
      <c r="H26" s="4"/>
      <c r="I26" s="16">
        <f t="shared" si="3"/>
        <v>31</v>
      </c>
      <c r="J26" s="4"/>
      <c r="K26" s="65"/>
      <c r="L26" s="90"/>
      <c r="M26" s="90"/>
      <c r="N26" s="16" t="s">
        <v>27</v>
      </c>
      <c r="O26" s="4"/>
      <c r="P26" s="16" t="s">
        <v>27</v>
      </c>
      <c r="Q26" s="4"/>
      <c r="R26" s="16" t="s">
        <v>27</v>
      </c>
      <c r="S26" s="4"/>
      <c r="T26" s="16" t="s">
        <v>27</v>
      </c>
      <c r="U26" s="4"/>
      <c r="V26" s="16" t="s">
        <v>27</v>
      </c>
      <c r="W26" s="4"/>
      <c r="X26" s="16" t="s">
        <v>27</v>
      </c>
      <c r="Y26" s="4"/>
      <c r="Z26" s="16" t="s">
        <v>27</v>
      </c>
      <c r="AA26" s="4"/>
      <c r="AB26" s="16" t="s">
        <v>27</v>
      </c>
      <c r="AC26" s="4"/>
      <c r="AD26" s="16" t="s">
        <v>27</v>
      </c>
      <c r="AE26" s="4"/>
      <c r="AF26" s="16" t="s">
        <v>27</v>
      </c>
      <c r="AG26" s="4"/>
      <c r="AH26" s="16" t="s">
        <v>27</v>
      </c>
      <c r="AI26" s="4"/>
      <c r="AJ26" s="16" t="s">
        <v>27</v>
      </c>
      <c r="AK26" s="4"/>
    </row>
    <row r="27" spans="1:37" ht="15" customHeight="1">
      <c r="A27" s="8" t="s">
        <v>120</v>
      </c>
      <c r="B27" s="73">
        <v>46298</v>
      </c>
      <c r="C27" s="16">
        <f t="shared" si="0"/>
        <v>75</v>
      </c>
      <c r="D27" s="4"/>
      <c r="E27" s="16">
        <f t="shared" si="1"/>
        <v>80</v>
      </c>
      <c r="F27" s="4"/>
      <c r="G27" s="16">
        <f t="shared" si="2"/>
        <v>41</v>
      </c>
      <c r="H27" s="4"/>
      <c r="I27" s="16">
        <f t="shared" si="3"/>
        <v>31</v>
      </c>
      <c r="J27" s="4"/>
      <c r="K27" s="65"/>
      <c r="L27" s="90"/>
      <c r="M27" s="90"/>
      <c r="N27" s="16" t="s">
        <v>27</v>
      </c>
      <c r="O27" s="4"/>
      <c r="P27" s="16" t="s">
        <v>27</v>
      </c>
      <c r="Q27" s="4"/>
      <c r="R27" s="16" t="s">
        <v>27</v>
      </c>
      <c r="S27" s="4"/>
      <c r="T27" s="16" t="s">
        <v>27</v>
      </c>
      <c r="U27" s="4"/>
      <c r="V27" s="16" t="s">
        <v>27</v>
      </c>
      <c r="W27" s="4"/>
      <c r="X27" s="16" t="s">
        <v>27</v>
      </c>
      <c r="Y27" s="4"/>
      <c r="Z27" s="16" t="s">
        <v>27</v>
      </c>
      <c r="AA27" s="4"/>
      <c r="AB27" s="16" t="s">
        <v>27</v>
      </c>
      <c r="AC27" s="4"/>
      <c r="AD27" s="16" t="s">
        <v>27</v>
      </c>
      <c r="AE27" s="4"/>
      <c r="AF27" s="16" t="s">
        <v>27</v>
      </c>
      <c r="AG27" s="4"/>
      <c r="AH27" s="16" t="s">
        <v>27</v>
      </c>
      <c r="AI27" s="4"/>
      <c r="AJ27" s="16" t="s">
        <v>27</v>
      </c>
      <c r="AK27" s="4"/>
    </row>
    <row r="28" spans="1:37" ht="15" customHeight="1">
      <c r="A28" s="8" t="s">
        <v>121</v>
      </c>
      <c r="B28" s="73">
        <v>46305</v>
      </c>
      <c r="C28" s="16">
        <f t="shared" si="0"/>
        <v>77</v>
      </c>
      <c r="D28" s="4"/>
      <c r="E28" s="16">
        <f t="shared" si="1"/>
        <v>82</v>
      </c>
      <c r="F28" s="4"/>
      <c r="G28" s="16">
        <f t="shared" si="2"/>
        <v>42</v>
      </c>
      <c r="H28" s="4"/>
      <c r="I28" s="16">
        <f t="shared" si="3"/>
        <v>32</v>
      </c>
      <c r="J28" s="4"/>
      <c r="K28" s="65"/>
      <c r="L28" s="90"/>
      <c r="M28" s="90"/>
      <c r="N28" s="16" t="s">
        <v>27</v>
      </c>
      <c r="O28" s="4"/>
      <c r="P28" s="16" t="s">
        <v>27</v>
      </c>
      <c r="Q28" s="4"/>
      <c r="R28" s="16" t="s">
        <v>27</v>
      </c>
      <c r="S28" s="4"/>
      <c r="T28" s="16" t="s">
        <v>27</v>
      </c>
      <c r="U28" s="4"/>
      <c r="V28" s="16" t="s">
        <v>27</v>
      </c>
      <c r="W28" s="4"/>
      <c r="X28" s="16" t="s">
        <v>27</v>
      </c>
      <c r="Y28" s="4"/>
      <c r="Z28" s="16" t="s">
        <v>27</v>
      </c>
      <c r="AA28" s="4"/>
      <c r="AB28" s="16" t="s">
        <v>27</v>
      </c>
      <c r="AC28" s="4"/>
      <c r="AD28" s="16" t="s">
        <v>27</v>
      </c>
      <c r="AE28" s="4"/>
      <c r="AF28" s="16" t="s">
        <v>27</v>
      </c>
      <c r="AG28" s="4"/>
      <c r="AH28" s="16" t="s">
        <v>27</v>
      </c>
      <c r="AI28" s="4"/>
      <c r="AJ28" s="16" t="s">
        <v>27</v>
      </c>
      <c r="AK28" s="4"/>
    </row>
    <row r="29" spans="1:37" ht="15" customHeight="1">
      <c r="A29" s="8" t="s">
        <v>122</v>
      </c>
      <c r="B29" s="73">
        <v>46312</v>
      </c>
      <c r="C29" s="16">
        <f t="shared" si="0"/>
        <v>80</v>
      </c>
      <c r="D29" s="4"/>
      <c r="E29" s="16">
        <f t="shared" si="1"/>
        <v>85</v>
      </c>
      <c r="F29" s="4"/>
      <c r="G29" s="16">
        <f t="shared" si="2"/>
        <v>43</v>
      </c>
      <c r="H29" s="4"/>
      <c r="I29" s="16">
        <f t="shared" si="3"/>
        <v>32</v>
      </c>
      <c r="J29" s="4"/>
      <c r="K29" s="65"/>
      <c r="L29" s="90"/>
      <c r="M29" s="90"/>
      <c r="N29" s="16">
        <f>시작중량_설정!$D$11</f>
        <v>60</v>
      </c>
      <c r="O29" s="4"/>
      <c r="P29" s="16">
        <f>시작중량_설정!$D$12</f>
        <v>42</v>
      </c>
      <c r="Q29" s="4"/>
      <c r="R29" s="16">
        <f>시작중량_설정!$D$13</f>
        <v>160</v>
      </c>
      <c r="S29" s="4"/>
      <c r="T29" s="16">
        <f>시작중량_설정!$D$14</f>
        <v>140</v>
      </c>
      <c r="U29" s="4"/>
      <c r="V29" s="16">
        <f>시작중량_설정!$D$15</f>
        <v>50</v>
      </c>
      <c r="W29" s="4"/>
      <c r="X29" s="16">
        <f>시작중량_설정!$D$16</f>
        <v>25</v>
      </c>
      <c r="Y29" s="4"/>
      <c r="Z29" s="16">
        <f>시작중량_설정!$D$17</f>
        <v>25</v>
      </c>
      <c r="AA29" s="4"/>
      <c r="AB29" s="16">
        <f>시작중량_설정!$D$18</f>
        <v>50</v>
      </c>
      <c r="AC29" s="4"/>
      <c r="AD29" s="16">
        <f>시작중량_설정!$D$19</f>
        <v>0</v>
      </c>
      <c r="AE29" s="4"/>
      <c r="AF29" s="16">
        <f>시작중량_설정!$D$20</f>
        <v>15</v>
      </c>
      <c r="AG29" s="4"/>
      <c r="AH29" s="16">
        <f>시작중량_설정!$D$21</f>
        <v>15</v>
      </c>
      <c r="AI29" s="4"/>
      <c r="AJ29" s="16">
        <f>시작중량_설정!$D$22</f>
        <v>40</v>
      </c>
      <c r="AK29" s="4"/>
    </row>
    <row r="30" spans="1:37" ht="15" customHeight="1">
      <c r="A30" s="8" t="s">
        <v>123</v>
      </c>
      <c r="B30" s="73">
        <v>46319</v>
      </c>
      <c r="C30" s="16">
        <f t="shared" si="0"/>
        <v>82</v>
      </c>
      <c r="D30" s="4"/>
      <c r="E30" s="16">
        <f t="shared" si="1"/>
        <v>87</v>
      </c>
      <c r="F30" s="4"/>
      <c r="G30" s="16">
        <f t="shared" si="2"/>
        <v>45</v>
      </c>
      <c r="H30" s="4"/>
      <c r="I30" s="16">
        <f t="shared" si="3"/>
        <v>33</v>
      </c>
      <c r="J30" s="4"/>
      <c r="K30" s="65"/>
      <c r="L30" s="90"/>
      <c r="M30" s="90"/>
      <c r="N30" s="16">
        <f t="shared" ref="N30:N51" si="4">IF(OR(O29="",O29="O"),IF(MOD(ROW()-29,$E$9)=0,N29+$C$9+(MOD(N29+$C$9,5)=4),N29),N29)</f>
        <v>61</v>
      </c>
      <c r="O30" s="4"/>
      <c r="P30" s="16">
        <f t="shared" ref="P30:P51" si="5">IF(OR(Q29="",Q29="O"),IF(MOD(ROW()-29,$E$10)=0,P29+$C$10+(MOD(P29+$C$10,5)=4),P29),P29)</f>
        <v>43</v>
      </c>
      <c r="Q30" s="4"/>
      <c r="R30" s="16">
        <f t="shared" ref="R30:R51" si="6">IF(OR(S29="",S29="O"),IF(MOD(ROW()-29,$E$11)=0,R29+$C$11+(MOD(R29+$C$11,5)=4),R29),R29)</f>
        <v>162</v>
      </c>
      <c r="S30" s="4"/>
      <c r="T30" s="16">
        <f t="shared" ref="T30:T51" si="7">IF(OR(U29="",U29="O"),IF(MOD(ROW()-29,$E$12)=0,T29+$C$12+(MOD(T29+$C$12,5)=4),T29),T29)</f>
        <v>140</v>
      </c>
      <c r="U30" s="4"/>
      <c r="V30" s="16">
        <f t="shared" ref="V30:V51" si="8">IF(OR(W29="",W29="O"),IF(MOD(ROW()-29,$E$13)=0,V29+$C$13+(MOD(V29+$C$13,5)=4),V29),V29)</f>
        <v>50</v>
      </c>
      <c r="W30" s="4"/>
      <c r="X30" s="16">
        <f t="shared" ref="X30:X51" si="9">IF(OR(Y29="",Y29="O"),IF(MOD(ROW()-29,$E$14)=0,X29+$C$14+(MOD(X29+$C$14,5)=4),X29),X29)</f>
        <v>25</v>
      </c>
      <c r="Y30" s="4"/>
      <c r="Z30" s="16">
        <f t="shared" ref="Z30:Z51" si="10">IF(OR(AA29="",AA29="O"),IF(MOD(ROW()-29,$E$15)=0,Z29+$C$15+(MOD(Z29+$C$15,5)=4),Z29),Z29)</f>
        <v>25</v>
      </c>
      <c r="AA30" s="4"/>
      <c r="AB30" s="16">
        <f t="shared" ref="AB30:AB51" si="11">IF(OR(AC29="",AC29="O"),IF(MOD(ROW()-29,$E$16)=0,AB29+$C$16+(MOD(AB29+$C$16,5)=4),AB29),AB29)</f>
        <v>50</v>
      </c>
      <c r="AC30" s="4"/>
      <c r="AD30" s="16">
        <f t="shared" ref="AD30:AD51" si="12">IF(OR(AE29="",AE29="O"),IF(MOD(ROW()-29,$E$17)=0,AD29+$C$17+(MOD(AD29+$C$17,5)=4),AD29),AD29)</f>
        <v>0</v>
      </c>
      <c r="AE30" s="4"/>
      <c r="AF30" s="16">
        <f>IF(OR(AG29="",AG29="O"),IF(MOD(ROW()-29,$E$18)=0,AF29+$C$18+(MOD(AF29+$C$18,5)=4),AF29),AF29)</f>
        <v>15</v>
      </c>
      <c r="AG30" s="4"/>
      <c r="AH30" s="16">
        <f>IF(OR(AI29="",AI29="O"),IF(MOD(ROW()-29,$E$19)=0,AH29+$C$19+(MOD(AH29+$C$19,5)=4),AH29),AH29)</f>
        <v>15</v>
      </c>
      <c r="AI30" s="4"/>
      <c r="AJ30" s="16">
        <f>IF(OR(AK29="",AK29="O"),IF(MOD(ROW()-29,$E$20)=0,AJ29+$C$20+(MOD(AJ29+$C$20,5)=4),AJ29),AJ29)</f>
        <v>41</v>
      </c>
      <c r="AK30" s="4"/>
    </row>
    <row r="31" spans="1:37" ht="15" customHeight="1">
      <c r="A31" s="8" t="s">
        <v>124</v>
      </c>
      <c r="B31" s="73">
        <v>46326</v>
      </c>
      <c r="C31" s="16">
        <f t="shared" si="0"/>
        <v>85</v>
      </c>
      <c r="D31" s="4"/>
      <c r="E31" s="16">
        <f t="shared" si="1"/>
        <v>90</v>
      </c>
      <c r="F31" s="4"/>
      <c r="G31" s="16">
        <f t="shared" si="2"/>
        <v>46</v>
      </c>
      <c r="H31" s="4"/>
      <c r="I31" s="16">
        <f t="shared" si="3"/>
        <v>33</v>
      </c>
      <c r="J31" s="4"/>
      <c r="K31" s="65"/>
      <c r="L31" s="90"/>
      <c r="M31" s="90"/>
      <c r="N31" s="16">
        <f t="shared" si="4"/>
        <v>62</v>
      </c>
      <c r="O31" s="4"/>
      <c r="P31" s="16">
        <f t="shared" si="5"/>
        <v>45</v>
      </c>
      <c r="Q31" s="4"/>
      <c r="R31" s="16">
        <f t="shared" si="6"/>
        <v>165</v>
      </c>
      <c r="S31" s="4"/>
      <c r="T31" s="16">
        <f t="shared" si="7"/>
        <v>142</v>
      </c>
      <c r="U31" s="4"/>
      <c r="V31" s="16">
        <f t="shared" si="8"/>
        <v>51</v>
      </c>
      <c r="W31" s="4"/>
      <c r="X31" s="16">
        <f t="shared" si="9"/>
        <v>26</v>
      </c>
      <c r="Y31" s="4"/>
      <c r="Z31" s="16">
        <f t="shared" si="10"/>
        <v>25</v>
      </c>
      <c r="AA31" s="4"/>
      <c r="AB31" s="16">
        <f t="shared" si="11"/>
        <v>51</v>
      </c>
      <c r="AC31" s="4"/>
      <c r="AD31" s="16">
        <f t="shared" si="12"/>
        <v>1</v>
      </c>
      <c r="AE31" s="4"/>
      <c r="AF31" s="16">
        <f t="shared" ref="AF31:AF51" si="13">IF(OR(AG30="",AG30="O"),IF(MOD(ROW()-29,$E$18)=0,AF30+$C$18+(MOD(AF30+$C$18,5)=4),AF30),AF30)</f>
        <v>15</v>
      </c>
      <c r="AG31" s="4"/>
      <c r="AH31" s="16">
        <f t="shared" ref="AH31:AH51" si="14">IF(OR(AI30="",AI30="O"),IF(MOD(ROW()-29,$E$19)=0,AH30+$C$19+(MOD(AH30+$C$19,5)=4),AH30),AH30)</f>
        <v>15</v>
      </c>
      <c r="AI31" s="4"/>
      <c r="AJ31" s="16">
        <f t="shared" ref="AJ31:AJ51" si="15">IF(OR(AK30="",AK30="O"),IF(MOD(ROW()-29,$E$20)=0,AJ30+$C$20+(MOD(AJ30+$C$20,5)=4),AJ30),AJ30)</f>
        <v>42</v>
      </c>
      <c r="AK31" s="4"/>
    </row>
    <row r="32" spans="1:37" ht="15" customHeight="1">
      <c r="A32" s="8" t="s">
        <v>125</v>
      </c>
      <c r="B32" s="73">
        <v>46333</v>
      </c>
      <c r="C32" s="16">
        <f t="shared" si="0"/>
        <v>87</v>
      </c>
      <c r="D32" s="4"/>
      <c r="E32" s="16">
        <f t="shared" si="1"/>
        <v>92</v>
      </c>
      <c r="F32" s="4"/>
      <c r="G32" s="16">
        <f t="shared" si="2"/>
        <v>47</v>
      </c>
      <c r="H32" s="4"/>
      <c r="I32" s="16">
        <f t="shared" si="3"/>
        <v>35</v>
      </c>
      <c r="J32" s="4"/>
      <c r="K32" s="65"/>
      <c r="L32" s="90"/>
      <c r="M32" s="90"/>
      <c r="N32" s="16">
        <f t="shared" si="4"/>
        <v>63</v>
      </c>
      <c r="O32" s="4"/>
      <c r="P32" s="16">
        <f t="shared" si="5"/>
        <v>46</v>
      </c>
      <c r="Q32" s="4"/>
      <c r="R32" s="16">
        <f t="shared" si="6"/>
        <v>167</v>
      </c>
      <c r="S32" s="4"/>
      <c r="T32" s="16">
        <f t="shared" si="7"/>
        <v>142</v>
      </c>
      <c r="U32" s="4"/>
      <c r="V32" s="16">
        <f t="shared" si="8"/>
        <v>51</v>
      </c>
      <c r="W32" s="4"/>
      <c r="X32" s="16">
        <f t="shared" si="9"/>
        <v>26</v>
      </c>
      <c r="Y32" s="4"/>
      <c r="Z32" s="16">
        <f t="shared" si="10"/>
        <v>26</v>
      </c>
      <c r="AA32" s="4"/>
      <c r="AB32" s="16">
        <f t="shared" si="11"/>
        <v>51</v>
      </c>
      <c r="AC32" s="4"/>
      <c r="AD32" s="16">
        <f t="shared" si="12"/>
        <v>1</v>
      </c>
      <c r="AE32" s="4"/>
      <c r="AF32" s="16">
        <f t="shared" si="13"/>
        <v>16</v>
      </c>
      <c r="AG32" s="4"/>
      <c r="AH32" s="16">
        <f t="shared" si="14"/>
        <v>16</v>
      </c>
      <c r="AI32" s="4"/>
      <c r="AJ32" s="16">
        <f t="shared" si="15"/>
        <v>43</v>
      </c>
      <c r="AK32" s="4"/>
    </row>
    <row r="33" spans="1:37" ht="15" customHeight="1">
      <c r="A33" s="8" t="s">
        <v>126</v>
      </c>
      <c r="B33" s="73">
        <v>46340</v>
      </c>
      <c r="C33" s="16">
        <f t="shared" si="0"/>
        <v>90</v>
      </c>
      <c r="D33" s="4"/>
      <c r="E33" s="16">
        <f t="shared" si="1"/>
        <v>95</v>
      </c>
      <c r="F33" s="4"/>
      <c r="G33" s="16">
        <f t="shared" si="2"/>
        <v>48</v>
      </c>
      <c r="H33" s="4"/>
      <c r="I33" s="16">
        <f t="shared" si="3"/>
        <v>35</v>
      </c>
      <c r="J33" s="4"/>
      <c r="K33" s="65"/>
      <c r="L33" s="90"/>
      <c r="M33" s="90"/>
      <c r="N33" s="16">
        <f t="shared" si="4"/>
        <v>65</v>
      </c>
      <c r="O33" s="4"/>
      <c r="P33" s="16">
        <f t="shared" si="5"/>
        <v>47</v>
      </c>
      <c r="Q33" s="4"/>
      <c r="R33" s="16">
        <f t="shared" si="6"/>
        <v>170</v>
      </c>
      <c r="S33" s="4"/>
      <c r="T33" s="16">
        <f t="shared" si="7"/>
        <v>145</v>
      </c>
      <c r="U33" s="4"/>
      <c r="V33" s="16">
        <f t="shared" si="8"/>
        <v>52</v>
      </c>
      <c r="W33" s="4"/>
      <c r="X33" s="16">
        <f t="shared" si="9"/>
        <v>27</v>
      </c>
      <c r="Y33" s="4"/>
      <c r="Z33" s="16">
        <f t="shared" si="10"/>
        <v>26</v>
      </c>
      <c r="AA33" s="4"/>
      <c r="AB33" s="16">
        <f t="shared" si="11"/>
        <v>52</v>
      </c>
      <c r="AC33" s="4"/>
      <c r="AD33" s="16">
        <f t="shared" si="12"/>
        <v>2</v>
      </c>
      <c r="AE33" s="4"/>
      <c r="AF33" s="16">
        <f t="shared" si="13"/>
        <v>16</v>
      </c>
      <c r="AG33" s="4"/>
      <c r="AH33" s="16">
        <f t="shared" si="14"/>
        <v>16</v>
      </c>
      <c r="AI33" s="4"/>
      <c r="AJ33" s="16">
        <f t="shared" si="15"/>
        <v>45</v>
      </c>
      <c r="AK33" s="4"/>
    </row>
    <row r="34" spans="1:37" ht="15" customHeight="1">
      <c r="A34" s="101" t="s">
        <v>825</v>
      </c>
      <c r="B34" s="105">
        <v>46347</v>
      </c>
      <c r="C34" s="103">
        <f t="shared" si="0"/>
        <v>92</v>
      </c>
      <c r="D34" s="102"/>
      <c r="E34" s="103">
        <f t="shared" si="1"/>
        <v>97</v>
      </c>
      <c r="F34" s="102"/>
      <c r="G34" s="103">
        <f t="shared" si="2"/>
        <v>50</v>
      </c>
      <c r="H34" s="102"/>
      <c r="I34" s="103">
        <f t="shared" si="3"/>
        <v>36</v>
      </c>
      <c r="J34" s="102"/>
      <c r="K34" s="104"/>
      <c r="L34" s="90"/>
      <c r="M34" s="90"/>
      <c r="N34" s="16">
        <f t="shared" si="4"/>
        <v>66</v>
      </c>
      <c r="O34" s="102"/>
      <c r="P34" s="16">
        <f t="shared" si="5"/>
        <v>48</v>
      </c>
      <c r="Q34" s="102"/>
      <c r="R34" s="16">
        <f t="shared" si="6"/>
        <v>172</v>
      </c>
      <c r="S34" s="102"/>
      <c r="T34" s="16">
        <f t="shared" si="7"/>
        <v>145</v>
      </c>
      <c r="U34" s="102"/>
      <c r="V34" s="16">
        <f t="shared" si="8"/>
        <v>52</v>
      </c>
      <c r="W34" s="102"/>
      <c r="X34" s="16">
        <f t="shared" si="9"/>
        <v>27</v>
      </c>
      <c r="Y34" s="102"/>
      <c r="Z34" s="16">
        <f t="shared" si="10"/>
        <v>26</v>
      </c>
      <c r="AA34" s="102"/>
      <c r="AB34" s="16">
        <f t="shared" si="11"/>
        <v>52</v>
      </c>
      <c r="AC34" s="102"/>
      <c r="AD34" s="16">
        <f t="shared" si="12"/>
        <v>2</v>
      </c>
      <c r="AE34" s="102"/>
      <c r="AF34" s="16">
        <f t="shared" si="13"/>
        <v>16</v>
      </c>
      <c r="AG34" s="102"/>
      <c r="AH34" s="16">
        <f t="shared" si="14"/>
        <v>16</v>
      </c>
      <c r="AI34" s="102"/>
      <c r="AJ34" s="16">
        <f t="shared" si="15"/>
        <v>46</v>
      </c>
      <c r="AK34" s="102"/>
    </row>
    <row r="35" spans="1:37" ht="15" customHeight="1">
      <c r="A35" s="101" t="s">
        <v>826</v>
      </c>
      <c r="B35" s="105">
        <v>46354</v>
      </c>
      <c r="C35" s="103">
        <f t="shared" si="0"/>
        <v>95</v>
      </c>
      <c r="D35" s="102"/>
      <c r="E35" s="103">
        <f t="shared" si="1"/>
        <v>100</v>
      </c>
      <c r="F35" s="102"/>
      <c r="G35" s="103">
        <f t="shared" si="2"/>
        <v>51</v>
      </c>
      <c r="H35" s="102"/>
      <c r="I35" s="103">
        <f t="shared" si="3"/>
        <v>36</v>
      </c>
      <c r="J35" s="102"/>
      <c r="K35" s="104"/>
      <c r="L35" s="90"/>
      <c r="M35" s="90"/>
      <c r="N35" s="16">
        <f t="shared" si="4"/>
        <v>67</v>
      </c>
      <c r="O35" s="102"/>
      <c r="P35" s="16">
        <f t="shared" si="5"/>
        <v>50</v>
      </c>
      <c r="Q35" s="102"/>
      <c r="R35" s="16">
        <f t="shared" si="6"/>
        <v>175</v>
      </c>
      <c r="S35" s="102"/>
      <c r="T35" s="16">
        <f t="shared" si="7"/>
        <v>147</v>
      </c>
      <c r="U35" s="102"/>
      <c r="V35" s="16">
        <f t="shared" si="8"/>
        <v>53</v>
      </c>
      <c r="W35" s="102"/>
      <c r="X35" s="16">
        <f t="shared" si="9"/>
        <v>28</v>
      </c>
      <c r="Y35" s="102"/>
      <c r="Z35" s="16">
        <f t="shared" si="10"/>
        <v>27</v>
      </c>
      <c r="AA35" s="102"/>
      <c r="AB35" s="16">
        <f t="shared" si="11"/>
        <v>53</v>
      </c>
      <c r="AC35" s="102"/>
      <c r="AD35" s="16">
        <f t="shared" si="12"/>
        <v>3</v>
      </c>
      <c r="AE35" s="102"/>
      <c r="AF35" s="16">
        <f t="shared" si="13"/>
        <v>17</v>
      </c>
      <c r="AG35" s="102"/>
      <c r="AH35" s="16">
        <f t="shared" si="14"/>
        <v>17</v>
      </c>
      <c r="AI35" s="102"/>
      <c r="AJ35" s="16">
        <f t="shared" si="15"/>
        <v>47</v>
      </c>
      <c r="AK35" s="102"/>
    </row>
    <row r="36" spans="1:37" ht="15" customHeight="1">
      <c r="A36" s="101" t="s">
        <v>827</v>
      </c>
      <c r="B36" s="105">
        <v>46361</v>
      </c>
      <c r="C36" s="103">
        <f t="shared" si="0"/>
        <v>97</v>
      </c>
      <c r="D36" s="102"/>
      <c r="E36" s="103">
        <f t="shared" si="1"/>
        <v>102</v>
      </c>
      <c r="F36" s="102"/>
      <c r="G36" s="103">
        <f t="shared" si="2"/>
        <v>52</v>
      </c>
      <c r="H36" s="102"/>
      <c r="I36" s="103">
        <f t="shared" si="3"/>
        <v>37</v>
      </c>
      <c r="J36" s="102"/>
      <c r="K36" s="104"/>
      <c r="L36" s="90"/>
      <c r="M36" s="90"/>
      <c r="N36" s="16">
        <f t="shared" si="4"/>
        <v>68</v>
      </c>
      <c r="O36" s="102"/>
      <c r="P36" s="16">
        <f t="shared" si="5"/>
        <v>51</v>
      </c>
      <c r="Q36" s="102"/>
      <c r="R36" s="16">
        <f t="shared" si="6"/>
        <v>177</v>
      </c>
      <c r="S36" s="102"/>
      <c r="T36" s="16">
        <f t="shared" si="7"/>
        <v>147</v>
      </c>
      <c r="U36" s="102"/>
      <c r="V36" s="16">
        <f t="shared" si="8"/>
        <v>53</v>
      </c>
      <c r="W36" s="102"/>
      <c r="X36" s="16">
        <f t="shared" si="9"/>
        <v>28</v>
      </c>
      <c r="Y36" s="102"/>
      <c r="Z36" s="16">
        <f t="shared" si="10"/>
        <v>27</v>
      </c>
      <c r="AA36" s="102"/>
      <c r="AB36" s="16">
        <f t="shared" si="11"/>
        <v>53</v>
      </c>
      <c r="AC36" s="102"/>
      <c r="AD36" s="16">
        <f t="shared" si="12"/>
        <v>3</v>
      </c>
      <c r="AE36" s="102"/>
      <c r="AF36" s="16">
        <f t="shared" si="13"/>
        <v>17</v>
      </c>
      <c r="AG36" s="102"/>
      <c r="AH36" s="16">
        <f t="shared" si="14"/>
        <v>17</v>
      </c>
      <c r="AI36" s="102"/>
      <c r="AJ36" s="16">
        <f t="shared" si="15"/>
        <v>48</v>
      </c>
      <c r="AK36" s="102"/>
    </row>
    <row r="37" spans="1:37" ht="15" customHeight="1">
      <c r="A37" s="101" t="s">
        <v>828</v>
      </c>
      <c r="B37" s="105">
        <v>46368</v>
      </c>
      <c r="C37" s="103">
        <f t="shared" si="0"/>
        <v>100</v>
      </c>
      <c r="D37" s="102"/>
      <c r="E37" s="103">
        <f t="shared" si="1"/>
        <v>105</v>
      </c>
      <c r="F37" s="102"/>
      <c r="G37" s="103">
        <f t="shared" si="2"/>
        <v>53</v>
      </c>
      <c r="H37" s="102"/>
      <c r="I37" s="103">
        <f t="shared" si="3"/>
        <v>37</v>
      </c>
      <c r="J37" s="102"/>
      <c r="K37" s="104"/>
      <c r="L37" s="90"/>
      <c r="M37" s="90"/>
      <c r="N37" s="16">
        <f t="shared" si="4"/>
        <v>70</v>
      </c>
      <c r="O37" s="102"/>
      <c r="P37" s="16">
        <f t="shared" si="5"/>
        <v>52</v>
      </c>
      <c r="Q37" s="102"/>
      <c r="R37" s="16">
        <f t="shared" si="6"/>
        <v>180</v>
      </c>
      <c r="S37" s="102"/>
      <c r="T37" s="16">
        <f t="shared" si="7"/>
        <v>150</v>
      </c>
      <c r="U37" s="102"/>
      <c r="V37" s="16">
        <f t="shared" si="8"/>
        <v>55</v>
      </c>
      <c r="W37" s="102"/>
      <c r="X37" s="16">
        <f t="shared" si="9"/>
        <v>30</v>
      </c>
      <c r="Y37" s="102"/>
      <c r="Z37" s="16">
        <f t="shared" si="10"/>
        <v>27</v>
      </c>
      <c r="AA37" s="102"/>
      <c r="AB37" s="16">
        <f t="shared" si="11"/>
        <v>55</v>
      </c>
      <c r="AC37" s="102"/>
      <c r="AD37" s="16">
        <f t="shared" si="12"/>
        <v>5</v>
      </c>
      <c r="AE37" s="102"/>
      <c r="AF37" s="16">
        <f t="shared" si="13"/>
        <v>17</v>
      </c>
      <c r="AG37" s="102"/>
      <c r="AH37" s="16">
        <f t="shared" si="14"/>
        <v>17</v>
      </c>
      <c r="AI37" s="102"/>
      <c r="AJ37" s="16">
        <f t="shared" si="15"/>
        <v>50</v>
      </c>
      <c r="AK37" s="102"/>
    </row>
    <row r="38" spans="1:37" ht="15" customHeight="1">
      <c r="A38" s="101" t="s">
        <v>829</v>
      </c>
      <c r="B38" s="105">
        <v>46375</v>
      </c>
      <c r="C38" s="103">
        <f t="shared" si="0"/>
        <v>102</v>
      </c>
      <c r="D38" s="102"/>
      <c r="E38" s="103">
        <f t="shared" si="1"/>
        <v>107</v>
      </c>
      <c r="F38" s="102"/>
      <c r="G38" s="103">
        <f t="shared" si="2"/>
        <v>55</v>
      </c>
      <c r="H38" s="102"/>
      <c r="I38" s="103">
        <f t="shared" si="3"/>
        <v>38</v>
      </c>
      <c r="J38" s="102"/>
      <c r="K38" s="104"/>
      <c r="L38" s="90"/>
      <c r="M38" s="90"/>
      <c r="N38" s="16">
        <f t="shared" si="4"/>
        <v>71</v>
      </c>
      <c r="O38" s="102"/>
      <c r="P38" s="16">
        <f t="shared" si="5"/>
        <v>53</v>
      </c>
      <c r="Q38" s="102"/>
      <c r="R38" s="16">
        <f t="shared" si="6"/>
        <v>182</v>
      </c>
      <c r="S38" s="102"/>
      <c r="T38" s="16">
        <f t="shared" si="7"/>
        <v>150</v>
      </c>
      <c r="U38" s="102"/>
      <c r="V38" s="16">
        <f t="shared" si="8"/>
        <v>55</v>
      </c>
      <c r="W38" s="102"/>
      <c r="X38" s="16">
        <f t="shared" si="9"/>
        <v>30</v>
      </c>
      <c r="Y38" s="102"/>
      <c r="Z38" s="16">
        <f t="shared" si="10"/>
        <v>28</v>
      </c>
      <c r="AA38" s="102"/>
      <c r="AB38" s="16">
        <f t="shared" si="11"/>
        <v>55</v>
      </c>
      <c r="AC38" s="102"/>
      <c r="AD38" s="16">
        <f t="shared" si="12"/>
        <v>5</v>
      </c>
      <c r="AE38" s="102"/>
      <c r="AF38" s="16">
        <f t="shared" si="13"/>
        <v>18</v>
      </c>
      <c r="AG38" s="102"/>
      <c r="AH38" s="16">
        <f t="shared" si="14"/>
        <v>18</v>
      </c>
      <c r="AI38" s="102"/>
      <c r="AJ38" s="16">
        <f t="shared" si="15"/>
        <v>51</v>
      </c>
      <c r="AK38" s="102"/>
    </row>
    <row r="39" spans="1:37" ht="15" customHeight="1">
      <c r="A39" s="101" t="s">
        <v>830</v>
      </c>
      <c r="B39" s="105">
        <v>46382</v>
      </c>
      <c r="C39" s="103">
        <f t="shared" si="0"/>
        <v>105</v>
      </c>
      <c r="D39" s="102"/>
      <c r="E39" s="103">
        <f t="shared" si="1"/>
        <v>110</v>
      </c>
      <c r="F39" s="102"/>
      <c r="G39" s="103">
        <f t="shared" si="2"/>
        <v>56</v>
      </c>
      <c r="H39" s="102"/>
      <c r="I39" s="103">
        <f t="shared" si="3"/>
        <v>38</v>
      </c>
      <c r="J39" s="102"/>
      <c r="K39" s="104"/>
      <c r="L39" s="90"/>
      <c r="M39" s="90"/>
      <c r="N39" s="16">
        <f t="shared" si="4"/>
        <v>72</v>
      </c>
      <c r="O39" s="102"/>
      <c r="P39" s="16">
        <f t="shared" si="5"/>
        <v>55</v>
      </c>
      <c r="Q39" s="102"/>
      <c r="R39" s="16">
        <f t="shared" si="6"/>
        <v>185</v>
      </c>
      <c r="S39" s="102"/>
      <c r="T39" s="16">
        <f t="shared" si="7"/>
        <v>152</v>
      </c>
      <c r="U39" s="102"/>
      <c r="V39" s="16">
        <f t="shared" si="8"/>
        <v>56</v>
      </c>
      <c r="W39" s="102"/>
      <c r="X39" s="16">
        <f t="shared" si="9"/>
        <v>31</v>
      </c>
      <c r="Y39" s="102"/>
      <c r="Z39" s="16">
        <f t="shared" si="10"/>
        <v>28</v>
      </c>
      <c r="AA39" s="102"/>
      <c r="AB39" s="16">
        <f t="shared" si="11"/>
        <v>56</v>
      </c>
      <c r="AC39" s="102"/>
      <c r="AD39" s="16">
        <f t="shared" si="12"/>
        <v>6</v>
      </c>
      <c r="AE39" s="102"/>
      <c r="AF39" s="16">
        <f t="shared" si="13"/>
        <v>18</v>
      </c>
      <c r="AG39" s="102"/>
      <c r="AH39" s="16">
        <f t="shared" si="14"/>
        <v>18</v>
      </c>
      <c r="AI39" s="102"/>
      <c r="AJ39" s="16">
        <f t="shared" si="15"/>
        <v>52</v>
      </c>
      <c r="AK39" s="102"/>
    </row>
    <row r="40" spans="1:37" ht="15" customHeight="1">
      <c r="A40" s="101" t="s">
        <v>831</v>
      </c>
      <c r="B40" s="105">
        <v>46389</v>
      </c>
      <c r="C40" s="103">
        <f t="shared" si="0"/>
        <v>107</v>
      </c>
      <c r="D40" s="102"/>
      <c r="E40" s="103">
        <f t="shared" si="1"/>
        <v>112</v>
      </c>
      <c r="F40" s="102"/>
      <c r="G40" s="103">
        <f t="shared" si="2"/>
        <v>57</v>
      </c>
      <c r="H40" s="102"/>
      <c r="I40" s="103">
        <f t="shared" si="3"/>
        <v>40</v>
      </c>
      <c r="J40" s="102"/>
      <c r="K40" s="104"/>
      <c r="L40" s="90"/>
      <c r="M40" s="90"/>
      <c r="N40" s="16">
        <f t="shared" si="4"/>
        <v>73</v>
      </c>
      <c r="O40" s="102"/>
      <c r="P40" s="16">
        <f t="shared" si="5"/>
        <v>56</v>
      </c>
      <c r="Q40" s="102"/>
      <c r="R40" s="16">
        <f t="shared" si="6"/>
        <v>187</v>
      </c>
      <c r="S40" s="102"/>
      <c r="T40" s="16">
        <f t="shared" si="7"/>
        <v>152</v>
      </c>
      <c r="U40" s="102"/>
      <c r="V40" s="16">
        <f t="shared" si="8"/>
        <v>56</v>
      </c>
      <c r="W40" s="102"/>
      <c r="X40" s="16">
        <f t="shared" si="9"/>
        <v>31</v>
      </c>
      <c r="Y40" s="102"/>
      <c r="Z40" s="16">
        <f t="shared" si="10"/>
        <v>28</v>
      </c>
      <c r="AA40" s="102"/>
      <c r="AB40" s="16">
        <f t="shared" si="11"/>
        <v>56</v>
      </c>
      <c r="AC40" s="102"/>
      <c r="AD40" s="16">
        <f t="shared" si="12"/>
        <v>6</v>
      </c>
      <c r="AE40" s="102"/>
      <c r="AF40" s="16">
        <f t="shared" si="13"/>
        <v>18</v>
      </c>
      <c r="AG40" s="102"/>
      <c r="AH40" s="16">
        <f t="shared" si="14"/>
        <v>18</v>
      </c>
      <c r="AI40" s="102"/>
      <c r="AJ40" s="16">
        <f t="shared" si="15"/>
        <v>53</v>
      </c>
      <c r="AK40" s="102"/>
    </row>
    <row r="41" spans="1:37" ht="15" customHeight="1">
      <c r="A41" s="101" t="s">
        <v>832</v>
      </c>
      <c r="B41" s="105">
        <v>46396</v>
      </c>
      <c r="C41" s="103">
        <f t="shared" si="0"/>
        <v>110</v>
      </c>
      <c r="D41" s="102"/>
      <c r="E41" s="103">
        <f t="shared" si="1"/>
        <v>115</v>
      </c>
      <c r="F41" s="102"/>
      <c r="G41" s="103">
        <f t="shared" si="2"/>
        <v>58</v>
      </c>
      <c r="H41" s="102"/>
      <c r="I41" s="103">
        <f t="shared" si="3"/>
        <v>40</v>
      </c>
      <c r="J41" s="102"/>
      <c r="K41" s="104"/>
      <c r="L41" s="90"/>
      <c r="M41" s="90"/>
      <c r="N41" s="16">
        <f t="shared" si="4"/>
        <v>75</v>
      </c>
      <c r="O41" s="102"/>
      <c r="P41" s="16">
        <f t="shared" si="5"/>
        <v>57</v>
      </c>
      <c r="Q41" s="102"/>
      <c r="R41" s="16">
        <f t="shared" si="6"/>
        <v>190</v>
      </c>
      <c r="S41" s="102"/>
      <c r="T41" s="16">
        <f t="shared" si="7"/>
        <v>155</v>
      </c>
      <c r="U41" s="102"/>
      <c r="V41" s="16">
        <f t="shared" si="8"/>
        <v>57</v>
      </c>
      <c r="W41" s="102"/>
      <c r="X41" s="16">
        <f t="shared" si="9"/>
        <v>32</v>
      </c>
      <c r="Y41" s="102"/>
      <c r="Z41" s="16">
        <f t="shared" si="10"/>
        <v>30</v>
      </c>
      <c r="AA41" s="102"/>
      <c r="AB41" s="16">
        <f t="shared" si="11"/>
        <v>57</v>
      </c>
      <c r="AC41" s="102"/>
      <c r="AD41" s="16">
        <f t="shared" si="12"/>
        <v>7</v>
      </c>
      <c r="AE41" s="102"/>
      <c r="AF41" s="16">
        <f t="shared" si="13"/>
        <v>20</v>
      </c>
      <c r="AG41" s="102"/>
      <c r="AH41" s="16">
        <f t="shared" si="14"/>
        <v>20</v>
      </c>
      <c r="AI41" s="102"/>
      <c r="AJ41" s="16">
        <f t="shared" si="15"/>
        <v>55</v>
      </c>
      <c r="AK41" s="102"/>
    </row>
    <row r="42" spans="1:37" ht="15" customHeight="1">
      <c r="A42" s="101" t="s">
        <v>833</v>
      </c>
      <c r="B42" s="105">
        <v>46403</v>
      </c>
      <c r="C42" s="103">
        <f t="shared" si="0"/>
        <v>112</v>
      </c>
      <c r="D42" s="102"/>
      <c r="E42" s="103">
        <f t="shared" si="1"/>
        <v>117</v>
      </c>
      <c r="F42" s="102"/>
      <c r="G42" s="103">
        <f t="shared" si="2"/>
        <v>60</v>
      </c>
      <c r="H42" s="102"/>
      <c r="I42" s="103">
        <f t="shared" si="3"/>
        <v>41</v>
      </c>
      <c r="J42" s="102"/>
      <c r="K42" s="104"/>
      <c r="L42" s="90"/>
      <c r="M42" s="90"/>
      <c r="N42" s="16">
        <f t="shared" si="4"/>
        <v>76</v>
      </c>
      <c r="O42" s="102"/>
      <c r="P42" s="16">
        <f t="shared" si="5"/>
        <v>58</v>
      </c>
      <c r="Q42" s="102"/>
      <c r="R42" s="16">
        <f t="shared" si="6"/>
        <v>192</v>
      </c>
      <c r="S42" s="102"/>
      <c r="T42" s="16">
        <f t="shared" si="7"/>
        <v>155</v>
      </c>
      <c r="U42" s="102"/>
      <c r="V42" s="16">
        <f t="shared" si="8"/>
        <v>57</v>
      </c>
      <c r="W42" s="102"/>
      <c r="X42" s="16">
        <f t="shared" si="9"/>
        <v>32</v>
      </c>
      <c r="Y42" s="102"/>
      <c r="Z42" s="16">
        <f t="shared" si="10"/>
        <v>30</v>
      </c>
      <c r="AA42" s="102"/>
      <c r="AB42" s="16">
        <f t="shared" si="11"/>
        <v>57</v>
      </c>
      <c r="AC42" s="102"/>
      <c r="AD42" s="16">
        <f t="shared" si="12"/>
        <v>7</v>
      </c>
      <c r="AE42" s="102"/>
      <c r="AF42" s="16">
        <f t="shared" si="13"/>
        <v>20</v>
      </c>
      <c r="AG42" s="102"/>
      <c r="AH42" s="16">
        <f t="shared" si="14"/>
        <v>20</v>
      </c>
      <c r="AI42" s="102"/>
      <c r="AJ42" s="16">
        <f t="shared" si="15"/>
        <v>56</v>
      </c>
      <c r="AK42" s="102"/>
    </row>
    <row r="43" spans="1:37" ht="15" customHeight="1">
      <c r="A43" s="101" t="s">
        <v>834</v>
      </c>
      <c r="B43" s="105">
        <v>46410</v>
      </c>
      <c r="C43" s="103">
        <f t="shared" si="0"/>
        <v>115</v>
      </c>
      <c r="D43" s="102"/>
      <c r="E43" s="103">
        <f t="shared" si="1"/>
        <v>120</v>
      </c>
      <c r="F43" s="102"/>
      <c r="G43" s="103">
        <f t="shared" si="2"/>
        <v>61</v>
      </c>
      <c r="H43" s="102"/>
      <c r="I43" s="103">
        <f t="shared" si="3"/>
        <v>41</v>
      </c>
      <c r="J43" s="102"/>
      <c r="K43" s="104"/>
      <c r="L43" s="90"/>
      <c r="M43" s="90"/>
      <c r="N43" s="16">
        <f t="shared" si="4"/>
        <v>77</v>
      </c>
      <c r="O43" s="102"/>
      <c r="P43" s="16">
        <f t="shared" si="5"/>
        <v>60</v>
      </c>
      <c r="Q43" s="102"/>
      <c r="R43" s="16">
        <f t="shared" si="6"/>
        <v>195</v>
      </c>
      <c r="S43" s="102"/>
      <c r="T43" s="16">
        <f t="shared" si="7"/>
        <v>157</v>
      </c>
      <c r="U43" s="102"/>
      <c r="V43" s="16">
        <f t="shared" si="8"/>
        <v>58</v>
      </c>
      <c r="W43" s="102"/>
      <c r="X43" s="16">
        <f t="shared" si="9"/>
        <v>33</v>
      </c>
      <c r="Y43" s="102"/>
      <c r="Z43" s="16">
        <f t="shared" si="10"/>
        <v>30</v>
      </c>
      <c r="AA43" s="102"/>
      <c r="AB43" s="16">
        <f t="shared" si="11"/>
        <v>58</v>
      </c>
      <c r="AC43" s="102"/>
      <c r="AD43" s="16">
        <f t="shared" si="12"/>
        <v>8</v>
      </c>
      <c r="AE43" s="102"/>
      <c r="AF43" s="16">
        <f t="shared" si="13"/>
        <v>20</v>
      </c>
      <c r="AG43" s="102"/>
      <c r="AH43" s="16">
        <f t="shared" si="14"/>
        <v>20</v>
      </c>
      <c r="AI43" s="102"/>
      <c r="AJ43" s="16">
        <f t="shared" si="15"/>
        <v>57</v>
      </c>
      <c r="AK43" s="102"/>
    </row>
    <row r="44" spans="1:37" ht="15" customHeight="1">
      <c r="A44" s="101" t="s">
        <v>835</v>
      </c>
      <c r="B44" s="105">
        <v>46417</v>
      </c>
      <c r="C44" s="103">
        <f t="shared" si="0"/>
        <v>117</v>
      </c>
      <c r="D44" s="102"/>
      <c r="E44" s="103">
        <f t="shared" si="1"/>
        <v>122</v>
      </c>
      <c r="F44" s="102"/>
      <c r="G44" s="103">
        <f t="shared" si="2"/>
        <v>62</v>
      </c>
      <c r="H44" s="102"/>
      <c r="I44" s="103">
        <f t="shared" si="3"/>
        <v>42</v>
      </c>
      <c r="J44" s="102"/>
      <c r="K44" s="104"/>
      <c r="L44" s="90"/>
      <c r="M44" s="90"/>
      <c r="N44" s="16">
        <f t="shared" si="4"/>
        <v>78</v>
      </c>
      <c r="O44" s="102"/>
      <c r="P44" s="16">
        <f t="shared" si="5"/>
        <v>61</v>
      </c>
      <c r="Q44" s="102"/>
      <c r="R44" s="16">
        <f t="shared" si="6"/>
        <v>197</v>
      </c>
      <c r="S44" s="102"/>
      <c r="T44" s="16">
        <f t="shared" si="7"/>
        <v>157</v>
      </c>
      <c r="U44" s="102"/>
      <c r="V44" s="16">
        <f t="shared" si="8"/>
        <v>58</v>
      </c>
      <c r="W44" s="102"/>
      <c r="X44" s="16">
        <f t="shared" si="9"/>
        <v>33</v>
      </c>
      <c r="Y44" s="102"/>
      <c r="Z44" s="16">
        <f t="shared" si="10"/>
        <v>31</v>
      </c>
      <c r="AA44" s="102"/>
      <c r="AB44" s="16">
        <f t="shared" si="11"/>
        <v>58</v>
      </c>
      <c r="AC44" s="102"/>
      <c r="AD44" s="16">
        <f t="shared" si="12"/>
        <v>8</v>
      </c>
      <c r="AE44" s="102"/>
      <c r="AF44" s="16">
        <f t="shared" si="13"/>
        <v>21</v>
      </c>
      <c r="AG44" s="102"/>
      <c r="AH44" s="16">
        <f t="shared" si="14"/>
        <v>21</v>
      </c>
      <c r="AI44" s="102"/>
      <c r="AJ44" s="16">
        <f t="shared" si="15"/>
        <v>58</v>
      </c>
      <c r="AK44" s="102"/>
    </row>
    <row r="45" spans="1:37" ht="15" customHeight="1">
      <c r="A45" s="101" t="s">
        <v>836</v>
      </c>
      <c r="B45" s="105">
        <v>46424</v>
      </c>
      <c r="C45" s="103">
        <f t="shared" si="0"/>
        <v>120</v>
      </c>
      <c r="D45" s="102"/>
      <c r="E45" s="103">
        <f t="shared" si="1"/>
        <v>125</v>
      </c>
      <c r="F45" s="102"/>
      <c r="G45" s="103">
        <f t="shared" si="2"/>
        <v>63</v>
      </c>
      <c r="H45" s="102"/>
      <c r="I45" s="103">
        <f t="shared" si="3"/>
        <v>42</v>
      </c>
      <c r="J45" s="102"/>
      <c r="K45" s="104"/>
      <c r="L45" s="90"/>
      <c r="M45" s="90"/>
      <c r="N45" s="16">
        <f t="shared" si="4"/>
        <v>80</v>
      </c>
      <c r="O45" s="102"/>
      <c r="P45" s="16">
        <f t="shared" si="5"/>
        <v>62</v>
      </c>
      <c r="Q45" s="102"/>
      <c r="R45" s="16">
        <f t="shared" si="6"/>
        <v>200</v>
      </c>
      <c r="S45" s="102"/>
      <c r="T45" s="16">
        <f t="shared" si="7"/>
        <v>160</v>
      </c>
      <c r="U45" s="102"/>
      <c r="V45" s="16">
        <f t="shared" si="8"/>
        <v>60</v>
      </c>
      <c r="W45" s="102"/>
      <c r="X45" s="16">
        <f t="shared" si="9"/>
        <v>35</v>
      </c>
      <c r="Y45" s="102"/>
      <c r="Z45" s="16">
        <f t="shared" si="10"/>
        <v>31</v>
      </c>
      <c r="AA45" s="102"/>
      <c r="AB45" s="16">
        <f t="shared" si="11"/>
        <v>60</v>
      </c>
      <c r="AC45" s="102"/>
      <c r="AD45" s="16">
        <f t="shared" si="12"/>
        <v>10</v>
      </c>
      <c r="AE45" s="102"/>
      <c r="AF45" s="16">
        <f t="shared" si="13"/>
        <v>21</v>
      </c>
      <c r="AG45" s="102"/>
      <c r="AH45" s="16">
        <f t="shared" si="14"/>
        <v>21</v>
      </c>
      <c r="AI45" s="102"/>
      <c r="AJ45" s="16">
        <f t="shared" si="15"/>
        <v>60</v>
      </c>
      <c r="AK45" s="102"/>
    </row>
    <row r="46" spans="1:37" ht="15" customHeight="1">
      <c r="A46" s="101" t="s">
        <v>837</v>
      </c>
      <c r="B46" s="105">
        <v>46431</v>
      </c>
      <c r="C46" s="103">
        <f t="shared" si="0"/>
        <v>122</v>
      </c>
      <c r="D46" s="102"/>
      <c r="E46" s="103">
        <f t="shared" si="1"/>
        <v>127</v>
      </c>
      <c r="F46" s="102"/>
      <c r="G46" s="103">
        <f t="shared" si="2"/>
        <v>65</v>
      </c>
      <c r="H46" s="102"/>
      <c r="I46" s="103">
        <f t="shared" si="3"/>
        <v>43</v>
      </c>
      <c r="J46" s="102"/>
      <c r="K46" s="104"/>
      <c r="L46" s="90"/>
      <c r="M46" s="90"/>
      <c r="N46" s="16">
        <f t="shared" si="4"/>
        <v>81</v>
      </c>
      <c r="O46" s="102"/>
      <c r="P46" s="16">
        <f t="shared" si="5"/>
        <v>63</v>
      </c>
      <c r="Q46" s="102"/>
      <c r="R46" s="16">
        <f t="shared" si="6"/>
        <v>202</v>
      </c>
      <c r="S46" s="102"/>
      <c r="T46" s="16">
        <f t="shared" si="7"/>
        <v>160</v>
      </c>
      <c r="U46" s="102"/>
      <c r="V46" s="16">
        <f t="shared" si="8"/>
        <v>60</v>
      </c>
      <c r="W46" s="102"/>
      <c r="X46" s="16">
        <f t="shared" si="9"/>
        <v>35</v>
      </c>
      <c r="Y46" s="102"/>
      <c r="Z46" s="16">
        <f t="shared" si="10"/>
        <v>31</v>
      </c>
      <c r="AA46" s="102"/>
      <c r="AB46" s="16">
        <f t="shared" si="11"/>
        <v>60</v>
      </c>
      <c r="AC46" s="102"/>
      <c r="AD46" s="16">
        <f t="shared" si="12"/>
        <v>10</v>
      </c>
      <c r="AE46" s="102"/>
      <c r="AF46" s="16">
        <f t="shared" si="13"/>
        <v>21</v>
      </c>
      <c r="AG46" s="102"/>
      <c r="AH46" s="16">
        <f t="shared" si="14"/>
        <v>21</v>
      </c>
      <c r="AI46" s="102"/>
      <c r="AJ46" s="16">
        <f t="shared" si="15"/>
        <v>61</v>
      </c>
      <c r="AK46" s="102"/>
    </row>
    <row r="47" spans="1:37" ht="15" customHeight="1">
      <c r="A47" s="101" t="s">
        <v>838</v>
      </c>
      <c r="B47" s="105">
        <v>46438</v>
      </c>
      <c r="C47" s="103">
        <f t="shared" si="0"/>
        <v>125</v>
      </c>
      <c r="D47" s="102"/>
      <c r="E47" s="103">
        <f t="shared" si="1"/>
        <v>130</v>
      </c>
      <c r="F47" s="102"/>
      <c r="G47" s="103">
        <f t="shared" si="2"/>
        <v>66</v>
      </c>
      <c r="H47" s="102"/>
      <c r="I47" s="103">
        <f t="shared" si="3"/>
        <v>43</v>
      </c>
      <c r="J47" s="102"/>
      <c r="K47" s="104"/>
      <c r="L47" s="90"/>
      <c r="M47" s="90"/>
      <c r="N47" s="16">
        <f t="shared" si="4"/>
        <v>82</v>
      </c>
      <c r="O47" s="102"/>
      <c r="P47" s="16">
        <f t="shared" si="5"/>
        <v>65</v>
      </c>
      <c r="Q47" s="102"/>
      <c r="R47" s="16">
        <f t="shared" si="6"/>
        <v>205</v>
      </c>
      <c r="S47" s="102"/>
      <c r="T47" s="16">
        <f t="shared" si="7"/>
        <v>162</v>
      </c>
      <c r="U47" s="102"/>
      <c r="V47" s="16">
        <f t="shared" si="8"/>
        <v>61</v>
      </c>
      <c r="W47" s="102"/>
      <c r="X47" s="16">
        <f t="shared" si="9"/>
        <v>36</v>
      </c>
      <c r="Y47" s="102"/>
      <c r="Z47" s="16">
        <f t="shared" si="10"/>
        <v>32</v>
      </c>
      <c r="AA47" s="102"/>
      <c r="AB47" s="16">
        <f t="shared" si="11"/>
        <v>61</v>
      </c>
      <c r="AC47" s="102"/>
      <c r="AD47" s="16">
        <f t="shared" si="12"/>
        <v>11</v>
      </c>
      <c r="AE47" s="102"/>
      <c r="AF47" s="16">
        <f t="shared" si="13"/>
        <v>22</v>
      </c>
      <c r="AG47" s="102"/>
      <c r="AH47" s="16">
        <f t="shared" si="14"/>
        <v>22</v>
      </c>
      <c r="AI47" s="102"/>
      <c r="AJ47" s="16">
        <f t="shared" si="15"/>
        <v>62</v>
      </c>
      <c r="AK47" s="102"/>
    </row>
    <row r="48" spans="1:37" ht="15" customHeight="1">
      <c r="A48" s="101" t="s">
        <v>839</v>
      </c>
      <c r="B48" s="105">
        <v>46445</v>
      </c>
      <c r="C48" s="103">
        <f t="shared" si="0"/>
        <v>127</v>
      </c>
      <c r="D48" s="102"/>
      <c r="E48" s="103">
        <f t="shared" si="1"/>
        <v>132</v>
      </c>
      <c r="F48" s="102"/>
      <c r="G48" s="103">
        <f t="shared" si="2"/>
        <v>67</v>
      </c>
      <c r="H48" s="102"/>
      <c r="I48" s="103">
        <f t="shared" si="3"/>
        <v>45</v>
      </c>
      <c r="J48" s="102"/>
      <c r="K48" s="104"/>
      <c r="L48" s="90"/>
      <c r="M48" s="90"/>
      <c r="N48" s="16">
        <f t="shared" si="4"/>
        <v>83</v>
      </c>
      <c r="O48" s="102"/>
      <c r="P48" s="16">
        <f t="shared" si="5"/>
        <v>66</v>
      </c>
      <c r="Q48" s="102"/>
      <c r="R48" s="16">
        <f t="shared" si="6"/>
        <v>207</v>
      </c>
      <c r="S48" s="102"/>
      <c r="T48" s="16">
        <f t="shared" si="7"/>
        <v>162</v>
      </c>
      <c r="U48" s="102"/>
      <c r="V48" s="16">
        <f t="shared" si="8"/>
        <v>61</v>
      </c>
      <c r="W48" s="102"/>
      <c r="X48" s="16">
        <f t="shared" si="9"/>
        <v>36</v>
      </c>
      <c r="Y48" s="102"/>
      <c r="Z48" s="16">
        <f t="shared" si="10"/>
        <v>32</v>
      </c>
      <c r="AA48" s="102"/>
      <c r="AB48" s="16">
        <f t="shared" si="11"/>
        <v>61</v>
      </c>
      <c r="AC48" s="102"/>
      <c r="AD48" s="16">
        <f t="shared" si="12"/>
        <v>11</v>
      </c>
      <c r="AE48" s="102"/>
      <c r="AF48" s="16">
        <f t="shared" si="13"/>
        <v>22</v>
      </c>
      <c r="AG48" s="102"/>
      <c r="AH48" s="16">
        <f t="shared" si="14"/>
        <v>22</v>
      </c>
      <c r="AI48" s="102"/>
      <c r="AJ48" s="16">
        <f t="shared" si="15"/>
        <v>63</v>
      </c>
      <c r="AK48" s="102"/>
    </row>
    <row r="49" spans="1:37" ht="15" customHeight="1">
      <c r="A49" s="101" t="s">
        <v>840</v>
      </c>
      <c r="B49" s="105">
        <v>46452</v>
      </c>
      <c r="C49" s="103">
        <f t="shared" si="0"/>
        <v>130</v>
      </c>
      <c r="D49" s="102"/>
      <c r="E49" s="103">
        <f t="shared" si="1"/>
        <v>135</v>
      </c>
      <c r="F49" s="102"/>
      <c r="G49" s="103">
        <f t="shared" si="2"/>
        <v>68</v>
      </c>
      <c r="H49" s="102"/>
      <c r="I49" s="103">
        <f t="shared" si="3"/>
        <v>45</v>
      </c>
      <c r="J49" s="102"/>
      <c r="K49" s="104"/>
      <c r="L49" s="90"/>
      <c r="M49" s="90"/>
      <c r="N49" s="16">
        <f t="shared" si="4"/>
        <v>85</v>
      </c>
      <c r="O49" s="102"/>
      <c r="P49" s="16">
        <f t="shared" si="5"/>
        <v>67</v>
      </c>
      <c r="Q49" s="102"/>
      <c r="R49" s="16">
        <f t="shared" si="6"/>
        <v>210</v>
      </c>
      <c r="S49" s="102"/>
      <c r="T49" s="16">
        <f t="shared" si="7"/>
        <v>165</v>
      </c>
      <c r="U49" s="102"/>
      <c r="V49" s="16">
        <f t="shared" si="8"/>
        <v>62</v>
      </c>
      <c r="W49" s="102"/>
      <c r="X49" s="16">
        <f t="shared" si="9"/>
        <v>37</v>
      </c>
      <c r="Y49" s="102"/>
      <c r="Z49" s="16">
        <f t="shared" si="10"/>
        <v>32</v>
      </c>
      <c r="AA49" s="102"/>
      <c r="AB49" s="16">
        <f t="shared" si="11"/>
        <v>62</v>
      </c>
      <c r="AC49" s="102"/>
      <c r="AD49" s="16">
        <f t="shared" si="12"/>
        <v>12</v>
      </c>
      <c r="AE49" s="102"/>
      <c r="AF49" s="16">
        <f t="shared" si="13"/>
        <v>22</v>
      </c>
      <c r="AG49" s="102"/>
      <c r="AH49" s="16">
        <f t="shared" si="14"/>
        <v>22</v>
      </c>
      <c r="AI49" s="102"/>
      <c r="AJ49" s="16">
        <f t="shared" si="15"/>
        <v>65</v>
      </c>
      <c r="AK49" s="102"/>
    </row>
    <row r="50" spans="1:37" ht="15" customHeight="1">
      <c r="A50" s="101" t="s">
        <v>841</v>
      </c>
      <c r="B50" s="105">
        <v>46459</v>
      </c>
      <c r="C50" s="103">
        <f t="shared" si="0"/>
        <v>132</v>
      </c>
      <c r="D50" s="102"/>
      <c r="E50" s="103">
        <f t="shared" si="1"/>
        <v>137</v>
      </c>
      <c r="F50" s="102"/>
      <c r="G50" s="103">
        <f t="shared" si="2"/>
        <v>70</v>
      </c>
      <c r="H50" s="102"/>
      <c r="I50" s="103">
        <f t="shared" si="3"/>
        <v>46</v>
      </c>
      <c r="J50" s="102"/>
      <c r="K50" s="104"/>
      <c r="L50" s="90"/>
      <c r="M50" s="90"/>
      <c r="N50" s="16">
        <f t="shared" si="4"/>
        <v>86</v>
      </c>
      <c r="O50" s="102"/>
      <c r="P50" s="16">
        <f t="shared" si="5"/>
        <v>68</v>
      </c>
      <c r="Q50" s="102"/>
      <c r="R50" s="16">
        <f t="shared" si="6"/>
        <v>212</v>
      </c>
      <c r="S50" s="102"/>
      <c r="T50" s="16">
        <f t="shared" si="7"/>
        <v>165</v>
      </c>
      <c r="U50" s="102"/>
      <c r="V50" s="16">
        <f t="shared" si="8"/>
        <v>62</v>
      </c>
      <c r="W50" s="102"/>
      <c r="X50" s="16">
        <f t="shared" si="9"/>
        <v>37</v>
      </c>
      <c r="Y50" s="102"/>
      <c r="Z50" s="16">
        <f t="shared" si="10"/>
        <v>33</v>
      </c>
      <c r="AA50" s="102"/>
      <c r="AB50" s="16">
        <f t="shared" si="11"/>
        <v>62</v>
      </c>
      <c r="AC50" s="102"/>
      <c r="AD50" s="16">
        <f t="shared" si="12"/>
        <v>12</v>
      </c>
      <c r="AE50" s="102"/>
      <c r="AF50" s="16">
        <f t="shared" si="13"/>
        <v>23</v>
      </c>
      <c r="AG50" s="102"/>
      <c r="AH50" s="16">
        <f t="shared" si="14"/>
        <v>23</v>
      </c>
      <c r="AI50" s="102"/>
      <c r="AJ50" s="16">
        <f t="shared" si="15"/>
        <v>66</v>
      </c>
      <c r="AK50" s="102"/>
    </row>
    <row r="51" spans="1:37" ht="15" customHeight="1">
      <c r="A51" s="101" t="s">
        <v>842</v>
      </c>
      <c r="B51" s="105">
        <v>46466</v>
      </c>
      <c r="C51" s="103">
        <f t="shared" si="0"/>
        <v>135</v>
      </c>
      <c r="D51" s="102"/>
      <c r="E51" s="103">
        <f t="shared" si="1"/>
        <v>140</v>
      </c>
      <c r="F51" s="102"/>
      <c r="G51" s="103">
        <f t="shared" si="2"/>
        <v>71</v>
      </c>
      <c r="H51" s="102"/>
      <c r="I51" s="103">
        <f t="shared" si="3"/>
        <v>46</v>
      </c>
      <c r="J51" s="102"/>
      <c r="K51" s="104"/>
      <c r="L51" s="90"/>
      <c r="M51" s="90"/>
      <c r="N51" s="16">
        <f t="shared" si="4"/>
        <v>87</v>
      </c>
      <c r="O51" s="102"/>
      <c r="P51" s="16">
        <f t="shared" si="5"/>
        <v>70</v>
      </c>
      <c r="Q51" s="102"/>
      <c r="R51" s="16">
        <f t="shared" si="6"/>
        <v>215</v>
      </c>
      <c r="S51" s="102"/>
      <c r="T51" s="16">
        <f t="shared" si="7"/>
        <v>167</v>
      </c>
      <c r="U51" s="102"/>
      <c r="V51" s="16">
        <f t="shared" si="8"/>
        <v>63</v>
      </c>
      <c r="W51" s="102"/>
      <c r="X51" s="16">
        <f t="shared" si="9"/>
        <v>38</v>
      </c>
      <c r="Y51" s="102"/>
      <c r="Z51" s="16">
        <f t="shared" si="10"/>
        <v>33</v>
      </c>
      <c r="AA51" s="102"/>
      <c r="AB51" s="16">
        <f t="shared" si="11"/>
        <v>63</v>
      </c>
      <c r="AC51" s="102"/>
      <c r="AD51" s="16">
        <f t="shared" si="12"/>
        <v>13</v>
      </c>
      <c r="AE51" s="102"/>
      <c r="AF51" s="16">
        <f t="shared" si="13"/>
        <v>23</v>
      </c>
      <c r="AG51" s="102"/>
      <c r="AH51" s="16">
        <f t="shared" si="14"/>
        <v>23</v>
      </c>
      <c r="AI51" s="102"/>
      <c r="AJ51" s="16">
        <f t="shared" si="15"/>
        <v>67</v>
      </c>
      <c r="AK51" s="102"/>
    </row>
    <row r="53" spans="1:37" ht="108" customHeight="1">
      <c r="A53" s="11" t="s">
        <v>843</v>
      </c>
    </row>
    <row r="54" spans="1:37" ht="84" customHeight="1">
      <c r="A54" s="11" t="s">
        <v>844</v>
      </c>
    </row>
    <row r="55" spans="1:37" ht="84" customHeight="1">
      <c r="A55" s="11" t="s">
        <v>845</v>
      </c>
    </row>
    <row r="56" spans="1:37" ht="120" customHeight="1">
      <c r="A56" s="11"/>
    </row>
    <row r="57" spans="1:37" ht="96" customHeight="1">
      <c r="A57" s="11" t="s">
        <v>846</v>
      </c>
    </row>
    <row r="58" spans="1:37" ht="108" customHeight="1">
      <c r="A58" s="11" t="s">
        <v>847</v>
      </c>
    </row>
    <row r="59" spans="1:37" ht="108" customHeight="1">
      <c r="A59" s="11" t="s">
        <v>848</v>
      </c>
    </row>
    <row r="60" spans="1:37" ht="156" customHeight="1">
      <c r="A60" s="11" t="s">
        <v>849</v>
      </c>
    </row>
    <row r="61" spans="1:37" ht="96" customHeight="1">
      <c r="A61" s="11" t="s">
        <v>850</v>
      </c>
    </row>
    <row r="62" spans="1:37">
      <c r="A62" t="s">
        <v>851</v>
      </c>
    </row>
    <row r="63" spans="1:37">
      <c r="A63" t="s">
        <v>852</v>
      </c>
    </row>
    <row r="64" spans="1:37">
      <c r="A64" t="s">
        <v>853</v>
      </c>
    </row>
    <row r="65" spans="1:1">
      <c r="A65" t="s">
        <v>854</v>
      </c>
    </row>
    <row r="66" spans="1:1">
      <c r="A66" t="s">
        <v>855</v>
      </c>
    </row>
  </sheetData>
  <phoneticPr fontId="29"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0"/>
  <sheetViews>
    <sheetView zoomScaleNormal="100" workbookViewId="0"/>
  </sheetViews>
  <sheetFormatPr defaultColWidth="8.7109375" defaultRowHeight="15"/>
  <cols>
    <col min="1" max="2" width="26" customWidth="1"/>
    <col min="3" max="3" width="60" customWidth="1"/>
  </cols>
  <sheetData>
    <row r="1" spans="1:3" ht="18" customHeight="1">
      <c r="A1" s="66" t="s">
        <v>856</v>
      </c>
    </row>
    <row r="2" spans="1:3" ht="15" customHeight="1">
      <c r="A2" s="2" t="s">
        <v>857</v>
      </c>
    </row>
    <row r="4" spans="1:3" ht="15" customHeight="1">
      <c r="A4" s="5" t="s">
        <v>858</v>
      </c>
      <c r="B4" s="5" t="s">
        <v>859</v>
      </c>
      <c r="C4" s="5" t="s">
        <v>5</v>
      </c>
    </row>
    <row r="5" spans="1:3" ht="15" customHeight="1">
      <c r="A5" s="7" t="s">
        <v>741</v>
      </c>
      <c r="B5" s="7" t="s">
        <v>860</v>
      </c>
      <c r="C5" s="53" t="s">
        <v>861</v>
      </c>
    </row>
    <row r="6" spans="1:3" ht="15" customHeight="1">
      <c r="A6" s="7" t="s">
        <v>862</v>
      </c>
      <c r="B6" s="7" t="s">
        <v>860</v>
      </c>
      <c r="C6" s="53" t="s">
        <v>863</v>
      </c>
    </row>
    <row r="7" spans="1:3" ht="15" customHeight="1">
      <c r="A7" s="7" t="s">
        <v>313</v>
      </c>
      <c r="B7" s="7" t="s">
        <v>864</v>
      </c>
      <c r="C7" s="53" t="s">
        <v>865</v>
      </c>
    </row>
    <row r="8" spans="1:3" ht="15" customHeight="1">
      <c r="A8" s="67" t="s">
        <v>866</v>
      </c>
      <c r="B8" s="67" t="s">
        <v>867</v>
      </c>
      <c r="C8" s="68" t="s">
        <v>868</v>
      </c>
    </row>
    <row r="9" spans="1:3" ht="15" customHeight="1">
      <c r="A9" s="67" t="s">
        <v>869</v>
      </c>
      <c r="B9" s="67" t="s">
        <v>867</v>
      </c>
      <c r="C9" s="68" t="s">
        <v>870</v>
      </c>
    </row>
    <row r="10" spans="1:3" ht="15" customHeight="1">
      <c r="A10" s="7" t="s">
        <v>9</v>
      </c>
      <c r="B10" s="7" t="s">
        <v>871</v>
      </c>
      <c r="C10" s="69" t="s">
        <v>872</v>
      </c>
    </row>
    <row r="11" spans="1:3" ht="15" customHeight="1">
      <c r="A11" s="7" t="s">
        <v>873</v>
      </c>
      <c r="B11" s="8" t="s">
        <v>874</v>
      </c>
      <c r="C11" s="53" t="s">
        <v>875</v>
      </c>
    </row>
    <row r="12" spans="1:3" ht="15" customHeight="1">
      <c r="A12" s="7" t="s">
        <v>876</v>
      </c>
      <c r="B12" s="7" t="s">
        <v>877</v>
      </c>
      <c r="C12" s="53" t="s">
        <v>878</v>
      </c>
    </row>
    <row r="15" spans="1:3" ht="24" customHeight="1">
      <c r="A15" s="11" t="s">
        <v>879</v>
      </c>
    </row>
    <row r="16" spans="1:3" ht="24" customHeight="1">
      <c r="A16" s="11" t="s">
        <v>880</v>
      </c>
    </row>
    <row r="17" spans="1:1" ht="36" customHeight="1">
      <c r="A17" s="11" t="s">
        <v>881</v>
      </c>
    </row>
    <row r="18" spans="1:1" ht="15" customHeight="1">
      <c r="A18" s="63"/>
    </row>
    <row r="19" spans="1:1" ht="36" customHeight="1">
      <c r="A19" s="11" t="s">
        <v>882</v>
      </c>
    </row>
    <row r="20" spans="1:1" ht="36" customHeight="1">
      <c r="A20" s="11" t="s">
        <v>883</v>
      </c>
    </row>
    <row r="22" spans="1:1" ht="48" customHeight="1">
      <c r="A22" s="13" t="s">
        <v>884</v>
      </c>
    </row>
    <row r="24" spans="1:1" ht="16.5" customHeight="1">
      <c r="A24" s="14" t="s">
        <v>885</v>
      </c>
    </row>
    <row r="25" spans="1:1" ht="16.5" customHeight="1">
      <c r="A25" t="s">
        <v>886</v>
      </c>
    </row>
    <row r="26" spans="1:1" ht="16.5" customHeight="1">
      <c r="A26" t="s">
        <v>887</v>
      </c>
    </row>
    <row r="27" spans="1:1" ht="16.5" customHeight="1">
      <c r="A27" t="s">
        <v>888</v>
      </c>
    </row>
    <row r="28" spans="1:1" ht="16.5" customHeight="1">
      <c r="A28" t="s">
        <v>889</v>
      </c>
    </row>
    <row r="30" spans="1:1" ht="16.5" customHeight="1">
      <c r="A30" t="s">
        <v>890</v>
      </c>
    </row>
  </sheetData>
  <phoneticPr fontId="29" type="noConversion"/>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4"/>
  <sheetViews>
    <sheetView tabSelected="1" topLeftCell="A25" workbookViewId="0">
      <selection activeCell="A84" sqref="A84:XFD84"/>
    </sheetView>
  </sheetViews>
  <sheetFormatPr defaultRowHeight="15"/>
  <cols>
    <col min="1" max="1" width="18.7109375" customWidth="1"/>
    <col min="2" max="2" width="40.7109375" customWidth="1"/>
    <col min="3" max="3" width="12.7109375" customWidth="1"/>
    <col min="4" max="4" width="24" customWidth="1"/>
    <col min="5" max="5" width="8" customWidth="1"/>
    <col min="6" max="6" width="22" customWidth="1"/>
    <col min="7" max="7" width="60" customWidth="1"/>
  </cols>
  <sheetData>
    <row r="1" spans="1:6" ht="18.75">
      <c r="A1" s="117" t="s">
        <v>1220</v>
      </c>
    </row>
    <row r="2" spans="1:6">
      <c r="A2" t="s">
        <v>1281</v>
      </c>
    </row>
    <row r="4" spans="1:6">
      <c r="A4" s="99" t="s">
        <v>891</v>
      </c>
      <c r="B4" s="99" t="s">
        <v>1221</v>
      </c>
      <c r="C4" s="99" t="s">
        <v>148</v>
      </c>
      <c r="D4" s="99" t="s">
        <v>1222</v>
      </c>
      <c r="E4" s="99" t="s">
        <v>1223</v>
      </c>
      <c r="F4" s="99" t="s">
        <v>1224</v>
      </c>
    </row>
    <row r="5" spans="1:6">
      <c r="A5" t="s">
        <v>894</v>
      </c>
      <c r="B5" t="s">
        <v>1275</v>
      </c>
      <c r="C5">
        <f>분할_월_하체A!E28</f>
        <v>36</v>
      </c>
      <c r="D5">
        <f>분할_월_하체A!I28</f>
        <v>85</v>
      </c>
      <c r="E5">
        <v>15</v>
      </c>
      <c r="F5">
        <f t="shared" ref="F5:F10" si="0">D5+E5</f>
        <v>100</v>
      </c>
    </row>
    <row r="6" spans="1:6" ht="30" customHeight="1">
      <c r="A6" t="s">
        <v>895</v>
      </c>
      <c r="B6" t="s">
        <v>1225</v>
      </c>
      <c r="C6">
        <f>분할_화_가슴!E30</f>
        <v>32</v>
      </c>
      <c r="D6">
        <f>분할_화_가슴!I30</f>
        <v>69</v>
      </c>
      <c r="E6">
        <v>15</v>
      </c>
      <c r="F6">
        <f t="shared" si="0"/>
        <v>84</v>
      </c>
    </row>
    <row r="7" spans="1:6" ht="30" customHeight="1">
      <c r="A7" t="s">
        <v>896</v>
      </c>
      <c r="B7" t="s">
        <v>1226</v>
      </c>
      <c r="C7">
        <f>분할_수_등!E22</f>
        <v>37</v>
      </c>
      <c r="D7">
        <f>분할_수_등!I22</f>
        <v>69</v>
      </c>
      <c r="E7">
        <v>4</v>
      </c>
      <c r="F7">
        <f t="shared" si="0"/>
        <v>73</v>
      </c>
    </row>
    <row r="8" spans="1:6" ht="30" customHeight="1">
      <c r="A8" t="s">
        <v>897</v>
      </c>
      <c r="B8" t="s">
        <v>1227</v>
      </c>
      <c r="C8">
        <f>분할_목_어깨!E24</f>
        <v>31</v>
      </c>
      <c r="D8">
        <f>분할_목_어깨!I24</f>
        <v>63</v>
      </c>
      <c r="E8">
        <v>6</v>
      </c>
      <c r="F8">
        <f t="shared" si="0"/>
        <v>69</v>
      </c>
    </row>
    <row r="9" spans="1:6" ht="30" customHeight="1">
      <c r="A9" t="s">
        <v>898</v>
      </c>
      <c r="B9" t="s">
        <v>1228</v>
      </c>
      <c r="C9">
        <f>분할_금_하체B!E27</f>
        <v>30</v>
      </c>
      <c r="D9">
        <f>분할_금_하체B!I27</f>
        <v>76</v>
      </c>
      <c r="E9">
        <v>15</v>
      </c>
      <c r="F9">
        <f t="shared" si="0"/>
        <v>91</v>
      </c>
    </row>
    <row r="10" spans="1:6" ht="30" customHeight="1">
      <c r="A10" t="s">
        <v>892</v>
      </c>
      <c r="B10" t="s">
        <v>1229</v>
      </c>
      <c r="C10">
        <f>분할_토_가슴등!E23</f>
        <v>43</v>
      </c>
      <c r="D10">
        <f>분할_토_가슴등!I23</f>
        <v>77</v>
      </c>
      <c r="E10">
        <v>6</v>
      </c>
      <c r="F10">
        <f t="shared" si="0"/>
        <v>83</v>
      </c>
    </row>
    <row r="11" spans="1:6" ht="30" customHeight="1">
      <c r="A11" t="s">
        <v>893</v>
      </c>
      <c r="B11" t="s">
        <v>160</v>
      </c>
    </row>
    <row r="12" spans="1:6" ht="30" customHeight="1">
      <c r="A12" s="99" t="s">
        <v>171</v>
      </c>
      <c r="B12" s="99"/>
      <c r="C12" s="99">
        <f>SUM(C5:C10)</f>
        <v>209</v>
      </c>
      <c r="D12" s="99">
        <f>SUM(D5:D10)</f>
        <v>439</v>
      </c>
      <c r="E12" s="99">
        <f>SUM(E5:E10)</f>
        <v>61</v>
      </c>
      <c r="F12" s="99">
        <f>SUM(F5:F10)</f>
        <v>500</v>
      </c>
    </row>
    <row r="14" spans="1:6">
      <c r="A14" s="99" t="s">
        <v>1230</v>
      </c>
    </row>
    <row r="15" spans="1:6">
      <c r="A15" s="99" t="s">
        <v>1231</v>
      </c>
      <c r="B15" s="99" t="s">
        <v>148</v>
      </c>
      <c r="C15" s="99" t="s">
        <v>1221</v>
      </c>
    </row>
    <row r="16" spans="1:6">
      <c r="A16" t="s">
        <v>267</v>
      </c>
      <c r="B16">
        <v>17</v>
      </c>
      <c r="C16" t="s">
        <v>1232</v>
      </c>
    </row>
    <row r="17" spans="1:3">
      <c r="A17" t="s">
        <v>1233</v>
      </c>
      <c r="B17">
        <v>15</v>
      </c>
      <c r="C17" t="s">
        <v>1234</v>
      </c>
    </row>
    <row r="18" spans="1:3">
      <c r="A18" t="s">
        <v>1235</v>
      </c>
      <c r="B18">
        <v>15</v>
      </c>
      <c r="C18" t="s">
        <v>1236</v>
      </c>
    </row>
    <row r="19" spans="1:3">
      <c r="A19" t="s">
        <v>1237</v>
      </c>
      <c r="B19">
        <v>14</v>
      </c>
      <c r="C19" t="s">
        <v>1273</v>
      </c>
    </row>
    <row r="20" spans="1:3">
      <c r="A20" t="s">
        <v>384</v>
      </c>
      <c r="B20">
        <v>13</v>
      </c>
      <c r="C20" t="s">
        <v>1277</v>
      </c>
    </row>
    <row r="21" spans="1:3">
      <c r="A21" t="s">
        <v>1238</v>
      </c>
      <c r="B21">
        <v>14</v>
      </c>
      <c r="C21" t="s">
        <v>1239</v>
      </c>
    </row>
    <row r="22" spans="1:3">
      <c r="A22" t="s">
        <v>1240</v>
      </c>
      <c r="B22">
        <v>12</v>
      </c>
      <c r="C22" t="s">
        <v>1241</v>
      </c>
    </row>
    <row r="23" spans="1:3">
      <c r="A23" t="s">
        <v>1242</v>
      </c>
      <c r="B23">
        <v>12</v>
      </c>
      <c r="C23" t="s">
        <v>1243</v>
      </c>
    </row>
    <row r="24" spans="1:3">
      <c r="A24" t="s">
        <v>345</v>
      </c>
      <c r="B24">
        <v>11</v>
      </c>
      <c r="C24" t="s">
        <v>1244</v>
      </c>
    </row>
    <row r="25" spans="1:3">
      <c r="A25" t="s">
        <v>1245</v>
      </c>
      <c r="B25">
        <v>11</v>
      </c>
      <c r="C25" t="s">
        <v>1246</v>
      </c>
    </row>
    <row r="26" spans="1:3">
      <c r="A26" t="s">
        <v>295</v>
      </c>
      <c r="B26">
        <v>10</v>
      </c>
      <c r="C26" t="s">
        <v>1247</v>
      </c>
    </row>
    <row r="27" spans="1:3">
      <c r="A27" t="s">
        <v>308</v>
      </c>
      <c r="B27">
        <v>10</v>
      </c>
      <c r="C27" t="s">
        <v>1248</v>
      </c>
    </row>
    <row r="28" spans="1:3">
      <c r="A28" t="s">
        <v>1249</v>
      </c>
      <c r="B28">
        <v>9</v>
      </c>
      <c r="C28" t="s">
        <v>1250</v>
      </c>
    </row>
    <row r="29" spans="1:3">
      <c r="A29" t="s">
        <v>1251</v>
      </c>
      <c r="B29">
        <v>9</v>
      </c>
      <c r="C29" t="s">
        <v>1252</v>
      </c>
    </row>
    <row r="30" spans="1:3">
      <c r="A30" t="s">
        <v>375</v>
      </c>
      <c r="B30">
        <v>10</v>
      </c>
      <c r="C30" t="s">
        <v>1274</v>
      </c>
    </row>
    <row r="31" spans="1:3">
      <c r="A31" t="s">
        <v>407</v>
      </c>
      <c r="B31">
        <v>6</v>
      </c>
      <c r="C31" t="s">
        <v>1253</v>
      </c>
    </row>
    <row r="32" spans="1:3">
      <c r="A32" t="s">
        <v>1254</v>
      </c>
      <c r="B32">
        <v>6</v>
      </c>
      <c r="C32" t="s">
        <v>1255</v>
      </c>
    </row>
    <row r="33" spans="1:3">
      <c r="A33" t="s">
        <v>1256</v>
      </c>
      <c r="B33">
        <v>6</v>
      </c>
      <c r="C33" t="s">
        <v>1257</v>
      </c>
    </row>
    <row r="34" spans="1:3">
      <c r="A34" t="s">
        <v>285</v>
      </c>
      <c r="B34">
        <v>5</v>
      </c>
      <c r="C34" t="s">
        <v>1258</v>
      </c>
    </row>
    <row r="35" spans="1:3">
      <c r="A35" t="s">
        <v>897</v>
      </c>
      <c r="B35">
        <v>4</v>
      </c>
      <c r="C35" t="s">
        <v>1259</v>
      </c>
    </row>
    <row r="36" spans="1:3">
      <c r="A36" s="99" t="s">
        <v>171</v>
      </c>
      <c r="B36" s="99">
        <f>SUM(B16:B35)</f>
        <v>209</v>
      </c>
    </row>
    <row r="37" spans="1:3">
      <c r="A37" s="99" t="s">
        <v>1260</v>
      </c>
      <c r="B37" s="99">
        <f>C12</f>
        <v>209</v>
      </c>
    </row>
    <row r="39" spans="1:3">
      <c r="A39" t="s">
        <v>1261</v>
      </c>
    </row>
    <row r="40" spans="1:3">
      <c r="A40" t="s">
        <v>1262</v>
      </c>
    </row>
    <row r="41" spans="1:3">
      <c r="A41" t="s">
        <v>1263</v>
      </c>
    </row>
    <row r="42" spans="1:3">
      <c r="A42" t="s">
        <v>1264</v>
      </c>
    </row>
    <row r="43" spans="1:3">
      <c r="A43" t="s">
        <v>1265</v>
      </c>
    </row>
    <row r="44" spans="1:3">
      <c r="A44" t="s">
        <v>1266</v>
      </c>
    </row>
  </sheetData>
  <phoneticPr fontId="29"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E8B4-63C3-470B-A14A-0C1C220ED252}">
  <dimension ref="A1:N31"/>
  <sheetViews>
    <sheetView workbookViewId="0">
      <selection activeCell="K5" sqref="K5"/>
    </sheetView>
  </sheetViews>
  <sheetFormatPr defaultRowHeight="15"/>
  <cols>
    <col min="1" max="1" width="10.710937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14" ht="18.75">
      <c r="A1" s="117" t="s">
        <v>1081</v>
      </c>
    </row>
    <row r="2" spans="1:14">
      <c r="A2" t="str">
        <f>E28&amp;"세트 · 운동 "&amp;I28&amp;"분 + 웜업 15분 = "&amp;(I28+15)&amp;"분"</f>
        <v>36세트 · 운동 85분 + 웜업 15분 = 100분</v>
      </c>
    </row>
    <row r="4" spans="1:14">
      <c r="A4" s="107" t="s">
        <v>1082</v>
      </c>
    </row>
    <row r="5" spans="1:14">
      <c r="A5" s="108" t="s">
        <v>255</v>
      </c>
      <c r="B5" s="108" t="s">
        <v>330</v>
      </c>
      <c r="C5" s="108" t="s">
        <v>148</v>
      </c>
    </row>
    <row r="6" spans="1:14">
      <c r="A6" s="109">
        <f>MAX(20,(MROUND(시작중량_설정!$E$7*0.4,1)+(MOD(MROUND(시작중량_설정!$E$7*0.4,1),5)=4)))</f>
        <v>30</v>
      </c>
      <c r="B6" s="109">
        <v>5</v>
      </c>
      <c r="C6" s="109">
        <v>2</v>
      </c>
    </row>
    <row r="7" spans="1:14">
      <c r="A7" s="109">
        <f>IF(MAX(20,(MROUND(시작중량_설정!$E$7*0.6,1)+(MOD(MROUND(시작중량_설정!$E$7*0.6,1),5)=4)))&lt;=MAX(20,(MROUND(시작중량_설정!$E$7*0.4,1)+(MOD(MROUND(시작중량_설정!$E$7*0.4,1),5)=4))),"생략",MAX(20,(MROUND(시작중량_설정!$E$7*0.6,1)+(MOD(MROUND(시작중량_설정!$E$7*0.6,1),5)=4))))</f>
        <v>45</v>
      </c>
      <c r="B7" s="109">
        <v>5</v>
      </c>
      <c r="C7" s="109">
        <v>1</v>
      </c>
    </row>
    <row r="8" spans="1:14">
      <c r="A8" s="109">
        <f>IF(MAX(20,(MROUND(시작중량_설정!$E$7*0.75,1)+(MOD(MROUND(시작중량_설정!$E$7*0.75,1),5)=4)))&lt;=MAX(20,(MROUND(시작중량_설정!$E$7*0.6,1)+(MOD(MROUND(시작중량_설정!$E$7*0.6,1),5)=4))),"생략",MAX(20,(MROUND(시작중량_설정!$E$7*0.75,1)+(MOD(MROUND(시작중량_설정!$E$7*0.75,1),5)=4))))</f>
        <v>56</v>
      </c>
      <c r="B8" s="109">
        <v>3</v>
      </c>
      <c r="C8" s="109">
        <v>1</v>
      </c>
    </row>
    <row r="9" spans="1:14">
      <c r="A9" s="109">
        <f>IF(MAX(20,(MROUND(시작중량_설정!$E$7*0.9,1)+(MOD(MROUND(시작중량_설정!$E$7*0.9,1),5)=4)))&lt;=MAX(20,(MROUND(시작중량_설정!$E$7*0.75,1)+(MOD(MROUND(시작중량_설정!$E$7*0.75,1),5)=4))),"생략",MAX(20,(MROUND(시작중량_설정!$E$7*0.9,1)+(MOD(MROUND(시작중량_설정!$E$7*0.9,1),5)=4))))</f>
        <v>68</v>
      </c>
      <c r="B9" s="109">
        <v>2</v>
      </c>
      <c r="C9" s="109">
        <v>1</v>
      </c>
    </row>
    <row r="10" spans="1:14">
      <c r="A10" s="109">
        <f>시작중량_설정!$E$7</f>
        <v>75</v>
      </c>
      <c r="B10" s="109">
        <v>5</v>
      </c>
      <c r="C10" s="109">
        <v>5</v>
      </c>
    </row>
    <row r="12" spans="1:14">
      <c r="A12" s="99" t="s">
        <v>1083</v>
      </c>
    </row>
    <row r="13" spans="1:14">
      <c r="A13" t="s">
        <v>1278</v>
      </c>
    </row>
    <row r="14" spans="1:14">
      <c r="A14" t="s">
        <v>1279</v>
      </c>
    </row>
    <row r="15" spans="1:14">
      <c r="A15" s="99" t="s">
        <v>1084</v>
      </c>
    </row>
    <row r="16" spans="1:14">
      <c r="A16" s="131" t="s">
        <v>253</v>
      </c>
      <c r="B16" s="131" t="s">
        <v>1085</v>
      </c>
      <c r="C16" s="131" t="s">
        <v>1086</v>
      </c>
      <c r="D16" s="131" t="s">
        <v>1087</v>
      </c>
      <c r="E16" s="131" t="s">
        <v>1088</v>
      </c>
      <c r="F16" s="131" t="s">
        <v>1089</v>
      </c>
      <c r="G16" s="131" t="s">
        <v>1090</v>
      </c>
      <c r="H16" s="131" t="s">
        <v>1091</v>
      </c>
      <c r="I16" s="131" t="s">
        <v>1092</v>
      </c>
      <c r="J16" s="131" t="s">
        <v>1093</v>
      </c>
      <c r="K16" s="131" t="s">
        <v>1094</v>
      </c>
      <c r="L16" s="131" t="s">
        <v>1095</v>
      </c>
      <c r="M16" s="131" t="s">
        <v>1096</v>
      </c>
      <c r="N16" s="131" t="s">
        <v>1097</v>
      </c>
    </row>
    <row r="17" spans="1:14" ht="30">
      <c r="A17">
        <v>1</v>
      </c>
      <c r="B17" t="s">
        <v>82</v>
      </c>
      <c r="C17" t="s">
        <v>369</v>
      </c>
      <c r="D17" s="132">
        <f>시작중량_설정!$E$7</f>
        <v>75</v>
      </c>
      <c r="E17">
        <v>5</v>
      </c>
      <c r="F17" s="133" t="s">
        <v>338</v>
      </c>
      <c r="G17">
        <v>30</v>
      </c>
      <c r="H17">
        <v>180</v>
      </c>
      <c r="I17">
        <f t="shared" ref="I17:I27" si="0">IF(E17=0,0,ROUND((E17*(G17+H17)+N17)/60,1))</f>
        <v>17.5</v>
      </c>
      <c r="J17" s="134" t="s">
        <v>1098</v>
      </c>
      <c r="K17" s="134" t="s">
        <v>899</v>
      </c>
      <c r="L17" s="133" t="s">
        <v>342</v>
      </c>
    </row>
    <row r="18" spans="1:14">
      <c r="A18">
        <v>2</v>
      </c>
      <c r="B18" t="s">
        <v>374</v>
      </c>
      <c r="C18" t="s">
        <v>369</v>
      </c>
      <c r="D18" s="132">
        <f>시작중량_설정!$E$13</f>
        <v>160</v>
      </c>
      <c r="E18">
        <v>4</v>
      </c>
      <c r="F18" s="133" t="s">
        <v>309</v>
      </c>
      <c r="G18">
        <v>45</v>
      </c>
      <c r="H18">
        <v>150</v>
      </c>
      <c r="I18">
        <f t="shared" si="0"/>
        <v>13</v>
      </c>
      <c r="J18" s="134" t="s">
        <v>1099</v>
      </c>
      <c r="K18" s="134" t="s">
        <v>900</v>
      </c>
    </row>
    <row r="19" spans="1:14" s="135" customFormat="1" ht="75">
      <c r="A19" s="135">
        <v>3</v>
      </c>
      <c r="B19" s="135" t="s">
        <v>1267</v>
      </c>
      <c r="C19" s="135" t="s">
        <v>1268</v>
      </c>
      <c r="D19" s="136" t="s">
        <v>27</v>
      </c>
      <c r="E19" s="135">
        <v>3</v>
      </c>
      <c r="F19" s="137" t="s">
        <v>1269</v>
      </c>
      <c r="G19" s="135">
        <v>60</v>
      </c>
      <c r="H19" s="135">
        <v>120</v>
      </c>
      <c r="I19" s="135">
        <f>IF(E19=0,0,ROUND((E19*(G19+H19)+N19)/60,1))</f>
        <v>9</v>
      </c>
      <c r="J19" s="138" t="s">
        <v>1270</v>
      </c>
      <c r="K19" s="138" t="s">
        <v>1271</v>
      </c>
    </row>
    <row r="20" spans="1:14" ht="15" customHeight="1">
      <c r="A20">
        <v>4</v>
      </c>
      <c r="B20" t="s">
        <v>567</v>
      </c>
      <c r="C20" t="s">
        <v>369</v>
      </c>
      <c r="D20">
        <v>47</v>
      </c>
      <c r="E20">
        <v>2</v>
      </c>
      <c r="F20" s="133" t="s">
        <v>289</v>
      </c>
      <c r="G20">
        <v>40</v>
      </c>
      <c r="H20">
        <v>10</v>
      </c>
      <c r="I20">
        <f t="shared" si="0"/>
        <v>1.7</v>
      </c>
      <c r="J20" s="134" t="s">
        <v>1272</v>
      </c>
      <c r="K20" s="134"/>
      <c r="M20" t="s">
        <v>391</v>
      </c>
    </row>
    <row r="21" spans="1:14" ht="30" customHeight="1">
      <c r="A21">
        <v>5</v>
      </c>
      <c r="B21" t="s">
        <v>387</v>
      </c>
      <c r="C21" t="s">
        <v>388</v>
      </c>
      <c r="D21">
        <v>41</v>
      </c>
      <c r="E21">
        <v>3</v>
      </c>
      <c r="F21" s="133" t="s">
        <v>289</v>
      </c>
      <c r="G21">
        <v>40</v>
      </c>
      <c r="H21">
        <v>10</v>
      </c>
      <c r="I21">
        <f t="shared" si="0"/>
        <v>2.5</v>
      </c>
      <c r="J21" s="134" t="s">
        <v>1100</v>
      </c>
      <c r="K21" s="134" t="s">
        <v>903</v>
      </c>
      <c r="M21" t="s">
        <v>391</v>
      </c>
    </row>
    <row r="22" spans="1:14" ht="30" customHeight="1">
      <c r="A22">
        <v>6</v>
      </c>
      <c r="B22" t="s">
        <v>392</v>
      </c>
      <c r="C22" t="s">
        <v>393</v>
      </c>
      <c r="D22">
        <v>59</v>
      </c>
      <c r="E22">
        <v>3</v>
      </c>
      <c r="F22" s="133" t="s">
        <v>289</v>
      </c>
      <c r="G22">
        <v>40</v>
      </c>
      <c r="H22">
        <v>120</v>
      </c>
      <c r="I22">
        <f t="shared" si="0"/>
        <v>8</v>
      </c>
      <c r="J22" s="134" t="s">
        <v>1101</v>
      </c>
      <c r="K22" s="134" t="s">
        <v>1102</v>
      </c>
      <c r="M22" t="s">
        <v>391</v>
      </c>
    </row>
    <row r="23" spans="1:14" ht="30" customHeight="1">
      <c r="A23">
        <v>7</v>
      </c>
      <c r="B23" t="s">
        <v>383</v>
      </c>
      <c r="C23" t="s">
        <v>384</v>
      </c>
      <c r="D23">
        <v>50</v>
      </c>
      <c r="E23">
        <v>4</v>
      </c>
      <c r="F23" s="133" t="s">
        <v>350</v>
      </c>
      <c r="G23">
        <v>40</v>
      </c>
      <c r="H23">
        <v>120</v>
      </c>
      <c r="I23">
        <f t="shared" si="0"/>
        <v>11.9</v>
      </c>
      <c r="J23" s="134" t="s">
        <v>1103</v>
      </c>
      <c r="K23" s="134" t="s">
        <v>1104</v>
      </c>
      <c r="N23">
        <v>75</v>
      </c>
    </row>
    <row r="24" spans="1:14" ht="30" customHeight="1">
      <c r="A24">
        <v>8</v>
      </c>
      <c r="B24" t="s">
        <v>488</v>
      </c>
      <c r="C24" t="s">
        <v>308</v>
      </c>
      <c r="D24">
        <v>16</v>
      </c>
      <c r="E24">
        <v>5</v>
      </c>
      <c r="F24" s="133" t="s">
        <v>289</v>
      </c>
      <c r="G24">
        <v>40</v>
      </c>
      <c r="H24">
        <v>75</v>
      </c>
      <c r="I24">
        <f t="shared" si="0"/>
        <v>9.6</v>
      </c>
      <c r="J24" s="134" t="s">
        <v>1105</v>
      </c>
      <c r="K24" s="134" t="s">
        <v>1106</v>
      </c>
    </row>
    <row r="25" spans="1:14" ht="30" customHeight="1">
      <c r="A25">
        <v>9</v>
      </c>
      <c r="B25" t="s">
        <v>908</v>
      </c>
      <c r="C25" t="s">
        <v>897</v>
      </c>
      <c r="D25">
        <v>2.5</v>
      </c>
      <c r="E25">
        <v>2</v>
      </c>
      <c r="F25" s="133" t="s">
        <v>289</v>
      </c>
      <c r="G25">
        <v>40</v>
      </c>
      <c r="H25">
        <v>10</v>
      </c>
      <c r="I25">
        <f t="shared" si="0"/>
        <v>1.7</v>
      </c>
      <c r="J25" s="134" t="s">
        <v>1107</v>
      </c>
      <c r="K25" s="134"/>
      <c r="M25" t="s">
        <v>1108</v>
      </c>
    </row>
    <row r="26" spans="1:14" ht="30" customHeight="1">
      <c r="A26">
        <v>10</v>
      </c>
      <c r="B26" t="s">
        <v>909</v>
      </c>
      <c r="C26" t="s">
        <v>897</v>
      </c>
      <c r="D26">
        <v>2.5</v>
      </c>
      <c r="E26">
        <v>2</v>
      </c>
      <c r="F26" s="133" t="s">
        <v>289</v>
      </c>
      <c r="G26">
        <v>40</v>
      </c>
      <c r="H26">
        <v>60</v>
      </c>
      <c r="I26">
        <f t="shared" si="0"/>
        <v>3.3</v>
      </c>
      <c r="J26" s="134" t="s">
        <v>1109</v>
      </c>
      <c r="K26" s="134"/>
      <c r="M26" t="s">
        <v>1108</v>
      </c>
    </row>
    <row r="27" spans="1:14" ht="30" customHeight="1">
      <c r="A27">
        <v>11</v>
      </c>
      <c r="B27" t="s">
        <v>484</v>
      </c>
      <c r="C27" t="s">
        <v>407</v>
      </c>
      <c r="D27">
        <v>20</v>
      </c>
      <c r="E27">
        <v>3</v>
      </c>
      <c r="F27" s="133" t="s">
        <v>350</v>
      </c>
      <c r="G27">
        <v>40</v>
      </c>
      <c r="H27">
        <v>90</v>
      </c>
      <c r="I27">
        <f t="shared" si="0"/>
        <v>6.5</v>
      </c>
      <c r="J27" s="134" t="s">
        <v>1110</v>
      </c>
      <c r="K27" s="134" t="s">
        <v>1111</v>
      </c>
    </row>
    <row r="28" spans="1:14" ht="30" customHeight="1">
      <c r="D28" s="99" t="s">
        <v>1112</v>
      </c>
      <c r="E28" s="99">
        <f>SUM(E17:E27)</f>
        <v>36</v>
      </c>
      <c r="F28" s="99"/>
      <c r="G28" s="99"/>
      <c r="H28" s="99"/>
      <c r="I28" s="99">
        <f>ROUND(SUM(I17:I27),0)</f>
        <v>85</v>
      </c>
    </row>
    <row r="29" spans="1:14" ht="30" customHeight="1"/>
    <row r="30" spans="1:14" ht="30" customHeight="1">
      <c r="A30" t="s">
        <v>1113</v>
      </c>
    </row>
    <row r="31" spans="1:14" ht="30" customHeight="1"/>
  </sheetData>
  <phoneticPr fontId="29"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BFD9-97FA-4DEB-ACE7-8C641CA638BB}">
  <dimension ref="A1:N32"/>
  <sheetViews>
    <sheetView workbookViewId="0">
      <selection activeCell="K5" sqref="K5"/>
    </sheetView>
  </sheetViews>
  <sheetFormatPr defaultRowHeight="15"/>
  <cols>
    <col min="1" max="1" width="10.710937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3" ht="18.75">
      <c r="A1" s="117" t="s">
        <v>1114</v>
      </c>
    </row>
    <row r="2" spans="1:3">
      <c r="A2" t="str">
        <f>E30&amp;"세트 · 운동 "&amp;I30&amp;"분 + 웜업 15분 = "&amp;(I30+15)&amp;"분"</f>
        <v>32세트 · 운동 69분 + 웜업 15분 = 84분</v>
      </c>
    </row>
    <row r="4" spans="1:3">
      <c r="A4" s="107" t="s">
        <v>1115</v>
      </c>
    </row>
    <row r="5" spans="1:3">
      <c r="A5" s="108" t="s">
        <v>255</v>
      </c>
      <c r="B5" s="108" t="s">
        <v>330</v>
      </c>
      <c r="C5" s="108" t="s">
        <v>148</v>
      </c>
    </row>
    <row r="6" spans="1:3">
      <c r="A6" s="109">
        <f>MAX(20,(MROUND(시작중량_설정!$E$9*0.4,1)+(MOD(MROUND(시작중량_설정!$E$9*0.4,1),5)=4)))</f>
        <v>20</v>
      </c>
      <c r="B6" s="109">
        <v>5</v>
      </c>
      <c r="C6" s="109">
        <v>2</v>
      </c>
    </row>
    <row r="7" spans="1:3">
      <c r="A7" s="109">
        <f>IF(MAX(20,(MROUND(시작중량_설정!$E$9*0.6,1)+(MOD(MROUND(시작중량_설정!$E$9*0.6,1),5)=4)))&lt;=MAX(20,(MROUND(시작중량_설정!$E$9*0.4,1)+(MOD(MROUND(시작중량_설정!$E$9*0.4,1),5)=4))),"생략",MAX(20,(MROUND(시작중량_설정!$E$9*0.6,1)+(MOD(MROUND(시작중량_설정!$E$9*0.6,1),5)=4))))</f>
        <v>25</v>
      </c>
      <c r="B7" s="109">
        <v>5</v>
      </c>
      <c r="C7" s="109">
        <v>1</v>
      </c>
    </row>
    <row r="8" spans="1:3">
      <c r="A8" s="109">
        <f>IF(MAX(20,(MROUND(시작중량_설정!$E$9*0.75,1)+(MOD(MROUND(시작중량_설정!$E$9*0.75,1),5)=4)))&lt;=MAX(20,(MROUND(시작중량_설정!$E$9*0.6,1)+(MOD(MROUND(시작중량_설정!$E$9*0.6,1),5)=4))),"생략",MAX(20,(MROUND(시작중량_설정!$E$9*0.75,1)+(MOD(MROUND(시작중량_설정!$E$9*0.75,1),5)=4))))</f>
        <v>31</v>
      </c>
      <c r="B8" s="109">
        <v>3</v>
      </c>
      <c r="C8" s="109">
        <v>1</v>
      </c>
    </row>
    <row r="9" spans="1:3">
      <c r="A9" s="109">
        <f>IF(MAX(20,(MROUND(시작중량_설정!$E$9*0.9,1)+(MOD(MROUND(시작중량_설정!$E$9*0.9,1),5)=4)))&lt;=MAX(20,(MROUND(시작중량_설정!$E$9*0.75,1)+(MOD(MROUND(시작중량_설정!$E$9*0.75,1),5)=4))),"생략",MAX(20,(MROUND(시작중량_설정!$E$9*0.9,1)+(MOD(MROUND(시작중량_설정!$E$9*0.9,1),5)=4))))</f>
        <v>37</v>
      </c>
      <c r="B9" s="109">
        <v>2</v>
      </c>
      <c r="C9" s="109">
        <v>1</v>
      </c>
    </row>
    <row r="10" spans="1:3">
      <c r="A10" s="109">
        <f>시작중량_설정!$E$9</f>
        <v>41</v>
      </c>
      <c r="B10" s="109">
        <v>8</v>
      </c>
      <c r="C10" s="109">
        <v>4</v>
      </c>
    </row>
    <row r="12" spans="1:3">
      <c r="A12" s="99" t="s">
        <v>1083</v>
      </c>
    </row>
    <row r="13" spans="1:3">
      <c r="A13" t="s">
        <v>1116</v>
      </c>
    </row>
    <row r="14" spans="1:3">
      <c r="A14" t="s">
        <v>1117</v>
      </c>
    </row>
    <row r="16" spans="1:3">
      <c r="A16" s="99" t="s">
        <v>1084</v>
      </c>
    </row>
    <row r="17" spans="1:14">
      <c r="A17" s="131" t="s">
        <v>253</v>
      </c>
      <c r="B17" s="131" t="s">
        <v>1085</v>
      </c>
      <c r="C17" s="131" t="s">
        <v>1086</v>
      </c>
      <c r="D17" s="131" t="s">
        <v>1087</v>
      </c>
      <c r="E17" s="131" t="s">
        <v>1088</v>
      </c>
      <c r="F17" s="131" t="s">
        <v>1089</v>
      </c>
      <c r="G17" s="131" t="s">
        <v>1090</v>
      </c>
      <c r="H17" s="131" t="s">
        <v>1091</v>
      </c>
      <c r="I17" s="131" t="s">
        <v>1092</v>
      </c>
      <c r="J17" s="131" t="s">
        <v>1093</v>
      </c>
      <c r="K17" s="131" t="s">
        <v>1094</v>
      </c>
      <c r="L17" s="131" t="s">
        <v>1095</v>
      </c>
      <c r="M17" s="131" t="s">
        <v>1096</v>
      </c>
      <c r="N17" s="131" t="s">
        <v>1097</v>
      </c>
    </row>
    <row r="18" spans="1:14">
      <c r="A18">
        <v>1</v>
      </c>
      <c r="B18" t="s">
        <v>86</v>
      </c>
      <c r="C18" t="s">
        <v>337</v>
      </c>
      <c r="D18" s="132">
        <f>시작중량_설정!$E$9</f>
        <v>41</v>
      </c>
      <c r="E18">
        <v>4</v>
      </c>
      <c r="F18" s="133" t="s">
        <v>489</v>
      </c>
      <c r="G18">
        <v>50</v>
      </c>
      <c r="H18">
        <v>180</v>
      </c>
      <c r="I18">
        <f t="shared" ref="I18:I29" si="0">IF(E18=0,0,ROUND((E18*(G18+H18)+N18)/60,1))</f>
        <v>15.3</v>
      </c>
      <c r="J18" s="134" t="s">
        <v>1118</v>
      </c>
      <c r="K18" s="134" t="s">
        <v>1119</v>
      </c>
      <c r="L18" s="133" t="s">
        <v>906</v>
      </c>
    </row>
    <row r="19" spans="1:14" ht="15" customHeight="1">
      <c r="A19">
        <v>2</v>
      </c>
      <c r="B19" t="s">
        <v>1120</v>
      </c>
      <c r="C19" t="s">
        <v>349</v>
      </c>
      <c r="D19" t="s">
        <v>27</v>
      </c>
      <c r="E19">
        <v>3</v>
      </c>
      <c r="F19" s="133" t="s">
        <v>284</v>
      </c>
      <c r="G19">
        <v>50</v>
      </c>
      <c r="H19">
        <v>150</v>
      </c>
      <c r="I19">
        <f t="shared" si="0"/>
        <v>10</v>
      </c>
      <c r="J19" s="134" t="s">
        <v>1121</v>
      </c>
      <c r="K19" s="134" t="s">
        <v>1122</v>
      </c>
    </row>
    <row r="20" spans="1:14" ht="30" customHeight="1">
      <c r="A20">
        <v>3</v>
      </c>
      <c r="B20" t="s">
        <v>1123</v>
      </c>
      <c r="C20" t="s">
        <v>337</v>
      </c>
      <c r="D20" t="s">
        <v>27</v>
      </c>
      <c r="E20">
        <v>2</v>
      </c>
      <c r="F20" s="133" t="s">
        <v>309</v>
      </c>
      <c r="G20">
        <v>40</v>
      </c>
      <c r="H20">
        <v>120</v>
      </c>
      <c r="I20">
        <f t="shared" si="0"/>
        <v>5.3</v>
      </c>
      <c r="J20" s="134"/>
      <c r="K20" s="134" t="s">
        <v>1124</v>
      </c>
    </row>
    <row r="21" spans="1:14" ht="30" customHeight="1">
      <c r="A21">
        <v>4</v>
      </c>
      <c r="B21" t="s">
        <v>1125</v>
      </c>
      <c r="C21" t="s">
        <v>349</v>
      </c>
      <c r="D21" t="s">
        <v>27</v>
      </c>
      <c r="E21">
        <v>3</v>
      </c>
      <c r="F21" s="133" t="s">
        <v>289</v>
      </c>
      <c r="G21">
        <v>40</v>
      </c>
      <c r="H21">
        <v>105</v>
      </c>
      <c r="I21">
        <f t="shared" si="0"/>
        <v>8.3000000000000007</v>
      </c>
      <c r="J21" s="134" t="s">
        <v>1126</v>
      </c>
      <c r="K21" s="134" t="s">
        <v>1127</v>
      </c>
      <c r="N21">
        <v>60</v>
      </c>
    </row>
    <row r="22" spans="1:14" ht="30" customHeight="1">
      <c r="A22">
        <v>5</v>
      </c>
      <c r="B22" t="s">
        <v>343</v>
      </c>
      <c r="C22" t="s">
        <v>337</v>
      </c>
      <c r="D22">
        <v>55</v>
      </c>
      <c r="E22">
        <v>2</v>
      </c>
      <c r="F22" s="133" t="s">
        <v>303</v>
      </c>
      <c r="G22">
        <v>40</v>
      </c>
      <c r="H22">
        <v>10</v>
      </c>
      <c r="I22">
        <f t="shared" si="0"/>
        <v>1.7</v>
      </c>
      <c r="J22" s="134" t="s">
        <v>1128</v>
      </c>
      <c r="K22" s="134" t="s">
        <v>1129</v>
      </c>
      <c r="M22" t="s">
        <v>391</v>
      </c>
    </row>
    <row r="23" spans="1:14" ht="30" customHeight="1">
      <c r="A23">
        <v>6</v>
      </c>
      <c r="B23" t="s">
        <v>1130</v>
      </c>
      <c r="C23" t="s">
        <v>345</v>
      </c>
      <c r="D23">
        <v>20</v>
      </c>
      <c r="E23">
        <v>2</v>
      </c>
      <c r="F23" s="133" t="s">
        <v>303</v>
      </c>
      <c r="G23">
        <v>40</v>
      </c>
      <c r="H23">
        <v>10</v>
      </c>
      <c r="I23">
        <f t="shared" si="0"/>
        <v>1.7</v>
      </c>
      <c r="J23" s="134" t="s">
        <v>1131</v>
      </c>
      <c r="K23" s="134"/>
      <c r="M23" t="s">
        <v>391</v>
      </c>
    </row>
    <row r="24" spans="1:14" ht="30" customHeight="1">
      <c r="A24">
        <v>7</v>
      </c>
      <c r="B24" t="s">
        <v>1132</v>
      </c>
      <c r="C24" t="s">
        <v>345</v>
      </c>
      <c r="D24">
        <v>25</v>
      </c>
      <c r="E24">
        <v>2</v>
      </c>
      <c r="F24" s="133" t="s">
        <v>303</v>
      </c>
      <c r="G24">
        <v>40</v>
      </c>
      <c r="H24">
        <v>90</v>
      </c>
      <c r="I24">
        <f t="shared" si="0"/>
        <v>4.3</v>
      </c>
      <c r="J24" s="134" t="s">
        <v>1133</v>
      </c>
      <c r="K24" s="134"/>
      <c r="M24" t="s">
        <v>391</v>
      </c>
    </row>
    <row r="25" spans="1:14" ht="30" customHeight="1">
      <c r="A25">
        <v>8</v>
      </c>
      <c r="B25" t="s">
        <v>1134</v>
      </c>
      <c r="C25" t="s">
        <v>285</v>
      </c>
      <c r="D25" t="s">
        <v>27</v>
      </c>
      <c r="E25">
        <v>2</v>
      </c>
      <c r="F25" s="133" t="s">
        <v>350</v>
      </c>
      <c r="G25">
        <v>40</v>
      </c>
      <c r="H25">
        <v>60</v>
      </c>
      <c r="I25">
        <f t="shared" si="0"/>
        <v>3.3</v>
      </c>
      <c r="J25" s="134"/>
      <c r="K25" s="134" t="s">
        <v>1019</v>
      </c>
    </row>
    <row r="26" spans="1:14" ht="30" customHeight="1">
      <c r="A26">
        <v>9</v>
      </c>
      <c r="B26" t="s">
        <v>1135</v>
      </c>
      <c r="C26" t="s">
        <v>345</v>
      </c>
      <c r="D26" t="s">
        <v>27</v>
      </c>
      <c r="E26">
        <v>3</v>
      </c>
      <c r="F26" s="133" t="s">
        <v>304</v>
      </c>
      <c r="G26">
        <v>60</v>
      </c>
      <c r="H26">
        <v>10</v>
      </c>
      <c r="I26">
        <f t="shared" si="0"/>
        <v>3.5</v>
      </c>
      <c r="J26" s="134" t="s">
        <v>1136</v>
      </c>
      <c r="K26" s="134"/>
      <c r="M26" t="s">
        <v>1108</v>
      </c>
    </row>
    <row r="27" spans="1:14" ht="30" customHeight="1">
      <c r="A27">
        <v>10</v>
      </c>
      <c r="B27" t="s">
        <v>1137</v>
      </c>
      <c r="C27" t="s">
        <v>358</v>
      </c>
      <c r="D27">
        <v>25</v>
      </c>
      <c r="E27">
        <v>3</v>
      </c>
      <c r="F27" s="133" t="s">
        <v>289</v>
      </c>
      <c r="G27">
        <v>45</v>
      </c>
      <c r="H27">
        <v>60</v>
      </c>
      <c r="I27">
        <f t="shared" si="0"/>
        <v>5.3</v>
      </c>
      <c r="J27" s="134" t="s">
        <v>1138</v>
      </c>
      <c r="K27" s="134"/>
      <c r="M27" t="s">
        <v>1108</v>
      </c>
    </row>
    <row r="28" spans="1:14" ht="30" customHeight="1">
      <c r="A28">
        <v>11</v>
      </c>
      <c r="B28" t="s">
        <v>353</v>
      </c>
      <c r="C28" t="s">
        <v>354</v>
      </c>
      <c r="D28">
        <v>8</v>
      </c>
      <c r="E28">
        <v>3</v>
      </c>
      <c r="F28" s="133" t="s">
        <v>289</v>
      </c>
      <c r="G28">
        <v>40</v>
      </c>
      <c r="H28">
        <v>60</v>
      </c>
      <c r="I28">
        <f t="shared" si="0"/>
        <v>5</v>
      </c>
      <c r="J28" s="134"/>
      <c r="K28" s="134" t="s">
        <v>901</v>
      </c>
    </row>
    <row r="29" spans="1:14" ht="30" customHeight="1">
      <c r="A29">
        <v>12</v>
      </c>
      <c r="B29" t="s">
        <v>533</v>
      </c>
      <c r="C29" t="s">
        <v>299</v>
      </c>
      <c r="D29">
        <v>20</v>
      </c>
      <c r="E29">
        <v>3</v>
      </c>
      <c r="F29" s="133" t="s">
        <v>314</v>
      </c>
      <c r="G29">
        <v>40</v>
      </c>
      <c r="H29">
        <v>60</v>
      </c>
      <c r="I29">
        <f t="shared" si="0"/>
        <v>5</v>
      </c>
      <c r="J29" s="134"/>
      <c r="K29" s="134"/>
    </row>
    <row r="30" spans="1:14" ht="30" customHeight="1">
      <c r="D30" s="99" t="s">
        <v>1112</v>
      </c>
      <c r="E30" s="99">
        <f>SUM(E18:E29)</f>
        <v>32</v>
      </c>
      <c r="F30" s="99"/>
      <c r="G30" s="99"/>
      <c r="H30" s="99"/>
      <c r="I30" s="99">
        <f>ROUND(SUM(I18:I29),0)</f>
        <v>69</v>
      </c>
    </row>
    <row r="32" spans="1:14">
      <c r="A32" t="s">
        <v>1139</v>
      </c>
    </row>
  </sheetData>
  <phoneticPr fontId="29"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77575-2646-4746-8BB6-92E49476E27A}">
  <dimension ref="A1:N30"/>
  <sheetViews>
    <sheetView workbookViewId="0">
      <selection activeCell="K5" sqref="K5"/>
    </sheetView>
  </sheetViews>
  <sheetFormatPr defaultRowHeight="15"/>
  <cols>
    <col min="1" max="1" width="10.710937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14" ht="18.75">
      <c r="A1" s="117" t="s">
        <v>1140</v>
      </c>
    </row>
    <row r="2" spans="1:14">
      <c r="A2" t="str">
        <f>E22&amp;"세트 · 운동 "&amp;I22&amp;"분 + 웜업 4분 = "&amp;(I22+4)&amp;"분"</f>
        <v>37세트 · 운동 69분 + 웜업 4분 = 73분</v>
      </c>
    </row>
    <row r="4" spans="1:14">
      <c r="A4" s="99" t="s">
        <v>1083</v>
      </c>
    </row>
    <row r="5" spans="1:14">
      <c r="A5" t="s">
        <v>1141</v>
      </c>
    </row>
    <row r="6" spans="1:14">
      <c r="A6" t="s">
        <v>1142</v>
      </c>
    </row>
    <row r="8" spans="1:14">
      <c r="A8" s="99" t="s">
        <v>1084</v>
      </c>
    </row>
    <row r="9" spans="1:14">
      <c r="A9" s="131" t="s">
        <v>253</v>
      </c>
      <c r="B9" s="131" t="s">
        <v>1085</v>
      </c>
      <c r="C9" s="131" t="s">
        <v>1086</v>
      </c>
      <c r="D9" s="131" t="s">
        <v>1087</v>
      </c>
      <c r="E9" s="131" t="s">
        <v>1088</v>
      </c>
      <c r="F9" s="131" t="s">
        <v>1089</v>
      </c>
      <c r="G9" s="131" t="s">
        <v>1090</v>
      </c>
      <c r="H9" s="131" t="s">
        <v>1091</v>
      </c>
      <c r="I9" s="131" t="s">
        <v>1092</v>
      </c>
      <c r="J9" s="131" t="s">
        <v>1093</v>
      </c>
      <c r="K9" s="131" t="s">
        <v>1094</v>
      </c>
      <c r="L9" s="131" t="s">
        <v>1095</v>
      </c>
      <c r="M9" s="131" t="s">
        <v>1096</v>
      </c>
      <c r="N9" s="131" t="s">
        <v>1097</v>
      </c>
    </row>
    <row r="10" spans="1:14" ht="30">
      <c r="A10">
        <v>1</v>
      </c>
      <c r="B10" t="s">
        <v>1143</v>
      </c>
      <c r="C10" t="s">
        <v>267</v>
      </c>
      <c r="D10" t="s">
        <v>27</v>
      </c>
      <c r="E10">
        <v>2</v>
      </c>
      <c r="F10" s="133" t="s">
        <v>350</v>
      </c>
      <c r="G10">
        <v>40</v>
      </c>
      <c r="H10">
        <v>120</v>
      </c>
      <c r="I10">
        <f t="shared" ref="I10:I21" si="0">IF(E10=0,0,ROUND((E10*(G10+H10)+N10)/60,1))</f>
        <v>5.3</v>
      </c>
      <c r="J10" s="134" t="s">
        <v>1144</v>
      </c>
      <c r="K10" s="134" t="s">
        <v>1145</v>
      </c>
    </row>
    <row r="11" spans="1:14" ht="30">
      <c r="A11">
        <v>2</v>
      </c>
      <c r="B11" t="s">
        <v>465</v>
      </c>
      <c r="C11" t="s">
        <v>282</v>
      </c>
      <c r="D11" s="132">
        <f>시작중량_설정!$E$11</f>
        <v>60</v>
      </c>
      <c r="E11">
        <v>4</v>
      </c>
      <c r="F11" s="133" t="s">
        <v>489</v>
      </c>
      <c r="G11">
        <v>40</v>
      </c>
      <c r="H11">
        <v>150</v>
      </c>
      <c r="I11">
        <f t="shared" si="0"/>
        <v>12.7</v>
      </c>
      <c r="J11" s="134" t="s">
        <v>1146</v>
      </c>
      <c r="K11" s="134" t="s">
        <v>1147</v>
      </c>
      <c r="L11" s="133" t="s">
        <v>904</v>
      </c>
    </row>
    <row r="12" spans="1:14" ht="30">
      <c r="A12">
        <v>3</v>
      </c>
      <c r="B12" t="s">
        <v>1148</v>
      </c>
      <c r="C12" t="s">
        <v>282</v>
      </c>
      <c r="D12">
        <v>18</v>
      </c>
      <c r="E12">
        <v>5</v>
      </c>
      <c r="F12" s="133" t="s">
        <v>309</v>
      </c>
      <c r="G12">
        <v>40</v>
      </c>
      <c r="H12">
        <v>60</v>
      </c>
      <c r="I12">
        <f t="shared" si="0"/>
        <v>8.3000000000000007</v>
      </c>
      <c r="J12" s="134" t="s">
        <v>1149</v>
      </c>
      <c r="K12" s="134" t="s">
        <v>1150</v>
      </c>
    </row>
    <row r="13" spans="1:14" ht="90">
      <c r="A13">
        <v>4</v>
      </c>
      <c r="B13" t="s">
        <v>472</v>
      </c>
      <c r="C13" t="s">
        <v>267</v>
      </c>
      <c r="D13">
        <v>32</v>
      </c>
      <c r="E13">
        <v>3</v>
      </c>
      <c r="F13" s="133" t="s">
        <v>1151</v>
      </c>
      <c r="G13">
        <v>60</v>
      </c>
      <c r="H13">
        <v>120</v>
      </c>
      <c r="I13">
        <f t="shared" si="0"/>
        <v>9</v>
      </c>
      <c r="J13" s="134" t="s">
        <v>1152</v>
      </c>
      <c r="K13" s="134" t="s">
        <v>1153</v>
      </c>
    </row>
    <row r="14" spans="1:14">
      <c r="A14">
        <v>5</v>
      </c>
      <c r="B14" t="s">
        <v>1154</v>
      </c>
      <c r="C14" t="s">
        <v>267</v>
      </c>
      <c r="D14">
        <v>20</v>
      </c>
      <c r="E14">
        <v>3</v>
      </c>
      <c r="F14" s="133" t="s">
        <v>289</v>
      </c>
      <c r="G14">
        <v>40</v>
      </c>
      <c r="H14">
        <v>75</v>
      </c>
      <c r="I14">
        <f t="shared" si="0"/>
        <v>5.8</v>
      </c>
      <c r="J14" s="134" t="s">
        <v>1155</v>
      </c>
      <c r="K14" s="134" t="s">
        <v>1156</v>
      </c>
    </row>
    <row r="15" spans="1:14">
      <c r="A15">
        <v>6</v>
      </c>
      <c r="B15" t="s">
        <v>1157</v>
      </c>
      <c r="C15" t="s">
        <v>269</v>
      </c>
      <c r="D15">
        <v>30</v>
      </c>
      <c r="E15">
        <v>3</v>
      </c>
      <c r="F15" s="133" t="s">
        <v>284</v>
      </c>
      <c r="G15">
        <v>40</v>
      </c>
      <c r="H15">
        <v>10</v>
      </c>
      <c r="I15">
        <f t="shared" si="0"/>
        <v>2.5</v>
      </c>
      <c r="J15" s="134" t="s">
        <v>1158</v>
      </c>
      <c r="K15" s="134" t="s">
        <v>1159</v>
      </c>
      <c r="M15" t="s">
        <v>391</v>
      </c>
    </row>
    <row r="16" spans="1:14">
      <c r="A16">
        <v>7</v>
      </c>
      <c r="B16" t="s">
        <v>439</v>
      </c>
      <c r="C16" t="s">
        <v>269</v>
      </c>
      <c r="D16" s="132">
        <f>시작중량_설정!$E$21</f>
        <v>15</v>
      </c>
      <c r="E16">
        <v>3</v>
      </c>
      <c r="F16" s="133" t="s">
        <v>314</v>
      </c>
      <c r="G16">
        <v>40</v>
      </c>
      <c r="H16">
        <v>10</v>
      </c>
      <c r="I16">
        <f t="shared" si="0"/>
        <v>2.5</v>
      </c>
      <c r="J16" s="134" t="s">
        <v>1160</v>
      </c>
      <c r="K16" s="134" t="s">
        <v>1161</v>
      </c>
      <c r="M16" t="s">
        <v>391</v>
      </c>
    </row>
    <row r="17" spans="1:13">
      <c r="A17">
        <v>8</v>
      </c>
      <c r="B17" t="s">
        <v>1162</v>
      </c>
      <c r="C17" t="s">
        <v>269</v>
      </c>
      <c r="D17" t="s">
        <v>27</v>
      </c>
      <c r="E17">
        <v>3</v>
      </c>
      <c r="F17" s="133" t="s">
        <v>289</v>
      </c>
      <c r="G17">
        <v>40</v>
      </c>
      <c r="H17">
        <v>90</v>
      </c>
      <c r="I17">
        <f t="shared" si="0"/>
        <v>6.5</v>
      </c>
      <c r="J17" s="134" t="s">
        <v>1133</v>
      </c>
      <c r="K17" s="134"/>
      <c r="M17" t="s">
        <v>391</v>
      </c>
    </row>
    <row r="18" spans="1:13">
      <c r="A18">
        <v>9</v>
      </c>
      <c r="B18" t="s">
        <v>905</v>
      </c>
      <c r="C18" t="s">
        <v>295</v>
      </c>
      <c r="D18">
        <v>20</v>
      </c>
      <c r="E18">
        <v>2</v>
      </c>
      <c r="F18" s="133" t="s">
        <v>1069</v>
      </c>
      <c r="G18">
        <v>40</v>
      </c>
      <c r="H18">
        <v>10</v>
      </c>
      <c r="I18">
        <f t="shared" si="0"/>
        <v>1.7</v>
      </c>
      <c r="J18" s="134" t="s">
        <v>1163</v>
      </c>
      <c r="K18" s="134"/>
      <c r="M18" t="s">
        <v>1108</v>
      </c>
    </row>
    <row r="19" spans="1:13" ht="15" customHeight="1">
      <c r="A19">
        <v>10</v>
      </c>
      <c r="B19" t="s">
        <v>594</v>
      </c>
      <c r="C19" t="s">
        <v>295</v>
      </c>
      <c r="D19">
        <v>15</v>
      </c>
      <c r="E19">
        <v>3</v>
      </c>
      <c r="F19" s="133" t="s">
        <v>1069</v>
      </c>
      <c r="G19">
        <v>40</v>
      </c>
      <c r="H19">
        <v>60</v>
      </c>
      <c r="I19">
        <f t="shared" si="0"/>
        <v>5</v>
      </c>
      <c r="J19" s="134" t="s">
        <v>1109</v>
      </c>
      <c r="K19" s="134"/>
      <c r="M19" t="s">
        <v>1108</v>
      </c>
    </row>
    <row r="20" spans="1:13" ht="30" customHeight="1">
      <c r="A20">
        <v>11</v>
      </c>
      <c r="B20" t="s">
        <v>298</v>
      </c>
      <c r="C20" t="s">
        <v>299</v>
      </c>
      <c r="D20" t="s">
        <v>283</v>
      </c>
      <c r="E20">
        <v>3</v>
      </c>
      <c r="F20" s="133" t="s">
        <v>289</v>
      </c>
      <c r="G20">
        <v>40</v>
      </c>
      <c r="H20">
        <v>60</v>
      </c>
      <c r="I20">
        <f t="shared" si="0"/>
        <v>5</v>
      </c>
      <c r="J20" s="134"/>
      <c r="K20" s="134"/>
    </row>
    <row r="21" spans="1:13" ht="30" customHeight="1">
      <c r="A21">
        <v>12</v>
      </c>
      <c r="B21" t="s">
        <v>318</v>
      </c>
      <c r="C21" t="s">
        <v>313</v>
      </c>
      <c r="D21">
        <v>20</v>
      </c>
      <c r="E21">
        <v>3</v>
      </c>
      <c r="F21" s="133" t="s">
        <v>289</v>
      </c>
      <c r="G21">
        <v>40</v>
      </c>
      <c r="H21">
        <v>60</v>
      </c>
      <c r="I21">
        <f t="shared" si="0"/>
        <v>5</v>
      </c>
      <c r="J21" s="134" t="s">
        <v>1164</v>
      </c>
      <c r="K21" s="134"/>
    </row>
    <row r="22" spans="1:13" ht="30" customHeight="1">
      <c r="D22" s="99" t="s">
        <v>1112</v>
      </c>
      <c r="E22" s="99">
        <f>SUM(E10:E21)</f>
        <v>37</v>
      </c>
      <c r="F22" s="99"/>
      <c r="G22" s="99"/>
      <c r="H22" s="99"/>
      <c r="I22" s="99">
        <f>ROUND(SUM(I10:I21),0)</f>
        <v>69</v>
      </c>
    </row>
    <row r="23" spans="1:13" ht="30" customHeight="1"/>
    <row r="24" spans="1:13" ht="30" customHeight="1">
      <c r="A24" t="s">
        <v>1165</v>
      </c>
    </row>
    <row r="25" spans="1:13" ht="30" customHeight="1">
      <c r="A25" t="s">
        <v>1166</v>
      </c>
    </row>
    <row r="26" spans="1:13" ht="30" customHeight="1"/>
    <row r="27" spans="1:13" ht="30" customHeight="1"/>
    <row r="28" spans="1:13" ht="30" customHeight="1"/>
    <row r="29" spans="1:13" ht="30" customHeight="1"/>
    <row r="30" spans="1:13" ht="30" customHeight="1"/>
  </sheetData>
  <phoneticPr fontId="29"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E3B9-EBEB-45F7-94E8-DB751EE9F80B}">
  <dimension ref="A1:N30"/>
  <sheetViews>
    <sheetView workbookViewId="0">
      <selection activeCell="K5" sqref="K5"/>
    </sheetView>
  </sheetViews>
  <sheetFormatPr defaultRowHeight="15"/>
  <cols>
    <col min="1" max="1" width="10.710937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14" ht="18.75">
      <c r="A1" s="117" t="s">
        <v>1167</v>
      </c>
    </row>
    <row r="2" spans="1:14">
      <c r="A2" t="str">
        <f>E24&amp;"세트 · 운동 "&amp;I24&amp;"분 + 웜업 6분 = "&amp;(I24+6)&amp;"분"</f>
        <v>31세트 · 운동 63분 + 웜업 6분 = 69분</v>
      </c>
    </row>
    <row r="4" spans="1:14">
      <c r="A4" s="99" t="s">
        <v>1168</v>
      </c>
    </row>
    <row r="5" spans="1:14">
      <c r="A5" t="s">
        <v>255</v>
      </c>
      <c r="B5" t="s">
        <v>330</v>
      </c>
      <c r="C5" t="s">
        <v>148</v>
      </c>
    </row>
    <row r="6" spans="1:14">
      <c r="A6">
        <v>20</v>
      </c>
      <c r="B6">
        <v>5</v>
      </c>
      <c r="C6">
        <v>2</v>
      </c>
    </row>
    <row r="7" spans="1:14">
      <c r="A7" s="132">
        <f>시작중량_설정!$E$10</f>
        <v>31</v>
      </c>
      <c r="B7">
        <v>8</v>
      </c>
      <c r="C7">
        <v>3</v>
      </c>
    </row>
    <row r="9" spans="1:14">
      <c r="A9" s="99" t="s">
        <v>1083</v>
      </c>
    </row>
    <row r="10" spans="1:14">
      <c r="A10" t="s">
        <v>1169</v>
      </c>
    </row>
    <row r="11" spans="1:14">
      <c r="A11" t="s">
        <v>1170</v>
      </c>
    </row>
    <row r="13" spans="1:14">
      <c r="A13" s="99" t="s">
        <v>1084</v>
      </c>
    </row>
    <row r="14" spans="1:14">
      <c r="A14" s="131" t="s">
        <v>253</v>
      </c>
      <c r="B14" s="131" t="s">
        <v>1085</v>
      </c>
      <c r="C14" s="131" t="s">
        <v>1086</v>
      </c>
      <c r="D14" s="131" t="s">
        <v>1087</v>
      </c>
      <c r="E14" s="131" t="s">
        <v>1088</v>
      </c>
      <c r="F14" s="131" t="s">
        <v>1089</v>
      </c>
      <c r="G14" s="131" t="s">
        <v>1090</v>
      </c>
      <c r="H14" s="131" t="s">
        <v>1091</v>
      </c>
      <c r="I14" s="131" t="s">
        <v>1092</v>
      </c>
      <c r="J14" s="131" t="s">
        <v>1093</v>
      </c>
      <c r="K14" s="131" t="s">
        <v>1094</v>
      </c>
      <c r="L14" s="131" t="s">
        <v>1095</v>
      </c>
      <c r="M14" s="131" t="s">
        <v>1096</v>
      </c>
      <c r="N14" s="131" t="s">
        <v>1097</v>
      </c>
    </row>
    <row r="15" spans="1:14">
      <c r="A15">
        <v>1</v>
      </c>
      <c r="B15" t="s">
        <v>907</v>
      </c>
      <c r="C15" t="s">
        <v>354</v>
      </c>
      <c r="D15">
        <v>5</v>
      </c>
      <c r="E15">
        <v>4</v>
      </c>
      <c r="F15" s="133" t="s">
        <v>304</v>
      </c>
      <c r="G15">
        <v>60</v>
      </c>
      <c r="H15">
        <v>60</v>
      </c>
      <c r="I15">
        <f t="shared" ref="I15:I23" si="0">IF(E15=0,0,ROUND((E15*(G15+H15)+N15)/60,1))</f>
        <v>8</v>
      </c>
      <c r="J15" s="134" t="s">
        <v>1171</v>
      </c>
      <c r="K15" s="134" t="s">
        <v>1172</v>
      </c>
    </row>
    <row r="16" spans="1:14">
      <c r="A16">
        <v>2</v>
      </c>
      <c r="B16" t="s">
        <v>1173</v>
      </c>
      <c r="C16" t="s">
        <v>429</v>
      </c>
      <c r="D16" s="132">
        <f>시작중량_설정!$E$10</f>
        <v>31</v>
      </c>
      <c r="E16">
        <v>3</v>
      </c>
      <c r="F16" s="133" t="s">
        <v>489</v>
      </c>
      <c r="G16">
        <v>50</v>
      </c>
      <c r="H16">
        <v>180</v>
      </c>
      <c r="I16">
        <f t="shared" si="0"/>
        <v>11.5</v>
      </c>
      <c r="J16" s="134" t="s">
        <v>1174</v>
      </c>
      <c r="K16" s="134" t="s">
        <v>1175</v>
      </c>
      <c r="L16" s="133" t="s">
        <v>507</v>
      </c>
    </row>
    <row r="17" spans="1:13">
      <c r="A17">
        <v>3</v>
      </c>
      <c r="B17" t="s">
        <v>902</v>
      </c>
      <c r="C17" t="s">
        <v>358</v>
      </c>
      <c r="D17">
        <v>35</v>
      </c>
      <c r="E17">
        <v>4</v>
      </c>
      <c r="F17" s="133" t="s">
        <v>289</v>
      </c>
      <c r="G17">
        <v>40</v>
      </c>
      <c r="H17">
        <v>10</v>
      </c>
      <c r="I17">
        <f t="shared" si="0"/>
        <v>3.3</v>
      </c>
      <c r="J17" s="134" t="s">
        <v>1176</v>
      </c>
      <c r="K17" s="134" t="s">
        <v>410</v>
      </c>
      <c r="M17" t="s">
        <v>391</v>
      </c>
    </row>
    <row r="18" spans="1:13">
      <c r="A18">
        <v>4</v>
      </c>
      <c r="B18" t="s">
        <v>1177</v>
      </c>
      <c r="C18" t="s">
        <v>354</v>
      </c>
      <c r="D18">
        <v>8</v>
      </c>
      <c r="E18">
        <v>4</v>
      </c>
      <c r="F18" s="133" t="s">
        <v>289</v>
      </c>
      <c r="G18">
        <v>40</v>
      </c>
      <c r="H18">
        <v>75</v>
      </c>
      <c r="I18">
        <f t="shared" si="0"/>
        <v>7.7</v>
      </c>
      <c r="J18" s="134" t="s">
        <v>1178</v>
      </c>
      <c r="K18" s="134" t="s">
        <v>901</v>
      </c>
      <c r="M18" t="s">
        <v>391</v>
      </c>
    </row>
    <row r="19" spans="1:13" ht="15" customHeight="1">
      <c r="A19">
        <v>5</v>
      </c>
      <c r="B19" t="s">
        <v>1179</v>
      </c>
      <c r="C19" t="s">
        <v>358</v>
      </c>
      <c r="D19">
        <v>10</v>
      </c>
      <c r="E19">
        <v>3</v>
      </c>
      <c r="F19" s="133" t="s">
        <v>304</v>
      </c>
      <c r="G19">
        <v>60</v>
      </c>
      <c r="H19">
        <v>60</v>
      </c>
      <c r="I19">
        <f t="shared" si="0"/>
        <v>6</v>
      </c>
      <c r="J19" s="134"/>
      <c r="K19" s="134" t="s">
        <v>902</v>
      </c>
    </row>
    <row r="20" spans="1:13" ht="30" customHeight="1">
      <c r="A20">
        <v>6</v>
      </c>
      <c r="B20" t="s">
        <v>1180</v>
      </c>
      <c r="C20" t="s">
        <v>429</v>
      </c>
      <c r="D20">
        <v>14</v>
      </c>
      <c r="E20">
        <v>3</v>
      </c>
      <c r="F20" s="133" t="s">
        <v>350</v>
      </c>
      <c r="G20">
        <v>40</v>
      </c>
      <c r="H20">
        <v>120</v>
      </c>
      <c r="I20">
        <f t="shared" si="0"/>
        <v>8</v>
      </c>
      <c r="J20" s="134"/>
      <c r="K20" s="134" t="s">
        <v>508</v>
      </c>
    </row>
    <row r="21" spans="1:13" ht="30" customHeight="1">
      <c r="A21">
        <v>7</v>
      </c>
      <c r="B21" t="s">
        <v>417</v>
      </c>
      <c r="C21" t="s">
        <v>407</v>
      </c>
      <c r="D21" s="132">
        <f>시작중량_설정!$E$17</f>
        <v>25</v>
      </c>
      <c r="E21">
        <v>3</v>
      </c>
      <c r="F21" s="133" t="s">
        <v>436</v>
      </c>
      <c r="G21">
        <v>40</v>
      </c>
      <c r="H21">
        <v>75</v>
      </c>
      <c r="I21">
        <f t="shared" si="0"/>
        <v>5.8</v>
      </c>
      <c r="J21" s="134" t="s">
        <v>1181</v>
      </c>
      <c r="K21" s="134" t="s">
        <v>1182</v>
      </c>
    </row>
    <row r="22" spans="1:13" ht="30" customHeight="1">
      <c r="A22">
        <v>8</v>
      </c>
      <c r="B22" t="s">
        <v>1019</v>
      </c>
      <c r="C22" t="s">
        <v>285</v>
      </c>
      <c r="D22">
        <v>10</v>
      </c>
      <c r="E22">
        <v>3</v>
      </c>
      <c r="F22" s="133" t="s">
        <v>303</v>
      </c>
      <c r="G22">
        <v>40</v>
      </c>
      <c r="H22">
        <v>60</v>
      </c>
      <c r="I22">
        <f t="shared" si="0"/>
        <v>5</v>
      </c>
      <c r="J22" s="134"/>
      <c r="K22" s="134" t="s">
        <v>1134</v>
      </c>
    </row>
    <row r="23" spans="1:13" ht="30" customHeight="1">
      <c r="A23">
        <v>9</v>
      </c>
      <c r="B23" t="s">
        <v>588</v>
      </c>
      <c r="C23" t="s">
        <v>345</v>
      </c>
      <c r="D23" s="132">
        <f>시작중량_설정!$E$20</f>
        <v>15</v>
      </c>
      <c r="E23">
        <v>4</v>
      </c>
      <c r="F23" s="133" t="s">
        <v>309</v>
      </c>
      <c r="G23">
        <v>40</v>
      </c>
      <c r="H23">
        <v>75</v>
      </c>
      <c r="I23">
        <f t="shared" si="0"/>
        <v>7.7</v>
      </c>
      <c r="J23" s="134" t="s">
        <v>1183</v>
      </c>
      <c r="K23" s="134" t="s">
        <v>1184</v>
      </c>
    </row>
    <row r="24" spans="1:13" ht="30" customHeight="1">
      <c r="D24" s="99" t="s">
        <v>1112</v>
      </c>
      <c r="E24" s="99">
        <f>SUM(E15:E23)</f>
        <v>31</v>
      </c>
      <c r="F24" s="99"/>
      <c r="G24" s="99"/>
      <c r="H24" s="99"/>
      <c r="I24" s="99">
        <f>ROUND(SUM(I15:I23),0)</f>
        <v>63</v>
      </c>
    </row>
    <row r="25" spans="1:13" ht="30" customHeight="1"/>
    <row r="26" spans="1:13" ht="30" customHeight="1"/>
    <row r="27" spans="1:13" ht="30" customHeight="1"/>
    <row r="28" spans="1:13" ht="30" customHeight="1"/>
    <row r="29" spans="1:13" ht="30" customHeight="1"/>
    <row r="30" spans="1:13" ht="30" customHeight="1"/>
  </sheetData>
  <phoneticPr fontId="29"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ADC0-861B-47F1-895E-A452992871DF}">
  <dimension ref="A1:N30"/>
  <sheetViews>
    <sheetView workbookViewId="0">
      <selection activeCell="K5" sqref="K5"/>
    </sheetView>
  </sheetViews>
  <sheetFormatPr defaultRowHeight="15"/>
  <cols>
    <col min="1" max="1" width="10.710937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14" ht="18.75">
      <c r="A1" s="117" t="s">
        <v>1185</v>
      </c>
    </row>
    <row r="2" spans="1:14">
      <c r="A2" t="str">
        <f>E27&amp;"세트 · 운동 "&amp;I27&amp;"분 + 웜업 15분 = "&amp;(I27+15)&amp;"분"</f>
        <v>30세트 · 운동 76분 + 웜업 15분 = 91분</v>
      </c>
    </row>
    <row r="4" spans="1:14">
      <c r="A4" s="107" t="s">
        <v>1186</v>
      </c>
    </row>
    <row r="5" spans="1:14">
      <c r="A5" s="108" t="s">
        <v>255</v>
      </c>
      <c r="B5" s="108" t="s">
        <v>330</v>
      </c>
      <c r="C5" s="108" t="s">
        <v>148</v>
      </c>
    </row>
    <row r="6" spans="1:14">
      <c r="A6" s="109">
        <f>MAX(20,(MROUND(시작중량_설정!$E$8*0.4,1)+(MOD(MROUND(시작중량_설정!$E$8*0.4,1),5)=4)))</f>
        <v>32</v>
      </c>
      <c r="B6" s="109">
        <v>5</v>
      </c>
      <c r="C6" s="109">
        <v>2</v>
      </c>
    </row>
    <row r="7" spans="1:14">
      <c r="A7" s="109">
        <f>IF(MAX(20,(MROUND(시작중량_설정!$E$8*0.6,1)+(MOD(MROUND(시작중량_설정!$E$8*0.6,1),5)=4)))&lt;=MAX(20,(MROUND(시작중량_설정!$E$8*0.4,1)+(MOD(MROUND(시작중량_설정!$E$8*0.4,1),5)=4))),"생략",MAX(20,(MROUND(시작중량_설정!$E$8*0.6,1)+(MOD(MROUND(시작중량_설정!$E$8*0.6,1),5)=4))))</f>
        <v>48</v>
      </c>
      <c r="B7" s="109">
        <v>5</v>
      </c>
      <c r="C7" s="109">
        <v>1</v>
      </c>
    </row>
    <row r="8" spans="1:14">
      <c r="A8" s="109">
        <f>IF(MAX(20,(MROUND(시작중량_설정!$E$8*0.75,1)+(MOD(MROUND(시작중량_설정!$E$8*0.75,1),5)=4)))&lt;=MAX(20,(MROUND(시작중량_설정!$E$8*0.6,1)+(MOD(MROUND(시작중량_설정!$E$8*0.6,1),5)=4))),"생략",MAX(20,(MROUND(시작중량_설정!$E$8*0.75,1)+(MOD(MROUND(시작중량_설정!$E$8*0.75,1),5)=4))))</f>
        <v>60</v>
      </c>
      <c r="B8" s="109">
        <v>3</v>
      </c>
      <c r="C8" s="109">
        <v>1</v>
      </c>
    </row>
    <row r="9" spans="1:14">
      <c r="A9" s="109">
        <f>IF(MAX(20,(MROUND(시작중량_설정!$E$8*0.9,1)+(MOD(MROUND(시작중량_설정!$E$8*0.9,1),5)=4)))&lt;=MAX(20,(MROUND(시작중량_설정!$E$8*0.75,1)+(MOD(MROUND(시작중량_설정!$E$8*0.75,1),5)=4))),"생략",MAX(20,(MROUND(시작중량_설정!$E$8*0.9,1)+(MOD(MROUND(시작중량_설정!$E$8*0.9,1),5)=4))))</f>
        <v>72</v>
      </c>
      <c r="B9" s="109">
        <v>2</v>
      </c>
      <c r="C9" s="109">
        <v>1</v>
      </c>
    </row>
    <row r="10" spans="1:14">
      <c r="A10" s="109">
        <f>시작중량_설정!$E$8</f>
        <v>80</v>
      </c>
      <c r="B10" s="109">
        <v>5</v>
      </c>
      <c r="C10" s="109">
        <v>1</v>
      </c>
    </row>
    <row r="12" spans="1:14">
      <c r="A12" s="99" t="s">
        <v>1083</v>
      </c>
    </row>
    <row r="13" spans="1:14">
      <c r="A13" t="s">
        <v>1278</v>
      </c>
    </row>
    <row r="14" spans="1:14">
      <c r="A14" t="s">
        <v>1280</v>
      </c>
    </row>
    <row r="15" spans="1:14">
      <c r="A15" s="99" t="s">
        <v>1084</v>
      </c>
    </row>
    <row r="16" spans="1:14">
      <c r="A16" s="131" t="s">
        <v>253</v>
      </c>
      <c r="B16" s="131" t="s">
        <v>1085</v>
      </c>
      <c r="C16" s="131" t="s">
        <v>1086</v>
      </c>
      <c r="D16" s="131" t="s">
        <v>1087</v>
      </c>
      <c r="E16" s="131" t="s">
        <v>1088</v>
      </c>
      <c r="F16" s="131" t="s">
        <v>1089</v>
      </c>
      <c r="G16" s="131" t="s">
        <v>1090</v>
      </c>
      <c r="H16" s="131" t="s">
        <v>1091</v>
      </c>
      <c r="I16" s="131" t="s">
        <v>1092</v>
      </c>
      <c r="J16" s="131" t="s">
        <v>1093</v>
      </c>
      <c r="K16" s="131" t="s">
        <v>1094</v>
      </c>
      <c r="L16" s="131" t="s">
        <v>1095</v>
      </c>
      <c r="M16" s="131" t="s">
        <v>1096</v>
      </c>
      <c r="N16" s="131" t="s">
        <v>1097</v>
      </c>
    </row>
    <row r="17" spans="1:13">
      <c r="A17">
        <v>1</v>
      </c>
      <c r="B17" t="s">
        <v>84</v>
      </c>
      <c r="C17" t="s">
        <v>375</v>
      </c>
      <c r="D17" s="132">
        <f>시작중량_설정!$E$8</f>
        <v>80</v>
      </c>
      <c r="E17">
        <v>1</v>
      </c>
      <c r="F17" s="133" t="s">
        <v>338</v>
      </c>
      <c r="G17">
        <v>30</v>
      </c>
      <c r="H17">
        <v>180</v>
      </c>
      <c r="I17">
        <f t="shared" ref="I17:I26" si="0">IF(E17=0,0,ROUND((E17*(G17+H17)+N17)/60,1))</f>
        <v>3.5</v>
      </c>
      <c r="J17" s="134" t="s">
        <v>1187</v>
      </c>
      <c r="K17" s="134" t="s">
        <v>1188</v>
      </c>
    </row>
    <row r="18" spans="1:13">
      <c r="A18">
        <v>2</v>
      </c>
      <c r="B18" t="s">
        <v>910</v>
      </c>
      <c r="C18" t="s">
        <v>375</v>
      </c>
      <c r="D18">
        <f>MAX(20,MROUND(시작중량_설정!$E$8*0.82,1))</f>
        <v>66</v>
      </c>
      <c r="E18">
        <v>2</v>
      </c>
      <c r="F18" s="133" t="s">
        <v>338</v>
      </c>
      <c r="G18">
        <v>30</v>
      </c>
      <c r="H18">
        <v>180</v>
      </c>
      <c r="I18">
        <f t="shared" si="0"/>
        <v>7</v>
      </c>
      <c r="J18" s="134" t="s">
        <v>1189</v>
      </c>
      <c r="K18" s="134"/>
    </row>
    <row r="19" spans="1:13" ht="15" customHeight="1">
      <c r="A19">
        <v>3</v>
      </c>
      <c r="B19" t="s">
        <v>559</v>
      </c>
      <c r="C19" t="s">
        <v>384</v>
      </c>
      <c r="D19" s="132">
        <f>시작중량_설정!$E$15</f>
        <v>50</v>
      </c>
      <c r="E19">
        <v>3</v>
      </c>
      <c r="F19" s="133" t="s">
        <v>309</v>
      </c>
      <c r="G19">
        <v>45</v>
      </c>
      <c r="H19">
        <v>150</v>
      </c>
      <c r="I19">
        <f t="shared" si="0"/>
        <v>9.8000000000000007</v>
      </c>
      <c r="J19" s="134" t="s">
        <v>1190</v>
      </c>
      <c r="K19" s="134" t="s">
        <v>1191</v>
      </c>
    </row>
    <row r="20" spans="1:13" ht="30" customHeight="1">
      <c r="A20">
        <v>4</v>
      </c>
      <c r="B20" t="s">
        <v>556</v>
      </c>
      <c r="C20" t="s">
        <v>375</v>
      </c>
      <c r="D20" s="132">
        <f>시작중량_설정!$E$16</f>
        <v>25</v>
      </c>
      <c r="E20">
        <v>4</v>
      </c>
      <c r="F20" s="133" t="s">
        <v>314</v>
      </c>
      <c r="G20">
        <v>40</v>
      </c>
      <c r="H20">
        <v>120</v>
      </c>
      <c r="I20">
        <f t="shared" si="0"/>
        <v>10.7</v>
      </c>
      <c r="J20" s="134" t="s">
        <v>1192</v>
      </c>
      <c r="K20" s="134" t="s">
        <v>1193</v>
      </c>
    </row>
    <row r="21" spans="1:13" ht="30" customHeight="1">
      <c r="A21">
        <v>5</v>
      </c>
      <c r="B21" t="s">
        <v>1194</v>
      </c>
      <c r="C21" t="s">
        <v>384</v>
      </c>
      <c r="D21">
        <v>30</v>
      </c>
      <c r="E21">
        <v>3</v>
      </c>
      <c r="F21" s="133" t="s">
        <v>1151</v>
      </c>
      <c r="G21">
        <v>60</v>
      </c>
      <c r="H21">
        <v>120</v>
      </c>
      <c r="I21">
        <f t="shared" si="0"/>
        <v>9</v>
      </c>
      <c r="J21" s="134"/>
      <c r="K21" s="134" t="s">
        <v>1195</v>
      </c>
    </row>
    <row r="22" spans="1:13" ht="30" customHeight="1">
      <c r="A22">
        <v>6</v>
      </c>
      <c r="B22" t="s">
        <v>392</v>
      </c>
      <c r="C22" t="s">
        <v>393</v>
      </c>
      <c r="D22">
        <v>60</v>
      </c>
      <c r="E22">
        <v>3</v>
      </c>
      <c r="F22" s="133" t="s">
        <v>289</v>
      </c>
      <c r="G22">
        <v>40</v>
      </c>
      <c r="H22">
        <v>10</v>
      </c>
      <c r="I22">
        <f t="shared" si="0"/>
        <v>2.5</v>
      </c>
      <c r="J22" s="134" t="s">
        <v>1196</v>
      </c>
      <c r="K22" s="134" t="s">
        <v>492</v>
      </c>
      <c r="M22" t="s">
        <v>391</v>
      </c>
    </row>
    <row r="23" spans="1:13" ht="30" customHeight="1">
      <c r="A23">
        <v>7</v>
      </c>
      <c r="B23" t="s">
        <v>387</v>
      </c>
      <c r="C23" t="s">
        <v>388</v>
      </c>
      <c r="D23">
        <v>40</v>
      </c>
      <c r="E23">
        <v>3</v>
      </c>
      <c r="F23" s="133" t="s">
        <v>289</v>
      </c>
      <c r="G23">
        <v>40</v>
      </c>
      <c r="H23">
        <v>120</v>
      </c>
      <c r="I23">
        <f t="shared" si="0"/>
        <v>8</v>
      </c>
      <c r="J23" s="134" t="s">
        <v>1197</v>
      </c>
      <c r="K23" s="134" t="s">
        <v>1198</v>
      </c>
      <c r="M23" t="s">
        <v>391</v>
      </c>
    </row>
    <row r="24" spans="1:13" ht="30" customHeight="1">
      <c r="A24">
        <v>8</v>
      </c>
      <c r="B24" t="s">
        <v>567</v>
      </c>
      <c r="C24" t="s">
        <v>369</v>
      </c>
      <c r="D24">
        <v>47</v>
      </c>
      <c r="E24">
        <v>3</v>
      </c>
      <c r="F24" s="133" t="s">
        <v>289</v>
      </c>
      <c r="G24">
        <v>40</v>
      </c>
      <c r="H24">
        <v>120</v>
      </c>
      <c r="I24">
        <f t="shared" si="0"/>
        <v>8</v>
      </c>
      <c r="J24" s="134"/>
      <c r="K24" s="134"/>
    </row>
    <row r="25" spans="1:13" ht="30" customHeight="1">
      <c r="A25">
        <v>9</v>
      </c>
      <c r="B25" t="s">
        <v>307</v>
      </c>
      <c r="C25" t="s">
        <v>308</v>
      </c>
      <c r="D25">
        <v>16</v>
      </c>
      <c r="E25">
        <v>5</v>
      </c>
      <c r="F25" s="133" t="s">
        <v>289</v>
      </c>
      <c r="G25">
        <v>40</v>
      </c>
      <c r="H25">
        <v>75</v>
      </c>
      <c r="I25">
        <f t="shared" si="0"/>
        <v>9.6</v>
      </c>
      <c r="J25" s="134" t="s">
        <v>1199</v>
      </c>
      <c r="K25" s="134" t="s">
        <v>1106</v>
      </c>
    </row>
    <row r="26" spans="1:13" ht="30" customHeight="1">
      <c r="A26">
        <v>10</v>
      </c>
      <c r="B26" t="s">
        <v>1200</v>
      </c>
      <c r="C26" t="s">
        <v>384</v>
      </c>
      <c r="D26" t="s">
        <v>27</v>
      </c>
      <c r="E26">
        <v>3</v>
      </c>
      <c r="F26" s="133" t="s">
        <v>350</v>
      </c>
      <c r="G26">
        <v>40</v>
      </c>
      <c r="H26">
        <v>120</v>
      </c>
      <c r="I26">
        <f t="shared" si="0"/>
        <v>8</v>
      </c>
      <c r="J26" s="134" t="s">
        <v>1276</v>
      </c>
      <c r="K26" s="134" t="s">
        <v>1195</v>
      </c>
    </row>
    <row r="27" spans="1:13" ht="30" customHeight="1">
      <c r="D27" s="99" t="s">
        <v>1112</v>
      </c>
      <c r="E27" s="99">
        <f>SUM(E17:E26)</f>
        <v>30</v>
      </c>
      <c r="F27" s="99"/>
      <c r="G27" s="99"/>
      <c r="H27" s="99"/>
      <c r="I27" s="99">
        <f>ROUND(SUM(I17:I26),0)</f>
        <v>76</v>
      </c>
    </row>
    <row r="28" spans="1:13" ht="30" customHeight="1"/>
    <row r="29" spans="1:13" ht="30" customHeight="1"/>
    <row r="30" spans="1:13" ht="30" customHeight="1"/>
  </sheetData>
  <phoneticPr fontId="29"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D0D7-C79C-4570-BA91-80502AB77F19}">
  <dimension ref="A1:N30"/>
  <sheetViews>
    <sheetView workbookViewId="0">
      <selection activeCell="K5" sqref="K5"/>
    </sheetView>
  </sheetViews>
  <sheetFormatPr defaultRowHeight="15"/>
  <cols>
    <col min="1" max="1" width="10.710937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14" ht="18.75">
      <c r="A1" s="117" t="s">
        <v>1201</v>
      </c>
    </row>
    <row r="2" spans="1:14">
      <c r="A2" t="str">
        <f>E23&amp;"세트 · 운동 "&amp;I23&amp;"분 + 웜업 6분 = "&amp;(I23+6)&amp;"분"</f>
        <v>43세트 · 운동 77분 + 웜업 6분 = 83분</v>
      </c>
    </row>
    <row r="4" spans="1:14">
      <c r="A4" s="99" t="s">
        <v>1083</v>
      </c>
    </row>
    <row r="5" spans="1:14">
      <c r="A5" t="s">
        <v>1202</v>
      </c>
    </row>
    <row r="7" spans="1:14">
      <c r="A7" s="99" t="s">
        <v>1084</v>
      </c>
    </row>
    <row r="8" spans="1:14">
      <c r="A8" s="131" t="s">
        <v>253</v>
      </c>
      <c r="B8" s="131" t="s">
        <v>1085</v>
      </c>
      <c r="C8" s="131" t="s">
        <v>1086</v>
      </c>
      <c r="D8" s="131" t="s">
        <v>1087</v>
      </c>
      <c r="E8" s="131" t="s">
        <v>1088</v>
      </c>
      <c r="F8" s="131" t="s">
        <v>1089</v>
      </c>
      <c r="G8" s="131" t="s">
        <v>1090</v>
      </c>
      <c r="H8" s="131" t="s">
        <v>1091</v>
      </c>
      <c r="I8" s="131" t="s">
        <v>1092</v>
      </c>
      <c r="J8" s="131" t="s">
        <v>1093</v>
      </c>
      <c r="K8" s="131" t="s">
        <v>1094</v>
      </c>
      <c r="L8" s="131" t="s">
        <v>1095</v>
      </c>
      <c r="M8" s="131" t="s">
        <v>1096</v>
      </c>
      <c r="N8" s="131" t="s">
        <v>1097</v>
      </c>
    </row>
    <row r="9" spans="1:14" ht="30">
      <c r="A9">
        <v>1</v>
      </c>
      <c r="B9" t="s">
        <v>1203</v>
      </c>
      <c r="C9" t="s">
        <v>267</v>
      </c>
      <c r="D9">
        <v>45</v>
      </c>
      <c r="E9">
        <v>3</v>
      </c>
      <c r="F9" s="133" t="s">
        <v>268</v>
      </c>
      <c r="G9">
        <v>35</v>
      </c>
      <c r="H9">
        <v>150</v>
      </c>
      <c r="I9">
        <f t="shared" ref="I9:I22" si="0">IF(E9=0,0,ROUND((E9*(G9+H9)+N9)/60,1))</f>
        <v>9.3000000000000007</v>
      </c>
      <c r="J9" s="134" t="s">
        <v>1204</v>
      </c>
      <c r="K9" s="134" t="s">
        <v>1205</v>
      </c>
    </row>
    <row r="10" spans="1:14" ht="30">
      <c r="A10">
        <v>2</v>
      </c>
      <c r="B10" t="s">
        <v>1063</v>
      </c>
      <c r="C10" t="s">
        <v>349</v>
      </c>
      <c r="D10" s="132">
        <f>시작중량_설정!$E$22</f>
        <v>40</v>
      </c>
      <c r="E10">
        <v>3</v>
      </c>
      <c r="F10" s="133" t="s">
        <v>489</v>
      </c>
      <c r="G10">
        <v>40</v>
      </c>
      <c r="H10">
        <v>10</v>
      </c>
      <c r="I10">
        <f t="shared" si="0"/>
        <v>2.5</v>
      </c>
      <c r="J10" s="134" t="s">
        <v>1206</v>
      </c>
      <c r="K10" s="134" t="s">
        <v>1207</v>
      </c>
      <c r="M10" t="s">
        <v>391</v>
      </c>
    </row>
    <row r="11" spans="1:14">
      <c r="A11">
        <v>3</v>
      </c>
      <c r="B11" t="s">
        <v>1208</v>
      </c>
      <c r="C11" t="s">
        <v>267</v>
      </c>
      <c r="D11">
        <v>55</v>
      </c>
      <c r="E11">
        <v>3</v>
      </c>
      <c r="F11" s="133" t="s">
        <v>350</v>
      </c>
      <c r="G11">
        <v>40</v>
      </c>
      <c r="H11">
        <v>150</v>
      </c>
      <c r="I11">
        <f t="shared" si="0"/>
        <v>9.5</v>
      </c>
      <c r="J11" s="134" t="s">
        <v>1209</v>
      </c>
      <c r="K11" s="134"/>
      <c r="M11" t="s">
        <v>391</v>
      </c>
    </row>
    <row r="12" spans="1:14">
      <c r="A12">
        <v>4</v>
      </c>
      <c r="B12" t="s">
        <v>1070</v>
      </c>
      <c r="C12" t="s">
        <v>267</v>
      </c>
      <c r="D12">
        <v>60</v>
      </c>
      <c r="E12">
        <v>3</v>
      </c>
      <c r="F12" s="133" t="s">
        <v>350</v>
      </c>
      <c r="G12">
        <v>40</v>
      </c>
      <c r="H12">
        <v>10</v>
      </c>
      <c r="I12">
        <f t="shared" si="0"/>
        <v>2.5</v>
      </c>
      <c r="J12" s="134" t="s">
        <v>1210</v>
      </c>
      <c r="K12" s="134"/>
      <c r="M12" t="s">
        <v>1108</v>
      </c>
    </row>
    <row r="13" spans="1:14">
      <c r="A13">
        <v>5</v>
      </c>
      <c r="B13" t="s">
        <v>517</v>
      </c>
      <c r="C13" t="s">
        <v>349</v>
      </c>
      <c r="D13" s="132">
        <f>시작중량_설정!$E$12</f>
        <v>42</v>
      </c>
      <c r="E13">
        <v>3</v>
      </c>
      <c r="F13" s="133" t="s">
        <v>309</v>
      </c>
      <c r="G13">
        <v>40</v>
      </c>
      <c r="H13">
        <v>150</v>
      </c>
      <c r="I13">
        <f t="shared" si="0"/>
        <v>9.5</v>
      </c>
      <c r="J13" s="134" t="s">
        <v>1211</v>
      </c>
      <c r="K13" s="134" t="s">
        <v>1212</v>
      </c>
      <c r="M13" t="s">
        <v>1108</v>
      </c>
    </row>
    <row r="14" spans="1:14">
      <c r="A14">
        <v>6</v>
      </c>
      <c r="B14" t="s">
        <v>427</v>
      </c>
      <c r="C14" t="s">
        <v>337</v>
      </c>
      <c r="D14">
        <v>35</v>
      </c>
      <c r="E14">
        <v>3</v>
      </c>
      <c r="F14" s="133" t="s">
        <v>289</v>
      </c>
      <c r="G14">
        <v>40</v>
      </c>
      <c r="H14">
        <v>10</v>
      </c>
      <c r="I14">
        <f t="shared" si="0"/>
        <v>2.5</v>
      </c>
      <c r="J14" s="134" t="s">
        <v>1213</v>
      </c>
      <c r="K14" s="134" t="s">
        <v>1214</v>
      </c>
      <c r="M14" t="s">
        <v>659</v>
      </c>
    </row>
    <row r="15" spans="1:14">
      <c r="A15">
        <v>7</v>
      </c>
      <c r="B15" t="s">
        <v>902</v>
      </c>
      <c r="C15" t="s">
        <v>358</v>
      </c>
      <c r="D15">
        <v>35</v>
      </c>
      <c r="E15">
        <v>4</v>
      </c>
      <c r="F15" s="133" t="s">
        <v>289</v>
      </c>
      <c r="G15">
        <v>40</v>
      </c>
      <c r="H15">
        <v>105</v>
      </c>
      <c r="I15">
        <f t="shared" si="0"/>
        <v>9.6999999999999993</v>
      </c>
      <c r="J15" s="134" t="s">
        <v>1215</v>
      </c>
      <c r="K15" s="134" t="s">
        <v>410</v>
      </c>
      <c r="M15" t="s">
        <v>659</v>
      </c>
    </row>
    <row r="16" spans="1:14">
      <c r="A16">
        <v>8</v>
      </c>
      <c r="B16" t="s">
        <v>353</v>
      </c>
      <c r="C16" t="s">
        <v>354</v>
      </c>
      <c r="D16">
        <v>8</v>
      </c>
      <c r="E16">
        <v>4</v>
      </c>
      <c r="F16" s="133" t="s">
        <v>289</v>
      </c>
      <c r="G16">
        <v>40</v>
      </c>
      <c r="H16">
        <v>60</v>
      </c>
      <c r="I16">
        <f t="shared" si="0"/>
        <v>6.7</v>
      </c>
      <c r="J16" s="134"/>
      <c r="K16" s="134" t="s">
        <v>1172</v>
      </c>
    </row>
    <row r="17" spans="1:13">
      <c r="A17">
        <v>9</v>
      </c>
      <c r="B17" t="s">
        <v>591</v>
      </c>
      <c r="C17" t="s">
        <v>269</v>
      </c>
      <c r="D17">
        <v>6</v>
      </c>
      <c r="E17">
        <v>3</v>
      </c>
      <c r="F17" s="133" t="s">
        <v>350</v>
      </c>
      <c r="G17">
        <v>40</v>
      </c>
      <c r="H17">
        <v>10</v>
      </c>
      <c r="I17">
        <f t="shared" si="0"/>
        <v>2.5</v>
      </c>
      <c r="J17" s="134" t="s">
        <v>1216</v>
      </c>
      <c r="K17" s="134"/>
      <c r="M17" t="s">
        <v>1217</v>
      </c>
    </row>
    <row r="18" spans="1:13">
      <c r="A18">
        <v>10</v>
      </c>
      <c r="B18" t="s">
        <v>1007</v>
      </c>
      <c r="C18" t="s">
        <v>269</v>
      </c>
      <c r="D18">
        <v>8</v>
      </c>
      <c r="E18">
        <v>3</v>
      </c>
      <c r="F18" s="133" t="s">
        <v>350</v>
      </c>
      <c r="G18">
        <v>40</v>
      </c>
      <c r="H18">
        <v>75</v>
      </c>
      <c r="I18">
        <f t="shared" si="0"/>
        <v>5.8</v>
      </c>
      <c r="J18" s="134"/>
      <c r="K18" s="134"/>
      <c r="M18" t="s">
        <v>1217</v>
      </c>
    </row>
    <row r="19" spans="1:13" ht="15" customHeight="1">
      <c r="A19">
        <v>11</v>
      </c>
      <c r="B19" t="s">
        <v>905</v>
      </c>
      <c r="C19" t="s">
        <v>295</v>
      </c>
      <c r="D19">
        <v>20</v>
      </c>
      <c r="E19">
        <v>2</v>
      </c>
      <c r="F19" s="133" t="s">
        <v>1069</v>
      </c>
      <c r="G19">
        <v>40</v>
      </c>
      <c r="H19">
        <v>10</v>
      </c>
      <c r="I19">
        <f t="shared" si="0"/>
        <v>1.7</v>
      </c>
      <c r="J19" s="134" t="s">
        <v>1163</v>
      </c>
      <c r="K19" s="134"/>
      <c r="M19" t="s">
        <v>1218</v>
      </c>
    </row>
    <row r="20" spans="1:13" ht="30" customHeight="1">
      <c r="A20">
        <v>12</v>
      </c>
      <c r="B20" t="s">
        <v>594</v>
      </c>
      <c r="C20" t="s">
        <v>295</v>
      </c>
      <c r="D20">
        <v>15</v>
      </c>
      <c r="E20">
        <v>3</v>
      </c>
      <c r="F20" s="133" t="s">
        <v>1069</v>
      </c>
      <c r="G20">
        <v>40</v>
      </c>
      <c r="H20">
        <v>60</v>
      </c>
      <c r="I20">
        <f t="shared" si="0"/>
        <v>5</v>
      </c>
      <c r="J20" s="134" t="s">
        <v>1109</v>
      </c>
      <c r="K20" s="134"/>
      <c r="M20" t="s">
        <v>1218</v>
      </c>
    </row>
    <row r="21" spans="1:13" ht="30" customHeight="1">
      <c r="A21">
        <v>13</v>
      </c>
      <c r="B21" t="s">
        <v>1219</v>
      </c>
      <c r="C21" t="s">
        <v>299</v>
      </c>
      <c r="D21" t="s">
        <v>27</v>
      </c>
      <c r="E21">
        <v>3</v>
      </c>
      <c r="F21" s="133" t="s">
        <v>1069</v>
      </c>
      <c r="G21">
        <v>40</v>
      </c>
      <c r="H21">
        <v>60</v>
      </c>
      <c r="I21">
        <f t="shared" si="0"/>
        <v>5</v>
      </c>
      <c r="J21" s="134"/>
      <c r="K21" s="134"/>
    </row>
    <row r="22" spans="1:13" ht="30" customHeight="1">
      <c r="A22">
        <v>14</v>
      </c>
      <c r="B22" t="s">
        <v>318</v>
      </c>
      <c r="C22" t="s">
        <v>313</v>
      </c>
      <c r="D22">
        <v>12</v>
      </c>
      <c r="E22">
        <v>3</v>
      </c>
      <c r="F22" s="133" t="s">
        <v>289</v>
      </c>
      <c r="G22">
        <v>40</v>
      </c>
      <c r="H22">
        <v>60</v>
      </c>
      <c r="I22">
        <f t="shared" si="0"/>
        <v>5</v>
      </c>
      <c r="J22" s="134" t="s">
        <v>1164</v>
      </c>
      <c r="K22" s="134"/>
    </row>
    <row r="23" spans="1:13" ht="30" customHeight="1">
      <c r="D23" s="99" t="s">
        <v>1112</v>
      </c>
      <c r="E23" s="99">
        <f>SUM(E9:E22)</f>
        <v>43</v>
      </c>
      <c r="F23" s="99"/>
      <c r="G23" s="99"/>
      <c r="H23" s="99"/>
      <c r="I23" s="99">
        <f>ROUND(SUM(I9:I22),0)</f>
        <v>77</v>
      </c>
    </row>
    <row r="24" spans="1:13" ht="30" customHeight="1"/>
    <row r="25" spans="1:13" ht="30" customHeight="1"/>
    <row r="26" spans="1:13" ht="30" customHeight="1"/>
    <row r="27" spans="1:13" ht="30" customHeight="1"/>
    <row r="28" spans="1:13" ht="30" customHeight="1"/>
    <row r="29" spans="1:13" ht="30" customHeight="1"/>
    <row r="30" spans="1:13" ht="30" customHeight="1"/>
  </sheetData>
  <phoneticPr fontId="29"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EB96-3FB4-4EEC-91DF-8F1D1DE0F64B}">
  <dimension ref="A1:E19"/>
  <sheetViews>
    <sheetView workbookViewId="0">
      <selection activeCell="C30" sqref="C30"/>
    </sheetView>
  </sheetViews>
  <sheetFormatPr defaultRowHeight="15"/>
  <cols>
    <col min="1" max="1" width="14.7109375" customWidth="1"/>
    <col min="2" max="2" width="36.7109375" customWidth="1"/>
    <col min="3" max="3" width="22.7109375" customWidth="1"/>
    <col min="4" max="4" width="14.7109375" customWidth="1"/>
    <col min="5" max="5" width="24.7109375" customWidth="1"/>
  </cols>
  <sheetData>
    <row r="1" spans="1:5" ht="18.75">
      <c r="A1" s="117" t="s">
        <v>1005</v>
      </c>
    </row>
    <row r="2" spans="1:5">
      <c r="A2" t="s">
        <v>986</v>
      </c>
    </row>
    <row r="4" spans="1:5">
      <c r="A4" s="99" t="s">
        <v>1006</v>
      </c>
    </row>
    <row r="5" spans="1:5">
      <c r="A5" s="127" t="s">
        <v>987</v>
      </c>
      <c r="B5" s="127" t="s">
        <v>988</v>
      </c>
      <c r="C5" s="127" t="s">
        <v>989</v>
      </c>
      <c r="D5" s="127" t="s">
        <v>990</v>
      </c>
      <c r="E5" s="127" t="s">
        <v>922</v>
      </c>
    </row>
    <row r="6" spans="1:5">
      <c r="A6" s="126">
        <v>46301</v>
      </c>
      <c r="B6" t="s">
        <v>991</v>
      </c>
      <c r="C6" t="s">
        <v>992</v>
      </c>
      <c r="D6" t="s">
        <v>28</v>
      </c>
      <c r="E6" t="s">
        <v>993</v>
      </c>
    </row>
    <row r="7" spans="1:5">
      <c r="A7" s="126">
        <v>46307</v>
      </c>
      <c r="B7" t="s">
        <v>994</v>
      </c>
      <c r="C7" t="s">
        <v>992</v>
      </c>
      <c r="D7" t="s">
        <v>28</v>
      </c>
      <c r="E7" t="s">
        <v>993</v>
      </c>
    </row>
    <row r="8" spans="1:5">
      <c r="A8" s="126">
        <v>46319</v>
      </c>
      <c r="B8" t="s">
        <v>994</v>
      </c>
      <c r="C8" t="s">
        <v>992</v>
      </c>
      <c r="D8" t="s">
        <v>995</v>
      </c>
      <c r="E8" t="s">
        <v>993</v>
      </c>
    </row>
    <row r="10" spans="1:5">
      <c r="A10" s="99" t="s">
        <v>917</v>
      </c>
    </row>
    <row r="11" spans="1:5">
      <c r="A11" t="s">
        <v>996</v>
      </c>
    </row>
    <row r="12" spans="1:5">
      <c r="A12" t="s">
        <v>997</v>
      </c>
    </row>
    <row r="13" spans="1:5">
      <c r="A13" t="s">
        <v>998</v>
      </c>
    </row>
    <row r="14" spans="1:5">
      <c r="A14" t="s">
        <v>999</v>
      </c>
    </row>
    <row r="15" spans="1:5">
      <c r="A15" t="s">
        <v>1000</v>
      </c>
    </row>
    <row r="16" spans="1:5">
      <c r="A16" t="s">
        <v>1001</v>
      </c>
    </row>
    <row r="17" spans="1:1">
      <c r="A17" t="s">
        <v>1002</v>
      </c>
    </row>
    <row r="18" spans="1:1">
      <c r="A18" t="s">
        <v>1003</v>
      </c>
    </row>
    <row r="19" spans="1:1">
      <c r="A19" t="s">
        <v>1004</v>
      </c>
    </row>
  </sheetData>
  <phoneticPr fontId="2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DDD8-3AB2-43B2-A3B8-DBF53736B372}">
  <dimension ref="A1:G36"/>
  <sheetViews>
    <sheetView workbookViewId="0">
      <selection activeCell="A35" sqref="A35:XFD35"/>
    </sheetView>
  </sheetViews>
  <sheetFormatPr defaultRowHeight="12.75"/>
  <cols>
    <col min="1" max="1" width="14.7109375" style="116" customWidth="1"/>
    <col min="2" max="2" width="30.7109375" style="116" customWidth="1"/>
    <col min="3" max="5" width="14.7109375" style="116" customWidth="1"/>
    <col min="6" max="6" width="50.7109375" style="116" customWidth="1"/>
    <col min="7" max="16384" width="9.140625" style="116"/>
  </cols>
  <sheetData>
    <row r="1" spans="1:6" ht="18.75">
      <c r="A1" s="117" t="s">
        <v>964</v>
      </c>
    </row>
    <row r="2" spans="1:6">
      <c r="A2" s="116" t="s">
        <v>1073</v>
      </c>
    </row>
    <row r="4" spans="1:6" ht="15">
      <c r="A4" s="99" t="s">
        <v>917</v>
      </c>
    </row>
    <row r="5" spans="1:6">
      <c r="A5" s="118" t="s">
        <v>2</v>
      </c>
      <c r="B5" s="118" t="s">
        <v>145</v>
      </c>
      <c r="C5" s="119"/>
      <c r="D5" s="119"/>
      <c r="E5" s="119"/>
      <c r="F5" s="118" t="s">
        <v>5</v>
      </c>
    </row>
    <row r="6" spans="1:6">
      <c r="A6" s="116" t="s">
        <v>891</v>
      </c>
      <c r="B6" s="144" t="s">
        <v>918</v>
      </c>
      <c r="C6" s="144"/>
      <c r="D6" s="144"/>
      <c r="E6" s="144"/>
      <c r="F6" s="116" t="s">
        <v>919</v>
      </c>
    </row>
    <row r="7" spans="1:6">
      <c r="A7" s="116" t="s">
        <v>76</v>
      </c>
      <c r="B7" s="144" t="s">
        <v>920</v>
      </c>
      <c r="C7" s="144"/>
      <c r="D7" s="144"/>
      <c r="E7" s="144"/>
      <c r="F7" s="116" t="s">
        <v>921</v>
      </c>
    </row>
    <row r="8" spans="1:6">
      <c r="A8" s="116" t="s">
        <v>922</v>
      </c>
      <c r="B8" s="144" t="s">
        <v>1074</v>
      </c>
      <c r="C8" s="144"/>
      <c r="D8" s="144"/>
      <c r="E8" s="144"/>
      <c r="F8" s="116" t="s">
        <v>923</v>
      </c>
    </row>
    <row r="9" spans="1:6">
      <c r="A9" s="116" t="s">
        <v>924</v>
      </c>
      <c r="B9" s="144" t="s">
        <v>925</v>
      </c>
      <c r="C9" s="144"/>
      <c r="D9" s="144"/>
      <c r="E9" s="144"/>
      <c r="F9" s="116" t="s">
        <v>926</v>
      </c>
    </row>
    <row r="10" spans="1:6">
      <c r="A10" s="116" t="s">
        <v>927</v>
      </c>
      <c r="B10" s="144" t="s">
        <v>1078</v>
      </c>
      <c r="C10" s="144"/>
      <c r="D10" s="144"/>
      <c r="E10" s="144"/>
      <c r="F10" s="116" t="s">
        <v>965</v>
      </c>
    </row>
    <row r="11" spans="1:6">
      <c r="A11" s="116" t="s">
        <v>928</v>
      </c>
      <c r="B11" s="144" t="s">
        <v>929</v>
      </c>
      <c r="C11" s="144"/>
      <c r="D11" s="144"/>
      <c r="E11" s="144"/>
      <c r="F11" s="116" t="s">
        <v>961</v>
      </c>
    </row>
    <row r="12" spans="1:6">
      <c r="A12" s="116" t="s">
        <v>9</v>
      </c>
      <c r="B12" s="144" t="s">
        <v>930</v>
      </c>
      <c r="C12" s="144"/>
      <c r="D12" s="144"/>
      <c r="E12" s="144"/>
      <c r="F12" s="116" t="s">
        <v>962</v>
      </c>
    </row>
    <row r="13" spans="1:6">
      <c r="A13" s="116" t="s">
        <v>931</v>
      </c>
      <c r="B13" s="144" t="s">
        <v>966</v>
      </c>
      <c r="C13" s="144"/>
      <c r="D13" s="144"/>
      <c r="E13" s="144"/>
      <c r="F13" s="116" t="s">
        <v>948</v>
      </c>
    </row>
    <row r="14" spans="1:6">
      <c r="A14" s="116" t="s">
        <v>932</v>
      </c>
      <c r="B14" s="144" t="s">
        <v>963</v>
      </c>
      <c r="C14" s="144"/>
      <c r="D14" s="144"/>
      <c r="E14" s="144"/>
      <c r="F14" s="116" t="s">
        <v>933</v>
      </c>
    </row>
    <row r="16" spans="1:6" ht="15">
      <c r="A16" s="120" t="s">
        <v>967</v>
      </c>
    </row>
    <row r="17" spans="1:7">
      <c r="A17" s="118" t="s">
        <v>968</v>
      </c>
      <c r="B17" s="118" t="s">
        <v>969</v>
      </c>
      <c r="C17" s="118" t="s">
        <v>934</v>
      </c>
      <c r="D17" s="118" t="s">
        <v>935</v>
      </c>
      <c r="E17" s="118" t="s">
        <v>936</v>
      </c>
      <c r="F17" s="118" t="s">
        <v>937</v>
      </c>
      <c r="G17" s="118" t="s">
        <v>1071</v>
      </c>
    </row>
    <row r="18" spans="1:7">
      <c r="A18" s="121">
        <v>1</v>
      </c>
      <c r="B18" s="123">
        <v>46298</v>
      </c>
      <c r="C18" s="121">
        <v>24</v>
      </c>
      <c r="D18" s="121">
        <f t="shared" ref="D18:D35" si="0">C18*2</f>
        <v>48</v>
      </c>
      <c r="E18" s="121"/>
      <c r="G18" s="116">
        <v>40</v>
      </c>
    </row>
    <row r="19" spans="1:7">
      <c r="A19" s="121">
        <v>2</v>
      </c>
      <c r="B19" s="123">
        <v>46302</v>
      </c>
      <c r="C19" s="121">
        <v>26</v>
      </c>
      <c r="D19" s="121">
        <f t="shared" si="0"/>
        <v>52</v>
      </c>
      <c r="E19" s="121"/>
      <c r="G19" s="116">
        <v>40</v>
      </c>
    </row>
    <row r="20" spans="1:7">
      <c r="A20" s="121">
        <v>3</v>
      </c>
      <c r="B20" s="123">
        <v>46305</v>
      </c>
      <c r="C20" s="121">
        <v>28</v>
      </c>
      <c r="D20" s="121">
        <f t="shared" si="0"/>
        <v>56</v>
      </c>
      <c r="E20" s="121"/>
      <c r="G20" s="116">
        <v>40</v>
      </c>
    </row>
    <row r="21" spans="1:7">
      <c r="A21" s="121">
        <v>4</v>
      </c>
      <c r="B21" s="123">
        <v>46309</v>
      </c>
      <c r="C21" s="121">
        <v>30</v>
      </c>
      <c r="D21" s="121">
        <f t="shared" si="0"/>
        <v>60</v>
      </c>
      <c r="E21" s="121"/>
      <c r="G21" s="116">
        <v>40</v>
      </c>
    </row>
    <row r="22" spans="1:7">
      <c r="A22" s="121">
        <v>5</v>
      </c>
      <c r="B22" s="123">
        <v>46312</v>
      </c>
      <c r="C22" s="121">
        <v>30</v>
      </c>
      <c r="D22" s="121">
        <f t="shared" si="0"/>
        <v>60</v>
      </c>
      <c r="E22" s="121"/>
      <c r="G22" s="116">
        <v>40</v>
      </c>
    </row>
    <row r="23" spans="1:7">
      <c r="A23" s="121">
        <v>6</v>
      </c>
      <c r="B23" s="123">
        <v>46316</v>
      </c>
      <c r="C23" s="121">
        <v>30</v>
      </c>
      <c r="D23" s="121">
        <f t="shared" si="0"/>
        <v>60</v>
      </c>
      <c r="E23" s="121"/>
      <c r="G23" s="116">
        <v>40</v>
      </c>
    </row>
    <row r="24" spans="1:7">
      <c r="A24" s="121">
        <v>7</v>
      </c>
      <c r="B24" s="123">
        <v>46319</v>
      </c>
      <c r="C24" s="121">
        <v>30</v>
      </c>
      <c r="D24" s="121">
        <f t="shared" si="0"/>
        <v>60</v>
      </c>
      <c r="E24" s="121">
        <v>30</v>
      </c>
      <c r="F24" s="116" t="s">
        <v>1072</v>
      </c>
      <c r="G24" s="116">
        <v>40</v>
      </c>
    </row>
    <row r="25" spans="1:7">
      <c r="A25" s="121">
        <v>8</v>
      </c>
      <c r="B25" s="123">
        <v>46323</v>
      </c>
      <c r="C25" s="121">
        <v>30</v>
      </c>
      <c r="D25" s="121">
        <f t="shared" si="0"/>
        <v>60</v>
      </c>
      <c r="E25" s="121"/>
      <c r="G25" s="116">
        <v>50</v>
      </c>
    </row>
    <row r="26" spans="1:7">
      <c r="A26" s="121">
        <v>9</v>
      </c>
      <c r="B26" s="123">
        <v>46326</v>
      </c>
      <c r="C26" s="121">
        <v>30</v>
      </c>
      <c r="D26" s="121">
        <f t="shared" si="0"/>
        <v>60</v>
      </c>
      <c r="E26" s="121"/>
      <c r="G26" s="116">
        <v>60</v>
      </c>
    </row>
    <row r="27" spans="1:7">
      <c r="A27" s="121">
        <v>10</v>
      </c>
      <c r="B27" s="123">
        <v>46330</v>
      </c>
      <c r="C27" s="121">
        <v>35</v>
      </c>
      <c r="D27" s="121">
        <f t="shared" si="0"/>
        <v>70</v>
      </c>
      <c r="E27" s="121"/>
      <c r="G27" s="116">
        <v>20</v>
      </c>
    </row>
    <row r="28" spans="1:7">
      <c r="A28" s="121">
        <v>11</v>
      </c>
      <c r="B28" s="123">
        <v>46333</v>
      </c>
      <c r="C28" s="121">
        <v>35</v>
      </c>
      <c r="D28" s="121">
        <f t="shared" si="0"/>
        <v>70</v>
      </c>
      <c r="E28" s="121"/>
      <c r="G28" s="116">
        <v>30</v>
      </c>
    </row>
    <row r="29" spans="1:7">
      <c r="A29" s="121">
        <v>12</v>
      </c>
      <c r="B29" s="123">
        <v>46337</v>
      </c>
      <c r="C29" s="121">
        <v>35</v>
      </c>
      <c r="D29" s="121">
        <f t="shared" si="0"/>
        <v>70</v>
      </c>
      <c r="E29" s="121"/>
      <c r="G29" s="116">
        <v>40</v>
      </c>
    </row>
    <row r="30" spans="1:7">
      <c r="A30" s="121">
        <v>13</v>
      </c>
      <c r="B30" s="123">
        <v>46340</v>
      </c>
      <c r="C30" s="121">
        <v>35</v>
      </c>
      <c r="D30" s="121">
        <f t="shared" si="0"/>
        <v>70</v>
      </c>
      <c r="E30" s="121"/>
      <c r="G30" s="116">
        <v>40</v>
      </c>
    </row>
    <row r="31" spans="1:7">
      <c r="A31" s="121">
        <v>14</v>
      </c>
      <c r="B31" s="123">
        <v>46344</v>
      </c>
      <c r="C31" s="121">
        <v>35</v>
      </c>
      <c r="D31" s="121">
        <f t="shared" si="0"/>
        <v>70</v>
      </c>
      <c r="E31" s="121"/>
      <c r="G31" s="116">
        <v>40</v>
      </c>
    </row>
    <row r="32" spans="1:7">
      <c r="A32" s="121">
        <v>15</v>
      </c>
      <c r="B32" s="123">
        <v>46347</v>
      </c>
      <c r="C32" s="121">
        <v>35</v>
      </c>
      <c r="D32" s="121">
        <f t="shared" si="0"/>
        <v>70</v>
      </c>
      <c r="E32" s="121"/>
      <c r="G32" s="116">
        <v>40</v>
      </c>
    </row>
    <row r="33" spans="1:7">
      <c r="A33" s="121">
        <v>16</v>
      </c>
      <c r="B33" s="123">
        <v>46351</v>
      </c>
      <c r="C33" s="121">
        <v>35</v>
      </c>
      <c r="D33" s="121">
        <f t="shared" si="0"/>
        <v>70</v>
      </c>
      <c r="E33" s="121"/>
      <c r="G33" s="116">
        <v>40</v>
      </c>
    </row>
    <row r="34" spans="1:7">
      <c r="A34" s="121">
        <v>17</v>
      </c>
      <c r="B34" s="123">
        <v>46354</v>
      </c>
      <c r="C34" s="121">
        <v>35</v>
      </c>
      <c r="D34" s="121">
        <f t="shared" si="0"/>
        <v>70</v>
      </c>
      <c r="E34" s="121"/>
      <c r="G34" s="116">
        <v>40</v>
      </c>
    </row>
    <row r="35" spans="1:7">
      <c r="A35" s="121">
        <v>18</v>
      </c>
      <c r="B35" s="123">
        <v>46358</v>
      </c>
      <c r="C35" s="121">
        <v>35</v>
      </c>
      <c r="D35" s="121">
        <f t="shared" si="0"/>
        <v>70</v>
      </c>
      <c r="E35" s="121"/>
      <c r="G35" s="116">
        <v>40</v>
      </c>
    </row>
    <row r="36" spans="1:7">
      <c r="A36" s="116" t="s">
        <v>1077</v>
      </c>
    </row>
  </sheetData>
  <mergeCells count="9">
    <mergeCell ref="B12:E12"/>
    <mergeCell ref="B13:E13"/>
    <mergeCell ref="B14:E14"/>
    <mergeCell ref="B6:E6"/>
    <mergeCell ref="B7:E7"/>
    <mergeCell ref="B8:E8"/>
    <mergeCell ref="B9:E9"/>
    <mergeCell ref="B10:E10"/>
    <mergeCell ref="B11:E11"/>
  </mergeCells>
  <phoneticPr fontId="2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2FE5C-3816-4CFA-A88D-950DD0B7A491}">
  <dimension ref="A1:J90"/>
  <sheetViews>
    <sheetView workbookViewId="0">
      <selection activeCell="I15" sqref="I15"/>
    </sheetView>
  </sheetViews>
  <sheetFormatPr defaultRowHeight="12.75"/>
  <cols>
    <col min="1" max="1" width="12.7109375" style="116" customWidth="1"/>
    <col min="2" max="2" width="14.7109375" style="116" customWidth="1"/>
    <col min="3" max="6" width="12.7109375" style="116" customWidth="1"/>
    <col min="7" max="8" width="13.7109375" style="116" customWidth="1"/>
    <col min="9" max="9" width="14.7109375" style="116" customWidth="1"/>
    <col min="10" max="16384" width="9.140625" style="116"/>
  </cols>
  <sheetData>
    <row r="1" spans="1:10" ht="18.75">
      <c r="A1" s="117" t="s">
        <v>979</v>
      </c>
    </row>
    <row r="2" spans="1:10">
      <c r="A2" s="116" t="s">
        <v>1076</v>
      </c>
    </row>
    <row r="4" spans="1:10" ht="15">
      <c r="A4" s="99" t="s">
        <v>891</v>
      </c>
    </row>
    <row r="5" spans="1:10">
      <c r="A5" s="118" t="s">
        <v>891</v>
      </c>
      <c r="B5" s="118" t="s">
        <v>938</v>
      </c>
      <c r="C5" s="119"/>
      <c r="D5" s="119"/>
      <c r="E5" s="119"/>
      <c r="F5" s="119"/>
      <c r="G5" s="119"/>
      <c r="H5" s="119"/>
      <c r="I5" s="118" t="s">
        <v>5</v>
      </c>
    </row>
    <row r="6" spans="1:10">
      <c r="A6" s="116" t="s">
        <v>892</v>
      </c>
      <c r="B6" s="144" t="s">
        <v>939</v>
      </c>
      <c r="C6" s="144"/>
      <c r="D6" s="144"/>
      <c r="E6" s="144"/>
      <c r="F6" s="144"/>
      <c r="G6" s="144"/>
      <c r="H6" s="144"/>
      <c r="I6" s="116" t="s">
        <v>940</v>
      </c>
    </row>
    <row r="7" spans="1:10">
      <c r="A7" s="116" t="s">
        <v>893</v>
      </c>
      <c r="B7" s="144" t="s">
        <v>941</v>
      </c>
      <c r="C7" s="144"/>
      <c r="D7" s="144"/>
      <c r="E7" s="144"/>
      <c r="F7" s="144"/>
      <c r="G7" s="144"/>
      <c r="H7" s="144"/>
      <c r="I7" s="116" t="s">
        <v>942</v>
      </c>
    </row>
    <row r="8" spans="1:10">
      <c r="A8" s="116" t="s">
        <v>894</v>
      </c>
      <c r="B8" s="144" t="s">
        <v>941</v>
      </c>
      <c r="C8" s="144"/>
      <c r="D8" s="144"/>
      <c r="E8" s="144"/>
      <c r="F8" s="144"/>
      <c r="G8" s="144"/>
      <c r="H8" s="144"/>
      <c r="I8" s="116" t="s">
        <v>942</v>
      </c>
    </row>
    <row r="9" spans="1:10">
      <c r="A9" s="116" t="s">
        <v>895</v>
      </c>
      <c r="B9" s="144" t="s">
        <v>28</v>
      </c>
      <c r="C9" s="144"/>
      <c r="D9" s="144"/>
      <c r="E9" s="144"/>
      <c r="F9" s="144"/>
      <c r="G9" s="144"/>
      <c r="H9" s="144"/>
      <c r="I9" s="116" t="s">
        <v>943</v>
      </c>
    </row>
    <row r="10" spans="1:10">
      <c r="A10" s="116" t="s">
        <v>896</v>
      </c>
      <c r="B10" s="144" t="s">
        <v>939</v>
      </c>
      <c r="C10" s="144"/>
      <c r="D10" s="144"/>
      <c r="E10" s="144"/>
      <c r="F10" s="144"/>
      <c r="G10" s="144"/>
      <c r="H10" s="144"/>
      <c r="I10" s="116" t="s">
        <v>944</v>
      </c>
    </row>
    <row r="11" spans="1:10">
      <c r="A11" s="116" t="s">
        <v>897</v>
      </c>
      <c r="B11" s="144" t="s">
        <v>941</v>
      </c>
      <c r="C11" s="144"/>
      <c r="D11" s="144"/>
      <c r="E11" s="144"/>
      <c r="F11" s="144"/>
      <c r="G11" s="144"/>
      <c r="H11" s="144"/>
      <c r="I11" s="116" t="s">
        <v>942</v>
      </c>
    </row>
    <row r="12" spans="1:10">
      <c r="A12" s="116" t="s">
        <v>898</v>
      </c>
      <c r="B12" s="144" t="s">
        <v>945</v>
      </c>
      <c r="C12" s="144"/>
      <c r="D12" s="144"/>
      <c r="E12" s="144"/>
      <c r="F12" s="144"/>
      <c r="G12" s="144"/>
      <c r="H12" s="144"/>
      <c r="I12" s="116" t="s">
        <v>946</v>
      </c>
    </row>
    <row r="14" spans="1:10" ht="15">
      <c r="A14" s="120" t="s">
        <v>970</v>
      </c>
    </row>
    <row r="15" spans="1:10">
      <c r="A15" s="118" t="s">
        <v>971</v>
      </c>
      <c r="B15" s="118" t="s">
        <v>789</v>
      </c>
      <c r="C15" s="118" t="s">
        <v>972</v>
      </c>
      <c r="D15" s="118" t="s">
        <v>973</v>
      </c>
      <c r="E15" s="118" t="s">
        <v>974</v>
      </c>
      <c r="F15" s="118" t="s">
        <v>975</v>
      </c>
      <c r="G15" s="118" t="s">
        <v>976</v>
      </c>
      <c r="H15" s="118" t="s">
        <v>977</v>
      </c>
      <c r="I15" s="118" t="s">
        <v>980</v>
      </c>
    </row>
    <row r="16" spans="1:10" ht="15">
      <c r="A16" s="124">
        <v>1</v>
      </c>
      <c r="B16" s="125">
        <v>46302</v>
      </c>
      <c r="C16" s="124">
        <v>16</v>
      </c>
      <c r="D16" s="124">
        <v>2</v>
      </c>
      <c r="E16" s="124">
        <v>2</v>
      </c>
      <c r="F16" s="124">
        <v>16</v>
      </c>
      <c r="G16" s="124">
        <v>3</v>
      </c>
      <c r="H16" s="124">
        <v>2</v>
      </c>
      <c r="I16" s="124" t="s">
        <v>928</v>
      </c>
      <c r="J16"/>
    </row>
    <row r="17" spans="1:10" ht="15">
      <c r="A17" s="124">
        <v>2</v>
      </c>
      <c r="B17" s="125">
        <v>46305</v>
      </c>
      <c r="C17" s="124">
        <v>18</v>
      </c>
      <c r="D17" s="124">
        <v>2</v>
      </c>
      <c r="E17" s="124">
        <v>2</v>
      </c>
      <c r="F17" s="124">
        <v>18</v>
      </c>
      <c r="G17" s="124">
        <v>3</v>
      </c>
      <c r="H17" s="124">
        <v>2</v>
      </c>
      <c r="I17" s="124" t="s">
        <v>928</v>
      </c>
      <c r="J17"/>
    </row>
    <row r="18" spans="1:10" ht="15">
      <c r="A18" s="124">
        <v>3</v>
      </c>
      <c r="B18" s="125">
        <v>46309</v>
      </c>
      <c r="C18" s="124">
        <v>20</v>
      </c>
      <c r="D18" s="124">
        <v>2</v>
      </c>
      <c r="E18" s="124">
        <v>2</v>
      </c>
      <c r="F18" s="124">
        <v>20</v>
      </c>
      <c r="G18" s="124">
        <v>3</v>
      </c>
      <c r="H18" s="124">
        <v>2</v>
      </c>
      <c r="I18" s="124" t="s">
        <v>928</v>
      </c>
      <c r="J18"/>
    </row>
    <row r="19" spans="1:10" ht="15">
      <c r="A19" s="124">
        <v>4</v>
      </c>
      <c r="B19" s="125">
        <v>46312</v>
      </c>
      <c r="C19" s="124">
        <v>20</v>
      </c>
      <c r="D19" s="124">
        <v>2</v>
      </c>
      <c r="E19" s="124">
        <v>2</v>
      </c>
      <c r="F19" s="124">
        <v>20</v>
      </c>
      <c r="G19" s="124">
        <v>3</v>
      </c>
      <c r="H19" s="124">
        <v>2</v>
      </c>
      <c r="I19" s="124" t="s">
        <v>928</v>
      </c>
      <c r="J19"/>
    </row>
    <row r="20" spans="1:10" ht="15">
      <c r="A20" s="124">
        <v>5</v>
      </c>
      <c r="B20" s="125">
        <v>46316</v>
      </c>
      <c r="C20" s="124">
        <v>20</v>
      </c>
      <c r="D20" s="124">
        <v>2</v>
      </c>
      <c r="E20" s="124">
        <v>2</v>
      </c>
      <c r="F20" s="124">
        <v>20</v>
      </c>
      <c r="G20" s="124">
        <v>3</v>
      </c>
      <c r="H20" s="124">
        <v>2</v>
      </c>
      <c r="I20" s="124" t="s">
        <v>928</v>
      </c>
      <c r="J20"/>
    </row>
    <row r="21" spans="1:10" ht="15">
      <c r="A21" s="124">
        <v>6</v>
      </c>
      <c r="B21" s="125">
        <v>46319</v>
      </c>
      <c r="C21" s="124">
        <v>22</v>
      </c>
      <c r="D21" s="124">
        <v>2</v>
      </c>
      <c r="E21" s="124">
        <v>2</v>
      </c>
      <c r="F21" s="124">
        <v>22</v>
      </c>
      <c r="G21" s="124">
        <v>4</v>
      </c>
      <c r="H21" s="124">
        <v>2</v>
      </c>
      <c r="I21" s="124" t="s">
        <v>928</v>
      </c>
      <c r="J21"/>
    </row>
    <row r="22" spans="1:10" ht="15">
      <c r="A22" s="124">
        <v>7</v>
      </c>
      <c r="B22" s="125">
        <v>46323</v>
      </c>
      <c r="C22" s="124">
        <v>24</v>
      </c>
      <c r="D22" s="124">
        <v>2</v>
      </c>
      <c r="E22" s="124">
        <v>2</v>
      </c>
      <c r="F22" s="124">
        <v>24</v>
      </c>
      <c r="G22" s="124">
        <v>4</v>
      </c>
      <c r="H22" s="124">
        <v>2</v>
      </c>
      <c r="I22" s="124" t="s">
        <v>928</v>
      </c>
      <c r="J22"/>
    </row>
    <row r="23" spans="1:10" ht="15">
      <c r="A23" s="124">
        <v>8</v>
      </c>
      <c r="B23" s="125">
        <v>46326</v>
      </c>
      <c r="C23" s="124">
        <v>26</v>
      </c>
      <c r="D23" s="124">
        <v>2</v>
      </c>
      <c r="E23" s="124">
        <v>2</v>
      </c>
      <c r="F23" s="124">
        <v>26</v>
      </c>
      <c r="G23" s="124">
        <v>5</v>
      </c>
      <c r="H23" s="124">
        <v>2</v>
      </c>
      <c r="I23" s="124" t="s">
        <v>928</v>
      </c>
      <c r="J23"/>
    </row>
    <row r="24" spans="1:10" ht="15">
      <c r="A24" s="124">
        <v>9</v>
      </c>
      <c r="B24" s="125">
        <v>46330</v>
      </c>
      <c r="C24" s="124">
        <v>28</v>
      </c>
      <c r="D24" s="124">
        <v>2</v>
      </c>
      <c r="E24" s="124">
        <v>2</v>
      </c>
      <c r="F24" s="124">
        <v>28</v>
      </c>
      <c r="G24" s="124">
        <v>5</v>
      </c>
      <c r="H24" s="124">
        <v>2</v>
      </c>
      <c r="I24" s="124" t="s">
        <v>928</v>
      </c>
      <c r="J24"/>
    </row>
    <row r="25" spans="1:10" ht="15">
      <c r="A25" s="124">
        <v>10</v>
      </c>
      <c r="B25" s="125">
        <v>46333</v>
      </c>
      <c r="C25" s="124">
        <v>30</v>
      </c>
      <c r="D25" s="124">
        <v>2</v>
      </c>
      <c r="E25" s="124">
        <v>2</v>
      </c>
      <c r="F25" s="124">
        <v>30</v>
      </c>
      <c r="G25" s="124">
        <v>5</v>
      </c>
      <c r="H25" s="124">
        <v>2</v>
      </c>
      <c r="I25" s="124" t="s">
        <v>928</v>
      </c>
      <c r="J25"/>
    </row>
    <row r="26" spans="1:10" ht="15">
      <c r="A26" s="124">
        <v>11</v>
      </c>
      <c r="B26" s="125">
        <v>46337</v>
      </c>
      <c r="C26" s="124">
        <v>35</v>
      </c>
      <c r="D26" s="124">
        <v>1</v>
      </c>
      <c r="E26" s="124">
        <v>2</v>
      </c>
      <c r="F26" s="124">
        <v>30</v>
      </c>
      <c r="G26" s="124">
        <v>5</v>
      </c>
      <c r="H26" s="124">
        <v>2</v>
      </c>
      <c r="I26" s="124" t="s">
        <v>928</v>
      </c>
      <c r="J26"/>
    </row>
    <row r="27" spans="1:10" ht="15">
      <c r="A27" s="124">
        <v>12</v>
      </c>
      <c r="B27" s="125">
        <v>46340</v>
      </c>
      <c r="C27" s="124">
        <v>35</v>
      </c>
      <c r="D27" s="124">
        <v>1.5</v>
      </c>
      <c r="E27" s="124">
        <v>2</v>
      </c>
      <c r="F27" s="124">
        <v>35</v>
      </c>
      <c r="G27" s="124">
        <v>5</v>
      </c>
      <c r="H27" s="124">
        <v>2</v>
      </c>
      <c r="I27" s="124" t="s">
        <v>928</v>
      </c>
      <c r="J27"/>
    </row>
    <row r="28" spans="1:10" ht="15">
      <c r="A28" s="124">
        <v>13</v>
      </c>
      <c r="B28" s="125">
        <v>46344</v>
      </c>
      <c r="C28" s="124">
        <v>35</v>
      </c>
      <c r="D28" s="124">
        <v>2</v>
      </c>
      <c r="E28" s="124">
        <v>2</v>
      </c>
      <c r="F28" s="124">
        <v>35</v>
      </c>
      <c r="G28" s="124">
        <v>5</v>
      </c>
      <c r="H28" s="124">
        <v>2</v>
      </c>
      <c r="I28" s="124" t="s">
        <v>928</v>
      </c>
      <c r="J28"/>
    </row>
    <row r="29" spans="1:10" ht="15">
      <c r="A29" s="124">
        <v>14</v>
      </c>
      <c r="B29" s="125">
        <v>46347</v>
      </c>
      <c r="C29" s="124">
        <v>35</v>
      </c>
      <c r="D29" s="124">
        <v>3</v>
      </c>
      <c r="E29" s="124">
        <v>2</v>
      </c>
      <c r="F29" s="124">
        <v>35</v>
      </c>
      <c r="G29" s="124">
        <v>5</v>
      </c>
      <c r="H29" s="124">
        <v>2</v>
      </c>
      <c r="I29" s="124" t="s">
        <v>928</v>
      </c>
      <c r="J29"/>
    </row>
    <row r="30" spans="1:10" ht="15">
      <c r="A30" s="124">
        <v>15</v>
      </c>
      <c r="B30" s="125">
        <v>46351</v>
      </c>
      <c r="C30" s="124">
        <v>35</v>
      </c>
      <c r="D30" s="124">
        <v>4</v>
      </c>
      <c r="E30" s="124">
        <v>2</v>
      </c>
      <c r="F30" s="124">
        <v>35</v>
      </c>
      <c r="G30" s="124">
        <v>5</v>
      </c>
      <c r="H30" s="124">
        <v>2</v>
      </c>
      <c r="I30" s="124" t="s">
        <v>928</v>
      </c>
      <c r="J30"/>
    </row>
    <row r="31" spans="1:10" ht="15">
      <c r="A31" s="124">
        <v>16</v>
      </c>
      <c r="B31" s="125">
        <v>46354</v>
      </c>
      <c r="C31" s="124">
        <v>35</v>
      </c>
      <c r="D31" s="124">
        <v>5</v>
      </c>
      <c r="E31" s="124">
        <v>2</v>
      </c>
      <c r="F31" s="124">
        <v>35</v>
      </c>
      <c r="G31" s="124">
        <v>5</v>
      </c>
      <c r="H31" s="124">
        <v>2</v>
      </c>
      <c r="I31" s="124" t="s">
        <v>928</v>
      </c>
      <c r="J31"/>
    </row>
    <row r="32" spans="1:10" ht="15">
      <c r="A32" s="124">
        <v>17</v>
      </c>
      <c r="B32" s="125">
        <v>46358</v>
      </c>
      <c r="C32" s="124">
        <v>35</v>
      </c>
      <c r="D32" s="124">
        <v>5</v>
      </c>
      <c r="E32" s="124">
        <v>2</v>
      </c>
      <c r="F32" s="124">
        <v>35</v>
      </c>
      <c r="G32" s="124">
        <v>5</v>
      </c>
      <c r="H32" s="124">
        <v>2</v>
      </c>
      <c r="I32" s="124" t="s">
        <v>928</v>
      </c>
      <c r="J32"/>
    </row>
    <row r="33" spans="1:10" ht="15">
      <c r="A33" t="s">
        <v>1075</v>
      </c>
      <c r="B33"/>
      <c r="C33"/>
      <c r="D33"/>
      <c r="E33"/>
      <c r="F33"/>
      <c r="G33"/>
      <c r="H33"/>
      <c r="I33"/>
      <c r="J33"/>
    </row>
    <row r="34" spans="1:10" ht="15">
      <c r="A34"/>
      <c r="B34"/>
      <c r="C34"/>
      <c r="D34"/>
      <c r="E34"/>
      <c r="F34"/>
      <c r="G34"/>
      <c r="H34"/>
      <c r="I34"/>
      <c r="J34"/>
    </row>
    <row r="35" spans="1:10" ht="15">
      <c r="A35" t="s">
        <v>917</v>
      </c>
      <c r="B35"/>
      <c r="C35"/>
      <c r="D35"/>
      <c r="E35"/>
      <c r="F35"/>
      <c r="G35"/>
      <c r="H35"/>
      <c r="I35"/>
      <c r="J35"/>
    </row>
    <row r="36" spans="1:10" ht="15">
      <c r="A36" t="s">
        <v>981</v>
      </c>
      <c r="B36"/>
      <c r="C36"/>
      <c r="D36"/>
      <c r="E36"/>
      <c r="F36"/>
      <c r="G36"/>
      <c r="H36"/>
      <c r="I36"/>
      <c r="J36"/>
    </row>
    <row r="37" spans="1:10" ht="15">
      <c r="A37" t="s">
        <v>985</v>
      </c>
      <c r="B37"/>
      <c r="C37"/>
      <c r="D37"/>
      <c r="E37"/>
      <c r="F37"/>
      <c r="G37"/>
      <c r="H37"/>
      <c r="I37"/>
      <c r="J37"/>
    </row>
    <row r="38" spans="1:10" ht="15">
      <c r="A38" t="s">
        <v>982</v>
      </c>
      <c r="B38"/>
      <c r="C38"/>
      <c r="D38"/>
      <c r="E38"/>
      <c r="F38"/>
      <c r="G38"/>
      <c r="H38"/>
      <c r="I38"/>
      <c r="J38"/>
    </row>
    <row r="39" spans="1:10" ht="15">
      <c r="A39" t="s">
        <v>983</v>
      </c>
      <c r="B39"/>
      <c r="C39"/>
      <c r="D39"/>
      <c r="E39"/>
      <c r="F39"/>
      <c r="G39"/>
      <c r="H39"/>
      <c r="I39"/>
      <c r="J39"/>
    </row>
    <row r="40" spans="1:10" ht="15">
      <c r="A40" t="s">
        <v>956</v>
      </c>
      <c r="B40"/>
      <c r="C40"/>
      <c r="D40"/>
      <c r="E40"/>
      <c r="F40"/>
      <c r="G40"/>
      <c r="H40"/>
      <c r="I40"/>
      <c r="J40"/>
    </row>
    <row r="41" spans="1:10" ht="15">
      <c r="A41" t="s">
        <v>957</v>
      </c>
      <c r="B41"/>
      <c r="C41"/>
      <c r="D41"/>
      <c r="E41"/>
      <c r="F41"/>
      <c r="G41"/>
      <c r="H41"/>
      <c r="I41"/>
      <c r="J41"/>
    </row>
    <row r="42" spans="1:10" ht="15">
      <c r="A42" t="s">
        <v>958</v>
      </c>
      <c r="B42"/>
      <c r="C42"/>
      <c r="D42"/>
      <c r="E42"/>
      <c r="F42"/>
      <c r="G42"/>
      <c r="H42"/>
      <c r="I42"/>
      <c r="J42"/>
    </row>
    <row r="43" spans="1:10" ht="15">
      <c r="A43" t="s">
        <v>959</v>
      </c>
      <c r="B43"/>
      <c r="C43"/>
      <c r="D43"/>
      <c r="E43"/>
      <c r="F43"/>
      <c r="G43"/>
      <c r="H43"/>
      <c r="I43"/>
      <c r="J43"/>
    </row>
    <row r="44" spans="1:10" ht="15">
      <c r="A44" t="s">
        <v>960</v>
      </c>
      <c r="B44"/>
      <c r="C44"/>
      <c r="D44"/>
      <c r="E44"/>
      <c r="F44"/>
      <c r="G44"/>
      <c r="H44"/>
      <c r="I44"/>
      <c r="J44"/>
    </row>
    <row r="45" spans="1:10" ht="15">
      <c r="A45" t="s">
        <v>984</v>
      </c>
      <c r="B45"/>
      <c r="C45"/>
      <c r="D45"/>
      <c r="E45"/>
      <c r="F45"/>
      <c r="G45"/>
      <c r="H45"/>
      <c r="I45"/>
      <c r="J45"/>
    </row>
    <row r="46" spans="1:10" ht="15">
      <c r="A46" t="s">
        <v>978</v>
      </c>
      <c r="B46"/>
      <c r="C46"/>
      <c r="D46"/>
      <c r="E46"/>
      <c r="F46"/>
      <c r="G46"/>
      <c r="H46"/>
      <c r="I46"/>
      <c r="J46"/>
    </row>
    <row r="47" spans="1:10" ht="15">
      <c r="A47"/>
      <c r="B47"/>
      <c r="C47"/>
      <c r="D47"/>
      <c r="E47"/>
      <c r="F47"/>
      <c r="G47"/>
      <c r="H47"/>
      <c r="I47"/>
      <c r="J47"/>
    </row>
    <row r="48" spans="1:10" ht="15">
      <c r="A48"/>
      <c r="B48"/>
      <c r="C48"/>
      <c r="D48"/>
      <c r="E48"/>
      <c r="F48"/>
      <c r="G48"/>
      <c r="H48"/>
      <c r="I48"/>
      <c r="J48"/>
    </row>
    <row r="49" spans="1:10" ht="15">
      <c r="A49"/>
      <c r="B49"/>
      <c r="C49"/>
      <c r="D49"/>
      <c r="E49"/>
      <c r="F49"/>
      <c r="G49"/>
      <c r="H49"/>
      <c r="I49"/>
      <c r="J49"/>
    </row>
    <row r="50" spans="1:10" ht="15">
      <c r="A50"/>
      <c r="B50"/>
      <c r="C50"/>
      <c r="D50"/>
      <c r="E50"/>
      <c r="F50"/>
      <c r="G50"/>
      <c r="H50"/>
      <c r="I50"/>
      <c r="J50"/>
    </row>
    <row r="51" spans="1:10" ht="15">
      <c r="A51"/>
      <c r="B51"/>
      <c r="C51"/>
      <c r="D51"/>
      <c r="E51"/>
      <c r="F51"/>
      <c r="G51"/>
      <c r="H51"/>
      <c r="I51"/>
      <c r="J51"/>
    </row>
    <row r="52" spans="1:10" ht="15">
      <c r="A52"/>
      <c r="B52"/>
      <c r="C52"/>
      <c r="D52"/>
      <c r="E52"/>
      <c r="F52"/>
      <c r="G52"/>
      <c r="H52"/>
      <c r="I52"/>
      <c r="J52"/>
    </row>
    <row r="53" spans="1:10" ht="15">
      <c r="A53"/>
      <c r="B53"/>
      <c r="C53"/>
      <c r="D53"/>
      <c r="E53"/>
      <c r="F53"/>
      <c r="G53"/>
      <c r="H53"/>
      <c r="I53"/>
      <c r="J53"/>
    </row>
    <row r="54" spans="1:10" ht="15">
      <c r="A54"/>
      <c r="B54"/>
      <c r="C54"/>
      <c r="D54"/>
      <c r="E54"/>
      <c r="F54"/>
      <c r="G54"/>
      <c r="H54"/>
      <c r="I54"/>
      <c r="J54"/>
    </row>
    <row r="55" spans="1:10" ht="15">
      <c r="A55"/>
      <c r="B55"/>
      <c r="C55"/>
      <c r="D55"/>
      <c r="E55"/>
      <c r="F55"/>
      <c r="G55"/>
      <c r="H55"/>
      <c r="I55"/>
      <c r="J55"/>
    </row>
    <row r="56" spans="1:10" ht="15">
      <c r="A56"/>
      <c r="B56"/>
      <c r="C56"/>
      <c r="D56"/>
      <c r="E56"/>
      <c r="F56"/>
      <c r="G56"/>
      <c r="H56"/>
      <c r="I56"/>
      <c r="J56"/>
    </row>
    <row r="57" spans="1:10" ht="15">
      <c r="A57"/>
      <c r="B57"/>
      <c r="C57"/>
      <c r="D57"/>
      <c r="E57"/>
      <c r="F57"/>
      <c r="G57"/>
      <c r="H57"/>
      <c r="I57"/>
      <c r="J57"/>
    </row>
    <row r="58" spans="1:10" ht="15">
      <c r="A58"/>
      <c r="B58"/>
      <c r="C58"/>
      <c r="D58"/>
      <c r="E58"/>
      <c r="F58"/>
      <c r="G58"/>
      <c r="H58"/>
      <c r="I58"/>
      <c r="J58"/>
    </row>
    <row r="59" spans="1:10" ht="15">
      <c r="A59"/>
      <c r="B59"/>
      <c r="C59"/>
      <c r="D59"/>
      <c r="E59"/>
      <c r="F59"/>
      <c r="G59"/>
      <c r="H59"/>
      <c r="I59"/>
      <c r="J59"/>
    </row>
    <row r="60" spans="1:10" ht="15">
      <c r="A60"/>
      <c r="B60"/>
      <c r="C60"/>
      <c r="D60"/>
      <c r="E60"/>
      <c r="F60"/>
      <c r="G60"/>
      <c r="H60"/>
      <c r="I60"/>
      <c r="J60"/>
    </row>
    <row r="61" spans="1:10" ht="15">
      <c r="A61"/>
      <c r="B61"/>
      <c r="C61"/>
      <c r="D61"/>
      <c r="E61"/>
      <c r="F61"/>
      <c r="G61"/>
      <c r="H61"/>
      <c r="I61"/>
      <c r="J61"/>
    </row>
    <row r="62" spans="1:10" ht="15">
      <c r="A62"/>
      <c r="B62"/>
      <c r="C62"/>
      <c r="D62"/>
      <c r="E62"/>
      <c r="F62"/>
      <c r="G62"/>
      <c r="H62"/>
      <c r="I62"/>
      <c r="J62"/>
    </row>
    <row r="63" spans="1:10" ht="15">
      <c r="A63"/>
      <c r="B63"/>
      <c r="C63"/>
      <c r="D63"/>
      <c r="E63"/>
      <c r="F63"/>
      <c r="G63"/>
      <c r="H63"/>
      <c r="I63"/>
      <c r="J63"/>
    </row>
    <row r="64" spans="1:10" ht="15">
      <c r="A64"/>
      <c r="B64"/>
      <c r="C64"/>
      <c r="D64"/>
      <c r="E64"/>
      <c r="F64"/>
      <c r="G64"/>
      <c r="H64"/>
      <c r="I64"/>
      <c r="J64"/>
    </row>
    <row r="65" spans="1:10" ht="15">
      <c r="A65"/>
      <c r="B65"/>
      <c r="C65"/>
      <c r="D65"/>
      <c r="E65"/>
      <c r="F65"/>
      <c r="G65"/>
      <c r="H65"/>
      <c r="I65"/>
      <c r="J65"/>
    </row>
    <row r="66" spans="1:10" ht="15">
      <c r="A66"/>
      <c r="B66"/>
      <c r="C66"/>
      <c r="D66"/>
      <c r="E66"/>
      <c r="F66"/>
      <c r="G66"/>
      <c r="H66"/>
      <c r="I66"/>
      <c r="J66"/>
    </row>
    <row r="67" spans="1:10" ht="15">
      <c r="A67"/>
      <c r="B67"/>
      <c r="C67"/>
      <c r="D67"/>
      <c r="E67"/>
      <c r="F67"/>
      <c r="G67"/>
      <c r="H67"/>
      <c r="I67"/>
      <c r="J67"/>
    </row>
    <row r="68" spans="1:10" ht="15">
      <c r="A68"/>
      <c r="B68"/>
      <c r="C68"/>
      <c r="D68"/>
      <c r="E68"/>
      <c r="F68"/>
      <c r="G68"/>
      <c r="H68"/>
      <c r="I68"/>
      <c r="J68"/>
    </row>
    <row r="69" spans="1:10" ht="15">
      <c r="A69"/>
      <c r="B69"/>
      <c r="C69"/>
      <c r="D69"/>
      <c r="E69"/>
      <c r="F69"/>
      <c r="G69"/>
      <c r="H69"/>
      <c r="I69"/>
      <c r="J69"/>
    </row>
    <row r="70" spans="1:10" ht="15">
      <c r="A70"/>
      <c r="B70"/>
      <c r="C70"/>
      <c r="D70"/>
      <c r="E70"/>
      <c r="F70"/>
      <c r="G70"/>
      <c r="H70"/>
      <c r="I70"/>
      <c r="J70"/>
    </row>
    <row r="71" spans="1:10" ht="15">
      <c r="A71"/>
      <c r="B71"/>
      <c r="C71"/>
      <c r="D71"/>
      <c r="E71"/>
      <c r="F71"/>
      <c r="G71"/>
      <c r="H71"/>
      <c r="I71"/>
      <c r="J71"/>
    </row>
    <row r="72" spans="1:10" ht="15">
      <c r="A72"/>
      <c r="B72"/>
      <c r="C72"/>
      <c r="D72"/>
      <c r="E72"/>
      <c r="F72"/>
      <c r="G72"/>
      <c r="H72"/>
      <c r="I72"/>
      <c r="J72"/>
    </row>
    <row r="73" spans="1:10" ht="15">
      <c r="A73"/>
      <c r="B73"/>
      <c r="C73"/>
      <c r="D73"/>
      <c r="E73"/>
      <c r="F73"/>
      <c r="G73"/>
      <c r="H73"/>
      <c r="I73"/>
      <c r="J73"/>
    </row>
    <row r="74" spans="1:10" ht="15">
      <c r="A74"/>
      <c r="B74"/>
      <c r="C74"/>
      <c r="D74"/>
      <c r="E74"/>
      <c r="F74"/>
      <c r="G74"/>
      <c r="H74"/>
      <c r="I74"/>
      <c r="J74"/>
    </row>
    <row r="75" spans="1:10" ht="15">
      <c r="A75"/>
      <c r="B75"/>
      <c r="C75"/>
      <c r="D75"/>
      <c r="E75"/>
      <c r="F75"/>
      <c r="G75"/>
      <c r="H75"/>
      <c r="I75"/>
      <c r="J75"/>
    </row>
    <row r="76" spans="1:10" ht="15">
      <c r="A76"/>
      <c r="B76"/>
      <c r="C76"/>
      <c r="D76"/>
      <c r="E76"/>
      <c r="F76"/>
      <c r="G76"/>
      <c r="H76"/>
      <c r="I76"/>
      <c r="J76"/>
    </row>
    <row r="77" spans="1:10" ht="15">
      <c r="A77"/>
      <c r="B77"/>
      <c r="C77"/>
      <c r="D77"/>
      <c r="E77"/>
      <c r="F77"/>
      <c r="G77"/>
      <c r="H77"/>
      <c r="I77"/>
      <c r="J77"/>
    </row>
    <row r="78" spans="1:10" ht="15">
      <c r="A78"/>
      <c r="B78"/>
      <c r="C78"/>
      <c r="D78"/>
      <c r="E78"/>
      <c r="F78"/>
      <c r="G78"/>
      <c r="H78"/>
      <c r="I78"/>
      <c r="J78"/>
    </row>
    <row r="79" spans="1:10" ht="15">
      <c r="A79"/>
      <c r="B79"/>
      <c r="C79"/>
      <c r="D79"/>
      <c r="E79"/>
      <c r="F79"/>
      <c r="G79"/>
      <c r="H79"/>
      <c r="I79"/>
      <c r="J79"/>
    </row>
    <row r="80" spans="1:10" ht="15">
      <c r="A80"/>
      <c r="B80"/>
      <c r="C80"/>
      <c r="D80"/>
      <c r="E80"/>
      <c r="F80"/>
      <c r="G80"/>
      <c r="H80"/>
      <c r="I80"/>
      <c r="J80"/>
    </row>
    <row r="81" spans="1:10" ht="15">
      <c r="A81"/>
      <c r="B81"/>
      <c r="C81"/>
      <c r="D81"/>
      <c r="E81"/>
      <c r="F81"/>
      <c r="G81"/>
      <c r="H81"/>
      <c r="I81"/>
      <c r="J81"/>
    </row>
    <row r="82" spans="1:10" ht="15">
      <c r="A82"/>
      <c r="B82"/>
      <c r="C82"/>
      <c r="D82"/>
      <c r="E82"/>
      <c r="F82"/>
      <c r="G82"/>
      <c r="H82"/>
      <c r="I82"/>
      <c r="J82"/>
    </row>
    <row r="83" spans="1:10" ht="15">
      <c r="A83"/>
      <c r="B83"/>
      <c r="C83"/>
      <c r="D83"/>
      <c r="E83"/>
      <c r="F83"/>
      <c r="G83"/>
      <c r="H83"/>
      <c r="I83"/>
      <c r="J83"/>
    </row>
    <row r="84" spans="1:10" ht="15">
      <c r="A84"/>
      <c r="B84"/>
      <c r="C84"/>
      <c r="D84"/>
      <c r="E84"/>
      <c r="F84"/>
      <c r="G84"/>
      <c r="H84"/>
      <c r="I84"/>
      <c r="J84"/>
    </row>
    <row r="85" spans="1:10" ht="15">
      <c r="A85"/>
      <c r="B85"/>
      <c r="C85"/>
      <c r="D85"/>
      <c r="E85"/>
      <c r="F85"/>
      <c r="G85"/>
      <c r="H85"/>
      <c r="I85"/>
      <c r="J85"/>
    </row>
    <row r="86" spans="1:10" ht="15">
      <c r="A86"/>
      <c r="B86"/>
      <c r="C86"/>
      <c r="D86"/>
      <c r="E86"/>
      <c r="F86"/>
      <c r="G86"/>
      <c r="H86"/>
      <c r="I86"/>
      <c r="J86"/>
    </row>
    <row r="87" spans="1:10" ht="15">
      <c r="A87"/>
      <c r="B87"/>
      <c r="C87"/>
      <c r="D87"/>
      <c r="E87"/>
      <c r="F87"/>
      <c r="G87"/>
      <c r="H87"/>
      <c r="I87"/>
      <c r="J87"/>
    </row>
    <row r="88" spans="1:10" ht="15">
      <c r="A88"/>
      <c r="B88"/>
      <c r="C88"/>
      <c r="D88"/>
      <c r="E88"/>
      <c r="F88"/>
      <c r="G88"/>
      <c r="H88"/>
      <c r="I88"/>
      <c r="J88"/>
    </row>
    <row r="89" spans="1:10" ht="15">
      <c r="A89"/>
      <c r="B89"/>
      <c r="C89"/>
      <c r="D89"/>
      <c r="E89"/>
      <c r="F89"/>
      <c r="G89"/>
      <c r="H89"/>
      <c r="I89"/>
      <c r="J89"/>
    </row>
    <row r="90" spans="1:10" ht="15">
      <c r="A90"/>
      <c r="B90"/>
      <c r="C90"/>
      <c r="D90"/>
      <c r="E90"/>
      <c r="F90"/>
      <c r="G90"/>
      <c r="H90"/>
      <c r="I90"/>
      <c r="J90"/>
    </row>
  </sheetData>
  <mergeCells count="7">
    <mergeCell ref="B12:H12"/>
    <mergeCell ref="B6:H6"/>
    <mergeCell ref="B7:H7"/>
    <mergeCell ref="B8:H8"/>
    <mergeCell ref="B9:H9"/>
    <mergeCell ref="B10:H10"/>
    <mergeCell ref="B11:H11"/>
  </mergeCells>
  <phoneticPr fontId="2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61"/>
  <sheetViews>
    <sheetView workbookViewId="0"/>
  </sheetViews>
  <sheetFormatPr defaultRowHeight="15"/>
  <cols>
    <col min="1" max="1" width="18" customWidth="1"/>
    <col min="2" max="2" width="22" customWidth="1"/>
    <col min="3" max="3" width="30" customWidth="1"/>
    <col min="4" max="4" width="62" customWidth="1"/>
  </cols>
  <sheetData>
    <row r="1" spans="1:4" ht="18.75">
      <c r="A1" s="106" t="s">
        <v>0</v>
      </c>
    </row>
    <row r="2" spans="1:4">
      <c r="A2" s="113" t="s">
        <v>1</v>
      </c>
    </row>
    <row r="4" spans="1:4">
      <c r="A4" s="110" t="s">
        <v>2</v>
      </c>
      <c r="B4" s="110" t="s">
        <v>3</v>
      </c>
      <c r="C4" s="110" t="s">
        <v>4</v>
      </c>
      <c r="D4" s="110" t="s">
        <v>5</v>
      </c>
    </row>
    <row r="5" spans="1:4" ht="30" customHeight="1">
      <c r="A5" s="111" t="s">
        <v>6</v>
      </c>
      <c r="B5" s="114" t="s">
        <v>7</v>
      </c>
      <c r="C5" s="112" t="s">
        <v>7</v>
      </c>
      <c r="D5" s="112" t="s">
        <v>8</v>
      </c>
    </row>
    <row r="6" spans="1:4" ht="30" customHeight="1">
      <c r="A6" s="111" t="s">
        <v>9</v>
      </c>
      <c r="B6" s="114" t="s">
        <v>10</v>
      </c>
      <c r="C6" s="112" t="s">
        <v>11</v>
      </c>
      <c r="D6" s="112" t="s">
        <v>12</v>
      </c>
    </row>
    <row r="7" spans="1:4" ht="30" customHeight="1">
      <c r="A7" s="111" t="s">
        <v>13</v>
      </c>
      <c r="B7" s="114" t="s">
        <v>14</v>
      </c>
      <c r="C7" s="112" t="s">
        <v>1008</v>
      </c>
      <c r="D7" s="112" t="s">
        <v>1009</v>
      </c>
    </row>
    <row r="8" spans="1:4" ht="30" customHeight="1">
      <c r="A8" s="111" t="s">
        <v>15</v>
      </c>
      <c r="B8" s="114" t="s">
        <v>16</v>
      </c>
      <c r="C8" s="112" t="s">
        <v>17</v>
      </c>
      <c r="D8" s="112" t="s">
        <v>18</v>
      </c>
    </row>
    <row r="9" spans="1:4" ht="30" customHeight="1">
      <c r="A9" s="111" t="s">
        <v>19</v>
      </c>
      <c r="B9" s="114" t="s">
        <v>20</v>
      </c>
      <c r="C9" s="112" t="s">
        <v>21</v>
      </c>
      <c r="D9" s="112" t="s">
        <v>22</v>
      </c>
    </row>
    <row r="10" spans="1:4" ht="30" customHeight="1">
      <c r="A10" s="111" t="s">
        <v>23</v>
      </c>
      <c r="B10" s="114" t="s">
        <v>24</v>
      </c>
      <c r="C10" s="112" t="s">
        <v>1017</v>
      </c>
      <c r="D10" s="112" t="s">
        <v>25</v>
      </c>
    </row>
    <row r="11" spans="1:4" ht="30" customHeight="1">
      <c r="A11" s="111" t="s">
        <v>26</v>
      </c>
      <c r="B11" s="114" t="s">
        <v>27</v>
      </c>
      <c r="C11" s="112" t="s">
        <v>28</v>
      </c>
      <c r="D11" s="112" t="s">
        <v>29</v>
      </c>
    </row>
    <row r="12" spans="1:4" ht="30" customHeight="1">
      <c r="A12" s="111" t="s">
        <v>30</v>
      </c>
      <c r="B12" s="114" t="s">
        <v>31</v>
      </c>
      <c r="C12" s="112" t="s">
        <v>31</v>
      </c>
      <c r="D12" s="112" t="s">
        <v>32</v>
      </c>
    </row>
    <row r="13" spans="1:4" ht="30" customHeight="1">
      <c r="A13" s="111" t="s">
        <v>33</v>
      </c>
      <c r="B13" s="114" t="s">
        <v>34</v>
      </c>
      <c r="C13" s="112" t="s">
        <v>947</v>
      </c>
      <c r="D13" s="112" t="s">
        <v>1012</v>
      </c>
    </row>
    <row r="14" spans="1:4" ht="30" customHeight="1">
      <c r="A14" s="111" t="s">
        <v>35</v>
      </c>
      <c r="B14" s="114" t="s">
        <v>36</v>
      </c>
      <c r="C14" s="112" t="s">
        <v>37</v>
      </c>
      <c r="D14" s="112" t="s">
        <v>1014</v>
      </c>
    </row>
    <row r="17" spans="1:1">
      <c r="A17" s="107" t="s">
        <v>38</v>
      </c>
    </row>
    <row r="18" spans="1:1">
      <c r="A18" s="115" t="s">
        <v>39</v>
      </c>
    </row>
    <row r="19" spans="1:1">
      <c r="A19" s="115" t="s">
        <v>40</v>
      </c>
    </row>
    <row r="20" spans="1:1">
      <c r="A20" s="115" t="s">
        <v>41</v>
      </c>
    </row>
    <row r="21" spans="1:1">
      <c r="A21" s="115" t="s">
        <v>42</v>
      </c>
    </row>
    <row r="22" spans="1:1">
      <c r="A22" s="115" t="s">
        <v>43</v>
      </c>
    </row>
    <row r="24" spans="1:1">
      <c r="A24" s="107" t="s">
        <v>44</v>
      </c>
    </row>
    <row r="25" spans="1:1">
      <c r="A25" s="115" t="s">
        <v>45</v>
      </c>
    </row>
    <row r="26" spans="1:1">
      <c r="A26" s="115" t="s">
        <v>46</v>
      </c>
    </row>
    <row r="27" spans="1:1">
      <c r="A27" s="115" t="s">
        <v>47</v>
      </c>
    </row>
    <row r="29" spans="1:1">
      <c r="A29" s="107" t="s">
        <v>48</v>
      </c>
    </row>
    <row r="30" spans="1:1">
      <c r="A30" s="115" t="s">
        <v>49</v>
      </c>
    </row>
    <row r="31" spans="1:1">
      <c r="A31" s="115" t="s">
        <v>50</v>
      </c>
    </row>
    <row r="32" spans="1:1">
      <c r="A32" s="115" t="s">
        <v>51</v>
      </c>
    </row>
    <row r="33" spans="1:1">
      <c r="A33" s="115" t="s">
        <v>52</v>
      </c>
    </row>
    <row r="35" spans="1:1">
      <c r="A35" s="107" t="s">
        <v>53</v>
      </c>
    </row>
    <row r="36" spans="1:1">
      <c r="A36" s="115" t="s">
        <v>54</v>
      </c>
    </row>
    <row r="37" spans="1:1">
      <c r="A37" s="115" t="s">
        <v>55</v>
      </c>
    </row>
    <row r="38" spans="1:1">
      <c r="A38" s="115" t="s">
        <v>1010</v>
      </c>
    </row>
    <row r="39" spans="1:1">
      <c r="A39" s="115" t="s">
        <v>56</v>
      </c>
    </row>
    <row r="40" spans="1:1">
      <c r="A40" s="115" t="s">
        <v>57</v>
      </c>
    </row>
    <row r="42" spans="1:1">
      <c r="A42" s="107" t="s">
        <v>58</v>
      </c>
    </row>
    <row r="43" spans="1:1">
      <c r="A43" s="115" t="s">
        <v>59</v>
      </c>
    </row>
    <row r="44" spans="1:1">
      <c r="A44" s="115" t="s">
        <v>1018</v>
      </c>
    </row>
    <row r="45" spans="1:1">
      <c r="A45" s="115" t="s">
        <v>60</v>
      </c>
    </row>
    <row r="46" spans="1:1">
      <c r="A46" s="115" t="s">
        <v>955</v>
      </c>
    </row>
    <row r="47" spans="1:1">
      <c r="A47" s="115" t="s">
        <v>951</v>
      </c>
    </row>
    <row r="48" spans="1:1">
      <c r="A48" s="115" t="s">
        <v>61</v>
      </c>
    </row>
    <row r="49" spans="1:1">
      <c r="A49" s="115" t="s">
        <v>62</v>
      </c>
    </row>
    <row r="50" spans="1:1">
      <c r="A50" s="115" t="s">
        <v>63</v>
      </c>
    </row>
    <row r="52" spans="1:1">
      <c r="A52" s="107" t="s">
        <v>64</v>
      </c>
    </row>
    <row r="53" spans="1:1">
      <c r="A53" s="115" t="s">
        <v>65</v>
      </c>
    </row>
    <row r="54" spans="1:1">
      <c r="A54" s="115" t="s">
        <v>66</v>
      </c>
    </row>
    <row r="55" spans="1:1">
      <c r="A55" s="115" t="s">
        <v>1013</v>
      </c>
    </row>
    <row r="56" spans="1:1">
      <c r="A56" s="115" t="s">
        <v>67</v>
      </c>
    </row>
    <row r="58" spans="1:1">
      <c r="A58" s="107" t="s">
        <v>68</v>
      </c>
    </row>
    <row r="59" spans="1:1">
      <c r="A59" s="115" t="s">
        <v>69</v>
      </c>
    </row>
    <row r="60" spans="1:1">
      <c r="A60" s="115" t="s">
        <v>70</v>
      </c>
    </row>
    <row r="61" spans="1:1">
      <c r="A61" s="115" t="s">
        <v>71</v>
      </c>
    </row>
  </sheetData>
  <phoneticPr fontId="2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25</vt:i4>
      </vt:variant>
    </vt:vector>
  </HeadingPairs>
  <TitlesOfParts>
    <vt:vector size="25" baseType="lpstr">
      <vt:lpstr>시작중량_설정</vt:lpstr>
      <vt:lpstr>주간계획</vt:lpstr>
      <vt:lpstr>D1_당기기A</vt:lpstr>
      <vt:lpstr>D2_밀기A</vt:lpstr>
      <vt:lpstr>D3_하체A</vt:lpstr>
      <vt:lpstr>D4_어깨팔A</vt:lpstr>
      <vt:lpstr>D6_당기기B</vt:lpstr>
      <vt:lpstr>D7_밀기B</vt:lpstr>
      <vt:lpstr>D8_하체B</vt:lpstr>
      <vt:lpstr>D9_어깨팔B</vt:lpstr>
      <vt:lpstr>간접계수맵</vt:lpstr>
      <vt:lpstr>세트검산</vt:lpstr>
      <vt:lpstr>증량기록</vt:lpstr>
      <vt:lpstr>9월이후조정</vt:lpstr>
      <vt:lpstr>분할_주간계획</vt:lpstr>
      <vt:lpstr>분할_월_하체A</vt:lpstr>
      <vt:lpstr>분할_화_가슴</vt:lpstr>
      <vt:lpstr>분할_수_등</vt:lpstr>
      <vt:lpstr>분할_목_어깨</vt:lpstr>
      <vt:lpstr>분할_금_하체B</vt:lpstr>
      <vt:lpstr>분할_토_가슴등</vt:lpstr>
      <vt:lpstr>복귀_집계단</vt:lpstr>
      <vt:lpstr>복귀_캐리</vt:lpstr>
      <vt:lpstr>복귀_스텝박스</vt:lpstr>
      <vt:lpstr>복귀_증량원칙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승태 최</cp:lastModifiedBy>
  <cp:revision>0</cp:revision>
  <dcterms:created xsi:type="dcterms:W3CDTF">2026-07-28T16:37:37Z</dcterms:created>
  <dcterms:modified xsi:type="dcterms:W3CDTF">2026-10-29T01:50:35Z</dcterms:modified>
  <dc:language>en-US</dc:language>
</cp:coreProperties>
</file>