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368" documentId="11_56CBE09B577CB57806506320C7833877887CCA2D" xr6:coauthVersionLast="47" xr6:coauthVersionMax="47" xr10:uidLastSave="{6F430E9A-0B19-4A13-B70B-E851EBFE5A29}"/>
  <bookViews>
    <workbookView xWindow="-120" yWindow="-120" windowWidth="38640" windowHeight="21120" tabRatio="883" activeTab="7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7" l="1"/>
  <c r="I8" i="3"/>
  <c r="E16" i="7"/>
  <c r="E17" i="6"/>
  <c r="I13" i="7"/>
  <c r="I10" i="6"/>
  <c r="E16" i="10"/>
  <c r="E13" i="2" s="1"/>
  <c r="E30" i="8"/>
  <c r="I29" i="8"/>
  <c r="I16" i="6"/>
  <c r="I14" i="7"/>
  <c r="I25" i="8"/>
  <c r="I15" i="6"/>
  <c r="I14" i="6"/>
  <c r="I13" i="10"/>
  <c r="I15" i="10"/>
  <c r="I14" i="10"/>
  <c r="I10" i="10"/>
  <c r="E26" i="4"/>
  <c r="I25" i="4"/>
  <c r="I11" i="6"/>
  <c r="B24" i="22"/>
  <c r="B23" i="22"/>
  <c r="B22" i="22"/>
  <c r="B21" i="22"/>
  <c r="B20" i="22"/>
  <c r="B19" i="22"/>
  <c r="C18" i="22"/>
  <c r="B18" i="22"/>
  <c r="B17" i="22"/>
  <c r="B16" i="22"/>
  <c r="C15" i="22"/>
  <c r="B15" i="22"/>
  <c r="C14" i="22"/>
  <c r="B14" i="22"/>
  <c r="B13" i="22"/>
  <c r="B12" i="22"/>
  <c r="B11" i="22"/>
  <c r="B10" i="22"/>
  <c r="B9" i="22"/>
  <c r="B8" i="22"/>
  <c r="B7" i="22"/>
  <c r="B6" i="22"/>
  <c r="B5" i="22"/>
  <c r="E12" i="19"/>
  <c r="I11" i="19"/>
  <c r="I10" i="19"/>
  <c r="I9" i="19"/>
  <c r="I8" i="19"/>
  <c r="I7" i="19"/>
  <c r="I6" i="19"/>
  <c r="I5" i="19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6" i="16"/>
  <c r="I5" i="16"/>
  <c r="E6" i="15"/>
  <c r="I10" i="13"/>
  <c r="I11" i="13" s="1"/>
  <c r="G10" i="13"/>
  <c r="G11" i="13" s="1"/>
  <c r="G12" i="13" s="1"/>
  <c r="E10" i="13"/>
  <c r="E11" i="13" s="1"/>
  <c r="E12" i="13" s="1"/>
  <c r="C10" i="13"/>
  <c r="B40" i="1" s="1"/>
  <c r="H7" i="13"/>
  <c r="B24" i="12"/>
  <c r="L24" i="12" s="1"/>
  <c r="C23" i="12"/>
  <c r="B23" i="12"/>
  <c r="B22" i="12"/>
  <c r="L22" i="12" s="1"/>
  <c r="B21" i="12"/>
  <c r="L21" i="12" s="1"/>
  <c r="B20" i="12"/>
  <c r="L20" i="12" s="1"/>
  <c r="C19" i="12"/>
  <c r="B19" i="12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B7" i="12"/>
  <c r="L7" i="12" s="1"/>
  <c r="B6" i="12"/>
  <c r="L6" i="12" s="1"/>
  <c r="B5" i="12"/>
  <c r="L5" i="12" s="1"/>
  <c r="J4" i="12"/>
  <c r="E23" i="9"/>
  <c r="I22" i="9"/>
  <c r="I21" i="9"/>
  <c r="D21" i="9"/>
  <c r="I20" i="9"/>
  <c r="I19" i="9"/>
  <c r="I18" i="9"/>
  <c r="I17" i="9"/>
  <c r="I16" i="9"/>
  <c r="I15" i="9"/>
  <c r="I28" i="8"/>
  <c r="I27" i="8"/>
  <c r="I26" i="8"/>
  <c r="I24" i="8"/>
  <c r="I23" i="8"/>
  <c r="I22" i="8"/>
  <c r="I21" i="8"/>
  <c r="I20" i="8"/>
  <c r="E10" i="2"/>
  <c r="I15" i="7"/>
  <c r="I12" i="7"/>
  <c r="I11" i="7"/>
  <c r="I10" i="7"/>
  <c r="I9" i="7"/>
  <c r="I7" i="7"/>
  <c r="I6" i="7"/>
  <c r="E8" i="2"/>
  <c r="I13" i="6"/>
  <c r="I12" i="6"/>
  <c r="I9" i="6"/>
  <c r="I8" i="6"/>
  <c r="I7" i="6"/>
  <c r="I6" i="6"/>
  <c r="I17" i="6" s="1"/>
  <c r="E22" i="5"/>
  <c r="I21" i="5"/>
  <c r="I20" i="5"/>
  <c r="I19" i="5"/>
  <c r="I18" i="5"/>
  <c r="I17" i="5"/>
  <c r="I16" i="5"/>
  <c r="I15" i="5"/>
  <c r="I24" i="4"/>
  <c r="I23" i="4"/>
  <c r="I22" i="4"/>
  <c r="I21" i="4"/>
  <c r="I20" i="4"/>
  <c r="E17" i="3"/>
  <c r="E5" i="2" s="1"/>
  <c r="I16" i="3"/>
  <c r="I15" i="3"/>
  <c r="I14" i="3"/>
  <c r="I13" i="3"/>
  <c r="I12" i="3"/>
  <c r="I11" i="3"/>
  <c r="I10" i="3"/>
  <c r="I9" i="3"/>
  <c r="I7" i="3"/>
  <c r="I6" i="3"/>
  <c r="C10" i="1"/>
  <c r="C9" i="1"/>
  <c r="C8" i="1"/>
  <c r="C7" i="1"/>
  <c r="I12" i="10"/>
  <c r="I11" i="10"/>
  <c r="I9" i="10"/>
  <c r="I8" i="10"/>
  <c r="I7" i="10"/>
  <c r="I6" i="10"/>
  <c r="I16" i="10" s="1"/>
  <c r="E50" i="21"/>
  <c r="E13" i="21"/>
  <c r="E63" i="11"/>
  <c r="E38" i="21"/>
  <c r="E39" i="11"/>
  <c r="E18" i="11"/>
  <c r="E31" i="11"/>
  <c r="E70" i="11"/>
  <c r="E25" i="11"/>
  <c r="E52" i="11"/>
  <c r="E43" i="11"/>
  <c r="E19" i="21"/>
  <c r="E11" i="21"/>
  <c r="E33" i="11"/>
  <c r="E54" i="11"/>
  <c r="E39" i="21"/>
  <c r="E57" i="11"/>
  <c r="E15" i="11"/>
  <c r="E72" i="11"/>
  <c r="E35" i="11"/>
  <c r="E24" i="21"/>
  <c r="E62" i="11"/>
  <c r="E65" i="11"/>
  <c r="E56" i="11"/>
  <c r="E34" i="21"/>
  <c r="E59" i="11"/>
  <c r="E16" i="21"/>
  <c r="E47" i="21"/>
  <c r="E37" i="21"/>
  <c r="E75" i="11"/>
  <c r="E32" i="21"/>
  <c r="E29" i="11"/>
  <c r="E31" i="21"/>
  <c r="E50" i="11"/>
  <c r="E19" i="11"/>
  <c r="E45" i="11"/>
  <c r="E10" i="21"/>
  <c r="E27" i="21"/>
  <c r="E71" i="11"/>
  <c r="E20" i="21"/>
  <c r="E30" i="11"/>
  <c r="E44" i="21"/>
  <c r="E28" i="21"/>
  <c r="E41" i="11"/>
  <c r="E60" i="11"/>
  <c r="E38" i="11"/>
  <c r="E43" i="21"/>
  <c r="E45" i="21"/>
  <c r="E46" i="21"/>
  <c r="E68" i="11"/>
  <c r="E7" i="21"/>
  <c r="E8" i="11"/>
  <c r="E12" i="21"/>
  <c r="E69" i="11"/>
  <c r="E9" i="11"/>
  <c r="E37" i="11"/>
  <c r="E32" i="11"/>
  <c r="E26" i="21"/>
  <c r="E28" i="11"/>
  <c r="E17" i="11"/>
  <c r="E49" i="11"/>
  <c r="E48" i="21"/>
  <c r="E14" i="11"/>
  <c r="E34" i="11"/>
  <c r="E33" i="21"/>
  <c r="E22" i="11"/>
  <c r="E53" i="11"/>
  <c r="E21" i="21"/>
  <c r="E49" i="21"/>
  <c r="E66" i="11"/>
  <c r="E44" i="11"/>
  <c r="E40" i="11"/>
  <c r="E13" i="11"/>
  <c r="E51" i="21"/>
  <c r="E9" i="21"/>
  <c r="E12" i="11"/>
  <c r="E35" i="21"/>
  <c r="E51" i="11"/>
  <c r="E21" i="11"/>
  <c r="E47" i="11"/>
  <c r="E22" i="21"/>
  <c r="E67" i="11"/>
  <c r="E25" i="21"/>
  <c r="E11" i="11"/>
  <c r="E20" i="11"/>
  <c r="E55" i="11"/>
  <c r="E48" i="11"/>
  <c r="E15" i="21"/>
  <c r="E40" i="21"/>
  <c r="E17" i="21"/>
  <c r="E61" i="11"/>
  <c r="E74" i="11"/>
  <c r="E42" i="11"/>
  <c r="E10" i="11"/>
  <c r="E46" i="11"/>
  <c r="E73" i="11"/>
  <c r="E36" i="11"/>
  <c r="E36" i="21"/>
  <c r="E7" i="11"/>
  <c r="E58" i="11"/>
  <c r="E27" i="11"/>
  <c r="E24" i="11"/>
  <c r="E29" i="21"/>
  <c r="E41" i="21"/>
  <c r="E42" i="21"/>
  <c r="E18" i="21"/>
  <c r="E30" i="21"/>
  <c r="E26" i="11"/>
  <c r="E64" i="11"/>
  <c r="E23" i="11"/>
  <c r="E8" i="21"/>
  <c r="E16" i="11"/>
  <c r="E23" i="21"/>
  <c r="F75" i="11" l="1"/>
  <c r="F74" i="11"/>
  <c r="F73" i="11"/>
  <c r="D23" i="12"/>
  <c r="J23" i="12" s="1"/>
  <c r="E23" i="12" s="1"/>
  <c r="D19" i="12"/>
  <c r="J19" i="12" s="1"/>
  <c r="E19" i="12" s="1"/>
  <c r="I16" i="7"/>
  <c r="I30" i="8"/>
  <c r="I26" i="4"/>
  <c r="D18" i="22"/>
  <c r="E18" i="22" s="1"/>
  <c r="C40" i="1"/>
  <c r="D40" i="1"/>
  <c r="I22" i="5"/>
  <c r="B25" i="22"/>
  <c r="I12" i="19"/>
  <c r="F10" i="2"/>
  <c r="I14" i="16"/>
  <c r="I23" i="9"/>
  <c r="I17" i="3"/>
  <c r="F5" i="2" s="1"/>
  <c r="F8" i="2"/>
  <c r="D15" i="22"/>
  <c r="I16" i="17"/>
  <c r="I15" i="18"/>
  <c r="L23" i="12"/>
  <c r="F13" i="2"/>
  <c r="E40" i="1"/>
  <c r="D14" i="22"/>
  <c r="E14" i="22" s="1"/>
  <c r="F10" i="21"/>
  <c r="F17" i="21"/>
  <c r="F23" i="21"/>
  <c r="F29" i="21"/>
  <c r="F35" i="21"/>
  <c r="F41" i="21"/>
  <c r="F47" i="21"/>
  <c r="F10" i="11"/>
  <c r="F16" i="11"/>
  <c r="F28" i="11"/>
  <c r="F34" i="11"/>
  <c r="F40" i="11"/>
  <c r="F46" i="11"/>
  <c r="F52" i="11"/>
  <c r="F58" i="11"/>
  <c r="F64" i="11"/>
  <c r="F70" i="11"/>
  <c r="F11" i="21"/>
  <c r="F18" i="21"/>
  <c r="F24" i="21"/>
  <c r="F30" i="21"/>
  <c r="F36" i="21"/>
  <c r="F42" i="21"/>
  <c r="F48" i="21"/>
  <c r="C23" i="22" s="1"/>
  <c r="D23" i="22" s="1"/>
  <c r="E23" i="22" s="1"/>
  <c r="F9" i="11"/>
  <c r="F15" i="11"/>
  <c r="F21" i="11"/>
  <c r="F27" i="11"/>
  <c r="F33" i="11"/>
  <c r="F39" i="11"/>
  <c r="F45" i="11"/>
  <c r="F51" i="11"/>
  <c r="F57" i="11"/>
  <c r="F63" i="11"/>
  <c r="F69" i="11"/>
  <c r="F22" i="11"/>
  <c r="F11" i="11"/>
  <c r="F17" i="11"/>
  <c r="F23" i="11"/>
  <c r="F29" i="11"/>
  <c r="F35" i="11"/>
  <c r="F41" i="11"/>
  <c r="F47" i="11"/>
  <c r="F53" i="11"/>
  <c r="F59" i="11"/>
  <c r="F65" i="11"/>
  <c r="F71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7" i="21"/>
  <c r="F3" i="21"/>
  <c r="F13" i="21"/>
  <c r="F20" i="21"/>
  <c r="F26" i="21"/>
  <c r="F32" i="21"/>
  <c r="F38" i="21"/>
  <c r="F44" i="21"/>
  <c r="F50" i="21"/>
  <c r="F12" i="21"/>
  <c r="F19" i="21"/>
  <c r="F25" i="21"/>
  <c r="F31" i="21"/>
  <c r="F43" i="21"/>
  <c r="F49" i="21"/>
  <c r="C19" i="22" s="1"/>
  <c r="D19" i="22" s="1"/>
  <c r="E19" i="22" s="1"/>
  <c r="F7" i="11"/>
  <c r="F3" i="11"/>
  <c r="F13" i="11"/>
  <c r="F19" i="11"/>
  <c r="F25" i="11"/>
  <c r="F31" i="1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8" i="21"/>
  <c r="F15" i="21"/>
  <c r="F21" i="21"/>
  <c r="C13" i="22" s="1"/>
  <c r="D13" i="22" s="1"/>
  <c r="E13" i="22" s="1"/>
  <c r="F27" i="21"/>
  <c r="F33" i="21"/>
  <c r="F39" i="21"/>
  <c r="F45" i="21"/>
  <c r="C5" i="22" s="1"/>
  <c r="D5" i="22" s="1"/>
  <c r="F51" i="21"/>
  <c r="F37" i="21"/>
  <c r="F8" i="11"/>
  <c r="F14" i="11"/>
  <c r="F20" i="11"/>
  <c r="F26" i="11"/>
  <c r="F32" i="11"/>
  <c r="F38" i="11"/>
  <c r="F44" i="11"/>
  <c r="F50" i="11"/>
  <c r="F56" i="11"/>
  <c r="F62" i="11"/>
  <c r="F68" i="11"/>
  <c r="F9" i="21"/>
  <c r="F16" i="21"/>
  <c r="F22" i="21"/>
  <c r="F28" i="21"/>
  <c r="F34" i="21"/>
  <c r="F40" i="21"/>
  <c r="F46" i="21"/>
  <c r="E15" i="22"/>
  <c r="I12" i="13"/>
  <c r="E41" i="1"/>
  <c r="D42" i="1"/>
  <c r="G13" i="13"/>
  <c r="C42" i="1"/>
  <c r="E13" i="13"/>
  <c r="E11" i="15"/>
  <c r="L19" i="12"/>
  <c r="D41" i="1"/>
  <c r="C41" i="1"/>
  <c r="C11" i="13"/>
  <c r="B25" i="12"/>
  <c r="C24" i="22" l="1"/>
  <c r="D24" i="22" s="1"/>
  <c r="E24" i="22" s="1"/>
  <c r="C11" i="22"/>
  <c r="D11" i="22" s="1"/>
  <c r="E11" i="22" s="1"/>
  <c r="C14" i="12"/>
  <c r="D14" i="12" s="1"/>
  <c r="J14" i="12" s="1"/>
  <c r="E14" i="12" s="1"/>
  <c r="C8" i="22"/>
  <c r="D8" i="22" s="1"/>
  <c r="E8" i="22" s="1"/>
  <c r="C7" i="22"/>
  <c r="D7" i="22" s="1"/>
  <c r="E7" i="22" s="1"/>
  <c r="C22" i="22"/>
  <c r="D22" i="22" s="1"/>
  <c r="E22" i="22" s="1"/>
  <c r="C16" i="22"/>
  <c r="D16" i="22" s="1"/>
  <c r="E16" i="22" s="1"/>
  <c r="C13" i="12"/>
  <c r="D13" i="12" s="1"/>
  <c r="J13" i="12" s="1"/>
  <c r="E13" i="12" s="1"/>
  <c r="C9" i="22"/>
  <c r="D9" i="22" s="1"/>
  <c r="E9" i="22" s="1"/>
  <c r="C9" i="12"/>
  <c r="D9" i="12" s="1"/>
  <c r="J9" i="12" s="1"/>
  <c r="E9" i="12" s="1"/>
  <c r="C8" i="12"/>
  <c r="D8" i="12" s="1"/>
  <c r="J8" i="12" s="1"/>
  <c r="E8" i="12" s="1"/>
  <c r="C6" i="22"/>
  <c r="D6" i="22" s="1"/>
  <c r="E6" i="22" s="1"/>
  <c r="J15" i="12"/>
  <c r="E15" i="12" s="1"/>
  <c r="L25" i="12"/>
  <c r="L2" i="12"/>
  <c r="C20" i="22"/>
  <c r="D20" i="22" s="1"/>
  <c r="E20" i="22" s="1"/>
  <c r="C17" i="12"/>
  <c r="D17" i="12" s="1"/>
  <c r="G14" i="13"/>
  <c r="E9" i="1" s="1"/>
  <c r="D43" i="1"/>
  <c r="C17" i="22"/>
  <c r="D17" i="22" s="1"/>
  <c r="E17" i="22" s="1"/>
  <c r="C7" i="12"/>
  <c r="D7" i="12" s="1"/>
  <c r="C12" i="13"/>
  <c r="B41" i="1"/>
  <c r="J5" i="12"/>
  <c r="E5" i="12" s="1"/>
  <c r="H5" i="12"/>
  <c r="I5" i="12" s="1"/>
  <c r="C22" i="12"/>
  <c r="D22" i="12" s="1"/>
  <c r="J22" i="12" s="1"/>
  <c r="E22" i="12" s="1"/>
  <c r="E5" i="22"/>
  <c r="C21" i="22"/>
  <c r="D21" i="22" s="1"/>
  <c r="E21" i="22" s="1"/>
  <c r="C10" i="22"/>
  <c r="D10" i="22" s="1"/>
  <c r="E10" i="22" s="1"/>
  <c r="E42" i="1"/>
  <c r="I13" i="13"/>
  <c r="C16" i="12"/>
  <c r="D16" i="12" s="1"/>
  <c r="J16" i="12" s="1"/>
  <c r="E16" i="12" s="1"/>
  <c r="C24" i="12"/>
  <c r="D24" i="12" s="1"/>
  <c r="J24" i="12" s="1"/>
  <c r="E24" i="12" s="1"/>
  <c r="C12" i="22"/>
  <c r="D12" i="22" s="1"/>
  <c r="E12" i="22" s="1"/>
  <c r="C12" i="12"/>
  <c r="D12" i="12" s="1"/>
  <c r="J12" i="12" s="1"/>
  <c r="E12" i="12" s="1"/>
  <c r="C10" i="12"/>
  <c r="D10" i="12" s="1"/>
  <c r="J10" i="12" s="1"/>
  <c r="E10" i="12" s="1"/>
  <c r="C11" i="12"/>
  <c r="D11" i="12" s="1"/>
  <c r="J11" i="12" s="1"/>
  <c r="E11" i="12" s="1"/>
  <c r="C43" i="1"/>
  <c r="E14" i="13"/>
  <c r="E8" i="1"/>
  <c r="C20" i="12"/>
  <c r="D20" i="12" s="1"/>
  <c r="J20" i="12" s="1"/>
  <c r="E20" i="12" s="1"/>
  <c r="C21" i="12"/>
  <c r="D21" i="12" s="1"/>
  <c r="J21" i="12" s="1"/>
  <c r="E21" i="12" s="1"/>
  <c r="I5" i="22" l="1"/>
  <c r="I15" i="22"/>
  <c r="D25" i="12"/>
  <c r="J25" i="12" s="1"/>
  <c r="D25" i="22"/>
  <c r="G15" i="13"/>
  <c r="D44" i="1"/>
  <c r="D5" i="19"/>
  <c r="D20" i="4"/>
  <c r="A10" i="4"/>
  <c r="A9" i="4"/>
  <c r="A8" i="4"/>
  <c r="A7" i="4"/>
  <c r="A6" i="4"/>
  <c r="E15" i="13"/>
  <c r="C44" i="1"/>
  <c r="J17" i="12"/>
  <c r="E17" i="12" s="1"/>
  <c r="H17" i="12"/>
  <c r="H3" i="12"/>
  <c r="J3" i="12"/>
  <c r="D16" i="9"/>
  <c r="D15" i="9"/>
  <c r="D5" i="17"/>
  <c r="A10" i="9"/>
  <c r="A9" i="9"/>
  <c r="A8" i="9"/>
  <c r="A6" i="9"/>
  <c r="A7" i="9"/>
  <c r="I14" i="13"/>
  <c r="E10" i="1" s="1"/>
  <c r="E43" i="1"/>
  <c r="B42" i="1"/>
  <c r="C13" i="13"/>
  <c r="H15" i="12"/>
  <c r="I7" i="22"/>
  <c r="J7" i="12"/>
  <c r="E7" i="12" s="1"/>
  <c r="H7" i="12"/>
  <c r="C45" i="1" l="1"/>
  <c r="E16" i="13"/>
  <c r="F12" i="2"/>
  <c r="E12" i="2"/>
  <c r="E6" i="2"/>
  <c r="F6" i="2"/>
  <c r="B43" i="1"/>
  <c r="C14" i="13"/>
  <c r="E7" i="1"/>
  <c r="A3" i="12"/>
  <c r="L3" i="12"/>
  <c r="I15" i="13"/>
  <c r="E44" i="1"/>
  <c r="D45" i="1"/>
  <c r="G16" i="13"/>
  <c r="A7" i="8"/>
  <c r="A6" i="8"/>
  <c r="D6" i="16"/>
  <c r="D20" i="8"/>
  <c r="A9" i="8"/>
  <c r="A10" i="8"/>
  <c r="A8" i="8"/>
  <c r="C15" i="13" l="1"/>
  <c r="B44" i="1"/>
  <c r="G17" i="13"/>
  <c r="D46" i="1"/>
  <c r="F11" i="2"/>
  <c r="E11" i="2"/>
  <c r="C46" i="1"/>
  <c r="E17" i="13"/>
  <c r="D15" i="5"/>
  <c r="A10" i="5"/>
  <c r="A8" i="5"/>
  <c r="A7" i="5"/>
  <c r="A9" i="5"/>
  <c r="D5" i="16"/>
  <c r="A6" i="5"/>
  <c r="E45" i="1"/>
  <c r="I16" i="13"/>
  <c r="E18" i="13" l="1"/>
  <c r="C47" i="1"/>
  <c r="G18" i="13"/>
  <c r="D47" i="1"/>
  <c r="E7" i="2"/>
  <c r="E15" i="2" s="1"/>
  <c r="F7" i="2"/>
  <c r="F15" i="2"/>
  <c r="I17" i="13"/>
  <c r="E46" i="1"/>
  <c r="B45" i="1"/>
  <c r="C16" i="13"/>
  <c r="B46" i="1" l="1"/>
  <c r="C17" i="13"/>
  <c r="I18" i="13"/>
  <c r="E47" i="1"/>
  <c r="D48" i="1"/>
  <c r="G19" i="13"/>
  <c r="C48" i="1"/>
  <c r="E19" i="13"/>
  <c r="C49" i="1" l="1"/>
  <c r="E20" i="13"/>
  <c r="G20" i="13"/>
  <c r="D49" i="1"/>
  <c r="E48" i="1"/>
  <c r="I19" i="13"/>
  <c r="C18" i="13"/>
  <c r="B47" i="1"/>
  <c r="B48" i="1" l="1"/>
  <c r="C19" i="13"/>
  <c r="I20" i="13"/>
  <c r="E49" i="1"/>
  <c r="G21" i="13"/>
  <c r="D51" i="1" s="1"/>
  <c r="D50" i="1"/>
  <c r="E21" i="13"/>
  <c r="C51" i="1" s="1"/>
  <c r="C50" i="1"/>
  <c r="I21" i="13" l="1"/>
  <c r="E51" i="1" s="1"/>
  <c r="E50" i="1"/>
  <c r="B49" i="1"/>
  <c r="C20" i="13"/>
  <c r="C21" i="13" l="1"/>
  <c r="B51" i="1" s="1"/>
  <c r="B50" i="1"/>
</calcChain>
</file>

<file path=xl/sharedStrings.xml><?xml version="1.0" encoding="utf-8"?>
<sst xmlns="http://schemas.openxmlformats.org/spreadsheetml/2006/main" count="2205" uniqueCount="1137">
  <si>
    <t>9일차 — 어깨·팔 B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</si>
  <si>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</si>
  <si>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운동 구성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</si>
  <si>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</si>
  <si>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</si>
  <si>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</si>
  <si>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</si>
  <si>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</si>
  <si>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</si>
  <si>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</si>
  <si>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</si>
  <si>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</si>
  <si>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</si>
  <si>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</si>
  <si>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</si>
  <si>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</si>
  <si>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</si>
  <si>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리닝 원암 케이블 레터럴 레이즈</t>
  </si>
  <si>
    <t>삼각근(측면)</t>
  </si>
  <si>
    <t>12~15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</si>
  <si>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</si>
  <si>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</si>
  <si>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</si>
  <si>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삼각근(후면)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</si>
  <si>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</si>
  <si>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</si>
  <si>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머신 숄더 프레스</t>
  </si>
  <si>
    <t>삼각근(전면)</t>
  </si>
  <si>
    <t>25</t>
  </si>
  <si>
    <t>12</t>
  </si>
  <si>
    <t>삼두 · 삼각근(측면)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</si>
  <si>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</si>
  <si>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</si>
  <si>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프론 Y 레이즈</t>
  </si>
  <si>
    <t>승모(하부)</t>
  </si>
  <si>
    <t>2~5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</si>
  <si>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</si>
  <si>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</si>
  <si>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</si>
  <si>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삼두</t>
  </si>
  <si>
    <t>8~12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</si>
  <si>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</si>
  <si>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</si>
  <si>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</si>
  <si>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이두</t>
  </si>
  <si>
    <t>전완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</si>
  <si>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</si>
  <si>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</si>
  <si>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</si>
  <si>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15</t>
  </si>
  <si>
    <t>덤벨 리스트 컬 (한 손씩) / 케이블 리스트 컬 / 비하인드백 리스트 컬</t>
  </si>
  <si>
    <t>리버스컬</t>
  </si>
  <si>
    <t>10~15</t>
  </si>
  <si>
    <t>이두(상완근)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</si>
  <si>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</si>
  <si>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시티드 카프 레이즈</t>
  </si>
  <si>
    <t>종아리</t>
  </si>
  <si>
    <t>8</t>
  </si>
  <si>
    <t>레그 프레스 카프 / 스탠딩 카프 (기계가 찼을 때)</t>
  </si>
  <si>
    <t>케이블 힙 외전</t>
  </si>
  <si>
    <t>중둔근</t>
  </si>
  <si>
    <t>12~15 (좌우)</t>
  </si>
  <si>
    <t>밴드 몬스터 워크 / 사이드 라잉 힙 외전 / 힙 어브덕션 머신</t>
  </si>
  <si>
    <t>세트 합계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</si>
  <si>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</si>
  <si>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</si>
  <si>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</si>
  <si>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</si>
  <si>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</si>
  <si>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</si>
  <si>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</si>
  <si>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</si>
  <si>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</si>
  <si>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</si>
  <si>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</si>
  <si>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</si>
  <si>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</si>
  <si>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</si>
  <si>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</si>
  <si>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</si>
  <si>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</si>
  <si>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</si>
  <si>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</si>
  <si>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</si>
  <si>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</si>
  <si>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</si>
  <si>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</si>
  <si>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</si>
  <si>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</si>
  <si>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</si>
  <si>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</si>
  <si>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</si>
  <si>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</si>
  <si>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</si>
  <si>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</si>
  <si>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</si>
  <si>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</si>
  <si>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</si>
  <si>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</si>
  <si>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</si>
  <si>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</si>
  <si>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</si>
  <si>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</si>
  <si>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</si>
  <si>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</si>
  <si>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</si>
  <si>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</si>
  <si>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</si>
  <si>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</si>
  <si>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</si>
  <si>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</si>
  <si>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</si>
  <si>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</si>
  <si>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</si>
  <si>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</si>
  <si>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</si>
  <si>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</si>
  <si>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</si>
  <si>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</si>
  <si>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</si>
  <si>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</si>
  <si>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</si>
  <si>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</si>
  <si>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</si>
  <si>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</si>
  <si>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</si>
  <si>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</si>
  <si>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</si>
  <si>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</si>
  <si>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</si>
  <si>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</si>
  <si>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</si>
  <si>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</si>
  <si>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</si>
  <si>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</si>
  <si>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</si>
  <si>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</si>
  <si>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</si>
  <si>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</si>
  <si>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</si>
  <si>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</si>
  <si>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</si>
  <si>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</si>
  <si>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</si>
  <si>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</si>
  <si>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</si>
  <si>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</si>
  <si>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</si>
  <si>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</si>
  <si>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</si>
  <si>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</si>
  <si>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</si>
  <si>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</si>
  <si>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</si>
  <si>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하체 A (무릎)</t>
  </si>
  <si>
    <t>스쿼트 5×5</t>
  </si>
  <si>
    <t>대퇴사두 · 햄스트링 · 둔근</t>
  </si>
  <si>
    <t>어깨·팔 A</t>
  </si>
  <si>
    <t>휴식</t>
  </si>
  <si>
    <t>당기기 B (수평)</t>
  </si>
  <si>
    <t>밀기 B (수직)</t>
  </si>
  <si>
    <t>밀리터리 3×5</t>
  </si>
  <si>
    <t>하체 B (고관절)</t>
  </si>
  <si>
    <t>데드리프트 1×5 + 백오프 2×5</t>
  </si>
  <si>
    <t>둔근 · 햄스트링 · 대퇴사두</t>
  </si>
  <si>
    <t>어깨·팔 B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</si>
  <si>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</si>
  <si>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</si>
  <si>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</si>
  <si>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</si>
  <si>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</si>
  <si>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</si>
  <si>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</si>
  <si>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</si>
  <si>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</si>
  <si>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</si>
  <si>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</si>
  <si>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</si>
  <si>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</si>
  <si>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</si>
  <si>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</si>
  <si>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</si>
  <si>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</si>
  <si>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</si>
  <si>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</si>
  <si>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</si>
  <si>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</si>
  <si>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</si>
  <si>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</si>
  <si>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</si>
  <si>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</si>
  <si>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</si>
  <si>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</si>
  <si>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</si>
  <si>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</si>
  <si>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</si>
  <si>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</si>
  <si>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</si>
  <si>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</si>
  <si>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</si>
  <si>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</si>
  <si>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</si>
  <si>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</si>
  <si>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</si>
  <si>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</si>
  <si>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</si>
  <si>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</si>
  <si>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</si>
  <si>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</si>
  <si>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</si>
  <si>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</si>
  <si>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</si>
  <si>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</si>
  <si>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</si>
  <si>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</si>
  <si>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</si>
  <si>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</si>
  <si>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</si>
  <si>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</si>
  <si>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</si>
  <si>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</si>
  <si>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</si>
  <si>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</si>
  <si>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</si>
  <si>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</si>
  <si>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</si>
  <si>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</si>
  <si>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</si>
  <si>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</si>
  <si>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</si>
  <si>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</si>
  <si>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</si>
  <si>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</si>
  <si>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</si>
  <si>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</si>
  <si>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</si>
  <si>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</si>
  <si>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</si>
  <si>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</si>
  <si>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</si>
  <si>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</si>
  <si>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</si>
  <si>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</si>
  <si>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</si>
  <si>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뉴트럴 그립 랫풀다운 / 원암 랫풀다운 (좌우 독립) / 케이블 풀오버 (이두 개입 최소)</t>
  </si>
  <si>
    <t>바벨 로우(스미스)(그립 넓게)</t>
  </si>
  <si>
    <t>승모(중부)·능형근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</si>
  <si>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</si>
  <si>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</si>
  <si>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</si>
  <si>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</si>
  <si>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</si>
  <si>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</si>
  <si>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</si>
  <si>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</si>
  <si>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</si>
  <si>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</si>
  <si>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</si>
  <si>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</si>
  <si>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</si>
  <si>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</si>
  <si>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</si>
  <si>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</si>
  <si>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</si>
  <si>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</si>
  <si>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</si>
  <si>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</si>
  <si>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</si>
  <si>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</si>
  <si>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</si>
  <si>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</si>
  <si>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</si>
  <si>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</si>
  <si>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</si>
  <si>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</si>
  <si>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</si>
  <si>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</si>
  <si>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</si>
  <si>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</si>
  <si>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 xml:space="preserve"> </t>
  </si>
  <si>
    <t>2일차 — 밀기 A (수평)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</si>
  <si>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</si>
  <si>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</si>
  <si>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</si>
  <si>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</si>
  <si>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</si>
  <si>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</si>
  <si>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</si>
  <si>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</si>
  <si>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</si>
  <si>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</si>
  <si>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</si>
  <si>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</si>
  <si>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</si>
  <si>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</si>
  <si>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</si>
  <si>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</si>
  <si>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</si>
  <si>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</si>
  <si>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</si>
  <si>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흉근(상부)</t>
  </si>
  <si>
    <t>30</t>
  </si>
  <si>
    <t>삼두 · 삼각근(전면)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</si>
  <si>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</si>
  <si>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</si>
  <si>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</si>
  <si>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</si>
  <si>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</si>
  <si>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</si>
  <si>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</si>
  <si>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</si>
  <si>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</si>
  <si>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</si>
  <si>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</si>
  <si>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</si>
  <si>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</si>
  <si>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</si>
  <si>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대퇴사두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</si>
  <si>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</si>
  <si>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</si>
  <si>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</si>
  <si>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</si>
  <si>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</si>
  <si>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</si>
  <si>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</si>
  <si>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</si>
  <si>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</si>
  <si>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</si>
  <si>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</si>
  <si>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</si>
  <si>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</si>
  <si>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</si>
  <si>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</si>
  <si>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</si>
  <si>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</si>
  <si>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</si>
  <si>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</si>
  <si>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</si>
  <si>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</si>
  <si>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</si>
  <si>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</si>
  <si>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</si>
  <si>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</si>
  <si>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</si>
  <si>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</si>
  <si>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</si>
  <si>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</si>
  <si>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</si>
  <si>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</si>
  <si>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</si>
  <si>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</si>
  <si>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승모(상부)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</si>
  <si>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</si>
  <si>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</si>
  <si>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</si>
  <si>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</si>
  <si>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</si>
  <si>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</si>
  <si>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</si>
  <si>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</si>
  <si>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</si>
  <si>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</si>
  <si>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</si>
  <si>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</si>
  <si>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</si>
  <si>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</si>
  <si>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</si>
  <si>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</si>
  <si>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</si>
  <si>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</si>
  <si>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</si>
  <si>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</si>
  <si>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케이블 리버스 리스트 컬 / 리버스 EZ바 컬 (상완요골근까지) / 덤벨로 한 손씩</t>
  </si>
  <si>
    <t>35</t>
  </si>
  <si>
    <t>와이드 스탠스 레그 프레스 / 케이블 힙 내전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</si>
  <si>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</si>
  <si>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</si>
  <si>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</si>
  <si>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</si>
  <si>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</si>
  <si>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</si>
  <si>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</si>
  <si>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</si>
  <si>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</si>
  <si>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</si>
  <si>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</si>
  <si>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</si>
  <si>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</si>
  <si>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</si>
  <si>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</si>
  <si>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</si>
  <si>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원암 케이블 로우 (좌우 독립) / 덤벨 로우 / 머신 로우</t>
  </si>
  <si>
    <t>시티드 케이블 로우 스캡 슈러그(두번째 크기 바)</t>
  </si>
  <si>
    <t>후면 삼각근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</si>
  <si>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</si>
  <si>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</si>
  <si>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</si>
  <si>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</si>
  <si>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</si>
  <si>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</si>
  <si>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</si>
  <si>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</si>
  <si>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</si>
  <si>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</si>
  <si>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</si>
  <si>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</si>
  <si>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오버헤드 케이블 슈러그 / 프론 Y 레이즈</t>
  </si>
  <si>
    <t>스탠딩 카프 레이즈 머신 / 레그 프레스 발판 끝에서 / 스미스 카프 레이즈</t>
  </si>
  <si>
    <t>중량 크런치</t>
  </si>
  <si>
    <t>케이블 크런치 (점진적 과부하에 최적 — 1순위) / 압도미널 크런치 머신 / 인클라인 싯업</t>
  </si>
  <si>
    <t>7일차 — 밀기 B (수직)</t>
  </si>
  <si>
    <t>메인: 밀리터리 프레스</t>
  </si>
  <si>
    <t>밀리터리 프레스 (본세트)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</si>
  <si>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</si>
  <si>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</si>
  <si>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</si>
  <si>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</si>
  <si>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</si>
  <si>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</si>
  <si>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</si>
  <si>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</si>
  <si>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</si>
  <si>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</si>
  <si>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</si>
  <si>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</si>
  <si>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</si>
  <si>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</si>
  <si>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</si>
  <si>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</si>
  <si>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</si>
  <si>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</si>
  <si>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</si>
  <si>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</si>
  <si>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</si>
  <si>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</si>
  <si>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</si>
  <si>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</si>
  <si>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</si>
  <si>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</si>
  <si>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</si>
  <si>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</si>
  <si>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</si>
  <si>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</si>
  <si>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</si>
  <si>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</si>
  <si>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</si>
  <si>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</si>
  <si>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</si>
  <si>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</si>
  <si>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</si>
  <si>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</si>
  <si>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</si>
  <si>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</si>
  <si>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</si>
  <si>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</si>
  <si>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</si>
  <si>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</si>
  <si>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</si>
  <si>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</si>
  <si>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</si>
  <si>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</si>
  <si>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</si>
  <si>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</si>
  <si>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</si>
  <si>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</si>
  <si>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</si>
  <si>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</si>
  <si>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</si>
  <si>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</si>
  <si>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</si>
  <si>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</si>
  <si>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</si>
  <si>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</si>
  <si>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</si>
  <si>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</si>
  <si>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</si>
  <si>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</si>
  <si>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</si>
  <si>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</si>
  <si>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</si>
  <si>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</si>
  <si>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</si>
  <si>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</si>
  <si>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</si>
  <si>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</si>
  <si>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</si>
  <si>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</si>
  <si>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</si>
  <si>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</si>
  <si>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</si>
  <si>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</si>
  <si>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</si>
  <si>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</si>
  <si>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</si>
  <si>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</si>
  <si>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</si>
  <si>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</si>
  <si>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</si>
  <si>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</si>
  <si>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</si>
  <si>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</si>
  <si>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</si>
  <si>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</si>
  <si>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</si>
  <si>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</si>
  <si>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</si>
  <si>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</si>
  <si>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</si>
  <si>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</si>
  <si>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</si>
  <si>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</si>
  <si>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</si>
  <si>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</si>
  <si>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</si>
  <si>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</si>
  <si>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</si>
  <si>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</si>
  <si>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</si>
  <si>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</si>
  <si>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</si>
  <si>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</si>
  <si>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</si>
  <si>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</si>
  <si>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</si>
  <si>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</si>
  <si>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</si>
  <si>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</si>
  <si>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</si>
  <si>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</si>
  <si>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</si>
  <si>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</si>
  <si>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</si>
  <si>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</si>
  <si>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</si>
  <si>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</si>
  <si>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</si>
  <si>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</si>
  <si>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</si>
  <si>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</si>
  <si>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</si>
  <si>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</si>
  <si>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</si>
  <si>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</si>
  <si>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</si>
  <si>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</si>
  <si>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</si>
  <si>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</si>
  <si>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</si>
  <si>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</si>
  <si>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</si>
  <si>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</si>
  <si>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</si>
  <si>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</si>
  <si>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</si>
  <si>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</si>
  <si>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</si>
  <si>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</si>
  <si>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</si>
  <si>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</si>
  <si>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</si>
  <si>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</si>
  <si>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</si>
  <si>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</si>
  <si>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</si>
  <si>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</si>
  <si>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</si>
  <si>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</si>
  <si>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</si>
  <si>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</si>
  <si>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</si>
  <si>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</si>
  <si>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</si>
  <si>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</si>
  <si>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</si>
  <si>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</si>
  <si>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</si>
  <si>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</si>
  <si>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</si>
  <si>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</si>
  <si>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</si>
  <si>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</si>
  <si>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</si>
  <si>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</si>
  <si>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</si>
  <si>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</si>
  <si>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</si>
  <si>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</si>
  <si>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</si>
  <si>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</si>
  <si>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</si>
  <si>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</si>
  <si>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</si>
  <si>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</si>
  <si>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</si>
  <si>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</si>
  <si>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</si>
  <si>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</si>
  <si>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</si>
  <si>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</si>
  <si>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</si>
  <si>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</si>
  <si>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</si>
  <si>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</si>
  <si>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</si>
  <si>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</si>
  <si>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</si>
  <si>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</si>
  <si>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</si>
  <si>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</si>
  <si>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</si>
  <si>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</si>
  <si>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</si>
  <si>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</si>
  <si>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</si>
  <si>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</si>
  <si>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</si>
  <si>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</si>
  <si>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</si>
  <si>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</si>
  <si>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</si>
  <si>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</si>
  <si>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</si>
  <si>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</si>
  <si>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</si>
  <si>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</si>
  <si>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</si>
  <si>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</si>
  <si>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</si>
  <si>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등(광배 · 승모중부) 4종목 각 +1, 흉근상부 인클라인 스미스 +1 — 사용자 판단. 같은 날 15종목 +1을 넣었다가 잠금(잔여 −15)에 걸려 10은 되돌렸다</t>
  </si>
  <si>
    <t>없음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</si>
  <si>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</si>
  <si>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</si>
  <si>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</si>
  <si>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</si>
  <si>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</si>
  <si>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</si>
  <si>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</si>
  <si>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</si>
  <si>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</si>
  <si>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</si>
  <si>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</si>
  <si>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</si>
  <si>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</si>
  <si>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</si>
  <si>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</si>
  <si>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</si>
  <si>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</si>
  <si>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</si>
  <si>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</si>
  <si>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</si>
  <si>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</si>
  <si>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</si>
  <si>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</si>
  <si>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</si>
  <si>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</si>
  <si>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</si>
  <si>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</si>
  <si>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</si>
  <si>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</si>
  <si>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</si>
  <si>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</si>
  <si>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</si>
  <si>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</si>
  <si>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</si>
  <si>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</si>
  <si>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</si>
  <si>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</si>
  <si>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</si>
  <si>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</si>
  <si>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</si>
  <si>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</si>
  <si>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</si>
  <si>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</si>
  <si>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</si>
  <si>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</si>
  <si>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</si>
  <si>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</si>
  <si>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</si>
  <si>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</si>
  <si>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</si>
  <si>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</si>
  <si>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</si>
  <si>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</si>
  <si>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</si>
  <si>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</si>
  <si>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</si>
  <si>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</si>
  <si>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</si>
  <si>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</si>
  <si>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</si>
  <si>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</si>
  <si>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</si>
  <si>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</si>
  <si>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</si>
  <si>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</si>
  <si>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</si>
  <si>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</si>
  <si>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</si>
  <si>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</si>
  <si>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</si>
  <si>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</si>
  <si>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</si>
  <si>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</si>
  <si>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</si>
  <si>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</si>
  <si>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</si>
  <si>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</si>
  <si>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</si>
  <si>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</si>
  <si>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</si>
  <si>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</si>
  <si>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</si>
  <si>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</si>
  <si>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</si>
  <si>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</si>
  <si>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</si>
  <si>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</si>
  <si>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</si>
  <si>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</si>
  <si>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</si>
  <si>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</si>
  <si>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</si>
  <si>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</si>
  <si>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</si>
  <si>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</si>
  <si>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</si>
  <si>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</si>
  <si>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</si>
  <si>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</si>
  <si>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</si>
  <si>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</si>
  <si>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</si>
  <si>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</si>
  <si>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</si>
  <si>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</si>
  <si>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</si>
  <si>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</si>
  <si>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</si>
  <si>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</si>
  <si>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</si>
  <si>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</si>
  <si>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</si>
  <si>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</si>
  <si>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</si>
  <si>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</si>
  <si>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</si>
  <si>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</si>
  <si>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</si>
  <si>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</si>
  <si>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</si>
  <si>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</si>
  <si>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</si>
  <si>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</si>
  <si>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</si>
  <si>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</si>
  <si>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</si>
  <si>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</si>
  <si>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</si>
  <si>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</si>
  <si>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</si>
  <si>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</si>
  <si>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</si>
  <si>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</si>
  <si>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</si>
  <si>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</si>
  <si>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</si>
  <si>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</si>
  <si>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</si>
  <si>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</si>
  <si>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</si>
  <si>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</si>
  <si>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</si>
  <si>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</si>
  <si>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</si>
  <si>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</si>
  <si>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</si>
  <si>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</si>
  <si>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</si>
  <si>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</si>
  <si>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</si>
  <si>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</si>
  <si>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</si>
  <si>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</si>
  <si>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</si>
  <si>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</si>
  <si>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</si>
  <si>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</si>
  <si>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</si>
  <si>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</si>
  <si>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</si>
  <si>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</si>
  <si>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</si>
  <si>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</si>
  <si>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</si>
  <si>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</si>
  <si>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</si>
  <si>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</si>
  <si>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</si>
  <si>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</si>
  <si>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</si>
  <si>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</si>
  <si>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</si>
  <si>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</si>
  <si>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</si>
  <si>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</si>
  <si>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</si>
  <si>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</si>
  <si>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</si>
  <si>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</si>
  <si>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</si>
  <si>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</si>
  <si>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</si>
  <si>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</si>
  <si>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</si>
  <si>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</si>
  <si>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</si>
  <si>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</si>
  <si>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</si>
  <si>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</si>
  <si>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</si>
  <si>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</si>
  <si>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</si>
  <si>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</si>
  <si>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</si>
  <si>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</si>
  <si>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</si>
  <si>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</si>
  <si>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</si>
  <si>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</si>
  <si>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</si>
  <si>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</si>
  <si>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</si>
  <si>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</si>
  <si>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</si>
  <si>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</si>
  <si>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</si>
  <si>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</si>
  <si>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</si>
  <si>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</si>
  <si>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</si>
  <si>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</si>
  <si>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</si>
  <si>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</si>
  <si>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</si>
  <si>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</si>
  <si>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</si>
  <si>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</si>
  <si>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</si>
  <si>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</si>
  <si>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</si>
  <si>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</si>
  <si>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</si>
  <si>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</si>
  <si>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</si>
  <si>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</si>
  <si>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</si>
  <si>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</si>
  <si>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</si>
  <si>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</si>
  <si>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</si>
  <si>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</si>
  <si>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</si>
  <si>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</si>
  <si>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</si>
  <si>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</si>
  <si>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</si>
  <si>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</si>
  <si>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</si>
  <si>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</si>
  <si>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</si>
  <si>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</si>
  <si>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</si>
  <si>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</si>
  <si>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</si>
  <si>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</si>
  <si>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</si>
  <si>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</si>
  <si>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</si>
  <si>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</si>
  <si>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</si>
  <si>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</si>
  <si>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</si>
  <si>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</si>
  <si>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</si>
  <si>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</si>
  <si>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</si>
  <si>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</si>
  <si>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</si>
  <si>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</si>
  <si>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</si>
  <si>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</si>
  <si>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</si>
  <si>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</si>
  <si>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</si>
  <si>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</si>
  <si>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</si>
  <si>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</si>
  <si>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</si>
  <si>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</si>
  <si>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</si>
  <si>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</si>
  <si>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</si>
  <si>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</si>
  <si>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</si>
  <si>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</si>
  <si>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</si>
  <si>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</si>
  <si>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</si>
  <si>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</si>
  <si>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</si>
  <si>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</si>
  <si>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</si>
  <si>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</si>
  <si>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</si>
  <si>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</si>
  <si>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</si>
  <si>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</si>
  <si>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</si>
  <si>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</si>
  <si>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</si>
  <si>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</si>
  <si>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</si>
  <si>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</si>
  <si>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</si>
  <si>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</si>
  <si>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</si>
  <si>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</si>
  <si>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</si>
  <si>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</si>
  <si>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</si>
  <si>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</si>
  <si>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</si>
  <si>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</si>
  <si>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</si>
  <si>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</si>
  <si>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</si>
  <si>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</si>
  <si>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</si>
  <si>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</si>
  <si>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</si>
  <si>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</si>
  <si>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</si>
  <si>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</si>
  <si>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</si>
  <si>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</si>
  <si>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</si>
  <si>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</si>
  <si>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</si>
  <si>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</si>
  <si>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</si>
  <si>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</si>
  <si>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</si>
  <si>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</si>
  <si>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</si>
  <si>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</si>
  <si>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</si>
  <si>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</si>
  <si>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</si>
  <si>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</si>
  <si>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</si>
  <si>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</si>
  <si>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</si>
  <si>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</si>
  <si>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</si>
  <si>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</si>
  <si>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</si>
  <si>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</si>
  <si>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</si>
  <si>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</si>
  <si>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</si>
  <si>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</si>
  <si>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</si>
  <si>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</si>
  <si>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</si>
  <si>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</si>
  <si>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</si>
  <si>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</si>
  <si>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</si>
  <si>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</si>
  <si>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</si>
  <si>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</si>
  <si>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</si>
  <si>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</si>
  <si>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</si>
  <si>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</si>
  <si>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</si>
  <si>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</si>
  <si>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</si>
  <si>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</si>
  <si>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</si>
  <si>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</si>
  <si>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</si>
  <si>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</si>
  <si>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</si>
  <si>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</si>
  <si>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</si>
  <si>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</si>
  <si>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</si>
  <si>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</si>
  <si>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</si>
  <si>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</si>
  <si>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</si>
  <si>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</si>
  <si>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</si>
  <si>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</si>
  <si>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</si>
  <si>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</si>
  <si>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</si>
  <si>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</si>
  <si>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</si>
  <si>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</si>
  <si>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</si>
  <si>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</si>
  <si>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</si>
  <si>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</si>
  <si>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</si>
  <si>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</si>
  <si>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</si>
  <si>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</si>
  <si>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</si>
  <si>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</si>
  <si>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</si>
  <si>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</si>
  <si>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</si>
  <si>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</si>
  <si>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</si>
  <si>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</si>
  <si>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</si>
  <si>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</si>
  <si>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</si>
  <si>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</si>
  <si>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</si>
  <si>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</si>
  <si>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</si>
  <si>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</si>
  <si>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</si>
  <si>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</si>
  <si>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</si>
  <si>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</si>
  <si>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</si>
  <si>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</si>
  <si>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</si>
  <si>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</si>
  <si>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</si>
  <si>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</si>
  <si>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</si>
  <si>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</si>
  <si>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</si>
  <si>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</si>
  <si>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</si>
  <si>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</si>
  <si>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</si>
  <si>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</si>
  <si>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</si>
  <si>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</si>
  <si>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</si>
  <si>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</si>
  <si>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</si>
  <si>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</si>
  <si>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</si>
  <si>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</si>
  <si>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</si>
  <si>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</si>
  <si>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</si>
  <si>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</si>
  <si>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</si>
  <si>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</si>
  <si>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</si>
  <si>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</si>
  <si>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</si>
  <si>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</si>
  <si>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</si>
  <si>
    <t>[2026-09-05 4일차 → 2일차 이동] 벤치·딥스·플라이·레이즈를 다 마친 뒤 마지막에 — 프레스에서 이미 지친 삼두를 고립으로 마무리하는 자리다. 4일차에 있을 때의 근거였던 '삼두가 안 쓰인 날의 신선함'은 포기했고, 대신 밀기 날에 삼두가 같이 끝난다. 로프로 마지막에 손등을 바깥으로 벌리면 외측두가 끝까지 수축한다. 팔꿈치는 옆구리에 고정 — 어깨로 누르면 광배 종목이 된다. 9일차 라잉 익스텐션이 늘어난 구간(장두)이라 여기는 짧아진 구간(외측두·내측두)으로 축을 나눈다. 삼두 직접은 2일차 4 · 9일차 4로 사이클당 2회 그대로. [2026-08-28 — 원래 1일차 인클라인 덤벨 컬 자리에 들어왔던 종목]</t>
    <phoneticPr fontId="32" type="noConversion"/>
  </si>
  <si>
    <t>[2026-09-05 2일차 → 4일차 이동] 이 날 유일한 프레스라 벤치·딥스 뒤 세 번째로 치던 때보다 신선하다 — 중량을 2일차 시절보다 올려 잡아도 된다. 레이즈 6세트 뒤에 두는 이유는 9일차 머신 숄더 프레스와 같다: 앞에 두면 프레스 피로로 레이즈 중량이 눌린다. 복합관절이라 뒤의 플라이 두 종목 앞이다. [2026-09-04 신설 당시] 흉근 상부 7세트를 플라이 하나로 채우던 것을 프레스 3 + 플라이 4로 나눴다. 플라이는 늘어난 구간에서 벌리는 자극, 프레스는 중량을 실을 수 있는 축 — 상부 흉근을 한 종류로만 때리지 않는다. 2일차 인클라인 플라이 · 7일차 인클라인 머신과 함께 흉근 상부 사이클당 3회.</t>
    <phoneticPr fontId="32" type="noConversion"/>
  </si>
  <si>
    <t>벤치 5×5가 이 프로그램의 최우선 종목. 7일차 밀기 B(수직)와 각도를 나눈다. 삼두 푸쉬다운을 마지막에 둔다 — 프레스로 지친 삼두를 고립으로 마무리한다 (2026-09-05, 4일차에서 이동). [이력] 바벨 컬은 2026-09-04에 4일차로 갔다.</t>
    <phoneticPr fontId="32" type="noConversion"/>
  </si>
  <si>
    <t>· 측면 · 후면 · 이두 · 전완이 9일차와 5일 간격으로 두 번 온다. [2026-09-05] 삼두 푸쉬다운은 2일차(벤치 날 마지막)로 갔다 — 삼두 직접은 2일차 4 · 9일차 4, 간격 7일/3일로 비대칭이 됐다. 대신 이 날 인클라인 스미스 4세트가 벤치 이틀 뒤 두 번째 프레스로 온다.</t>
    <phoneticPr fontId="32" type="noConversion"/>
  </si>
  <si>
    <t>흉근 · 측면삼각 · 후면삼각 · 삼두</t>
    <phoneticPr fontId="32" type="noConversion"/>
  </si>
  <si>
    <t>· [2026-09-05] 2일차 인클라인 스미스(4) ↔ 4일차 케이블 푸쉬다운(4) 맞교환 — 사용자 요청. 세트 불변(244), 2일차 73→68분 · 4일차 70→75분. 2일차 흉근이 17→13세트로 세션 부위 상한(8~9)에 가까워졌고, 삼두는 밀기 날 마지막에서 프레스 피로 위에 얹힌다 — '신선한 날의 삼두'는 포기한 것. 간접계수맵의 인클라인 스미스 두 줄은 원천 일차를 D4로 바꿨다.</t>
  </si>
  <si>
    <t>D4_어깨팔A</t>
    <phoneticPr fontId="32" type="noConversion"/>
  </si>
  <si>
    <t>[2026-09-05 신설 — 사용자 요청] 2일차 인클라인 플라이의 두 번째 자리. 같은 날 4일차 인클라인 스미스 4→3 · 7일차 인클라인 머신 6→3으로 프레스를 줄이고 플라이를 더한 것이라, 흉근 상부는 프레스 6 + 플라이 7 = 직접 13(2·4·7·9일차, 주당 9.1)이 된다. 프론 Y와 같은 인클라인 벤치에서 등을 대고 이어서 한다 — 세팅 이동 없음. 늘어난 구간에서 멈추지 말고 부드럽게 (2일차 메모와 같다). 데드 다음 날이지만 척추 부하 0이라 이 날의 성격은 그대로다. 흉근 합산은 천장(20)을 여전히 넘으므로(주당 21.7) 세트 질이 떨어지면 먼저 빼는 후보는 4일차 디클라인 케이블 플라이 3세트다.</t>
  </si>
  <si>
    <t>추가 (2026-09-05)</t>
    <phoneticPr fontId="32" type="noConversion"/>
  </si>
  <si>
    <t>· 인클라인 덤벨 플라이 3세트를 5번(프론 Y 뒤, 같은 인클라인 벤치)에 — 사용자 요청. 같은 날 4일차 인클라인 스미스 4→3 · 7일차 인클라인 머신 6→3을 사용자가 먼저 줄여 총량 238이었고, 여기 3을 더해 241 · 상한 244 · 잔여 3. 세션 33→36세트 · 67→74분.</t>
  </si>
  <si>
    <t>· [2026-09-05] 9일차 인클라인 덤벨 플라이 3세트 추가 — 사용자 요청. 같은 날 사용자가 4일차 인클라인 스미스 4→3 · 7일차 인클라인 머신 6→3으로 먼저 줄였으니 흉근 상부를 프레스에서 플라이로 옮긴 셈이다. 총량 241 · 상한 244 · 잔여 3. 흉근 상부 직접 13(2·4·7·9일차 · 주당 9.1) · 흉근 합산 31(주당 21.7, 천장 초과 예외에 9일차 추가).</t>
  </si>
  <si>
    <t>[2026-09-05 4일차 → 9일차 이동] 3일차 바로 다음 날 같은 기구를 또 타는 게 부담스럽다는 요청. 내전근 3·9일차로 6일/4일 간격. 아우터 타이와 슈퍼세트(A)는 그대로. 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  <phoneticPr fontId="32" type="noConversion"/>
  </si>
  <si>
    <t>[2026-09-05 4일차 → 9일차 이동] 케이블 힙 외전과 같은 날이라 중둔근 8세트(세션 상한선) — 앉아서(여기)·서서(힙 외전)로 각도가 다르다. 3일차와 6일/4일 간격. [2026-09-04 신설] 중둔근을 성장 구간으로. 3일차 4세트 · 8일차 케이블 힙 외전 3세트에 이어 세 번째 자리. 이너 타이와 슈퍼세트(A) — 이 105초가 두 종목의 라운드 간 휴식이다.</t>
    <phoneticPr fontId="32" type="noConversion"/>
  </si>
  <si>
    <t>[2026-09-05 4일차 → 9일차 이동] 전완을 한 날에 몰지 않으려고 굴근·엎침(4일차 리버스 리스트 컬·리버스컬)과 날을 갈랐다 — 사용자 요청. 손목 신근. 타이핑으로 약해지는 쪽이라 비중을 더 준다</t>
    <phoneticPr fontId="32" type="noConversion"/>
  </si>
  <si>
    <t>[2026-09-05 9일차 → 4일차 이동] 신근(리스트 컬 손등 위)은 9일차로 가서 대항쌍이 날을 나눠 갖는다. 전완 4일차 8 · 9일차 3. 손목 굴근. 1일차 리버스와 대항쌍 [v17 감량 4→3 — 전완 실질 8로 자체 하한 유지]</t>
    <phoneticPr fontId="32" type="noConversion"/>
  </si>
  <si>
    <t>[2026-09-05 9일차 → 4일차 이동] 바벨 컬(뒤침) 바로 뒤에 엎침 그립으로 — 같은 굴곡 패턴을 다른 축으로. 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  <phoneticPr fontId="32" type="noConversion"/>
  </si>
  <si>
    <t>[2026-09-05 4일차 → 7일차 이동 — 사용자 요청] 흉근 중하부 고립. 헤머 체스트·인클라인 머신 두 프레스 뒤 마무리 자리다. 위에서 아래로 내리는 궤적이라 하부 섬유 비중이 크고, 케이블이라 수축 지점에서도 장력이 유지된다. 흉근 합산이 천장(20)을 넘어 있어 세트 질이 떨어지면 먼저 빼는 후보가 이 3세트다. [이력] 이 행은 v18 전 삼두 종목 자리였고, 2026-09-04 2일차 → 4일차, 오늘 7일차로 왔다.</t>
    <phoneticPr fontId="32" type="noConversion"/>
  </si>
  <si>
    <t>케이블 크로스오버 (위→아래) / 디클라인 덤벨 플라이 / 펙덱 플라이 (시트를 높여 하부 각)</t>
    <phoneticPr fontId="32" type="noConversion"/>
  </si>
  <si>
    <t>되돌리는 법 [2026-09-05 9일차로 이동]</t>
    <phoneticPr fontId="32" type="noConversion"/>
  </si>
  <si>
    <t>이동 (2026-09-05)</t>
  </si>
  <si>
    <t>· 이너·아우터 타이 슈퍼세트와 리스트 컬(손등 위)이 9일차로, 디클라인 케이블 플라이가 7일차로 갔다. 9일차에서 리버스 리스트 컬·리버스컬·시티드 카프가 왔다. 31세트 · 약 62분 — 스쿼트 다음 날인 이 날에서 하체 고립을 뺀 것이라 가장 가벼운 날이 됐다. 척추 부하 0은 그대로.</t>
  </si>
  <si>
    <t>· 이너·아우터 타이 슈퍼세트(9·10번)와 리스트 컬(손등 위, 8번)이 4일차에서 왔고, 리버스 리스트 컬·리버스컬·시티드 카프는 4일차로 갔다 — 3일차 다음 날 같은 기구 부담. 데드 다음 날이지만 기구를 전날 안 썼고 다음 날이 휴식이다. 39세트 · 약 77분 — 프로그램에서 가장 많은 세트지만 전부 고립이다.</t>
  </si>
  <si>
    <t>· 4일차 디클라인 케이블 플라이 3세트가 인클라인 머신 뒤 6번으로 왔다 — 사용자 요청. 흉근 9세트(헤머 3 · 인클라인 머신 3 · 디클라인 3). 27세트 · 약 67분.</t>
  </si>
  <si>
    <t>삼각근(측면·후면·전면) · 승모(하부) · 흉근(상부 플라이) · 삼두 · 이두 · 전완 · 내전근 · 중둔근</t>
    <phoneticPr fontId="32" type="noConversion"/>
  </si>
  <si>
    <t>· [2026-09-05] 4일차 이너·아우터 타이·리스트 컬(13) ↔ 9일차 리버스 리스트 컬·리버스컬·시티드 카프(10) 맞교환 — 3일차 바로 다음 날 같은 기구를 또 타는 게 부담스럽다는 사용자 요청. 내전근 3·9일차(6/4일), 중둔근 9일차 8세트(앉아서·서서 각도 분리). 전완은 4일차 8(굴근·엎침) · 9일차 3(신근)으로 갈라 한 날에 몰지 않았다(사용자 요청). 같은 날 4일차 디클라인 케이블 플라이 3 → 7일차(헤머·인클라인 머신 뒤). 세트 241 불변 · 4일차 31 약 62분 · 7일차 27 약 67분 · 9일차 39 약 77분.</t>
  </si>
  <si>
    <t>D4_어깨팔A</t>
    <phoneticPr fontId="32" type="noConversion"/>
  </si>
  <si>
    <t>[2026-09-05 9일차 → 6일차 이동] 중둔근을 3·6·9일차 3일/3일/4일 간격으로 펴려고 — 스쿼트·데드 다음 날 어느 쪽에도 엉덩이 고립을 두지 않는 자리는 여기뿐이다. 서서 하는 케이블이라 척추 부하 0, 데드 이틀 전. 백 익스텐션(옆 체육관) 앞 마지막 본관 종목. 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  <phoneticPr fontId="32" type="noConversion"/>
  </si>
  <si>
    <t>[2026-09-05 6일차 → 4일차 이동] 6일차 자리를 힙 외전에 내주고 왔다. 종아리 1·4·8일차(3일/4일/3일). 같은 날 시티드 카프 2세트와 비복근·가자미근으로 나뉜다. 무릎 편 상태 — 비복근 주도. 8일차 시티드(가자미근)와 역할이 다르다</t>
    <phoneticPr fontId="32" type="noConversion"/>
  </si>
  <si>
    <t>[2026-09-05 6일차 → 7일차 이동] 6일차 길이를 내리고 복부를 1·3·7일차로 펴려고. 데드 전날이라 부하 건 굴곡이 이상적이진 않다 — 마지막 종목으로 가볍게, 데드 셋업에서 배에 힘이 덜 들어가면 6일차로 되돌린다. 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  <phoneticPr fontId="32" type="noConversion"/>
  </si>
  <si>
    <t>측면 · 후면 · 전면 삼각근 + 하부 승모 + 흉근 상부 플라이 + 삼두 · 이두 · 전완 + 내전근·중둔근. 약 70분. 옛 8일차 어깨 세션의 절반 — 나머지 절반은 4일차 어깨·팔 A. 8일차 데드 다음 날이라 척추 부하 0은 그대로다. [2026-09-05] 인클라인 덤벨 플라이 3세트 추가(5번). 이너·아우터 타이·리스트 컬(손등 위)이 4일차에서 왔고 리버스 리스트 컬·리버스컬·시티드 카프는 4일차로, 케이블 힙 외전은 6일차로 갔다.</t>
    <phoneticPr fontId="32" type="noConversion"/>
  </si>
  <si>
    <t>오버헤드 프레싱 · 흉근 상부 · 어깨 측면/후면. 벤치(2일차)와 5일 간격이라 무게가 온전히 나온다. [2026-09-05] 4일차 디클라인 케이블 플라이 3세트가 왔다 — 흉근 9세트(헤머 · 인클라인 머신 · 디클라인). 6일차 중량 크런치 3세트도 마지막에 왔다 — 약 72분.</t>
    <phoneticPr fontId="32" type="noConversion"/>
  </si>
  <si>
    <t>· 6일차 스탠딩 카프 4세트가 시티드 카프 앞으로 왔다 — 6일차 자리를 힙 외전에 내준 것. 35세트 · 약 70분.</t>
  </si>
  <si>
    <t>· 스탠딩 카프 → 4일차, 중량 크런치 → 7일차, 9일차 케이블 힙 외전이 8번(백 익스텐션 앞)으로 왔다. 중둔근 3·6·9일차 — 스쿼트·데드 다음 날에는 엉덩이 고립이 없다. 31세트 · 약 72분, 가장 길던 날(77분)이 내려왔다.</t>
  </si>
  <si>
    <t>· 6일차 중량 크런치 3세트가 마지막(10번)으로 왔다. 복부 1·3·7일차. 데드 전날이라 가볍게 — 셋업에서 배 힘이 덜 들어가면 6일차로 되돌린다. 30세트 · 약 72분.</t>
  </si>
  <si>
    <t>· 케이블 힙 외전은 6일차로 갔다 — 중둔근을 3·6·9일차로 펴고 이 날을 70분으로. 36세트.</t>
  </si>
  <si>
    <t>삼각근 · 흉근(상부 · 디클라인 플라이) · 승모(하부) · 복부</t>
    <phoneticPr fontId="32" type="noConversion"/>
  </si>
  <si>
    <t>· [2026-09-05] 세 자리 회전 — 사용자 합의: 9일차 케이블 힙 외전 → 6일차(카프 자리, 백 익스텐션 앞), 6일차 스탠딩 카프 → 4일차, 6일차 중량 크런치 → 7일차 마지막. 중둔근 3·6·9(3/3/4일) · 종아리 1·4·8(3/4/3일) · 복부 1·3·7(2/4/4일). 세션이 전부 68~73분 — 4일차 35 약 70 · 6일차 31 약 72 · 7일차 30 약 72 · 9일차 36 약 70. 데드 전날 크런치는 마지막 종목으로 가볍게, 셋업에서 배 힘이 덜 들어가면 6일차로 되돌린다.</t>
  </si>
  <si>
    <t>[2026-09-05 6일차 → 4일차 이동] 6·7일차 이틀 연속이던 승모 하부를 4·7·9일차(3/2/5일)로 폈다. 스미스에서 하므로 바로 뒤 인클라인 스미스와 같은 기구 — 벤치만 넣으면 된다. 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  <phoneticPr fontId="32" type="noConversion"/>
  </si>
  <si>
    <t>[2026-09-05 4일차 → 6일차 이동] 오버헤드 슈러그에 자리를 내주고 왔다. 종아리 1·4·6·8일차(3/2/2/3일) — 4일차 스탠딩(비복근)과 6·8일차 시티드(가자미근)는 다른 근육이라 이틀 간격이 겹치지 않는다. [2026-09-05 9일차 → 4일차 이동] 종아리 1·4·6·8일차. [2026-09-04 신설] 무릎 굽힌 상태 — 가자미근. 1일차 스탠딩(비복근)과 각도를 나눈다. 8일차에 같은 종목이 4세트 있고 여기 2세트를 더해 종아리를 주당 10으로 올린다.</t>
    <phoneticPr fontId="32" type="noConversion"/>
  </si>
  <si>
    <t>측면·후면 삼각근 + 승모 하부 + 흉근(인클라인 스미스 · 펙덱) + 이두 · 전완 + 종아리. 약 71분. 4-1-4-1 전환으로 신설 — 옛 8일차 어깨 세션의 절반과 1·2일차의 팔이 여기로 왔다. 거울 슬롯은 9일차 어깨·팔 B. [2026-09-05] 이너·아우터 타이·리스트 컬은 9일차로, 디클라인 플라이는 7일차로, 시티드 카프는 6일차로 갔고, 9일차의 리버스 리스트 컬·리버스컬과 6일차 스탠딩 카프·오버헤드 슈러그가 왔다.</t>
    <phoneticPr fontId="32" type="noConversion"/>
  </si>
  <si>
    <t>로우 · 견갑골 후인 · 이두 · 전완. 1일차 당기기 A(수직)와 각도를 나눈다. [2026-09-05] 스탠딩 카프는 4일차로, 중량 크런치는 7일차로 갔고 9일차 케이블 힙 외전이 왔다. 약 72분. 오버헤드 슈러그는 4일차로 가고 4일차 시티드 카프 2세트가 왔다 — 약 71분.</t>
    <phoneticPr fontId="32" type="noConversion"/>
  </si>
  <si>
    <t>· 6일차 오버헤드 슈러그 3세트가 5번(인클라인 스미스 앞, 같은 스미스 머신)으로 왔고 시티드 카프 2세트는 6일차로 갔다. 승모 하부 4·7·9일차. 36세트 · 약 71분.</t>
  </si>
  <si>
    <t>· 오버헤드 슈러그 → 4일차, 4일차 시티드 카프 2세트가 8번(힙 외전 앞)으로 왔다. 6·7일차 이틀 연속이던 승모 하부가 풀렸다. 30세트 · 약 71분.</t>
  </si>
  <si>
    <t>삼각근(측면·후면) · 승모(하부) · 흉근(인클라인 스미스 · 펙덱) · 이두 · 전완 · 종아리</t>
    <phoneticPr fontId="32" type="noConversion"/>
  </si>
  <si>
    <t>광배 · 능형근 · 승모(중부·상부) · 이두 · 기립근 · 중둔근 · 종아리</t>
    <phoneticPr fontId="32" type="noConversion"/>
  </si>
  <si>
    <t>· [2026-09-05] 6일차 오버헤드 슈러그 ↔ 4일차 시티드 카프 맞교환 — 마지막 남은 이틀 연속(승모 하부 6·7일차)을 풀었다. 승모 하부 4·7·9(3/2/5일), 종아리 1·4·6·8(3/2/2/3일 — 4일차 비복근·6·8일차 가자미근). 4일차 36세트 약 71분 · 6일차 30세트 약 71분. 이제 이틀 연속으로 맞는 부위가 없다.</t>
  </si>
  <si>
    <t>친업 뒤에 무게 조절 수단으로. 그립을 친업과 다르게 (친업이 언더면 여기선 오버) [2026-09-05 4→2] 뒤 2세트를 원암 랫풀다운으로 나눴다 (사용자 요청).</t>
    <phoneticPr fontId="32" type="noConversion"/>
  </si>
  <si>
    <t>원암 랫풀다운</t>
  </si>
  <si>
    <t>8~12 (좌우)</t>
  </si>
  <si>
    <t>[2026-09-05 신설] 랫풀다운 4세트를 양팔 2 + 원암 2로 나눴다 (사용자 요청). 하이 풀리에 D핸들을 걸고 뉴트럴 그립으로 한 팔씩 — 좌우를 따로 세니 약한 쪽이 강한 쪽에 묻히지 않고, 당기는 쪽으로 몸통을 살짝 기울여 광배를 더 늘린 자리에서 시작할 수 있다. 팔꿈치를 옆구리 쪽으로 끌어내리고 맨 아래에서 1초 정지. 세트 수는 좌우 한 번씩을 1세트로 센다(수행 80초 = 40초 × 2). 무게는 양팔의 절반에서 시작해 약한 쪽 기준으로 올린다. 광배 직접 세트는 이 날 8 그대로.</t>
  </si>
  <si>
    <t>원암 케이블 풀다운 (다른 하이 풀리) / 원암 덤벨 로우 (풀다운 기구가 찼을 때) / 뉴트럴 그립 랫풀다운 4세트로 합치기</t>
  </si>
  <si>
    <t>변경 (2026-09-05)</t>
  </si>
  <si>
    <t>해머 로우와 역할을 나눈다 — 해머는 넓은 그립·팔꿈치 벌려 상부등, 이쪽은 좁은 그립·팔꿈치 붙여 광배. 이 날 광배 직접 종목은 이것과 3번 원암 로우뿐이다. [2026-09-05 5→3] 뒤 2세트를 원암 케이블 로우로 나눴다 (사용자 요청).</t>
    <phoneticPr fontId="32" type="noConversion"/>
  </si>
  <si>
    <t>원암 케이블 로우</t>
  </si>
  <si>
    <t>[2026-09-05 신설] 시티드 케이블 로우 5세트를 양팔 3 + 원암 2로 나눴다 (사용자 요청). 같은 로우 스테이션에서 바를 D핸들로 바꿔 한 팔씩 — 팔꿈치를 몸통에 붙이고, 당기는 쪽으로 몸통을 살짝 돌려 광배 수축을 끝까지 가져간다(반대 손은 기구를 잡아 몸통을 고정). 좌우를 따로 세니 약한 쪽이 강한 쪽에 묻히지 않는다. 세트 수는 좌우 한 번씩을 1세트로 센다(수행 80초 = 40초 × 2). 무게는 양팔의 절반에서 시작해 약한 쪽 기준으로 올린다. 광배 직접 세트는 이 날 5 그대로. 4번 스캡 슈러그는 이 뒤에 바를 다시 걸고 이어서 한다.</t>
  </si>
  <si>
    <t>원암 덤벨 로우 (벤치 지지) / 원암 머신 로우 (해머 스트랭스 한 팔씩) / 시티드 케이블 로우 5세트로 합치기</t>
  </si>
  <si>
    <t>2번 시티드 케이블 로우와 같은 스테이션 — 3번 원암 로우 뒤에 바를 다시 걸고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  <phoneticPr fontId="32" type="noConversion"/>
  </si>
  <si>
    <t>· 시티드 케이블 로우 5 → 양팔 3 + 원암 2 (사용자 요청). 3번 원암 케이블 로우를 새로 두고 스캡 슈러그부터 번호가 하나씩 밀렸다. 광배 직접 세트는 5 그대로 · 30세트 · 약 72분.</t>
  </si>
  <si>
    <t>D핸들 뉴트럴 그립 — 당기기 → 이두 계수는 그립으로 정한다: 뒤침 0.5 · 뉴트럴 0.33 · 엎침 0.2. 랫풀다운 4세트를 양팔 2(엎침 0.2) + 원암 2(뉴트럴 0.33)로 나누며 신설 (2026-09-05).</t>
  </si>
  <si>
    <t>D핸들 뉴트럴 그립 — 시티드 케이블 로우(좁은 뉴트럴 0.33)와 같은 등급. 시티드 케이블 로우 5세트를 양팔 3 + 원암 2로 나누며 신설 (2026-09-05).</t>
  </si>
  <si>
    <t>견갑 후인 능동 수축 — 시티드 케이블 로우(0.5)와 같은 등급. 한 팔씩이라 몸통 회전이 섞이지만 후인은 그대로 일어난다 (2026-09-05 신설).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</si>
  <si>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 [2026-09-05] 원암 랫풀다운 · 원암 케이블 로우(D핸들 뉴트럴) 0.33 신설 — 랫풀다운 4 → 양팔 2 + 원암 2, 시티드 로우 5 → 양팔 3 + 원암 2로 나누며.</t>
    <phoneticPr fontId="32" type="noConversion"/>
  </si>
  <si>
    <t>· 랫풀다운 4 → 양팔 2 + 원암 2 (사용자 요청). 3번 원암 랫풀다운을 새로 두고 뒤 종목 번호가 하나씩 밀렸다. 광배 직접 세트는 8 그대로 · 31세트 · 약 72분.</t>
    <phoneticPr fontId="32" type="noConversion"/>
  </si>
  <si>
    <t>· [2026-09-05] 1일차 랫풀다운 4 → 양팔 2 + 원암 랫풀다운 2, 6일차 시티드 케이블 로우 5 → 양팔 3 + 원암 케이블 로우 2 — 사용자 요청. 원암은 좌우 한 번씩을 1세트로 세고 수행 시간만 두 배(80초)라 세트 241 불변, 광배 직접 13 그대로, 1일차 70→72분 · 6일차 71→72분. 계수맵에 원암 2종을 신설(D핸들 뉴트럴 → 이두 0.33, 원암 로우 → 승모 중부 0.5) — 이두 간접 +0.3. 시작 무게는 양팔의 절반(20)이고 약한 쪽 기준으로 올린다.</t>
    <phoneticPr fontId="32" type="noConversion"/>
  </si>
  <si>
    <t>[2026-09-05] 6일차를 하루 미룸 — 늦게 일어나 갔더니 헬스장이 닫혀 있었다. 실제 1일차는 08-31이었으나 앱 달력 기준을 09-01로 당겨 적어 09-06이 6일차가 되게 했다(이 사이클만 11일, 다음 사이클 1일차 09-11).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</si>
</sst>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177" fontId="51" fillId="0" borderId="0" xfId="0" applyNumberFormat="1" applyFont="1"/>
    <xf numFmtId="0" fontId="51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1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90</v>
      </c>
    </row>
    <row r="2" spans="1:6" ht="15" customHeight="1">
      <c r="A2" s="2" t="s">
        <v>91</v>
      </c>
    </row>
    <row r="4" spans="1:6" ht="15" customHeight="1">
      <c r="A4" s="3" t="s">
        <v>92</v>
      </c>
      <c r="C4" s="4">
        <v>5</v>
      </c>
      <c r="D4" s="2" t="s">
        <v>93</v>
      </c>
    </row>
    <row r="6" spans="1:6" ht="15" customHeight="1">
      <c r="A6" s="5" t="s">
        <v>4</v>
      </c>
      <c r="B6" s="6" t="s">
        <v>94</v>
      </c>
      <c r="C6" s="5" t="s">
        <v>95</v>
      </c>
      <c r="D6" s="5" t="s">
        <v>96</v>
      </c>
      <c r="E6" s="5" t="s">
        <v>97</v>
      </c>
      <c r="F6" s="5" t="s">
        <v>98</v>
      </c>
    </row>
    <row r="7" spans="1:6" ht="15" customHeight="1">
      <c r="A7" s="7" t="s">
        <v>99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57.5</v>
      </c>
      <c r="F7" s="8" t="s">
        <v>100</v>
      </c>
    </row>
    <row r="8" spans="1:6" ht="15" customHeight="1">
      <c r="A8" s="7" t="s">
        <v>101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62.5</v>
      </c>
      <c r="F8" s="8" t="s">
        <v>102</v>
      </c>
    </row>
    <row r="9" spans="1:6" ht="15" customHeight="1">
      <c r="A9" s="7" t="s">
        <v>103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31.5</v>
      </c>
      <c r="F9" s="8" t="s">
        <v>100</v>
      </c>
    </row>
    <row r="10" spans="1:6" ht="15" customHeight="1">
      <c r="A10" s="7" t="s">
        <v>104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25</v>
      </c>
      <c r="F10" s="8" t="s">
        <v>105</v>
      </c>
    </row>
    <row r="11" spans="1:6" ht="15" customHeight="1">
      <c r="D11" s="10" t="s">
        <v>106</v>
      </c>
    </row>
    <row r="12" spans="1:6" ht="15" customHeight="1">
      <c r="A12" s="11"/>
    </row>
    <row r="13" spans="1:6" ht="32.25" customHeight="1">
      <c r="A13" s="12" t="s">
        <v>107</v>
      </c>
    </row>
    <row r="14" spans="1:6" ht="51.75" customHeight="1">
      <c r="A14" s="11" t="s">
        <v>108</v>
      </c>
    </row>
    <row r="15" spans="1:6" ht="51.75" customHeight="1">
      <c r="A15" s="11" t="s">
        <v>109</v>
      </c>
    </row>
    <row r="16" spans="1:6" ht="64.5" customHeight="1">
      <c r="A16" s="11" t="s">
        <v>110</v>
      </c>
    </row>
    <row r="17" spans="1:1" ht="51.75" customHeight="1">
      <c r="A17" s="11" t="s">
        <v>111</v>
      </c>
    </row>
    <row r="18" spans="1:1" ht="51.75" customHeight="1">
      <c r="A18" s="11"/>
    </row>
    <row r="19" spans="1:1" ht="15" customHeight="1">
      <c r="A19" s="12" t="s">
        <v>112</v>
      </c>
    </row>
    <row r="20" spans="1:1" ht="77.25" customHeight="1">
      <c r="A20" s="11" t="s">
        <v>113</v>
      </c>
    </row>
    <row r="21" spans="1:1" ht="51.75" customHeight="1">
      <c r="A21" s="11" t="s">
        <v>114</v>
      </c>
    </row>
    <row r="22" spans="1:1" ht="15" customHeight="1">
      <c r="A22" s="11" t="s">
        <v>115</v>
      </c>
    </row>
    <row r="23" spans="1:1" ht="16.5" customHeight="1">
      <c r="A23" s="11" t="s">
        <v>116</v>
      </c>
    </row>
    <row r="24" spans="1:1" ht="51.75" customHeight="1">
      <c r="A24" s="11" t="s">
        <v>117</v>
      </c>
    </row>
    <row r="25" spans="1:1" ht="39" customHeight="1">
      <c r="A25" s="11"/>
    </row>
    <row r="26" spans="1:1" ht="64.5" customHeight="1">
      <c r="A26" s="11" t="s">
        <v>118</v>
      </c>
    </row>
    <row r="27" spans="1:1" ht="15" customHeight="1">
      <c r="A27" s="11" t="s">
        <v>119</v>
      </c>
    </row>
    <row r="28" spans="1:1" ht="60" customHeight="1">
      <c r="A28" s="11"/>
    </row>
    <row r="29" spans="1:1" ht="51.75" customHeight="1">
      <c r="A29" s="13" t="s">
        <v>120</v>
      </c>
    </row>
    <row r="30" spans="1:1" ht="51.75" customHeight="1">
      <c r="A30" s="11" t="s">
        <v>121</v>
      </c>
    </row>
    <row r="31" spans="1:1" ht="64.5" customHeight="1">
      <c r="A31" s="11" t="s">
        <v>122</v>
      </c>
    </row>
    <row r="32" spans="1:1" ht="64.5" customHeight="1">
      <c r="A32" s="11" t="s">
        <v>123</v>
      </c>
    </row>
    <row r="33" spans="1:5" ht="15" customHeight="1">
      <c r="A33" s="11"/>
    </row>
    <row r="34" spans="1:5" ht="51.75" customHeight="1">
      <c r="A34" s="11" t="s">
        <v>124</v>
      </c>
    </row>
    <row r="35" spans="1:5" ht="64.5" customHeight="1">
      <c r="A35" s="11" t="s">
        <v>125</v>
      </c>
    </row>
    <row r="36" spans="1:5" ht="26.25" customHeight="1">
      <c r="A36" s="11" t="s">
        <v>126</v>
      </c>
    </row>
    <row r="38" spans="1:5" ht="16.5" customHeight="1">
      <c r="A38" s="14" t="s">
        <v>127</v>
      </c>
    </row>
    <row r="39" spans="1:5" ht="15" customHeight="1">
      <c r="A39" s="5" t="s">
        <v>128</v>
      </c>
      <c r="B39" s="5" t="s">
        <v>99</v>
      </c>
      <c r="C39" s="5" t="s">
        <v>101</v>
      </c>
      <c r="D39" s="5" t="s">
        <v>103</v>
      </c>
      <c r="E39" s="5" t="s">
        <v>104</v>
      </c>
    </row>
    <row r="40" spans="1:5" ht="15" customHeight="1">
      <c r="A40" s="15" t="s">
        <v>129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130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131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132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133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134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135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136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137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138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139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140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6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142</v>
      </c>
    </row>
    <row r="2" spans="1:6" ht="15" customHeight="1">
      <c r="A2" s="18" t="s">
        <v>143</v>
      </c>
    </row>
    <row r="4" spans="1:6" ht="15" customHeight="1">
      <c r="A4" s="19" t="s">
        <v>144</v>
      </c>
      <c r="B4" s="19" t="s">
        <v>145</v>
      </c>
      <c r="C4" s="19" t="s">
        <v>146</v>
      </c>
      <c r="D4" s="19" t="s">
        <v>147</v>
      </c>
      <c r="E4" s="19" t="s">
        <v>7</v>
      </c>
      <c r="F4" s="19" t="s">
        <v>148</v>
      </c>
    </row>
    <row r="5" spans="1:6" ht="15" customHeight="1">
      <c r="A5" s="20">
        <v>1</v>
      </c>
      <c r="B5" s="21" t="s">
        <v>149</v>
      </c>
      <c r="C5" s="22" t="s">
        <v>150</v>
      </c>
      <c r="D5" s="21" t="s">
        <v>151</v>
      </c>
      <c r="E5" s="20">
        <f>INDEX(D1_당기기A!$E:$E,MATCH("세트 합계",D1_당기기A!$D:$D,0))</f>
        <v>31</v>
      </c>
      <c r="F5" s="20" t="str">
        <f>"약 "&amp;INDEX(D1_당기기A!$I:$I,MATCH("세트 합계",D1_당기기A!$D:$D,0))&amp;"분"</f>
        <v>약 72분</v>
      </c>
    </row>
    <row r="6" spans="1:6" ht="15" customHeight="1">
      <c r="A6" s="20">
        <v>2</v>
      </c>
      <c r="B6" s="21" t="s">
        <v>152</v>
      </c>
      <c r="C6" s="22" t="s">
        <v>153</v>
      </c>
      <c r="D6" s="21" t="s">
        <v>1076</v>
      </c>
      <c r="E6" s="20">
        <f>INDEX(D2_밀기A!$E:$E,MATCH("세트 합계",D2_밀기A!$D:$D,0))</f>
        <v>28</v>
      </c>
      <c r="F6" s="20" t="str">
        <f>"약 "&amp;INDEX(D2_밀기A!$I:$I,MATCH("세트 합계",D2_밀기A!$D:$D,0))&amp;"분"</f>
        <v>약 68분</v>
      </c>
    </row>
    <row r="7" spans="1:6" ht="15" customHeight="1">
      <c r="A7" s="20">
        <v>3</v>
      </c>
      <c r="B7" s="21" t="s">
        <v>154</v>
      </c>
      <c r="C7" s="22" t="s">
        <v>155</v>
      </c>
      <c r="D7" s="21" t="s">
        <v>156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157</v>
      </c>
      <c r="C8" s="22" t="s">
        <v>150</v>
      </c>
      <c r="D8" s="21" t="s">
        <v>1115</v>
      </c>
      <c r="E8" s="20">
        <f>INDEX(D4_어깨팔A!$E:$E,MATCH("세트 합계",D4_어깨팔A!$D:$D,0))</f>
        <v>36</v>
      </c>
      <c r="F8" s="20" t="str">
        <f>"약 "&amp;INDEX(D4_어깨팔A!$I:$I,MATCH("세트 합계",D4_어깨팔A!$D:$D,0))&amp;"분"</f>
        <v>약 71분</v>
      </c>
    </row>
    <row r="9" spans="1:6" ht="15" customHeight="1">
      <c r="A9" s="23">
        <v>5</v>
      </c>
      <c r="B9" s="24" t="s">
        <v>158</v>
      </c>
      <c r="C9" s="25" t="s">
        <v>150</v>
      </c>
      <c r="D9" s="24" t="s">
        <v>150</v>
      </c>
      <c r="E9" s="23">
        <v>0</v>
      </c>
      <c r="F9" s="20" t="s">
        <v>150</v>
      </c>
    </row>
    <row r="10" spans="1:6" ht="15" customHeight="1">
      <c r="A10" s="20">
        <v>6</v>
      </c>
      <c r="B10" s="21" t="s">
        <v>159</v>
      </c>
      <c r="C10" s="22" t="s">
        <v>150</v>
      </c>
      <c r="D10" s="21" t="s">
        <v>1116</v>
      </c>
      <c r="E10" s="20">
        <f>INDEX(D6_당기기B!$E:$E,MATCH("세트 합계",D6_당기기B!$D:$D,0))</f>
        <v>30</v>
      </c>
      <c r="F10" s="20" t="str">
        <f>"약 "&amp;INDEX(D6_당기기B!$I:$I,MATCH("세트 합계",D6_당기기B!$D:$D,0))&amp;"분"</f>
        <v>약 72분</v>
      </c>
    </row>
    <row r="11" spans="1:6" ht="15" customHeight="1">
      <c r="A11" s="20">
        <v>7</v>
      </c>
      <c r="B11" s="21" t="s">
        <v>160</v>
      </c>
      <c r="C11" s="22" t="s">
        <v>161</v>
      </c>
      <c r="D11" s="21" t="s">
        <v>1107</v>
      </c>
      <c r="E11" s="20">
        <f>INDEX(D7_밀기B!$E:$E,MATCH("세트 합계",D7_밀기B!$D:$D,0))</f>
        <v>30</v>
      </c>
      <c r="F11" s="20" t="str">
        <f>"약 "&amp;INDEX(D7_밀기B!$I:$I,MATCH("세트 합계",D7_밀기B!$D:$D,0))&amp;"분"</f>
        <v>약 72분</v>
      </c>
    </row>
    <row r="12" spans="1:6" ht="15" customHeight="1">
      <c r="A12" s="20">
        <v>8</v>
      </c>
      <c r="B12" s="21" t="s">
        <v>162</v>
      </c>
      <c r="C12" s="22" t="s">
        <v>163</v>
      </c>
      <c r="D12" s="21" t="s">
        <v>164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165</v>
      </c>
      <c r="C13" s="22" t="s">
        <v>150</v>
      </c>
      <c r="D13" s="21" t="s">
        <v>1095</v>
      </c>
      <c r="E13" s="20">
        <f>INDEX(D9_어깨팔B!$E:$E,MATCH("세트 합계",D9_어깨팔B!$D:$D,0))</f>
        <v>36</v>
      </c>
      <c r="F13" s="20" t="str">
        <f>"약 "&amp;INDEX(D9_어깨팔B!$I:$I,MATCH("세트 합계",D9_어깨팔B!$D:$D,0))&amp;"분"</f>
        <v>약 70분</v>
      </c>
    </row>
    <row r="14" spans="1:6">
      <c r="A14" s="23">
        <v>10</v>
      </c>
      <c r="B14" s="24" t="s">
        <v>158</v>
      </c>
      <c r="C14" s="25" t="s">
        <v>150</v>
      </c>
      <c r="D14" s="24" t="s">
        <v>150</v>
      </c>
      <c r="E14" s="23">
        <v>0</v>
      </c>
      <c r="F14" s="20" t="s">
        <v>150</v>
      </c>
    </row>
    <row r="15" spans="1:6" ht="16.5" customHeight="1">
      <c r="A15" s="27" t="s">
        <v>166</v>
      </c>
      <c r="B15" s="28"/>
      <c r="C15" s="29"/>
      <c r="D15" s="28"/>
      <c r="E15" s="27">
        <f>SUM(E5:E14)</f>
        <v>241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568분 (9시간 28분)</v>
      </c>
    </row>
    <row r="16" spans="1:6" ht="89.25" customHeight="1"/>
    <row r="17" spans="1:1" ht="76.5" customHeight="1">
      <c r="A17" s="13" t="s">
        <v>167</v>
      </c>
    </row>
    <row r="18" spans="1:1" ht="38.25" customHeight="1">
      <c r="A18" s="30" t="s">
        <v>168</v>
      </c>
    </row>
    <row r="19" spans="1:1" ht="114.75" customHeight="1">
      <c r="A19" s="30" t="s">
        <v>169</v>
      </c>
    </row>
    <row r="20" spans="1:1" ht="16.5" customHeight="1">
      <c r="A20" s="30" t="s">
        <v>170</v>
      </c>
    </row>
    <row r="21" spans="1:1" ht="16.5" customHeight="1">
      <c r="A21" s="30" t="s">
        <v>171</v>
      </c>
    </row>
    <row r="22" spans="1:1" ht="15" customHeight="1">
      <c r="A22" s="30" t="s">
        <v>172</v>
      </c>
    </row>
    <row r="23" spans="1:1" ht="15" customHeight="1">
      <c r="A23" s="30" t="s">
        <v>173</v>
      </c>
    </row>
    <row r="24" spans="1:1" ht="15" customHeight="1">
      <c r="A24" s="30" t="s">
        <v>174</v>
      </c>
    </row>
    <row r="25" spans="1:1" ht="15" customHeight="1">
      <c r="A25" s="31"/>
    </row>
    <row r="26" spans="1:1" ht="16.5" customHeight="1">
      <c r="A26" s="105" t="s">
        <v>175</v>
      </c>
    </row>
    <row r="27" spans="1:1" ht="15" customHeight="1">
      <c r="A27" t="s">
        <v>176</v>
      </c>
    </row>
    <row r="28" spans="1:1" ht="15" customHeight="1">
      <c r="A28" t="s">
        <v>177</v>
      </c>
    </row>
    <row r="29" spans="1:1" ht="79.5" customHeight="1">
      <c r="A29" t="s">
        <v>178</v>
      </c>
    </row>
    <row r="30" spans="1:1" ht="64.5" customHeight="1">
      <c r="A30" t="s">
        <v>179</v>
      </c>
    </row>
    <row r="31" spans="1:1" ht="90" customHeight="1">
      <c r="A31" t="s">
        <v>180</v>
      </c>
    </row>
    <row r="32" spans="1:1" ht="102.75" customHeight="1">
      <c r="A32" t="s">
        <v>181</v>
      </c>
    </row>
    <row r="33" spans="1:1" ht="100.5" customHeight="1">
      <c r="A33" t="s">
        <v>182</v>
      </c>
    </row>
    <row r="34" spans="1:1" ht="15" customHeight="1">
      <c r="A34" t="s">
        <v>183</v>
      </c>
    </row>
    <row r="35" spans="1:1" ht="90" customHeight="1">
      <c r="A35" t="s">
        <v>1077</v>
      </c>
    </row>
    <row r="36" spans="1:1" ht="90" customHeight="1">
      <c r="A36" t="s">
        <v>1082</v>
      </c>
    </row>
    <row r="37" spans="1:1" ht="90" customHeight="1">
      <c r="A37" t="s">
        <v>1096</v>
      </c>
    </row>
    <row r="38" spans="1:1" ht="90" customHeight="1">
      <c r="A38" t="s">
        <v>1108</v>
      </c>
    </row>
    <row r="39" spans="1:1" ht="90" customHeight="1">
      <c r="A39" t="s">
        <v>1117</v>
      </c>
    </row>
    <row r="40" spans="1:1" ht="90" customHeight="1">
      <c r="A40" t="s">
        <v>1135</v>
      </c>
    </row>
    <row r="41" spans="1:1" ht="51.75" customHeight="1">
      <c r="A41" s="13" t="s">
        <v>184</v>
      </c>
    </row>
    <row r="42" spans="1:1" ht="77.25" customHeight="1">
      <c r="A42" s="30" t="s">
        <v>185</v>
      </c>
    </row>
    <row r="43" spans="1:1" ht="64.5" customHeight="1">
      <c r="A43" s="30" t="s">
        <v>186</v>
      </c>
    </row>
    <row r="44" spans="1:1" ht="16.5" customHeight="1">
      <c r="A44" s="30" t="s">
        <v>187</v>
      </c>
    </row>
    <row r="45" spans="1:1" ht="16.5" customHeight="1">
      <c r="A45" s="30" t="s">
        <v>188</v>
      </c>
    </row>
    <row r="46" spans="1:1" ht="16.5" customHeight="1">
      <c r="A46" s="30" t="s">
        <v>189</v>
      </c>
    </row>
    <row r="47" spans="1:1" ht="242.25" customHeight="1">
      <c r="A47" s="30"/>
    </row>
    <row r="48" spans="1:1" ht="270.75" customHeight="1">
      <c r="A48" s="13" t="s">
        <v>190</v>
      </c>
    </row>
    <row r="49" spans="1:1" ht="242.25" customHeight="1">
      <c r="A49" s="30" t="s">
        <v>191</v>
      </c>
    </row>
    <row r="50" spans="1:1" ht="199.5" customHeight="1">
      <c r="A50" s="30" t="s">
        <v>192</v>
      </c>
    </row>
    <row r="51" spans="1:1" ht="185.25" customHeight="1">
      <c r="A51" s="30" t="s">
        <v>193</v>
      </c>
    </row>
    <row r="52" spans="1:1" ht="199.5" customHeight="1">
      <c r="A52" s="30" t="s">
        <v>194</v>
      </c>
    </row>
    <row r="53" spans="1:1" ht="185.25" customHeight="1">
      <c r="A53" s="30" t="s">
        <v>195</v>
      </c>
    </row>
    <row r="54" spans="1:1" ht="327.75" customHeight="1">
      <c r="A54" s="30" t="s">
        <v>196</v>
      </c>
    </row>
    <row r="55" spans="1:1" ht="256.5" customHeight="1">
      <c r="A55" s="32"/>
    </row>
    <row r="56" spans="1:1" ht="409.5" customHeight="1">
      <c r="A56" s="13" t="s">
        <v>197</v>
      </c>
    </row>
    <row r="57" spans="1:1" ht="370.5" customHeight="1">
      <c r="A57" s="30" t="s">
        <v>198</v>
      </c>
    </row>
    <row r="58" spans="1:1" ht="409.5" customHeight="1">
      <c r="A58" s="30" t="s">
        <v>199</v>
      </c>
    </row>
    <row r="59" spans="1:1" ht="370.5" customHeight="1">
      <c r="A59" s="30" t="s">
        <v>200</v>
      </c>
    </row>
    <row r="60" spans="1:1" ht="185.25" customHeight="1">
      <c r="A60" s="30" t="s">
        <v>201</v>
      </c>
    </row>
    <row r="61" spans="1:1" ht="60" customHeight="1">
      <c r="A61" s="31"/>
    </row>
    <row r="62" spans="1:1" ht="256.5" customHeight="1">
      <c r="A62" s="13" t="s">
        <v>202</v>
      </c>
    </row>
    <row r="63" spans="1:1" ht="327.75" customHeight="1">
      <c r="A63" s="30" t="s">
        <v>203</v>
      </c>
    </row>
    <row r="64" spans="1:1" ht="256.5" customHeight="1">
      <c r="A64" s="30" t="s">
        <v>204</v>
      </c>
    </row>
    <row r="65" spans="1:1" ht="409.5" customHeight="1">
      <c r="A65" s="30" t="s">
        <v>205</v>
      </c>
    </row>
    <row r="66" spans="1:1" ht="370.5" customHeight="1">
      <c r="A66" s="30" t="s">
        <v>206</v>
      </c>
    </row>
    <row r="67" spans="1:1" ht="285" customHeight="1">
      <c r="A67" s="30" t="s">
        <v>207</v>
      </c>
    </row>
    <row r="68" spans="1:1" ht="90" customHeight="1">
      <c r="A68" s="30" t="s">
        <v>208</v>
      </c>
    </row>
    <row r="69" spans="1:1" ht="313.5" customHeight="1">
      <c r="A69" s="13" t="s">
        <v>209</v>
      </c>
    </row>
    <row r="70" spans="1:1" ht="370.5" customHeight="1">
      <c r="A70" s="30" t="s">
        <v>210</v>
      </c>
    </row>
    <row r="71" spans="1:1" ht="285" customHeight="1">
      <c r="A71" s="30" t="s">
        <v>211</v>
      </c>
    </row>
    <row r="72" spans="1:1" ht="370.5" customHeight="1"/>
    <row r="73" spans="1:1" ht="256.5" customHeight="1">
      <c r="A73" s="13" t="s">
        <v>212</v>
      </c>
    </row>
    <row r="74" spans="1:1" ht="327.75" customHeight="1">
      <c r="A74" s="30" t="s">
        <v>213</v>
      </c>
    </row>
    <row r="75" spans="1:1" ht="327.75" customHeight="1">
      <c r="A75" s="30" t="s">
        <v>214</v>
      </c>
    </row>
    <row r="76" spans="1:1" ht="299.25" customHeight="1">
      <c r="A76" s="30" t="s">
        <v>215</v>
      </c>
    </row>
    <row r="77" spans="1:1" ht="327.75" customHeight="1">
      <c r="A77" s="30" t="s">
        <v>216</v>
      </c>
    </row>
    <row r="78" spans="1:1" ht="90" customHeight="1"/>
    <row r="79" spans="1:1" ht="75" customHeight="1">
      <c r="A79" s="13" t="s">
        <v>217</v>
      </c>
    </row>
    <row r="80" spans="1:1" ht="327.75" customHeight="1">
      <c r="A80" s="30" t="s">
        <v>218</v>
      </c>
    </row>
    <row r="81" spans="1:1" ht="356.25" customHeight="1">
      <c r="A81" s="30" t="s">
        <v>219</v>
      </c>
    </row>
    <row r="82" spans="1:1" ht="270.75" customHeight="1">
      <c r="A82" s="30" t="s">
        <v>220</v>
      </c>
    </row>
    <row r="83" spans="1:1" ht="313.5" customHeight="1">
      <c r="A83" s="30" t="s">
        <v>221</v>
      </c>
    </row>
    <row r="84" spans="1:1" ht="142.5" customHeight="1">
      <c r="A84" s="30" t="s">
        <v>222</v>
      </c>
    </row>
    <row r="85" spans="1:1" ht="242.25" customHeight="1">
      <c r="A85" s="30" t="s">
        <v>223</v>
      </c>
    </row>
    <row r="86" spans="1:1" ht="299.25" customHeight="1">
      <c r="A86" s="30" t="s">
        <v>224</v>
      </c>
    </row>
    <row r="87" spans="1:1" ht="327.75" customHeight="1">
      <c r="A87" s="30" t="s">
        <v>225</v>
      </c>
    </row>
    <row r="88" spans="1:1" ht="327.75" customHeight="1">
      <c r="A88" s="30" t="s">
        <v>226</v>
      </c>
    </row>
    <row r="89" spans="1:1" ht="75" customHeight="1"/>
    <row r="90" spans="1:1" ht="327.75" customHeight="1">
      <c r="A90" s="13" t="s">
        <v>227</v>
      </c>
    </row>
    <row r="91" spans="1:1" ht="356.25" customHeight="1">
      <c r="A91" s="30" t="s">
        <v>228</v>
      </c>
    </row>
    <row r="92" spans="1:1" ht="270.75" customHeight="1">
      <c r="A92" s="30" t="s">
        <v>229</v>
      </c>
    </row>
    <row r="93" spans="1:1" ht="313.5" customHeight="1">
      <c r="A93" s="30" t="s">
        <v>230</v>
      </c>
    </row>
    <row r="94" spans="1:1" ht="142.5" customHeight="1">
      <c r="A94" s="30" t="s">
        <v>231</v>
      </c>
    </row>
    <row r="95" spans="1:1" ht="242.25" customHeight="1">
      <c r="A95" s="30" t="s">
        <v>232</v>
      </c>
    </row>
    <row r="96" spans="1:1" ht="242.25" customHeight="1">
      <c r="A96" s="30" t="s">
        <v>233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4"/>
  <sheetViews>
    <sheetView zoomScaleNormal="100" workbookViewId="0">
      <pane ySplit="5" topLeftCell="A6" activePane="bottomLeft" state="frozen"/>
      <selection pane="bottomLeft" activeCell="G23" sqref="G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234</v>
      </c>
    </row>
    <row r="2" spans="1:14" ht="16.5" customHeight="1">
      <c r="A2" s="18" t="s">
        <v>235</v>
      </c>
    </row>
    <row r="3" spans="1:14">
      <c r="A3" s="33" t="s">
        <v>236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21" t="s">
        <v>237</v>
      </c>
      <c r="C6" s="20" t="s">
        <v>238</v>
      </c>
      <c r="D6" s="20">
        <v>60</v>
      </c>
      <c r="E6" s="20">
        <v>4</v>
      </c>
      <c r="F6" s="26" t="s">
        <v>239</v>
      </c>
      <c r="G6" s="26">
        <v>35</v>
      </c>
      <c r="H6" s="26">
        <v>155</v>
      </c>
      <c r="I6" s="26">
        <f t="shared" ref="I6:I16" si="0">IF(E6=0,0,ROUND(E6*(G6+H6)/60,1))</f>
        <v>12.7</v>
      </c>
      <c r="J6" s="21" t="s">
        <v>44</v>
      </c>
      <c r="K6" s="21" t="s">
        <v>240</v>
      </c>
      <c r="L6" s="21" t="s">
        <v>241</v>
      </c>
      <c r="M6" s="26" t="s">
        <v>242</v>
      </c>
    </row>
    <row r="7" spans="1:14" ht="16.5" customHeight="1">
      <c r="A7" s="20">
        <v>2</v>
      </c>
      <c r="B7" s="21" t="s">
        <v>243</v>
      </c>
      <c r="C7" s="20" t="s">
        <v>238</v>
      </c>
      <c r="D7" s="26">
        <v>40</v>
      </c>
      <c r="E7" s="20">
        <v>2</v>
      </c>
      <c r="F7" s="26" t="s">
        <v>40</v>
      </c>
      <c r="G7" s="26">
        <v>40</v>
      </c>
      <c r="H7" s="26">
        <v>120</v>
      </c>
      <c r="I7" s="26">
        <f t="shared" si="0"/>
        <v>5.3</v>
      </c>
      <c r="J7" s="21" t="s">
        <v>44</v>
      </c>
      <c r="K7" s="36" t="s">
        <v>1118</v>
      </c>
      <c r="L7" s="21" t="s">
        <v>244</v>
      </c>
    </row>
    <row r="8" spans="1:14" ht="16.5" customHeight="1">
      <c r="A8" s="20">
        <v>3</v>
      </c>
      <c r="B8" s="21" t="s">
        <v>1119</v>
      </c>
      <c r="C8" s="20" t="s">
        <v>238</v>
      </c>
      <c r="D8" s="26">
        <v>20</v>
      </c>
      <c r="E8" s="20">
        <v>2</v>
      </c>
      <c r="F8" s="26" t="s">
        <v>1120</v>
      </c>
      <c r="G8" s="26">
        <v>80</v>
      </c>
      <c r="H8" s="26">
        <v>120</v>
      </c>
      <c r="I8" s="26">
        <f>IF(E8=0,0,ROUND(E8*(G8+H8)/60,1))</f>
        <v>6.7</v>
      </c>
      <c r="J8" s="21" t="s">
        <v>44</v>
      </c>
      <c r="K8" s="36" t="s">
        <v>1121</v>
      </c>
      <c r="L8" s="21" t="s">
        <v>1122</v>
      </c>
    </row>
    <row r="9" spans="1:14" ht="16.5" customHeight="1">
      <c r="A9" s="20">
        <v>4</v>
      </c>
      <c r="B9" s="36" t="s">
        <v>245</v>
      </c>
      <c r="C9" s="42" t="s">
        <v>246</v>
      </c>
      <c r="D9" s="20" t="s">
        <v>247</v>
      </c>
      <c r="E9" s="20">
        <v>4</v>
      </c>
      <c r="F9" s="26" t="s">
        <v>248</v>
      </c>
      <c r="G9" s="26">
        <v>40</v>
      </c>
      <c r="H9" s="26">
        <v>120</v>
      </c>
      <c r="I9" s="26">
        <f t="shared" si="0"/>
        <v>10.7</v>
      </c>
      <c r="J9" s="21" t="s">
        <v>249</v>
      </c>
      <c r="K9" s="21" t="s">
        <v>250</v>
      </c>
      <c r="L9" s="21" t="s">
        <v>251</v>
      </c>
    </row>
    <row r="10" spans="1:14" ht="16.5" customHeight="1">
      <c r="A10" s="20">
        <v>5</v>
      </c>
      <c r="B10" s="36" t="s">
        <v>252</v>
      </c>
      <c r="C10" s="20" t="s">
        <v>246</v>
      </c>
      <c r="D10" s="20">
        <v>12.5</v>
      </c>
      <c r="E10" s="20">
        <v>3</v>
      </c>
      <c r="F10" s="26" t="s">
        <v>19</v>
      </c>
      <c r="G10" s="26">
        <v>45</v>
      </c>
      <c r="H10" s="26">
        <v>60</v>
      </c>
      <c r="I10" s="26">
        <f t="shared" si="0"/>
        <v>5.3</v>
      </c>
      <c r="J10" s="21" t="s">
        <v>253</v>
      </c>
      <c r="K10" s="21" t="s">
        <v>254</v>
      </c>
      <c r="L10" s="21" t="s">
        <v>255</v>
      </c>
    </row>
    <row r="11" spans="1:14" ht="16.5" customHeight="1">
      <c r="A11" s="20">
        <v>6</v>
      </c>
      <c r="B11" s="21" t="s">
        <v>256</v>
      </c>
      <c r="C11" s="20" t="s">
        <v>44</v>
      </c>
      <c r="D11" s="26" t="s">
        <v>257</v>
      </c>
      <c r="E11" s="20">
        <v>0</v>
      </c>
      <c r="F11" s="26" t="s">
        <v>40</v>
      </c>
      <c r="G11" s="26">
        <v>40</v>
      </c>
      <c r="H11" s="26">
        <v>70</v>
      </c>
      <c r="I11" s="26">
        <f t="shared" si="0"/>
        <v>0</v>
      </c>
      <c r="J11" s="21" t="s">
        <v>45</v>
      </c>
      <c r="K11" s="21" t="s">
        <v>258</v>
      </c>
      <c r="L11" s="22" t="s">
        <v>259</v>
      </c>
    </row>
    <row r="12" spans="1:14" ht="16.5" customHeight="1">
      <c r="A12" s="20">
        <v>7</v>
      </c>
      <c r="B12" s="81" t="s">
        <v>260</v>
      </c>
      <c r="C12" s="20" t="s">
        <v>261</v>
      </c>
      <c r="D12" s="20" t="s">
        <v>247</v>
      </c>
      <c r="E12" s="20">
        <v>4</v>
      </c>
      <c r="F12" s="26" t="s">
        <v>19</v>
      </c>
      <c r="G12" s="26">
        <v>40</v>
      </c>
      <c r="H12" s="26">
        <v>60</v>
      </c>
      <c r="I12" s="26">
        <f t="shared" si="0"/>
        <v>6.7</v>
      </c>
      <c r="J12" s="21"/>
      <c r="K12" s="21" t="s">
        <v>262</v>
      </c>
      <c r="L12" s="86" t="s">
        <v>263</v>
      </c>
    </row>
    <row r="13" spans="1:14" ht="16.5" customHeight="1">
      <c r="A13" s="20">
        <v>8</v>
      </c>
      <c r="B13" s="81" t="s">
        <v>264</v>
      </c>
      <c r="C13" s="20" t="s">
        <v>261</v>
      </c>
      <c r="D13" s="20" t="s">
        <v>52</v>
      </c>
      <c r="E13" s="20">
        <v>3</v>
      </c>
      <c r="F13" s="26" t="s">
        <v>61</v>
      </c>
      <c r="G13" s="26">
        <v>70</v>
      </c>
      <c r="H13" s="26">
        <v>60</v>
      </c>
      <c r="I13" s="26">
        <f t="shared" si="0"/>
        <v>6.5</v>
      </c>
      <c r="J13" s="21"/>
      <c r="K13" s="21" t="s">
        <v>265</v>
      </c>
      <c r="L13" s="86" t="s">
        <v>266</v>
      </c>
    </row>
    <row r="14" spans="1:14" ht="15" customHeight="1">
      <c r="A14" s="20">
        <v>9</v>
      </c>
      <c r="B14" s="81" t="s">
        <v>267</v>
      </c>
      <c r="C14" s="20" t="s">
        <v>56</v>
      </c>
      <c r="D14" s="20" t="s">
        <v>268</v>
      </c>
      <c r="E14" s="20">
        <v>3</v>
      </c>
      <c r="F14" s="26" t="s">
        <v>19</v>
      </c>
      <c r="G14" s="26">
        <v>40</v>
      </c>
      <c r="H14" s="26">
        <v>75</v>
      </c>
      <c r="I14" s="26">
        <f t="shared" si="0"/>
        <v>5.8</v>
      </c>
      <c r="J14" s="21"/>
      <c r="K14" s="21" t="s">
        <v>269</v>
      </c>
      <c r="L14" s="86" t="s">
        <v>270</v>
      </c>
    </row>
    <row r="15" spans="1:14" ht="15" customHeight="1">
      <c r="A15" s="20">
        <v>10</v>
      </c>
      <c r="B15" s="21" t="s">
        <v>271</v>
      </c>
      <c r="C15" s="20" t="s">
        <v>272</v>
      </c>
      <c r="D15" s="20">
        <v>20</v>
      </c>
      <c r="E15" s="20">
        <v>3</v>
      </c>
      <c r="F15" s="26" t="s">
        <v>29</v>
      </c>
      <c r="G15" s="26">
        <v>45</v>
      </c>
      <c r="H15" s="26">
        <v>90</v>
      </c>
      <c r="I15" s="26">
        <f t="shared" si="0"/>
        <v>6.8</v>
      </c>
      <c r="J15" s="21" t="s">
        <v>273</v>
      </c>
      <c r="K15" s="36" t="s">
        <v>274</v>
      </c>
      <c r="L15" s="36" t="s">
        <v>275</v>
      </c>
    </row>
    <row r="16" spans="1:14" ht="15" customHeight="1">
      <c r="A16" s="20">
        <v>11</v>
      </c>
      <c r="B16" s="21" t="s">
        <v>276</v>
      </c>
      <c r="C16" s="20" t="s">
        <v>272</v>
      </c>
      <c r="D16" s="20" t="s">
        <v>247</v>
      </c>
      <c r="E16" s="20">
        <v>3</v>
      </c>
      <c r="F16" s="26" t="s">
        <v>19</v>
      </c>
      <c r="G16" s="26">
        <v>40</v>
      </c>
      <c r="H16" s="26">
        <v>60</v>
      </c>
      <c r="I16" s="26">
        <f t="shared" si="0"/>
        <v>5</v>
      </c>
      <c r="J16" s="21"/>
      <c r="K16" s="36" t="s">
        <v>277</v>
      </c>
      <c r="L16" s="36" t="s">
        <v>278</v>
      </c>
    </row>
    <row r="17" spans="1:12" ht="15" customHeight="1">
      <c r="A17" s="20"/>
      <c r="B17" s="21"/>
      <c r="C17" s="20"/>
      <c r="D17" s="20" t="s">
        <v>63</v>
      </c>
      <c r="E17" s="20">
        <f>SUM(E6:E16)</f>
        <v>31</v>
      </c>
      <c r="F17" s="26"/>
      <c r="G17" s="26"/>
      <c r="H17" s="26"/>
      <c r="I17" s="26">
        <f>ROUND(SUM(I6:I16),0)</f>
        <v>72</v>
      </c>
      <c r="J17" s="21"/>
      <c r="K17" s="36"/>
      <c r="L17" s="36"/>
    </row>
    <row r="18" spans="1:12" ht="15" customHeight="1"/>
    <row r="19" spans="1:12">
      <c r="A19" t="s">
        <v>1123</v>
      </c>
    </row>
    <row r="20" spans="1:12">
      <c r="A20" t="s">
        <v>1134</v>
      </c>
    </row>
    <row r="26" spans="1:12">
      <c r="B26" s="36"/>
    </row>
    <row r="34" spans="10:10">
      <c r="J34" t="s">
        <v>279</v>
      </c>
    </row>
  </sheetData>
  <phoneticPr fontId="32" type="noConversion"/>
  <conditionalFormatting sqref="A6:N16">
    <cfRule type="expression" dxfId="10" priority="1">
      <formula>$E6=0</formula>
    </cfRule>
  </conditionalFormatting>
  <hyperlinks>
    <hyperlink ref="L14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E22" sqref="E2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280</v>
      </c>
    </row>
    <row r="2" spans="1:3" ht="16.5" customHeight="1">
      <c r="A2" s="18" t="s">
        <v>1074</v>
      </c>
    </row>
    <row r="4" spans="1:3" ht="16.5" customHeight="1">
      <c r="A4" s="3" t="s">
        <v>281</v>
      </c>
    </row>
    <row r="5" spans="1:3" ht="16.5" customHeight="1">
      <c r="A5" s="19" t="s">
        <v>6</v>
      </c>
      <c r="B5" s="19" t="s">
        <v>282</v>
      </c>
      <c r="C5" s="19" t="s">
        <v>7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31.5</v>
      </c>
      <c r="B10" s="27">
        <v>5</v>
      </c>
      <c r="C10" s="27">
        <v>5</v>
      </c>
    </row>
    <row r="11" spans="1:3" ht="16.5" customHeight="1">
      <c r="A11" s="31" t="s">
        <v>283</v>
      </c>
    </row>
    <row r="13" spans="1:3" ht="16.5" customHeight="1">
      <c r="A13" s="3" t="s">
        <v>284</v>
      </c>
    </row>
    <row r="14" spans="1:3" ht="16.5" customHeight="1">
      <c r="A14" s="31" t="s">
        <v>285</v>
      </c>
    </row>
    <row r="15" spans="1:3" ht="16.5" customHeight="1">
      <c r="A15" s="31" t="s">
        <v>286</v>
      </c>
    </row>
    <row r="16" spans="1:3" ht="16.5" customHeight="1">
      <c r="A16" s="31" t="s">
        <v>287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38">
        <v>1</v>
      </c>
      <c r="B20" s="39" t="s">
        <v>288</v>
      </c>
      <c r="C20" s="40" t="s">
        <v>289</v>
      </c>
      <c r="D20" s="41">
        <f>시작중량_설정!$E$9</f>
        <v>31.5</v>
      </c>
      <c r="E20" s="40">
        <v>5</v>
      </c>
      <c r="F20" s="38" t="s">
        <v>290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291</v>
      </c>
      <c r="K20" s="39" t="s">
        <v>292</v>
      </c>
      <c r="L20" s="39" t="s">
        <v>293</v>
      </c>
      <c r="M20" s="38" t="s">
        <v>294</v>
      </c>
    </row>
    <row r="21" spans="1:14" ht="16.5" customHeight="1">
      <c r="A21" s="20">
        <v>2</v>
      </c>
      <c r="B21" s="21" t="s">
        <v>295</v>
      </c>
      <c r="C21" s="20" t="s">
        <v>289</v>
      </c>
      <c r="D21" s="42" t="s">
        <v>296</v>
      </c>
      <c r="E21" s="20">
        <v>4</v>
      </c>
      <c r="F21" s="26" t="s">
        <v>248</v>
      </c>
      <c r="G21" s="26">
        <v>40</v>
      </c>
      <c r="H21" s="26">
        <v>155</v>
      </c>
      <c r="I21" s="26">
        <f t="shared" si="0"/>
        <v>13</v>
      </c>
      <c r="J21" s="21" t="s">
        <v>39</v>
      </c>
      <c r="K21" s="21" t="s">
        <v>297</v>
      </c>
      <c r="L21" s="36" t="s">
        <v>298</v>
      </c>
      <c r="M21" s="26" t="s">
        <v>242</v>
      </c>
    </row>
    <row r="22" spans="1:14" ht="16.5" customHeight="1">
      <c r="A22" s="20">
        <v>3</v>
      </c>
      <c r="B22" s="36" t="s">
        <v>304</v>
      </c>
      <c r="C22" s="20" t="s">
        <v>300</v>
      </c>
      <c r="D22" s="26">
        <v>8</v>
      </c>
      <c r="E22" s="20">
        <v>4</v>
      </c>
      <c r="F22" s="26" t="s">
        <v>305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306</v>
      </c>
      <c r="L22" s="21" t="s">
        <v>307</v>
      </c>
    </row>
    <row r="23" spans="1:14" ht="16.5" customHeight="1">
      <c r="A23" s="20">
        <v>4</v>
      </c>
      <c r="B23" s="21" t="s">
        <v>308</v>
      </c>
      <c r="C23" s="20" t="s">
        <v>18</v>
      </c>
      <c r="D23" s="26">
        <v>6</v>
      </c>
      <c r="E23" s="20">
        <v>6</v>
      </c>
      <c r="F23" s="26" t="s">
        <v>19</v>
      </c>
      <c r="G23" s="26">
        <v>40</v>
      </c>
      <c r="H23" s="26">
        <v>70</v>
      </c>
      <c r="I23" s="26">
        <f t="shared" si="0"/>
        <v>11</v>
      </c>
      <c r="J23" s="21"/>
      <c r="K23" s="21" t="s">
        <v>309</v>
      </c>
      <c r="L23" s="21" t="s">
        <v>310</v>
      </c>
    </row>
    <row r="24" spans="1:14" ht="16.5" customHeight="1">
      <c r="A24" s="20">
        <v>5</v>
      </c>
      <c r="B24" s="21" t="s">
        <v>311</v>
      </c>
      <c r="C24" s="43" t="s">
        <v>23</v>
      </c>
      <c r="D24" s="26">
        <v>20</v>
      </c>
      <c r="E24" s="20">
        <v>5</v>
      </c>
      <c r="F24" s="26" t="s">
        <v>19</v>
      </c>
      <c r="G24" s="26">
        <v>40</v>
      </c>
      <c r="H24" s="26">
        <v>70</v>
      </c>
      <c r="I24" s="26">
        <f t="shared" si="0"/>
        <v>9.1999999999999993</v>
      </c>
      <c r="J24" s="21"/>
      <c r="K24" s="21"/>
      <c r="L24" s="86" t="s">
        <v>312</v>
      </c>
    </row>
    <row r="25" spans="1:14" ht="16.5" customHeight="1">
      <c r="A25" s="20">
        <v>6</v>
      </c>
      <c r="B25" s="21" t="s">
        <v>366</v>
      </c>
      <c r="C25" s="20" t="s">
        <v>39</v>
      </c>
      <c r="D25" s="26">
        <v>20</v>
      </c>
      <c r="E25" s="20">
        <v>4</v>
      </c>
      <c r="F25" s="26" t="s">
        <v>52</v>
      </c>
      <c r="G25" s="26">
        <v>40</v>
      </c>
      <c r="H25" s="26">
        <v>70</v>
      </c>
      <c r="I25" s="26">
        <f t="shared" si="0"/>
        <v>7.3</v>
      </c>
      <c r="J25" s="21"/>
      <c r="K25" s="21" t="s">
        <v>1072</v>
      </c>
      <c r="L25" s="21" t="s">
        <v>367</v>
      </c>
    </row>
    <row r="26" spans="1:14" ht="16.5" customHeight="1">
      <c r="D26" s="3" t="s">
        <v>63</v>
      </c>
      <c r="E26" s="27">
        <f>SUM(E20:E25)</f>
        <v>28</v>
      </c>
      <c r="I26">
        <f>ROUND(SUM(I20:I25),0)</f>
        <v>68</v>
      </c>
    </row>
    <row r="27" spans="1:14" ht="16.5" customHeight="1"/>
  </sheetData>
  <phoneticPr fontId="32" type="noConversion"/>
  <conditionalFormatting sqref="A20:N25">
    <cfRule type="expression" dxfId="9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E16" sqref="E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313</v>
      </c>
    </row>
    <row r="2" spans="1:14" ht="16.5" customHeight="1">
      <c r="A2" s="18" t="s">
        <v>314</v>
      </c>
    </row>
    <row r="4" spans="1:14" ht="16.5" customHeight="1">
      <c r="A4" s="3" t="s">
        <v>315</v>
      </c>
    </row>
    <row r="5" spans="1:14" ht="16.5" customHeight="1">
      <c r="A5" s="19" t="s">
        <v>6</v>
      </c>
      <c r="B5" s="19" t="s">
        <v>282</v>
      </c>
      <c r="C5" s="19" t="s">
        <v>7</v>
      </c>
    </row>
    <row r="6" spans="1:14" ht="15" customHeight="1">
      <c r="A6" s="20">
        <f>MAX(20,MROUND(시작중량_설정!$E$7*0.4,2.5))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52.5</v>
      </c>
      <c r="B9" s="20">
        <v>2</v>
      </c>
      <c r="C9" s="20">
        <v>1</v>
      </c>
    </row>
    <row r="10" spans="1:14" ht="15" customHeight="1">
      <c r="A10" s="37">
        <f>시작중량_설정!$E$7</f>
        <v>57.5</v>
      </c>
      <c r="B10" s="27">
        <v>5</v>
      </c>
      <c r="C10" s="27">
        <v>5</v>
      </c>
    </row>
    <row r="11" spans="1:14" ht="16.5" customHeight="1">
      <c r="A11" s="31" t="s">
        <v>283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316</v>
      </c>
      <c r="C15" s="40" t="s">
        <v>317</v>
      </c>
      <c r="D15" s="41">
        <f>시작중량_설정!$E$7</f>
        <v>57.5</v>
      </c>
      <c r="E15" s="40">
        <v>5</v>
      </c>
      <c r="F15" s="38" t="s">
        <v>290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318</v>
      </c>
      <c r="K15" s="39" t="s">
        <v>319</v>
      </c>
      <c r="L15" s="39" t="s">
        <v>320</v>
      </c>
      <c r="M15" s="38" t="s">
        <v>321</v>
      </c>
    </row>
    <row r="16" spans="1:14" ht="16.5" customHeight="1">
      <c r="A16" s="20">
        <v>2</v>
      </c>
      <c r="B16" s="21" t="s">
        <v>322</v>
      </c>
      <c r="C16" s="20" t="s">
        <v>317</v>
      </c>
      <c r="D16" s="26">
        <v>120</v>
      </c>
      <c r="E16" s="20">
        <v>3</v>
      </c>
      <c r="F16" s="26" t="s">
        <v>40</v>
      </c>
      <c r="G16" s="26">
        <v>45</v>
      </c>
      <c r="H16" s="26">
        <v>150</v>
      </c>
      <c r="I16" s="26">
        <f t="shared" si="0"/>
        <v>9.8000000000000007</v>
      </c>
      <c r="J16" s="21" t="s">
        <v>323</v>
      </c>
      <c r="K16" s="21" t="s">
        <v>324</v>
      </c>
      <c r="L16" s="21" t="s">
        <v>325</v>
      </c>
    </row>
    <row r="17" spans="1:14" ht="16.5" customHeight="1">
      <c r="A17" s="20">
        <v>3</v>
      </c>
      <c r="B17" s="21" t="s">
        <v>326</v>
      </c>
      <c r="C17" s="20" t="s">
        <v>323</v>
      </c>
      <c r="D17" s="20" t="s">
        <v>247</v>
      </c>
      <c r="E17" s="20">
        <v>3</v>
      </c>
      <c r="F17" s="26" t="s">
        <v>327</v>
      </c>
      <c r="G17" s="26">
        <v>90</v>
      </c>
      <c r="H17" s="26">
        <v>150</v>
      </c>
      <c r="I17" s="26">
        <f t="shared" si="0"/>
        <v>12</v>
      </c>
      <c r="J17" s="21" t="s">
        <v>328</v>
      </c>
      <c r="K17" s="21" t="s">
        <v>329</v>
      </c>
      <c r="L17" s="21" t="s">
        <v>330</v>
      </c>
    </row>
    <row r="18" spans="1:14" ht="16.5" customHeight="1">
      <c r="A18" s="20">
        <v>4</v>
      </c>
      <c r="B18" s="21" t="s">
        <v>331</v>
      </c>
      <c r="C18" s="20" t="s">
        <v>332</v>
      </c>
      <c r="D18" s="26">
        <v>40</v>
      </c>
      <c r="E18" s="20">
        <v>4</v>
      </c>
      <c r="F18" s="26" t="s">
        <v>305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333</v>
      </c>
      <c r="L18" s="21" t="s">
        <v>334</v>
      </c>
    </row>
    <row r="19" spans="1:14" ht="16.5" customHeight="1">
      <c r="A19" s="20">
        <v>5</v>
      </c>
      <c r="B19" s="21" t="s">
        <v>335</v>
      </c>
      <c r="C19" s="20" t="s">
        <v>336</v>
      </c>
      <c r="D19" s="26">
        <v>35</v>
      </c>
      <c r="E19" s="20">
        <v>4</v>
      </c>
      <c r="F19" s="26" t="s">
        <v>19</v>
      </c>
      <c r="G19" s="26">
        <v>40</v>
      </c>
      <c r="H19" s="26">
        <v>10</v>
      </c>
      <c r="I19" s="26">
        <f t="shared" si="0"/>
        <v>3.3</v>
      </c>
      <c r="J19" s="21"/>
      <c r="K19" s="21" t="s">
        <v>337</v>
      </c>
      <c r="L19" s="21" t="s">
        <v>338</v>
      </c>
      <c r="N19" t="s">
        <v>339</v>
      </c>
    </row>
    <row r="20" spans="1:14" ht="16.5" customHeight="1">
      <c r="A20" s="20">
        <v>6</v>
      </c>
      <c r="B20" s="21" t="s">
        <v>340</v>
      </c>
      <c r="C20" s="20" t="s">
        <v>60</v>
      </c>
      <c r="D20" s="26" t="s">
        <v>257</v>
      </c>
      <c r="E20" s="20">
        <v>4</v>
      </c>
      <c r="F20" s="26" t="s">
        <v>19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341</v>
      </c>
      <c r="L20" s="21" t="s">
        <v>342</v>
      </c>
      <c r="N20" t="s">
        <v>339</v>
      </c>
    </row>
    <row r="21" spans="1:14" ht="16.5" customHeight="1">
      <c r="A21" s="20">
        <v>7</v>
      </c>
      <c r="B21" s="81" t="s">
        <v>343</v>
      </c>
      <c r="C21" s="20" t="s">
        <v>261</v>
      </c>
      <c r="D21" s="82" t="s">
        <v>247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344</v>
      </c>
      <c r="L21" s="21" t="s">
        <v>345</v>
      </c>
    </row>
    <row r="22" spans="1:14" ht="15" customHeight="1">
      <c r="D22" s="3" t="s">
        <v>63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8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>
      <selection activeCell="E15" sqref="E15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346</v>
      </c>
    </row>
    <row r="2" spans="1:14" ht="16.5" customHeight="1">
      <c r="A2" s="18" t="s">
        <v>1111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347</v>
      </c>
      <c r="C6" s="20" t="s">
        <v>18</v>
      </c>
      <c r="D6" s="20">
        <v>10</v>
      </c>
      <c r="E6" s="20">
        <v>3</v>
      </c>
      <c r="F6" s="26" t="s">
        <v>19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348</v>
      </c>
      <c r="L6" s="21" t="s">
        <v>349</v>
      </c>
    </row>
    <row r="7" spans="1:14" ht="16.5" customHeight="1">
      <c r="A7" s="20">
        <v>2</v>
      </c>
      <c r="B7" s="81" t="s">
        <v>350</v>
      </c>
      <c r="C7" s="20" t="s">
        <v>18</v>
      </c>
      <c r="D7" s="20">
        <v>15</v>
      </c>
      <c r="E7" s="20">
        <v>3</v>
      </c>
      <c r="F7" s="26" t="s">
        <v>19</v>
      </c>
      <c r="G7" s="26">
        <v>40</v>
      </c>
      <c r="H7" s="26">
        <v>75</v>
      </c>
      <c r="I7" s="26">
        <f t="shared" si="0"/>
        <v>5.8</v>
      </c>
      <c r="J7" s="21" t="s">
        <v>351</v>
      </c>
      <c r="K7" s="21" t="s">
        <v>352</v>
      </c>
      <c r="L7" s="21" t="s">
        <v>353</v>
      </c>
    </row>
    <row r="8" spans="1:14" ht="16.5" customHeight="1">
      <c r="A8" s="20">
        <v>3</v>
      </c>
      <c r="B8" s="81" t="s">
        <v>354</v>
      </c>
      <c r="C8" s="20" t="s">
        <v>23</v>
      </c>
      <c r="D8" s="20" t="s">
        <v>19</v>
      </c>
      <c r="E8" s="20">
        <v>3</v>
      </c>
      <c r="F8" s="26" t="s">
        <v>19</v>
      </c>
      <c r="G8" s="26">
        <v>40</v>
      </c>
      <c r="H8" s="26">
        <v>70</v>
      </c>
      <c r="I8" s="26">
        <f t="shared" si="0"/>
        <v>5.5</v>
      </c>
      <c r="J8" s="21" t="s">
        <v>355</v>
      </c>
      <c r="K8" s="21" t="s">
        <v>356</v>
      </c>
      <c r="L8" s="21" t="s">
        <v>357</v>
      </c>
    </row>
    <row r="9" spans="1:14" ht="16.5" customHeight="1">
      <c r="A9" s="20">
        <v>4</v>
      </c>
      <c r="B9" s="81" t="s">
        <v>358</v>
      </c>
      <c r="C9" s="20" t="s">
        <v>23</v>
      </c>
      <c r="D9" s="20">
        <v>20</v>
      </c>
      <c r="E9" s="20">
        <v>3</v>
      </c>
      <c r="F9" s="26" t="s">
        <v>19</v>
      </c>
      <c r="G9" s="26">
        <v>40</v>
      </c>
      <c r="H9" s="26">
        <v>80</v>
      </c>
      <c r="I9" s="26">
        <f t="shared" si="0"/>
        <v>6</v>
      </c>
      <c r="J9" s="21" t="s">
        <v>355</v>
      </c>
      <c r="K9" s="21" t="s">
        <v>359</v>
      </c>
      <c r="L9" s="21" t="s">
        <v>360</v>
      </c>
    </row>
    <row r="10" spans="1:14" ht="16.5" customHeight="1">
      <c r="A10" s="20">
        <v>5</v>
      </c>
      <c r="B10" s="91" t="s">
        <v>404</v>
      </c>
      <c r="C10" s="20" t="s">
        <v>34</v>
      </c>
      <c r="D10" s="20" t="s">
        <v>405</v>
      </c>
      <c r="E10" s="20">
        <v>3</v>
      </c>
      <c r="F10" s="26" t="s">
        <v>19</v>
      </c>
      <c r="G10" s="26">
        <v>40</v>
      </c>
      <c r="H10" s="26">
        <v>60</v>
      </c>
      <c r="I10" s="26">
        <f t="shared" si="0"/>
        <v>5</v>
      </c>
      <c r="J10" s="21"/>
      <c r="K10" s="21" t="s">
        <v>1109</v>
      </c>
      <c r="L10" s="21" t="s">
        <v>406</v>
      </c>
    </row>
    <row r="11" spans="1:14" ht="16.5" customHeight="1">
      <c r="A11" s="20">
        <v>6</v>
      </c>
      <c r="B11" s="21" t="s">
        <v>299</v>
      </c>
      <c r="C11" s="20" t="s">
        <v>300</v>
      </c>
      <c r="D11" s="42" t="s">
        <v>301</v>
      </c>
      <c r="E11" s="20">
        <v>3</v>
      </c>
      <c r="F11" s="26" t="s">
        <v>40</v>
      </c>
      <c r="G11" s="26">
        <v>40</v>
      </c>
      <c r="H11" s="26">
        <v>150</v>
      </c>
      <c r="I11" s="26">
        <f t="shared" si="0"/>
        <v>9.5</v>
      </c>
      <c r="J11" s="21" t="s">
        <v>302</v>
      </c>
      <c r="K11" s="21" t="s">
        <v>1073</v>
      </c>
      <c r="L11" s="36" t="s">
        <v>303</v>
      </c>
      <c r="M11" s="92"/>
    </row>
    <row r="12" spans="1:14" ht="16.5" customHeight="1">
      <c r="A12" s="20">
        <v>7</v>
      </c>
      <c r="B12" s="21" t="s">
        <v>362</v>
      </c>
      <c r="C12" s="20" t="s">
        <v>289</v>
      </c>
      <c r="D12" s="26" t="s">
        <v>363</v>
      </c>
      <c r="E12" s="20">
        <v>3</v>
      </c>
      <c r="F12" s="26" t="s">
        <v>305</v>
      </c>
      <c r="G12" s="26">
        <v>40</v>
      </c>
      <c r="H12" s="26">
        <v>90</v>
      </c>
      <c r="I12" s="26">
        <f t="shared" si="0"/>
        <v>6.5</v>
      </c>
      <c r="J12" s="21" t="s">
        <v>27</v>
      </c>
      <c r="K12" s="21" t="s">
        <v>364</v>
      </c>
      <c r="L12" s="21" t="s">
        <v>365</v>
      </c>
    </row>
    <row r="13" spans="1:14" ht="16.5" customHeight="1">
      <c r="A13" s="20">
        <v>8</v>
      </c>
      <c r="B13" s="21" t="s">
        <v>256</v>
      </c>
      <c r="C13" s="43" t="s">
        <v>44</v>
      </c>
      <c r="D13" s="26" t="s">
        <v>368</v>
      </c>
      <c r="E13" s="20">
        <v>3</v>
      </c>
      <c r="F13" s="26" t="s">
        <v>40</v>
      </c>
      <c r="G13" s="26">
        <v>40</v>
      </c>
      <c r="H13" s="26">
        <v>70</v>
      </c>
      <c r="I13" s="26">
        <f t="shared" si="0"/>
        <v>5.5</v>
      </c>
      <c r="J13" s="21" t="s">
        <v>45</v>
      </c>
      <c r="K13" s="21" t="s">
        <v>369</v>
      </c>
      <c r="L13" s="21" t="s">
        <v>370</v>
      </c>
    </row>
    <row r="14" spans="1:14" ht="16.5" customHeight="1">
      <c r="A14" s="20">
        <v>9</v>
      </c>
      <c r="B14" s="81" t="s">
        <v>48</v>
      </c>
      <c r="C14" s="20" t="s">
        <v>45</v>
      </c>
      <c r="D14" s="20">
        <v>15</v>
      </c>
      <c r="E14" s="20">
        <v>4</v>
      </c>
      <c r="F14" s="26" t="s">
        <v>49</v>
      </c>
      <c r="G14" s="26">
        <v>40</v>
      </c>
      <c r="H14" s="26">
        <v>60</v>
      </c>
      <c r="I14" s="26">
        <f t="shared" si="0"/>
        <v>6.7</v>
      </c>
      <c r="J14" s="21"/>
      <c r="K14" s="21" t="s">
        <v>1086</v>
      </c>
      <c r="L14" s="21" t="s">
        <v>50</v>
      </c>
    </row>
    <row r="15" spans="1:14" ht="16.5" customHeight="1">
      <c r="A15" s="20">
        <v>10</v>
      </c>
      <c r="B15" s="81" t="s">
        <v>51</v>
      </c>
      <c r="C15" s="20" t="s">
        <v>45</v>
      </c>
      <c r="D15" s="20">
        <v>15</v>
      </c>
      <c r="E15" s="20">
        <v>4</v>
      </c>
      <c r="F15" s="26" t="s">
        <v>52</v>
      </c>
      <c r="G15" s="26">
        <v>40</v>
      </c>
      <c r="H15" s="26">
        <v>70</v>
      </c>
      <c r="I15" s="26">
        <f t="shared" si="0"/>
        <v>7.3</v>
      </c>
      <c r="J15" s="21" t="s">
        <v>53</v>
      </c>
      <c r="K15" s="21" t="s">
        <v>1087</v>
      </c>
      <c r="L15" s="21" t="s">
        <v>54</v>
      </c>
    </row>
    <row r="16" spans="1:14" ht="16.5" customHeight="1">
      <c r="A16" s="20">
        <v>11</v>
      </c>
      <c r="B16" s="21" t="s">
        <v>267</v>
      </c>
      <c r="C16" s="20" t="s">
        <v>56</v>
      </c>
      <c r="D16" s="26">
        <v>10</v>
      </c>
      <c r="E16" s="20">
        <v>4</v>
      </c>
      <c r="F16" s="26" t="s">
        <v>19</v>
      </c>
      <c r="G16" s="26">
        <v>40</v>
      </c>
      <c r="H16" s="26">
        <v>75</v>
      </c>
      <c r="I16" s="26">
        <f t="shared" si="0"/>
        <v>7.7</v>
      </c>
      <c r="J16" s="21"/>
      <c r="K16" s="21" t="s">
        <v>1099</v>
      </c>
      <c r="L16" s="21" t="s">
        <v>407</v>
      </c>
    </row>
    <row r="17" spans="1:9" ht="16.5" customHeight="1">
      <c r="D17" s="3" t="s">
        <v>63</v>
      </c>
      <c r="E17" s="27">
        <f>SUM(E6:E16)</f>
        <v>36</v>
      </c>
      <c r="I17">
        <f>ROUND(SUM(I6:I16),0)</f>
        <v>71</v>
      </c>
    </row>
    <row r="18" spans="1:9" ht="16.5" customHeight="1"/>
    <row r="19" spans="1:9" ht="16.5" customHeight="1">
      <c r="A19" s="108" t="s">
        <v>376</v>
      </c>
    </row>
    <row r="20" spans="1:9" ht="16.5" customHeight="1">
      <c r="A20" s="109" t="s">
        <v>377</v>
      </c>
    </row>
    <row r="21" spans="1:9" ht="16.5" customHeight="1">
      <c r="A21" t="s">
        <v>378</v>
      </c>
    </row>
    <row r="22" spans="1:9" ht="16.5" customHeight="1">
      <c r="A22" s="109" t="s">
        <v>379</v>
      </c>
    </row>
    <row r="23" spans="1:9" ht="16.5" customHeight="1">
      <c r="A23" s="109" t="s">
        <v>380</v>
      </c>
    </row>
    <row r="24" spans="1:9" ht="16.5" customHeight="1">
      <c r="A24" s="109" t="s">
        <v>1075</v>
      </c>
    </row>
    <row r="25" spans="1:9" ht="16.5" customHeight="1">
      <c r="A25" s="109" t="s">
        <v>381</v>
      </c>
    </row>
    <row r="26" spans="1:9" ht="16.5" customHeight="1">
      <c r="A26" s="109" t="s">
        <v>382</v>
      </c>
    </row>
    <row r="27" spans="1:9" ht="16.5" customHeight="1">
      <c r="A27" s="108" t="s">
        <v>1090</v>
      </c>
    </row>
    <row r="28" spans="1:9" ht="16.5" customHeight="1">
      <c r="A28" s="109" t="s">
        <v>383</v>
      </c>
    </row>
    <row r="29" spans="1:9" ht="16.5" customHeight="1"/>
    <row r="30" spans="1:9" ht="16.5" customHeight="1">
      <c r="A30" t="s">
        <v>1091</v>
      </c>
    </row>
    <row r="31" spans="1:9" ht="16.5" customHeight="1">
      <c r="A31" t="s">
        <v>1092</v>
      </c>
    </row>
    <row r="32" spans="1:9" ht="16.5" customHeight="1">
      <c r="A32" t="s">
        <v>1103</v>
      </c>
    </row>
    <row r="33" spans="1:1" ht="16.5" customHeight="1">
      <c r="A33" t="s">
        <v>1113</v>
      </c>
    </row>
    <row r="34" spans="1:1" ht="16.5" customHeight="1"/>
    <row r="35" spans="1:1" ht="16.5" customHeight="1"/>
    <row r="36" spans="1:1" ht="16.5" customHeight="1"/>
    <row r="37" spans="1:1" ht="16.5" customHeight="1"/>
    <row r="38" spans="1:1" ht="16.5" customHeight="1"/>
    <row r="39" spans="1:1" ht="16.5" customHeight="1"/>
    <row r="40" spans="1:1" ht="16.5" customHeight="1"/>
  </sheetData>
  <phoneticPr fontId="32" type="noConversion"/>
  <conditionalFormatting sqref="A6:N16">
    <cfRule type="expression" dxfId="7" priority="1">
      <formula>$E6=0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2"/>
  <sheetViews>
    <sheetView zoomScaleNormal="100" workbookViewId="0">
      <pane ySplit="5" topLeftCell="A6" activePane="bottomLeft" state="frozen"/>
      <selection pane="bottomLeft" activeCell="G30" sqref="G3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384</v>
      </c>
    </row>
    <row r="2" spans="1:14" ht="16.5" customHeight="1">
      <c r="A2" s="18" t="s">
        <v>1112</v>
      </c>
    </row>
    <row r="3" spans="1:14">
      <c r="A3" s="33" t="s">
        <v>385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36" t="s">
        <v>386</v>
      </c>
      <c r="C6" s="20" t="s">
        <v>246</v>
      </c>
      <c r="D6" s="26">
        <v>40</v>
      </c>
      <c r="E6" s="20">
        <v>5</v>
      </c>
      <c r="F6" s="26" t="s">
        <v>248</v>
      </c>
      <c r="G6" s="26">
        <v>40</v>
      </c>
      <c r="H6" s="26">
        <v>150</v>
      </c>
      <c r="I6" s="26">
        <f t="shared" ref="I6:I15" si="0">IF(E6=0,0,ROUND(E6*(G6+H6)/60,1))</f>
        <v>15.8</v>
      </c>
      <c r="J6" s="21" t="s">
        <v>387</v>
      </c>
      <c r="K6" s="21" t="s">
        <v>388</v>
      </c>
      <c r="L6" s="21" t="s">
        <v>389</v>
      </c>
    </row>
    <row r="7" spans="1:14" ht="16.5" customHeight="1">
      <c r="A7" s="20">
        <v>2</v>
      </c>
      <c r="B7" s="36" t="s">
        <v>390</v>
      </c>
      <c r="C7" s="20" t="s">
        <v>238</v>
      </c>
      <c r="D7" s="26">
        <v>40</v>
      </c>
      <c r="E7" s="20">
        <v>3</v>
      </c>
      <c r="F7" s="26" t="s">
        <v>40</v>
      </c>
      <c r="G7" s="26">
        <v>40</v>
      </c>
      <c r="H7" s="26">
        <v>150</v>
      </c>
      <c r="I7" s="26">
        <f t="shared" si="0"/>
        <v>9.5</v>
      </c>
      <c r="J7" s="21" t="s">
        <v>387</v>
      </c>
      <c r="K7" s="21" t="s">
        <v>1124</v>
      </c>
      <c r="L7" s="21" t="s">
        <v>391</v>
      </c>
    </row>
    <row r="8" spans="1:14" ht="16.5" customHeight="1">
      <c r="A8" s="20">
        <v>3</v>
      </c>
      <c r="B8" s="36" t="s">
        <v>1125</v>
      </c>
      <c r="C8" s="20" t="s">
        <v>238</v>
      </c>
      <c r="D8" s="26">
        <v>20</v>
      </c>
      <c r="E8" s="20">
        <v>2</v>
      </c>
      <c r="F8" s="26" t="s">
        <v>1120</v>
      </c>
      <c r="G8" s="26">
        <v>80</v>
      </c>
      <c r="H8" s="26">
        <v>150</v>
      </c>
      <c r="I8" s="26">
        <f>IF(E8=0,0,ROUND(E8*(G8+H8)/60,1))</f>
        <v>7.7</v>
      </c>
      <c r="J8" s="21" t="s">
        <v>387</v>
      </c>
      <c r="K8" s="21" t="s">
        <v>1126</v>
      </c>
      <c r="L8" s="21" t="s">
        <v>1127</v>
      </c>
    </row>
    <row r="9" spans="1:14" ht="16.5" customHeight="1">
      <c r="A9" s="20">
        <v>4</v>
      </c>
      <c r="B9" s="36" t="s">
        <v>392</v>
      </c>
      <c r="C9" s="20" t="s">
        <v>246</v>
      </c>
      <c r="D9" s="20">
        <v>32</v>
      </c>
      <c r="E9" s="20">
        <v>4</v>
      </c>
      <c r="F9" s="26" t="s">
        <v>19</v>
      </c>
      <c r="G9" s="26">
        <v>40</v>
      </c>
      <c r="H9" s="26">
        <v>60</v>
      </c>
      <c r="I9" s="26">
        <f t="shared" si="0"/>
        <v>6.7</v>
      </c>
      <c r="J9" s="21" t="s">
        <v>393</v>
      </c>
      <c r="K9" s="21" t="s">
        <v>1128</v>
      </c>
      <c r="L9" s="21" t="s">
        <v>394</v>
      </c>
    </row>
    <row r="10" spans="1:14" ht="16.5" customHeight="1">
      <c r="A10" s="20">
        <v>5</v>
      </c>
      <c r="B10" s="21" t="s">
        <v>354</v>
      </c>
      <c r="C10" s="20" t="s">
        <v>23</v>
      </c>
      <c r="D10" s="26" t="s">
        <v>19</v>
      </c>
      <c r="E10" s="20">
        <v>0</v>
      </c>
      <c r="F10" s="26" t="s">
        <v>29</v>
      </c>
      <c r="G10" s="26">
        <v>40</v>
      </c>
      <c r="H10" s="26">
        <v>70</v>
      </c>
      <c r="I10" s="26">
        <f t="shared" si="0"/>
        <v>0</v>
      </c>
      <c r="J10" s="21" t="s">
        <v>355</v>
      </c>
      <c r="K10" s="21" t="s">
        <v>395</v>
      </c>
      <c r="L10" s="21" t="s">
        <v>396</v>
      </c>
    </row>
    <row r="11" spans="1:14" ht="16.5" customHeight="1">
      <c r="A11" s="20">
        <v>6</v>
      </c>
      <c r="B11" s="21" t="s">
        <v>397</v>
      </c>
      <c r="C11" s="20" t="s">
        <v>44</v>
      </c>
      <c r="D11" s="26">
        <v>30</v>
      </c>
      <c r="E11" s="20">
        <v>4</v>
      </c>
      <c r="F11" s="26" t="s">
        <v>40</v>
      </c>
      <c r="G11" s="26">
        <v>40</v>
      </c>
      <c r="H11" s="26">
        <v>70</v>
      </c>
      <c r="I11" s="26">
        <f t="shared" si="0"/>
        <v>7.3</v>
      </c>
      <c r="J11" s="21" t="s">
        <v>45</v>
      </c>
      <c r="K11" s="21" t="s">
        <v>398</v>
      </c>
      <c r="L11" s="22" t="s">
        <v>399</v>
      </c>
    </row>
    <row r="12" spans="1:14" ht="16.5" customHeight="1">
      <c r="A12" s="20">
        <v>7</v>
      </c>
      <c r="B12" s="21" t="s">
        <v>400</v>
      </c>
      <c r="C12" s="20" t="s">
        <v>351</v>
      </c>
      <c r="D12" s="20">
        <v>20</v>
      </c>
      <c r="E12" s="20">
        <v>4</v>
      </c>
      <c r="F12" s="26" t="s">
        <v>305</v>
      </c>
      <c r="G12" s="26">
        <v>40</v>
      </c>
      <c r="H12" s="26">
        <v>90</v>
      </c>
      <c r="I12" s="26">
        <f t="shared" si="0"/>
        <v>8.6999999999999993</v>
      </c>
      <c r="J12" s="21" t="s">
        <v>401</v>
      </c>
      <c r="K12" s="21" t="s">
        <v>402</v>
      </c>
      <c r="L12" s="21" t="s">
        <v>403</v>
      </c>
    </row>
    <row r="13" spans="1:14" ht="16.5" customHeight="1">
      <c r="A13" s="20">
        <v>8</v>
      </c>
      <c r="B13" s="81" t="s">
        <v>55</v>
      </c>
      <c r="C13" s="20" t="s">
        <v>56</v>
      </c>
      <c r="D13" s="20" t="s">
        <v>57</v>
      </c>
      <c r="E13" s="20">
        <v>2</v>
      </c>
      <c r="F13" s="26" t="s">
        <v>19</v>
      </c>
      <c r="G13" s="26">
        <v>40</v>
      </c>
      <c r="H13" s="26">
        <v>75</v>
      </c>
      <c r="I13" s="26">
        <f t="shared" si="0"/>
        <v>3.8</v>
      </c>
      <c r="J13" s="21"/>
      <c r="K13" s="21" t="s">
        <v>1110</v>
      </c>
      <c r="L13" s="21" t="s">
        <v>58</v>
      </c>
    </row>
    <row r="14" spans="1:14" ht="16.5" customHeight="1">
      <c r="A14" s="20">
        <v>9</v>
      </c>
      <c r="B14" s="21" t="s">
        <v>59</v>
      </c>
      <c r="C14" s="20" t="s">
        <v>60</v>
      </c>
      <c r="D14" s="26">
        <v>15</v>
      </c>
      <c r="E14" s="20">
        <v>3</v>
      </c>
      <c r="F14" s="26" t="s">
        <v>61</v>
      </c>
      <c r="G14" s="26">
        <v>80</v>
      </c>
      <c r="H14" s="26">
        <v>75</v>
      </c>
      <c r="I14" s="26">
        <f t="shared" si="0"/>
        <v>7.8</v>
      </c>
      <c r="J14" s="21"/>
      <c r="K14" s="21" t="s">
        <v>1098</v>
      </c>
      <c r="L14" s="21" t="s">
        <v>62</v>
      </c>
    </row>
    <row r="15" spans="1:14" ht="16.5" customHeight="1">
      <c r="A15" s="20">
        <v>10</v>
      </c>
      <c r="B15" s="85" t="s">
        <v>276</v>
      </c>
      <c r="C15" s="20" t="s">
        <v>272</v>
      </c>
      <c r="D15" s="20" t="s">
        <v>247</v>
      </c>
      <c r="E15" s="20">
        <v>3</v>
      </c>
      <c r="F15" s="26" t="s">
        <v>19</v>
      </c>
      <c r="G15" s="26">
        <v>40</v>
      </c>
      <c r="H15" s="26">
        <v>60</v>
      </c>
      <c r="I15" s="26">
        <f t="shared" si="0"/>
        <v>5</v>
      </c>
      <c r="J15" s="21"/>
      <c r="K15" s="21" t="s">
        <v>277</v>
      </c>
      <c r="L15" s="21" t="s">
        <v>278</v>
      </c>
    </row>
    <row r="16" spans="1:14" ht="15" customHeight="1">
      <c r="D16" s="3" t="s">
        <v>63</v>
      </c>
      <c r="E16" s="27">
        <f>SUM(E6:E15)</f>
        <v>30</v>
      </c>
      <c r="I16">
        <f>ROUND(SUM(I6:I15),0)</f>
        <v>72</v>
      </c>
    </row>
    <row r="17" spans="1:2" ht="15" customHeight="1">
      <c r="A17" t="s">
        <v>1091</v>
      </c>
    </row>
    <row r="18" spans="1:2">
      <c r="A18" t="s">
        <v>1104</v>
      </c>
    </row>
    <row r="19" spans="1:2">
      <c r="A19" t="s">
        <v>1114</v>
      </c>
    </row>
    <row r="20" spans="1:2">
      <c r="A20" t="s">
        <v>1129</v>
      </c>
    </row>
    <row r="22" spans="1:2">
      <c r="B22" s="83"/>
    </row>
  </sheetData>
  <phoneticPr fontId="32" type="noConversion"/>
  <conditionalFormatting sqref="A6:N15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2"/>
  <sheetViews>
    <sheetView tabSelected="1" zoomScaleNormal="100" workbookViewId="0">
      <pane ySplit="19" topLeftCell="A20" activePane="bottomLeft" state="frozen"/>
      <selection pane="bottomLeft" activeCell="X34" sqref="X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410</v>
      </c>
    </row>
    <row r="2" spans="1:3" ht="16.5" customHeight="1">
      <c r="A2" s="18" t="s">
        <v>1102</v>
      </c>
    </row>
    <row r="4" spans="1:3" ht="16.5" customHeight="1">
      <c r="A4" s="3" t="s">
        <v>411</v>
      </c>
    </row>
    <row r="5" spans="1:3" ht="16.5" customHeight="1">
      <c r="A5" s="19" t="s">
        <v>6</v>
      </c>
      <c r="B5" s="19" t="s">
        <v>282</v>
      </c>
      <c r="C5" s="19" t="s">
        <v>7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25</v>
      </c>
      <c r="B10" s="27">
        <v>5</v>
      </c>
      <c r="C10" s="27">
        <v>3</v>
      </c>
    </row>
    <row r="11" spans="1:3" ht="16.5" customHeight="1">
      <c r="A11" s="31" t="s">
        <v>283</v>
      </c>
    </row>
    <row r="13" spans="1:3" ht="16.5" customHeight="1">
      <c r="A13" s="3" t="s">
        <v>284</v>
      </c>
    </row>
    <row r="14" spans="1:3" ht="16.5" customHeight="1">
      <c r="A14" s="31" t="s">
        <v>285</v>
      </c>
    </row>
    <row r="15" spans="1:3" ht="16.5" customHeight="1">
      <c r="A15" s="31" t="s">
        <v>286</v>
      </c>
    </row>
    <row r="16" spans="1:3" ht="16.5" customHeight="1">
      <c r="A16" s="31" t="s">
        <v>287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40">
        <v>1</v>
      </c>
      <c r="B20" s="39" t="s">
        <v>412</v>
      </c>
      <c r="C20" s="40" t="s">
        <v>27</v>
      </c>
      <c r="D20" s="41">
        <f>시작중량_설정!$E$10</f>
        <v>25</v>
      </c>
      <c r="E20" s="40">
        <v>3</v>
      </c>
      <c r="F20" s="38" t="s">
        <v>290</v>
      </c>
      <c r="G20" s="38">
        <v>30</v>
      </c>
      <c r="H20" s="38">
        <v>180</v>
      </c>
      <c r="I20" s="38">
        <f t="shared" ref="I20:I29" si="0">IF(E20=0,0,ROUND(E20*(G20+H20)/60,1))</f>
        <v>10.5</v>
      </c>
      <c r="J20" s="39" t="s">
        <v>30</v>
      </c>
      <c r="K20" s="39" t="s">
        <v>413</v>
      </c>
      <c r="L20" s="39" t="s">
        <v>414</v>
      </c>
      <c r="M20" s="38" t="s">
        <v>415</v>
      </c>
    </row>
    <row r="21" spans="1:14" ht="16.5" customHeight="1">
      <c r="A21" s="20">
        <v>2</v>
      </c>
      <c r="B21" s="21" t="s">
        <v>26</v>
      </c>
      <c r="C21" s="20" t="s">
        <v>27</v>
      </c>
      <c r="D21" s="20">
        <v>25</v>
      </c>
      <c r="E21" s="20">
        <v>3</v>
      </c>
      <c r="F21" s="26" t="s">
        <v>29</v>
      </c>
      <c r="G21" s="26">
        <v>40</v>
      </c>
      <c r="H21" s="26">
        <v>120</v>
      </c>
      <c r="I21" s="26">
        <f t="shared" si="0"/>
        <v>8</v>
      </c>
      <c r="J21" s="21" t="s">
        <v>416</v>
      </c>
      <c r="K21" s="21" t="s">
        <v>417</v>
      </c>
      <c r="L21" s="21" t="s">
        <v>418</v>
      </c>
    </row>
    <row r="22" spans="1:14" ht="16.5" customHeight="1">
      <c r="A22" s="20">
        <v>3</v>
      </c>
      <c r="B22" s="36" t="s">
        <v>404</v>
      </c>
      <c r="C22" s="20" t="s">
        <v>34</v>
      </c>
      <c r="D22" s="20">
        <v>20</v>
      </c>
      <c r="E22" s="20">
        <v>3</v>
      </c>
      <c r="F22" s="26" t="s">
        <v>19</v>
      </c>
      <c r="G22" s="26">
        <v>40</v>
      </c>
      <c r="H22" s="26">
        <v>60</v>
      </c>
      <c r="I22" s="26">
        <f t="shared" si="0"/>
        <v>5</v>
      </c>
      <c r="J22" s="21" t="s">
        <v>249</v>
      </c>
      <c r="K22" s="21" t="s">
        <v>419</v>
      </c>
      <c r="L22" s="21" t="s">
        <v>420</v>
      </c>
    </row>
    <row r="23" spans="1:14" ht="16.5" customHeight="1">
      <c r="A23" s="20">
        <v>4</v>
      </c>
      <c r="B23" s="21" t="s">
        <v>421</v>
      </c>
      <c r="C23" s="20" t="s">
        <v>289</v>
      </c>
      <c r="D23" s="26">
        <v>25</v>
      </c>
      <c r="E23" s="20">
        <v>3</v>
      </c>
      <c r="F23" s="26" t="s">
        <v>40</v>
      </c>
      <c r="G23" s="26">
        <v>40</v>
      </c>
      <c r="H23" s="26">
        <v>150</v>
      </c>
      <c r="I23" s="26">
        <f t="shared" si="0"/>
        <v>9.5</v>
      </c>
      <c r="J23" s="21" t="s">
        <v>39</v>
      </c>
      <c r="K23" s="21" t="s">
        <v>422</v>
      </c>
      <c r="L23" s="21" t="s">
        <v>423</v>
      </c>
    </row>
    <row r="24" spans="1:14" ht="16.5" customHeight="1">
      <c r="A24" s="20">
        <v>5</v>
      </c>
      <c r="B24" s="21" t="s">
        <v>424</v>
      </c>
      <c r="C24" s="20" t="s">
        <v>300</v>
      </c>
      <c r="D24" s="26">
        <v>35</v>
      </c>
      <c r="E24" s="20">
        <v>3</v>
      </c>
      <c r="F24" s="26" t="s">
        <v>248</v>
      </c>
      <c r="G24" s="26">
        <v>40</v>
      </c>
      <c r="H24" s="26">
        <v>150</v>
      </c>
      <c r="I24" s="26">
        <f t="shared" si="0"/>
        <v>9.5</v>
      </c>
      <c r="J24" s="21" t="s">
        <v>291</v>
      </c>
      <c r="K24" s="21" t="s">
        <v>425</v>
      </c>
      <c r="L24" s="21" t="s">
        <v>426</v>
      </c>
    </row>
    <row r="25" spans="1:14" ht="16.5" customHeight="1">
      <c r="A25" s="20">
        <v>6</v>
      </c>
      <c r="B25" s="21" t="s">
        <v>361</v>
      </c>
      <c r="C25" s="43" t="s">
        <v>289</v>
      </c>
      <c r="D25" s="26">
        <v>10</v>
      </c>
      <c r="E25" s="20">
        <v>3</v>
      </c>
      <c r="F25" s="26" t="s">
        <v>40</v>
      </c>
      <c r="G25" s="26">
        <v>40</v>
      </c>
      <c r="H25" s="26">
        <v>90</v>
      </c>
      <c r="I25" s="26">
        <f t="shared" si="0"/>
        <v>6.5</v>
      </c>
      <c r="J25" s="21"/>
      <c r="K25" s="21" t="s">
        <v>1088</v>
      </c>
      <c r="L25" s="21" t="s">
        <v>1089</v>
      </c>
    </row>
    <row r="26" spans="1:14" ht="16.5" customHeight="1">
      <c r="A26" s="20">
        <v>7</v>
      </c>
      <c r="B26" s="21" t="s">
        <v>427</v>
      </c>
      <c r="C26" s="20" t="s">
        <v>23</v>
      </c>
      <c r="D26" s="26">
        <v>15</v>
      </c>
      <c r="E26" s="20">
        <v>3</v>
      </c>
      <c r="F26" s="26" t="s">
        <v>19</v>
      </c>
      <c r="G26" s="26">
        <v>40</v>
      </c>
      <c r="H26" s="26">
        <v>70</v>
      </c>
      <c r="I26" s="26">
        <f t="shared" si="0"/>
        <v>5.5</v>
      </c>
      <c r="J26" s="21"/>
      <c r="K26" s="21" t="s">
        <v>428</v>
      </c>
      <c r="L26" s="21" t="s">
        <v>429</v>
      </c>
    </row>
    <row r="27" spans="1:14" ht="16.5" customHeight="1">
      <c r="A27" s="20">
        <v>8</v>
      </c>
      <c r="B27" s="21" t="s">
        <v>430</v>
      </c>
      <c r="C27" s="20" t="s">
        <v>18</v>
      </c>
      <c r="D27" s="26">
        <v>5</v>
      </c>
      <c r="E27" s="20">
        <v>3</v>
      </c>
      <c r="F27" s="26" t="s">
        <v>305</v>
      </c>
      <c r="G27" s="26">
        <v>70</v>
      </c>
      <c r="H27" s="26">
        <v>70</v>
      </c>
      <c r="I27" s="26">
        <f t="shared" si="0"/>
        <v>7</v>
      </c>
      <c r="J27" s="21"/>
      <c r="K27" s="21" t="s">
        <v>431</v>
      </c>
      <c r="L27" s="21" t="s">
        <v>432</v>
      </c>
    </row>
    <row r="28" spans="1:14" ht="16.5" customHeight="1">
      <c r="A28" s="20">
        <v>9</v>
      </c>
      <c r="B28" s="21" t="s">
        <v>33</v>
      </c>
      <c r="C28" s="20" t="s">
        <v>34</v>
      </c>
      <c r="D28" s="26" t="s">
        <v>35</v>
      </c>
      <c r="E28" s="20">
        <v>3</v>
      </c>
      <c r="F28" s="26" t="s">
        <v>19</v>
      </c>
      <c r="G28" s="26">
        <v>40</v>
      </c>
      <c r="H28" s="26">
        <v>60</v>
      </c>
      <c r="I28" s="26">
        <f t="shared" si="0"/>
        <v>5</v>
      </c>
      <c r="J28" s="21" t="s">
        <v>393</v>
      </c>
      <c r="K28" s="21" t="s">
        <v>433</v>
      </c>
      <c r="L28" s="21" t="s">
        <v>434</v>
      </c>
    </row>
    <row r="29" spans="1:14" ht="16.5" customHeight="1">
      <c r="A29" s="20">
        <v>10</v>
      </c>
      <c r="B29" s="85" t="s">
        <v>408</v>
      </c>
      <c r="C29" s="20" t="s">
        <v>261</v>
      </c>
      <c r="D29" s="20">
        <v>15</v>
      </c>
      <c r="E29" s="20">
        <v>3</v>
      </c>
      <c r="F29" s="26" t="s">
        <v>29</v>
      </c>
      <c r="G29" s="26">
        <v>40</v>
      </c>
      <c r="H29" s="26">
        <v>60</v>
      </c>
      <c r="I29" s="26">
        <f t="shared" si="0"/>
        <v>5</v>
      </c>
      <c r="J29" s="21"/>
      <c r="K29" s="21" t="s">
        <v>1100</v>
      </c>
      <c r="L29" s="21" t="s">
        <v>409</v>
      </c>
    </row>
    <row r="30" spans="1:14" ht="15" customHeight="1">
      <c r="A30" s="20"/>
      <c r="B30" s="21"/>
      <c r="C30" s="20"/>
      <c r="D30" s="26" t="s">
        <v>63</v>
      </c>
      <c r="E30" s="20">
        <f>SUM(E20:E29)</f>
        <v>30</v>
      </c>
      <c r="F30" s="26"/>
      <c r="G30" s="26"/>
      <c r="H30" s="26"/>
      <c r="I30" s="26">
        <f>ROUND(SUM(I20:I29),0)</f>
        <v>72</v>
      </c>
      <c r="J30" s="21"/>
      <c r="K30" s="21"/>
      <c r="L30" s="21"/>
    </row>
    <row r="31" spans="1:14" ht="15" customHeight="1">
      <c r="A31" s="3" t="s">
        <v>435</v>
      </c>
    </row>
    <row r="32" spans="1:14">
      <c r="A32" s="31" t="s">
        <v>436</v>
      </c>
    </row>
    <row r="33" spans="1:1" ht="16.5" customHeight="1">
      <c r="A33" s="31" t="s">
        <v>437</v>
      </c>
    </row>
    <row r="34" spans="1:1" ht="16.5" customHeight="1">
      <c r="A34" s="31" t="s">
        <v>438</v>
      </c>
    </row>
    <row r="35" spans="1:1" ht="16.5" customHeight="1">
      <c r="A35" s="31" t="s">
        <v>439</v>
      </c>
    </row>
    <row r="36" spans="1:1" ht="16.5" customHeight="1">
      <c r="A36" s="31" t="s">
        <v>440</v>
      </c>
    </row>
    <row r="37" spans="1:1" ht="16.5" customHeight="1">
      <c r="A37" s="31" t="s">
        <v>441</v>
      </c>
    </row>
    <row r="38" spans="1:1" ht="16.5" customHeight="1">
      <c r="A38" s="31" t="s">
        <v>442</v>
      </c>
    </row>
    <row r="39" spans="1:1" ht="16.5" customHeight="1"/>
    <row r="40" spans="1:1" ht="16.5" customHeight="1">
      <c r="A40" t="s">
        <v>1091</v>
      </c>
    </row>
    <row r="41" spans="1:1">
      <c r="A41" t="s">
        <v>1094</v>
      </c>
    </row>
    <row r="42" spans="1:1">
      <c r="A42" t="s">
        <v>1105</v>
      </c>
    </row>
  </sheetData>
  <phoneticPr fontId="32" type="noConversion"/>
  <conditionalFormatting sqref="A20:N29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H37" sqref="H37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443</v>
      </c>
    </row>
    <row r="2" spans="1:14" ht="16.5" customHeight="1">
      <c r="A2" s="18" t="s">
        <v>444</v>
      </c>
    </row>
    <row r="4" spans="1:14" ht="16.5" customHeight="1">
      <c r="A4" s="3" t="s">
        <v>445</v>
      </c>
    </row>
    <row r="5" spans="1:14" ht="16.5" customHeight="1">
      <c r="A5" s="19" t="s">
        <v>6</v>
      </c>
      <c r="B5" s="19" t="s">
        <v>282</v>
      </c>
      <c r="C5" s="19" t="s">
        <v>7</v>
      </c>
    </row>
    <row r="6" spans="1:14" ht="15" customHeight="1">
      <c r="A6" s="20">
        <f>MAX(20,MROUND(시작중량_설정!$E$8*0.4,2.5))</f>
        <v>25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37.5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47.5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57.5</v>
      </c>
      <c r="B9" s="20">
        <v>2</v>
      </c>
      <c r="C9" s="20">
        <v>1</v>
      </c>
    </row>
    <row r="10" spans="1:14" ht="15" customHeight="1">
      <c r="A10" s="37">
        <f>시작중량_설정!$E$8</f>
        <v>62.5</v>
      </c>
      <c r="B10" s="27">
        <v>5</v>
      </c>
      <c r="C10" s="27">
        <v>1</v>
      </c>
    </row>
    <row r="11" spans="1:14" ht="16.5" customHeight="1">
      <c r="A11" s="31" t="s">
        <v>283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446</v>
      </c>
      <c r="C15" s="40" t="s">
        <v>272</v>
      </c>
      <c r="D15" s="41">
        <f>시작중량_설정!$E$8</f>
        <v>62.5</v>
      </c>
      <c r="E15" s="40">
        <v>1</v>
      </c>
      <c r="F15" s="38" t="s">
        <v>290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447</v>
      </c>
      <c r="K15" s="39" t="s">
        <v>448</v>
      </c>
      <c r="L15" s="39" t="s">
        <v>449</v>
      </c>
    </row>
    <row r="16" spans="1:14" ht="16.5" customHeight="1">
      <c r="A16" s="40">
        <v>2</v>
      </c>
      <c r="B16" s="39" t="s">
        <v>450</v>
      </c>
      <c r="C16" s="40" t="s">
        <v>272</v>
      </c>
      <c r="D16" s="41">
        <f>시작중량_설정!$E$8-증량기록!$C$5</f>
        <v>57.5</v>
      </c>
      <c r="E16" s="40">
        <v>2</v>
      </c>
      <c r="F16" s="38" t="s">
        <v>290</v>
      </c>
      <c r="G16" s="38">
        <v>35</v>
      </c>
      <c r="H16" s="38">
        <v>180</v>
      </c>
      <c r="I16" s="38">
        <f t="shared" si="0"/>
        <v>7.2</v>
      </c>
      <c r="J16" s="39" t="s">
        <v>447</v>
      </c>
      <c r="K16" s="39" t="s">
        <v>451</v>
      </c>
      <c r="L16" s="39" t="s">
        <v>449</v>
      </c>
    </row>
    <row r="17" spans="1:12" ht="16.5" customHeight="1">
      <c r="A17" s="20">
        <v>3</v>
      </c>
      <c r="B17" s="21" t="s">
        <v>452</v>
      </c>
      <c r="C17" s="20" t="s">
        <v>323</v>
      </c>
      <c r="D17" s="26">
        <v>25</v>
      </c>
      <c r="E17" s="20">
        <v>4</v>
      </c>
      <c r="F17" s="26" t="s">
        <v>40</v>
      </c>
      <c r="G17" s="26">
        <v>45</v>
      </c>
      <c r="H17" s="26">
        <v>150</v>
      </c>
      <c r="I17" s="26">
        <f t="shared" si="0"/>
        <v>13</v>
      </c>
      <c r="J17" s="21" t="s">
        <v>332</v>
      </c>
      <c r="K17" s="21" t="s">
        <v>453</v>
      </c>
      <c r="L17" s="21" t="s">
        <v>454</v>
      </c>
    </row>
    <row r="18" spans="1:12" ht="16.5" customHeight="1">
      <c r="A18" s="20">
        <v>4</v>
      </c>
      <c r="B18" s="21" t="s">
        <v>455</v>
      </c>
      <c r="C18" s="20" t="s">
        <v>332</v>
      </c>
      <c r="D18" s="20">
        <v>35</v>
      </c>
      <c r="E18" s="20">
        <v>3</v>
      </c>
      <c r="F18" s="26" t="s">
        <v>57</v>
      </c>
      <c r="G18" s="26">
        <v>40</v>
      </c>
      <c r="H18" s="26">
        <v>150</v>
      </c>
      <c r="I18" s="26">
        <f t="shared" si="0"/>
        <v>9.5</v>
      </c>
      <c r="J18" s="21" t="s">
        <v>318</v>
      </c>
      <c r="K18" s="21" t="s">
        <v>456</v>
      </c>
      <c r="L18" s="21" t="s">
        <v>457</v>
      </c>
    </row>
    <row r="19" spans="1:12" ht="16.5" customHeight="1">
      <c r="A19" s="20">
        <v>5</v>
      </c>
      <c r="B19" s="21" t="s">
        <v>458</v>
      </c>
      <c r="C19" s="20" t="s">
        <v>332</v>
      </c>
      <c r="D19" s="26">
        <v>15</v>
      </c>
      <c r="E19" s="20">
        <v>3</v>
      </c>
      <c r="F19" s="26" t="s">
        <v>268</v>
      </c>
      <c r="G19" s="26">
        <v>80</v>
      </c>
      <c r="H19" s="26">
        <v>120</v>
      </c>
      <c r="I19" s="26">
        <f t="shared" si="0"/>
        <v>10</v>
      </c>
      <c r="J19" s="21"/>
      <c r="K19" s="21" t="s">
        <v>459</v>
      </c>
      <c r="L19" s="21" t="s">
        <v>460</v>
      </c>
    </row>
    <row r="20" spans="1:12" ht="16.5" customHeight="1">
      <c r="A20" s="20">
        <v>6</v>
      </c>
      <c r="B20" s="21" t="s">
        <v>461</v>
      </c>
      <c r="C20" s="20" t="s">
        <v>317</v>
      </c>
      <c r="D20" s="26">
        <v>42</v>
      </c>
      <c r="E20" s="20">
        <v>4</v>
      </c>
      <c r="F20" s="26" t="s">
        <v>305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462</v>
      </c>
      <c r="L20" s="21" t="s">
        <v>463</v>
      </c>
    </row>
    <row r="21" spans="1:12" ht="16.5" customHeight="1">
      <c r="A21" s="20">
        <v>7</v>
      </c>
      <c r="B21" s="21" t="s">
        <v>322</v>
      </c>
      <c r="C21" s="20" t="s">
        <v>317</v>
      </c>
      <c r="D21" s="26">
        <f>D3_하체A!D16</f>
        <v>120</v>
      </c>
      <c r="E21" s="20">
        <v>3</v>
      </c>
      <c r="F21" s="26" t="s">
        <v>40</v>
      </c>
      <c r="G21" s="26">
        <v>45</v>
      </c>
      <c r="H21" s="26">
        <v>150</v>
      </c>
      <c r="I21" s="26">
        <f t="shared" si="0"/>
        <v>9.8000000000000007</v>
      </c>
      <c r="J21" s="21" t="s">
        <v>323</v>
      </c>
      <c r="K21" s="21" t="s">
        <v>464</v>
      </c>
      <c r="L21" s="21" t="s">
        <v>465</v>
      </c>
    </row>
    <row r="22" spans="1:12" ht="16.5" customHeight="1">
      <c r="A22" s="20">
        <v>8</v>
      </c>
      <c r="B22" s="21" t="s">
        <v>55</v>
      </c>
      <c r="C22" s="20" t="s">
        <v>56</v>
      </c>
      <c r="D22" s="26">
        <v>8</v>
      </c>
      <c r="E22" s="20">
        <v>4</v>
      </c>
      <c r="F22" s="26" t="s">
        <v>19</v>
      </c>
      <c r="G22" s="26">
        <v>40</v>
      </c>
      <c r="H22" s="26">
        <v>75</v>
      </c>
      <c r="I22" s="26">
        <f t="shared" si="0"/>
        <v>7.7</v>
      </c>
      <c r="J22" s="21"/>
      <c r="K22" s="21" t="s">
        <v>466</v>
      </c>
      <c r="L22" s="21" t="s">
        <v>467</v>
      </c>
    </row>
    <row r="23" spans="1:12" ht="16.5" customHeight="1">
      <c r="D23" s="3" t="s">
        <v>63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8"/>
  <sheetViews>
    <sheetView workbookViewId="0">
      <pane ySplit="5" topLeftCell="A6" activePane="bottomLeft" state="frozen"/>
      <selection pane="bottomLeft" activeCell="M33" sqref="M33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0</v>
      </c>
    </row>
    <row r="2" spans="1:14" ht="16.5" customHeight="1">
      <c r="A2" s="18" t="s">
        <v>1101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17</v>
      </c>
      <c r="C6" s="20" t="s">
        <v>18</v>
      </c>
      <c r="D6" s="20">
        <v>5</v>
      </c>
      <c r="E6" s="20">
        <v>3</v>
      </c>
      <c r="F6" s="26" t="s">
        <v>19</v>
      </c>
      <c r="G6" s="26">
        <v>80</v>
      </c>
      <c r="H6" s="26">
        <v>70</v>
      </c>
      <c r="I6" s="26">
        <f t="shared" ref="I6:I15" si="0">IF(E6=0,0,ROUND(E6*(G6+H6)/60,1))</f>
        <v>7.5</v>
      </c>
      <c r="J6" s="21"/>
      <c r="K6" s="21" t="s">
        <v>20</v>
      </c>
      <c r="L6" s="21" t="s">
        <v>21</v>
      </c>
    </row>
    <row r="7" spans="1:14" ht="16.5" customHeight="1">
      <c r="A7" s="20">
        <v>2</v>
      </c>
      <c r="B7" s="81" t="s">
        <v>22</v>
      </c>
      <c r="C7" s="20" t="s">
        <v>23</v>
      </c>
      <c r="D7" s="20">
        <v>5</v>
      </c>
      <c r="E7" s="20">
        <v>3</v>
      </c>
      <c r="F7" s="26" t="s">
        <v>19</v>
      </c>
      <c r="G7" s="26">
        <v>40</v>
      </c>
      <c r="H7" s="26">
        <v>70</v>
      </c>
      <c r="I7" s="26">
        <f t="shared" si="0"/>
        <v>5.5</v>
      </c>
      <c r="J7" s="21"/>
      <c r="K7" s="21" t="s">
        <v>24</v>
      </c>
      <c r="L7" s="21" t="s">
        <v>25</v>
      </c>
    </row>
    <row r="8" spans="1:14" ht="16.5" customHeight="1">
      <c r="A8" s="20">
        <v>3</v>
      </c>
      <c r="B8" s="81" t="s">
        <v>26</v>
      </c>
      <c r="C8" s="20" t="s">
        <v>27</v>
      </c>
      <c r="D8" s="20" t="s">
        <v>28</v>
      </c>
      <c r="E8" s="20">
        <v>3</v>
      </c>
      <c r="F8" s="26" t="s">
        <v>29</v>
      </c>
      <c r="G8" s="26">
        <v>40</v>
      </c>
      <c r="H8" s="26">
        <v>120</v>
      </c>
      <c r="I8" s="26">
        <f t="shared" si="0"/>
        <v>8</v>
      </c>
      <c r="J8" s="21" t="s">
        <v>30</v>
      </c>
      <c r="K8" s="21" t="s">
        <v>31</v>
      </c>
      <c r="L8" s="21" t="s">
        <v>32</v>
      </c>
    </row>
    <row r="9" spans="1:14" ht="16.5" customHeight="1">
      <c r="A9" s="20">
        <v>4</v>
      </c>
      <c r="B9" s="81" t="s">
        <v>33</v>
      </c>
      <c r="C9" s="20" t="s">
        <v>34</v>
      </c>
      <c r="D9" s="20" t="s">
        <v>35</v>
      </c>
      <c r="E9" s="20">
        <v>3</v>
      </c>
      <c r="F9" s="26" t="s">
        <v>19</v>
      </c>
      <c r="G9" s="26">
        <v>40</v>
      </c>
      <c r="H9" s="26">
        <v>60</v>
      </c>
      <c r="I9" s="26">
        <f t="shared" si="0"/>
        <v>5</v>
      </c>
      <c r="J9" s="21" t="s">
        <v>23</v>
      </c>
      <c r="K9" s="21" t="s">
        <v>36</v>
      </c>
      <c r="L9" s="21" t="s">
        <v>37</v>
      </c>
    </row>
    <row r="10" spans="1:14" ht="16.5" customHeight="1">
      <c r="A10" s="20">
        <v>5</v>
      </c>
      <c r="B10" s="81" t="s">
        <v>902</v>
      </c>
      <c r="C10" s="20" t="s">
        <v>300</v>
      </c>
      <c r="D10" s="20">
        <v>8</v>
      </c>
      <c r="E10" s="20">
        <v>3</v>
      </c>
      <c r="F10" s="26" t="s">
        <v>305</v>
      </c>
      <c r="G10" s="26">
        <v>40</v>
      </c>
      <c r="H10" s="26">
        <v>105</v>
      </c>
      <c r="I10" s="26">
        <f>IF(E10=0,0,ROUND(E10*(G10+H10)/60,1))</f>
        <v>7.3</v>
      </c>
      <c r="J10" s="21"/>
      <c r="K10" s="21" t="s">
        <v>1079</v>
      </c>
      <c r="L10" s="21" t="s">
        <v>307</v>
      </c>
    </row>
    <row r="11" spans="1:14" ht="16.5" customHeight="1">
      <c r="A11" s="20">
        <v>6</v>
      </c>
      <c r="B11" s="21" t="s">
        <v>38</v>
      </c>
      <c r="C11" s="20" t="s">
        <v>39</v>
      </c>
      <c r="D11" s="26">
        <v>15</v>
      </c>
      <c r="E11" s="20">
        <v>4</v>
      </c>
      <c r="F11" s="26" t="s">
        <v>40</v>
      </c>
      <c r="G11" s="26">
        <v>40</v>
      </c>
      <c r="H11" s="26">
        <v>75</v>
      </c>
      <c r="I11" s="26">
        <f t="shared" si="0"/>
        <v>7.7</v>
      </c>
      <c r="J11" s="21"/>
      <c r="K11" s="21" t="s">
        <v>41</v>
      </c>
      <c r="L11" s="21" t="s">
        <v>42</v>
      </c>
    </row>
    <row r="12" spans="1:14" ht="16.5" customHeight="1">
      <c r="A12" s="20">
        <v>7</v>
      </c>
      <c r="B12" s="81" t="s">
        <v>43</v>
      </c>
      <c r="C12" s="20" t="s">
        <v>44</v>
      </c>
      <c r="D12" s="20">
        <v>6</v>
      </c>
      <c r="E12" s="20">
        <v>4</v>
      </c>
      <c r="F12" s="26" t="s">
        <v>40</v>
      </c>
      <c r="G12" s="26">
        <v>40</v>
      </c>
      <c r="H12" s="26">
        <v>70</v>
      </c>
      <c r="I12" s="26">
        <f t="shared" si="0"/>
        <v>7.3</v>
      </c>
      <c r="J12" s="21" t="s">
        <v>45</v>
      </c>
      <c r="K12" s="21" t="s">
        <v>46</v>
      </c>
      <c r="L12" s="21" t="s">
        <v>47</v>
      </c>
    </row>
    <row r="13" spans="1:14" ht="16.5" customHeight="1">
      <c r="A13" s="20">
        <v>8</v>
      </c>
      <c r="B13" s="81" t="s">
        <v>371</v>
      </c>
      <c r="C13" s="20" t="s">
        <v>45</v>
      </c>
      <c r="D13" s="20">
        <v>10</v>
      </c>
      <c r="E13" s="20">
        <v>3</v>
      </c>
      <c r="F13" s="26" t="s">
        <v>49</v>
      </c>
      <c r="G13" s="26">
        <v>40</v>
      </c>
      <c r="H13" s="26">
        <v>60</v>
      </c>
      <c r="I13" s="26">
        <f t="shared" si="0"/>
        <v>5</v>
      </c>
      <c r="J13" s="21"/>
      <c r="K13" s="21" t="s">
        <v>1085</v>
      </c>
      <c r="L13" s="21" t="s">
        <v>372</v>
      </c>
    </row>
    <row r="14" spans="1:14" ht="16.5" customHeight="1">
      <c r="A14" s="20">
        <v>9</v>
      </c>
      <c r="B14" s="81" t="s">
        <v>335</v>
      </c>
      <c r="C14" s="20" t="s">
        <v>336</v>
      </c>
      <c r="D14" s="20" t="s">
        <v>373</v>
      </c>
      <c r="E14" s="20">
        <v>5</v>
      </c>
      <c r="F14" s="26" t="s">
        <v>19</v>
      </c>
      <c r="G14" s="26">
        <v>40</v>
      </c>
      <c r="H14" s="26">
        <v>10</v>
      </c>
      <c r="I14" s="26">
        <f t="shared" si="0"/>
        <v>4.2</v>
      </c>
      <c r="J14" s="21"/>
      <c r="K14" s="21" t="s">
        <v>1083</v>
      </c>
      <c r="L14" s="21" t="s">
        <v>374</v>
      </c>
      <c r="N14" t="s">
        <v>339</v>
      </c>
    </row>
    <row r="15" spans="1:14" ht="16.5" customHeight="1">
      <c r="A15" s="20">
        <v>10</v>
      </c>
      <c r="B15" s="81" t="s">
        <v>340</v>
      </c>
      <c r="C15" s="20" t="s">
        <v>60</v>
      </c>
      <c r="D15" s="20" t="s">
        <v>257</v>
      </c>
      <c r="E15" s="20">
        <v>5</v>
      </c>
      <c r="F15" s="26" t="s">
        <v>19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1084</v>
      </c>
      <c r="L15" s="21" t="s">
        <v>375</v>
      </c>
      <c r="N15" t="s">
        <v>339</v>
      </c>
    </row>
    <row r="16" spans="1:14" ht="16.5" customHeight="1">
      <c r="D16" s="3" t="s">
        <v>63</v>
      </c>
      <c r="E16" s="27">
        <f>SUM(E6:E15)</f>
        <v>36</v>
      </c>
      <c r="I16">
        <f>ROUND(SUM(I6:I15),0)</f>
        <v>70</v>
      </c>
    </row>
    <row r="17" spans="1:1" ht="16.5" customHeight="1"/>
    <row r="18" spans="1:1" ht="16.5" customHeight="1">
      <c r="A18" s="108" t="s">
        <v>64</v>
      </c>
    </row>
    <row r="19" spans="1:1" ht="16.5" customHeight="1">
      <c r="A19" t="s">
        <v>65</v>
      </c>
    </row>
    <row r="20" spans="1:1" ht="16.5" customHeight="1">
      <c r="A20" t="s">
        <v>66</v>
      </c>
    </row>
    <row r="21" spans="1:1" ht="16.5" customHeight="1">
      <c r="A21" t="s">
        <v>67</v>
      </c>
    </row>
    <row r="22" spans="1:1" ht="16.5" customHeight="1">
      <c r="A22" t="s">
        <v>68</v>
      </c>
    </row>
    <row r="23" spans="1:1" ht="16.5" customHeight="1"/>
    <row r="24" spans="1:1" ht="16.5" customHeight="1">
      <c r="A24" s="3" t="s">
        <v>69</v>
      </c>
    </row>
    <row r="25" spans="1:1" ht="16.5" customHeight="1">
      <c r="A25" s="31" t="s">
        <v>70</v>
      </c>
    </row>
    <row r="26" spans="1:1" ht="16.5" customHeight="1">
      <c r="A26" s="31" t="s">
        <v>71</v>
      </c>
    </row>
    <row r="27" spans="1:1" ht="16.5" customHeight="1">
      <c r="A27" s="31" t="s">
        <v>72</v>
      </c>
    </row>
    <row r="28" spans="1:1" ht="16.5" customHeight="1">
      <c r="A28" s="31" t="s">
        <v>73</v>
      </c>
    </row>
    <row r="29" spans="1:1" ht="16.5" customHeight="1">
      <c r="A29" s="3" t="s">
        <v>74</v>
      </c>
    </row>
    <row r="30" spans="1:1" ht="16.5" customHeight="1">
      <c r="A30" s="31" t="s">
        <v>75</v>
      </c>
    </row>
    <row r="31" spans="1:1" ht="16.5" customHeight="1">
      <c r="A31" s="31" t="s">
        <v>76</v>
      </c>
    </row>
    <row r="32" spans="1:1" ht="16.5" customHeight="1">
      <c r="A32" s="3" t="s">
        <v>77</v>
      </c>
    </row>
    <row r="33" spans="1:1" ht="16.5" customHeight="1">
      <c r="A33" s="31" t="s">
        <v>78</v>
      </c>
    </row>
    <row r="34" spans="1:1" ht="16.5" customHeight="1">
      <c r="A34" s="31" t="s">
        <v>79</v>
      </c>
    </row>
    <row r="35" spans="1:1" ht="16.5" customHeight="1">
      <c r="A35" s="31" t="s">
        <v>80</v>
      </c>
    </row>
    <row r="36" spans="1:1" ht="16.5" customHeight="1">
      <c r="A36" s="31" t="s">
        <v>81</v>
      </c>
    </row>
    <row r="37" spans="1:1" ht="16.5" customHeight="1">
      <c r="A37" s="3" t="s">
        <v>82</v>
      </c>
    </row>
    <row r="38" spans="1:1" ht="16.5" customHeight="1">
      <c r="A38" s="31" t="s">
        <v>83</v>
      </c>
    </row>
    <row r="39" spans="1:1" ht="16.5" customHeight="1">
      <c r="A39" s="31" t="s">
        <v>84</v>
      </c>
    </row>
    <row r="40" spans="1:1" ht="16.5" customHeight="1">
      <c r="A40" s="31" t="s">
        <v>85</v>
      </c>
    </row>
    <row r="41" spans="1:1">
      <c r="A41" s="31" t="s">
        <v>86</v>
      </c>
    </row>
    <row r="42" spans="1:1">
      <c r="A42" s="3" t="s">
        <v>87</v>
      </c>
    </row>
    <row r="43" spans="1:1">
      <c r="A43" s="31" t="s">
        <v>88</v>
      </c>
    </row>
    <row r="44" spans="1:1">
      <c r="A44" s="31" t="s">
        <v>89</v>
      </c>
    </row>
    <row r="45" spans="1:1">
      <c r="A45" s="31" t="s">
        <v>1080</v>
      </c>
    </row>
    <row r="46" spans="1:1">
      <c r="A46" t="s">
        <v>1081</v>
      </c>
    </row>
    <row r="47" spans="1:1">
      <c r="A47" t="s">
        <v>1093</v>
      </c>
    </row>
    <row r="48" spans="1:1">
      <c r="A48" t="s">
        <v>1106</v>
      </c>
    </row>
  </sheetData>
  <phoneticPr fontId="32" type="noConversion"/>
  <conditionalFormatting sqref="A6:N15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5"/>
  <sheetViews>
    <sheetView topLeftCell="A43" zoomScaleNormal="100" workbookViewId="0">
      <selection activeCell="A73" sqref="A73:H75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468</v>
      </c>
    </row>
    <row r="2" spans="1:8" ht="30" customHeight="1">
      <c r="A2" s="114" t="s">
        <v>469</v>
      </c>
      <c r="B2" s="113"/>
      <c r="C2" s="113"/>
      <c r="D2" s="113"/>
      <c r="E2" s="113"/>
      <c r="F2" s="113"/>
      <c r="G2" s="113"/>
      <c r="H2" s="113"/>
    </row>
    <row r="3" spans="1:8">
      <c r="A3" t="s">
        <v>470</v>
      </c>
      <c r="F3">
        <f ca="1">COUNTIF($E$7:$E$80,"?")</f>
        <v>0</v>
      </c>
    </row>
    <row r="4" spans="1:8" ht="39.75" customHeight="1">
      <c r="A4" s="112" t="s">
        <v>471</v>
      </c>
      <c r="B4" s="113"/>
      <c r="C4" s="113"/>
      <c r="D4" s="113"/>
      <c r="E4" s="113"/>
      <c r="F4" s="113"/>
      <c r="G4" s="113"/>
      <c r="H4" s="113"/>
    </row>
    <row r="6" spans="1:8" ht="15" customHeight="1">
      <c r="A6" s="44" t="s">
        <v>472</v>
      </c>
      <c r="B6" s="44" t="s">
        <v>473</v>
      </c>
      <c r="C6" s="44" t="s">
        <v>474</v>
      </c>
      <c r="D6" s="44" t="s">
        <v>475</v>
      </c>
      <c r="E6" s="44" t="s">
        <v>476</v>
      </c>
      <c r="F6" s="44" t="s">
        <v>477</v>
      </c>
      <c r="G6" s="44" t="s">
        <v>478</v>
      </c>
      <c r="H6" s="44" t="s">
        <v>479</v>
      </c>
    </row>
    <row r="7" spans="1:8" ht="15" customHeight="1">
      <c r="A7" s="45" t="s">
        <v>480</v>
      </c>
      <c r="B7" s="45" t="s">
        <v>237</v>
      </c>
      <c r="C7" s="45" t="s">
        <v>44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481</v>
      </c>
      <c r="H7" s="50" t="s">
        <v>482</v>
      </c>
    </row>
    <row r="8" spans="1:8" ht="15" customHeight="1">
      <c r="A8" s="45" t="s">
        <v>480</v>
      </c>
      <c r="B8" s="45" t="s">
        <v>243</v>
      </c>
      <c r="C8" s="45" t="s">
        <v>44</v>
      </c>
      <c r="D8" s="46">
        <v>0.2</v>
      </c>
      <c r="E8" s="47">
        <f t="shared" ca="1" si="0"/>
        <v>2</v>
      </c>
      <c r="F8" s="48">
        <f t="shared" ca="1" si="1"/>
        <v>0.4</v>
      </c>
      <c r="G8" s="49" t="s">
        <v>481</v>
      </c>
      <c r="H8" s="50" t="s">
        <v>483</v>
      </c>
    </row>
    <row r="9" spans="1:8" ht="15" customHeight="1">
      <c r="A9" s="45" t="s">
        <v>484</v>
      </c>
      <c r="B9" s="45" t="s">
        <v>386</v>
      </c>
      <c r="C9" s="45" t="s">
        <v>44</v>
      </c>
      <c r="D9" s="46">
        <v>0.2</v>
      </c>
      <c r="E9" s="47">
        <f t="shared" ca="1" si="0"/>
        <v>5</v>
      </c>
      <c r="F9" s="48">
        <f t="shared" ca="1" si="1"/>
        <v>1</v>
      </c>
      <c r="G9" s="49" t="s">
        <v>481</v>
      </c>
      <c r="H9" s="50" t="s">
        <v>485</v>
      </c>
    </row>
    <row r="10" spans="1:8" ht="15" customHeight="1">
      <c r="A10" s="45" t="s">
        <v>484</v>
      </c>
      <c r="B10" s="45" t="s">
        <v>390</v>
      </c>
      <c r="C10" s="45" t="s">
        <v>44</v>
      </c>
      <c r="D10" s="46">
        <v>0.33</v>
      </c>
      <c r="E10" s="47">
        <f t="shared" ca="1" si="0"/>
        <v>3</v>
      </c>
      <c r="F10" s="48">
        <f t="shared" ca="1" si="1"/>
        <v>0.99</v>
      </c>
      <c r="G10" s="49" t="s">
        <v>481</v>
      </c>
      <c r="H10" s="50" t="s">
        <v>486</v>
      </c>
    </row>
    <row r="11" spans="1:8" ht="15" customHeight="1">
      <c r="A11" s="45" t="s">
        <v>487</v>
      </c>
      <c r="B11" s="45" t="s">
        <v>288</v>
      </c>
      <c r="C11" s="45" t="s">
        <v>39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481</v>
      </c>
      <c r="H11" s="50" t="s">
        <v>488</v>
      </c>
    </row>
    <row r="12" spans="1:8" ht="15" customHeight="1">
      <c r="A12" s="45" t="s">
        <v>487</v>
      </c>
      <c r="B12" s="45" t="s">
        <v>295</v>
      </c>
      <c r="C12" s="45" t="s">
        <v>39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481</v>
      </c>
      <c r="H12" s="50" t="s">
        <v>489</v>
      </c>
    </row>
    <row r="13" spans="1:8" ht="15" customHeight="1">
      <c r="A13" s="45" t="s">
        <v>490</v>
      </c>
      <c r="B13" s="45" t="s">
        <v>412</v>
      </c>
      <c r="C13" s="45" t="s">
        <v>39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481</v>
      </c>
      <c r="H13" s="50" t="s">
        <v>491</v>
      </c>
    </row>
    <row r="14" spans="1:8" ht="15" customHeight="1">
      <c r="A14" s="45" t="s">
        <v>490</v>
      </c>
      <c r="B14" s="45" t="s">
        <v>424</v>
      </c>
      <c r="C14" s="45" t="s">
        <v>39</v>
      </c>
      <c r="D14" s="46">
        <v>0.5</v>
      </c>
      <c r="E14" s="47">
        <f t="shared" ca="1" si="0"/>
        <v>3</v>
      </c>
      <c r="F14" s="48">
        <f t="shared" ca="1" si="1"/>
        <v>1.5</v>
      </c>
      <c r="G14" s="49" t="s">
        <v>481</v>
      </c>
      <c r="H14" s="50" t="s">
        <v>492</v>
      </c>
    </row>
    <row r="15" spans="1:8" ht="15" customHeight="1">
      <c r="A15" s="45" t="s">
        <v>1078</v>
      </c>
      <c r="B15" s="45" t="s">
        <v>299</v>
      </c>
      <c r="C15" s="45" t="s">
        <v>39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493</v>
      </c>
      <c r="H15" s="50" t="s">
        <v>494</v>
      </c>
    </row>
    <row r="16" spans="1:8" ht="15" customHeight="1">
      <c r="A16" s="45" t="s">
        <v>495</v>
      </c>
      <c r="B16" s="45" t="s">
        <v>43</v>
      </c>
      <c r="C16" s="45" t="s">
        <v>45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481</v>
      </c>
      <c r="H16" s="50" t="s">
        <v>496</v>
      </c>
    </row>
    <row r="17" spans="1:8" ht="15" customHeight="1">
      <c r="A17" s="45" t="s">
        <v>484</v>
      </c>
      <c r="B17" s="45" t="s">
        <v>397</v>
      </c>
      <c r="C17" s="45" t="s">
        <v>45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481</v>
      </c>
      <c r="H17" s="50" t="s">
        <v>497</v>
      </c>
    </row>
    <row r="18" spans="1:8" ht="15" customHeight="1">
      <c r="A18" s="45" t="s">
        <v>484</v>
      </c>
      <c r="B18" s="45" t="s">
        <v>400</v>
      </c>
      <c r="C18" s="45" t="s">
        <v>45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481</v>
      </c>
      <c r="H18" s="50" t="s">
        <v>498</v>
      </c>
    </row>
    <row r="19" spans="1:8" ht="15" customHeight="1">
      <c r="A19" s="45" t="s">
        <v>487</v>
      </c>
      <c r="B19" s="45" t="s">
        <v>288</v>
      </c>
      <c r="C19" s="45" t="s">
        <v>27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481</v>
      </c>
      <c r="H19" s="50" t="s">
        <v>499</v>
      </c>
    </row>
    <row r="20" spans="1:8" ht="15" customHeight="1">
      <c r="A20" s="45" t="s">
        <v>1078</v>
      </c>
      <c r="B20" s="45" t="s">
        <v>299</v>
      </c>
      <c r="C20" s="45" t="s">
        <v>27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493</v>
      </c>
      <c r="H20" s="50" t="s">
        <v>500</v>
      </c>
    </row>
    <row r="21" spans="1:8" ht="15" customHeight="1">
      <c r="A21" s="45" t="s">
        <v>490</v>
      </c>
      <c r="B21" s="45" t="s">
        <v>424</v>
      </c>
      <c r="C21" s="45" t="s">
        <v>27</v>
      </c>
      <c r="D21" s="46">
        <v>0.5</v>
      </c>
      <c r="E21" s="47">
        <f t="shared" ca="1" si="0"/>
        <v>3</v>
      </c>
      <c r="F21" s="48">
        <f t="shared" ca="1" si="1"/>
        <v>1.5</v>
      </c>
      <c r="G21" s="49" t="s">
        <v>481</v>
      </c>
      <c r="H21" s="50" t="s">
        <v>501</v>
      </c>
    </row>
    <row r="22" spans="1:8" ht="15" customHeight="1">
      <c r="A22" s="45" t="s">
        <v>490</v>
      </c>
      <c r="B22" s="45" t="s">
        <v>412</v>
      </c>
      <c r="C22" s="45" t="s">
        <v>18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481</v>
      </c>
      <c r="H22" s="50" t="s">
        <v>502</v>
      </c>
    </row>
    <row r="23" spans="1:8" ht="15" customHeight="1">
      <c r="A23" s="45" t="s">
        <v>490</v>
      </c>
      <c r="B23" s="45" t="s">
        <v>26</v>
      </c>
      <c r="C23" s="45" t="s">
        <v>18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493</v>
      </c>
      <c r="H23" s="50" t="s">
        <v>503</v>
      </c>
    </row>
    <row r="24" spans="1:8" ht="15" customHeight="1">
      <c r="A24" s="45" t="s">
        <v>495</v>
      </c>
      <c r="B24" s="45" t="s">
        <v>26</v>
      </c>
      <c r="C24" s="45" t="s">
        <v>18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493</v>
      </c>
      <c r="H24" s="50" t="s">
        <v>504</v>
      </c>
    </row>
    <row r="25" spans="1:8" ht="15" customHeight="1">
      <c r="A25" s="45" t="s">
        <v>480</v>
      </c>
      <c r="B25" s="45" t="s">
        <v>252</v>
      </c>
      <c r="C25" s="45" t="s">
        <v>23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481</v>
      </c>
      <c r="H25" s="50" t="s">
        <v>505</v>
      </c>
    </row>
    <row r="26" spans="1:8" ht="15" customHeight="1">
      <c r="A26" s="45" t="s">
        <v>495</v>
      </c>
      <c r="B26" s="45" t="s">
        <v>33</v>
      </c>
      <c r="C26" s="45" t="s">
        <v>23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493</v>
      </c>
      <c r="H26" s="50" t="s">
        <v>506</v>
      </c>
    </row>
    <row r="27" spans="1:8" ht="15" customHeight="1">
      <c r="A27" s="45" t="s">
        <v>490</v>
      </c>
      <c r="B27" s="45" t="s">
        <v>33</v>
      </c>
      <c r="C27" s="45" t="s">
        <v>23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481</v>
      </c>
      <c r="H27" s="51" t="s">
        <v>507</v>
      </c>
    </row>
    <row r="28" spans="1:8" ht="15" customHeight="1">
      <c r="A28" s="45" t="s">
        <v>484</v>
      </c>
      <c r="B28" s="45" t="s">
        <v>386</v>
      </c>
      <c r="C28" s="45" t="s">
        <v>238</v>
      </c>
      <c r="D28" s="46">
        <v>0.5</v>
      </c>
      <c r="E28" s="47">
        <f t="shared" ca="1" si="0"/>
        <v>5</v>
      </c>
      <c r="F28" s="48">
        <f t="shared" ca="1" si="1"/>
        <v>2.5</v>
      </c>
      <c r="G28" s="49" t="s">
        <v>481</v>
      </c>
      <c r="H28" s="50" t="s">
        <v>508</v>
      </c>
    </row>
    <row r="29" spans="1:8" ht="15" customHeight="1">
      <c r="A29" s="45" t="s">
        <v>484</v>
      </c>
      <c r="B29" s="45" t="s">
        <v>390</v>
      </c>
      <c r="C29" s="45" t="s">
        <v>246</v>
      </c>
      <c r="D29" s="46">
        <v>0.5</v>
      </c>
      <c r="E29" s="47">
        <f t="shared" ca="1" si="0"/>
        <v>3</v>
      </c>
      <c r="F29" s="48">
        <f t="shared" ca="1" si="1"/>
        <v>1.5</v>
      </c>
      <c r="G29" s="49" t="s">
        <v>481</v>
      </c>
      <c r="H29" s="50" t="s">
        <v>509</v>
      </c>
    </row>
    <row r="30" spans="1:8" ht="15" customHeight="1">
      <c r="A30" s="45" t="s">
        <v>484</v>
      </c>
      <c r="B30" s="45" t="s">
        <v>354</v>
      </c>
      <c r="C30" s="45" t="s">
        <v>246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481</v>
      </c>
      <c r="H30" s="50" t="s">
        <v>509</v>
      </c>
    </row>
    <row r="31" spans="1:8" ht="15" customHeight="1">
      <c r="A31" s="45" t="s">
        <v>510</v>
      </c>
      <c r="B31" s="45" t="s">
        <v>452</v>
      </c>
      <c r="C31" s="45" t="s">
        <v>332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481</v>
      </c>
      <c r="H31" s="50" t="s">
        <v>511</v>
      </c>
    </row>
    <row r="32" spans="1:8" ht="15" customHeight="1">
      <c r="A32" s="45" t="s">
        <v>510</v>
      </c>
      <c r="B32" s="45" t="s">
        <v>446</v>
      </c>
      <c r="C32" s="45" t="s">
        <v>332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481</v>
      </c>
      <c r="H32" s="50" t="s">
        <v>512</v>
      </c>
    </row>
    <row r="33" spans="1:8" ht="15" customHeight="1">
      <c r="A33" s="45" t="s">
        <v>480</v>
      </c>
      <c r="B33" s="45" t="s">
        <v>271</v>
      </c>
      <c r="C33" s="45" t="s">
        <v>332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481</v>
      </c>
      <c r="H33" s="50" t="s">
        <v>513</v>
      </c>
    </row>
    <row r="34" spans="1:8" ht="15" customHeight="1">
      <c r="A34" s="45" t="s">
        <v>514</v>
      </c>
      <c r="B34" s="45" t="s">
        <v>316</v>
      </c>
      <c r="C34" s="45" t="s">
        <v>323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481</v>
      </c>
      <c r="H34" s="50" t="s">
        <v>515</v>
      </c>
    </row>
    <row r="35" spans="1:8" ht="15" customHeight="1">
      <c r="A35" s="45" t="s">
        <v>514</v>
      </c>
      <c r="B35" s="45" t="s">
        <v>322</v>
      </c>
      <c r="C35" s="45" t="s">
        <v>323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481</v>
      </c>
      <c r="H35" s="50" t="s">
        <v>516</v>
      </c>
    </row>
    <row r="36" spans="1:8" ht="15" customHeight="1">
      <c r="A36" s="45" t="s">
        <v>510</v>
      </c>
      <c r="B36" s="45" t="s">
        <v>446</v>
      </c>
      <c r="C36" s="45" t="s">
        <v>323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481</v>
      </c>
      <c r="H36" s="50" t="s">
        <v>517</v>
      </c>
    </row>
    <row r="37" spans="1:8" ht="15" customHeight="1">
      <c r="A37" s="45" t="s">
        <v>510</v>
      </c>
      <c r="B37" s="45" t="s">
        <v>455</v>
      </c>
      <c r="C37" s="45" t="s">
        <v>323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481</v>
      </c>
      <c r="H37" s="50" t="s">
        <v>518</v>
      </c>
    </row>
    <row r="38" spans="1:8" ht="15" customHeight="1">
      <c r="A38" s="45" t="s">
        <v>480</v>
      </c>
      <c r="B38" s="45" t="s">
        <v>271</v>
      </c>
      <c r="C38" s="45" t="s">
        <v>323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481</v>
      </c>
      <c r="H38" s="50" t="s">
        <v>519</v>
      </c>
    </row>
    <row r="39" spans="1:8" ht="15" customHeight="1">
      <c r="A39" s="45" t="s">
        <v>514</v>
      </c>
      <c r="B39" s="45" t="s">
        <v>316</v>
      </c>
      <c r="C39" s="45" t="s">
        <v>272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481</v>
      </c>
      <c r="H39" s="50" t="s">
        <v>520</v>
      </c>
    </row>
    <row r="40" spans="1:8" ht="15" customHeight="1">
      <c r="A40" s="45" t="s">
        <v>484</v>
      </c>
      <c r="B40" s="45" t="s">
        <v>400</v>
      </c>
      <c r="C40" s="45" t="s">
        <v>272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481</v>
      </c>
      <c r="H40" s="50" t="s">
        <v>521</v>
      </c>
    </row>
    <row r="41" spans="1:8" ht="15" customHeight="1">
      <c r="A41" s="45" t="s">
        <v>510</v>
      </c>
      <c r="B41" s="45" t="s">
        <v>455</v>
      </c>
      <c r="C41" s="45" t="s">
        <v>272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481</v>
      </c>
      <c r="H41" s="51" t="s">
        <v>522</v>
      </c>
    </row>
    <row r="42" spans="1:8" ht="15" customHeight="1">
      <c r="A42" s="45" t="s">
        <v>514</v>
      </c>
      <c r="B42" s="45" t="s">
        <v>326</v>
      </c>
      <c r="C42" s="45" t="s">
        <v>317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481</v>
      </c>
      <c r="H42" s="50" t="s">
        <v>523</v>
      </c>
    </row>
    <row r="43" spans="1:8" ht="15" customHeight="1">
      <c r="A43" s="45" t="s">
        <v>514</v>
      </c>
      <c r="B43" s="45" t="s">
        <v>326</v>
      </c>
      <c r="C43" s="45" t="s">
        <v>60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481</v>
      </c>
      <c r="H43" s="50" t="s">
        <v>524</v>
      </c>
    </row>
    <row r="44" spans="1:8" ht="15" customHeight="1">
      <c r="A44" s="45" t="s">
        <v>510</v>
      </c>
      <c r="B44" s="45" t="s">
        <v>446</v>
      </c>
      <c r="C44" s="45" t="s">
        <v>238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493</v>
      </c>
      <c r="H44" s="50" t="s">
        <v>525</v>
      </c>
    </row>
    <row r="45" spans="1:8" ht="15" customHeight="1">
      <c r="A45" s="45" t="s">
        <v>514</v>
      </c>
      <c r="B45" s="45" t="s">
        <v>316</v>
      </c>
      <c r="C45" s="45" t="s">
        <v>336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493</v>
      </c>
      <c r="H45" s="50" t="s">
        <v>526</v>
      </c>
    </row>
    <row r="46" spans="1:8" ht="15" customHeight="1">
      <c r="A46" s="45" t="s">
        <v>514</v>
      </c>
      <c r="B46" s="45" t="s">
        <v>322</v>
      </c>
      <c r="C46" s="45" t="s">
        <v>336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493</v>
      </c>
      <c r="H46" s="50" t="s">
        <v>527</v>
      </c>
    </row>
    <row r="47" spans="1:8" ht="15" customHeight="1">
      <c r="A47" s="45" t="s">
        <v>514</v>
      </c>
      <c r="B47" s="45" t="s">
        <v>326</v>
      </c>
      <c r="C47" s="45" t="s">
        <v>336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493</v>
      </c>
      <c r="H47" s="50" t="s">
        <v>528</v>
      </c>
    </row>
    <row r="48" spans="1:8" ht="15" customHeight="1">
      <c r="A48" s="45" t="s">
        <v>487</v>
      </c>
      <c r="B48" s="45" t="s">
        <v>288</v>
      </c>
      <c r="C48" s="45" t="s">
        <v>300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493</v>
      </c>
      <c r="H48" s="50" t="s">
        <v>529</v>
      </c>
    </row>
    <row r="49" spans="1:8" ht="15" customHeight="1">
      <c r="A49" s="45" t="s">
        <v>490</v>
      </c>
      <c r="B49" s="45" t="s">
        <v>424</v>
      </c>
      <c r="C49" s="45" t="s">
        <v>289</v>
      </c>
      <c r="D49" s="46">
        <v>0</v>
      </c>
      <c r="E49" s="47">
        <f t="shared" ca="1" si="2"/>
        <v>3</v>
      </c>
      <c r="F49" s="48">
        <f t="shared" ca="1" si="3"/>
        <v>0</v>
      </c>
      <c r="G49" s="52" t="s">
        <v>493</v>
      </c>
      <c r="H49" s="50" t="s">
        <v>530</v>
      </c>
    </row>
    <row r="50" spans="1:8" ht="15" customHeight="1">
      <c r="A50" s="45" t="s">
        <v>484</v>
      </c>
      <c r="B50" s="45" t="s">
        <v>386</v>
      </c>
      <c r="C50" s="45" t="s">
        <v>351</v>
      </c>
      <c r="D50" s="46">
        <v>0</v>
      </c>
      <c r="E50" s="47">
        <f t="shared" ca="1" si="2"/>
        <v>5</v>
      </c>
      <c r="F50" s="48">
        <f t="shared" ca="1" si="3"/>
        <v>0</v>
      </c>
      <c r="G50" s="52" t="s">
        <v>493</v>
      </c>
      <c r="H50" s="50" t="s">
        <v>531</v>
      </c>
    </row>
    <row r="51" spans="1:8" ht="15" customHeight="1">
      <c r="A51" s="45" t="s">
        <v>490</v>
      </c>
      <c r="B51" s="45" t="s">
        <v>412</v>
      </c>
      <c r="C51" s="45" t="s">
        <v>351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493</v>
      </c>
      <c r="H51" s="50" t="s">
        <v>532</v>
      </c>
    </row>
    <row r="52" spans="1:8" ht="15" customHeight="1">
      <c r="A52" s="45" t="s">
        <v>510</v>
      </c>
      <c r="B52" s="45" t="s">
        <v>446</v>
      </c>
      <c r="C52" s="45" t="s">
        <v>351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493</v>
      </c>
      <c r="H52" s="50" t="s">
        <v>533</v>
      </c>
    </row>
    <row r="53" spans="1:8" ht="15" customHeight="1">
      <c r="A53" s="45" t="s">
        <v>480</v>
      </c>
      <c r="B53" s="45" t="s">
        <v>237</v>
      </c>
      <c r="C53" s="45" t="s">
        <v>34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493</v>
      </c>
      <c r="H53" s="50" t="s">
        <v>534</v>
      </c>
    </row>
    <row r="54" spans="1:8" ht="15" customHeight="1">
      <c r="A54" s="45" t="s">
        <v>484</v>
      </c>
      <c r="B54" s="45" t="s">
        <v>386</v>
      </c>
      <c r="C54" s="45" t="s">
        <v>34</v>
      </c>
      <c r="D54" s="46">
        <v>0.2</v>
      </c>
      <c r="E54" s="47">
        <f t="shared" ca="1" si="2"/>
        <v>5</v>
      </c>
      <c r="F54" s="48">
        <f t="shared" ca="1" si="3"/>
        <v>1</v>
      </c>
      <c r="G54" s="52" t="s">
        <v>493</v>
      </c>
      <c r="H54" s="50" t="s">
        <v>535</v>
      </c>
    </row>
    <row r="55" spans="1:8" ht="15" customHeight="1">
      <c r="A55" s="45" t="s">
        <v>487</v>
      </c>
      <c r="B55" s="45" t="s">
        <v>311</v>
      </c>
      <c r="C55" s="45" t="s">
        <v>246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493</v>
      </c>
      <c r="H55" s="50" t="s">
        <v>536</v>
      </c>
    </row>
    <row r="56" spans="1:8" ht="15" customHeight="1">
      <c r="A56" s="45" t="s">
        <v>510</v>
      </c>
      <c r="B56" s="45" t="s">
        <v>322</v>
      </c>
      <c r="C56" s="45" t="s">
        <v>323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481</v>
      </c>
      <c r="H56" s="50" t="s">
        <v>537</v>
      </c>
    </row>
    <row r="57" spans="1:8" ht="15" customHeight="1">
      <c r="A57" s="45" t="s">
        <v>510</v>
      </c>
      <c r="B57" s="45" t="s">
        <v>322</v>
      </c>
      <c r="C57" s="45" t="s">
        <v>336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493</v>
      </c>
      <c r="H57" s="50" t="s">
        <v>538</v>
      </c>
    </row>
    <row r="58" spans="1:8" ht="15" customHeight="1">
      <c r="A58" s="45" t="s">
        <v>490</v>
      </c>
      <c r="B58" s="45" t="s">
        <v>26</v>
      </c>
      <c r="C58" s="45" t="s">
        <v>39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493</v>
      </c>
      <c r="H58" s="50" t="s">
        <v>539</v>
      </c>
    </row>
    <row r="59" spans="1:8" ht="15" customHeight="1">
      <c r="A59" s="45" t="s">
        <v>495</v>
      </c>
      <c r="B59" s="45" t="s">
        <v>26</v>
      </c>
      <c r="C59" s="45" t="s">
        <v>39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493</v>
      </c>
      <c r="H59" s="50" t="s">
        <v>540</v>
      </c>
    </row>
    <row r="60" spans="1:8" ht="15" customHeight="1">
      <c r="A60" s="45" t="s">
        <v>490</v>
      </c>
      <c r="B60" s="45" t="s">
        <v>421</v>
      </c>
      <c r="C60" s="45" t="s">
        <v>39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493</v>
      </c>
      <c r="H60" s="50" t="s">
        <v>541</v>
      </c>
    </row>
    <row r="61" spans="1:8" ht="15" customHeight="1">
      <c r="A61" s="45" t="s">
        <v>487</v>
      </c>
      <c r="B61" s="45" t="s">
        <v>295</v>
      </c>
      <c r="C61" s="45" t="s">
        <v>27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493</v>
      </c>
      <c r="H61" s="50" t="s">
        <v>542</v>
      </c>
    </row>
    <row r="62" spans="1:8" ht="15" customHeight="1">
      <c r="A62" s="45" t="s">
        <v>490</v>
      </c>
      <c r="B62" s="45" t="s">
        <v>421</v>
      </c>
      <c r="C62" s="45" t="s">
        <v>27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493</v>
      </c>
      <c r="H62" s="50" t="s">
        <v>543</v>
      </c>
    </row>
    <row r="63" spans="1:8" ht="15" customHeight="1">
      <c r="A63" s="45" t="s">
        <v>1097</v>
      </c>
      <c r="B63" s="45" t="s">
        <v>51</v>
      </c>
      <c r="C63" s="45" t="s">
        <v>44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493</v>
      </c>
      <c r="H63" s="50" t="s">
        <v>544</v>
      </c>
    </row>
    <row r="64" spans="1:8" ht="15" customHeight="1">
      <c r="A64" s="45" t="s">
        <v>545</v>
      </c>
      <c r="B64" s="45" t="s">
        <v>354</v>
      </c>
      <c r="C64" s="45" t="s">
        <v>246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493</v>
      </c>
      <c r="H64" s="50" t="s">
        <v>546</v>
      </c>
    </row>
    <row r="65" spans="1:8" ht="15" customHeight="1">
      <c r="A65" s="45" t="s">
        <v>545</v>
      </c>
      <c r="B65" s="45" t="s">
        <v>350</v>
      </c>
      <c r="C65" s="45" t="s">
        <v>351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493</v>
      </c>
      <c r="H65" s="50" t="s">
        <v>547</v>
      </c>
    </row>
    <row r="66" spans="1:8" ht="15" customHeight="1">
      <c r="A66" s="45" t="s">
        <v>545</v>
      </c>
      <c r="B66" s="45" t="s">
        <v>358</v>
      </c>
      <c r="C66" s="45" t="s">
        <v>246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493</v>
      </c>
      <c r="H66" s="50" t="s">
        <v>548</v>
      </c>
    </row>
    <row r="67" spans="1:8" ht="15" customHeight="1">
      <c r="A67" s="45" t="s">
        <v>545</v>
      </c>
      <c r="B67" s="45" t="s">
        <v>256</v>
      </c>
      <c r="C67" s="45" t="s">
        <v>45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493</v>
      </c>
      <c r="H67" s="50" t="s">
        <v>549</v>
      </c>
    </row>
    <row r="68" spans="1:8" ht="15" customHeight="1">
      <c r="A68" s="45" t="s">
        <v>510</v>
      </c>
      <c r="B68" s="45" t="s">
        <v>450</v>
      </c>
      <c r="C68" s="45" t="s">
        <v>332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481</v>
      </c>
      <c r="H68" s="50" t="s">
        <v>550</v>
      </c>
    </row>
    <row r="69" spans="1:8">
      <c r="A69" s="45" t="s">
        <v>510</v>
      </c>
      <c r="B69" s="45" t="s">
        <v>450</v>
      </c>
      <c r="C69" s="45" t="s">
        <v>323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481</v>
      </c>
      <c r="H69" s="50" t="s">
        <v>551</v>
      </c>
    </row>
    <row r="70" spans="1:8">
      <c r="A70" s="45" t="s">
        <v>510</v>
      </c>
      <c r="B70" s="45" t="s">
        <v>450</v>
      </c>
      <c r="C70" s="45" t="s">
        <v>351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493</v>
      </c>
      <c r="H70" s="50" t="s">
        <v>552</v>
      </c>
    </row>
    <row r="71" spans="1:8">
      <c r="A71" t="s">
        <v>480</v>
      </c>
      <c r="B71" t="s">
        <v>245</v>
      </c>
      <c r="C71" t="s">
        <v>238</v>
      </c>
      <c r="D71">
        <v>0.5</v>
      </c>
      <c r="E71">
        <f t="shared" ca="1" si="2"/>
        <v>4</v>
      </c>
      <c r="F71">
        <f t="shared" ref="F71:F72" ca="1" si="4">IF(ISNUMBER(E71),$D71*E71,0)</f>
        <v>2</v>
      </c>
      <c r="G71" t="s">
        <v>493</v>
      </c>
      <c r="H71" t="s">
        <v>553</v>
      </c>
    </row>
    <row r="72" spans="1:8">
      <c r="A72" t="s">
        <v>480</v>
      </c>
      <c r="B72" t="s">
        <v>245</v>
      </c>
      <c r="C72" t="s">
        <v>44</v>
      </c>
      <c r="D72">
        <v>0.2</v>
      </c>
      <c r="E72">
        <f t="shared" ca="1" si="2"/>
        <v>4</v>
      </c>
      <c r="F72">
        <f t="shared" ca="1" si="4"/>
        <v>0.8</v>
      </c>
      <c r="G72" t="s">
        <v>493</v>
      </c>
      <c r="H72" t="s">
        <v>554</v>
      </c>
    </row>
    <row r="73" spans="1:8">
      <c r="A73" t="s">
        <v>480</v>
      </c>
      <c r="B73" t="s">
        <v>1119</v>
      </c>
      <c r="C73" t="s">
        <v>44</v>
      </c>
      <c r="D73">
        <v>0.33</v>
      </c>
      <c r="E73">
        <f ca="1">IFERROR(INDEX(INDIRECT("'"&amp;$A73&amp;"'!$E$1:$E$45"),MATCH($B73,INDIRECT("'"&amp;$A73&amp;"'!$B$1:$B$45"),0)),"?")</f>
        <v>2</v>
      </c>
      <c r="F73">
        <f ca="1">IF(ISNUMBER(E73),$D73*E73,0)</f>
        <v>0.66</v>
      </c>
      <c r="G73" t="s">
        <v>481</v>
      </c>
      <c r="H73" t="s">
        <v>1130</v>
      </c>
    </row>
    <row r="74" spans="1:8">
      <c r="A74" t="s">
        <v>484</v>
      </c>
      <c r="B74" t="s">
        <v>1125</v>
      </c>
      <c r="C74" t="s">
        <v>44</v>
      </c>
      <c r="D74">
        <v>0.33</v>
      </c>
      <c r="E74">
        <f ca="1">IFERROR(INDEX(INDIRECT("'"&amp;$A74&amp;"'!$E$1:$E$45"),MATCH($B74,INDIRECT("'"&amp;$A74&amp;"'!$B$1:$B$45"),0)),"?")</f>
        <v>2</v>
      </c>
      <c r="F74">
        <f ca="1">IF(ISNUMBER(E74),$D74*E74,0)</f>
        <v>0.66</v>
      </c>
      <c r="G74" t="s">
        <v>481</v>
      </c>
      <c r="H74" t="s">
        <v>1131</v>
      </c>
    </row>
    <row r="75" spans="1:8">
      <c r="A75" t="s">
        <v>484</v>
      </c>
      <c r="B75" t="s">
        <v>1125</v>
      </c>
      <c r="C75" t="s">
        <v>246</v>
      </c>
      <c r="D75">
        <v>0.5</v>
      </c>
      <c r="E75">
        <f ca="1">IFERROR(INDEX(INDIRECT("'"&amp;$A75&amp;"'!$E$1:$E$45"),MATCH($B75,INDIRECT("'"&amp;$A75&amp;"'!$B$1:$B$45"),0)),"?")</f>
        <v>2</v>
      </c>
      <c r="F75">
        <f ca="1">IF(ISNUMBER(E75),$D75*E75,0)</f>
        <v>1</v>
      </c>
      <c r="G75" t="s">
        <v>481</v>
      </c>
      <c r="H75" t="s">
        <v>1132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8"/>
  <sheetViews>
    <sheetView zoomScaleNormal="100" workbookViewId="0">
      <selection activeCell="F30" sqref="F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555</v>
      </c>
      <c r="G1" s="93" t="s">
        <v>556</v>
      </c>
    </row>
    <row r="2" spans="1:12" ht="15" customHeight="1">
      <c r="A2" s="2" t="s">
        <v>557</v>
      </c>
      <c r="G2" s="94" t="s">
        <v>558</v>
      </c>
      <c r="H2" s="95">
        <v>10</v>
      </c>
      <c r="I2" s="94" t="s">
        <v>559</v>
      </c>
      <c r="J2" s="95">
        <v>244</v>
      </c>
      <c r="K2" s="94" t="s">
        <v>560</v>
      </c>
      <c r="L2" s="96">
        <f>B25</f>
        <v>241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561</v>
      </c>
      <c r="H3" s="98">
        <f>$J$2-$L$2</f>
        <v>3</v>
      </c>
      <c r="I3" s="94" t="s">
        <v>562</v>
      </c>
      <c r="J3" s="98">
        <f>ROUND($L$2*7/$H$2,1)</f>
        <v>168.7</v>
      </c>
      <c r="K3" s="94" t="s">
        <v>563</v>
      </c>
      <c r="L3" s="98" t="str">
        <f>IF($H$3&lt;0,"INVALID","VALID")</f>
        <v>VALID</v>
      </c>
    </row>
    <row r="4" spans="1:12" ht="15" customHeight="1">
      <c r="A4" s="5" t="s">
        <v>5</v>
      </c>
      <c r="B4" s="5" t="s">
        <v>564</v>
      </c>
      <c r="C4" s="5" t="s">
        <v>565</v>
      </c>
      <c r="D4" s="5" t="s">
        <v>566</v>
      </c>
      <c r="E4" s="5" t="s">
        <v>567</v>
      </c>
      <c r="F4" s="5" t="s">
        <v>568</v>
      </c>
      <c r="J4" s="99" t="str">
        <f>"주당 환산 (×7/"&amp;$H$2&amp;")"</f>
        <v>주당 환산 (×7/10)</v>
      </c>
    </row>
    <row r="5" spans="1:12" ht="15" customHeight="1">
      <c r="A5" s="53" t="s">
        <v>300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569</v>
      </c>
      <c r="G5" s="115" t="s">
        <v>570</v>
      </c>
      <c r="H5" s="56">
        <f ca="1">SUM(D5:D6)</f>
        <v>31</v>
      </c>
      <c r="I5" t="str">
        <f ca="1">IF(H5*7/$H$2&gt;20,"주당 환산 천장(20) 초과 — 2·4·7·9일차 예외 허용 · 세트 질 관찰","")</f>
        <v>주당 환산 천장(20) 초과 — 2·4·7·9일차 예외 허용 · 세트 질 관찰</v>
      </c>
      <c r="J5" s="55">
        <f t="shared" ref="J5:J25" ca="1" si="2">ROUND(D5*7/$H$2,1)</f>
        <v>9.1</v>
      </c>
      <c r="L5" s="55">
        <f t="shared" ref="L5:L25" si="3">ROUND(B5*7/$H$2,1)</f>
        <v>9.1</v>
      </c>
    </row>
    <row r="6" spans="1:12" ht="15" customHeight="1">
      <c r="A6" s="53" t="s">
        <v>289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571</v>
      </c>
      <c r="G6" s="116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238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13</v>
      </c>
      <c r="C7" s="54">
        <f ca="1">MROUND(SUMIFS(간접계수맵!$F$7:$F$80,간접계수맵!$C$7:$C$80,$A7),0.5)</f>
        <v>4.5</v>
      </c>
      <c r="D7" s="55">
        <f t="shared" ca="1" si="0"/>
        <v>17.5</v>
      </c>
      <c r="E7" s="7" t="str">
        <f t="shared" ca="1" si="1"/>
        <v>성장</v>
      </c>
      <c r="F7" s="53" t="s">
        <v>572</v>
      </c>
      <c r="G7" s="115" t="s">
        <v>573</v>
      </c>
      <c r="H7" s="56">
        <f ca="1">SUM(D7:D10)</f>
        <v>59</v>
      </c>
      <c r="J7" s="55">
        <f t="shared" ca="1" si="2"/>
        <v>12.3</v>
      </c>
      <c r="L7" s="55">
        <f t="shared" si="3"/>
        <v>9.1</v>
      </c>
    </row>
    <row r="8" spans="1:12" ht="15" customHeight="1">
      <c r="A8" s="53" t="s">
        <v>351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574</v>
      </c>
      <c r="G8" s="116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34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2</v>
      </c>
      <c r="D9" s="55">
        <f t="shared" ca="1" si="0"/>
        <v>14</v>
      </c>
      <c r="E9" s="7" t="str">
        <f t="shared" ca="1" si="1"/>
        <v>유지</v>
      </c>
      <c r="F9" s="53" t="s">
        <v>575</v>
      </c>
      <c r="G9" s="116"/>
      <c r="J9" s="55">
        <f t="shared" ca="1" si="2"/>
        <v>9.8000000000000007</v>
      </c>
      <c r="L9" s="55">
        <f t="shared" si="3"/>
        <v>8.4</v>
      </c>
    </row>
    <row r="10" spans="1:12" ht="15" customHeight="1">
      <c r="A10" s="53" t="s">
        <v>246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16</v>
      </c>
      <c r="C10" s="54">
        <f ca="1">MROUND(SUMIFS(간접계수맵!$F$7:$F$80,간접계수맵!$C$7:$C$80,$A10),0.5)</f>
        <v>6</v>
      </c>
      <c r="D10" s="55">
        <f t="shared" ca="1" si="0"/>
        <v>22</v>
      </c>
      <c r="E10" s="7" t="str">
        <f t="shared" ca="1" si="1"/>
        <v>성장</v>
      </c>
      <c r="F10" s="53" t="s">
        <v>576</v>
      </c>
      <c r="G10" s="116"/>
      <c r="J10" s="55">
        <f t="shared" ca="1" si="2"/>
        <v>15.4</v>
      </c>
      <c r="L10" s="55">
        <f t="shared" si="3"/>
        <v>11.2</v>
      </c>
    </row>
    <row r="11" spans="1:12" ht="15" customHeight="1">
      <c r="A11" s="53" t="s">
        <v>272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577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27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6.5</v>
      </c>
      <c r="D12" s="55">
        <f t="shared" ca="1" si="0"/>
        <v>15.5</v>
      </c>
      <c r="E12" s="7" t="str">
        <f t="shared" ca="1" si="1"/>
        <v>성장</v>
      </c>
      <c r="F12" s="53" t="s">
        <v>578</v>
      </c>
      <c r="G12" s="57"/>
      <c r="J12" s="55">
        <f t="shared" ca="1" si="2"/>
        <v>10.9</v>
      </c>
      <c r="L12" s="55">
        <f t="shared" si="3"/>
        <v>6.3</v>
      </c>
    </row>
    <row r="13" spans="1:12" ht="15" customHeight="1">
      <c r="A13" s="53" t="s">
        <v>18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579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23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580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317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326</v>
      </c>
      <c r="G15" s="58" t="s">
        <v>581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332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582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323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583</v>
      </c>
      <c r="G17" s="115" t="s">
        <v>323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60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584</v>
      </c>
      <c r="G18" s="116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56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585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44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7.5</v>
      </c>
      <c r="D20" s="55">
        <f t="shared" ca="1" si="0"/>
        <v>18.5</v>
      </c>
      <c r="E20" s="7" t="str">
        <f t="shared" ca="1" si="1"/>
        <v>성장</v>
      </c>
      <c r="F20" s="53" t="s">
        <v>1133</v>
      </c>
      <c r="G20" s="57"/>
      <c r="J20" s="55">
        <f t="shared" ca="1" si="2"/>
        <v>13</v>
      </c>
      <c r="L20" s="55">
        <f t="shared" si="3"/>
        <v>7.7</v>
      </c>
    </row>
    <row r="21" spans="1:12" ht="15" customHeight="1">
      <c r="A21" s="53" t="s">
        <v>39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12</v>
      </c>
      <c r="D21" s="55">
        <f t="shared" ca="1" si="0"/>
        <v>20</v>
      </c>
      <c r="E21" s="7" t="str">
        <f t="shared" ca="1" si="1"/>
        <v>성장</v>
      </c>
      <c r="F21" s="53" t="s">
        <v>586</v>
      </c>
      <c r="G21" s="57"/>
      <c r="J21" s="55">
        <f t="shared" ca="1" si="2"/>
        <v>14</v>
      </c>
      <c r="L21" s="55">
        <f t="shared" si="3"/>
        <v>5.6</v>
      </c>
    </row>
    <row r="22" spans="1:12" ht="16.5" customHeight="1">
      <c r="A22" s="53" t="s">
        <v>45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587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261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588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336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589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590</v>
      </c>
      <c r="B25" s="15">
        <f>SUM(B5:B24)</f>
        <v>241</v>
      </c>
      <c r="C25" s="61"/>
      <c r="D25" s="62">
        <f ca="1">SUM(D5:D24)</f>
        <v>313</v>
      </c>
      <c r="E25" s="61"/>
      <c r="F25" s="61"/>
      <c r="J25" s="62">
        <f t="shared" ca="1" si="2"/>
        <v>219.1</v>
      </c>
      <c r="L25" s="62">
        <f t="shared" si="3"/>
        <v>168.7</v>
      </c>
    </row>
    <row r="26" spans="1:12" ht="15" customHeight="1">
      <c r="A26" s="13" t="s">
        <v>591</v>
      </c>
    </row>
    <row r="27" spans="1:12" ht="16.5" customHeight="1">
      <c r="A27" s="11" t="s">
        <v>592</v>
      </c>
    </row>
    <row r="28" spans="1:12" ht="36" customHeight="1">
      <c r="A28" s="11" t="s">
        <v>593</v>
      </c>
    </row>
    <row r="29" spans="1:12" ht="48" customHeight="1">
      <c r="A29" s="11" t="s">
        <v>594</v>
      </c>
    </row>
    <row r="30" spans="1:12" ht="48" customHeight="1">
      <c r="A30" s="63"/>
    </row>
    <row r="31" spans="1:12" ht="15" customHeight="1">
      <c r="A31" s="13" t="s">
        <v>595</v>
      </c>
    </row>
    <row r="32" spans="1:12" ht="16.5" customHeight="1">
      <c r="A32" s="11" t="s">
        <v>596</v>
      </c>
    </row>
    <row r="33" spans="1:1" ht="48" customHeight="1">
      <c r="A33" s="11" t="s">
        <v>597</v>
      </c>
    </row>
    <row r="34" spans="1:1" ht="48" customHeight="1">
      <c r="A34" s="11" t="s">
        <v>598</v>
      </c>
    </row>
    <row r="35" spans="1:1" ht="15" customHeight="1">
      <c r="A35" s="63"/>
    </row>
    <row r="36" spans="1:1" ht="48" customHeight="1">
      <c r="A36" s="13" t="s">
        <v>599</v>
      </c>
    </row>
    <row r="37" spans="1:1" ht="77.25" customHeight="1">
      <c r="A37" s="11" t="s">
        <v>600</v>
      </c>
    </row>
    <row r="38" spans="1:1" ht="48" customHeight="1">
      <c r="A38" s="11" t="s">
        <v>601</v>
      </c>
    </row>
    <row r="39" spans="1:1" ht="39" customHeight="1">
      <c r="A39" s="63" t="s">
        <v>602</v>
      </c>
    </row>
    <row r="40" spans="1:1" ht="45" customHeight="1">
      <c r="A40" s="11" t="s">
        <v>603</v>
      </c>
    </row>
    <row r="41" spans="1:1" ht="48" customHeight="1">
      <c r="A41" s="11" t="s">
        <v>604</v>
      </c>
    </row>
    <row r="42" spans="1:1" ht="48" customHeight="1">
      <c r="A42" s="11" t="s">
        <v>605</v>
      </c>
    </row>
    <row r="43" spans="1:1" ht="48" customHeight="1">
      <c r="A43" s="11" t="s">
        <v>606</v>
      </c>
    </row>
    <row r="44" spans="1:1" ht="48" customHeight="1">
      <c r="A44" s="90" t="s">
        <v>607</v>
      </c>
    </row>
    <row r="45" spans="1:1" ht="51.75" customHeight="1">
      <c r="A45" t="s">
        <v>608</v>
      </c>
    </row>
    <row r="46" spans="1:1" ht="90" customHeight="1">
      <c r="A46" s="11" t="s">
        <v>609</v>
      </c>
    </row>
    <row r="47" spans="1:1" ht="51.75" customHeight="1">
      <c r="A47" s="11" t="s">
        <v>610</v>
      </c>
    </row>
    <row r="48" spans="1:1" ht="48" customHeight="1">
      <c r="A48" s="11" t="s">
        <v>611</v>
      </c>
    </row>
    <row r="49" spans="1:5" ht="48" customHeight="1">
      <c r="A49" s="11" t="s">
        <v>612</v>
      </c>
    </row>
    <row r="50" spans="1:5" ht="48" customHeight="1">
      <c r="A50" s="11" t="s">
        <v>613</v>
      </c>
    </row>
    <row r="51" spans="1:5">
      <c r="A51" t="s">
        <v>614</v>
      </c>
    </row>
    <row r="52" spans="1:5">
      <c r="A52" t="s">
        <v>615</v>
      </c>
    </row>
    <row r="53" spans="1:5">
      <c r="A53" t="s">
        <v>616</v>
      </c>
    </row>
    <row r="54" spans="1:5">
      <c r="A54" t="s">
        <v>617</v>
      </c>
    </row>
    <row r="55" spans="1:5">
      <c r="A55" t="s">
        <v>618</v>
      </c>
    </row>
    <row r="57" spans="1:5">
      <c r="A57" s="93" t="s">
        <v>619</v>
      </c>
    </row>
    <row r="58" spans="1:5">
      <c r="A58" s="100" t="s">
        <v>620</v>
      </c>
      <c r="B58" s="100" t="s">
        <v>621</v>
      </c>
      <c r="C58" s="100" t="s">
        <v>622</v>
      </c>
      <c r="D58" s="100" t="s">
        <v>623</v>
      </c>
      <c r="E58" s="100" t="s">
        <v>624</v>
      </c>
    </row>
    <row r="59" spans="1:5">
      <c r="A59" s="101">
        <v>46269</v>
      </c>
      <c r="B59" s="102" t="s">
        <v>150</v>
      </c>
      <c r="C59" s="102">
        <v>239</v>
      </c>
      <c r="D59" s="102" t="s">
        <v>625</v>
      </c>
      <c r="E59" s="102" t="s">
        <v>150</v>
      </c>
    </row>
    <row r="60" spans="1:5">
      <c r="A60" s="106">
        <v>46269</v>
      </c>
      <c r="B60" s="107">
        <v>239</v>
      </c>
      <c r="C60" s="107">
        <v>239</v>
      </c>
      <c r="D60" s="107" t="s">
        <v>626</v>
      </c>
      <c r="E60" s="107" t="s">
        <v>627</v>
      </c>
    </row>
    <row r="61" spans="1:5">
      <c r="A61" s="110">
        <v>46270</v>
      </c>
      <c r="B61" s="111">
        <v>239</v>
      </c>
      <c r="C61" s="111">
        <v>244</v>
      </c>
      <c r="D61" s="111" t="s">
        <v>628</v>
      </c>
      <c r="E61" s="111" t="s">
        <v>629</v>
      </c>
    </row>
    <row r="62" spans="1:5">
      <c r="A62" s="104" t="s">
        <v>630</v>
      </c>
    </row>
    <row r="63" spans="1:5">
      <c r="A63" t="s">
        <v>631</v>
      </c>
    </row>
    <row r="64" spans="1:5">
      <c r="A64" t="s">
        <v>632</v>
      </c>
    </row>
    <row r="65" spans="1:1">
      <c r="A65" t="s">
        <v>633</v>
      </c>
    </row>
    <row r="66" spans="1:1">
      <c r="A66" t="s">
        <v>634</v>
      </c>
    </row>
    <row r="67" spans="1:1">
      <c r="A67" t="s">
        <v>635</v>
      </c>
    </row>
    <row r="68" spans="1:1">
      <c r="A68" t="s">
        <v>636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637</v>
      </c>
    </row>
    <row r="2" spans="1:13" ht="15" customHeight="1">
      <c r="A2" s="2" t="s">
        <v>638</v>
      </c>
    </row>
    <row r="4" spans="1:13" ht="15" customHeight="1">
      <c r="A4" s="3" t="s">
        <v>639</v>
      </c>
    </row>
    <row r="5" spans="1:13" ht="15" customHeight="1">
      <c r="A5" s="64" t="s">
        <v>640</v>
      </c>
      <c r="C5" s="4">
        <v>5</v>
      </c>
      <c r="D5" s="63" t="s">
        <v>641</v>
      </c>
    </row>
    <row r="6" spans="1:13" ht="15" customHeight="1">
      <c r="A6" s="64" t="s">
        <v>642</v>
      </c>
      <c r="C6" s="4">
        <v>5</v>
      </c>
      <c r="D6" s="63" t="s">
        <v>643</v>
      </c>
    </row>
    <row r="7" spans="1:13" ht="15" customHeight="1">
      <c r="A7" s="64" t="s">
        <v>644</v>
      </c>
      <c r="C7" s="4">
        <v>2.25</v>
      </c>
      <c r="D7" s="63" t="s">
        <v>645</v>
      </c>
      <c r="H7">
        <f>SUM(D7:D10)</f>
        <v>0</v>
      </c>
    </row>
    <row r="8" spans="1:13" ht="84" customHeight="1">
      <c r="A8" s="64" t="s">
        <v>646</v>
      </c>
      <c r="C8" s="4">
        <v>1.25</v>
      </c>
      <c r="D8" s="63" t="s">
        <v>647</v>
      </c>
    </row>
    <row r="9" spans="1:13" ht="15" customHeight="1">
      <c r="A9" s="5" t="s">
        <v>128</v>
      </c>
      <c r="B9" s="5" t="s">
        <v>648</v>
      </c>
      <c r="C9" s="5" t="s">
        <v>649</v>
      </c>
      <c r="D9" s="5" t="s">
        <v>650</v>
      </c>
      <c r="E9" s="5" t="s">
        <v>651</v>
      </c>
      <c r="F9" s="5" t="s">
        <v>650</v>
      </c>
      <c r="G9" s="5" t="s">
        <v>652</v>
      </c>
      <c r="H9" s="5" t="s">
        <v>650</v>
      </c>
      <c r="I9" s="5" t="s">
        <v>653</v>
      </c>
      <c r="J9" s="5" t="s">
        <v>650</v>
      </c>
      <c r="K9" s="5" t="s">
        <v>13</v>
      </c>
      <c r="L9" s="100" t="s">
        <v>654</v>
      </c>
      <c r="M9" s="100" t="s">
        <v>655</v>
      </c>
    </row>
    <row r="10" spans="1:13" ht="15" customHeight="1">
      <c r="A10" s="8" t="s">
        <v>129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130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131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132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133</v>
      </c>
      <c r="B14" s="84">
        <v>46266</v>
      </c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 t="s">
        <v>1136</v>
      </c>
      <c r="L14" s="103"/>
      <c r="M14" s="103"/>
    </row>
    <row r="15" spans="1:13" ht="15" customHeight="1">
      <c r="A15" s="8" t="s">
        <v>134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135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136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137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138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139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140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656</v>
      </c>
    </row>
    <row r="24" spans="1:13" ht="84" customHeight="1">
      <c r="A24" s="11" t="s">
        <v>657</v>
      </c>
    </row>
    <row r="25" spans="1:13" ht="84" customHeight="1">
      <c r="A25" s="11" t="s">
        <v>658</v>
      </c>
    </row>
    <row r="26" spans="1:13" ht="120" customHeight="1">
      <c r="A26" s="11"/>
    </row>
    <row r="27" spans="1:13" ht="96" customHeight="1">
      <c r="A27" s="11" t="s">
        <v>659</v>
      </c>
    </row>
    <row r="28" spans="1:13" ht="108" customHeight="1">
      <c r="A28" s="11" t="s">
        <v>660</v>
      </c>
    </row>
    <row r="29" spans="1:13" ht="108" customHeight="1">
      <c r="A29" s="11" t="s">
        <v>661</v>
      </c>
    </row>
    <row r="30" spans="1:13" ht="156" customHeight="1">
      <c r="A30" s="11" t="s">
        <v>662</v>
      </c>
    </row>
    <row r="31" spans="1:13" ht="96" customHeight="1">
      <c r="A31" s="11" t="s">
        <v>663</v>
      </c>
    </row>
    <row r="32" spans="1:13">
      <c r="A32" t="s">
        <v>664</v>
      </c>
    </row>
    <row r="33" spans="1:1">
      <c r="A33" t="s">
        <v>665</v>
      </c>
    </row>
    <row r="34" spans="1:1">
      <c r="A34" t="s">
        <v>666</v>
      </c>
    </row>
    <row r="35" spans="1:1">
      <c r="A35" t="s">
        <v>667</v>
      </c>
    </row>
    <row r="36" spans="1:1">
      <c r="A36" t="s">
        <v>668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669</v>
      </c>
    </row>
    <row r="2" spans="1:3" ht="15" customHeight="1">
      <c r="A2" s="2" t="s">
        <v>670</v>
      </c>
    </row>
    <row r="4" spans="1:3" ht="15" customHeight="1">
      <c r="A4" s="5" t="s">
        <v>671</v>
      </c>
      <c r="B4" s="5" t="s">
        <v>672</v>
      </c>
      <c r="C4" s="5" t="s">
        <v>673</v>
      </c>
    </row>
    <row r="5" spans="1:3" ht="15" customHeight="1">
      <c r="A5" s="7" t="s">
        <v>573</v>
      </c>
      <c r="B5" s="7" t="s">
        <v>674</v>
      </c>
      <c r="C5" s="53" t="s">
        <v>675</v>
      </c>
    </row>
    <row r="6" spans="1:3" ht="15" customHeight="1">
      <c r="A6" s="7" t="s">
        <v>676</v>
      </c>
      <c r="B6" s="7" t="s">
        <v>674</v>
      </c>
      <c r="C6" s="53" t="s">
        <v>677</v>
      </c>
    </row>
    <row r="7" spans="1:3" ht="15" customHeight="1">
      <c r="A7" s="7" t="s">
        <v>272</v>
      </c>
      <c r="B7" s="7" t="s">
        <v>678</v>
      </c>
      <c r="C7" s="53" t="s">
        <v>679</v>
      </c>
    </row>
    <row r="8" spans="1:3" ht="15" customHeight="1">
      <c r="A8" s="67" t="s">
        <v>680</v>
      </c>
      <c r="B8" s="67" t="s">
        <v>681</v>
      </c>
      <c r="C8" s="68" t="s">
        <v>682</v>
      </c>
    </row>
    <row r="9" spans="1:3" ht="15" customHeight="1">
      <c r="A9" s="67" t="s">
        <v>683</v>
      </c>
      <c r="B9" s="67" t="s">
        <v>681</v>
      </c>
      <c r="C9" s="68" t="s">
        <v>684</v>
      </c>
    </row>
    <row r="10" spans="1:3" ht="15" customHeight="1">
      <c r="A10" s="7" t="s">
        <v>685</v>
      </c>
      <c r="B10" s="7" t="s">
        <v>686</v>
      </c>
      <c r="C10" s="69" t="s">
        <v>687</v>
      </c>
    </row>
    <row r="11" spans="1:3" ht="15" customHeight="1">
      <c r="A11" s="7" t="s">
        <v>688</v>
      </c>
      <c r="B11" s="8" t="s">
        <v>689</v>
      </c>
      <c r="C11" s="53" t="s">
        <v>690</v>
      </c>
    </row>
    <row r="12" spans="1:3" ht="15" customHeight="1">
      <c r="A12" s="7" t="s">
        <v>691</v>
      </c>
      <c r="B12" s="7" t="s">
        <v>692</v>
      </c>
      <c r="C12" s="53" t="s">
        <v>693</v>
      </c>
    </row>
    <row r="15" spans="1:3" ht="24" customHeight="1">
      <c r="A15" s="11" t="s">
        <v>694</v>
      </c>
    </row>
    <row r="16" spans="1:3" ht="24" customHeight="1">
      <c r="A16" s="11" t="s">
        <v>695</v>
      </c>
    </row>
    <row r="17" spans="1:1" ht="36" customHeight="1">
      <c r="A17" s="11" t="s">
        <v>696</v>
      </c>
    </row>
    <row r="18" spans="1:1" ht="15" customHeight="1">
      <c r="A18" s="63"/>
    </row>
    <row r="19" spans="1:1" ht="36" customHeight="1">
      <c r="A19" s="11" t="s">
        <v>697</v>
      </c>
    </row>
    <row r="20" spans="1:1" ht="36" customHeight="1">
      <c r="A20" s="11" t="s">
        <v>698</v>
      </c>
    </row>
    <row r="22" spans="1:1" ht="48" customHeight="1">
      <c r="A22" s="13" t="s">
        <v>699</v>
      </c>
    </row>
    <row r="24" spans="1:1" ht="16.5" customHeight="1">
      <c r="A24" s="14" t="s">
        <v>700</v>
      </c>
    </row>
    <row r="25" spans="1:1" ht="16.5" customHeight="1">
      <c r="A25" t="s">
        <v>701</v>
      </c>
    </row>
    <row r="26" spans="1:1" ht="16.5" customHeight="1">
      <c r="A26" t="s">
        <v>702</v>
      </c>
    </row>
    <row r="27" spans="1:1" ht="16.5" customHeight="1">
      <c r="A27" t="s">
        <v>703</v>
      </c>
    </row>
    <row r="28" spans="1:1" ht="16.5" customHeight="1">
      <c r="A28" t="s">
        <v>704</v>
      </c>
    </row>
    <row r="30" spans="1:1" ht="16.5" customHeight="1">
      <c r="A30" t="s">
        <v>705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706</v>
      </c>
    </row>
    <row r="2" spans="1:7" ht="15" customHeight="1">
      <c r="A2" s="70" t="s">
        <v>707</v>
      </c>
    </row>
    <row r="3" spans="1:7" ht="16.5" customHeight="1">
      <c r="A3" s="3" t="s">
        <v>708</v>
      </c>
    </row>
    <row r="5" spans="1:7" ht="15" customHeight="1">
      <c r="A5" s="5" t="s">
        <v>709</v>
      </c>
      <c r="B5" s="5" t="s">
        <v>710</v>
      </c>
      <c r="C5" s="5" t="s">
        <v>711</v>
      </c>
      <c r="D5" s="5" t="s">
        <v>712</v>
      </c>
      <c r="E5" s="5" t="s">
        <v>7</v>
      </c>
      <c r="F5" s="5" t="s">
        <v>148</v>
      </c>
      <c r="G5" t="s">
        <v>713</v>
      </c>
    </row>
    <row r="6" spans="1:7" ht="15" customHeight="1">
      <c r="A6" s="71" t="s">
        <v>714</v>
      </c>
      <c r="B6" s="72" t="s">
        <v>715</v>
      </c>
      <c r="C6" s="72" t="s">
        <v>716</v>
      </c>
      <c r="D6" s="71" t="s">
        <v>717</v>
      </c>
      <c r="E6" s="71">
        <f>복귀_평일A_가슴!$E$12</f>
        <v>28</v>
      </c>
      <c r="F6" s="73" t="s">
        <v>718</v>
      </c>
      <c r="G6" t="s">
        <v>719</v>
      </c>
    </row>
    <row r="7" spans="1:7" ht="15" customHeight="1">
      <c r="A7" s="7" t="s">
        <v>720</v>
      </c>
      <c r="B7" s="8" t="s">
        <v>715</v>
      </c>
      <c r="C7" s="8" t="s">
        <v>716</v>
      </c>
      <c r="D7" s="67" t="s">
        <v>721</v>
      </c>
      <c r="E7" s="7">
        <f>복귀_평일B_어깨!$E$15</f>
        <v>35</v>
      </c>
      <c r="F7" s="69" t="s">
        <v>722</v>
      </c>
      <c r="G7" t="s">
        <v>723</v>
      </c>
    </row>
    <row r="8" spans="1:7" ht="15" customHeight="1">
      <c r="A8" s="71" t="s">
        <v>724</v>
      </c>
      <c r="B8" s="72" t="s">
        <v>725</v>
      </c>
      <c r="C8" s="72" t="s">
        <v>711</v>
      </c>
      <c r="D8" s="71" t="s">
        <v>726</v>
      </c>
      <c r="E8" s="71">
        <f>복귀_토_하체!$E$14</f>
        <v>32</v>
      </c>
      <c r="F8" s="73" t="s">
        <v>727</v>
      </c>
      <c r="G8" t="s">
        <v>728</v>
      </c>
    </row>
    <row r="9" spans="1:7" ht="15" customHeight="1">
      <c r="A9" s="71" t="s">
        <v>729</v>
      </c>
      <c r="B9" s="72" t="s">
        <v>730</v>
      </c>
      <c r="C9" s="72" t="s">
        <v>711</v>
      </c>
      <c r="D9" s="71" t="s">
        <v>731</v>
      </c>
      <c r="E9" s="71">
        <f>복귀_일_등!$E$16</f>
        <v>33</v>
      </c>
      <c r="F9" s="73" t="s">
        <v>732</v>
      </c>
      <c r="G9" t="s">
        <v>733</v>
      </c>
    </row>
    <row r="10" spans="1:7" ht="15" customHeight="1">
      <c r="A10" s="71" t="s">
        <v>734</v>
      </c>
      <c r="B10" s="72" t="s">
        <v>735</v>
      </c>
      <c r="C10" s="72" t="s">
        <v>150</v>
      </c>
      <c r="D10" s="71" t="s">
        <v>158</v>
      </c>
      <c r="E10" s="71">
        <v>0</v>
      </c>
      <c r="F10" s="73" t="s">
        <v>150</v>
      </c>
      <c r="G10" t="s">
        <v>736</v>
      </c>
    </row>
    <row r="11" spans="1:7" ht="15" customHeight="1">
      <c r="A11" s="7" t="s">
        <v>166</v>
      </c>
      <c r="B11" s="7"/>
      <c r="C11" s="7"/>
      <c r="D11" s="67"/>
      <c r="E11" s="7">
        <f>SUM(E6:E10)</f>
        <v>128</v>
      </c>
      <c r="F11" s="53" t="s">
        <v>737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738</v>
      </c>
    </row>
    <row r="16" spans="1:7" ht="141" customHeight="1">
      <c r="A16" s="11" t="s">
        <v>739</v>
      </c>
    </row>
    <row r="17" spans="1:1" ht="126" customHeight="1">
      <c r="A17" s="11" t="s">
        <v>740</v>
      </c>
    </row>
    <row r="18" spans="1:1" ht="77.25" customHeight="1">
      <c r="A18" s="11" t="s">
        <v>741</v>
      </c>
    </row>
    <row r="19" spans="1:1" ht="115.5" customHeight="1">
      <c r="A19" s="11" t="s">
        <v>742</v>
      </c>
    </row>
    <row r="20" spans="1:1" ht="15" customHeight="1">
      <c r="A20" s="63" t="s">
        <v>743</v>
      </c>
    </row>
    <row r="21" spans="1:1" ht="48" customHeight="1">
      <c r="A21" s="13"/>
    </row>
    <row r="22" spans="1:1" ht="141" customHeight="1">
      <c r="A22" s="11" t="s">
        <v>744</v>
      </c>
    </row>
    <row r="23" spans="1:1" ht="77.25" customHeight="1">
      <c r="A23" s="11" t="s">
        <v>745</v>
      </c>
    </row>
    <row r="24" spans="1:1" ht="90" customHeight="1">
      <c r="A24" s="11" t="s">
        <v>746</v>
      </c>
    </row>
    <row r="25" spans="1:1" ht="128.25" customHeight="1">
      <c r="A25" s="11" t="s">
        <v>747</v>
      </c>
    </row>
    <row r="26" spans="1:1" ht="128.25" customHeight="1">
      <c r="A26" s="11"/>
    </row>
    <row r="27" spans="1:1" ht="15" customHeight="1">
      <c r="A27" s="63" t="s">
        <v>748</v>
      </c>
    </row>
    <row r="28" spans="1:1" ht="48" customHeight="1">
      <c r="A28" s="13" t="s">
        <v>749</v>
      </c>
    </row>
    <row r="29" spans="1:1" ht="75" customHeight="1">
      <c r="A29" s="11" t="s">
        <v>750</v>
      </c>
    </row>
    <row r="30" spans="1:1" ht="102.75" customHeight="1">
      <c r="A30" s="11" t="s">
        <v>751</v>
      </c>
    </row>
    <row r="31" spans="1:1" ht="90" customHeight="1">
      <c r="A31" s="11" t="s">
        <v>752</v>
      </c>
    </row>
    <row r="32" spans="1:1" ht="128.25" customHeight="1">
      <c r="A32" s="11" t="s">
        <v>753</v>
      </c>
    </row>
    <row r="33" spans="1:1" ht="144" customHeight="1">
      <c r="A33" s="11"/>
    </row>
    <row r="34" spans="1:1" ht="15" customHeight="1">
      <c r="A34" s="74" t="s">
        <v>754</v>
      </c>
    </row>
    <row r="35" spans="1:1">
      <c r="A35" t="s">
        <v>755</v>
      </c>
    </row>
    <row r="36" spans="1:1">
      <c r="A36" t="s">
        <v>756</v>
      </c>
    </row>
    <row r="37" spans="1:1">
      <c r="A37" t="s">
        <v>757</v>
      </c>
    </row>
    <row r="39" spans="1:1">
      <c r="A39" t="s">
        <v>758</v>
      </c>
    </row>
    <row r="40" spans="1:1">
      <c r="A40" t="s">
        <v>759</v>
      </c>
    </row>
    <row r="41" spans="1:1">
      <c r="A41" t="s">
        <v>760</v>
      </c>
    </row>
    <row r="42" spans="1:1">
      <c r="A42" t="s">
        <v>761</v>
      </c>
    </row>
    <row r="44" spans="1:1">
      <c r="A44" t="s">
        <v>762</v>
      </c>
    </row>
    <row r="45" spans="1:1">
      <c r="A45" t="s">
        <v>204</v>
      </c>
    </row>
    <row r="46" spans="1:1">
      <c r="A46" t="s">
        <v>763</v>
      </c>
    </row>
    <row r="47" spans="1:1">
      <c r="A47" t="s">
        <v>764</v>
      </c>
    </row>
    <row r="48" spans="1:1">
      <c r="A48" t="s">
        <v>765</v>
      </c>
    </row>
    <row r="49" spans="1:1">
      <c r="A49" t="s">
        <v>766</v>
      </c>
    </row>
    <row r="50" spans="1:1">
      <c r="A50" t="s">
        <v>767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768</v>
      </c>
    </row>
    <row r="2" spans="1:13" ht="15" customHeight="1">
      <c r="A2" s="2" t="s">
        <v>769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99</v>
      </c>
      <c r="C5" s="67" t="s">
        <v>317</v>
      </c>
      <c r="D5" s="75">
        <f>시작중량_설정!$E$7</f>
        <v>57.5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770</v>
      </c>
      <c r="K5" t="s">
        <v>771</v>
      </c>
      <c r="L5" s="68" t="s">
        <v>294</v>
      </c>
    </row>
    <row r="6" spans="1:13" ht="29.25" customHeight="1">
      <c r="A6" s="67">
        <v>2</v>
      </c>
      <c r="B6" s="68" t="s">
        <v>772</v>
      </c>
      <c r="C6" s="67" t="s">
        <v>27</v>
      </c>
      <c r="D6" s="75">
        <f>시작중량_설정!$E$10</f>
        <v>25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773</v>
      </c>
      <c r="K6" t="s">
        <v>774</v>
      </c>
      <c r="L6" s="68" t="s">
        <v>415</v>
      </c>
    </row>
    <row r="7" spans="1:13" ht="15" customHeight="1">
      <c r="A7" s="7">
        <v>3</v>
      </c>
      <c r="B7" s="53" t="s">
        <v>322</v>
      </c>
      <c r="C7" s="7" t="s">
        <v>317</v>
      </c>
      <c r="D7" s="8" t="s">
        <v>150</v>
      </c>
      <c r="E7" s="7">
        <v>4</v>
      </c>
      <c r="F7" s="8" t="s">
        <v>40</v>
      </c>
      <c r="G7" s="53">
        <v>45</v>
      </c>
      <c r="H7" s="53">
        <v>150</v>
      </c>
      <c r="I7">
        <f t="shared" si="0"/>
        <v>13</v>
      </c>
      <c r="J7" t="s">
        <v>775</v>
      </c>
      <c r="K7" t="s">
        <v>776</v>
      </c>
    </row>
    <row r="8" spans="1:13" ht="15" customHeight="1">
      <c r="A8" s="7">
        <v>4</v>
      </c>
      <c r="B8" s="53" t="s">
        <v>461</v>
      </c>
      <c r="C8" s="7" t="s">
        <v>317</v>
      </c>
      <c r="D8" s="8" t="s">
        <v>150</v>
      </c>
      <c r="E8" s="7">
        <v>3</v>
      </c>
      <c r="F8" s="8" t="s">
        <v>305</v>
      </c>
      <c r="G8" s="53">
        <v>40</v>
      </c>
      <c r="H8" s="53">
        <v>120</v>
      </c>
      <c r="I8">
        <f t="shared" si="0"/>
        <v>8</v>
      </c>
      <c r="J8" t="s">
        <v>777</v>
      </c>
      <c r="K8" t="s">
        <v>778</v>
      </c>
    </row>
    <row r="9" spans="1:13" ht="15" customHeight="1">
      <c r="A9" s="7">
        <v>5</v>
      </c>
      <c r="B9" s="53" t="s">
        <v>458</v>
      </c>
      <c r="C9" s="7" t="s">
        <v>332</v>
      </c>
      <c r="D9" s="8" t="s">
        <v>150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779</v>
      </c>
      <c r="K9" t="s">
        <v>780</v>
      </c>
    </row>
    <row r="10" spans="1:13" ht="15" customHeight="1">
      <c r="A10" s="7">
        <v>6</v>
      </c>
      <c r="B10" s="53" t="s">
        <v>335</v>
      </c>
      <c r="C10" s="7" t="s">
        <v>336</v>
      </c>
      <c r="D10" s="8" t="s">
        <v>781</v>
      </c>
      <c r="E10" s="7">
        <v>4</v>
      </c>
      <c r="F10" s="8" t="s">
        <v>19</v>
      </c>
      <c r="G10" s="53">
        <v>40</v>
      </c>
      <c r="H10" s="53">
        <v>120</v>
      </c>
      <c r="I10">
        <f t="shared" si="0"/>
        <v>10.7</v>
      </c>
      <c r="J10" t="s">
        <v>782</v>
      </c>
      <c r="K10" t="s">
        <v>783</v>
      </c>
    </row>
    <row r="11" spans="1:13" ht="15" customHeight="1">
      <c r="A11" s="7">
        <v>7</v>
      </c>
      <c r="B11" s="53" t="s">
        <v>55</v>
      </c>
      <c r="C11" s="7" t="s">
        <v>56</v>
      </c>
      <c r="D11" s="77" t="s">
        <v>150</v>
      </c>
      <c r="E11" s="7">
        <v>3</v>
      </c>
      <c r="F11" s="8" t="s">
        <v>19</v>
      </c>
      <c r="G11" s="53">
        <v>40</v>
      </c>
      <c r="H11" s="53">
        <v>75</v>
      </c>
      <c r="I11">
        <f t="shared" si="0"/>
        <v>5.8</v>
      </c>
      <c r="J11" t="s">
        <v>784</v>
      </c>
      <c r="K11" t="s">
        <v>785</v>
      </c>
    </row>
    <row r="12" spans="1:13" ht="15" customHeight="1">
      <c r="A12">
        <v>8</v>
      </c>
      <c r="B12" s="87" t="s">
        <v>786</v>
      </c>
      <c r="C12" t="s">
        <v>23</v>
      </c>
      <c r="D12" s="76" t="s">
        <v>787</v>
      </c>
      <c r="E12" s="28">
        <v>3</v>
      </c>
      <c r="F12" t="s">
        <v>19</v>
      </c>
      <c r="G12">
        <v>40</v>
      </c>
      <c r="H12">
        <v>60</v>
      </c>
      <c r="I12">
        <f t="shared" si="0"/>
        <v>5</v>
      </c>
      <c r="J12" t="s">
        <v>788</v>
      </c>
      <c r="K12" t="s">
        <v>789</v>
      </c>
    </row>
    <row r="13" spans="1:13">
      <c r="A13">
        <v>9</v>
      </c>
      <c r="B13" t="s">
        <v>308</v>
      </c>
      <c r="C13" t="s">
        <v>18</v>
      </c>
      <c r="D13" t="s">
        <v>248</v>
      </c>
      <c r="E13">
        <v>4</v>
      </c>
      <c r="F13" t="s">
        <v>19</v>
      </c>
      <c r="G13">
        <v>40</v>
      </c>
      <c r="H13">
        <v>60</v>
      </c>
      <c r="I13">
        <f t="shared" si="0"/>
        <v>6.7</v>
      </c>
      <c r="J13" t="s">
        <v>790</v>
      </c>
      <c r="K13" t="s">
        <v>791</v>
      </c>
    </row>
    <row r="14" spans="1:13" ht="76.5" customHeight="1">
      <c r="A14" s="12"/>
      <c r="D14" t="s">
        <v>63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792</v>
      </c>
    </row>
    <row r="17" spans="1:1" ht="276" customHeight="1">
      <c r="A17" s="11" t="s">
        <v>793</v>
      </c>
    </row>
    <row r="18" spans="1:1">
      <c r="A18" t="s">
        <v>794</v>
      </c>
    </row>
    <row r="19" spans="1:1">
      <c r="A19" t="s">
        <v>795</v>
      </c>
    </row>
    <row r="20" spans="1:1">
      <c r="A20" t="s">
        <v>796</v>
      </c>
    </row>
    <row r="21" spans="1:1">
      <c r="A21" t="s">
        <v>797</v>
      </c>
    </row>
    <row r="23" spans="1:1">
      <c r="A23" t="s">
        <v>798</v>
      </c>
    </row>
    <row r="24" spans="1:1">
      <c r="A24" t="s">
        <v>799</v>
      </c>
    </row>
    <row r="25" spans="1:1">
      <c r="A25" t="s">
        <v>800</v>
      </c>
    </row>
    <row r="26" spans="1:1">
      <c r="A26" t="s">
        <v>801</v>
      </c>
    </row>
    <row r="28" spans="1:1">
      <c r="A28" t="s">
        <v>758</v>
      </c>
    </row>
    <row r="29" spans="1:1">
      <c r="A29" t="s">
        <v>802</v>
      </c>
    </row>
    <row r="30" spans="1:1">
      <c r="A30" t="s">
        <v>803</v>
      </c>
    </row>
    <row r="33" spans="3:3">
      <c r="C33" t="s">
        <v>804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805</v>
      </c>
    </row>
    <row r="2" spans="1:13" ht="15" customHeight="1">
      <c r="A2" s="2" t="s">
        <v>806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101</v>
      </c>
      <c r="C5" s="67" t="s">
        <v>272</v>
      </c>
      <c r="D5" s="78">
        <f>시작중량_설정!$E$8</f>
        <v>62.5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807</v>
      </c>
      <c r="K5" t="s">
        <v>808</v>
      </c>
    </row>
    <row r="6" spans="1:13" ht="15" customHeight="1">
      <c r="A6" s="7">
        <v>2</v>
      </c>
      <c r="B6" s="89" t="s">
        <v>809</v>
      </c>
      <c r="C6" s="7" t="s">
        <v>246</v>
      </c>
      <c r="D6" s="8" t="s">
        <v>810</v>
      </c>
      <c r="E6" s="7">
        <v>4</v>
      </c>
      <c r="F6" s="8" t="s">
        <v>248</v>
      </c>
      <c r="G6" s="53">
        <v>40</v>
      </c>
      <c r="H6" s="53">
        <v>150</v>
      </c>
      <c r="I6">
        <f t="shared" si="0"/>
        <v>12.7</v>
      </c>
      <c r="J6" t="s">
        <v>811</v>
      </c>
      <c r="K6" t="s">
        <v>812</v>
      </c>
      <c r="L6" s="53" t="s">
        <v>813</v>
      </c>
    </row>
    <row r="7" spans="1:13" ht="15" customHeight="1">
      <c r="A7" s="7">
        <v>3</v>
      </c>
      <c r="B7" s="89" t="s">
        <v>814</v>
      </c>
      <c r="C7" s="7" t="s">
        <v>238</v>
      </c>
      <c r="D7" s="7" t="s">
        <v>150</v>
      </c>
      <c r="E7" s="7">
        <v>4</v>
      </c>
      <c r="F7" s="8" t="s">
        <v>40</v>
      </c>
      <c r="G7" s="53">
        <v>40</v>
      </c>
      <c r="H7" s="53">
        <v>150</v>
      </c>
      <c r="I7">
        <f t="shared" si="0"/>
        <v>12.7</v>
      </c>
      <c r="J7" t="s">
        <v>815</v>
      </c>
      <c r="K7" t="s">
        <v>816</v>
      </c>
    </row>
    <row r="8" spans="1:13" ht="15" customHeight="1">
      <c r="A8" s="7">
        <v>4</v>
      </c>
      <c r="B8" s="53" t="s">
        <v>237</v>
      </c>
      <c r="C8" s="7" t="s">
        <v>238</v>
      </c>
      <c r="D8" s="7" t="s">
        <v>247</v>
      </c>
      <c r="E8" s="7">
        <v>3</v>
      </c>
      <c r="F8" s="8" t="s">
        <v>239</v>
      </c>
      <c r="G8" s="53">
        <v>35</v>
      </c>
      <c r="H8" s="53">
        <v>150</v>
      </c>
      <c r="I8">
        <f t="shared" si="0"/>
        <v>9.3000000000000007</v>
      </c>
      <c r="J8" t="s">
        <v>817</v>
      </c>
      <c r="K8" t="s">
        <v>818</v>
      </c>
      <c r="L8" s="53" t="s">
        <v>819</v>
      </c>
    </row>
    <row r="9" spans="1:13" ht="29.25" customHeight="1">
      <c r="A9" s="7">
        <v>5</v>
      </c>
      <c r="B9" s="53" t="s">
        <v>392</v>
      </c>
      <c r="C9" s="7" t="s">
        <v>246</v>
      </c>
      <c r="D9" s="8" t="s">
        <v>820</v>
      </c>
      <c r="E9" s="7">
        <v>3</v>
      </c>
      <c r="F9" s="8" t="s">
        <v>19</v>
      </c>
      <c r="G9" s="53">
        <v>40</v>
      </c>
      <c r="H9" s="53">
        <v>75</v>
      </c>
      <c r="I9">
        <f t="shared" si="0"/>
        <v>5.8</v>
      </c>
      <c r="J9" t="s">
        <v>821</v>
      </c>
      <c r="K9" t="s">
        <v>822</v>
      </c>
    </row>
    <row r="10" spans="1:13" ht="15" customHeight="1">
      <c r="A10" s="7">
        <v>6</v>
      </c>
      <c r="B10" s="53" t="s">
        <v>404</v>
      </c>
      <c r="C10" s="7" t="s">
        <v>34</v>
      </c>
      <c r="D10" s="8" t="s">
        <v>787</v>
      </c>
      <c r="E10" s="7">
        <v>3</v>
      </c>
      <c r="F10" s="8" t="s">
        <v>19</v>
      </c>
      <c r="G10" s="53">
        <v>40</v>
      </c>
      <c r="H10" s="53">
        <v>75</v>
      </c>
      <c r="I10">
        <f t="shared" si="0"/>
        <v>5.8</v>
      </c>
      <c r="J10" t="s">
        <v>823</v>
      </c>
      <c r="K10" t="s">
        <v>824</v>
      </c>
    </row>
    <row r="11" spans="1:13" ht="15" customHeight="1">
      <c r="A11" s="7">
        <v>7</v>
      </c>
      <c r="B11" s="53" t="s">
        <v>295</v>
      </c>
      <c r="C11" s="7" t="s">
        <v>289</v>
      </c>
      <c r="D11" s="8" t="s">
        <v>247</v>
      </c>
      <c r="E11" s="7">
        <v>3</v>
      </c>
      <c r="F11" s="8" t="s">
        <v>40</v>
      </c>
      <c r="G11" s="53">
        <v>40</v>
      </c>
      <c r="H11" s="53">
        <v>120</v>
      </c>
      <c r="I11">
        <f t="shared" si="0"/>
        <v>8</v>
      </c>
      <c r="J11" t="s">
        <v>825</v>
      </c>
      <c r="K11" t="s">
        <v>826</v>
      </c>
      <c r="L11" s="53" t="s">
        <v>827</v>
      </c>
    </row>
    <row r="12" spans="1:13" ht="15" customHeight="1">
      <c r="A12" s="7">
        <v>8</v>
      </c>
      <c r="B12" s="53" t="s">
        <v>361</v>
      </c>
      <c r="C12" s="7" t="s">
        <v>289</v>
      </c>
      <c r="D12" s="7" t="s">
        <v>52</v>
      </c>
      <c r="E12" s="7">
        <v>3</v>
      </c>
      <c r="F12" s="7" t="s">
        <v>19</v>
      </c>
      <c r="G12" s="53">
        <v>40</v>
      </c>
      <c r="H12" s="53">
        <v>105</v>
      </c>
      <c r="I12">
        <f t="shared" si="0"/>
        <v>7.3</v>
      </c>
      <c r="J12" t="s">
        <v>828</v>
      </c>
      <c r="K12" t="s">
        <v>829</v>
      </c>
    </row>
    <row r="13" spans="1:13" ht="15" customHeight="1">
      <c r="A13">
        <v>9</v>
      </c>
      <c r="B13" t="s">
        <v>397</v>
      </c>
      <c r="C13" t="s">
        <v>44</v>
      </c>
      <c r="D13" s="76" t="s">
        <v>368</v>
      </c>
      <c r="E13" s="28">
        <v>3</v>
      </c>
      <c r="F13" t="s">
        <v>40</v>
      </c>
      <c r="G13">
        <v>40</v>
      </c>
      <c r="H13">
        <v>75</v>
      </c>
      <c r="I13">
        <f t="shared" si="0"/>
        <v>5.8</v>
      </c>
      <c r="J13" t="s">
        <v>830</v>
      </c>
      <c r="K13" t="s">
        <v>831</v>
      </c>
    </row>
    <row r="14" spans="1:13">
      <c r="A14">
        <v>10</v>
      </c>
      <c r="B14" t="s">
        <v>832</v>
      </c>
      <c r="C14" t="s">
        <v>45</v>
      </c>
      <c r="D14">
        <v>12</v>
      </c>
      <c r="E14">
        <v>3</v>
      </c>
      <c r="F14" t="s">
        <v>49</v>
      </c>
      <c r="G14">
        <v>40</v>
      </c>
      <c r="H14">
        <v>60</v>
      </c>
      <c r="I14">
        <f t="shared" si="0"/>
        <v>5</v>
      </c>
      <c r="J14" t="s">
        <v>833</v>
      </c>
      <c r="K14" t="s">
        <v>834</v>
      </c>
    </row>
    <row r="15" spans="1:13" ht="17.25" customHeight="1">
      <c r="A15" s="12">
        <v>11</v>
      </c>
      <c r="B15" t="s">
        <v>371</v>
      </c>
      <c r="C15" t="s">
        <v>45</v>
      </c>
      <c r="D15">
        <v>10</v>
      </c>
      <c r="E15">
        <v>3</v>
      </c>
      <c r="F15" t="s">
        <v>49</v>
      </c>
      <c r="G15">
        <v>40</v>
      </c>
      <c r="H15">
        <v>60</v>
      </c>
      <c r="I15">
        <f t="shared" si="0"/>
        <v>5</v>
      </c>
      <c r="J15" t="s">
        <v>835</v>
      </c>
      <c r="K15" t="s">
        <v>836</v>
      </c>
    </row>
    <row r="16" spans="1:13" ht="23.25" customHeight="1">
      <c r="A16" s="11"/>
      <c r="C16" s="88"/>
      <c r="D16" t="s">
        <v>63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837</v>
      </c>
    </row>
    <row r="19" spans="1:1" ht="15" customHeight="1">
      <c r="A19" s="63" t="s">
        <v>838</v>
      </c>
    </row>
    <row r="20" spans="1:1" ht="95.25" customHeight="1">
      <c r="A20" s="12" t="s">
        <v>839</v>
      </c>
    </row>
    <row r="21" spans="1:1" ht="252.75" customHeight="1">
      <c r="A21" s="11" t="s">
        <v>840</v>
      </c>
    </row>
    <row r="22" spans="1:1" ht="237.75" customHeight="1">
      <c r="A22" s="11" t="s">
        <v>841</v>
      </c>
    </row>
    <row r="23" spans="1:1" ht="265.5" customHeight="1">
      <c r="A23" s="11" t="s">
        <v>842</v>
      </c>
    </row>
    <row r="25" spans="1:1">
      <c r="A25" t="s">
        <v>843</v>
      </c>
    </row>
    <row r="26" spans="1:1">
      <c r="A26" t="s">
        <v>844</v>
      </c>
    </row>
    <row r="27" spans="1:1">
      <c r="A27" t="s">
        <v>845</v>
      </c>
    </row>
    <row r="28" spans="1:1">
      <c r="A28" t="s">
        <v>846</v>
      </c>
    </row>
    <row r="29" spans="1:1">
      <c r="A29" t="s">
        <v>847</v>
      </c>
    </row>
    <row r="31" spans="1:1">
      <c r="A31" t="s">
        <v>848</v>
      </c>
    </row>
    <row r="32" spans="1:1">
      <c r="A32" t="s">
        <v>849</v>
      </c>
    </row>
    <row r="33" spans="1:3">
      <c r="A33" t="s">
        <v>850</v>
      </c>
    </row>
    <row r="34" spans="1:3">
      <c r="A34" t="s">
        <v>851</v>
      </c>
    </row>
    <row r="35" spans="1:3">
      <c r="A35" t="s">
        <v>852</v>
      </c>
    </row>
    <row r="36" spans="1:3">
      <c r="A36" t="s">
        <v>853</v>
      </c>
    </row>
    <row r="38" spans="1:3">
      <c r="A38" t="s">
        <v>854</v>
      </c>
    </row>
    <row r="39" spans="1:3">
      <c r="A39" t="s">
        <v>855</v>
      </c>
    </row>
    <row r="40" spans="1:3">
      <c r="A40" t="s">
        <v>856</v>
      </c>
    </row>
    <row r="41" spans="1:3">
      <c r="A41" t="s">
        <v>857</v>
      </c>
    </row>
    <row r="44" spans="1:3">
      <c r="C44" t="s">
        <v>858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859</v>
      </c>
    </row>
    <row r="2" spans="1:13" ht="15" customHeight="1">
      <c r="A2" s="2" t="s">
        <v>860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26</v>
      </c>
      <c r="C5" s="67" t="s">
        <v>27</v>
      </c>
      <c r="D5" s="75" t="s">
        <v>368</v>
      </c>
      <c r="E5" s="67">
        <v>4</v>
      </c>
      <c r="F5" s="59" t="s">
        <v>40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861</v>
      </c>
      <c r="K5" t="s">
        <v>32</v>
      </c>
    </row>
    <row r="6" spans="1:13" ht="15" customHeight="1">
      <c r="A6" s="7">
        <v>2</v>
      </c>
      <c r="B6" s="53" t="s">
        <v>308</v>
      </c>
      <c r="C6" s="7" t="s">
        <v>18</v>
      </c>
      <c r="D6" s="8" t="s">
        <v>248</v>
      </c>
      <c r="E6" s="7">
        <v>4</v>
      </c>
      <c r="F6" s="8" t="s">
        <v>19</v>
      </c>
      <c r="G6" s="53">
        <v>40</v>
      </c>
      <c r="H6" s="53">
        <v>60</v>
      </c>
      <c r="I6">
        <f t="shared" si="0"/>
        <v>6.7</v>
      </c>
      <c r="J6" t="s">
        <v>862</v>
      </c>
      <c r="K6" t="s">
        <v>863</v>
      </c>
    </row>
    <row r="7" spans="1:13" ht="15" customHeight="1">
      <c r="A7" s="7">
        <v>3</v>
      </c>
      <c r="B7" s="53" t="s">
        <v>864</v>
      </c>
      <c r="C7" s="7" t="s">
        <v>18</v>
      </c>
      <c r="D7" s="8" t="s">
        <v>865</v>
      </c>
      <c r="E7" s="7">
        <v>4</v>
      </c>
      <c r="F7" s="8" t="s">
        <v>19</v>
      </c>
      <c r="G7" s="53">
        <v>60</v>
      </c>
      <c r="H7" s="53">
        <v>60</v>
      </c>
      <c r="I7">
        <f t="shared" si="0"/>
        <v>8</v>
      </c>
      <c r="J7" t="s">
        <v>866</v>
      </c>
      <c r="K7" t="s">
        <v>867</v>
      </c>
    </row>
    <row r="8" spans="1:13" ht="15" customHeight="1">
      <c r="A8" s="7">
        <v>4</v>
      </c>
      <c r="B8" s="53" t="s">
        <v>427</v>
      </c>
      <c r="C8" s="7" t="s">
        <v>23</v>
      </c>
      <c r="D8" s="8" t="s">
        <v>248</v>
      </c>
      <c r="E8" s="7">
        <v>4</v>
      </c>
      <c r="F8" s="8" t="s">
        <v>19</v>
      </c>
      <c r="G8" s="53">
        <v>40</v>
      </c>
      <c r="H8" s="53">
        <v>60</v>
      </c>
      <c r="I8">
        <f t="shared" si="0"/>
        <v>6.7</v>
      </c>
      <c r="J8" t="s">
        <v>868</v>
      </c>
      <c r="K8" t="s">
        <v>869</v>
      </c>
    </row>
    <row r="9" spans="1:13" ht="15" customHeight="1">
      <c r="A9" s="7">
        <v>5</v>
      </c>
      <c r="B9" s="53" t="s">
        <v>354</v>
      </c>
      <c r="C9" s="7" t="s">
        <v>23</v>
      </c>
      <c r="D9" s="8" t="s">
        <v>865</v>
      </c>
      <c r="E9" s="7">
        <v>3</v>
      </c>
      <c r="F9" s="8" t="s">
        <v>19</v>
      </c>
      <c r="G9" s="53">
        <v>40</v>
      </c>
      <c r="H9" s="53">
        <v>60</v>
      </c>
      <c r="I9">
        <f t="shared" si="0"/>
        <v>5</v>
      </c>
      <c r="J9" t="s">
        <v>870</v>
      </c>
      <c r="K9" t="s">
        <v>871</v>
      </c>
    </row>
    <row r="10" spans="1:13" ht="15" customHeight="1">
      <c r="A10" s="7">
        <v>6</v>
      </c>
      <c r="B10" s="53" t="s">
        <v>43</v>
      </c>
      <c r="C10" s="7" t="s">
        <v>44</v>
      </c>
      <c r="D10" s="8" t="s">
        <v>305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872</v>
      </c>
      <c r="K10" t="s">
        <v>873</v>
      </c>
    </row>
    <row r="11" spans="1:13" ht="15" customHeight="1">
      <c r="A11">
        <v>7</v>
      </c>
      <c r="B11" t="s">
        <v>452</v>
      </c>
      <c r="C11" t="s">
        <v>323</v>
      </c>
      <c r="D11" s="76" t="s">
        <v>874</v>
      </c>
      <c r="E11" s="28">
        <v>3</v>
      </c>
      <c r="F11" t="s">
        <v>305</v>
      </c>
      <c r="G11">
        <v>40</v>
      </c>
      <c r="H11">
        <v>120</v>
      </c>
      <c r="I11">
        <f t="shared" si="0"/>
        <v>8</v>
      </c>
      <c r="J11" t="s">
        <v>875</v>
      </c>
      <c r="K11" t="s">
        <v>876</v>
      </c>
    </row>
    <row r="12" spans="1:13">
      <c r="A12">
        <v>8</v>
      </c>
      <c r="B12" t="s">
        <v>59</v>
      </c>
      <c r="C12" t="s">
        <v>60</v>
      </c>
      <c r="D12" t="s">
        <v>49</v>
      </c>
      <c r="E12">
        <v>3</v>
      </c>
      <c r="F12" t="s">
        <v>61</v>
      </c>
      <c r="G12">
        <v>60</v>
      </c>
      <c r="H12">
        <v>75</v>
      </c>
      <c r="I12">
        <f t="shared" si="0"/>
        <v>6.8</v>
      </c>
      <c r="J12" t="s">
        <v>877</v>
      </c>
      <c r="K12" t="s">
        <v>878</v>
      </c>
    </row>
    <row r="13" spans="1:13" ht="18.75" customHeight="1">
      <c r="A13" s="12">
        <v>9</v>
      </c>
      <c r="B13" t="s">
        <v>331</v>
      </c>
      <c r="C13" t="s">
        <v>332</v>
      </c>
      <c r="D13" t="s">
        <v>150</v>
      </c>
      <c r="E13">
        <v>4</v>
      </c>
      <c r="F13" t="s">
        <v>305</v>
      </c>
      <c r="G13">
        <v>40</v>
      </c>
      <c r="H13">
        <v>120</v>
      </c>
      <c r="I13">
        <f t="shared" si="0"/>
        <v>10.7</v>
      </c>
      <c r="J13" t="s">
        <v>879</v>
      </c>
      <c r="K13" t="s">
        <v>880</v>
      </c>
    </row>
    <row r="14" spans="1:13" ht="18" customHeight="1">
      <c r="A14" s="11">
        <v>10</v>
      </c>
      <c r="B14" t="s">
        <v>408</v>
      </c>
      <c r="C14" s="87" t="s">
        <v>261</v>
      </c>
      <c r="D14">
        <v>2.5</v>
      </c>
      <c r="E14">
        <v>3</v>
      </c>
      <c r="F14" t="s">
        <v>29</v>
      </c>
      <c r="G14">
        <v>40</v>
      </c>
      <c r="H14">
        <v>60</v>
      </c>
      <c r="I14">
        <f t="shared" si="0"/>
        <v>5</v>
      </c>
      <c r="J14" t="s">
        <v>881</v>
      </c>
      <c r="K14" t="s">
        <v>882</v>
      </c>
    </row>
    <row r="15" spans="1:13" ht="25.5" customHeight="1">
      <c r="A15" s="11"/>
      <c r="D15" t="s">
        <v>63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792</v>
      </c>
    </row>
    <row r="17" spans="1:1">
      <c r="A17" t="s">
        <v>883</v>
      </c>
    </row>
    <row r="18" spans="1:1">
      <c r="A18" t="s">
        <v>884</v>
      </c>
    </row>
    <row r="19" spans="1:1">
      <c r="A19" t="s">
        <v>885</v>
      </c>
    </row>
    <row r="20" spans="1:1">
      <c r="A20" t="s">
        <v>886</v>
      </c>
    </row>
    <row r="22" spans="1:1">
      <c r="A22" t="s">
        <v>887</v>
      </c>
    </row>
    <row r="23" spans="1:1">
      <c r="A23" t="s">
        <v>888</v>
      </c>
    </row>
    <row r="24" spans="1:1">
      <c r="A24" t="s">
        <v>889</v>
      </c>
    </row>
    <row r="25" spans="1:1">
      <c r="A25" t="s">
        <v>890</v>
      </c>
    </row>
    <row r="27" spans="1:1">
      <c r="A27" t="s">
        <v>891</v>
      </c>
    </row>
    <row r="28" spans="1:1">
      <c r="A28" t="s">
        <v>892</v>
      </c>
    </row>
    <row r="29" spans="1:1">
      <c r="A29" t="s">
        <v>893</v>
      </c>
    </row>
    <row r="30" spans="1:1">
      <c r="A30" t="s">
        <v>894</v>
      </c>
    </row>
    <row r="33" spans="3:3">
      <c r="C33" t="s">
        <v>895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896</v>
      </c>
    </row>
    <row r="2" spans="1:13" ht="15" customHeight="1">
      <c r="A2" s="2" t="s">
        <v>897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103</v>
      </c>
      <c r="C5" s="67" t="s">
        <v>289</v>
      </c>
      <c r="D5" s="75">
        <f>시작중량_설정!$E$9</f>
        <v>31.5</v>
      </c>
      <c r="E5" s="67">
        <v>5</v>
      </c>
      <c r="F5" s="59" t="s">
        <v>290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898</v>
      </c>
      <c r="K5" t="s">
        <v>899</v>
      </c>
      <c r="L5" s="68" t="s">
        <v>294</v>
      </c>
    </row>
    <row r="6" spans="1:13" ht="15" customHeight="1">
      <c r="A6" s="7">
        <v>2</v>
      </c>
      <c r="B6" s="53" t="s">
        <v>424</v>
      </c>
      <c r="C6" s="7" t="s">
        <v>300</v>
      </c>
      <c r="D6" s="8" t="s">
        <v>810</v>
      </c>
      <c r="E6" s="7">
        <v>5</v>
      </c>
      <c r="F6" s="8" t="s">
        <v>248</v>
      </c>
      <c r="G6" s="53">
        <v>40</v>
      </c>
      <c r="H6" s="53">
        <v>150</v>
      </c>
      <c r="I6">
        <f t="shared" si="0"/>
        <v>15.8</v>
      </c>
      <c r="J6" t="s">
        <v>900</v>
      </c>
      <c r="K6" t="s">
        <v>901</v>
      </c>
    </row>
    <row r="7" spans="1:13" ht="15" customHeight="1">
      <c r="A7" s="7">
        <v>3</v>
      </c>
      <c r="B7" s="53" t="s">
        <v>902</v>
      </c>
      <c r="C7" s="7" t="s">
        <v>300</v>
      </c>
      <c r="D7" s="8" t="s">
        <v>248</v>
      </c>
      <c r="E7" s="7">
        <v>4</v>
      </c>
      <c r="F7" s="8" t="s">
        <v>305</v>
      </c>
      <c r="G7" s="53">
        <v>40</v>
      </c>
      <c r="H7" s="53">
        <v>105</v>
      </c>
      <c r="I7">
        <f t="shared" si="0"/>
        <v>9.6999999999999993</v>
      </c>
      <c r="J7" t="s">
        <v>903</v>
      </c>
      <c r="K7" t="s">
        <v>904</v>
      </c>
    </row>
    <row r="8" spans="1:13" ht="15" customHeight="1">
      <c r="A8" s="7">
        <v>4</v>
      </c>
      <c r="B8" s="89" t="s">
        <v>386</v>
      </c>
      <c r="C8" s="7" t="s">
        <v>246</v>
      </c>
      <c r="D8" s="8" t="s">
        <v>150</v>
      </c>
      <c r="E8" s="7">
        <v>4</v>
      </c>
      <c r="F8" s="8" t="s">
        <v>248</v>
      </c>
      <c r="G8" s="53">
        <v>40</v>
      </c>
      <c r="H8" s="53">
        <v>150</v>
      </c>
      <c r="I8">
        <f t="shared" si="0"/>
        <v>12.7</v>
      </c>
      <c r="J8" t="s">
        <v>905</v>
      </c>
      <c r="K8" t="s">
        <v>906</v>
      </c>
    </row>
    <row r="9" spans="1:13" ht="15" customHeight="1">
      <c r="A9" s="7">
        <v>5</v>
      </c>
      <c r="B9" s="89" t="s">
        <v>907</v>
      </c>
      <c r="C9" s="7" t="s">
        <v>238</v>
      </c>
      <c r="D9" s="8" t="s">
        <v>150</v>
      </c>
      <c r="E9" s="7">
        <v>4</v>
      </c>
      <c r="F9" s="8" t="s">
        <v>40</v>
      </c>
      <c r="G9" s="53">
        <v>40</v>
      </c>
      <c r="H9" s="53">
        <v>120</v>
      </c>
      <c r="I9">
        <f t="shared" si="0"/>
        <v>10.7</v>
      </c>
      <c r="J9" t="s">
        <v>908</v>
      </c>
      <c r="K9" t="s">
        <v>909</v>
      </c>
    </row>
    <row r="10" spans="1:13" ht="15" customHeight="1">
      <c r="A10" s="7">
        <v>6</v>
      </c>
      <c r="B10" s="53" t="s">
        <v>38</v>
      </c>
      <c r="C10" s="7" t="s">
        <v>39</v>
      </c>
      <c r="D10" s="8" t="s">
        <v>257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910</v>
      </c>
      <c r="K10" t="s">
        <v>911</v>
      </c>
    </row>
    <row r="11" spans="1:13" ht="15" customHeight="1">
      <c r="A11">
        <v>7</v>
      </c>
      <c r="B11" t="s">
        <v>366</v>
      </c>
      <c r="C11" t="s">
        <v>39</v>
      </c>
      <c r="D11" s="76" t="s">
        <v>405</v>
      </c>
      <c r="E11" s="28">
        <v>3</v>
      </c>
      <c r="F11" t="s">
        <v>52</v>
      </c>
      <c r="G11">
        <v>40</v>
      </c>
      <c r="H11">
        <v>70</v>
      </c>
      <c r="I11">
        <f t="shared" si="0"/>
        <v>5.5</v>
      </c>
      <c r="J11" t="s">
        <v>912</v>
      </c>
      <c r="K11" t="s">
        <v>913</v>
      </c>
    </row>
    <row r="12" spans="1:13">
      <c r="D12" t="s">
        <v>63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914</v>
      </c>
    </row>
    <row r="22" spans="1:3">
      <c r="A22" t="s">
        <v>915</v>
      </c>
    </row>
    <row r="23" spans="1:3">
      <c r="A23" t="s">
        <v>916</v>
      </c>
    </row>
    <row r="24" spans="1:3">
      <c r="A24" t="s">
        <v>917</v>
      </c>
    </row>
    <row r="27" spans="1:3">
      <c r="C27" t="s">
        <v>918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919</v>
      </c>
    </row>
    <row r="2" spans="1:4" ht="15" customHeight="1">
      <c r="A2" s="2" t="s">
        <v>920</v>
      </c>
    </row>
    <row r="4" spans="1:4" ht="15" customHeight="1">
      <c r="A4" s="5" t="s">
        <v>921</v>
      </c>
      <c r="B4" s="5" t="s">
        <v>922</v>
      </c>
      <c r="C4" s="5" t="s">
        <v>923</v>
      </c>
      <c r="D4" s="5" t="s">
        <v>673</v>
      </c>
    </row>
    <row r="5" spans="1:4" ht="15" customHeight="1">
      <c r="A5" s="7" t="s">
        <v>924</v>
      </c>
      <c r="B5" s="7" t="s">
        <v>925</v>
      </c>
      <c r="C5" s="7" t="s">
        <v>926</v>
      </c>
      <c r="D5" s="69" t="s">
        <v>927</v>
      </c>
    </row>
    <row r="6" spans="1:4" ht="15" customHeight="1">
      <c r="A6" s="7" t="s">
        <v>685</v>
      </c>
      <c r="B6" s="8" t="s">
        <v>928</v>
      </c>
      <c r="C6" s="7" t="s">
        <v>929</v>
      </c>
      <c r="D6" s="53" t="s">
        <v>930</v>
      </c>
    </row>
    <row r="7" spans="1:4" ht="15" customHeight="1">
      <c r="A7" s="7" t="s">
        <v>931</v>
      </c>
      <c r="B7" s="7" t="s">
        <v>932</v>
      </c>
      <c r="C7" s="7" t="s">
        <v>933</v>
      </c>
      <c r="D7" s="53" t="s">
        <v>934</v>
      </c>
    </row>
    <row r="8" spans="1:4" ht="15" customHeight="1">
      <c r="A8" s="7" t="s">
        <v>935</v>
      </c>
      <c r="B8" s="7" t="s">
        <v>936</v>
      </c>
      <c r="C8" s="7" t="s">
        <v>937</v>
      </c>
      <c r="D8" s="53" t="s">
        <v>938</v>
      </c>
    </row>
    <row r="9" spans="1:4" ht="15" customHeight="1">
      <c r="A9" s="7" t="s">
        <v>939</v>
      </c>
      <c r="B9" s="8" t="s">
        <v>940</v>
      </c>
      <c r="C9" s="8" t="s">
        <v>941</v>
      </c>
      <c r="D9" s="53" t="s">
        <v>942</v>
      </c>
    </row>
    <row r="10" spans="1:4" ht="15" customHeight="1">
      <c r="A10" s="7" t="s">
        <v>943</v>
      </c>
      <c r="B10" s="8" t="s">
        <v>944</v>
      </c>
      <c r="C10" s="8" t="s">
        <v>945</v>
      </c>
      <c r="D10" s="53" t="s">
        <v>946</v>
      </c>
    </row>
    <row r="11" spans="1:4" ht="15" customHeight="1">
      <c r="A11" s="7" t="s">
        <v>947</v>
      </c>
      <c r="B11" s="8" t="s">
        <v>150</v>
      </c>
      <c r="C11" s="8" t="s">
        <v>948</v>
      </c>
      <c r="D11" s="53" t="s">
        <v>949</v>
      </c>
    </row>
    <row r="12" spans="1:4" ht="15" customHeight="1">
      <c r="A12" s="7" t="s">
        <v>950</v>
      </c>
      <c r="B12" s="8" t="s">
        <v>951</v>
      </c>
      <c r="C12" s="8" t="s">
        <v>952</v>
      </c>
      <c r="D12" s="53" t="s">
        <v>953</v>
      </c>
    </row>
    <row r="13" spans="1:4" ht="15" customHeight="1">
      <c r="A13" s="79" t="s">
        <v>954</v>
      </c>
      <c r="B13" s="80" t="s">
        <v>955</v>
      </c>
      <c r="C13" s="80" t="s">
        <v>956</v>
      </c>
      <c r="D13" s="79" t="s">
        <v>957</v>
      </c>
    </row>
    <row r="14" spans="1:4">
      <c r="A14" t="s">
        <v>958</v>
      </c>
      <c r="B14" t="s">
        <v>959</v>
      </c>
      <c r="C14" t="s">
        <v>960</v>
      </c>
      <c r="D14" t="s">
        <v>961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962</v>
      </c>
    </row>
    <row r="18" spans="1:1" ht="39" customHeight="1">
      <c r="A18" s="11" t="s">
        <v>963</v>
      </c>
    </row>
    <row r="19" spans="1:1" ht="39" customHeight="1">
      <c r="A19" s="11" t="s">
        <v>964</v>
      </c>
    </row>
    <row r="20" spans="1:1" ht="15" customHeight="1">
      <c r="A20" s="63" t="s">
        <v>965</v>
      </c>
    </row>
    <row r="21" spans="1:1" ht="51.75" customHeight="1">
      <c r="A21" s="11"/>
    </row>
    <row r="22" spans="1:1" ht="39" customHeight="1">
      <c r="A22" s="11" t="s">
        <v>966</v>
      </c>
    </row>
    <row r="23" spans="1:1" ht="15" customHeight="1">
      <c r="A23" s="63" t="s">
        <v>967</v>
      </c>
    </row>
    <row r="24" spans="1:1" ht="51.75" customHeight="1">
      <c r="A24" s="11" t="s">
        <v>968</v>
      </c>
    </row>
    <row r="25" spans="1:1" ht="39" customHeight="1">
      <c r="A25" s="11" t="s">
        <v>969</v>
      </c>
    </row>
    <row r="26" spans="1:1">
      <c r="A26" t="s">
        <v>894</v>
      </c>
    </row>
    <row r="28" spans="1:1">
      <c r="A28" t="s">
        <v>970</v>
      </c>
    </row>
    <row r="29" spans="1:1">
      <c r="A29" t="s">
        <v>971</v>
      </c>
    </row>
    <row r="30" spans="1:1">
      <c r="A30" t="s">
        <v>972</v>
      </c>
    </row>
    <row r="31" spans="1:1">
      <c r="A31" t="s">
        <v>973</v>
      </c>
    </row>
    <row r="33" spans="1:1">
      <c r="A33" t="s">
        <v>974</v>
      </c>
    </row>
    <row r="34" spans="1:1">
      <c r="A34" t="s">
        <v>975</v>
      </c>
    </row>
    <row r="35" spans="1:1">
      <c r="A35" t="s">
        <v>976</v>
      </c>
    </row>
    <row r="36" spans="1:1">
      <c r="A36" t="s">
        <v>977</v>
      </c>
    </row>
    <row r="37" spans="1:1">
      <c r="A37" t="s">
        <v>978</v>
      </c>
    </row>
    <row r="39" spans="1:1">
      <c r="A39" t="s">
        <v>979</v>
      </c>
    </row>
    <row r="40" spans="1:1">
      <c r="A40" t="s">
        <v>980</v>
      </c>
    </row>
    <row r="41" spans="1:1">
      <c r="A41" t="s">
        <v>981</v>
      </c>
    </row>
    <row r="42" spans="1:1">
      <c r="A42" t="s">
        <v>982</v>
      </c>
    </row>
    <row r="43" spans="1:1">
      <c r="A43" t="s">
        <v>983</v>
      </c>
    </row>
    <row r="44" spans="1:1">
      <c r="A44" t="s">
        <v>984</v>
      </c>
    </row>
    <row r="45" spans="1:1">
      <c r="A45" t="s">
        <v>985</v>
      </c>
    </row>
    <row r="47" spans="1:1">
      <c r="A47" t="s">
        <v>986</v>
      </c>
    </row>
    <row r="48" spans="1:1">
      <c r="A48" t="s">
        <v>987</v>
      </c>
    </row>
    <row r="49" spans="1:1">
      <c r="A49" t="s">
        <v>988</v>
      </c>
    </row>
    <row r="50" spans="1:1">
      <c r="A50" t="s">
        <v>989</v>
      </c>
    </row>
    <row r="51" spans="1:1">
      <c r="A51" t="s">
        <v>990</v>
      </c>
    </row>
    <row r="52" spans="1:1">
      <c r="A52" t="s">
        <v>991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992</v>
      </c>
    </row>
    <row r="2" spans="1:8">
      <c r="A2" t="s">
        <v>993</v>
      </c>
    </row>
    <row r="3" spans="1:8">
      <c r="A3" t="s">
        <v>470</v>
      </c>
      <c r="F3">
        <f ca="1">COUNTIF($E$7:$E$51,"?")</f>
        <v>0</v>
      </c>
    </row>
    <row r="4" spans="1:8">
      <c r="A4" t="s">
        <v>994</v>
      </c>
    </row>
    <row r="6" spans="1:8">
      <c r="A6" t="s">
        <v>995</v>
      </c>
      <c r="B6" t="s">
        <v>473</v>
      </c>
      <c r="C6" t="s">
        <v>474</v>
      </c>
      <c r="D6" t="s">
        <v>475</v>
      </c>
      <c r="E6" t="s">
        <v>476</v>
      </c>
      <c r="F6" t="s">
        <v>477</v>
      </c>
      <c r="G6" t="s">
        <v>478</v>
      </c>
      <c r="H6" t="s">
        <v>479</v>
      </c>
    </row>
    <row r="7" spans="1:8">
      <c r="A7" t="s">
        <v>996</v>
      </c>
      <c r="B7" t="s">
        <v>386</v>
      </c>
      <c r="C7" t="s">
        <v>44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493</v>
      </c>
      <c r="H7" t="s">
        <v>997</v>
      </c>
    </row>
    <row r="8" spans="1:8">
      <c r="A8" t="s">
        <v>996</v>
      </c>
      <c r="B8" t="s">
        <v>907</v>
      </c>
      <c r="C8" t="s">
        <v>44</v>
      </c>
      <c r="D8">
        <v>0.5</v>
      </c>
      <c r="E8">
        <f t="shared" ca="1" si="0"/>
        <v>4</v>
      </c>
      <c r="F8">
        <f t="shared" ca="1" si="1"/>
        <v>2</v>
      </c>
      <c r="G8" t="s">
        <v>493</v>
      </c>
      <c r="H8" t="s">
        <v>998</v>
      </c>
    </row>
    <row r="9" spans="1:8">
      <c r="A9" t="s">
        <v>999</v>
      </c>
      <c r="B9" t="s">
        <v>809</v>
      </c>
      <c r="C9" t="s">
        <v>44</v>
      </c>
      <c r="D9">
        <v>0.2</v>
      </c>
      <c r="E9">
        <f t="shared" ca="1" si="0"/>
        <v>4</v>
      </c>
      <c r="F9">
        <f t="shared" ca="1" si="1"/>
        <v>0.8</v>
      </c>
      <c r="G9" t="s">
        <v>493</v>
      </c>
      <c r="H9" t="s">
        <v>1000</v>
      </c>
    </row>
    <row r="10" spans="1:8">
      <c r="A10" t="s">
        <v>999</v>
      </c>
      <c r="B10" t="s">
        <v>814</v>
      </c>
      <c r="C10" t="s">
        <v>44</v>
      </c>
      <c r="D10">
        <v>0.33</v>
      </c>
      <c r="E10">
        <f t="shared" ca="1" si="0"/>
        <v>4</v>
      </c>
      <c r="F10">
        <f t="shared" ca="1" si="1"/>
        <v>1.32</v>
      </c>
      <c r="G10" t="s">
        <v>493</v>
      </c>
      <c r="H10" t="s">
        <v>1001</v>
      </c>
    </row>
    <row r="11" spans="1:8">
      <c r="A11" t="s">
        <v>999</v>
      </c>
      <c r="B11" t="s">
        <v>237</v>
      </c>
      <c r="C11" t="s">
        <v>44</v>
      </c>
      <c r="D11">
        <v>0.5</v>
      </c>
      <c r="E11">
        <f t="shared" ca="1" si="0"/>
        <v>3</v>
      </c>
      <c r="F11">
        <f t="shared" ca="1" si="1"/>
        <v>1.5</v>
      </c>
      <c r="G11" t="s">
        <v>493</v>
      </c>
      <c r="H11" t="s">
        <v>1002</v>
      </c>
    </row>
    <row r="12" spans="1:8">
      <c r="A12" t="s">
        <v>996</v>
      </c>
      <c r="B12" t="s">
        <v>103</v>
      </c>
      <c r="C12" t="s">
        <v>39</v>
      </c>
      <c r="D12">
        <v>0.5</v>
      </c>
      <c r="E12">
        <f t="shared" ca="1" si="0"/>
        <v>5</v>
      </c>
      <c r="F12">
        <f t="shared" ca="1" si="1"/>
        <v>2.5</v>
      </c>
      <c r="G12" t="s">
        <v>493</v>
      </c>
      <c r="H12" t="s">
        <v>1003</v>
      </c>
    </row>
    <row r="13" spans="1:8">
      <c r="A13" t="s">
        <v>996</v>
      </c>
      <c r="B13" t="s">
        <v>424</v>
      </c>
      <c r="C13" t="s">
        <v>39</v>
      </c>
      <c r="D13">
        <v>0.5</v>
      </c>
      <c r="E13">
        <f t="shared" ca="1" si="0"/>
        <v>5</v>
      </c>
      <c r="F13">
        <f t="shared" ca="1" si="1"/>
        <v>2.5</v>
      </c>
      <c r="G13" t="s">
        <v>493</v>
      </c>
      <c r="H13" t="s">
        <v>1004</v>
      </c>
    </row>
    <row r="15" spans="1:8">
      <c r="A15" t="s">
        <v>1005</v>
      </c>
      <c r="B15" t="s">
        <v>26</v>
      </c>
      <c r="C15" t="s">
        <v>39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493</v>
      </c>
      <c r="H15" t="s">
        <v>1004</v>
      </c>
    </row>
    <row r="16" spans="1:8">
      <c r="A16" t="s">
        <v>1006</v>
      </c>
      <c r="B16" t="s">
        <v>772</v>
      </c>
      <c r="C16" t="s">
        <v>39</v>
      </c>
      <c r="D16">
        <v>0.5</v>
      </c>
      <c r="E16">
        <f t="shared" ca="1" si="2"/>
        <v>3</v>
      </c>
      <c r="F16">
        <f t="shared" ca="1" si="3"/>
        <v>1.5</v>
      </c>
      <c r="G16" t="s">
        <v>493</v>
      </c>
      <c r="H16" t="s">
        <v>1004</v>
      </c>
    </row>
    <row r="17" spans="1:8">
      <c r="A17" t="s">
        <v>999</v>
      </c>
      <c r="B17" t="s">
        <v>295</v>
      </c>
      <c r="C17" t="s">
        <v>39</v>
      </c>
      <c r="D17">
        <v>0.5</v>
      </c>
      <c r="E17">
        <f t="shared" ca="1" si="2"/>
        <v>3</v>
      </c>
      <c r="F17">
        <f t="shared" ca="1" si="3"/>
        <v>1.5</v>
      </c>
      <c r="G17" t="s">
        <v>493</v>
      </c>
      <c r="H17" t="s">
        <v>1004</v>
      </c>
    </row>
    <row r="18" spans="1:8">
      <c r="A18" t="s">
        <v>996</v>
      </c>
      <c r="B18" t="s">
        <v>103</v>
      </c>
      <c r="C18" t="s">
        <v>27</v>
      </c>
      <c r="D18">
        <v>0.5</v>
      </c>
      <c r="E18">
        <f t="shared" ca="1" si="2"/>
        <v>5</v>
      </c>
      <c r="F18">
        <f t="shared" ca="1" si="3"/>
        <v>2.5</v>
      </c>
      <c r="G18" t="s">
        <v>493</v>
      </c>
      <c r="H18" t="s">
        <v>1007</v>
      </c>
    </row>
    <row r="19" spans="1:8">
      <c r="A19" t="s">
        <v>996</v>
      </c>
      <c r="B19" t="s">
        <v>424</v>
      </c>
      <c r="C19" t="s">
        <v>27</v>
      </c>
      <c r="D19">
        <v>0.5</v>
      </c>
      <c r="E19">
        <f t="shared" ca="1" si="2"/>
        <v>5</v>
      </c>
      <c r="F19">
        <f t="shared" ca="1" si="3"/>
        <v>2.5</v>
      </c>
      <c r="G19" t="s">
        <v>493</v>
      </c>
      <c r="H19" t="s">
        <v>1008</v>
      </c>
    </row>
    <row r="20" spans="1:8">
      <c r="A20" t="s">
        <v>999</v>
      </c>
      <c r="B20" t="s">
        <v>295</v>
      </c>
      <c r="C20" t="s">
        <v>27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493</v>
      </c>
      <c r="H20" t="s">
        <v>1009</v>
      </c>
    </row>
    <row r="21" spans="1:8">
      <c r="A21" t="s">
        <v>1006</v>
      </c>
      <c r="B21" t="s">
        <v>772</v>
      </c>
      <c r="C21" t="s">
        <v>18</v>
      </c>
      <c r="D21">
        <v>0.5</v>
      </c>
      <c r="E21">
        <f t="shared" ca="1" si="2"/>
        <v>3</v>
      </c>
      <c r="F21">
        <f t="shared" ca="1" si="3"/>
        <v>1.5</v>
      </c>
      <c r="G21" t="s">
        <v>493</v>
      </c>
      <c r="H21" t="s">
        <v>1010</v>
      </c>
    </row>
    <row r="22" spans="1:8">
      <c r="A22" t="s">
        <v>996</v>
      </c>
      <c r="B22" t="s">
        <v>386</v>
      </c>
      <c r="C22" t="s">
        <v>238</v>
      </c>
      <c r="D22">
        <v>0.5</v>
      </c>
      <c r="E22">
        <f t="shared" ca="1" si="2"/>
        <v>4</v>
      </c>
      <c r="F22">
        <f t="shared" ca="1" si="3"/>
        <v>2</v>
      </c>
      <c r="G22" t="s">
        <v>493</v>
      </c>
      <c r="H22" t="s">
        <v>1011</v>
      </c>
    </row>
    <row r="23" spans="1:8">
      <c r="A23" t="s">
        <v>999</v>
      </c>
      <c r="B23" t="s">
        <v>809</v>
      </c>
      <c r="C23" t="s">
        <v>238</v>
      </c>
      <c r="D23">
        <v>0.5</v>
      </c>
      <c r="E23">
        <f t="shared" ca="1" si="2"/>
        <v>4</v>
      </c>
      <c r="F23">
        <f t="shared" ca="1" si="3"/>
        <v>2</v>
      </c>
      <c r="G23" t="s">
        <v>493</v>
      </c>
      <c r="H23" t="s">
        <v>1011</v>
      </c>
    </row>
    <row r="24" spans="1:8">
      <c r="A24" t="s">
        <v>999</v>
      </c>
      <c r="B24" t="s">
        <v>814</v>
      </c>
      <c r="C24" t="s">
        <v>246</v>
      </c>
      <c r="D24">
        <v>0.5</v>
      </c>
      <c r="E24">
        <f t="shared" ca="1" si="2"/>
        <v>4</v>
      </c>
      <c r="F24">
        <f t="shared" ca="1" si="3"/>
        <v>2</v>
      </c>
      <c r="G24" t="s">
        <v>493</v>
      </c>
      <c r="H24" t="s">
        <v>1012</v>
      </c>
    </row>
    <row r="25" spans="1:8">
      <c r="A25" t="s">
        <v>1005</v>
      </c>
      <c r="B25" t="s">
        <v>354</v>
      </c>
      <c r="C25" t="s">
        <v>246</v>
      </c>
      <c r="D25">
        <v>0.5</v>
      </c>
      <c r="E25">
        <f t="shared" ca="1" si="2"/>
        <v>3</v>
      </c>
      <c r="F25">
        <f t="shared" ca="1" si="3"/>
        <v>1.5</v>
      </c>
      <c r="G25" t="s">
        <v>493</v>
      </c>
      <c r="H25" t="s">
        <v>1013</v>
      </c>
    </row>
    <row r="26" spans="1:8">
      <c r="A26" t="s">
        <v>1005</v>
      </c>
      <c r="B26" t="s">
        <v>427</v>
      </c>
      <c r="C26" t="s">
        <v>246</v>
      </c>
      <c r="D26">
        <v>0.33</v>
      </c>
      <c r="E26">
        <f t="shared" ca="1" si="2"/>
        <v>4</v>
      </c>
      <c r="F26">
        <f t="shared" ca="1" si="3"/>
        <v>1.32</v>
      </c>
      <c r="G26" t="s">
        <v>493</v>
      </c>
      <c r="H26" t="s">
        <v>1014</v>
      </c>
    </row>
    <row r="27" spans="1:8">
      <c r="A27" t="s">
        <v>1006</v>
      </c>
      <c r="B27" t="s">
        <v>786</v>
      </c>
      <c r="C27" t="s">
        <v>246</v>
      </c>
      <c r="D27">
        <v>0.33</v>
      </c>
      <c r="E27">
        <f t="shared" ca="1" si="2"/>
        <v>3</v>
      </c>
      <c r="F27">
        <f t="shared" ca="1" si="3"/>
        <v>0.99</v>
      </c>
      <c r="G27" t="s">
        <v>493</v>
      </c>
      <c r="H27" t="s">
        <v>1014</v>
      </c>
    </row>
    <row r="28" spans="1:8">
      <c r="A28" t="s">
        <v>1006</v>
      </c>
      <c r="B28" t="s">
        <v>772</v>
      </c>
      <c r="C28" t="s">
        <v>351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493</v>
      </c>
      <c r="H28" t="s">
        <v>1015</v>
      </c>
    </row>
    <row r="29" spans="1:8">
      <c r="A29" t="s">
        <v>999</v>
      </c>
      <c r="B29" t="s">
        <v>809</v>
      </c>
      <c r="C29" t="s">
        <v>351</v>
      </c>
      <c r="D29">
        <v>0.2</v>
      </c>
      <c r="E29">
        <f t="shared" ca="1" si="2"/>
        <v>4</v>
      </c>
      <c r="F29">
        <f t="shared" ca="1" si="3"/>
        <v>0.8</v>
      </c>
      <c r="G29" t="s">
        <v>493</v>
      </c>
      <c r="H29" t="s">
        <v>1016</v>
      </c>
    </row>
    <row r="30" spans="1:8">
      <c r="A30" t="s">
        <v>999</v>
      </c>
      <c r="B30" t="s">
        <v>101</v>
      </c>
      <c r="C30" t="s">
        <v>351</v>
      </c>
      <c r="D30">
        <v>0.2</v>
      </c>
      <c r="E30">
        <f t="shared" ca="1" si="2"/>
        <v>1</v>
      </c>
      <c r="F30">
        <f t="shared" ca="1" si="3"/>
        <v>0.2</v>
      </c>
      <c r="G30" t="s">
        <v>493</v>
      </c>
      <c r="H30" t="s">
        <v>1017</v>
      </c>
    </row>
    <row r="31" spans="1:8">
      <c r="A31" t="s">
        <v>999</v>
      </c>
      <c r="B31" t="s">
        <v>237</v>
      </c>
      <c r="C31" t="s">
        <v>34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493</v>
      </c>
      <c r="H31" t="s">
        <v>1018</v>
      </c>
    </row>
    <row r="32" spans="1:8">
      <c r="A32" t="s">
        <v>996</v>
      </c>
      <c r="B32" t="s">
        <v>907</v>
      </c>
      <c r="C32" t="s">
        <v>34</v>
      </c>
      <c r="D32">
        <v>0.2</v>
      </c>
      <c r="E32">
        <f t="shared" ca="1" si="2"/>
        <v>4</v>
      </c>
      <c r="F32">
        <f t="shared" ca="1" si="3"/>
        <v>0.8</v>
      </c>
      <c r="G32" t="s">
        <v>493</v>
      </c>
      <c r="H32" t="s">
        <v>1019</v>
      </c>
    </row>
    <row r="33" spans="1:8">
      <c r="A33" t="s">
        <v>1006</v>
      </c>
      <c r="B33" t="s">
        <v>99</v>
      </c>
      <c r="C33" t="s">
        <v>272</v>
      </c>
      <c r="D33">
        <v>0.2</v>
      </c>
      <c r="E33">
        <f t="shared" ca="1" si="2"/>
        <v>5</v>
      </c>
      <c r="F33">
        <f t="shared" ca="1" si="3"/>
        <v>1</v>
      </c>
      <c r="G33" t="s">
        <v>493</v>
      </c>
      <c r="H33" t="s">
        <v>1020</v>
      </c>
    </row>
    <row r="34" spans="1:8">
      <c r="A34" t="s">
        <v>999</v>
      </c>
      <c r="B34" t="s">
        <v>809</v>
      </c>
      <c r="C34" t="s">
        <v>272</v>
      </c>
      <c r="D34">
        <v>0.2</v>
      </c>
      <c r="E34">
        <f t="shared" ca="1" si="2"/>
        <v>4</v>
      </c>
      <c r="F34">
        <f t="shared" ca="1" si="3"/>
        <v>0.8</v>
      </c>
      <c r="G34" t="s">
        <v>493</v>
      </c>
      <c r="H34" t="s">
        <v>1021</v>
      </c>
    </row>
    <row r="35" spans="1:8">
      <c r="A35" t="s">
        <v>999</v>
      </c>
      <c r="B35" t="s">
        <v>404</v>
      </c>
      <c r="C35" t="s">
        <v>272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493</v>
      </c>
      <c r="H35" t="s">
        <v>1022</v>
      </c>
    </row>
    <row r="36" spans="1:8">
      <c r="A36" t="s">
        <v>1006</v>
      </c>
      <c r="B36" t="s">
        <v>99</v>
      </c>
      <c r="C36" t="s">
        <v>323</v>
      </c>
      <c r="D36">
        <v>0.5</v>
      </c>
      <c r="E36">
        <f t="shared" ca="1" si="2"/>
        <v>5</v>
      </c>
      <c r="F36">
        <f t="shared" ca="1" si="3"/>
        <v>2.5</v>
      </c>
      <c r="G36" t="s">
        <v>493</v>
      </c>
      <c r="H36" t="s">
        <v>515</v>
      </c>
    </row>
    <row r="37" spans="1:8">
      <c r="A37" t="s">
        <v>999</v>
      </c>
      <c r="B37" t="s">
        <v>101</v>
      </c>
      <c r="C37" t="s">
        <v>323</v>
      </c>
      <c r="D37">
        <v>0.5</v>
      </c>
      <c r="E37">
        <f t="shared" ca="1" si="2"/>
        <v>1</v>
      </c>
      <c r="F37">
        <f t="shared" ca="1" si="3"/>
        <v>0.5</v>
      </c>
      <c r="G37" t="s">
        <v>493</v>
      </c>
      <c r="H37" t="s">
        <v>1023</v>
      </c>
    </row>
    <row r="38" spans="1:8">
      <c r="A38" t="s">
        <v>1006</v>
      </c>
      <c r="B38" t="s">
        <v>322</v>
      </c>
      <c r="C38" t="s">
        <v>323</v>
      </c>
      <c r="D38">
        <v>0.33</v>
      </c>
      <c r="E38">
        <f t="shared" ca="1" si="2"/>
        <v>4</v>
      </c>
      <c r="F38">
        <f t="shared" ca="1" si="3"/>
        <v>1.32</v>
      </c>
      <c r="G38" t="s">
        <v>493</v>
      </c>
      <c r="H38" t="s">
        <v>516</v>
      </c>
    </row>
    <row r="39" spans="1:8">
      <c r="A39" t="s">
        <v>1005</v>
      </c>
      <c r="B39" t="s">
        <v>452</v>
      </c>
      <c r="C39" t="s">
        <v>332</v>
      </c>
      <c r="D39">
        <v>0.5</v>
      </c>
      <c r="E39">
        <f t="shared" ca="1" si="2"/>
        <v>3</v>
      </c>
      <c r="F39">
        <f t="shared" ca="1" si="3"/>
        <v>1.5</v>
      </c>
      <c r="G39" t="s">
        <v>493</v>
      </c>
      <c r="H39" t="s">
        <v>1024</v>
      </c>
    </row>
    <row r="40" spans="1:8">
      <c r="A40" t="s">
        <v>999</v>
      </c>
      <c r="B40" t="s">
        <v>101</v>
      </c>
      <c r="C40" t="s">
        <v>332</v>
      </c>
      <c r="D40">
        <v>0.5</v>
      </c>
      <c r="E40">
        <f t="shared" ca="1" si="2"/>
        <v>1</v>
      </c>
      <c r="F40">
        <f t="shared" ca="1" si="3"/>
        <v>0.5</v>
      </c>
      <c r="G40" t="s">
        <v>493</v>
      </c>
      <c r="H40" t="s">
        <v>1025</v>
      </c>
    </row>
    <row r="41" spans="1:8">
      <c r="A41" t="s">
        <v>1006</v>
      </c>
      <c r="B41" t="s">
        <v>99</v>
      </c>
      <c r="C41" t="s">
        <v>336</v>
      </c>
      <c r="D41">
        <v>0.2</v>
      </c>
      <c r="E41">
        <f t="shared" ca="1" si="2"/>
        <v>5</v>
      </c>
      <c r="F41">
        <f t="shared" ca="1" si="3"/>
        <v>1</v>
      </c>
      <c r="G41" t="s">
        <v>493</v>
      </c>
      <c r="H41" t="s">
        <v>1026</v>
      </c>
    </row>
    <row r="42" spans="1:8">
      <c r="A42" t="s">
        <v>1006</v>
      </c>
      <c r="B42" t="s">
        <v>322</v>
      </c>
      <c r="C42" t="s">
        <v>336</v>
      </c>
      <c r="D42">
        <v>0.2</v>
      </c>
      <c r="E42">
        <f t="shared" ca="1" si="2"/>
        <v>4</v>
      </c>
      <c r="F42">
        <f t="shared" ca="1" si="3"/>
        <v>0.8</v>
      </c>
      <c r="G42" t="s">
        <v>493</v>
      </c>
      <c r="H42" t="s">
        <v>1026</v>
      </c>
    </row>
    <row r="43" spans="1:8">
      <c r="A43" t="s">
        <v>1005</v>
      </c>
      <c r="B43" t="s">
        <v>43</v>
      </c>
      <c r="C43" t="s">
        <v>45</v>
      </c>
      <c r="D43">
        <v>0.33</v>
      </c>
      <c r="E43">
        <f t="shared" ca="1" si="2"/>
        <v>3</v>
      </c>
      <c r="F43">
        <f t="shared" ca="1" si="3"/>
        <v>0.99</v>
      </c>
      <c r="G43" t="s">
        <v>493</v>
      </c>
      <c r="H43" t="s">
        <v>496</v>
      </c>
    </row>
    <row r="44" spans="1:8">
      <c r="A44" t="s">
        <v>999</v>
      </c>
      <c r="B44" t="s">
        <v>397</v>
      </c>
      <c r="C44" t="s">
        <v>45</v>
      </c>
      <c r="D44">
        <v>0.33</v>
      </c>
      <c r="E44">
        <f t="shared" ca="1" si="2"/>
        <v>3</v>
      </c>
      <c r="F44">
        <f t="shared" ca="1" si="3"/>
        <v>0.99</v>
      </c>
      <c r="G44" t="s">
        <v>493</v>
      </c>
      <c r="H44" t="s">
        <v>496</v>
      </c>
    </row>
    <row r="45" spans="1:8">
      <c r="A45" t="s">
        <v>996</v>
      </c>
      <c r="B45" t="s">
        <v>103</v>
      </c>
      <c r="C45" t="s">
        <v>300</v>
      </c>
      <c r="D45">
        <v>0.2</v>
      </c>
      <c r="E45">
        <f t="shared" ca="1" si="2"/>
        <v>5</v>
      </c>
      <c r="F45">
        <f t="shared" ca="1" si="3"/>
        <v>1</v>
      </c>
      <c r="G45" t="s">
        <v>493</v>
      </c>
      <c r="H45" t="s">
        <v>1027</v>
      </c>
    </row>
    <row r="46" spans="1:8">
      <c r="A46" t="s">
        <v>996</v>
      </c>
      <c r="B46" t="s">
        <v>424</v>
      </c>
      <c r="C46" t="s">
        <v>289</v>
      </c>
      <c r="D46">
        <v>0.2</v>
      </c>
      <c r="E46">
        <f t="shared" ca="1" si="2"/>
        <v>5</v>
      </c>
      <c r="F46">
        <f t="shared" ca="1" si="3"/>
        <v>1</v>
      </c>
      <c r="G46" t="s">
        <v>493</v>
      </c>
      <c r="H46" t="s">
        <v>1028</v>
      </c>
    </row>
    <row r="47" spans="1:8">
      <c r="A47" t="s">
        <v>999</v>
      </c>
      <c r="B47" t="s">
        <v>101</v>
      </c>
      <c r="C47" t="s">
        <v>238</v>
      </c>
      <c r="D47">
        <v>0</v>
      </c>
      <c r="E47">
        <f t="shared" ca="1" si="2"/>
        <v>1</v>
      </c>
      <c r="F47">
        <f t="shared" ca="1" si="3"/>
        <v>0</v>
      </c>
      <c r="G47" t="s">
        <v>493</v>
      </c>
      <c r="H47" t="s">
        <v>1029</v>
      </c>
    </row>
    <row r="48" spans="1:8">
      <c r="A48" t="s">
        <v>1006</v>
      </c>
      <c r="B48" t="s">
        <v>99</v>
      </c>
      <c r="C48" t="s">
        <v>261</v>
      </c>
      <c r="D48">
        <v>0</v>
      </c>
      <c r="E48">
        <f t="shared" ca="1" si="2"/>
        <v>5</v>
      </c>
      <c r="F48">
        <f t="shared" ca="1" si="3"/>
        <v>0</v>
      </c>
      <c r="G48" t="s">
        <v>493</v>
      </c>
      <c r="H48" t="s">
        <v>1030</v>
      </c>
    </row>
    <row r="49" spans="1:8">
      <c r="A49" t="s">
        <v>1006</v>
      </c>
      <c r="B49" t="s">
        <v>55</v>
      </c>
      <c r="C49" t="s">
        <v>56</v>
      </c>
      <c r="D49">
        <v>0</v>
      </c>
      <c r="E49">
        <f t="shared" ca="1" si="2"/>
        <v>3</v>
      </c>
      <c r="F49">
        <f t="shared" ca="1" si="3"/>
        <v>0</v>
      </c>
      <c r="G49" t="s">
        <v>493</v>
      </c>
      <c r="H49" t="s">
        <v>1031</v>
      </c>
    </row>
    <row r="50" spans="1:8">
      <c r="A50" t="s">
        <v>996</v>
      </c>
      <c r="B50" t="s">
        <v>902</v>
      </c>
      <c r="C50" t="s">
        <v>289</v>
      </c>
      <c r="D50">
        <v>0.2</v>
      </c>
      <c r="E50">
        <f t="shared" ca="1" si="2"/>
        <v>4</v>
      </c>
      <c r="F50">
        <f t="shared" ca="1" si="3"/>
        <v>0.8</v>
      </c>
      <c r="G50" t="s">
        <v>493</v>
      </c>
      <c r="H50" t="s">
        <v>1028</v>
      </c>
    </row>
    <row r="51" spans="1:8">
      <c r="A51" t="s">
        <v>996</v>
      </c>
      <c r="B51" t="s">
        <v>902</v>
      </c>
      <c r="C51" t="s">
        <v>27</v>
      </c>
      <c r="D51">
        <v>0.2</v>
      </c>
      <c r="E51">
        <f t="shared" ca="1" si="2"/>
        <v>4</v>
      </c>
      <c r="F51">
        <f t="shared" ca="1" si="3"/>
        <v>0.8</v>
      </c>
      <c r="G51" t="s">
        <v>493</v>
      </c>
      <c r="H51" t="s">
        <v>1032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1033</v>
      </c>
    </row>
    <row r="2" spans="1:9">
      <c r="A2" t="s">
        <v>1034</v>
      </c>
    </row>
    <row r="4" spans="1:9">
      <c r="A4" t="s">
        <v>5</v>
      </c>
      <c r="B4" t="s">
        <v>564</v>
      </c>
      <c r="C4" t="s">
        <v>565</v>
      </c>
      <c r="D4" t="s">
        <v>566</v>
      </c>
      <c r="E4" t="s">
        <v>567</v>
      </c>
      <c r="F4" t="s">
        <v>568</v>
      </c>
      <c r="G4" t="s">
        <v>1035</v>
      </c>
    </row>
    <row r="5" spans="1:9">
      <c r="A5" t="s">
        <v>300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1036</v>
      </c>
      <c r="G5" t="s">
        <v>629</v>
      </c>
      <c r="H5" t="s">
        <v>570</v>
      </c>
      <c r="I5">
        <f ca="1">SUM(D5:D6)</f>
        <v>23</v>
      </c>
    </row>
    <row r="6" spans="1:9">
      <c r="A6" t="s">
        <v>289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1037</v>
      </c>
      <c r="G6" t="s">
        <v>629</v>
      </c>
    </row>
    <row r="7" spans="1:9">
      <c r="A7" t="s">
        <v>238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1038</v>
      </c>
      <c r="G7" t="s">
        <v>1039</v>
      </c>
      <c r="H7" t="s">
        <v>1040</v>
      </c>
      <c r="I7">
        <f ca="1">SUM(D7:D10)</f>
        <v>38</v>
      </c>
    </row>
    <row r="8" spans="1:9">
      <c r="A8" t="s">
        <v>351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1041</v>
      </c>
      <c r="G8" t="s">
        <v>1039</v>
      </c>
    </row>
    <row r="9" spans="1:9">
      <c r="A9" t="s">
        <v>34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1042</v>
      </c>
      <c r="G9" t="s">
        <v>1043</v>
      </c>
    </row>
    <row r="10" spans="1:9">
      <c r="A10" t="s">
        <v>246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1044</v>
      </c>
      <c r="G10" t="s">
        <v>1043</v>
      </c>
    </row>
    <row r="11" spans="1:9">
      <c r="A11" t="s">
        <v>272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1045</v>
      </c>
      <c r="G11" t="s">
        <v>1039</v>
      </c>
    </row>
    <row r="12" spans="1:9">
      <c r="A12" t="s">
        <v>27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1046</v>
      </c>
      <c r="G12" t="s">
        <v>629</v>
      </c>
    </row>
    <row r="13" spans="1:9">
      <c r="A13" t="s">
        <v>18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1047</v>
      </c>
      <c r="G13" t="s">
        <v>629</v>
      </c>
    </row>
    <row r="14" spans="1:9">
      <c r="A14" t="s">
        <v>23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1048</v>
      </c>
      <c r="G14" t="s">
        <v>629</v>
      </c>
    </row>
    <row r="15" spans="1:9">
      <c r="A15" t="s">
        <v>317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1049</v>
      </c>
      <c r="G15" t="s">
        <v>1039</v>
      </c>
      <c r="H15" t="s">
        <v>1050</v>
      </c>
      <c r="I15">
        <f ca="1">SUM(D15:D16,D19)</f>
        <v>24</v>
      </c>
    </row>
    <row r="16" spans="1:9">
      <c r="A16" t="s">
        <v>332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1051</v>
      </c>
      <c r="G16" t="s">
        <v>1043</v>
      </c>
    </row>
    <row r="17" spans="1:7">
      <c r="A17" t="s">
        <v>323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1052</v>
      </c>
      <c r="G17" t="s">
        <v>1043</v>
      </c>
    </row>
    <row r="18" spans="1:7">
      <c r="A18" t="s">
        <v>60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1053</v>
      </c>
      <c r="G18" t="s">
        <v>1043</v>
      </c>
    </row>
    <row r="19" spans="1:7">
      <c r="A19" t="s">
        <v>56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1054</v>
      </c>
      <c r="G19" t="s">
        <v>1039</v>
      </c>
    </row>
    <row r="20" spans="1:7">
      <c r="A20" t="s">
        <v>44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1055</v>
      </c>
      <c r="G20" t="s">
        <v>629</v>
      </c>
    </row>
    <row r="21" spans="1:7">
      <c r="A21" t="s">
        <v>39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1056</v>
      </c>
      <c r="G21" t="s">
        <v>629</v>
      </c>
    </row>
    <row r="22" spans="1:7">
      <c r="A22" t="s">
        <v>45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1057</v>
      </c>
      <c r="G22" t="s">
        <v>1039</v>
      </c>
    </row>
    <row r="23" spans="1:7">
      <c r="A23" t="s">
        <v>261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1058</v>
      </c>
      <c r="G23" t="s">
        <v>1043</v>
      </c>
    </row>
    <row r="24" spans="1:7">
      <c r="A24" t="s">
        <v>336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1059</v>
      </c>
      <c r="G24" t="s">
        <v>629</v>
      </c>
    </row>
    <row r="25" spans="1:7">
      <c r="A25" t="s">
        <v>590</v>
      </c>
      <c r="B25">
        <f>SUM(B5:B24)</f>
        <v>128</v>
      </c>
      <c r="D25">
        <f ca="1">SUM(D5:D24)</f>
        <v>181.5</v>
      </c>
    </row>
    <row r="27" spans="1:7">
      <c r="A27" t="s">
        <v>591</v>
      </c>
    </row>
    <row r="28" spans="1:7">
      <c r="A28" t="s">
        <v>1060</v>
      </c>
    </row>
    <row r="29" spans="1:7">
      <c r="A29" t="s">
        <v>1061</v>
      </c>
    </row>
    <row r="30" spans="1:7">
      <c r="A30" t="s">
        <v>1062</v>
      </c>
    </row>
    <row r="32" spans="1:7">
      <c r="A32" t="s">
        <v>1063</v>
      </c>
    </row>
    <row r="33" spans="1:1">
      <c r="A33" t="s">
        <v>1064</v>
      </c>
    </row>
    <row r="34" spans="1:1">
      <c r="A34" t="s">
        <v>1065</v>
      </c>
    </row>
    <row r="35" spans="1:1">
      <c r="A35" t="s">
        <v>1066</v>
      </c>
    </row>
    <row r="37" spans="1:1">
      <c r="A37" t="s">
        <v>1067</v>
      </c>
    </row>
    <row r="38" spans="1:1">
      <c r="A38" t="s">
        <v>1068</v>
      </c>
    </row>
    <row r="39" spans="1:1">
      <c r="A39" t="s">
        <v>1069</v>
      </c>
    </row>
    <row r="40" spans="1:1">
      <c r="A40" t="s">
        <v>1070</v>
      </c>
    </row>
    <row r="41" spans="1:1">
      <c r="A41" t="s">
        <v>1071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2026-09-05T12:34:13Z</dcterms:modified>
  <dc:language>en-US</dc:language>
</cp:coreProperties>
</file>