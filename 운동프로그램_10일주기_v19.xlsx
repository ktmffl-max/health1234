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552" documentId="11_56CBE09B577CB57806506320C7833877887CCA2D" xr6:coauthVersionLast="47" xr6:coauthVersionMax="47" xr10:uidLastSave="{518ACB2F-0356-4DC5-93E2-AE6AB317B5F0}"/>
  <bookViews>
    <workbookView xWindow="6360" yWindow="2400" windowWidth="29040" windowHeight="18480" tabRatio="883" activeTab="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 sheetId="16" r:id="rId16"/>
    <sheet name="복귀_일_등" sheetId="17" r:id="rId17"/>
    <sheet name="복귀_평일B_어깨" sheetId="18" r:id="rId18"/>
    <sheet name="복귀_평일A_가슴" sheetId="19" r:id="rId19"/>
    <sheet name="복귀_증량원칙" sheetId="20" r:id="rId20"/>
    <sheet name="복귀_간접계수맵" sheetId="21" r:id="rId21"/>
    <sheet name="복귀_세트검산" sheetId="22" r:id="rId2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0" l="1"/>
  <c r="I14" i="10"/>
  <c r="I13" i="10"/>
  <c r="I12" i="10"/>
  <c r="I11" i="10"/>
  <c r="I10" i="10"/>
  <c r="I9" i="10"/>
  <c r="I8" i="10"/>
  <c r="I7" i="10"/>
  <c r="I6" i="10"/>
  <c r="I22" i="9"/>
  <c r="I21" i="9"/>
  <c r="I20" i="9"/>
  <c r="I19" i="9"/>
  <c r="I18" i="9"/>
  <c r="I17" i="9"/>
  <c r="I16" i="9"/>
  <c r="I15" i="9"/>
  <c r="I29" i="8"/>
  <c r="I28" i="8"/>
  <c r="I27" i="8"/>
  <c r="I26" i="8"/>
  <c r="I25" i="8"/>
  <c r="I24" i="8"/>
  <c r="I23" i="8"/>
  <c r="I22" i="8"/>
  <c r="I21" i="8"/>
  <c r="I20" i="8"/>
  <c r="I15" i="7"/>
  <c r="I14" i="7"/>
  <c r="I13" i="7"/>
  <c r="I12" i="7"/>
  <c r="I11" i="7"/>
  <c r="I10" i="7"/>
  <c r="I9" i="7"/>
  <c r="I8" i="7"/>
  <c r="I7" i="7"/>
  <c r="I6" i="7"/>
  <c r="I16" i="6"/>
  <c r="I15" i="6"/>
  <c r="I14" i="6"/>
  <c r="I13" i="6"/>
  <c r="I12" i="6"/>
  <c r="I11" i="6"/>
  <c r="I10" i="6"/>
  <c r="I9" i="6"/>
  <c r="I8" i="6"/>
  <c r="I7" i="6"/>
  <c r="I6" i="6"/>
  <c r="I21" i="5"/>
  <c r="I20" i="5"/>
  <c r="I19" i="5"/>
  <c r="I18" i="5"/>
  <c r="I17" i="5"/>
  <c r="I16" i="5"/>
  <c r="I15" i="5"/>
  <c r="I25" i="4"/>
  <c r="I24" i="4"/>
  <c r="I23" i="4"/>
  <c r="I22" i="4"/>
  <c r="I21" i="4"/>
  <c r="I20" i="4"/>
  <c r="I16" i="3"/>
  <c r="I15" i="3"/>
  <c r="I14" i="3"/>
  <c r="I13" i="3"/>
  <c r="I12" i="3"/>
  <c r="I11" i="3"/>
  <c r="I10" i="3"/>
  <c r="I9" i="3"/>
  <c r="I8" i="3"/>
  <c r="I7" i="3"/>
  <c r="I6" i="3"/>
  <c r="E16" i="7"/>
  <c r="E17" i="6"/>
  <c r="E16" i="10"/>
  <c r="E13" i="2" s="1"/>
  <c r="E30" i="8"/>
  <c r="E26" i="4"/>
  <c r="B24" i="22"/>
  <c r="B23" i="22"/>
  <c r="B22" i="22"/>
  <c r="B21" i="22"/>
  <c r="B20" i="22"/>
  <c r="B19" i="22"/>
  <c r="C18" i="22"/>
  <c r="B18" i="22"/>
  <c r="B17" i="22"/>
  <c r="B16" i="22"/>
  <c r="C15" i="22"/>
  <c r="B15" i="22"/>
  <c r="C14" i="22"/>
  <c r="B14" i="22"/>
  <c r="B13" i="22"/>
  <c r="B12" i="22"/>
  <c r="B11" i="22"/>
  <c r="B10" i="22"/>
  <c r="B9" i="22"/>
  <c r="B8" i="22"/>
  <c r="B7" i="22"/>
  <c r="B6" i="22"/>
  <c r="B5" i="22"/>
  <c r="E12" i="19"/>
  <c r="I11" i="19"/>
  <c r="I10" i="19"/>
  <c r="I9" i="19"/>
  <c r="I8" i="19"/>
  <c r="I7" i="19"/>
  <c r="I6" i="19"/>
  <c r="I5" i="19"/>
  <c r="E15" i="18"/>
  <c r="E7" i="15" s="1"/>
  <c r="I14" i="18"/>
  <c r="I13" i="18"/>
  <c r="I12" i="18"/>
  <c r="I11" i="18"/>
  <c r="I10" i="18"/>
  <c r="I9" i="18"/>
  <c r="I8" i="18"/>
  <c r="I7" i="18"/>
  <c r="I6" i="18"/>
  <c r="I5" i="18"/>
  <c r="E16" i="17"/>
  <c r="E9" i="15" s="1"/>
  <c r="I15" i="17"/>
  <c r="I14" i="17"/>
  <c r="I13" i="17"/>
  <c r="I12" i="17"/>
  <c r="I11" i="17"/>
  <c r="I10" i="17"/>
  <c r="I9" i="17"/>
  <c r="I8" i="17"/>
  <c r="I7" i="17"/>
  <c r="I6" i="17"/>
  <c r="I5" i="17"/>
  <c r="E14" i="16"/>
  <c r="E8" i="15" s="1"/>
  <c r="I13" i="16"/>
  <c r="I12" i="16"/>
  <c r="I11" i="16"/>
  <c r="I10" i="16"/>
  <c r="I9" i="16"/>
  <c r="I8" i="16"/>
  <c r="I7" i="16"/>
  <c r="I6" i="16"/>
  <c r="I5" i="16"/>
  <c r="E6" i="15"/>
  <c r="I10" i="13"/>
  <c r="I11" i="13" s="1"/>
  <c r="G10" i="13"/>
  <c r="G11" i="13" s="1"/>
  <c r="G12" i="13" s="1"/>
  <c r="E10" i="13"/>
  <c r="E11" i="13" s="1"/>
  <c r="E12" i="13" s="1"/>
  <c r="C10" i="13"/>
  <c r="B40" i="1" s="1"/>
  <c r="H7" i="13"/>
  <c r="B24" i="12"/>
  <c r="L24" i="12" s="1"/>
  <c r="C23" i="12"/>
  <c r="B23" i="12"/>
  <c r="B22" i="12"/>
  <c r="L22" i="12" s="1"/>
  <c r="B21" i="12"/>
  <c r="L21" i="12" s="1"/>
  <c r="B20" i="12"/>
  <c r="L20" i="12" s="1"/>
  <c r="C19" i="12"/>
  <c r="B19" i="12"/>
  <c r="B18" i="12"/>
  <c r="L18" i="12" s="1"/>
  <c r="B17" i="12"/>
  <c r="L17" i="12" s="1"/>
  <c r="B16" i="12"/>
  <c r="L16" i="12" s="1"/>
  <c r="B15" i="12"/>
  <c r="L15" i="12" s="1"/>
  <c r="B14" i="12"/>
  <c r="L14" i="12" s="1"/>
  <c r="B13" i="12"/>
  <c r="L13" i="12" s="1"/>
  <c r="B12" i="12"/>
  <c r="L12" i="12" s="1"/>
  <c r="B11" i="12"/>
  <c r="L11" i="12" s="1"/>
  <c r="B10" i="12"/>
  <c r="L10" i="12" s="1"/>
  <c r="B9" i="12"/>
  <c r="L9" i="12" s="1"/>
  <c r="B8" i="12"/>
  <c r="L8" i="12" s="1"/>
  <c r="B7" i="12"/>
  <c r="L7" i="12" s="1"/>
  <c r="B6" i="12"/>
  <c r="L6" i="12" s="1"/>
  <c r="B5" i="12"/>
  <c r="L5" i="12" s="1"/>
  <c r="J4" i="12"/>
  <c r="E23" i="9"/>
  <c r="E10" i="2"/>
  <c r="E8" i="2"/>
  <c r="E22" i="5"/>
  <c r="E17" i="3"/>
  <c r="E5" i="2" s="1"/>
  <c r="C10" i="1"/>
  <c r="C9" i="1"/>
  <c r="C8" i="1"/>
  <c r="C7" i="1"/>
  <c r="I16" i="10"/>
  <c r="E50" i="21"/>
  <c r="E13" i="21"/>
  <c r="E16" i="21"/>
  <c r="E20" i="21"/>
  <c r="E30" i="11"/>
  <c r="E44" i="21"/>
  <c r="E53" i="11"/>
  <c r="E22" i="21"/>
  <c r="E25" i="21"/>
  <c r="E32" i="21"/>
  <c r="E63" i="11"/>
  <c r="E19" i="21"/>
  <c r="E11" i="21"/>
  <c r="E33" i="11"/>
  <c r="E71" i="11"/>
  <c r="E8" i="11"/>
  <c r="E12" i="21"/>
  <c r="E69" i="11"/>
  <c r="E21" i="11"/>
  <c r="E42" i="11"/>
  <c r="E46" i="11"/>
  <c r="E38" i="21"/>
  <c r="E28" i="11"/>
  <c r="E56" i="11"/>
  <c r="E34" i="21"/>
  <c r="E59" i="11"/>
  <c r="E7" i="21"/>
  <c r="E34" i="11"/>
  <c r="E33" i="21"/>
  <c r="E22" i="11"/>
  <c r="E61" i="11"/>
  <c r="E42" i="21"/>
  <c r="E30" i="21"/>
  <c r="E64" i="11"/>
  <c r="E45" i="11"/>
  <c r="E10" i="21"/>
  <c r="E27" i="21"/>
  <c r="E14" i="11"/>
  <c r="E12" i="11"/>
  <c r="E35" i="21"/>
  <c r="E51" i="11"/>
  <c r="E29" i="21"/>
  <c r="E52" i="11"/>
  <c r="E36" i="21"/>
  <c r="E15" i="11"/>
  <c r="E45" i="21"/>
  <c r="E46" i="21"/>
  <c r="E68" i="11"/>
  <c r="E9" i="21"/>
  <c r="E15" i="21"/>
  <c r="E40" i="21"/>
  <c r="E17" i="21"/>
  <c r="E35" i="11"/>
  <c r="E62" i="11"/>
  <c r="E21" i="21"/>
  <c r="E18" i="11"/>
  <c r="E57" i="11"/>
  <c r="E17" i="11"/>
  <c r="E49" i="11"/>
  <c r="E48" i="21"/>
  <c r="E48" i="11"/>
  <c r="E58" i="11"/>
  <c r="E27" i="11"/>
  <c r="E24" i="11"/>
  <c r="E67" i="11"/>
  <c r="E10" i="11"/>
  <c r="E50" i="11"/>
  <c r="E28" i="21"/>
  <c r="E40" i="11"/>
  <c r="E13" i="11"/>
  <c r="E51" i="21"/>
  <c r="E7" i="11"/>
  <c r="E16" i="11"/>
  <c r="E23" i="21"/>
  <c r="E26" i="21"/>
  <c r="E25" i="11"/>
  <c r="E43" i="11"/>
  <c r="E39" i="11"/>
  <c r="E39" i="21"/>
  <c r="E11" i="11"/>
  <c r="E20" i="11"/>
  <c r="E55" i="11"/>
  <c r="E8" i="21"/>
  <c r="E41" i="11"/>
  <c r="E47" i="11"/>
  <c r="E31" i="11"/>
  <c r="E24" i="21"/>
  <c r="E65" i="11"/>
  <c r="E74" i="11"/>
  <c r="E70" i="11"/>
  <c r="E73" i="11"/>
  <c r="E36" i="11"/>
  <c r="E23" i="11"/>
  <c r="E37" i="11"/>
  <c r="E38" i="11"/>
  <c r="E18" i="21"/>
  <c r="E72" i="11"/>
  <c r="E31" i="21"/>
  <c r="E19" i="11"/>
  <c r="E26" i="11"/>
  <c r="E60" i="11"/>
  <c r="E29" i="11"/>
  <c r="E41" i="21"/>
  <c r="E66" i="11"/>
  <c r="E54" i="11"/>
  <c r="E47" i="21"/>
  <c r="E37" i="21"/>
  <c r="E75" i="11"/>
  <c r="E9" i="11"/>
  <c r="E49" i="21"/>
  <c r="E44" i="11"/>
  <c r="E43" i="21"/>
  <c r="E32" i="11"/>
  <c r="I17" i="6" l="1"/>
  <c r="F75" i="11"/>
  <c r="F74" i="11"/>
  <c r="F73" i="11"/>
  <c r="D23" i="12"/>
  <c r="J23" i="12" s="1"/>
  <c r="E23" i="12" s="1"/>
  <c r="D19" i="12"/>
  <c r="J19" i="12" s="1"/>
  <c r="E19" i="12" s="1"/>
  <c r="I16" i="7"/>
  <c r="F10" i="2" s="1"/>
  <c r="I30" i="8"/>
  <c r="I26" i="4"/>
  <c r="D18" i="22"/>
  <c r="E18" i="22" s="1"/>
  <c r="C40" i="1"/>
  <c r="D40" i="1"/>
  <c r="I22" i="5"/>
  <c r="B25" i="22"/>
  <c r="I12" i="19"/>
  <c r="I14" i="16"/>
  <c r="I23" i="9"/>
  <c r="I17" i="3"/>
  <c r="F5" i="2" s="1"/>
  <c r="F8" i="2"/>
  <c r="D15" i="22"/>
  <c r="I16" i="17"/>
  <c r="I15" i="18"/>
  <c r="L23" i="12"/>
  <c r="F13" i="2"/>
  <c r="E40" i="1"/>
  <c r="D14" i="22"/>
  <c r="E14" i="22" s="1"/>
  <c r="F10" i="21"/>
  <c r="F17" i="21"/>
  <c r="F23" i="21"/>
  <c r="F29" i="21"/>
  <c r="F35" i="21"/>
  <c r="F41" i="21"/>
  <c r="F47" i="21"/>
  <c r="F10" i="11"/>
  <c r="F16" i="11"/>
  <c r="F28" i="11"/>
  <c r="F34" i="11"/>
  <c r="F40" i="11"/>
  <c r="F46" i="11"/>
  <c r="F52" i="11"/>
  <c r="F58" i="11"/>
  <c r="F64" i="11"/>
  <c r="F70" i="11"/>
  <c r="F11" i="21"/>
  <c r="F18" i="21"/>
  <c r="F24" i="21"/>
  <c r="F30" i="21"/>
  <c r="F36" i="21"/>
  <c r="F42" i="21"/>
  <c r="F48" i="21"/>
  <c r="C23" i="22" s="1"/>
  <c r="D23" i="22" s="1"/>
  <c r="E23" i="22" s="1"/>
  <c r="F9" i="11"/>
  <c r="F15" i="11"/>
  <c r="F21" i="11"/>
  <c r="F27" i="11"/>
  <c r="F33" i="11"/>
  <c r="F39" i="11"/>
  <c r="F45" i="11"/>
  <c r="F51" i="11"/>
  <c r="F57" i="11"/>
  <c r="F63" i="11"/>
  <c r="F69" i="11"/>
  <c r="F22" i="11"/>
  <c r="F11" i="11"/>
  <c r="F17" i="11"/>
  <c r="F23" i="11"/>
  <c r="F29" i="11"/>
  <c r="F35" i="11"/>
  <c r="F41" i="11"/>
  <c r="F47" i="11"/>
  <c r="F53" i="11"/>
  <c r="F59" i="11"/>
  <c r="F65" i="11"/>
  <c r="F71" i="11"/>
  <c r="F12" i="11"/>
  <c r="F18" i="11"/>
  <c r="F24" i="11"/>
  <c r="F30" i="11"/>
  <c r="F36" i="11"/>
  <c r="F42" i="11"/>
  <c r="C15" i="12" s="1"/>
  <c r="D15" i="12" s="1"/>
  <c r="F48" i="11"/>
  <c r="C5" i="12" s="1"/>
  <c r="D5" i="12" s="1"/>
  <c r="F54" i="11"/>
  <c r="F60" i="11"/>
  <c r="F66" i="11"/>
  <c r="F72" i="11"/>
  <c r="F7" i="21"/>
  <c r="F3" i="21"/>
  <c r="F13" i="21"/>
  <c r="F20" i="21"/>
  <c r="F26" i="21"/>
  <c r="F32" i="21"/>
  <c r="F38" i="21"/>
  <c r="F44" i="21"/>
  <c r="F50" i="21"/>
  <c r="F12" i="21"/>
  <c r="F19" i="21"/>
  <c r="F25" i="21"/>
  <c r="F31" i="21"/>
  <c r="F43" i="21"/>
  <c r="F49" i="21"/>
  <c r="C19" i="22" s="1"/>
  <c r="D19" i="22" s="1"/>
  <c r="E19" i="22" s="1"/>
  <c r="F7" i="11"/>
  <c r="F3" i="11"/>
  <c r="F13" i="11"/>
  <c r="F19" i="11"/>
  <c r="F25" i="11"/>
  <c r="F31" i="11"/>
  <c r="F37" i="11"/>
  <c r="F43" i="11"/>
  <c r="C18" i="12" s="1"/>
  <c r="D18" i="12" s="1"/>
  <c r="J18" i="12" s="1"/>
  <c r="E18" i="12" s="1"/>
  <c r="F49" i="11"/>
  <c r="C6" i="12" s="1"/>
  <c r="D6" i="12" s="1"/>
  <c r="J6" i="12" s="1"/>
  <c r="E6" i="12" s="1"/>
  <c r="F55" i="11"/>
  <c r="F61" i="11"/>
  <c r="F67" i="11"/>
  <c r="F8" i="21"/>
  <c r="F15" i="21"/>
  <c r="F21" i="21"/>
  <c r="C13" i="22" s="1"/>
  <c r="D13" i="22" s="1"/>
  <c r="E13" i="22" s="1"/>
  <c r="F27" i="21"/>
  <c r="F33" i="21"/>
  <c r="F39" i="21"/>
  <c r="F45" i="21"/>
  <c r="C5" i="22" s="1"/>
  <c r="D5" i="22" s="1"/>
  <c r="F51" i="21"/>
  <c r="F37" i="21"/>
  <c r="F8" i="11"/>
  <c r="F14" i="11"/>
  <c r="F20" i="11"/>
  <c r="F26" i="11"/>
  <c r="F32" i="11"/>
  <c r="F38" i="11"/>
  <c r="F44" i="11"/>
  <c r="F50" i="11"/>
  <c r="F56" i="11"/>
  <c r="F62" i="11"/>
  <c r="F68" i="11"/>
  <c r="F9" i="21"/>
  <c r="F16" i="21"/>
  <c r="F22" i="21"/>
  <c r="F28" i="21"/>
  <c r="F34" i="21"/>
  <c r="F40" i="21"/>
  <c r="F46" i="21"/>
  <c r="E15" i="22"/>
  <c r="I12" i="13"/>
  <c r="E41" i="1"/>
  <c r="D42" i="1"/>
  <c r="G13" i="13"/>
  <c r="C42" i="1"/>
  <c r="E13" i="13"/>
  <c r="E11" i="15"/>
  <c r="L19" i="12"/>
  <c r="D41" i="1"/>
  <c r="C41" i="1"/>
  <c r="C11" i="13"/>
  <c r="B25" i="12"/>
  <c r="C24" i="22" l="1"/>
  <c r="D24" i="22" s="1"/>
  <c r="E24" i="22" s="1"/>
  <c r="C11" i="22"/>
  <c r="D11" i="22" s="1"/>
  <c r="E11" i="22" s="1"/>
  <c r="C14" i="12"/>
  <c r="D14" i="12" s="1"/>
  <c r="J14" i="12" s="1"/>
  <c r="E14" i="12" s="1"/>
  <c r="C8" i="22"/>
  <c r="D8" i="22" s="1"/>
  <c r="E8" i="22" s="1"/>
  <c r="C7" i="22"/>
  <c r="D7" i="22" s="1"/>
  <c r="E7" i="22" s="1"/>
  <c r="C22" i="22"/>
  <c r="D22" i="22" s="1"/>
  <c r="E22" i="22" s="1"/>
  <c r="C16" i="22"/>
  <c r="D16" i="22" s="1"/>
  <c r="E16" i="22" s="1"/>
  <c r="C13" i="12"/>
  <c r="D13" i="12" s="1"/>
  <c r="J13" i="12" s="1"/>
  <c r="E13" i="12" s="1"/>
  <c r="C9" i="22"/>
  <c r="D9" i="22" s="1"/>
  <c r="E9" i="22" s="1"/>
  <c r="C9" i="12"/>
  <c r="D9" i="12" s="1"/>
  <c r="J9" i="12" s="1"/>
  <c r="E9" i="12" s="1"/>
  <c r="C8" i="12"/>
  <c r="D8" i="12" s="1"/>
  <c r="J8" i="12" s="1"/>
  <c r="E8" i="12" s="1"/>
  <c r="C6" i="22"/>
  <c r="D6" i="22" s="1"/>
  <c r="E6" i="22" s="1"/>
  <c r="J15" i="12"/>
  <c r="E15" i="12" s="1"/>
  <c r="L25" i="12"/>
  <c r="L2" i="12"/>
  <c r="C20" i="22"/>
  <c r="D20" i="22" s="1"/>
  <c r="E20" i="22" s="1"/>
  <c r="C17" i="12"/>
  <c r="D17" i="12" s="1"/>
  <c r="G14" i="13"/>
  <c r="E9" i="1" s="1"/>
  <c r="D43" i="1"/>
  <c r="C17" i="22"/>
  <c r="D17" i="22" s="1"/>
  <c r="E17" i="22" s="1"/>
  <c r="C7" i="12"/>
  <c r="D7" i="12" s="1"/>
  <c r="C12" i="13"/>
  <c r="B41" i="1"/>
  <c r="J5" i="12"/>
  <c r="E5" i="12" s="1"/>
  <c r="H5" i="12"/>
  <c r="I5" i="12" s="1"/>
  <c r="C22" i="12"/>
  <c r="D22" i="12" s="1"/>
  <c r="J22" i="12" s="1"/>
  <c r="E22" i="12" s="1"/>
  <c r="E5" i="22"/>
  <c r="C21" i="22"/>
  <c r="D21" i="22" s="1"/>
  <c r="E21" i="22" s="1"/>
  <c r="C10" i="22"/>
  <c r="D10" i="22" s="1"/>
  <c r="E10" i="22" s="1"/>
  <c r="E42" i="1"/>
  <c r="I13" i="13"/>
  <c r="C16" i="12"/>
  <c r="D16" i="12" s="1"/>
  <c r="J16" i="12" s="1"/>
  <c r="E16" i="12" s="1"/>
  <c r="C24" i="12"/>
  <c r="D24" i="12" s="1"/>
  <c r="J24" i="12" s="1"/>
  <c r="E24" i="12" s="1"/>
  <c r="C12" i="22"/>
  <c r="D12" i="22" s="1"/>
  <c r="E12" i="22" s="1"/>
  <c r="C12" i="12"/>
  <c r="D12" i="12" s="1"/>
  <c r="J12" i="12" s="1"/>
  <c r="E12" i="12" s="1"/>
  <c r="C10" i="12"/>
  <c r="D10" i="12" s="1"/>
  <c r="J10" i="12" s="1"/>
  <c r="E10" i="12" s="1"/>
  <c r="C11" i="12"/>
  <c r="D11" i="12" s="1"/>
  <c r="J11" i="12" s="1"/>
  <c r="E11" i="12" s="1"/>
  <c r="C43" i="1"/>
  <c r="E14" i="13"/>
  <c r="E8" i="1"/>
  <c r="C20" i="12"/>
  <c r="D20" i="12" s="1"/>
  <c r="J20" i="12" s="1"/>
  <c r="E20" i="12" s="1"/>
  <c r="C21" i="12"/>
  <c r="D21" i="12" s="1"/>
  <c r="J21" i="12" s="1"/>
  <c r="E21" i="12" s="1"/>
  <c r="I5" i="22" l="1"/>
  <c r="I15" i="22"/>
  <c r="D25" i="12"/>
  <c r="J25" i="12" s="1"/>
  <c r="D25" i="22"/>
  <c r="G15" i="13"/>
  <c r="D44" i="1"/>
  <c r="D5" i="19"/>
  <c r="D20" i="4"/>
  <c r="A10" i="4"/>
  <c r="A9" i="4"/>
  <c r="A8" i="4"/>
  <c r="A7" i="4"/>
  <c r="A6" i="4"/>
  <c r="E15" i="13"/>
  <c r="C44" i="1"/>
  <c r="J17" i="12"/>
  <c r="E17" i="12" s="1"/>
  <c r="H17" i="12"/>
  <c r="H3" i="12"/>
  <c r="J3" i="12"/>
  <c r="D16" i="9"/>
  <c r="D15" i="9"/>
  <c r="D5" i="17"/>
  <c r="A10" i="9"/>
  <c r="A9" i="9"/>
  <c r="A8" i="9"/>
  <c r="A6" i="9"/>
  <c r="A7" i="9"/>
  <c r="I14" i="13"/>
  <c r="E10" i="1" s="1"/>
  <c r="E43" i="1"/>
  <c r="B42" i="1"/>
  <c r="C13" i="13"/>
  <c r="H15" i="12"/>
  <c r="I7" i="22"/>
  <c r="J7" i="12"/>
  <c r="E7" i="12" s="1"/>
  <c r="H7" i="12"/>
  <c r="C45" i="1" l="1"/>
  <c r="E16" i="13"/>
  <c r="F12" i="2"/>
  <c r="E12" i="2"/>
  <c r="E6" i="2"/>
  <c r="F6" i="2"/>
  <c r="B43" i="1"/>
  <c r="C14" i="13"/>
  <c r="E7" i="1"/>
  <c r="A3" i="12"/>
  <c r="L3" i="12"/>
  <c r="I15" i="13"/>
  <c r="E44" i="1"/>
  <c r="D45" i="1"/>
  <c r="G16" i="13"/>
  <c r="A7" i="8"/>
  <c r="A6" i="8"/>
  <c r="D6" i="16"/>
  <c r="D20" i="8"/>
  <c r="A9" i="8"/>
  <c r="A10" i="8"/>
  <c r="A8" i="8"/>
  <c r="C15" i="13" l="1"/>
  <c r="B44" i="1"/>
  <c r="G17" i="13"/>
  <c r="D46" i="1"/>
  <c r="F11" i="2"/>
  <c r="E11" i="2"/>
  <c r="C46" i="1"/>
  <c r="E17" i="13"/>
  <c r="D15" i="5"/>
  <c r="A10" i="5"/>
  <c r="A8" i="5"/>
  <c r="A7" i="5"/>
  <c r="A9" i="5"/>
  <c r="D5" i="16"/>
  <c r="A6" i="5"/>
  <c r="E45" i="1"/>
  <c r="I16" i="13"/>
  <c r="E18" i="13" l="1"/>
  <c r="C47" i="1"/>
  <c r="G18" i="13"/>
  <c r="D47" i="1"/>
  <c r="E7" i="2"/>
  <c r="E15" i="2" s="1"/>
  <c r="F7" i="2"/>
  <c r="F15" i="2"/>
  <c r="I17" i="13"/>
  <c r="E46" i="1"/>
  <c r="B45" i="1"/>
  <c r="C16" i="13"/>
  <c r="B46" i="1" l="1"/>
  <c r="C17" i="13"/>
  <c r="I18" i="13"/>
  <c r="E47" i="1"/>
  <c r="D48" i="1"/>
  <c r="G19" i="13"/>
  <c r="C48" i="1"/>
  <c r="E19" i="13"/>
  <c r="C49" i="1" l="1"/>
  <c r="E20" i="13"/>
  <c r="G20" i="13"/>
  <c r="D49" i="1"/>
  <c r="E48" i="1"/>
  <c r="I19" i="13"/>
  <c r="C18" i="13"/>
  <c r="B47" i="1"/>
  <c r="B48" i="1" l="1"/>
  <c r="C19" i="13"/>
  <c r="I20" i="13"/>
  <c r="E49" i="1"/>
  <c r="G21" i="13"/>
  <c r="D51" i="1" s="1"/>
  <c r="D50" i="1"/>
  <c r="E21" i="13"/>
  <c r="C51" i="1" s="1"/>
  <c r="C50" i="1"/>
  <c r="I21" i="13" l="1"/>
  <c r="E51" i="1" s="1"/>
  <c r="E50" i="1"/>
  <c r="B49" i="1"/>
  <c r="C20" i="13"/>
  <c r="C21" i="13" l="1"/>
  <c r="B51" i="1" s="1"/>
  <c r="B50" i="1"/>
</calcChain>
</file>

<file path=xl/sharedStrings.xml><?xml version="1.0" encoding="utf-8"?>
<sst xmlns="http://schemas.openxmlformats.org/spreadsheetml/2006/main" count="2236" uniqueCount="1155">
  <si>
    <t>9일차 — 어깨·팔 B</t>
  </si>
  <si>
    <t>웜업 — 케이블 외회전 2세트 × 12~15 (세트 카운트 제외): 매우 가볍게 2.5~5kg. 팔꿈치를 90도로 접어 옆구리에 붙이고 바깥으로만 회전. 대체: 밴드 외회전 / 아주 가벼운 페이스풀.</t>
  </si>
  <si>
    <t>운동 구성</t>
  </si>
  <si>
    <t>#</t>
  </si>
  <si>
    <t>종목</t>
  </si>
  <si>
    <t>근육군</t>
  </si>
  <si>
    <t>중량(Kg)</t>
  </si>
  <si>
    <t>세트</t>
  </si>
  <si>
    <t>횟수</t>
  </si>
  <si>
    <t>수행(초)</t>
  </si>
  <si>
    <t>휴식(초)</t>
  </si>
  <si>
    <t>종목 분</t>
  </si>
  <si>
    <t>간접 자극</t>
  </si>
  <si>
    <t>메모</t>
  </si>
  <si>
    <t>대체 종목</t>
  </si>
  <si>
    <t>세트별 휴식(초)</t>
  </si>
  <si>
    <t>슈퍼세트</t>
  </si>
  <si>
    <t>리닝 원암 케이블 레터럴 레이즈</t>
  </si>
  <si>
    <t>삼각근(측면)</t>
  </si>
  <si>
    <t>12~15</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</si>
  <si>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</si>
  <si>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</si>
  <si>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</si>
  <si>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삼각근(후면)</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</si>
  <si>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</si>
  <si>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</si>
  <si>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머신 숄더 프레스</t>
  </si>
  <si>
    <t>삼각근(전면)</t>
  </si>
  <si>
    <t>25</t>
  </si>
  <si>
    <t>12</t>
  </si>
  <si>
    <t>삼두 · 삼각근(측면)</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</si>
  <si>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</si>
  <si>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</si>
  <si>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프론 Y 레이즈</t>
  </si>
  <si>
    <t>승모(하부)</t>
  </si>
  <si>
    <t>2~5</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</si>
  <si>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</si>
  <si>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</si>
  <si>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라잉 트라이셉스 익스텐션</t>
  </si>
  <si>
    <t>삼두</t>
  </si>
  <si>
    <t>8~12</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</si>
  <si>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</si>
  <si>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</si>
  <si>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</si>
  <si>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이두</t>
  </si>
  <si>
    <t>전완</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</si>
  <si>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</si>
  <si>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</si>
  <si>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리버스 리스트익스텐션 컬(손등 아래)</t>
  </si>
  <si>
    <t>15</t>
  </si>
  <si>
    <t>덤벨 리스트 컬 (한 손씩) / 케이블 리스트 컬 / 비하인드백 리스트 컬</t>
  </si>
  <si>
    <t>리버스컬</t>
  </si>
  <si>
    <t>10~15</t>
  </si>
  <si>
    <t>이두(상완근)</t>
  </si>
  <si>
    <t>EZ바 리버스 컬 (손목 부담 ↓ — 1순위) / 케이블 리버스 컬 (수축 지점까지 장력 유지 · 핀 단위 미세 증량) / 리버스 프리쳐 컬 (반동 차단) / 해머 컬 (중립 그립 — 상완요골근 같은 계열이나 자극 각도가 다르다)</t>
  </si>
  <si>
    <t>시티드 카프 레이즈</t>
  </si>
  <si>
    <t>종아리</t>
  </si>
  <si>
    <t>8</t>
  </si>
  <si>
    <t>레그 프레스 카프 / 스탠딩 카프 (기계가 찼을 때)</t>
  </si>
  <si>
    <t>케이블 힙 외전</t>
  </si>
  <si>
    <t>중둔근</t>
  </si>
  <si>
    <t>12~15 (좌우)</t>
  </si>
  <si>
    <t>밴드 몬스터 워크 / 사이드 라잉 힙 외전 / 힙 어브덕션 머신</t>
  </si>
  <si>
    <t>세트 합계</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</si>
  <si>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</si>
  <si>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</si>
  <si>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</si>
  <si>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</si>
  <si>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</si>
  <si>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</si>
  <si>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</si>
  <si>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</si>
  <si>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</si>
  <si>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</si>
  <si>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</si>
  <si>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</si>
  <si>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</si>
  <si>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</si>
  <si>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</si>
  <si>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</si>
  <si>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</si>
  <si>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</si>
  <si>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</si>
  <si>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</si>
  <si>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</si>
  <si>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</si>
  <si>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</si>
  <si>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</si>
  <si>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</si>
  <si>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</si>
  <si>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시작 중량 설정 — 5년 공백 후 복귀</t>
  </si>
  <si>
    <t>노란 칸 두 곳만 채우면 각 일차 시트의 웜업 램프와 본세트 중량이 전부 자동 계산됩니다.</t>
  </si>
  <si>
    <t>현재 사이클</t>
  </si>
  <si>
    <t>← 사이클이 끝날 때마다 이 숫자를 1 올리면 일차 시트 중량이 그 사이클에 맞게 갱신됩니다 (1~12)</t>
  </si>
  <si>
    <t>5년 전 중량</t>
  </si>
  <si>
    <t>권장 시작 (40%)</t>
  </si>
  <si>
    <t>시작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</si>
  <si>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</si>
  <si>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</si>
  <si>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</si>
  <si>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</si>
  <si>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</si>
  <si>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</si>
  <si>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</si>
  <si>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</si>
  <si>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</si>
  <si>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</si>
  <si>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</si>
  <si>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</si>
  <si>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</si>
  <si>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</si>
  <si>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그리고 C4의 '현재 사이클'은 사이클이 끝날 때마다 1씩 올려주는 칸입니다. 이 두 곳 외에는 손댈 필요가 없습니다.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</si>
  <si>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</si>
  <si>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</si>
  <si>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</si>
  <si>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</si>
  <si>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</si>
  <si>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</si>
  <si>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</si>
  <si>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사이클당 2.5kg씩만 올라가도 20사이클이면 스쿼트가 예전 중량에 닿는다. 조급해할 이유가 없다.</t>
  </si>
  <si>
    <t>사용법</t>
  </si>
  <si>
    <t>· 1단계: D7~D10에 시작 중량을 입력한다 (기본값은 5년 전 중량의 40%).</t>
  </si>
  <si>
    <t>· 2단계: 증량기록 시트에서 사이클마다 달성 여부에 O / X를 입력한다.</t>
  </si>
  <si>
    <t>· 3단계: C4의 현재 사이클을 바꾸면 일차 시트의 웜업과 본세트 중량이 자동으로 따라온다.</t>
  </si>
  <si>
    <t>· 웜업은 작업중량의 40 / 60 / 75 / 90%로 자동 계산되며 2.5kg 단위로 반올림된다.</t>
  </si>
  <si>
    <t>· 중량이 낮아 앞 세트와 겹치는 웜업은 '생략'으로 자동 표시된다 — 웜업 세트 수가 스스로 조정된다.</t>
  </si>
  <si>
    <t>· 20으로 표시되면 빈 봉이라는 뜻이다.</t>
  </si>
  <si>
    <t>12사이클 예상 진행 (X 입력이 없을 때)</t>
  </si>
  <si>
    <t>사이클</t>
  </si>
  <si>
    <t>1사이클</t>
  </si>
  <si>
    <t>2사이클</t>
  </si>
  <si>
    <t>3사이클</t>
  </si>
  <si>
    <t>4사이클</t>
  </si>
  <si>
    <t>5사이클</t>
  </si>
  <si>
    <t>6사이클</t>
  </si>
  <si>
    <t>7사이클</t>
  </si>
  <si>
    <t>8사이클</t>
  </si>
  <si>
    <t>9사이클</t>
  </si>
  <si>
    <t>10사이클</t>
  </si>
  <si>
    <t>11사이클</t>
  </si>
  <si>
    <t>12사이클</t>
  </si>
  <si>
    <t>· 위 표는 X 입력이 없다고 가정한 계획선이다. 실제 진행은 증량기록 시트가 결정한다.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</si>
  <si>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</si>
  <si>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</si>
  <si>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</si>
  <si>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</si>
  <si>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</si>
  <si>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</si>
  <si>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예상 시간</t>
  </si>
  <si>
    <t>당기기 A (수직)</t>
  </si>
  <si>
    <t>—</t>
  </si>
  <si>
    <t>광배 · 승모(중부) · 기립근 · 복부</t>
  </si>
  <si>
    <t>밀기 A (수평)</t>
  </si>
  <si>
    <t>벤치프레스 5×5</t>
  </si>
  <si>
    <t>하체 A (무릎)</t>
  </si>
  <si>
    <t>스쿼트 5×5</t>
  </si>
  <si>
    <t>대퇴사두 · 햄스트링 · 둔근</t>
  </si>
  <si>
    <t>어깨·팔 A</t>
  </si>
  <si>
    <t>휴식</t>
  </si>
  <si>
    <t>당기기 B (수평)</t>
  </si>
  <si>
    <t>밀기 B (수직)</t>
  </si>
  <si>
    <t>밀리터리 3×5</t>
  </si>
  <si>
    <t>하체 B (고관절)</t>
  </si>
  <si>
    <t>데드리프트 1×5 + 백오프 2×5</t>
  </si>
  <si>
    <t>둔근 · 햄스트링 · 대퇴사두</t>
  </si>
  <si>
    <t>어깨·팔 B</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</si>
  <si>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</si>
  <si>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</si>
  <si>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</si>
  <si>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</si>
  <si>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</si>
  <si>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</si>
  <si>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</si>
  <si>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</si>
  <si>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</si>
  <si>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</si>
  <si>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</si>
  <si>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</si>
  <si>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</si>
  <si>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</si>
  <si>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</si>
  <si>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</si>
  <si>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</si>
  <si>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</si>
  <si>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</si>
  <si>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</si>
  <si>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</si>
  <si>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</si>
  <si>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</si>
  <si>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</si>
  <si>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</si>
  <si>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</si>
  <si>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</si>
  <si>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</si>
  <si>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</si>
  <si>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</si>
  <si>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</si>
  <si>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</si>
  <si>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</si>
  <si>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</si>
  <si>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</si>
  <si>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</si>
  <si>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</si>
  <si>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</si>
  <si>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</si>
  <si>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</si>
  <si>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</si>
  <si>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</si>
  <si>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</si>
  <si>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</si>
  <si>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</si>
  <si>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</si>
  <si>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</si>
  <si>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</si>
  <si>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</si>
  <si>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</si>
  <si>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</si>
  <si>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</si>
  <si>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</si>
  <si>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</si>
  <si>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</si>
  <si>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</si>
  <si>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</si>
  <si>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</si>
  <si>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</si>
  <si>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</si>
  <si>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</si>
  <si>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</si>
  <si>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</si>
  <si>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</si>
  <si>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</si>
  <si>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</si>
  <si>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</si>
  <si>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</si>
  <si>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</si>
  <si>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</si>
  <si>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</si>
  <si>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친업 (어시스트 가능)</t>
  </si>
  <si>
    <t>광배</t>
  </si>
  <si>
    <t>6~8</t>
  </si>
  <si>
    <t>수직 당기기 메인. 광배 위쪽 섬유 비중이 큼</t>
  </si>
  <si>
    <t>어시스트 풀업 머신 (개수가 안 나올 때) / 뉴트럴 그립 친업 (팔꿈치가 편함) / 랫풀다운</t>
  </si>
  <si>
    <t>135/145/160/180</t>
  </si>
  <si>
    <t>랫풀다운</t>
  </si>
  <si>
    <t>뉴트럴 그립 랫풀다운 / 원암 랫풀다운 (좌우 독립) / 케이블 풀오버 (이두 개입 최소)</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</si>
  <si>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</si>
  <si>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</si>
  <si>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</si>
  <si>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</si>
  <si>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</si>
  <si>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</si>
  <si>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</si>
  <si>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</si>
  <si>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</si>
  <si>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</si>
  <si>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</si>
  <si>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</si>
  <si>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</si>
  <si>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</si>
  <si>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</si>
  <si>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</si>
  <si>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</si>
  <si>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</si>
  <si>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</si>
  <si>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</si>
  <si>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</si>
  <si>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</si>
  <si>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</si>
  <si>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</si>
  <si>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</si>
  <si>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</si>
  <si>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</si>
  <si>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</si>
  <si>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</si>
  <si>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</si>
  <si>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</si>
  <si>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</si>
  <si>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</si>
  <si>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</si>
  <si>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 xml:space="preserve"> </t>
  </si>
  <si>
    <t>2일차 — 밀기 A (수평)</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</si>
  <si>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</si>
  <si>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</si>
  <si>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</si>
  <si>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</si>
  <si>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</si>
  <si>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</si>
  <si>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</si>
  <si>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</si>
  <si>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</si>
  <si>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</si>
  <si>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</si>
  <si>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</si>
  <si>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</si>
  <si>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</si>
  <si>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</si>
  <si>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</si>
  <si>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상체 앞으로 기울여 흉근 비중 확보. 쉬워지면 벨트로 중량 추가</t>
  </si>
  <si>
    <t>어시스트 딥스 머신 / 디클라인 덤벨 프레스 / 체스트 딥스 머신  https://www.youtube.com/shorts/1tQQKeAMwr0</t>
  </si>
  <si>
    <t>인클라인 벤치프레스(스미스)</t>
  </si>
  <si>
    <t>흉근(상부)</t>
  </si>
  <si>
    <t>30</t>
  </si>
  <si>
    <t>삼두 · 삼각근(전면)</t>
  </si>
  <si>
    <t>인클라인 바벨 벤치프레스 / 인클라인 덤벨 프레스 / 인클라인 벤치프레스 머신</t>
  </si>
  <si>
    <t>인클라인 덤벨 플라이(혹은 벡덱플라이 머신으로)</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</si>
  <si>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</si>
  <si>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</si>
  <si>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</si>
  <si>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</si>
  <si>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케이블 레터럴 레이즈 (전 구간 장력) / 레터럴 레이즈 머신 / 라잉 레터럴</t>
  </si>
  <si>
    <t>리버스 펙덱플라이</t>
  </si>
  <si>
    <t>https://www.youtube.com/shorts/Et70PVUQpDE</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</si>
  <si>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</si>
  <si>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</si>
  <si>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</si>
  <si>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</si>
  <si>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</si>
  <si>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</si>
  <si>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</si>
  <si>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</si>
  <si>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</si>
  <si>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</si>
  <si>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</si>
  <si>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</si>
  <si>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</si>
  <si>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</si>
  <si>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</si>
  <si>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</si>
  <si>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</si>
  <si>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</si>
  <si>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</si>
  <si>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</si>
  <si>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</si>
  <si>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</si>
  <si>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</si>
  <si>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</si>
  <si>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</si>
  <si>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</si>
  <si>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</si>
  <si>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</si>
  <si>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</si>
  <si>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</si>
  <si>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</si>
  <si>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</si>
  <si>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</si>
  <si>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4일차 — 어깨·팔 A</t>
  </si>
  <si>
    <t>머신 레터럴 레이즈</t>
  </si>
  <si>
    <t>궤도가 고정돼 반동이 안 들어간다. 중간 구간을 끝까지 쓴다. 어깨가 으쓱 따라 올라가면 승모가 대신 일하는 것 — 무게를 내린다.</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</si>
  <si>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</si>
  <si>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</si>
  <si>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</si>
  <si>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</si>
  <si>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</si>
  <si>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</si>
  <si>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</si>
  <si>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</si>
  <si>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</si>
  <si>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</si>
  <si>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</si>
  <si>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</si>
  <si>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디클라인 케이블 플라이</t>
  </si>
  <si>
    <t>펙덱 플라이</t>
  </si>
  <si>
    <t>25~30</t>
  </si>
  <si>
    <t>케이블 크로스오버 / 플랫 벤치 덤벨 플라이 (가동범위 ↑) / 머신 체스트 플라이</t>
  </si>
  <si>
    <t>케이블 푸쉬다운 (로프)</t>
  </si>
  <si>
    <t>V바 푸쉬다운 (손목이 편함) / 오버헤드 케이블 익스텐션 (장두 — 7일차와 겹치므로 차선) / 덤벨 킥백 / 벤치 딥스 (케이블이 없을 때)</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</si>
  <si>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</si>
  <si>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</si>
  <si>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</si>
  <si>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시티드 리스트 컬(손등 위)</t>
  </si>
  <si>
    <t>케이블 리버스 리스트 컬 / 리버스 EZ바 컬 (상완요골근까지) / 덤벨로 한 손씩</t>
  </si>
  <si>
    <t>35</t>
  </si>
  <si>
    <t>와이드 스탠스 레그 프레스 / 케이블 힙 내전</t>
  </si>
  <si>
    <t>케이블 힙 외전 / 밴드 사이드 워크</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</si>
  <si>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</si>
  <si>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</si>
  <si>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</si>
  <si>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</si>
  <si>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</si>
  <si>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</si>
  <si>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</si>
  <si>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 E열을 0으로 내리면 회색으로 접히고 합계 · 세트검산에서 빠진다. 다만 그 세트는 예산에서 사라지는 게 아니라 어딘가로 돌아가야 한다 — 잔여 예산이 양수로 뜨면 그 신호다.</t>
  </si>
  <si>
    <t>6일차 — 당기기 B (수평)</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</si>
  <si>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</si>
  <si>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</si>
  <si>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</si>
  <si>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</si>
  <si>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</si>
  <si>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</si>
  <si>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원암 케이블 로우 (좌우 독립) / 덤벨 로우 / 머신 로우</t>
  </si>
  <si>
    <t>시티드 케이블 로우 스캡 슈러그(두번째 크기 바)</t>
  </si>
  <si>
    <t>후면 삼각근</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</si>
  <si>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</si>
  <si>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</si>
  <si>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</si>
  <si>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</si>
  <si>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</si>
  <si>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</si>
  <si>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</si>
  <si>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</si>
  <si>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</si>
  <si>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오버헤드 슈러그(스미스)</t>
  </si>
  <si>
    <t>20</t>
  </si>
  <si>
    <t>오버헤드 케이블 슈러그 / 프론 Y 레이즈</t>
  </si>
  <si>
    <t>스탠딩 카프 레이즈 머신 / 레그 프레스 발판 끝에서 / 스미스 카프 레이즈</t>
  </si>
  <si>
    <t>중량 크런치</t>
  </si>
  <si>
    <t>케이블 크런치 (점진적 과부하에 최적 — 1순위) / 압도미널 크런치 머신 / 인클라인 싯업</t>
  </si>
  <si>
    <t>7일차 — 밀기 B (수직)</t>
  </si>
  <si>
    <t>메인: 밀리터리 프레스</t>
  </si>
  <si>
    <t>밀리터리 프레스 (본세트)</t>
  </si>
  <si>
    <t>벤치와 5일 간격 — 5일 버전의 "전날 벤치 여파" 문제가 사라진 자리. 팔꿈치 다 내리지 말 것</t>
  </si>
  <si>
    <t>스미스 오버헤드 프레스 / 숄더 프레스 머신 / 덤벨 숄더 프레스 (가동범위 ↑) / 아놀드 프레스</t>
  </si>
  <si>
    <t>165/180/195</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</si>
  <si>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</si>
  <si>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</si>
  <si>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</si>
  <si>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</si>
  <si>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</si>
  <si>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</si>
  <si>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</si>
  <si>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</si>
  <si>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</si>
  <si>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</si>
  <si>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</si>
  <si>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</si>
  <si>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</si>
  <si>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</si>
  <si>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</si>
  <si>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</si>
  <si>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</si>
  <si>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</si>
  <si>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</si>
  <si>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</si>
  <si>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</si>
  <si>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</si>
  <si>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</si>
  <si>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</si>
  <si>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</si>
  <si>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</si>
  <si>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</si>
  <si>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</si>
  <si>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</si>
  <si>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</si>
  <si>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</si>
  <si>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</si>
  <si>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</si>
  <si>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</si>
  <si>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</si>
  <si>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직전 사이클의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현장 복귀 시 이 행은 0세트로 내린다 (복귀판은 데드 1×5가 상한)</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</si>
  <si>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</si>
  <si>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</si>
  <si>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</si>
  <si>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</si>
  <si>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</si>
  <si>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</si>
  <si>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</si>
  <si>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</si>
  <si>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</si>
  <si>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레그 익스텐션</t>
  </si>
  <si>
    <t>무릎 굽힘 — 가자미근 주도. 3일차 스탠딩(비복근)과 역할이 다르다</t>
  </si>
  <si>
    <t>시티드 카프 레이즈 머신 (1순위) / 레그 프레스에서 무릎 굽힌 채 / 덤벨을 무릎에 올리고</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</si>
  <si>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</si>
  <si>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</si>
  <si>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</si>
  <si>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</si>
  <si>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</si>
  <si>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</si>
  <si>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</si>
  <si>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</si>
  <si>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</si>
  <si>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</si>
  <si>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</si>
  <si>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</si>
  <si>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</si>
  <si>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</si>
  <si>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</si>
  <si>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</si>
  <si>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</si>
  <si>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</si>
  <si>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</si>
  <si>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</si>
  <si>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</si>
  <si>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</si>
  <si>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</si>
  <si>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</si>
  <si>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</si>
  <si>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</si>
  <si>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</si>
  <si>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</si>
  <si>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</si>
  <si>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</si>
  <si>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</si>
  <si>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</si>
  <si>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</si>
  <si>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</si>
  <si>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</si>
  <si>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</si>
  <si>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</si>
  <si>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</si>
  <si>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</si>
  <si>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</si>
  <si>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</si>
  <si>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</si>
  <si>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</si>
  <si>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</si>
  <si>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</si>
  <si>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</si>
  <si>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</si>
  <si>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</si>
  <si>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</si>
  <si>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</si>
  <si>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</si>
  <si>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</si>
  <si>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</si>
  <si>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</si>
  <si>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</si>
  <si>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</si>
  <si>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</si>
  <si>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</si>
  <si>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</si>
  <si>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</si>
  <si>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</si>
  <si>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</si>
  <si>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</si>
  <si>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</si>
  <si>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</si>
  <si>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</si>
  <si>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</si>
  <si>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</si>
  <si>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</si>
  <si>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</si>
  <si>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</si>
  <si>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</si>
  <si>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</si>
  <si>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</si>
  <si>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</si>
  <si>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</si>
  <si>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</si>
  <si>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D4_어깨팔A</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</si>
  <si>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</si>
  <si>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</si>
  <si>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</si>
  <si>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</si>
  <si>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</si>
  <si>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</si>
  <si>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</si>
  <si>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</si>
  <si>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</si>
  <si>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</si>
  <si>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</si>
  <si>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</si>
  <si>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</si>
  <si>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</si>
  <si>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</si>
  <si>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</si>
  <si>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</si>
  <si>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</si>
  <si>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</si>
  <si>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</si>
  <si>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</si>
  <si>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</si>
  <si>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</si>
  <si>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</si>
  <si>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</si>
  <si>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</si>
  <si>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</si>
  <si>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</si>
  <si>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</si>
  <si>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</si>
  <si>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</si>
  <si>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</si>
  <si>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</si>
  <si>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</si>
  <si>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</si>
  <si>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</si>
  <si>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</si>
  <si>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</si>
  <si>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</si>
  <si>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</si>
  <si>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</si>
  <si>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</si>
  <si>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</si>
  <si>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</si>
  <si>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</si>
  <si>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</si>
  <si>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</si>
  <si>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</si>
  <si>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</si>
  <si>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</si>
  <si>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</si>
  <si>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</si>
  <si>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</si>
  <si>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</si>
  <si>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</si>
  <si>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</si>
  <si>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</si>
  <si>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</si>
  <si>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</si>
  <si>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</si>
  <si>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</si>
  <si>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</si>
  <si>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</si>
  <si>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</si>
  <si>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</si>
  <si>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</si>
  <si>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</si>
  <si>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</si>
  <si>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</si>
  <si>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</si>
  <si>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</si>
  <si>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</si>
  <si>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</si>
  <si>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</si>
  <si>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</si>
  <si>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</si>
  <si>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</si>
  <si>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</si>
  <si>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</si>
  <si>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</si>
  <si>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</si>
  <si>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</si>
  <si>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</si>
  <si>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없음</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</si>
  <si>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</si>
  <si>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</si>
  <si>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</si>
  <si>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</si>
  <si>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</si>
  <si>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</si>
  <si>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</si>
  <si>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t>
  </si>
  <si>
    <t>기본은 계획대로 증량. 목표 반복을 못 채운 사이클에는 그 칸에 마지막 세트 실제 반복수(예: 3)를 적습니다 — 숫자든 X든 무엇이 적히면 그 중량이 유지됩니다. 공란과 O만 증량입니다.</t>
  </si>
  <si>
    <t>증량 설정 — 종목별</t>
  </si>
  <si>
    <t>데드리프트 사이클당 증량 (kg)</t>
  </si>
  <si>
    <t>가장 큰 근육군 · 회복 여력 최대</t>
  </si>
  <si>
    <t>스쿼트 사이클당 증량 (kg)</t>
  </si>
  <si>
    <t>하체 — 복귀 구간에서는 빠르게 오른다</t>
  </si>
  <si>
    <t>벤치프레스 사이클당 증량 (kg)</t>
  </si>
  <si>
    <t>마이크로플레이트 1.125kg × 2</t>
  </si>
  <si>
    <t>밀리터리 프레스 사이클당 증량 (kg)</t>
  </si>
  <si>
    <t>가장 작은 근육군 — 절대값이 작아 2.25kg은 과함</t>
  </si>
  <si>
    <t>날짜 (1일차)</t>
  </si>
  <si>
    <t>스쿼트 목표</t>
  </si>
  <si>
    <t>미달 시 반복수</t>
  </si>
  <si>
    <t>데드 목표</t>
  </si>
  <si>
    <t>벤치 목표</t>
  </si>
  <si>
    <t>프레스 목표</t>
  </si>
  <si>
    <t>다음날 피로 0~5</t>
  </si>
  <si>
    <t>관절 이상</t>
  </si>
  <si>
    <t>· 공란 또는 O = 계획대로 증량. 그 밖의 입력(반복수 · X) = 그 중량을 다음 사이클에도 유지.</t>
  </si>
  <si>
    <t>· 1사이클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</si>
  <si>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</si>
  <si>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</si>
  <si>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20kg 프레스에 2.25kg은 11% 증가지만, 105kg 데드에 2.5kg은 2.4%다.</t>
  </si>
  <si>
    <t>· 균일 증량을 쓰면 작은 종목만 비현실적으로 빨리 오르고 큰 종목은 제자리에 머문다.</t>
  </si>
  <si>
    <t>· 하체 5kg이 커 보이지만 복귀 구간 첫 두세 달은 정상 범위다. 근력을 새로 만드는 것이 아니라 되찾는 구간이기 때문.</t>
  </si>
  <si>
    <t>· 이 속도가 버거워지면(X가 반복되면) 해당 칸 숫자를 절반으로 내린다.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</si>
  <si>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</si>
  <si>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</si>
  <si>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</si>
  <si>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사이클은 비워둔다.</t>
  </si>
  <si>
    <t>· 이 두 칸이 3사이클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</si>
  <si>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</si>
  <si>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</si>
  <si>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</si>
  <si>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</si>
  <si>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이유</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</si>
  <si>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</si>
  <si>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</si>
  <si>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</si>
  <si>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</si>
  <si>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</si>
  <si>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</si>
  <si>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</si>
  <si>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</si>
  <si>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</si>
  <si>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</si>
  <si>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</si>
  <si>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빈도</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</si>
  <si>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</si>
  <si>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</si>
  <si>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</si>
  <si>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</si>
  <si>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</si>
  <si>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</si>
  <si>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</si>
  <si>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</si>
  <si>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</si>
  <si>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</si>
  <si>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</si>
  <si>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</si>
  <si>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</si>
  <si>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</si>
  <si>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</si>
  <si>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</si>
  <si>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</si>
  <si>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</si>
  <si>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</si>
  <si>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</si>
  <si>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현장 복귀 버전 — 주간 계획 (주 4회 · 2분할 · 성장선)</t>
  </si>
  <si>
    <t>12시간 근무 주 2일 · 요일 유동 · 토 · 일은 시간 확보</t>
  </si>
  <si>
    <t>훈련 주 4회 — 토 · 일 고정 + 평일 2회 유동</t>
  </si>
  <si>
    <t>슬롯</t>
  </si>
  <si>
    <t>근무</t>
  </si>
  <si>
    <t>고정</t>
  </si>
  <si>
    <t>훈련</t>
  </si>
  <si>
    <t>비고</t>
  </si>
  <si>
    <t>평일 A</t>
  </si>
  <si>
    <t>8시간인 날</t>
  </si>
  <si>
    <t>유동</t>
  </si>
  <si>
    <t>가슴 위주 (상체 A)</t>
  </si>
  <si>
    <t>약 72분</t>
  </si>
  <si>
    <t>미는 날. 벤치를 매주 올린다. 네 세션 중 가장 짧다</t>
  </si>
  <si>
    <t>평일 B</t>
  </si>
  <si>
    <t>어깨 위주 (하체 B)</t>
  </si>
  <si>
    <t>약 66분</t>
  </si>
  <si>
    <t>척추 부하 0. 일요일 다음날에 쓸 수 있는 유일한 세션</t>
  </si>
  <si>
    <t>토</t>
  </si>
  <si>
    <t>시간 확보</t>
  </si>
  <si>
    <t>하체 · 어깨 (하체 A)</t>
  </si>
  <si>
    <t>약 84분</t>
  </si>
  <si>
    <t>스쿼트 5×5와 오버헤드 프레스를 앞쪽에 · 어깨 보조 9세트</t>
  </si>
  <si>
    <t>일</t>
  </si>
  <si>
    <t>휴무</t>
  </si>
  <si>
    <t>등 위주 (상체 B)</t>
  </si>
  <si>
    <t>약 74분</t>
  </si>
  <si>
    <t>완전 휴무일 — 척추가 버티는 종목은 전부 여기</t>
  </si>
  <si>
    <t>나머지 3일</t>
  </si>
  <si>
    <t>12시간 2일 포함</t>
  </si>
  <si>
    <t>12시간 근무일과 그 다음날, 그리고 일요일 다음날은 비운다</t>
  </si>
  <si>
    <t>약 296분 (4시간 56분)</t>
  </si>
  <si>
    <t>[요일 선정 논리]</t>
  </si>
  <si>
    <t>· 확실한 것은 두 가지뿐이다 — 12시간 근무가 주 2일이라는 것, 그리고 토 · 일은 시간이 확보된다는 것.</t>
  </si>
  <si>
    <t>· 어느 요일이 12시간인지 모르므로 평일을 고정 배치할 수 없다. 그래서 무거운 두 리프트를 토 · 일에 고정하고, 평일 2회는 8시간인 날로 그 주에 맞춰 넣는다.</t>
  </si>
  <si>
    <t>· 평일 두 세션은 둘 다 척추 부하가 0이다. 어느 요일에 걸려도 다음날 근무를 망치지 않도록 그렇게 짰다.</t>
  </si>
  <si>
    <t>· 12시간이 월·수 / 월·목 / 화·목으로 걸리는 주에는 다음날 회피까지 감안하면 8시간인 평일이 하루뿐이다. 그 주는 3회로 간다 — 평일 B를 뺀다.</t>
  </si>
  <si>
    <t>· 평일 두 세션은 붙이지 말고 사이에 하루를 둔다. 볼륨은 시간이 남는 토 · 일로 몰고 평일은 짧게 유지한다 — 근무 뒤에 들어가는 자리이기 때문이다.</t>
  </si>
  <si>
    <t>[일요일 다음날 규칙]</t>
  </si>
  <si>
    <t>· 일요일 다음날은 비우는 것이 기본이다. 당기기 12세트 + 데드 뒤라 회복이 우선이다.</t>
  </si>
  <si>
    <t>· 훈련해야 한다면 평일 B다. 어깨 · 하체 고립 · 코어뿐이라 일요일과 겹치는 부위가 하나도 없다.</t>
  </si>
  <si>
    <t>· 평일 A는 등 보조가 6세트라 일요일 바로 다음날에 넣으면 등이 이틀 연속이 된다. 이 자리에는 두지 않는다.</t>
  </si>
  <si>
    <t>[유지가 아니라 성장이 목표다]</t>
  </si>
  <si>
    <t>· 120세트는 유지선(75)이 아니라 성장선이다. 유지 모드로 두면 현장 일 기간 내내 3대 500이 멈추기 때문에 그렇게 잡지 않았다.</t>
  </si>
  <si>
    <t>· 재택 주당 환산 161세트의 75%다. 헬스 세트는 그만큼 줄지만 현장 일이 등 · 하체 · 기립근 · 그립에 하루치를 얹으므로 총 부하는 덜 줄어든다.</t>
  </si>
  <si>
    <t>· 유지선에서 되살린 곳 — 둔근 0 → 3 · 중둔근 0 → 3 · 내전근 0 → 3 · 승모 중부 0 → 3 · 전완 0 → 6.</t>
  </si>
  <si>
    <t>· 성장선으로 올린 곳 — 사두 7 → 12 · 흉근 상부 3 → 9 · 측면삼각 10 · 후면삼각 4 → 10 · 삼두 3 → 6 · 이두 3 → 6 · 광배 15.</t>
  </si>
  <si>
    <t>· 안 올린 곳 — 종아리 3 · 기립근 1 · 복부 3. 현장 일이 하루치를 얹어주거나 직접 경쟁하는 부위다.</t>
  </si>
  <si>
    <t>[미는 종목과 지키는 종목]</t>
  </si>
  <si>
    <t>· 매주 미는 것은 벤치 · 스쿼트 · 오버헤드 프레스 셋이다. 전부 세션 앞쪽에 신선한 상태로 배치했다.</t>
  </si>
  <si>
    <t>· 데드는 첫 4주 지키기만 한다. 허리가 현장 일과 직접 경쟁하는 유일한 부위이고, 여기를 밀려다 나머지가 다 무너진다.</t>
  </si>
  <si>
    <t>· 나머지 보조 종목은 전부 더블 프로그레션 — 목표 반복 상단을 전 세트에서 채우면 그때 중량을 올린다.</t>
  </si>
  <si>
    <t>[세션 크기]</t>
  </si>
  <si>
    <t>· 평일 A 72분 26세트 · 평일 B 66분 32세트 · 토 84분 31세트 · 일 74분 31세트. 상한은 26세트이나 고립 소근육은 예외로 본다.</t>
  </si>
  <si>
    <t>· 평일 B는 메인 리프트가 없고 거의 전부가 고립이라 상한 규칙의 적용 대상이 아니다. 휴식이 60~75초라 45분이면 끝난다.</t>
  </si>
  <si>
    <t>· 평일 A는 고립 10세트를 빼면 실질 16, 토요일은 15세트를 빼면 실질 15, 일요일은 12세트를 빼면 실질 19다.</t>
  </si>
  <si>
    <t>[예상 시간 — 산정 기준]</t>
  </si>
  <si>
    <t>· 휴식 기준: 메인 본세트 3분 · 다관절 보조 2~2분 30초 · 하체 고립 2분 · 흉근 고립 105초 · 종아리 · 등 고립 75초 · 팔 고립 60~75초 · 어깨 고립 · 복부 60초. 재택판과 같은 기준이다.</t>
  </si>
  <si>
    <t>· 편측(좌우) 종목은 수행을 60초로 잡는다 — 원 레그 컬 · 케이블 힙 외전 · 원암 케이블 레터럴.</t>
  </si>
  <si>
    <t>· 시계보다 반복 수가 우선이다. 직전 세트보다 2회 이상 떨어지면 휴식이 짧은 것 — 특히 스쿼트 · 데드가 그렇다.</t>
  </si>
  <si>
    <t>· 평일 두 세션이 가장 짧다. 8시간 근무 뒤에 들어가는 자리이므로 그렇게 짰다.</t>
  </si>
  <si>
    <t>· 웜업은 별도다. 메인 리프트가 있는 날은 10~15분을 더 잡는다.</t>
  </si>
  <si>
    <t>토요일 — 하체 위주 (하체 A)</t>
  </si>
  <si>
    <t>시간이 널널한 날. 스쿼트만 프리웨이트로 두고 나머지는 전부 머신 — 다음날 데드가 있으므로 힌지를 빼서 기립근 부하를 0에 가깝게 만든다.</t>
  </si>
  <si>
    <t>미는 종목 2순위. 성장 목표로 바꾸면서 3×5 → 5×5로 되돌렸다 (주 +2.5kg)</t>
  </si>
  <si>
    <t>레그 프레스 (허리 부담 시 1순위) / 스미스 스쿼트 / 핵 스쿼트</t>
  </si>
  <si>
    <t>스미스 오버헤드 프레스</t>
  </si>
  <si>
    <t>증량을 추적하는 리프트라 하체 볼륨 앞에 둔다. 궤도가 고정돼 스쿼트 뒤에도 안정화 부담이 없다 (주 +1.25kg)</t>
  </si>
  <si>
    <t>머신 숄더 프레스 (완전 머신을 원할 때 — 단 증량 추적은 끊긴다)</t>
  </si>
  <si>
    <t>스쿼트 뒤 사두 볼륨을 척추 부하 없이 채운다. 발 위치를 높게 두면 둔근·햄스트링도 걸린다. 더블 프로그레션 — 전 세트가 목표 반복 상단에 닿으면 다음 주에 중량을 올린다</t>
  </si>
  <si>
    <t>핵 스쿼트 / 45도 레그 프레스 / 스미스 스쿼트</t>
  </si>
  <si>
    <t>사두 고립. 척추 부하 없이 볼륨만 더한다. 더블 프로그레션 — 전 세트가 목표 반복 상단에 닿으면 다음 주에 중량을 올린다</t>
  </si>
  <si>
    <t>시시 스쿼트 머신 / 레그 프레스 (고립은 아니나 궤도 고정)</t>
  </si>
  <si>
    <t>루마니안 데드 대체. 힌지를 빼서 다음날 데드가 온전히 나온다. 편측이라 좌우 차이도 잡힌다. 더블 프로그레션 — 전 세트가 목표 반복 상단에 닿으면 다음 주에 중량을 올린다</t>
  </si>
  <si>
    <t>라잉 / 시티드 레그 컬 (양측) / 케이블 풀스루</t>
  </si>
  <si>
    <t>40</t>
  </si>
  <si>
    <t>복귀판에 내전근이 통째로 비어 있었다. 재택에서 실질 10세트로 올려둔 부위라 되살린다. 더블 프로그레션 — 전 세트가 목표 반복 상단에 닿으면 다음 주에 중량을 올린다</t>
  </si>
  <si>
    <t>와이드 스탠스 레그 프레스 / 케이블 어덕션</t>
  </si>
  <si>
    <t>앉아서 하는 쪽. 온종일 서 있던 날 스탠딩보다 부담이 적다. 현장 일이 종아리를 종일 쓰므로 직접 3세트로 충분</t>
  </si>
  <si>
    <t>스탠딩 카프 레이즈 머신 / 레그 프레스 카프 레이즈</t>
  </si>
  <si>
    <t>리버스 펙덱</t>
  </si>
  <si>
    <t>15~20</t>
  </si>
  <si>
    <t>어깨 보조. 평일 B의 케이블 리버스 플라이와 저항곡선이 갈린다 — 머신은 수축 끝단, 케이블은 전 구간에 장력이 걸린다. 더블 프로그레션 — 전 세트가 목표 반복 상단에 닿으면 다음 주에 중량을 올린다</t>
  </si>
  <si>
    <t>케이블 리버스 플라이 / 리어 델트 로우 (로프) / 페이스풀 (로프)</t>
  </si>
  <si>
    <t>어깨 보조. 평일 B와 합쳐 측면 삼각근을 주 10세트로 맞춘다 — 간접 자극이 0인 부위라 직접 세트로만 채워진다. 더블 프로그레션 — 전 세트가 목표 반복 상단에 닿으면 다음 주에 중량을 올린다</t>
  </si>
  <si>
    <t>케이블 레터럴 레이즈 / 머신 레터럴</t>
  </si>
  <si>
    <t>[배치 이유]</t>
  </si>
  <si>
    <t>· 토 · 일은 근무 패턴과 무관하게 확보되는 이틀이다. 무거운 두 리프트(스쿼트 · 데드)를 여기에 고정하는 이유가 그것이다.</t>
  </si>
  <si>
    <t>· 스쿼트(토) → 데드(일) 순서가 그 반대보다 낫다. 데드 다음날 스쿼트는 허리가 받쳐주지 않는다.</t>
  </si>
  <si>
    <t>· 스미스 오버헤드 프레스를 2번째에 둔 것은 이것이 증량을 추적하는 리프트이기 때문이다. 하체 볼륨 뒤로 밀면 진행이 안 나온다.</t>
  </si>
  <si>
    <t>· 힌지 계열(루마니안 데드)을 빼고 원 레그 컬로 햄스트링을 채운다. 다음날 데드가 온전히 나온다.</t>
  </si>
  <si>
    <t>· 어깨 보조는 오버헤드 프레스 3 + 리버스 펙덱 3 + 레터럴 3 = 9세트. 하체 21 + 어깨 9로 이 날은 하체와 어깨만 하는 날이다.</t>
  </si>
  <si>
    <t>[허리가 부담되면]</t>
  </si>
  <si>
    <t>· 스쿼트를 레그 프레스로 교체하면 기립근이 완전히 빠져 다음날 데드가 온전히 나온다.</t>
  </si>
  <si>
    <t>· 토 · 일 연속은 이상적이지 않으나 이 근무 스케줄에서는 다른 선택지가 없다.</t>
  </si>
  <si>
    <t>· 스쿼트 5×5는 성장선이다. 다음 근무일 아침 허리가 무거운 주가 이어지면 3×5로 되돌린다.</t>
  </si>
  <si>
    <t>· 30세트지만 고립(레그 익스텐션 · 이너 타이 · 카프 · 리버스 펙덱 · 레터럴)이 15세트다. 상한 규칙상 실질 15로 본다.</t>
  </si>
  <si>
    <t>· 약 84분으로 가장 길다. 시간이 확보되는 날이라 여기에 몰았다.</t>
  </si>
  <si>
    <t>[요청 원문] 이너타이, 벡덱플라이</t>
  </si>
  <si>
    <t>일요일 — 등 위주 (상체 B)</t>
  </si>
  <si>
    <t>완전 휴무일이라 회복된 상태에서 시작하고 하루가 통째로 남는다. 척추가 버티는 종목과 전완은 전부 이 날에 모았다.</t>
  </si>
  <si>
    <t>지키는 종목. 허리는 현장 일과 직접 경쟁하므로 첫 4주는 1×5로 두고 지표만 본다 (주 +2.5kg)</t>
  </si>
  <si>
    <t>트랩바 데드 (요추 전단력 ↓ — 볼륨을 올리려면 이쪽이 먼저다) / 랙풀</t>
  </si>
  <si>
    <t>스미스 바벨 로우(오버그립)</t>
  </si>
  <si>
    <t>40~45</t>
  </si>
  <si>
    <t>궤도가 고정돼 데드 뒤에도 허리 비용이 낮다. 척추가 버티는 종목이라 완전 휴무일에만 둔다. 더블 프로그레션 — 전 세트가 목표 반복 상단에 닿으면 다음 주에 중량을 올린다</t>
  </si>
  <si>
    <t>티바 로우 / 해머 스트랭스 로우 (허리가 무거운 주)</t>
  </si>
  <si>
    <t>135/145/155/165</t>
  </si>
  <si>
    <t>시티드 케이블 로우(좁은 그립)</t>
  </si>
  <si>
    <t>수평 당기기 보강. 스미스 로우와 그립·각도를 다르게 잡는다. 더블 프로그레션 — 전 세트가 목표 반복 상단에 닿으면 다음 주에 중량을 올린다</t>
  </si>
  <si>
    <t>머신 로우 / 원암 케이블 로우 (좌우 독립)</t>
  </si>
  <si>
    <t>수직 당기기. 그립이 지쳐 있으면 주저 말고 어시스트 머신으로 — 뒤에 전완 6세트가 남아 있다</t>
  </si>
  <si>
    <t>어시스트 풀업 머신 (1순위 — 그립 부담 ↓) / 랫풀다운</t>
  </si>
  <si>
    <t>135/150/165</t>
  </si>
  <si>
    <t>32</t>
  </si>
  <si>
    <t>복귀판에 승모 중부·능형근 직접이 0이었다. 로우 간접만으로는 안 채워지는 부위. 더블 프로그레션 — 전 세트가 목표 반복 상단에 닿으면 다음 주에 중량을 올린다</t>
  </si>
  <si>
    <t>페이스풀 (로프) / 리버스 펙덱 (팔 편 채로)</t>
  </si>
  <si>
    <t>프론 Y 레이즈 대신. 팔이 머리 위에 고정된 채 견갑을 내리므로 하부 승모가 더 확실히 걸린다. 더블 프로그레션 — 전 세트가 목표 반복 상단에 닿으면 다음 주에 중량을 올린다</t>
  </si>
  <si>
    <t>프론 Y 레이즈 / 케이블 Y 레이즈</t>
  </si>
  <si>
    <t>가슴 보조 첫째. 시간이 가장 많은 날이라 되살렸다 — 맨몸이라 세팅도 필요 없다</t>
  </si>
  <si>
    <t>어시스트 딥스 머신 / 헤머스트랭스 체스트 프레스</t>
  </si>
  <si>
    <t>105/120/135</t>
  </si>
  <si>
    <t>가슴 보조 둘째. 당기기 뒤라 프레싱은 못 하지만 플라이는 어깨·삼두를 안 쓰므로 들어간다. 더블 프로그레션 — 전 세트가 목표 반복 상단에 닿으면 다음 주에 중량을 올린다</t>
  </si>
  <si>
    <t>펙덱 플라이 / 덤벨 플라이</t>
  </si>
  <si>
    <t>짧아진 구간이라 당기기 뒤에도 값이 덜 깎인다. 늘어난 구간(인클라인 덤벨 컬)은 평일 B로 보냈다. 더블 프로그레션 — 전 세트가 목표 반복 상단에 닿으면 다음 주에 중량을 올린다</t>
  </si>
  <si>
    <t>케이블 컬 (전 구간 장력) / 머신 컬 / EZ바 프리쳐 컬 (손목이 편함)</t>
  </si>
  <si>
    <t>시티드 리스트 컬(손등 아래)</t>
  </si>
  <si>
    <t>굴근 쪽. 그립과 같은 구획이라 당기기 뒤에 가장 많이 깎인다 — 그래서 전완 둘 중 먼저 친다. 더블 프로그레션 — 전 세트가 목표 반복 상단에 닿으면 다음 주에 중량을 올린다</t>
  </si>
  <si>
    <t>바벨 리스트 컬 / 케이블 리스트 컬</t>
  </si>
  <si>
    <t>신근 쪽. 그립을 쓰지 않는 근육이라 당기기 뒤에도 온전히 나온다. 벤치에 앉은 채 손만 뒤집으면 된다. 더블 프로그레션 — 전 세트가 목표 반복 상단에 닿으면 다음 주에 중량을 올린다</t>
  </si>
  <si>
    <t>바벨 리버스 리스트 컬 / 케이블 리스트 익스텐션</t>
  </si>
  <si>
    <t>[데드리프트 운용 규칙]</t>
  </si>
  <si>
    <t>· 첫 4주는 1×5를 넘기지 않는다. 허리는 현장 일과 직접 경쟁하는 유일한 부위이고, 여기를 밀려다 나머지 셋이 다 무너진다.</t>
  </si>
  <si>
    <t>· 4주간 다음 근무일 아침 허리가 깨끗하면 2×5로 올린다. 그때가 데드가 성장으로 돌아서는 지점이다.</t>
  </si>
  <si>
    <t>· 볼륨을 올리고 싶은데 허리가 애매하면 트랩바로 바꾸는 것이 먼저다 — 요추 전단력이 낮아 같은 세트에서 비용이 싸다.</t>
  </si>
  <si>
    <t>· 허리가 무거운 주에는 데드와 스미스 로우를 둘 다 건너뛴다. 건너뛰는 것이 규율이지 나태가 아니다.</t>
  </si>
  <si>
    <t>· 12시간 근무일 바로 다음날이 일요일이 되는 주에는 데드를 빼거나 트랩바로 대체할 것.</t>
  </si>
  <si>
    <t>[척추 종목이 이 날에 모인 이유]</t>
  </si>
  <si>
    <t>· 데드와 스미스 바벨 로우는 척추가 버텨야 하는 종목이다. 완전 휴무일이라 전날 밤 회복 후 시작하고 하루가 통째로 남는다.</t>
  </si>
  <si>
    <t>· 바벨을 스미스로 바꿔 궤도를 고정했다 — 같은 자극에 허리 비용이 내려간다.</t>
  </si>
  <si>
    <t>· 평일 A의 등 보조 자리는 해머 스트랭스 로우가 맡는다. 체스트 서포티드라 척추 부하가 0이다.</t>
  </si>
  <si>
    <t>· 이 날 다음날은 비우는 것이 기본이다. 훈련해야 한다면 등도 척추도 안 쓰는 평일 B로 간다.</t>
  </si>
  <si>
    <t>[전완을 이 날에 모은 이유]</t>
  </si>
  <si>
    <t>· 시간이 가장 많은 날이라 여기로 모았다. 대신 평일 A가 23세트로 짧아진다 — 8시간 근무 뒤에 들어가는 세션이라 그 편이 낫다.</t>
  </si>
  <si>
    <t>· 굴근(손등 아래)은 그립과 같은 구획이라 당기기 9세트 뒤에 깎인다. 그래서 둘 중 먼저 친다.</t>
  </si>
  <si>
    <t>· 신근(손등 위)은 그립을 쓰지 않아 당기기 뒤에도 온전하다. 이 날에 둬도 손해가 없는 쪽이다.</t>
  </si>
  <si>
    <t>· 굴근 중량이 평소보다 낮게 나오는 것이 정상이다. 같은 요일끼리만 비교해서 진행을 잰다.</t>
  </si>
  <si>
    <t>· 그립을 아끼려면 친업을 어시스트 머신으로 돌린다.</t>
  </si>
  <si>
    <t>[이 세션이 가장 크다]</t>
  </si>
  <si>
    <t>· 31세트로 가장 크다. 다만 고립(플라이 · 프리쳐 컬 · 리스트 컬 2종)이 12세트라 상한 규칙상 실질 19다.</t>
  </si>
  <si>
    <t>· 약 74분. 완전 휴무일이라 시간이 통째로 남고 다음날 완충도 있어서 여기에 몰았다.</t>
  </si>
  <si>
    <t>· 광배는 이 날 9세트 + 평일 A 6세트 = 주 15세트.</t>
  </si>
  <si>
    <t>[요청 원문] 시티드 케이블 로우 스캡 슈러그(두번째 크기 바), 와이 프론트 레이즈 대신 오버헤드 슈러그, 디클라인 케이블 플라이, 인클라인 덤벨컬, 시티드 리스트 컬(손등 아래), 리버스컬</t>
  </si>
  <si>
    <t>평일 B — 어깨 위주 (하체 B)</t>
  </si>
  <si>
    <t>척추 부하가 0인 세션. 근무 상황을 가장 안 타므로 주중 어디에 넣어도 되고, 일요일 다음날에 쓸 수 있는 유일한 세션이다.</t>
  </si>
  <si>
    <t>궤도 고정이라 안정화 부담이 없다. 토요일 오버헤드 프레스와 각도를 나눈다. 더블 프로그레션 — 전 세트가 목표 반복 상단에 닿으면 다음 주에 중량을 올린다</t>
  </si>
  <si>
    <t>간접 자극이 0인 부위 — 직접 세트로만 채워진다. 더블 프로그레션 — 전 세트가 목표 반복 상단에 닿으면 다음 주에 중량을 올린다</t>
  </si>
  <si>
    <t>케이블 레터럴 레이즈</t>
  </si>
  <si>
    <t>원암 케이블 레터럴 레이즈</t>
  </si>
  <si>
    <t>5~7</t>
  </si>
  <si>
    <t>케이블이라 전 구간 장력이 걸린다. 덤벨 레터럴이 약한 하단 구간을 메운다. 더블 프로그레션 — 전 세트가 목표 반복 상단에 닿으면 다음 주에 중량을 올린다</t>
  </si>
  <si>
    <t>리닝 케이블 레터럴 / 머신 레터럴</t>
  </si>
  <si>
    <t>현장 자세가 어깨를 앞으로 말므로 감축 대상이 아니다. 오히려 더 필요해진다. 더블 프로그레션 — 전 세트가 목표 반복 상단에 닿으면 다음 주에 중량을 올린다</t>
  </si>
  <si>
    <t>케이블 리버스 플라이 / 리어 델트 로우 (로프)</t>
  </si>
  <si>
    <t>케이블이라 전 구간 장력이 걸린다 — 머신이 약한 수축 끝단을 메운다. 벤트오버 머신과 저항곡선이 갈리는 것이 이 자리의 값이다. 더블 프로그레션 — 전 세트가 목표 반복 상단에 닿으면 다음 주에 중량을 올린다</t>
  </si>
  <si>
    <t>리버스 펙덱 / 리어 델트 로우 (로프) / 페이스풀 (로프)</t>
  </si>
  <si>
    <t>일요일에서 옮겨 왔다. 이 날은 이두를 쓰는 종목이 하나도 없어 완전히 신선하다 — 늘어난 구간 종목이라 그 차이가 크다. 더블 프로그레션 — 전 세트가 목표 반복 상단에 닿으면 다음 주에 중량을 올린다</t>
  </si>
  <si>
    <t>케이블 드래그 컬 / 스파이더 컬</t>
  </si>
  <si>
    <t>40~50</t>
  </si>
  <si>
    <t>복귀판에 둔근 직접 세트가 하나도 없었다. 척추 부하 없이 둔근만 때리는 유일한 자리. 더블 프로그레션 — 전 세트가 목표 반복 상단에 닿으면 다음 주에 중량을 올린다</t>
  </si>
  <si>
    <t>머신 힙 쓰러스트 / 글루트 브릿지 / 케이블 풀스루</t>
  </si>
  <si>
    <t>재택 7일차 종목. 복귀판에 중둔근이 통째로 비어 있던 것을 되살린다 — 앉는 시간이 길면 대둔근보다 중둔근이 먼저 잠든다. 더블 프로그레션 — 전 세트가 목표 반복 상단에 닿으면 다음 주에 중량을 올린다</t>
  </si>
  <si>
    <t>머신 힙 어브덕션 / 밴드 사이드 워크</t>
  </si>
  <si>
    <t>시티드로 하면 고관절이 굽어 햄스트링이 늘어난 구간에서 훈련된다. 더블 프로그레션 — 전 세트가 목표 반복 상단에 닿으면 다음 주에 중량을 올린다</t>
  </si>
  <si>
    <t>시티드 레그 컬 (1순위 — 각도가 갈린다) / 라잉 레그 컬</t>
  </si>
  <si>
    <t>현장 일은 코어를 버티게만 하지 굴곡시키지 않는다. 직접 굴곡은 여기서만 들어간다</t>
  </si>
  <si>
    <t>케이블 크런치 (머신) / 앱스 머신 / 캡틴 체어 니 레이즈</t>
  </si>
  <si>
    <t>· 전부 고립 · 머신이고 척추 부하가 0이다. 근무 상황을 가장 안 타므로 주중 어디에 넣어도 된다.</t>
  </si>
  <si>
    <t>· 일요일 바로 다음날에 훈련해야 한다면 이 세션이다 — 등도 척추도 안 쓰므로 유일하게 겹치지 않는다.</t>
  </si>
  <si>
    <t>· 32세트지만 메인 리프트가 없고 거의 전부가 고립이라 상한 규칙의 적용 대상이 아니다. 휴식이 60~75초라 약 66분이면 끝난다.</t>
  </si>
  <si>
    <t>· 평일 A와 붙이지 말고 사이에 하루를 둔다.</t>
  </si>
  <si>
    <t>[이두가 이 날에 있는 이유]</t>
  </si>
  <si>
    <t>· 재택 9일 주기에서 이두를 당기기 날에서 어깨 날로 옮긴 것과 같은 논리다. 당기기 뒤에는 이두가 간접으로 이미 지쳐 있다.</t>
  </si>
  <si>
    <t>· 인클라인 덤벨 컬은 장두가 늘어난 위치에서 시작하는 것이 전부인 종목이라, 지친 상태면 그 특성이 죽는다.</t>
  </si>
  <si>
    <t>· 짧아진 구간을 맡는 프리쳐 컬은 일요일에 남겼다 — 이두를 주 2회 3세트씩으로 나눈 것이다.</t>
  </si>
  <si>
    <t>[이 세션을 버리는 기준]</t>
  </si>
  <si>
    <t>· 8시간인 평일이 하루뿐인 주에는 이 세션을 뺀다. 네 개 중 가장 먼저 버리는 자리다.</t>
  </si>
  <si>
    <t>· 다만 뺀 주에는 후면삼각 7세트와 이두 3세트가 통째로 빠지므로 2주 연속으로 빼지는 않는다.</t>
  </si>
  <si>
    <t>· 그것은 의지박약이 아니라 그 상황에서의 규율이다.</t>
  </si>
  <si>
    <t>[요청 원문] 레그 익스텐션, 힙쓰러스트, 원암 케이블 레터럴레이즈</t>
  </si>
  <si>
    <t>평일 A — 가슴 위주 (상체 A)</t>
  </si>
  <si>
    <t>미는 날. 현장 일이 채워주지 않는 유일한 영역이라 여기는 깎지 않고 매주 올린다.</t>
  </si>
  <si>
    <t>미는 종목 1순위. 현장 일이 가슴을 안 건드리므로 매주 선형으로 올린다 (주 +1.125kg)</t>
  </si>
  <si>
    <t>스미스 벤치 / 체스트 프레스 머신</t>
  </si>
  <si>
    <t>3 → 5세트. 쇄골지가 직접 3세트뿐이라 실질 4.0으로 하한 미달이었던 것을 메운 자리. 더블 프로그레션 — 전 세트가 목표 반복 상단에 닿으면 다음 주에 중량을 올린다</t>
  </si>
  <si>
    <t>인클라인 스미스 프레스 / 인클라인 덤벨 프레스</t>
  </si>
  <si>
    <t>인클라인 덤벨 플라이</t>
  </si>
  <si>
    <t>재택 2일차 종목이라 새로 익힐 것이 없다. 상부지를 프레스와 플라이 두 각도로 채운다. 더블 프로그레션 — 전 세트가 목표 반복 상단에 닿으면 다음 주에 중량을 올린다</t>
  </si>
  <si>
    <t>펙덱 플라이 머신 (인클라인 각도) / 인클라인 케이블 플라이</t>
  </si>
  <si>
    <t>체스트 서포티드라 척추 부하가 0이다. 평일에 놓을 수 있는 유일한 로우. 더블 프로그레션 — 전 세트가 목표 반복 상단에 닿으면 다음 주에 중량을 올린다</t>
  </si>
  <si>
    <t>시티드 케이블 로우 / 머신 로우</t>
  </si>
  <si>
    <t>랫풀다운(언더그립 좁게 안쪽으로)</t>
  </si>
  <si>
    <t>수직 당기기. 머신이라 척추 부하가 없다. 더블 프로그레션 — 전 세트가 목표 반복 상단에 닿으면 다음 주에 중량을 올린다</t>
  </si>
  <si>
    <t>뉴트럴 그립 랫풀다운 / 어시스트 풀업 머신</t>
  </si>
  <si>
    <t>늘어난 구간. 팔꿈치가 시큰하면 EZ바로 바꾼다. 더블 프로그레션 — 전 세트가 목표 반복 상단에 닿으면 다음 주에 중량을 올린다</t>
  </si>
  <si>
    <t>EZ바 라잉 익스텐션 (손목·팔꿈치 부담 ↓) / 케이블 오버헤드 익스텐션</t>
  </si>
  <si>
    <t>짧아진 구간 — 라잉과 각도를 나눈다. 더블 프로그레션 — 전 세트가 목표 반복 상단에 닿으면 다음 주에 중량을 올린다</t>
  </si>
  <si>
    <t>V바 푸쉬다운 / 케이블 킥백</t>
  </si>
  <si>
    <t>[가슴 배분]</t>
  </si>
  <si>
    <t>· 26세트. 전완 2종목은 시간이 남는 일요일에 있고, 대신 쇄골지 보강분이 들어왔다.</t>
  </si>
  <si>
    <t>· 고립(라잉 · 푸쉬다운 · 인클라인 플라이)이 10세트라 실질 16이다.</t>
  </si>
  <si>
    <t>· 실패지점은 3~4회 남기고 종료. 미는 종목이라도 다음날 근무가 있다는 사실은 안 바뀐다.</t>
  </si>
  <si>
    <t>[요청 원문] 바벨로우, 푸쉬다운(로프), 시티드 리스트 컬(손등 위)</t>
  </si>
  <si>
    <t>현장 복귀 버전 — 증량 및 판단 기준</t>
  </si>
  <si>
    <t>목표는 유지가 아니라 완만한 성장이다. 재택의 주 5kg 선형을 그대로 쓸 수는 없으므로 폭을 줄이고 방식을 더블 프로그레션으로 바꾼다.</t>
  </si>
  <si>
    <t>항목</t>
  </si>
  <si>
    <t>재택 버전</t>
  </si>
  <si>
    <t>복귀 버전</t>
  </si>
  <si>
    <t>목표</t>
  </si>
  <si>
    <t>성장</t>
  </si>
  <si>
    <t>완만한 성장</t>
  </si>
  <si>
    <t>유지 모드로 두면 현장 일 기간 내내 3대 500이 멈춘다. 느려도 방향은 위로 둔다</t>
  </si>
  <si>
    <t>주 6회</t>
  </si>
  <si>
    <t>주 4회 (토 · 일 + 평일 2)</t>
  </si>
  <si>
    <t>12시간 요일이 유동이라 고정할 수 있는 것은 토 · 일뿐. 평일 2회는 그 주 근무표를 보고 넣는다</t>
  </si>
  <si>
    <t>총 세트</t>
  </si>
  <si>
    <t>주당 환산 161세트</t>
  </si>
  <si>
    <t>약 120세트</t>
  </si>
  <si>
    <t>유지선은 75. 비어 있던 부위를 되살리고 사두 · 삼각 · 팔을 MEV 위로 올렸다</t>
  </si>
  <si>
    <t>증량 방식</t>
  </si>
  <si>
    <t>매주 선형</t>
  </si>
  <si>
    <t>메인 3종목만 선형 · 나머지는 더블 프로그레션</t>
  </si>
  <si>
    <t>현장 일로 컨디션 변동이 크다. 반복을 먼저 채우고 중량을 올리는 편이 X가 덜 쌓인다</t>
  </si>
  <si>
    <t>증량 폭</t>
  </si>
  <si>
    <t>하체 5 / 벤치 2.25 / 프레스 1.25</t>
  </si>
  <si>
    <t>하체 2.5 / 벤치 1.125 / 프레스 1.25</t>
  </si>
  <si>
    <t>마이크로플레이트 활용. 각 리프트가 주 1회뿐 — 폭을 줄여 그 1회를 확실히 채운다</t>
  </si>
  <si>
    <t>미는 종목</t>
  </si>
  <si>
    <t>전부</t>
  </si>
  <si>
    <t>벤치 · 스쿼트 · 오버헤드 프레스</t>
  </si>
  <si>
    <t>셋 다 세션 앞쪽에 신선한 상태로 둔다. 현장 일이 안 채우는 영역이라 여기가 가장 확실하게 오른다</t>
  </si>
  <si>
    <t>지키는 종목</t>
  </si>
  <si>
    <t>데드리프트 (첫 4주)</t>
  </si>
  <si>
    <t>허리는 현장 일과 직접 경쟁한다. 4주간 지표가 깨끗하면 2×5로 올려 성장으로 돌린다</t>
  </si>
  <si>
    <t>실패지점</t>
  </si>
  <si>
    <t>2~3회 남기고</t>
  </si>
  <si>
    <t>3~4회 남기고</t>
  </si>
  <si>
    <t>다음날 현장에서 청구서로 돌아온다. 미는 종목이라도 이 기준은 안 바뀐다</t>
  </si>
  <si>
    <t>팔 전용 종목</t>
  </si>
  <si>
    <t>25세트</t>
  </si>
  <si>
    <t>18세트 (이두 6 · 삼두 6 · 전완 6)</t>
  </si>
  <si>
    <t>전완은 그립이 현장에서 온종일 쓰이지만 손목 굴곡 · 신전은 따로 안 나온다. 신근 · 굴근 1종목씩 남겼다</t>
  </si>
  <si>
    <t>장비</t>
  </si>
  <si>
    <t>프리웨이트 중심</t>
  </si>
  <si>
    <t>머신 · 케이블 중심 (스쿼트 · 벤치 · 데드 · 바벨로우 제외)</t>
  </si>
  <si>
    <t>현장 일이 안정화 근육을 이미 하루치 쓴다. 남은 힘을 표적 근육에만 쓰는 편이 남는다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</si>
  <si>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</si>
  <si>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</si>
  <si>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현장 일로 컨디션이 흔들릴 때 뒤쪽이 안 무너진다.</t>
  </si>
  <si>
    <t>· 메인 3종목(스쿼트 · 벤치 · 데드)만 선형으로 남긴다. 5회 고정이라 반복으로 진행을 잴 수가 없기 때문이다.</t>
  </si>
  <si>
    <t>[판단 기준]</t>
  </si>
  <si>
    <t>· 유일한 지표는 다음 근무일 아침의 허리 상태다.</t>
  </si>
  <si>
    <t>· 뻐근하면 그 주 무게가 과했던 것 — 다음 주에 내린다. 어떤 프로그램 표보다 정확하다.</t>
  </si>
  <si>
    <t>· 몸 상태가 안 좋은 날은 건너뛴다. 주 4회 중 3회만 가는 주가 있어도 된다.</t>
  </si>
  <si>
    <t>[성장 속도에 대한 현실적인 기대]</t>
  </si>
  <si>
    <t>· 재택 때 속도의 1/3~1/2이 정상이다. 못 채운 주가 이어져도 실패가 아니다 — 증량기록에 X를 넣으면 그 주 중량이 유지된다.</t>
  </si>
  <si>
    <t>· 벤치 주 1.125kg가 다 채워지면 1년에 58kg이다. 절반만 채워도 복귀 전보다 위에 있다.</t>
  </si>
  <si>
    <t>· 현장 일을 하면서 성장하는 조건은 볼륨이 아니라 미는 자리를 좁게 잡는 것이다. 벤치와 스쿼트 둘만 확실히 밀어도 3대는 올라간다.</t>
  </si>
  <si>
    <t>[105세트가 버거우면 이 순서로 뺀다]</t>
  </si>
  <si>
    <t>· 1순위 — 평일 B 전체(26). 메인 리프트가 없는 유일한 세션이라 주 3회로 떨어뜨리는 가장 싼 방법이다.</t>
  </si>
  <si>
    <t>· 2순위 — 전완 2종목(6). 그립은 현장에서 온종일 쓰므로 실질 손실이 가장 적다.</t>
  </si>
  <si>
    <t>· 3순위 — 레그 익스텐션 · 펙덱 · 디클라인 플라이(9). 고립이라 메인 리프트 진행에 영향이 없다.</t>
  </si>
  <si>
    <t>· 마지막까지 지키는 것은 벤치 · 스쿼트 · 데드와 프레싱 볼륨이다. 현장 일이 안 채우는 영역이기 때문이다.</t>
  </si>
  <si>
    <t>[디로드 — 6~8주마다 한 주]</t>
  </si>
  <si>
    <t>· 세트를 절반으로 내리고 중량은 그대로 둔다. 볼륨만 빼고 강도를 유지해야 근력이 남는다.</t>
  </si>
  <si>
    <t>· 메인 리프트는 세트만 줄인다 — 스쿼트 5×5 → 2×5 · 벤치 5×5 → 2×5 · 데드는 건너뛴다. 중량은 손대지 않는다.</t>
  </si>
  <si>
    <t>· 보조 종목은 전부 절반으로. 3세트짜리는 1~2세트, 4세트짜리는 2세트.</t>
  </si>
  <si>
    <t>· 기본 주기는 6주다. 다음 근무일 아침 허리가 2주 연속 무거우면 그 시점에 앞당긴다.</t>
  </si>
  <si>
    <t>· 디로드 다음 주에 기록이 깨지는 경우가 많다. 쉬어서 느려지는 것이 아니라 쌓인 피로가 빠지면서 그동안의 적응이 드러나는 것이다.</t>
  </si>
  <si>
    <t>· 이것이 없으면 어느 시점에 반드시 막히고, 막힌 것을 '볼륨이 부족한가'로 오해해 더 넣게 된다. 부상은 대개 그 경로로 온다.</t>
  </si>
  <si>
    <t>[세트별 휴식 램프 — 2026-09-04]</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</si>
  <si>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</si>
  <si>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 — 현장 기간에는 시간이 가장 빡빡한 제약이라 여기서는 평균을 올리지 않는다.</t>
  </si>
  <si>
    <t>· 넣은 곳 — 벤치 · 스쿼트 · 스미스 OHP · 스미스 바벨 로우 · 친업 · 딥스. 데드는 1×5라 세트 간 휴식이 없다.</t>
  </si>
  <si>
    <t>· 현장 기간에는 휴식을 늘리지 말고 재배분만 한다. 늘려야 할 만큼 무거워졌다면 그건 증량을 멈출 신호에 가깝다.</t>
  </si>
  <si>
    <t>· '휴식(초)' 열은 반드시 램프의 평균으로 맞춘다 — '종목 분'이 세트×(수행+휴식)이라 어긋나면 세션 시간 추정이 틀어진다.</t>
  </si>
  <si>
    <t>복귀판 간접 세트 계수 맵 — 복귀_세트검산 간접 열(C)의 계산 원천</t>
  </si>
  <si>
    <t>각 줄 = "이 종목이 → 이 근육에 → 계수만큼 기여". 원천세트는 복귀 시트 E열에서 이름 매칭으로 자동 산출, 간접세트 = 계수 × 원천세트. 복귀_세트검산 C열이 이 표를 근육별 SUMIFS로 합산한다. 복귀판은 주 단위라 이 값이 곧 주간 세트다 — 재택처럼 ×7/8 환산하지 않는다.</t>
  </si>
  <si>
    <t>계수 규칙(상한 0.5):  0.5 = 명확한 협력근(능동 수축·신전) · 0.33 = 부분 협력(관여하나 비주도) · 0.2 = 약한 자극(고장력 등척성 또는 미미한 동적 관여) · 0 = 순수 그립·안정화(자극 없음). 재택 간접계수맵과 같은 규칙을 쓴다.</t>
  </si>
  <si>
    <t>원천 슬롯</t>
  </si>
  <si>
    <t>복귀_평일A_가슴</t>
  </si>
  <si>
    <t>엎침 그립 + 팔꿈치 벌린 수평 로우 — 굽히는 일은 주로 상완근·상완요골근. 당기기 → 이두 계수는 그립으로 정한다: 뒤침 0.5 · 뉴트럴 0.33 · 엎침 0.2 (2026-09-04 정리).</t>
  </si>
  <si>
    <t>뒤침 그립(언더그립 좁게) — 이두가 유리한 자리에서 능동 굴곡. 당기기 → 이두 계수는 그립으로 정한다: 뒤침 0.5 · 뉴트럴 0.33 · 엎침 0.2 (2026-09-04 정리).</t>
  </si>
  <si>
    <t>복귀_일_등</t>
  </si>
  <si>
    <t>엎침 그립 수평 로우 — 해머 로우(0.2)와 같은 등급. 당기기 → 이두 계수는 그립으로 정한다: 뒤침 0.5 · 뉴트럴 0.33 · 엎침 0.2 (2026-09-04 정리).</t>
  </si>
  <si>
    <t>좁은 뉴트럴 그립 — 엎침(0.2)과 뒤침(0.5) 사이. 당기기 → 이두 계수는 그립으로 정한다: 뒤침 0.5 · 뉴트럴 0.33 · 엎침 0.2 (2026-09-04 정리).</t>
  </si>
  <si>
    <t>뒤침 그립 — 이두가 유리한 자리에서 능동 굴곡. 당기기 → 이두 계수는 그립으로 정한다: 뒤침 0.5 · 뉴트럴 0.33 · 엎침 0.2 (2026-09-04 정리).</t>
  </si>
  <si>
    <t>프레스 중 팔꿈치 신전 — 강한 협력</t>
  </si>
  <si>
    <t>프레스 중 팔꿈치 신전</t>
  </si>
  <si>
    <t>복귀_평일B_어깨</t>
  </si>
  <si>
    <t>복귀_토_하체</t>
  </si>
  <si>
    <t>수평 내전 시 전면삼각 능동 관여</t>
  </si>
  <si>
    <t>경사각이 클수록 전면삼각 기여 증가</t>
  </si>
  <si>
    <t>몸을 앞으로 기울인 자세에서 약한 관여</t>
  </si>
  <si>
    <t>머리 위 프레스 중 측면삼각 능동 외전</t>
  </si>
  <si>
    <t>넓은 그립 로우의 광배 관여 — 주동근(능형·중부승모)은 직접으로 센다 (2026-09-04 전환)</t>
  </si>
  <si>
    <t>로우 중 견갑 후인</t>
  </si>
  <si>
    <t>수평 외전 + 견갑 후인 — 강한 협력</t>
  </si>
  <si>
    <t>견갑 후인 부분 협력</t>
  </si>
  <si>
    <t>머리 위 구간 견갑 상방 회전 — 약한 관여</t>
  </si>
  <si>
    <t>로우 상단 견갑 거상 — 약한 관여</t>
  </si>
  <si>
    <t>고장력 등척성 지지</t>
  </si>
  <si>
    <t>견갑 하강은 동작 개시 관여라 약계수</t>
  </si>
  <si>
    <t>견갑 하강 개시 관여</t>
  </si>
  <si>
    <t>고장력 등척성 — 실패지점까지 가지 않음</t>
  </si>
  <si>
    <t>상체 각도 유지 등척성</t>
  </si>
  <si>
    <t>선 자세 유지 등척성</t>
  </si>
  <si>
    <t>고관절 신전 능동</t>
  </si>
  <si>
    <t>고관절 신전 시 햄스트링 능동 협력</t>
  </si>
  <si>
    <t>힌지 중 햄스트링 신장성 부하</t>
  </si>
  <si>
    <t>벌어진 스탠스 구간 약관여</t>
  </si>
  <si>
    <t>플랫 벤치가 쇄골지에도 일부 기여</t>
  </si>
  <si>
    <t>흉늑지 약관여</t>
  </si>
  <si>
    <t>광배 등척성 유지 — 주 1세트뿐이라 0. 직접 15세트로 이미 충분</t>
  </si>
  <si>
    <t>코어 브레이싱은 등척성이며 실패지점 근처까지 가지 않아 0</t>
  </si>
  <si>
    <t>직접 종목이라 간접 아님 — 자리 표시용 0</t>
  </si>
  <si>
    <t>플라이 시작 구간 전면삼각 약관여</t>
  </si>
  <si>
    <t>근육군별 주간 세트 — 복귀판 검산</t>
  </si>
  <si>
    <t>세트는 근육군 단위로 센다. 복귀판은 주 4회 · 주 단위이므로 이 표의 숫자가 곧 주간 세트다 — 재택판처럼 ×7/8 환산하지 않는다. 판정 기준은 재택과 같다. 다만 현장 일이 하루치를 얹는 부위가 있어 G열에 보정 등급을 뒀다 — 보정이 '높음'인 부위는 판정이 하한 미달이어도 실제로는 채워진다고 본다.</t>
  </si>
  <si>
    <t>현장 일 보정</t>
  </si>
  <si>
    <t>직접 9세트: 인클라인 벤치프레스 머신 5 · 인클라인 덤벨 플라이 4. + 벤치 0.2×5=1.0. 2026-08-29에 직접 3 → 9로 보강했다 — 헤머 체스트를 빼고 그 자리를 쇄골지로 돌린 것이라 흉근 총량은 안 늘었다.</t>
  </si>
  <si>
    <t>인클라인 머신 0.2×5 + 인클라인 플라이 0.2×4 = 1.8. 직접 11세트: 벤치 5 · 딥스 3 · 디클라인 플라이 3. (헤머 체스트는 2026-08-29 제외 — 벤치와 같은 수평 프레스라 가장 겹쳤다.)</t>
  </si>
  <si>
    <t>직접 11세트: 평일A 랫풀다운 4(언더그립 좁게) · 일요일 시티드 케이블 로우 4(좁은 그립) · 친업 3. 간접은 넓은 그립 로우 2종(해머 로우 · 스미스 바벨 로우) 각 0.5 — 2026-09-04 라벨 정정으로 협력근이 됐다. 데드 등척성은 0.</t>
  </si>
  <si>
    <t>높음</t>
  </si>
  <si>
    <t>등 합산</t>
  </si>
  <si>
    <t>직접 0. 간접만 1.4(오버헤드 프레스·스미스 로우·데드 각 0.2). 재택의 트랩바 슈러그가 복귀판에서 빠졌다 — 다만 상부 승모는 현장에서 들고 나르는 동작으로 종일 쓰이므로 직접 종목을 두지 않았다.</t>
  </si>
  <si>
    <t>친업 0.2×3 + 랫풀다운 0.2×3 = 1.2. 직접 3세트(오버헤드 슈러그). 현장 자세가 견갑을 올리고 앞으로 말므로 유지 목적으로 남긴 자리다.</t>
  </si>
  <si>
    <t>중간</t>
  </si>
  <si>
    <t>직접 11세트: 평일A 넓은 그립 해머 로우 4 · 일요일 넓은 그립 스미스 바벨 로우 4 · 스캡 슈러그 3. 간접은 시티드 케이블 로우 0.5 · 리어델트 계열(케이블 리버스 플라이 0.5 · 벤트오버 머신 0.33 · 리버스 펙덱 0.33).</t>
  </si>
  <si>
    <t>스쿼트 0.2×5 + 스미스 로우 0.2×3 + 오버헤드 슈러그 0.2×3 = 2.2. 직접 1세트(데드 1×5). 낮은 것이 의도다 — 허리는 현장 일과 직접 경쟁하므로 데드 주 1회 1세트가 상한이다. 4주간 지표가 깨끗하면 2×5로 올린다.</t>
  </si>
  <si>
    <t>벤치 0.5×5 + 인클라인 머신 0.5×3 + 딥스 0.2×3 = 4.6. 직접 6세트: 머신 숄더 3 · 스미스 오버헤드 3.</t>
  </si>
  <si>
    <t>오버헤드 프레스 0.5×3 = 1.5. 직접 10세트: 평일 B 7(레터럴 4 · 원암 케이블 3) + 토요일 3. 간접 자극이 거의 0인 부위라 직접 세트로만 채워진다.</t>
  </si>
  <si>
    <t>간접 출처 없음 — 로우 계열은 전부 승모 중부·능형근으로 계상했다. 직접 10세트: 평일 B 7(벤트오버 머신 4 · 케이블 리버스 3) + 토요일 리버스 펙덱 3. 현장 자세가 어깨를 앞으로 말므로 감축 대상이 아니다.</t>
  </si>
  <si>
    <t>간접 출처 없음. 직접 12세트: 스쿼트 5 · 레그 프레스 4 · 레그 익스텐션 3. 서 있기 · 걷기로 현장 일이 하루치를 얹는다.</t>
  </si>
  <si>
    <t>하체 합산(대퇴·햄·종아리)</t>
  </si>
  <si>
    <t>힙 쓰러스트 0.5×3 + 데드 0.5×1 = 2.0. 직접 6세트: 레그 컬 3 · 원 레그 컬 3. 힌지(루마니안 데드)를 뺀 만큼 직접이 얇다.</t>
  </si>
  <si>
    <t>스쿼트 0.5×5 + 데드 0.5×1 + 레그 프레스 0.33×4 = 4.32. 직접 3세트(힙 쓰러스트). 복귀판 초안에 둔근 직접이 0이었던 것을 되살린 자리다.</t>
  </si>
  <si>
    <t>간접 출처 없음 — 스쿼트 · 레그 프레스는 양측 지지라 계수가 없다. 직접 3세트(케이블 힙 외전, 재택 7일차 종목). 재택과 같은 유지 볼륨이며 현장 일의 한 다리 지지 이동이 나머지를 채운다.</t>
  </si>
  <si>
    <t>간접 출처 없음 — 스쿼트 · 레그 프레스의 발목 관여는 실패지점 근처까지 가지 않아 0으로 둔다. 직접 3세트(시티드 카프). 온종일 서 있는 현장 일이 가장 확실하게 채워주는 부위라 3으로 뒀다.</t>
  </si>
  <si>
    <t>당기기 5종목을 그립별로 나눠 센다 — 친업 · 랫풀다운(둘 다 뒤침) 각 0.5 · 시티드 케이블 로우(좁은 뉴트럴) 0.33 · 해머 로우 · 스미스 바벨 로우(둘 다 엎침) 각 0.2. 직접 6세트: 평일 B 인클라인 덤벨 컬 3(신선한 자리) · 일요일 프리쳐 컬 3. 늘어난 구간은 이두가 지치지 않은 평일 B에, 짧아진 구간만 당기기 뒤에 둔다.</t>
  </si>
  <si>
    <t>프레스 6종목 0.5씩 = 10. 직접 6세트: 라잉 익스텐션 3(늘어난 구간) · 케이블 푸쉬다운 3(짧아진 구간).</t>
  </si>
  <si>
    <t>컬 2종 0.33씩 = 1.98. 순수 그립(데드 · 로우 · 친업)은 규칙상 0 — 성장 자극이 아니다. 직접 6세트: 일요일 리스트 컬 손등 아래 3(굴근) · 손등 위 3(신근). 그립은 현장에서 온종일 쓰이지만 손목 굴곡 · 신전은 따로 안 나오므로 직접 종목을 남겼다.</t>
  </si>
  <si>
    <t>스쿼트 · 데드의 브레이싱은 등척성이라 0. 직접 3세트(중량 크런치). 현장 일은 코어를 버티게만 하지 굴곡시키지 않으므로 직접 굴곡은 이 3세트가 전부다.</t>
  </si>
  <si>
    <t>스쿼트 0.2×5 + 레그 프레스 0.2×4 = 1.8. 직접 3세트(이너 타이). 복귀판 초안에 내전근이 통째로 비어 있던 것을 되살렸다.</t>
  </si>
  <si>
    <t>· 주 10~20세트 = 성장 구간. 복귀판은 주 단위라 이 표의 숫자를 그대로 판정에 쓴다.</t>
  </si>
  <si>
    <t>· 주 8세트 = 유지 하한.</t>
  </si>
  <si>
    <t>· 실패지점 3~4회 이내 세트만 카운트 (웜업 · 여유 세트 제외). 재택(2~3회)보다 한 단계 보수적인 기준이다.</t>
  </si>
  <si>
    <t>현장 일 보정을 읽는 법</t>
  </si>
  <si>
    <t>· '높음' — 현장 일이 하루치를 얹는 부위(광배 · 승모 상부 · 기립근 · 대퇴사두 · 종아리 · 전완). 판정이 하한 미달이어도 실제로는 채워진다. 여기에 직접 세트를 더하는 것은 회복만 깎는 선택이다.</t>
  </si>
  <si>
    <t>· '중간' — 부분적으로만 채워진다(승모 하부·중부 · 햄스트링 · 둔근 · 중둔근 · 복부). 판정을 절반쯤 믿는다.</t>
  </si>
  <si>
    <t>· '없음' — 현장 일이 안 건드리는 부위(가슴 · 삼각근 전 부위 · 이두 · 삼두 · 내전근). 판정을 액면 그대로 믿어야 하는 자리이고, 성장을 위해 볼륨을 쓸 곳도 여기다.</t>
  </si>
  <si>
    <t>지금 표에서 눈여겨볼 곳</t>
  </si>
  <si>
    <t>· 흉근 상 · 하는 한 근육이라 합산으로 판정한다. 합산 실질 23 — 천장(20)을 조금 넘는다. 현장 일이 안 채우는 부위라 의도한 초과이나, 세트 질이 떨어지면 딥스부터 뺀다.</t>
  </si>
  <si>
    <t>· 중둔근 3.0 — 2026-08-29에 케이블 힙 외전으로 되살렸다. 재택과 같은 유지 볼륨이다.</t>
  </si>
  <si>
    <t>· 기립근 3.0 · 승모(상부) 1.5 · 종아리 3.0 — 전부 보정 '높음'이라 의도된 낮음이다. 손대지 않는다.</t>
  </si>
  <si>
    <t>· 햄스트링 8.0 · 전완 8.0 · 내전근 5.0 — 하한 근처다. 유지는 되나 성장 여지는 없는 자리다.</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</si>
  <si>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phoneticPr fontId="32" type="noConversion"/>
  </si>
  <si>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phoneticPr fontId="32" type="noConversion"/>
  </si>
  <si>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phoneticPr fontId="32" type="noConversion"/>
  </si>
  <si>
    <t>흉근 · 측면삼각 · 후면삼각 · 삼두</t>
    <phoneticPr fontId="32" type="noConversion"/>
  </si>
  <si>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</si>
  <si>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D4_어깨팔A</t>
    <phoneticPr fontId="32" type="noConversion"/>
  </si>
  <si>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</si>
  <si>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추가 (2026-09-05)</t>
    <phoneticPr fontId="32" type="noConversion"/>
  </si>
  <si>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</si>
  <si>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</si>
  <si>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phoneticPr fontId="32" type="noConversion"/>
  </si>
  <si>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phoneticPr fontId="32" type="noConversion"/>
  </si>
  <si>
    <t>[2026-09-05 4일차 → 9일차 이동] 전완을 한 날에 몰지 않으려고 굴근·엎침(4일차 리버스 리스트 컬·리버스컬)과 날을 갈랐다 — 사용자 요청. 손목 신근. 타이핑으로 약해지는 쪽이라 비중을 더 준다</t>
    <phoneticPr fontId="32" type="noConversion"/>
  </si>
  <si>
    <t>[2026-09-05 9일차 → 4일차 이동] 신근(리스트 컬 손등 위)은 9일차로 가서 대항쌍이 날을 나눠 갖는다. 전완 4일차 8 · 9일차 3. 손목 굴근. 1일차 리버스와 대항쌍 [v17 감량 4→3 — 전완 실질 8로 자체 하한 유지]</t>
    <phoneticPr fontId="32" type="noConversion"/>
  </si>
  <si>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phoneticPr fontId="32" type="noConversion"/>
  </si>
  <si>
    <t>케이블 크로스오버 (위→아래) / 디클라인 덤벨 플라이 / 펙덱 플라이 (시트를 높여 하부 각)</t>
    <phoneticPr fontId="32" type="noConversion"/>
  </si>
  <si>
    <t>되돌리는 법 [2026-09-05 9일차로 이동]</t>
    <phoneticPr fontId="32" type="noConversion"/>
  </si>
  <si>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</si>
  <si>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</si>
  <si>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</si>
  <si>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4일차 디클라인 케이블 플라이 3세트가 인클라인 머신 뒤 6번으로 왔다 — 사용자 요청. 흉근 9세트(헤머 3 · 인클라인 머신 3 · 디클라인 3). 27세트 · 약 67분.</t>
  </si>
  <si>
    <t>삼각근(측면·후면·전면) · 승모(하부) · 흉근(상부 플라이) · 삼두 · 이두 · 전완 · 내전근 · 중둔근</t>
    <phoneticPr fontId="32" type="noConversion"/>
  </si>
  <si>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</si>
  <si>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D4_어깨팔A</t>
    <phoneticPr fontId="32" type="noConversion"/>
  </si>
  <si>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phoneticPr fontId="32" type="noConversion"/>
  </si>
  <si>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phoneticPr fontId="32" type="noConversion"/>
  </si>
  <si>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phoneticPr fontId="32" type="noConversion"/>
  </si>
  <si>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phoneticPr fontId="32" type="noConversion"/>
  </si>
  <si>
    <t>· 6일차 스탠딩 카프 4세트가 시티드 카프 앞으로 왔다 — 6일차 자리를 힙 외전에 내준 것. 35세트 · 약 70분.</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</si>
  <si>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</si>
  <si>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6일차 중량 크런치 3세트가 마지막(10번)으로 왔다. 복부 1·3·7일차. 데드 전날이라 가볍게 — 셋업에서 배 힘이 덜 들어가면 6일차로 되돌린다. 30세트 · 약 72분.</t>
  </si>
  <si>
    <t>· 케이블 힙 외전은 6일차로 갔다 — 중둔근을 3·6·9일차로 펴고 이 날을 70분으로. 36세트.</t>
  </si>
  <si>
    <t>삼각근 · 흉근(상부 · 디클라인 플라이) · 승모(하부) · 복부</t>
    <phoneticPr fontId="32" type="noConversion"/>
  </si>
  <si>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</si>
  <si>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phoneticPr fontId="32" type="noConversion"/>
  </si>
  <si>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phoneticPr fontId="32" type="noConversion"/>
  </si>
  <si>
    <t>· 6일차 오버헤드 슈러그 3세트가 5번(인클라인 스미스 앞, 같은 스미스 머신)으로 왔고 시티드 카프 2세트는 6일차로 갔다. 승모 하부 4·7·9일차. 36세트 · 약 71분.</t>
  </si>
  <si>
    <t>· 오버헤드 슈러그 → 4일차, 4일차 시티드 카프 2세트가 8번(힙 외전 앞)으로 왔다. 6·7일차 이틀 연속이던 승모 하부가 풀렸다. 30세트 · 약 71분.</t>
  </si>
  <si>
    <t>삼각근(측면·후면) · 승모(하부) · 흉근(인클라인 스미스 · 펙덱) · 이두 · 전완 · 종아리</t>
    <phoneticPr fontId="32" type="noConversion"/>
  </si>
  <si>
    <t>광배 · 능형근 · 승모(중부·상부) · 이두 · 기립근 · 중둔근 · 종아리</t>
    <phoneticPr fontId="32" type="noConversion"/>
  </si>
  <si>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</si>
  <si>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친업 뒤에 무게 조절 수단으로. 그립을 친업과 다르게 (친업이 언더면 여기선 오버) [2026-09-05 4→2] 뒤 2세트를 원암 랫풀다운으로 나눴다 (사용자 요청).</t>
    <phoneticPr fontId="32" type="noConversion"/>
  </si>
  <si>
    <t>원암 랫풀다운</t>
  </si>
  <si>
    <t>8~12 (좌우)</t>
  </si>
  <si>
    <t>원암 케이블 풀다운 (다른 하이 풀리) / 원암 덤벨 로우 (풀다운 기구가 찼을 때) / 뉴트럴 그립 랫풀다운 4세트로 합치기</t>
  </si>
  <si>
    <t>변경 (2026-09-05)</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</si>
  <si>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phoneticPr fontId="32" type="noConversion"/>
  </si>
  <si>
    <t>원암 케이블 로우</t>
  </si>
  <si>
    <t>원암 덤벨 로우 (벤치 지지) / 원암 머신 로우 (해머 스트랭스 한 팔씩) / 시티드 케이블 로우 5세트로 합치기</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</si>
  <si>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t>
    <phoneticPr fontId="32" type="noConversion"/>
  </si>
  <si>
    <t>· 시티드 케이블 로우 5 → 양팔 3 + 원암 2 (사용자 요청). 3번 원암 케이블 로우를 새로 두고 스캡 슈러그부터 번호가 하나씩 밀렸다. 광배 직접 세트는 5 그대로 · 30세트 · 약 72분.</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</si>
  <si>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</si>
  <si>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</si>
  <si>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</si>
  <si>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phoneticPr fontId="32" type="noConversion"/>
  </si>
  <si>
    <t>· 랫풀다운 4 → 양팔 2 + 원암 2 (사용자 요청). 3번 원암 랫풀다운을 새로 두고 뒤 종목 번호가 하나씩 밀렸다. 광배 직접 세트는 8 그대로 · 31세트 · 약 72분.</t>
    <phoneticPr fontId="32" type="noConversion"/>
  </si>
  <si>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phoneticPr fontId="32" type="noConversion"/>
  </si>
  <si>
    <t>[2026-09-05] 6일차를 하루 미룸 — 늦게 일어나 갔더니 헬스장이 닫혀 있었다. 실제 1일차는 08-31이었으나 앱 달력 기준을 09-01로 당겨 적어 09-06이 6일차가 되게 했다(이 사이클만 11일, 다음 사이클 1일차 09-11).</t>
  </si>
  <si>
    <t>레그 프레스</t>
    <phoneticPr fontId="32" type="noConversion"/>
  </si>
  <si>
    <t>레그 익스텐션</t>
    <phoneticPr fontId="32" type="noConversion"/>
  </si>
  <si>
    <t>대퇴사두</t>
    <phoneticPr fontId="32" type="noConversion"/>
  </si>
  <si>
    <t>8~12</t>
    <phoneticPr fontId="32" type="noConversion"/>
  </si>
  <si>
    <t>10~12</t>
    <phoneticPr fontId="32" type="noConversion"/>
  </si>
  <si>
    <t>핵 스쿼트 / 레그 익스텐션 / 프론트 스쿼트 / 45도 레그 프레스</t>
    <phoneticPr fontId="32" type="noConversion"/>
  </si>
  <si>
    <t>싱글 레그 익스텐션 / 시시 스쿼트 / 레그 프레스 발판 높게</t>
    <phoneticPr fontId="32" type="noConversion"/>
  </si>
  <si>
    <t>드롭(초)</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</si>
  <si>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phoneticPr fontId="32" type="noConversion"/>
  </si>
  <si>
    <r>
      <t>드롭</t>
    </r>
    <r>
      <rPr>
        <b/>
        <sz val="11"/>
        <color theme="1"/>
        <rFont val="Calibri"/>
        <family val="2"/>
      </rPr>
      <t xml:space="preserve"> </t>
    </r>
    <r>
      <rPr>
        <b/>
        <sz val="11"/>
        <color theme="1"/>
        <rFont val="Calibri"/>
        <family val="2"/>
        <charset val="1"/>
      </rPr>
      <t>세트</t>
    </r>
    <r>
      <rPr>
        <b/>
        <sz val="11"/>
        <color theme="1"/>
        <rFont val="Calibri"/>
        <family val="2"/>
      </rPr>
      <t xml:space="preserve"> (2026-09-07)</t>
    </r>
  </si>
  <si>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</si>
  <si>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</si>
  <si>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phoneticPr fontId="32" type="noConversion"/>
  </si>
  <si>
    <t>[2026-09-07 마지막 세트 드롭 2단 — 실패 뒤 쉬지 않고 핀 20~30% 내려 두 번. 세트 수 그대로, 증량 판정은 앞 세트로만. +60초는 O열]</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</si>
  <si>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phoneticPr fontId="32" type="noConversion"/>
  </si>
  <si>
    <t>· 레터럴 레이즈 · 리버스 펙덱 · 푸쉬다운 마지막 세트에 드롭 2단, 각 +60초 (사용자 요청). 벤치 뒤라 셋이 몰려도 메인에 영향이 없다. 20~30%씩 내려 쉬지 않고 두 번, 세 번째부터는 피로만 쌓인다.</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</si>
  <si>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phoneticPr fontId="32" type="noConversion"/>
  </si>
  <si>
    <t>· 펙덱 플라이 마지막 세트에 드롭 2단, +60초 (사용자 요청). 인클라인 스미스 뒤 흉근 마지막 자리라 여기. 인클라인 프레스 계열은 복합이라 드롭을 붙이지 않는다.</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</si>
  <si>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phoneticPr fontId="32" type="noConversion"/>
  </si>
  <si>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phoneticPr fontId="32" type="noConversion"/>
  </si>
  <si>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</si>
  <si>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phoneticPr fontId="32" type="noConversion"/>
  </si>
  <si>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</si>
  <si>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phoneticPr fontId="32" type="noConversion"/>
  </si>
  <si>
    <t>수/토 3+3 분할. 데드·힙 이후라 대퇴가 예열된 상태에서 궤도 고정으로 확실히 간다 [2026-09-07 레그 익스텐션과 자리 바꿈 — 복합을 먼저, 고립 드롭을 마지막에]</t>
    <phoneticPr fontId="32" type="noConversion"/>
  </si>
  <si>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</si>
  <si>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 고립·케이블 9곳의 마지막 세트에만 드롭 2단 — 1일차 원암 랫풀다운, 2일차 레터럴·리버스 펙덱·푸쉬다운, 4일차 펙덱, 6일차 원암 로우·프리쳐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</si>
  <si>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+1~3분. 증량 판정은 드롭이 없는 앞 세트로만 한다.</t>
  </si>
  <si>
    <t>· 3·9일차는 드롭 0 — 스쿼트가 있는 날과 36세트로 이미 꽉 찬 날이다. 이두는 프리쳐 컬 한 곳(9일차 인클라인 컬은 이틀 뒤 친업), 머신 숄더 프레스는 제외(전면 삼각근은 프레스 4종으로 충분).</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</si>
  <si>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 마지막 세트 드롭 +1분 — 약 72분 (2026-09-07).</t>
    <phoneticPr fontId="32" type="noConversion"/>
  </si>
  <si>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 마지막 세트 드롭 +3분 — 약 75분 (2026-09-07).</t>
    <phoneticPr fontId="32" type="noConversion"/>
  </si>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</sst>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9"/>
      <color rgb="FF595959"/>
      <name val="Arial"/>
      <family val="2"/>
      <charset val="1"/>
    </font>
    <font>
      <sz val="10"/>
      <color rgb="FF000000"/>
      <name val="Noto Sans CJK SC"/>
      <charset val="1"/>
    </font>
    <font>
      <sz val="10"/>
      <color rgb="FF000000"/>
      <name val="Noto Sans CJK SC"/>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sz val="11"/>
      <color theme="1"/>
      <name val="Calibri"/>
      <family val="2"/>
      <charset val="129"/>
    </font>
    <font>
      <sz val="10"/>
      <name val="Noto Sans CJK SC"/>
      <family val="3"/>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font>
    <font>
      <b/>
      <sz val="11"/>
      <color theme="1"/>
      <name val="Calibri"/>
      <family val="2"/>
      <charset val="1"/>
    </font>
  </fonts>
  <fills count="11">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s>
  <cellStyleXfs count="2">
    <xf numFmtId="0" fontId="0" fillId="0" borderId="0"/>
    <xf numFmtId="0" fontId="34" fillId="0" borderId="0"/>
  </cellStyleXfs>
  <cellXfs count="118">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10" fillId="0" borderId="0" xfId="0" applyFont="1"/>
    <xf numFmtId="0" fontId="7"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29" fillId="0" borderId="0" xfId="0" applyFont="1"/>
    <xf numFmtId="2" fontId="7" fillId="4" borderId="1" xfId="0" applyNumberFormat="1" applyFont="1" applyFill="1" applyBorder="1" applyAlignment="1">
      <alignment horizontal="center" vertical="center"/>
    </xf>
    <xf numFmtId="0" fontId="16" fillId="0" borderId="0" xfId="0" applyFont="1"/>
    <xf numFmtId="2" fontId="7" fillId="0" borderId="1" xfId="0" applyNumberFormat="1" applyFont="1" applyBorder="1" applyAlignment="1">
      <alignment horizontal="center" vertical="center"/>
    </xf>
    <xf numFmtId="2" fontId="8" fillId="4" borderId="1" xfId="0" applyNumberFormat="1" applyFont="1" applyFill="1" applyBorder="1" applyAlignment="1">
      <alignment horizontal="center" vertical="center"/>
    </xf>
    <xf numFmtId="0" fontId="30" fillId="0" borderId="0" xfId="0" applyFont="1"/>
    <xf numFmtId="0" fontId="31" fillId="0" borderId="0" xfId="0" applyFont="1"/>
    <xf numFmtId="0" fontId="20" fillId="0" borderId="1" xfId="0" applyFont="1" applyBorder="1" applyAlignment="1">
      <alignment horizontal="left" vertical="center"/>
    </xf>
    <xf numFmtId="0" fontId="33" fillId="0" borderId="1" xfId="0" applyFont="1" applyBorder="1" applyAlignment="1">
      <alignment horizontal="center" vertical="center"/>
    </xf>
    <xf numFmtId="0" fontId="35" fillId="0" borderId="0" xfId="0" applyFont="1"/>
    <xf numFmtId="14" fontId="4" fillId="2" borderId="1" xfId="0" applyNumberFormat="1" applyFont="1" applyFill="1" applyBorder="1" applyAlignment="1">
      <alignment horizontal="center" vertical="center"/>
    </xf>
    <xf numFmtId="0" fontId="36" fillId="0" borderId="0" xfId="0" applyFont="1"/>
    <xf numFmtId="0" fontId="34" fillId="0" borderId="0" xfId="1"/>
    <xf numFmtId="0" fontId="37" fillId="0" borderId="0" xfId="0" applyFont="1"/>
    <xf numFmtId="0" fontId="38" fillId="0" borderId="0" xfId="0" applyFont="1"/>
    <xf numFmtId="0" fontId="39" fillId="0" borderId="1" xfId="0" applyFont="1" applyBorder="1" applyAlignment="1">
      <alignment horizontal="left" vertical="center" wrapText="1"/>
    </xf>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40" fillId="0" borderId="0" xfId="0" applyFont="1"/>
    <xf numFmtId="0" fontId="41" fillId="8" borderId="0" xfId="0" applyFont="1" applyFill="1" applyAlignment="1">
      <alignment horizontal="center"/>
    </xf>
    <xf numFmtId="0" fontId="42" fillId="9" borderId="0" xfId="0" applyFont="1" applyFill="1"/>
    <xf numFmtId="0" fontId="43" fillId="10" borderId="0" xfId="0" applyFont="1" applyFill="1"/>
    <xf numFmtId="0" fontId="44" fillId="0" borderId="0" xfId="0" applyFont="1"/>
    <xf numFmtId="0" fontId="43" fillId="0" borderId="0" xfId="0" applyFont="1"/>
    <xf numFmtId="0" fontId="41" fillId="8" borderId="1" xfId="0" applyFont="1" applyFill="1" applyBorder="1" applyAlignment="1">
      <alignment horizontal="center" vertical="center"/>
    </xf>
    <xf numFmtId="0" fontId="41" fillId="8" borderId="0" xfId="0" applyFont="1" applyFill="1"/>
    <xf numFmtId="177" fontId="45" fillId="0" borderId="0" xfId="0" applyNumberFormat="1" applyFont="1"/>
    <xf numFmtId="0" fontId="45" fillId="0" borderId="0" xfId="0" applyFont="1"/>
    <xf numFmtId="0" fontId="45" fillId="9" borderId="0" xfId="0" applyFont="1" applyFill="1"/>
    <xf numFmtId="0" fontId="46" fillId="0" borderId="0" xfId="0" applyFont="1"/>
    <xf numFmtId="0" fontId="47" fillId="0" borderId="0" xfId="0" applyFont="1"/>
    <xf numFmtId="177" fontId="48" fillId="0" borderId="0" xfId="0" applyNumberFormat="1" applyFont="1"/>
    <xf numFmtId="0" fontId="48" fillId="0" borderId="0" xfId="0" applyFont="1"/>
    <xf numFmtId="0" fontId="49" fillId="0" borderId="0" xfId="0" applyFont="1"/>
    <xf numFmtId="0" fontId="50" fillId="0" borderId="0" xfId="0" applyFont="1"/>
    <xf numFmtId="177" fontId="51" fillId="0" borderId="0" xfId="0" applyNumberFormat="1" applyFont="1"/>
    <xf numFmtId="0" fontId="51" fillId="0" borderId="0" xfId="0" applyFont="1"/>
    <xf numFmtId="0" fontId="53"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zoomScaleNormal="100" workbookViewId="0">
      <selection activeCell="C5" sqref="C5"/>
    </sheetView>
  </sheetViews>
  <sheetFormatPr defaultColWidth="8.7109375" defaultRowHeight="15"/>
  <cols>
    <col min="1" max="1" width="18" customWidth="1"/>
    <col min="2" max="2" width="14" customWidth="1"/>
    <col min="3" max="6" width="16" customWidth="1"/>
  </cols>
  <sheetData>
    <row r="1" spans="1:6" ht="21" customHeight="1">
      <c r="A1" s="1" t="s">
        <v>90</v>
      </c>
    </row>
    <row r="2" spans="1:6" ht="15" customHeight="1">
      <c r="A2" s="2" t="s">
        <v>91</v>
      </c>
    </row>
    <row r="4" spans="1:6" ht="15" customHeight="1">
      <c r="A4" s="3" t="s">
        <v>92</v>
      </c>
      <c r="C4" s="4">
        <v>5</v>
      </c>
      <c r="D4" s="2" t="s">
        <v>93</v>
      </c>
    </row>
    <row r="6" spans="1:6" ht="15" customHeight="1">
      <c r="A6" s="5" t="s">
        <v>4</v>
      </c>
      <c r="B6" s="6" t="s">
        <v>94</v>
      </c>
      <c r="C6" s="5" t="s">
        <v>95</v>
      </c>
      <c r="D6" s="5" t="s">
        <v>96</v>
      </c>
      <c r="E6" s="5" t="s">
        <v>97</v>
      </c>
      <c r="F6" s="5" t="s">
        <v>98</v>
      </c>
    </row>
    <row r="7" spans="1:6" ht="15" customHeight="1">
      <c r="A7" s="7" t="s">
        <v>99</v>
      </c>
      <c r="B7" s="7">
        <v>92.5</v>
      </c>
      <c r="C7" s="8">
        <f>MAX(20,MROUND(B7*0.4,2.5))</f>
        <v>37.5</v>
      </c>
      <c r="D7" s="4">
        <v>37.5</v>
      </c>
      <c r="E7" s="9">
        <f>INDEX(증량기록!$C$10:$C$21,$C$4)</f>
        <v>57.5</v>
      </c>
      <c r="F7" s="8" t="s">
        <v>100</v>
      </c>
    </row>
    <row r="8" spans="1:6" ht="15" customHeight="1">
      <c r="A8" s="7" t="s">
        <v>101</v>
      </c>
      <c r="B8" s="7">
        <v>105</v>
      </c>
      <c r="C8" s="8">
        <f>MAX(20,MROUND(B8*0.4,2.5))</f>
        <v>42.5</v>
      </c>
      <c r="D8" s="4">
        <v>42.5</v>
      </c>
      <c r="E8" s="9">
        <f>INDEX(증량기록!$E$10:$E$21,$C$4)</f>
        <v>62.5</v>
      </c>
      <c r="F8" s="8" t="s">
        <v>102</v>
      </c>
    </row>
    <row r="9" spans="1:6" ht="15" customHeight="1">
      <c r="A9" s="7" t="s">
        <v>103</v>
      </c>
      <c r="B9" s="7">
        <v>47.25</v>
      </c>
      <c r="C9" s="8">
        <f>MAX(20,MROUND(B9*0.4,2.5))</f>
        <v>20</v>
      </c>
      <c r="D9" s="4">
        <v>22.5</v>
      </c>
      <c r="E9" s="9">
        <f>INDEX(증량기록!$G$10:$G$21,$C$4)</f>
        <v>31.5</v>
      </c>
      <c r="F9" s="8" t="s">
        <v>100</v>
      </c>
    </row>
    <row r="10" spans="1:6" ht="15" customHeight="1">
      <c r="A10" s="7" t="s">
        <v>104</v>
      </c>
      <c r="B10" s="7">
        <v>40</v>
      </c>
      <c r="C10" s="8">
        <f>MAX(20,MROUND(B10*0.4,2.5))</f>
        <v>20</v>
      </c>
      <c r="D10" s="4">
        <v>20</v>
      </c>
      <c r="E10" s="9">
        <f>INDEX(증량기록!$I$10:$I$21,$C$4)</f>
        <v>25</v>
      </c>
      <c r="F10" s="8" t="s">
        <v>105</v>
      </c>
    </row>
    <row r="11" spans="1:6" ht="15" customHeight="1">
      <c r="D11" s="10" t="s">
        <v>106</v>
      </c>
    </row>
    <row r="12" spans="1:6" ht="15" customHeight="1">
      <c r="A12" s="11"/>
    </row>
    <row r="13" spans="1:6" ht="32.25" customHeight="1">
      <c r="A13" s="12" t="s">
        <v>107</v>
      </c>
    </row>
    <row r="14" spans="1:6" ht="51.75" customHeight="1">
      <c r="A14" s="11" t="s">
        <v>108</v>
      </c>
    </row>
    <row r="15" spans="1:6" ht="51.75" customHeight="1">
      <c r="A15" s="11" t="s">
        <v>109</v>
      </c>
    </row>
    <row r="16" spans="1:6" ht="64.5" customHeight="1">
      <c r="A16" s="11" t="s">
        <v>110</v>
      </c>
    </row>
    <row r="17" spans="1:1" ht="51.75" customHeight="1">
      <c r="A17" s="11" t="s">
        <v>111</v>
      </c>
    </row>
    <row r="18" spans="1:1" ht="51.75" customHeight="1">
      <c r="A18" s="11"/>
    </row>
    <row r="19" spans="1:1" ht="15" customHeight="1">
      <c r="A19" s="12" t="s">
        <v>112</v>
      </c>
    </row>
    <row r="20" spans="1:1" ht="77.25" customHeight="1">
      <c r="A20" s="11" t="s">
        <v>113</v>
      </c>
    </row>
    <row r="21" spans="1:1" ht="51.75" customHeight="1">
      <c r="A21" s="11" t="s">
        <v>114</v>
      </c>
    </row>
    <row r="22" spans="1:1" ht="15" customHeight="1">
      <c r="A22" s="11" t="s">
        <v>115</v>
      </c>
    </row>
    <row r="23" spans="1:1" ht="16.5" customHeight="1">
      <c r="A23" s="11" t="s">
        <v>116</v>
      </c>
    </row>
    <row r="24" spans="1:1" ht="51.75" customHeight="1">
      <c r="A24" s="11" t="s">
        <v>117</v>
      </c>
    </row>
    <row r="25" spans="1:1" ht="39" customHeight="1">
      <c r="A25" s="11"/>
    </row>
    <row r="26" spans="1:1" ht="64.5" customHeight="1">
      <c r="A26" s="11" t="s">
        <v>118</v>
      </c>
    </row>
    <row r="27" spans="1:1" ht="15" customHeight="1">
      <c r="A27" s="11" t="s">
        <v>119</v>
      </c>
    </row>
    <row r="28" spans="1:1" ht="60" customHeight="1">
      <c r="A28" s="11"/>
    </row>
    <row r="29" spans="1:1" ht="51.75" customHeight="1">
      <c r="A29" s="13" t="s">
        <v>120</v>
      </c>
    </row>
    <row r="30" spans="1:1" ht="51.75" customHeight="1">
      <c r="A30" s="11" t="s">
        <v>121</v>
      </c>
    </row>
    <row r="31" spans="1:1" ht="64.5" customHeight="1">
      <c r="A31" s="11" t="s">
        <v>122</v>
      </c>
    </row>
    <row r="32" spans="1:1" ht="64.5" customHeight="1">
      <c r="A32" s="11" t="s">
        <v>123</v>
      </c>
    </row>
    <row r="33" spans="1:5" ht="15" customHeight="1">
      <c r="A33" s="11"/>
    </row>
    <row r="34" spans="1:5" ht="51.75" customHeight="1">
      <c r="A34" s="11" t="s">
        <v>124</v>
      </c>
    </row>
    <row r="35" spans="1:5" ht="64.5" customHeight="1">
      <c r="A35" s="11" t="s">
        <v>125</v>
      </c>
    </row>
    <row r="36" spans="1:5" ht="26.25" customHeight="1">
      <c r="A36" s="11" t="s">
        <v>126</v>
      </c>
    </row>
    <row r="38" spans="1:5" ht="16.5" customHeight="1">
      <c r="A38" s="14" t="s">
        <v>127</v>
      </c>
    </row>
    <row r="39" spans="1:5" ht="15" customHeight="1">
      <c r="A39" s="5" t="s">
        <v>128</v>
      </c>
      <c r="B39" s="5" t="s">
        <v>99</v>
      </c>
      <c r="C39" s="5" t="s">
        <v>101</v>
      </c>
      <c r="D39" s="5" t="s">
        <v>103</v>
      </c>
      <c r="E39" s="5" t="s">
        <v>104</v>
      </c>
    </row>
    <row r="40" spans="1:5" ht="15" customHeight="1">
      <c r="A40" s="15" t="s">
        <v>129</v>
      </c>
      <c r="B40" s="9">
        <f>증량기록!C10</f>
        <v>37.5</v>
      </c>
      <c r="C40" s="9">
        <f>증량기록!E10</f>
        <v>42.5</v>
      </c>
      <c r="D40" s="9">
        <f>증량기록!G10</f>
        <v>22.5</v>
      </c>
      <c r="E40" s="9">
        <f>증량기록!I10</f>
        <v>20</v>
      </c>
    </row>
    <row r="41" spans="1:5" ht="15" customHeight="1">
      <c r="A41" s="8" t="s">
        <v>130</v>
      </c>
      <c r="B41" s="16">
        <f>증량기록!C11</f>
        <v>42.5</v>
      </c>
      <c r="C41" s="16">
        <f>증량기록!E11</f>
        <v>47.5</v>
      </c>
      <c r="D41" s="16">
        <f>증량기록!G11</f>
        <v>24.75</v>
      </c>
      <c r="E41" s="16">
        <f>증량기록!I11</f>
        <v>21.25</v>
      </c>
    </row>
    <row r="42" spans="1:5" ht="15" customHeight="1">
      <c r="A42" s="8" t="s">
        <v>131</v>
      </c>
      <c r="B42" s="16">
        <f>증량기록!C12</f>
        <v>47.5</v>
      </c>
      <c r="C42" s="16">
        <f>증량기록!E12</f>
        <v>52.5</v>
      </c>
      <c r="D42" s="16">
        <f>증량기록!G12</f>
        <v>27</v>
      </c>
      <c r="E42" s="16">
        <f>증량기록!I12</f>
        <v>22.5</v>
      </c>
    </row>
    <row r="43" spans="1:5" ht="15" customHeight="1">
      <c r="A43" s="8" t="s">
        <v>132</v>
      </c>
      <c r="B43" s="16">
        <f>증량기록!C13</f>
        <v>52.5</v>
      </c>
      <c r="C43" s="16">
        <f>증량기록!E13</f>
        <v>57.5</v>
      </c>
      <c r="D43" s="16">
        <f>증량기록!G13</f>
        <v>29.25</v>
      </c>
      <c r="E43" s="16">
        <f>증량기록!I13</f>
        <v>23.75</v>
      </c>
    </row>
    <row r="44" spans="1:5" ht="15" customHeight="1">
      <c r="A44" s="8" t="s">
        <v>133</v>
      </c>
      <c r="B44" s="16">
        <f>증량기록!C14</f>
        <v>57.5</v>
      </c>
      <c r="C44" s="16">
        <f>증량기록!E14</f>
        <v>62.5</v>
      </c>
      <c r="D44" s="16">
        <f>증량기록!G14</f>
        <v>31.5</v>
      </c>
      <c r="E44" s="16">
        <f>증량기록!I14</f>
        <v>25</v>
      </c>
    </row>
    <row r="45" spans="1:5" ht="15" customHeight="1">
      <c r="A45" s="8" t="s">
        <v>134</v>
      </c>
      <c r="B45" s="16">
        <f>증량기록!C15</f>
        <v>62.5</v>
      </c>
      <c r="C45" s="16">
        <f>증량기록!E15</f>
        <v>67.5</v>
      </c>
      <c r="D45" s="16">
        <f>증량기록!G15</f>
        <v>33.75</v>
      </c>
      <c r="E45" s="16">
        <f>증량기록!I15</f>
        <v>26.25</v>
      </c>
    </row>
    <row r="46" spans="1:5" ht="15" customHeight="1">
      <c r="A46" s="8" t="s">
        <v>135</v>
      </c>
      <c r="B46" s="16">
        <f>증량기록!C16</f>
        <v>67.5</v>
      </c>
      <c r="C46" s="16">
        <f>증량기록!E16</f>
        <v>72.5</v>
      </c>
      <c r="D46" s="16">
        <f>증량기록!G16</f>
        <v>36</v>
      </c>
      <c r="E46" s="16">
        <f>증량기록!I16</f>
        <v>27.5</v>
      </c>
    </row>
    <row r="47" spans="1:5" ht="15" customHeight="1">
      <c r="A47" s="8" t="s">
        <v>136</v>
      </c>
      <c r="B47" s="16">
        <f>증량기록!C17</f>
        <v>72.5</v>
      </c>
      <c r="C47" s="16">
        <f>증량기록!E17</f>
        <v>77.5</v>
      </c>
      <c r="D47" s="16">
        <f>증량기록!G17</f>
        <v>38.25</v>
      </c>
      <c r="E47" s="16">
        <f>증량기록!I17</f>
        <v>28.75</v>
      </c>
    </row>
    <row r="48" spans="1:5" ht="15" customHeight="1">
      <c r="A48" s="8" t="s">
        <v>137</v>
      </c>
      <c r="B48" s="16">
        <f>증량기록!C18</f>
        <v>77.5</v>
      </c>
      <c r="C48" s="16">
        <f>증량기록!E18</f>
        <v>82.5</v>
      </c>
      <c r="D48" s="16">
        <f>증량기록!G18</f>
        <v>40.5</v>
      </c>
      <c r="E48" s="16">
        <f>증량기록!I18</f>
        <v>30</v>
      </c>
    </row>
    <row r="49" spans="1:5" ht="15" customHeight="1">
      <c r="A49" s="8" t="s">
        <v>138</v>
      </c>
      <c r="B49" s="16">
        <f>증량기록!C19</f>
        <v>82.5</v>
      </c>
      <c r="C49" s="16">
        <f>증량기록!E19</f>
        <v>87.5</v>
      </c>
      <c r="D49" s="16">
        <f>증량기록!G19</f>
        <v>42.75</v>
      </c>
      <c r="E49" s="16">
        <f>증량기록!I19</f>
        <v>31.25</v>
      </c>
    </row>
    <row r="50" spans="1:5" ht="15" customHeight="1">
      <c r="A50" s="8" t="s">
        <v>139</v>
      </c>
      <c r="B50" s="16">
        <f>증량기록!C20</f>
        <v>87.5</v>
      </c>
      <c r="C50" s="16">
        <f>증량기록!E20</f>
        <v>92.5</v>
      </c>
      <c r="D50" s="16">
        <f>증량기록!G20</f>
        <v>45</v>
      </c>
      <c r="E50" s="16">
        <f>증량기록!I20</f>
        <v>32.5</v>
      </c>
    </row>
    <row r="51" spans="1:5" ht="15" customHeight="1">
      <c r="A51" s="8" t="s">
        <v>140</v>
      </c>
      <c r="B51" s="16">
        <f>증량기록!C21</f>
        <v>92.5</v>
      </c>
      <c r="C51" s="16">
        <f>증량기록!E21</f>
        <v>97.5</v>
      </c>
      <c r="D51" s="16">
        <f>증량기록!G21</f>
        <v>47.25</v>
      </c>
      <c r="E51" s="16">
        <f>증량기록!I21</f>
        <v>33.75</v>
      </c>
    </row>
    <row r="53" spans="1:5" ht="51.75" customHeight="1">
      <c r="A53" s="11" t="s">
        <v>141</v>
      </c>
    </row>
  </sheetData>
  <phoneticPr fontId="3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7</v>
      </c>
      <c r="F4" s="19" t="s">
        <v>148</v>
      </c>
    </row>
    <row r="5" spans="1:6" ht="15" customHeight="1">
      <c r="A5" s="20">
        <v>1</v>
      </c>
      <c r="B5" s="21" t="s">
        <v>149</v>
      </c>
      <c r="C5" s="22" t="s">
        <v>150</v>
      </c>
      <c r="D5" s="21" t="s">
        <v>151</v>
      </c>
      <c r="E5" s="20">
        <f>INDEX(D1_당기기A!$E:$E,MATCH("세트 합계",D1_당기기A!$D:$D,0))</f>
        <v>31</v>
      </c>
      <c r="F5" s="20" t="str">
        <f>"약 "&amp;INDEX(D1_당기기A!$I:$I,MATCH("세트 합계",D1_당기기A!$D:$D,0))&amp;"분"</f>
        <v>약 74분</v>
      </c>
    </row>
    <row r="6" spans="1:6" ht="15" customHeight="1">
      <c r="A6" s="20">
        <v>2</v>
      </c>
      <c r="B6" s="21" t="s">
        <v>152</v>
      </c>
      <c r="C6" s="22" t="s">
        <v>153</v>
      </c>
      <c r="D6" s="21" t="s">
        <v>1068</v>
      </c>
      <c r="E6" s="20">
        <f>INDEX(D2_밀기A!$E:$E,MATCH("세트 합계",D2_밀기A!$D:$D,0))</f>
        <v>28</v>
      </c>
      <c r="F6" s="20" t="str">
        <f>"약 "&amp;INDEX(D2_밀기A!$I:$I,MATCH("세트 합계",D2_밀기A!$D:$D,0))&amp;"분"</f>
        <v>약 71분</v>
      </c>
    </row>
    <row r="7" spans="1:6" ht="15" customHeight="1">
      <c r="A7" s="20">
        <v>3</v>
      </c>
      <c r="B7" s="21" t="s">
        <v>154</v>
      </c>
      <c r="C7" s="22" t="s">
        <v>155</v>
      </c>
      <c r="D7" s="21" t="s">
        <v>156</v>
      </c>
      <c r="E7" s="20">
        <f>INDEX(D3_하체A!$E:$E,MATCH("세트 합계",D3_하체A!$D:$D,0))</f>
        <v>26</v>
      </c>
      <c r="F7" s="20" t="str">
        <f>"약 "&amp;INDEX(D3_하체A!$I:$I,MATCH("세트 합계",D3_하체A!$D:$D,0))&amp;"분"</f>
        <v>약 70분</v>
      </c>
    </row>
    <row r="8" spans="1:6" ht="15" customHeight="1">
      <c r="A8" s="20">
        <v>4</v>
      </c>
      <c r="B8" s="21" t="s">
        <v>157</v>
      </c>
      <c r="C8" s="22" t="s">
        <v>150</v>
      </c>
      <c r="D8" s="21" t="s">
        <v>1103</v>
      </c>
      <c r="E8" s="20">
        <f>INDEX(D4_어깨팔A!$E:$E,MATCH("세트 합계",D4_어깨팔A!$D:$D,0))</f>
        <v>36</v>
      </c>
      <c r="F8" s="20" t="str">
        <f>"약 "&amp;INDEX(D4_어깨팔A!$I:$I,MATCH("세트 합계",D4_어깨팔A!$D:$D,0))&amp;"분"</f>
        <v>약 72분</v>
      </c>
    </row>
    <row r="9" spans="1:6" ht="15" customHeight="1">
      <c r="A9" s="23">
        <v>5</v>
      </c>
      <c r="B9" s="24" t="s">
        <v>158</v>
      </c>
      <c r="C9" s="25" t="s">
        <v>150</v>
      </c>
      <c r="D9" s="24" t="s">
        <v>150</v>
      </c>
      <c r="E9" s="23">
        <v>0</v>
      </c>
      <c r="F9" s="20" t="s">
        <v>150</v>
      </c>
    </row>
    <row r="10" spans="1:6" ht="15" customHeight="1">
      <c r="A10" s="20">
        <v>6</v>
      </c>
      <c r="B10" s="21" t="s">
        <v>159</v>
      </c>
      <c r="C10" s="22" t="s">
        <v>150</v>
      </c>
      <c r="D10" s="21" t="s">
        <v>1104</v>
      </c>
      <c r="E10" s="20">
        <f>INDEX(D6_당기기B!$E:$E,MATCH("세트 합계",D6_당기기B!$D:$D,0))</f>
        <v>30</v>
      </c>
      <c r="F10" s="20" t="str">
        <f>"약 "&amp;INDEX(D6_당기기B!$I:$I,MATCH("세트 합계",D6_당기기B!$D:$D,0))&amp;"분"</f>
        <v>약 75분</v>
      </c>
    </row>
    <row r="11" spans="1:6" ht="15" customHeight="1">
      <c r="A11" s="20">
        <v>7</v>
      </c>
      <c r="B11" s="21" t="s">
        <v>160</v>
      </c>
      <c r="C11" s="22" t="s">
        <v>161</v>
      </c>
      <c r="D11" s="21" t="s">
        <v>1097</v>
      </c>
      <c r="E11" s="20">
        <f>INDEX(D7_밀기B!$E:$E,MATCH("세트 합계",D7_밀기B!$D:$D,0))</f>
        <v>30</v>
      </c>
      <c r="F11" s="20" t="str">
        <f>"약 "&amp;INDEX(D7_밀기B!$I:$I,MATCH("세트 합계",D7_밀기B!$D:$D,0))&amp;"분"</f>
        <v>약 73분</v>
      </c>
    </row>
    <row r="12" spans="1:6" ht="15" customHeight="1">
      <c r="A12" s="20">
        <v>8</v>
      </c>
      <c r="B12" s="21" t="s">
        <v>162</v>
      </c>
      <c r="C12" s="22" t="s">
        <v>163</v>
      </c>
      <c r="D12" s="21" t="s">
        <v>164</v>
      </c>
      <c r="E12" s="20">
        <f>INDEX(D8_하체B!$E:$E,MATCH("세트 합계",D8_하체B!$D:$D,0))</f>
        <v>24</v>
      </c>
      <c r="F12" s="20" t="str">
        <f>"약 "&amp;INDEX(D8_하체B!$I:$I,MATCH("세트 합계",D8_하체B!$D:$D,0))&amp;"분"</f>
        <v>약 74분</v>
      </c>
    </row>
    <row r="13" spans="1:6" ht="15" customHeight="1">
      <c r="A13" s="20">
        <v>9</v>
      </c>
      <c r="B13" s="21" t="s">
        <v>165</v>
      </c>
      <c r="C13" s="22" t="s">
        <v>150</v>
      </c>
      <c r="D13" s="21" t="s">
        <v>1086</v>
      </c>
      <c r="E13" s="20">
        <f>INDEX(D9_어깨팔B!$E:$E,MATCH("세트 합계",D9_어깨팔B!$D:$D,0))</f>
        <v>36</v>
      </c>
      <c r="F13" s="20" t="str">
        <f>"약 "&amp;INDEX(D9_어깨팔B!$I:$I,MATCH("세트 합계",D9_어깨팔B!$D:$D,0))&amp;"분"</f>
        <v>약 70분</v>
      </c>
    </row>
    <row r="14" spans="1:6">
      <c r="A14" s="23">
        <v>10</v>
      </c>
      <c r="B14" s="24" t="s">
        <v>158</v>
      </c>
      <c r="C14" s="25" t="s">
        <v>150</v>
      </c>
      <c r="D14" s="24" t="s">
        <v>150</v>
      </c>
      <c r="E14" s="23">
        <v>0</v>
      </c>
      <c r="F14" s="20" t="s">
        <v>150</v>
      </c>
    </row>
    <row r="15" spans="1:6" ht="16.5" customHeight="1">
      <c r="A15" s="27" t="s">
        <v>166</v>
      </c>
      <c r="B15" s="28"/>
      <c r="C15" s="29"/>
      <c r="D15" s="28"/>
      <c r="E15" s="27">
        <f>SUM(E5:E14)</f>
        <v>241</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579분 (9시간 39분)</v>
      </c>
    </row>
    <row r="16" spans="1:6" ht="89.25" customHeight="1"/>
    <row r="17" spans="1:1" ht="76.5" customHeight="1">
      <c r="A17" s="13" t="s">
        <v>167</v>
      </c>
    </row>
    <row r="18" spans="1:1" ht="38.25" customHeight="1">
      <c r="A18" s="30" t="s">
        <v>168</v>
      </c>
    </row>
    <row r="19" spans="1:1" ht="114.75" customHeight="1">
      <c r="A19" s="30" t="s">
        <v>169</v>
      </c>
    </row>
    <row r="20" spans="1:1" ht="16.5" customHeight="1">
      <c r="A20" s="30" t="s">
        <v>170</v>
      </c>
    </row>
    <row r="21" spans="1:1" ht="16.5" customHeight="1">
      <c r="A21" s="30" t="s">
        <v>171</v>
      </c>
    </row>
    <row r="22" spans="1:1" ht="15" customHeight="1">
      <c r="A22" s="30" t="s">
        <v>172</v>
      </c>
    </row>
    <row r="23" spans="1:1" ht="15" customHeight="1">
      <c r="A23" s="30" t="s">
        <v>173</v>
      </c>
    </row>
    <row r="24" spans="1:1" ht="15" customHeight="1">
      <c r="A24" s="30" t="s">
        <v>174</v>
      </c>
    </row>
    <row r="25" spans="1:1" ht="15" customHeight="1">
      <c r="A25" s="31"/>
    </row>
    <row r="26" spans="1:1" ht="16.5" customHeight="1">
      <c r="A26" s="105" t="s">
        <v>175</v>
      </c>
    </row>
    <row r="27" spans="1:1" ht="15" customHeight="1">
      <c r="A27" t="s">
        <v>176</v>
      </c>
    </row>
    <row r="28" spans="1:1" ht="15" customHeight="1">
      <c r="A28" t="s">
        <v>177</v>
      </c>
    </row>
    <row r="29" spans="1:1" ht="79.5" customHeight="1">
      <c r="A29" t="s">
        <v>178</v>
      </c>
    </row>
    <row r="30" spans="1:1" ht="64.5" customHeight="1">
      <c r="A30" t="s">
        <v>179</v>
      </c>
    </row>
    <row r="31" spans="1:1" ht="90" customHeight="1">
      <c r="A31" t="s">
        <v>180</v>
      </c>
    </row>
    <row r="32" spans="1:1" ht="102.75" customHeight="1">
      <c r="A32" t="s">
        <v>181</v>
      </c>
    </row>
    <row r="33" spans="1:1" ht="100.5" customHeight="1">
      <c r="A33" t="s">
        <v>182</v>
      </c>
    </row>
    <row r="34" spans="1:1" ht="15" customHeight="1">
      <c r="A34" t="s">
        <v>183</v>
      </c>
    </row>
    <row r="35" spans="1:1" ht="90" customHeight="1">
      <c r="A35" t="s">
        <v>1069</v>
      </c>
    </row>
    <row r="36" spans="1:1" ht="90" customHeight="1">
      <c r="A36" t="s">
        <v>1074</v>
      </c>
    </row>
    <row r="37" spans="1:1" ht="90" customHeight="1">
      <c r="A37" t="s">
        <v>1087</v>
      </c>
    </row>
    <row r="38" spans="1:1" ht="90" customHeight="1">
      <c r="A38" t="s">
        <v>1098</v>
      </c>
    </row>
    <row r="39" spans="1:1" ht="90" customHeight="1">
      <c r="A39" t="s">
        <v>1105</v>
      </c>
    </row>
    <row r="40" spans="1:1" ht="90" customHeight="1">
      <c r="A40" t="s">
        <v>1121</v>
      </c>
    </row>
    <row r="41" spans="1:1" ht="51.75" customHeight="1">
      <c r="A41" s="13" t="s">
        <v>184</v>
      </c>
    </row>
    <row r="42" spans="1:1" ht="77.25" customHeight="1">
      <c r="A42" s="30" t="s">
        <v>185</v>
      </c>
    </row>
    <row r="43" spans="1:1" ht="64.5" customHeight="1">
      <c r="A43" s="30" t="s">
        <v>186</v>
      </c>
    </row>
    <row r="44" spans="1:1" ht="16.5" customHeight="1">
      <c r="A44" s="30" t="s">
        <v>187</v>
      </c>
    </row>
    <row r="45" spans="1:1" ht="16.5" customHeight="1">
      <c r="A45" s="30" t="s">
        <v>188</v>
      </c>
    </row>
    <row r="46" spans="1:1" ht="16.5" customHeight="1">
      <c r="A46" s="30" t="s">
        <v>189</v>
      </c>
    </row>
    <row r="47" spans="1:1" ht="242.25" customHeight="1">
      <c r="A47" s="30"/>
    </row>
    <row r="48" spans="1:1" ht="270.75" customHeight="1">
      <c r="A48" s="13" t="s">
        <v>190</v>
      </c>
    </row>
    <row r="49" spans="1:1" ht="242.25" customHeight="1">
      <c r="A49" s="30" t="s">
        <v>191</v>
      </c>
    </row>
    <row r="50" spans="1:1" ht="199.5" customHeight="1">
      <c r="A50" s="30" t="s">
        <v>192</v>
      </c>
    </row>
    <row r="51" spans="1:1" ht="185.25" customHeight="1">
      <c r="A51" s="30" t="s">
        <v>193</v>
      </c>
    </row>
    <row r="52" spans="1:1" ht="199.5" customHeight="1">
      <c r="A52" s="30" t="s">
        <v>194</v>
      </c>
    </row>
    <row r="53" spans="1:1" ht="185.25" customHeight="1">
      <c r="A53" s="30" t="s">
        <v>195</v>
      </c>
    </row>
    <row r="54" spans="1:1" ht="327.75" customHeight="1">
      <c r="A54" s="30" t="s">
        <v>196</v>
      </c>
    </row>
    <row r="55" spans="1:1" ht="256.5" customHeight="1">
      <c r="A55" s="32"/>
    </row>
    <row r="56" spans="1:1" ht="409.5" customHeight="1">
      <c r="A56" s="13" t="s">
        <v>197</v>
      </c>
    </row>
    <row r="57" spans="1:1" ht="370.5" customHeight="1">
      <c r="A57" s="30" t="s">
        <v>198</v>
      </c>
    </row>
    <row r="58" spans="1:1" ht="409.5" customHeight="1">
      <c r="A58" s="30" t="s">
        <v>199</v>
      </c>
    </row>
    <row r="59" spans="1:1" ht="370.5" customHeight="1">
      <c r="A59" s="30" t="s">
        <v>200</v>
      </c>
    </row>
    <row r="60" spans="1:1" ht="185.25" customHeight="1">
      <c r="A60" s="30" t="s">
        <v>201</v>
      </c>
    </row>
    <row r="61" spans="1:1" ht="60" customHeight="1">
      <c r="A61" s="31"/>
    </row>
    <row r="62" spans="1:1" ht="256.5" customHeight="1">
      <c r="A62" s="13" t="s">
        <v>202</v>
      </c>
    </row>
    <row r="63" spans="1:1" ht="327.75" customHeight="1">
      <c r="A63" s="30" t="s">
        <v>203</v>
      </c>
    </row>
    <row r="64" spans="1:1" ht="256.5" customHeight="1">
      <c r="A64" s="30" t="s">
        <v>204</v>
      </c>
    </row>
    <row r="65" spans="1:1" ht="409.5" customHeight="1">
      <c r="A65" s="30" t="s">
        <v>205</v>
      </c>
    </row>
    <row r="66" spans="1:1" ht="370.5" customHeight="1">
      <c r="A66" s="30" t="s">
        <v>206</v>
      </c>
    </row>
    <row r="67" spans="1:1" ht="285" customHeight="1">
      <c r="A67" s="30" t="s">
        <v>207</v>
      </c>
    </row>
    <row r="68" spans="1:1" ht="90" customHeight="1">
      <c r="A68" s="30" t="s">
        <v>208</v>
      </c>
    </row>
    <row r="69" spans="1:1" ht="313.5" customHeight="1">
      <c r="A69" s="13" t="s">
        <v>209</v>
      </c>
    </row>
    <row r="70" spans="1:1" ht="370.5" customHeight="1">
      <c r="A70" s="30" t="s">
        <v>210</v>
      </c>
    </row>
    <row r="71" spans="1:1" ht="285" customHeight="1">
      <c r="A71" s="30" t="s">
        <v>211</v>
      </c>
    </row>
    <row r="72" spans="1:1" ht="370.5" customHeight="1"/>
    <row r="73" spans="1:1" ht="256.5" customHeight="1">
      <c r="A73" s="13" t="s">
        <v>212</v>
      </c>
    </row>
    <row r="74" spans="1:1" ht="327.75" customHeight="1">
      <c r="A74" s="30" t="s">
        <v>213</v>
      </c>
    </row>
    <row r="75" spans="1:1" ht="327.75" customHeight="1">
      <c r="A75" s="30" t="s">
        <v>214</v>
      </c>
    </row>
    <row r="76" spans="1:1" ht="299.25" customHeight="1">
      <c r="A76" s="30" t="s">
        <v>215</v>
      </c>
    </row>
    <row r="77" spans="1:1" ht="327.75" customHeight="1">
      <c r="A77" s="30" t="s">
        <v>216</v>
      </c>
    </row>
    <row r="78" spans="1:1" ht="90" customHeight="1"/>
    <row r="79" spans="1:1" ht="75" customHeight="1">
      <c r="A79" s="13" t="s">
        <v>217</v>
      </c>
    </row>
    <row r="80" spans="1:1" ht="327.75" customHeight="1">
      <c r="A80" s="30" t="s">
        <v>218</v>
      </c>
    </row>
    <row r="81" spans="1:1" ht="356.25" customHeight="1">
      <c r="A81" s="30" t="s">
        <v>219</v>
      </c>
    </row>
    <row r="82" spans="1:1" ht="270.75" customHeight="1">
      <c r="A82" s="30" t="s">
        <v>220</v>
      </c>
    </row>
    <row r="83" spans="1:1" ht="313.5" customHeight="1">
      <c r="A83" s="30" t="s">
        <v>221</v>
      </c>
    </row>
    <row r="84" spans="1:1" ht="142.5" customHeight="1">
      <c r="A84" s="30" t="s">
        <v>222</v>
      </c>
    </row>
    <row r="85" spans="1:1" ht="242.25" customHeight="1">
      <c r="A85" s="30" t="s">
        <v>223</v>
      </c>
    </row>
    <row r="86" spans="1:1" ht="299.25" customHeight="1">
      <c r="A86" s="30" t="s">
        <v>224</v>
      </c>
    </row>
    <row r="87" spans="1:1" ht="327.75" customHeight="1">
      <c r="A87" s="30" t="s">
        <v>225</v>
      </c>
    </row>
    <row r="88" spans="1:1" ht="327.75" customHeight="1">
      <c r="A88" s="30" t="s">
        <v>226</v>
      </c>
    </row>
    <row r="89" spans="1:1" ht="75" customHeight="1"/>
    <row r="90" spans="1:1" ht="327.75" customHeight="1">
      <c r="A90" s="13" t="s">
        <v>227</v>
      </c>
    </row>
    <row r="91" spans="1:1" ht="356.25" customHeight="1">
      <c r="A91" s="30" t="s">
        <v>228</v>
      </c>
    </row>
    <row r="92" spans="1:1" ht="270.75" customHeight="1">
      <c r="A92" s="30" t="s">
        <v>229</v>
      </c>
    </row>
    <row r="93" spans="1:1" ht="313.5" customHeight="1">
      <c r="A93" s="30" t="s">
        <v>230</v>
      </c>
    </row>
    <row r="94" spans="1:1" ht="142.5" customHeight="1">
      <c r="A94" s="30" t="s">
        <v>231</v>
      </c>
    </row>
    <row r="95" spans="1:1" ht="242.25" customHeight="1">
      <c r="A95" s="30" t="s">
        <v>232</v>
      </c>
    </row>
    <row r="96" spans="1:1" ht="242.25" customHeight="1">
      <c r="A96" s="30" t="s">
        <v>233</v>
      </c>
    </row>
    <row r="98" spans="1:1">
      <c r="A98" s="112" t="s">
        <v>1132</v>
      </c>
    </row>
    <row r="99" spans="1:1">
      <c r="A99" t="s">
        <v>1149</v>
      </c>
    </row>
    <row r="100" spans="1:1">
      <c r="A100" t="s">
        <v>1150</v>
      </c>
    </row>
    <row r="101" spans="1:1">
      <c r="A101" t="s">
        <v>1151</v>
      </c>
    </row>
  </sheetData>
  <phoneticPr fontId="3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O6" sqref="O6:O16"/>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234</v>
      </c>
    </row>
    <row r="2" spans="1:15" ht="16.5" customHeight="1">
      <c r="A2" s="18" t="s">
        <v>235</v>
      </c>
    </row>
    <row r="3" spans="1:15">
      <c r="A3" s="33" t="s">
        <v>236</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1130</v>
      </c>
    </row>
    <row r="6" spans="1:15" ht="16.5" customHeight="1">
      <c r="A6" s="20">
        <v>1</v>
      </c>
      <c r="B6" s="21" t="s">
        <v>237</v>
      </c>
      <c r="C6" s="20" t="s">
        <v>238</v>
      </c>
      <c r="D6" s="20">
        <v>60</v>
      </c>
      <c r="E6" s="20">
        <v>4</v>
      </c>
      <c r="F6" s="26" t="s">
        <v>239</v>
      </c>
      <c r="G6" s="26">
        <v>35</v>
      </c>
      <c r="H6" s="26">
        <v>155</v>
      </c>
      <c r="I6" s="26">
        <f t="shared" ref="I6:I16" si="0">IF(E6=0,0,ROUND((E6*(G6+H6)+O6)/60,1))</f>
        <v>12.7</v>
      </c>
      <c r="J6" s="21" t="s">
        <v>44</v>
      </c>
      <c r="K6" s="21" t="s">
        <v>240</v>
      </c>
      <c r="L6" s="21" t="s">
        <v>241</v>
      </c>
      <c r="M6" s="26" t="s">
        <v>242</v>
      </c>
      <c r="O6" s="26"/>
    </row>
    <row r="7" spans="1:15" ht="16.5" customHeight="1">
      <c r="A7" s="20">
        <v>2</v>
      </c>
      <c r="B7" s="21" t="s">
        <v>243</v>
      </c>
      <c r="C7" s="20" t="s">
        <v>238</v>
      </c>
      <c r="D7" s="26">
        <v>40</v>
      </c>
      <c r="E7" s="20">
        <v>2</v>
      </c>
      <c r="F7" s="26" t="s">
        <v>40</v>
      </c>
      <c r="G7" s="26">
        <v>40</v>
      </c>
      <c r="H7" s="26">
        <v>120</v>
      </c>
      <c r="I7" s="26">
        <f t="shared" si="0"/>
        <v>5.3</v>
      </c>
      <c r="J7" s="21" t="s">
        <v>44</v>
      </c>
      <c r="K7" s="36" t="s">
        <v>1106</v>
      </c>
      <c r="L7" s="21" t="s">
        <v>244</v>
      </c>
      <c r="O7" s="26"/>
    </row>
    <row r="8" spans="1:15" ht="16.5" customHeight="1">
      <c r="A8" s="20">
        <v>3</v>
      </c>
      <c r="B8" s="21" t="s">
        <v>1107</v>
      </c>
      <c r="C8" s="20" t="s">
        <v>238</v>
      </c>
      <c r="D8" s="26">
        <v>20</v>
      </c>
      <c r="E8" s="20">
        <v>2</v>
      </c>
      <c r="F8" s="26" t="s">
        <v>1108</v>
      </c>
      <c r="G8" s="26">
        <v>80</v>
      </c>
      <c r="H8" s="26">
        <v>120</v>
      </c>
      <c r="I8" s="26">
        <f t="shared" si="0"/>
        <v>8.6999999999999993</v>
      </c>
      <c r="J8" s="21" t="s">
        <v>44</v>
      </c>
      <c r="K8" s="36" t="s">
        <v>1131</v>
      </c>
      <c r="L8" s="21" t="s">
        <v>1109</v>
      </c>
      <c r="O8" s="26">
        <v>120</v>
      </c>
    </row>
    <row r="9" spans="1:15" ht="16.5" customHeight="1">
      <c r="A9" s="20">
        <v>4</v>
      </c>
      <c r="B9" s="36" t="s">
        <v>245</v>
      </c>
      <c r="C9" s="42" t="s">
        <v>246</v>
      </c>
      <c r="D9" s="20" t="s">
        <v>247</v>
      </c>
      <c r="E9" s="20">
        <v>4</v>
      </c>
      <c r="F9" s="26" t="s">
        <v>248</v>
      </c>
      <c r="G9" s="26">
        <v>40</v>
      </c>
      <c r="H9" s="26">
        <v>120</v>
      </c>
      <c r="I9" s="26">
        <f t="shared" si="0"/>
        <v>10.7</v>
      </c>
      <c r="J9" s="21" t="s">
        <v>249</v>
      </c>
      <c r="K9" s="21" t="s">
        <v>250</v>
      </c>
      <c r="L9" s="21" t="s">
        <v>251</v>
      </c>
      <c r="O9" s="26"/>
    </row>
    <row r="10" spans="1:15" ht="16.5" customHeight="1">
      <c r="A10" s="20">
        <v>5</v>
      </c>
      <c r="B10" s="36" t="s">
        <v>252</v>
      </c>
      <c r="C10" s="20" t="s">
        <v>246</v>
      </c>
      <c r="D10" s="20">
        <v>12.5</v>
      </c>
      <c r="E10" s="20">
        <v>3</v>
      </c>
      <c r="F10" s="26" t="s">
        <v>19</v>
      </c>
      <c r="G10" s="26">
        <v>45</v>
      </c>
      <c r="H10" s="26">
        <v>60</v>
      </c>
      <c r="I10" s="26">
        <f t="shared" si="0"/>
        <v>5.3</v>
      </c>
      <c r="J10" s="21" t="s">
        <v>253</v>
      </c>
      <c r="K10" s="21" t="s">
        <v>254</v>
      </c>
      <c r="L10" s="21" t="s">
        <v>255</v>
      </c>
      <c r="O10" s="26"/>
    </row>
    <row r="11" spans="1:15" ht="16.5" customHeight="1">
      <c r="A11" s="20">
        <v>6</v>
      </c>
      <c r="B11" s="21" t="s">
        <v>256</v>
      </c>
      <c r="C11" s="20" t="s">
        <v>44</v>
      </c>
      <c r="D11" s="26" t="s">
        <v>257</v>
      </c>
      <c r="E11" s="20">
        <v>0</v>
      </c>
      <c r="F11" s="26" t="s">
        <v>40</v>
      </c>
      <c r="G11" s="26">
        <v>40</v>
      </c>
      <c r="H11" s="26">
        <v>70</v>
      </c>
      <c r="I11" s="26">
        <f t="shared" si="0"/>
        <v>0</v>
      </c>
      <c r="J11" s="21" t="s">
        <v>45</v>
      </c>
      <c r="K11" s="21" t="s">
        <v>258</v>
      </c>
      <c r="L11" s="22" t="s">
        <v>259</v>
      </c>
      <c r="O11" s="26"/>
    </row>
    <row r="12" spans="1:15" ht="16.5" customHeight="1">
      <c r="A12" s="20">
        <v>7</v>
      </c>
      <c r="B12" s="81" t="s">
        <v>260</v>
      </c>
      <c r="C12" s="20" t="s">
        <v>261</v>
      </c>
      <c r="D12" s="20" t="s">
        <v>247</v>
      </c>
      <c r="E12" s="20">
        <v>4</v>
      </c>
      <c r="F12" s="26" t="s">
        <v>19</v>
      </c>
      <c r="G12" s="26">
        <v>40</v>
      </c>
      <c r="H12" s="26">
        <v>60</v>
      </c>
      <c r="I12" s="26">
        <f t="shared" si="0"/>
        <v>6.7</v>
      </c>
      <c r="J12" s="21"/>
      <c r="K12" s="21" t="s">
        <v>262</v>
      </c>
      <c r="L12" s="86" t="s">
        <v>263</v>
      </c>
      <c r="O12" s="26"/>
    </row>
    <row r="13" spans="1:15" ht="16.5" customHeight="1">
      <c r="A13" s="20">
        <v>8</v>
      </c>
      <c r="B13" s="81" t="s">
        <v>264</v>
      </c>
      <c r="C13" s="20" t="s">
        <v>261</v>
      </c>
      <c r="D13" s="20" t="s">
        <v>52</v>
      </c>
      <c r="E13" s="20">
        <v>3</v>
      </c>
      <c r="F13" s="26" t="s">
        <v>61</v>
      </c>
      <c r="G13" s="26">
        <v>70</v>
      </c>
      <c r="H13" s="26">
        <v>60</v>
      </c>
      <c r="I13" s="26">
        <f t="shared" si="0"/>
        <v>6.5</v>
      </c>
      <c r="J13" s="21"/>
      <c r="K13" s="21" t="s">
        <v>265</v>
      </c>
      <c r="L13" s="86" t="s">
        <v>266</v>
      </c>
      <c r="O13" s="26"/>
    </row>
    <row r="14" spans="1:15" ht="15" customHeight="1">
      <c r="A14" s="20">
        <v>9</v>
      </c>
      <c r="B14" s="81" t="s">
        <v>267</v>
      </c>
      <c r="C14" s="20" t="s">
        <v>56</v>
      </c>
      <c r="D14" s="20" t="s">
        <v>268</v>
      </c>
      <c r="E14" s="20">
        <v>3</v>
      </c>
      <c r="F14" s="26" t="s">
        <v>19</v>
      </c>
      <c r="G14" s="26">
        <v>40</v>
      </c>
      <c r="H14" s="26">
        <v>75</v>
      </c>
      <c r="I14" s="26">
        <f t="shared" si="0"/>
        <v>5.8</v>
      </c>
      <c r="J14" s="21"/>
      <c r="K14" s="21" t="s">
        <v>269</v>
      </c>
      <c r="L14" s="86" t="s">
        <v>270</v>
      </c>
      <c r="O14" s="26"/>
    </row>
    <row r="15" spans="1:15" ht="15" customHeight="1">
      <c r="A15" s="20">
        <v>10</v>
      </c>
      <c r="B15" s="21" t="s">
        <v>271</v>
      </c>
      <c r="C15" s="20" t="s">
        <v>272</v>
      </c>
      <c r="D15" s="20">
        <v>20</v>
      </c>
      <c r="E15" s="20">
        <v>3</v>
      </c>
      <c r="F15" s="26" t="s">
        <v>29</v>
      </c>
      <c r="G15" s="26">
        <v>45</v>
      </c>
      <c r="H15" s="26">
        <v>90</v>
      </c>
      <c r="I15" s="26">
        <f t="shared" si="0"/>
        <v>6.8</v>
      </c>
      <c r="J15" s="21" t="s">
        <v>273</v>
      </c>
      <c r="K15" s="36" t="s">
        <v>274</v>
      </c>
      <c r="L15" s="36" t="s">
        <v>275</v>
      </c>
      <c r="O15" s="26"/>
    </row>
    <row r="16" spans="1:15" ht="15" customHeight="1">
      <c r="A16" s="20">
        <v>11</v>
      </c>
      <c r="B16" s="21" t="s">
        <v>276</v>
      </c>
      <c r="C16" s="20" t="s">
        <v>272</v>
      </c>
      <c r="D16" s="20" t="s">
        <v>247</v>
      </c>
      <c r="E16" s="20">
        <v>3</v>
      </c>
      <c r="F16" s="26" t="s">
        <v>19</v>
      </c>
      <c r="G16" s="26">
        <v>40</v>
      </c>
      <c r="H16" s="26">
        <v>60</v>
      </c>
      <c r="I16" s="26">
        <f t="shared" si="0"/>
        <v>5</v>
      </c>
      <c r="J16" s="21"/>
      <c r="K16" s="36" t="s">
        <v>277</v>
      </c>
      <c r="L16" s="36" t="s">
        <v>278</v>
      </c>
      <c r="O16" s="26"/>
    </row>
    <row r="17" spans="1:12" ht="15" customHeight="1">
      <c r="A17" s="20"/>
      <c r="B17" s="21"/>
      <c r="C17" s="20"/>
      <c r="D17" s="20" t="s">
        <v>63</v>
      </c>
      <c r="E17" s="20">
        <f>SUM(E6:E16)</f>
        <v>31</v>
      </c>
      <c r="F17" s="26"/>
      <c r="G17" s="26"/>
      <c r="H17" s="26"/>
      <c r="I17" s="26">
        <f>ROUND(SUM(I6:I16),0)</f>
        <v>74</v>
      </c>
      <c r="J17" s="21"/>
      <c r="K17" s="36"/>
      <c r="L17" s="36"/>
    </row>
    <row r="18" spans="1:12" ht="15" customHeight="1"/>
    <row r="19" spans="1:12">
      <c r="A19" t="s">
        <v>1110</v>
      </c>
    </row>
    <row r="20" spans="1:12">
      <c r="A20" t="s">
        <v>1120</v>
      </c>
    </row>
    <row r="22" spans="1:12">
      <c r="A22" s="112" t="s">
        <v>1132</v>
      </c>
    </row>
    <row r="23" spans="1:12">
      <c r="A23" t="s">
        <v>1133</v>
      </c>
    </row>
    <row r="24" spans="1:12">
      <c r="A24" t="s">
        <v>1134</v>
      </c>
    </row>
    <row r="26" spans="1:12">
      <c r="B26" s="36"/>
    </row>
    <row r="34" spans="10:10">
      <c r="J34" t="s">
        <v>279</v>
      </c>
    </row>
  </sheetData>
  <phoneticPr fontId="32"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O20" sqref="O20:O25"/>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280</v>
      </c>
    </row>
    <row r="2" spans="1:3" ht="16.5" customHeight="1">
      <c r="A2" s="18" t="s">
        <v>1066</v>
      </c>
    </row>
    <row r="4" spans="1:3" ht="16.5" customHeight="1">
      <c r="A4" s="3" t="s">
        <v>281</v>
      </c>
    </row>
    <row r="5" spans="1:3" ht="16.5" customHeight="1">
      <c r="A5" s="19" t="s">
        <v>6</v>
      </c>
      <c r="B5" s="19" t="s">
        <v>282</v>
      </c>
      <c r="C5" s="19" t="s">
        <v>7</v>
      </c>
    </row>
    <row r="6" spans="1:3" ht="15" customHeight="1">
      <c r="A6" s="20">
        <f>MAX(20,MROUND(시작중량_설정!$E$9*0.4,2.5))</f>
        <v>20</v>
      </c>
      <c r="B6" s="20">
        <v>5</v>
      </c>
      <c r="C6" s="20">
        <v>2</v>
      </c>
    </row>
    <row r="7" spans="1:3" ht="15" customHeight="1">
      <c r="A7" s="20" t="str">
        <f>IF(MAX(20,MROUND(시작중량_설정!$E$9*0.6,2.5))&lt;=MAX(20,MROUND(시작중량_설정!$E$9*0.4,2.5)),"생략",MAX(20,MROUND(시작중량_설정!$E$9*0.6,2.5)))</f>
        <v>생략</v>
      </c>
      <c r="B7" s="20">
        <v>5</v>
      </c>
      <c r="C7" s="20">
        <v>1</v>
      </c>
    </row>
    <row r="8" spans="1:3" ht="15" customHeight="1">
      <c r="A8" s="20">
        <f>IF(MAX(20,MROUND(시작중량_설정!$E$9*0.75,2.5))&lt;=MAX(20,MROUND(시작중량_설정!$E$9*0.6,2.5)),"생략",MAX(20,MROUND(시작중량_설정!$E$9*0.75,2.5)))</f>
        <v>22.5</v>
      </c>
      <c r="B8" s="20">
        <v>3</v>
      </c>
      <c r="C8" s="20">
        <v>1</v>
      </c>
    </row>
    <row r="9" spans="1:3" ht="15" customHeight="1">
      <c r="A9" s="20">
        <f>IF(MAX(20,MROUND(시작중량_설정!$E$9*0.9,2.5))&lt;=MAX(20,MROUND(시작중량_설정!$E$9*0.75,2.5)),"생략",MAX(20,MROUND(시작중량_설정!$E$9*0.9,2.5)))</f>
        <v>27.5</v>
      </c>
      <c r="B9" s="20">
        <v>2</v>
      </c>
      <c r="C9" s="20">
        <v>1</v>
      </c>
    </row>
    <row r="10" spans="1:3" ht="15" customHeight="1">
      <c r="A10" s="37">
        <f>시작중량_설정!$E$9</f>
        <v>31.5</v>
      </c>
      <c r="B10" s="27">
        <v>5</v>
      </c>
      <c r="C10" s="27">
        <v>5</v>
      </c>
    </row>
    <row r="11" spans="1:3" ht="16.5" customHeight="1">
      <c r="A11" s="31" t="s">
        <v>283</v>
      </c>
    </row>
    <row r="13" spans="1:3" ht="16.5" customHeight="1">
      <c r="A13" s="3" t="s">
        <v>284</v>
      </c>
    </row>
    <row r="14" spans="1:3" ht="16.5" customHeight="1">
      <c r="A14" s="31" t="s">
        <v>285</v>
      </c>
    </row>
    <row r="15" spans="1:3" ht="16.5" customHeight="1">
      <c r="A15" s="31" t="s">
        <v>286</v>
      </c>
    </row>
    <row r="16" spans="1:3" ht="16.5" customHeight="1">
      <c r="A16" s="31" t="s">
        <v>287</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1130</v>
      </c>
    </row>
    <row r="20" spans="1:15" ht="16.5" customHeight="1">
      <c r="A20" s="38">
        <v>1</v>
      </c>
      <c r="B20" s="39" t="s">
        <v>288</v>
      </c>
      <c r="C20" s="40" t="s">
        <v>289</v>
      </c>
      <c r="D20" s="41">
        <f>시작중량_설정!$E$9</f>
        <v>31.5</v>
      </c>
      <c r="E20" s="40">
        <v>5</v>
      </c>
      <c r="F20" s="38" t="s">
        <v>290</v>
      </c>
      <c r="G20" s="38">
        <v>30</v>
      </c>
      <c r="H20" s="38">
        <v>180</v>
      </c>
      <c r="I20" s="38">
        <f t="shared" ref="I20:I25" si="0">IF(E20=0,0,ROUND((E20*(G20+H20)+O20)/60,1))</f>
        <v>17.5</v>
      </c>
      <c r="J20" s="39" t="s">
        <v>291</v>
      </c>
      <c r="K20" s="39" t="s">
        <v>292</v>
      </c>
      <c r="L20" s="39" t="s">
        <v>293</v>
      </c>
      <c r="M20" s="38" t="s">
        <v>294</v>
      </c>
      <c r="O20" s="38"/>
    </row>
    <row r="21" spans="1:15" ht="16.5" customHeight="1">
      <c r="A21" s="20">
        <v>2</v>
      </c>
      <c r="B21" s="21" t="s">
        <v>295</v>
      </c>
      <c r="C21" s="20" t="s">
        <v>289</v>
      </c>
      <c r="D21" s="42" t="s">
        <v>296</v>
      </c>
      <c r="E21" s="20">
        <v>4</v>
      </c>
      <c r="F21" s="26" t="s">
        <v>248</v>
      </c>
      <c r="G21" s="26">
        <v>40</v>
      </c>
      <c r="H21" s="26">
        <v>155</v>
      </c>
      <c r="I21" s="26">
        <f t="shared" si="0"/>
        <v>13</v>
      </c>
      <c r="J21" s="21" t="s">
        <v>39</v>
      </c>
      <c r="K21" s="21" t="s">
        <v>297</v>
      </c>
      <c r="L21" s="36" t="s">
        <v>298</v>
      </c>
      <c r="M21" s="26" t="s">
        <v>242</v>
      </c>
      <c r="O21" s="26"/>
    </row>
    <row r="22" spans="1:15" ht="16.5" customHeight="1">
      <c r="A22" s="20">
        <v>3</v>
      </c>
      <c r="B22" s="36" t="s">
        <v>304</v>
      </c>
      <c r="C22" s="20" t="s">
        <v>300</v>
      </c>
      <c r="D22" s="26">
        <v>8</v>
      </c>
      <c r="E22" s="20">
        <v>4</v>
      </c>
      <c r="F22" s="26" t="s">
        <v>305</v>
      </c>
      <c r="G22" s="26">
        <v>40</v>
      </c>
      <c r="H22" s="26">
        <v>105</v>
      </c>
      <c r="I22" s="26">
        <f t="shared" si="0"/>
        <v>9.6999999999999993</v>
      </c>
      <c r="J22" s="21"/>
      <c r="K22" s="21" t="s">
        <v>306</v>
      </c>
      <c r="L22" s="21" t="s">
        <v>307</v>
      </c>
      <c r="O22" s="26"/>
    </row>
    <row r="23" spans="1:15" ht="16.5" customHeight="1">
      <c r="A23" s="20">
        <v>4</v>
      </c>
      <c r="B23" s="21" t="s">
        <v>308</v>
      </c>
      <c r="C23" s="20" t="s">
        <v>18</v>
      </c>
      <c r="D23" s="26">
        <v>6</v>
      </c>
      <c r="E23" s="20">
        <v>6</v>
      </c>
      <c r="F23" s="26" t="s">
        <v>19</v>
      </c>
      <c r="G23" s="26">
        <v>40</v>
      </c>
      <c r="H23" s="26">
        <v>70</v>
      </c>
      <c r="I23" s="26">
        <f t="shared" si="0"/>
        <v>12</v>
      </c>
      <c r="J23" s="21"/>
      <c r="K23" s="21" t="s">
        <v>1135</v>
      </c>
      <c r="L23" s="21" t="s">
        <v>309</v>
      </c>
      <c r="O23" s="26">
        <v>60</v>
      </c>
    </row>
    <row r="24" spans="1:15" ht="16.5" customHeight="1">
      <c r="A24" s="20">
        <v>5</v>
      </c>
      <c r="B24" s="21" t="s">
        <v>310</v>
      </c>
      <c r="C24" s="43" t="s">
        <v>23</v>
      </c>
      <c r="D24" s="26">
        <v>20</v>
      </c>
      <c r="E24" s="20">
        <v>5</v>
      </c>
      <c r="F24" s="26" t="s">
        <v>19</v>
      </c>
      <c r="G24" s="26">
        <v>40</v>
      </c>
      <c r="H24" s="26">
        <v>70</v>
      </c>
      <c r="I24" s="26">
        <f t="shared" si="0"/>
        <v>10.199999999999999</v>
      </c>
      <c r="J24" s="21"/>
      <c r="K24" s="21" t="s">
        <v>1136</v>
      </c>
      <c r="L24" s="86" t="s">
        <v>311</v>
      </c>
      <c r="O24" s="26">
        <v>60</v>
      </c>
    </row>
    <row r="25" spans="1:15" ht="16.5" customHeight="1">
      <c r="A25" s="20">
        <v>6</v>
      </c>
      <c r="B25" s="21" t="s">
        <v>364</v>
      </c>
      <c r="C25" s="20" t="s">
        <v>39</v>
      </c>
      <c r="D25" s="26">
        <v>20</v>
      </c>
      <c r="E25" s="20">
        <v>4</v>
      </c>
      <c r="F25" s="26" t="s">
        <v>52</v>
      </c>
      <c r="G25" s="26">
        <v>40</v>
      </c>
      <c r="H25" s="26">
        <v>70</v>
      </c>
      <c r="I25" s="26">
        <f t="shared" si="0"/>
        <v>8.3000000000000007</v>
      </c>
      <c r="J25" s="21"/>
      <c r="K25" s="21" t="s">
        <v>1137</v>
      </c>
      <c r="L25" s="21" t="s">
        <v>365</v>
      </c>
      <c r="O25" s="26">
        <v>60</v>
      </c>
    </row>
    <row r="26" spans="1:15" ht="16.5" customHeight="1">
      <c r="D26" s="3" t="s">
        <v>63</v>
      </c>
      <c r="E26" s="27">
        <f>SUM(E20:E25)</f>
        <v>28</v>
      </c>
      <c r="I26">
        <f>ROUND(SUM(I20:I25),0)</f>
        <v>71</v>
      </c>
    </row>
    <row r="27" spans="1:15" ht="16.5" customHeight="1">
      <c r="A27" s="112" t="s">
        <v>1132</v>
      </c>
    </row>
    <row r="28" spans="1:15">
      <c r="A28" t="s">
        <v>1138</v>
      </c>
    </row>
    <row r="29" spans="1:15">
      <c r="A29" t="s">
        <v>1134</v>
      </c>
    </row>
  </sheetData>
  <phoneticPr fontId="32"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3"/>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312</v>
      </c>
    </row>
    <row r="2" spans="1:15" ht="16.5" customHeight="1">
      <c r="A2" s="18" t="s">
        <v>313</v>
      </c>
    </row>
    <row r="4" spans="1:15" ht="16.5" customHeight="1">
      <c r="A4" s="3" t="s">
        <v>314</v>
      </c>
    </row>
    <row r="5" spans="1:15" ht="16.5" customHeight="1">
      <c r="A5" s="19" t="s">
        <v>6</v>
      </c>
      <c r="B5" s="19" t="s">
        <v>282</v>
      </c>
      <c r="C5" s="19" t="s">
        <v>7</v>
      </c>
    </row>
    <row r="6" spans="1:15" ht="15" customHeight="1">
      <c r="A6" s="20">
        <f>MAX(20,MROUND(시작중량_설정!$E$7*0.4,2.5))</f>
        <v>22.5</v>
      </c>
      <c r="B6" s="20">
        <v>5</v>
      </c>
      <c r="C6" s="20">
        <v>2</v>
      </c>
    </row>
    <row r="7" spans="1:15" ht="15" customHeight="1">
      <c r="A7" s="20">
        <f>IF(MAX(20,MROUND(시작중량_설정!$E$7*0.6,2.5))&lt;=MAX(20,MROUND(시작중량_설정!$E$7*0.4,2.5)),"생략",MAX(20,MROUND(시작중량_설정!$E$7*0.6,2.5)))</f>
        <v>35</v>
      </c>
      <c r="B7" s="20">
        <v>5</v>
      </c>
      <c r="C7" s="20">
        <v>1</v>
      </c>
    </row>
    <row r="8" spans="1:15" ht="15" customHeight="1">
      <c r="A8" s="20">
        <f>IF(MAX(20,MROUND(시작중량_설정!$E$7*0.75,2.5))&lt;=MAX(20,MROUND(시작중량_설정!$E$7*0.6,2.5)),"생략",MAX(20,MROUND(시작중량_설정!$E$7*0.75,2.5)))</f>
        <v>42.5</v>
      </c>
      <c r="B8" s="20">
        <v>3</v>
      </c>
      <c r="C8" s="20">
        <v>1</v>
      </c>
    </row>
    <row r="9" spans="1:15" ht="15" customHeight="1">
      <c r="A9" s="20">
        <f>IF(MAX(20,MROUND(시작중량_설정!$E$7*0.9,2.5))&lt;=MAX(20,MROUND(시작중량_설정!$E$7*0.75,2.5)),"생략",MAX(20,MROUND(시작중량_설정!$E$7*0.9,2.5)))</f>
        <v>52.5</v>
      </c>
      <c r="B9" s="20">
        <v>2</v>
      </c>
      <c r="C9" s="20">
        <v>1</v>
      </c>
    </row>
    <row r="10" spans="1:15" ht="15" customHeight="1">
      <c r="A10" s="37">
        <f>시작중량_설정!$E$7</f>
        <v>57.5</v>
      </c>
      <c r="B10" s="27">
        <v>5</v>
      </c>
      <c r="C10" s="27">
        <v>5</v>
      </c>
    </row>
    <row r="11" spans="1:15" ht="16.5" customHeight="1">
      <c r="A11" s="31" t="s">
        <v>283</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1130</v>
      </c>
    </row>
    <row r="15" spans="1:15" ht="16.5" customHeight="1">
      <c r="A15" s="40">
        <v>1</v>
      </c>
      <c r="B15" s="39" t="s">
        <v>315</v>
      </c>
      <c r="C15" s="40" t="s">
        <v>316</v>
      </c>
      <c r="D15" s="41">
        <f>시작중량_설정!$E$7</f>
        <v>57.5</v>
      </c>
      <c r="E15" s="40">
        <v>5</v>
      </c>
      <c r="F15" s="38" t="s">
        <v>290</v>
      </c>
      <c r="G15" s="38">
        <v>35</v>
      </c>
      <c r="H15" s="38">
        <v>193</v>
      </c>
      <c r="I15" s="38">
        <f t="shared" ref="I15:I21" si="0">IF(E15=0,0,ROUND((E15*(G15+H15)+O15)/60,1))</f>
        <v>19</v>
      </c>
      <c r="J15" s="39" t="s">
        <v>317</v>
      </c>
      <c r="K15" s="39" t="s">
        <v>318</v>
      </c>
      <c r="L15" s="39" t="s">
        <v>319</v>
      </c>
      <c r="M15" s="38" t="s">
        <v>320</v>
      </c>
      <c r="O15" s="38"/>
    </row>
    <row r="16" spans="1:15" ht="16.5" customHeight="1">
      <c r="A16" s="20">
        <v>2</v>
      </c>
      <c r="B16" s="21" t="s">
        <v>321</v>
      </c>
      <c r="C16" s="20" t="s">
        <v>316</v>
      </c>
      <c r="D16" s="26">
        <v>120</v>
      </c>
      <c r="E16" s="20">
        <v>3</v>
      </c>
      <c r="F16" s="26" t="s">
        <v>40</v>
      </c>
      <c r="G16" s="26">
        <v>45</v>
      </c>
      <c r="H16" s="26">
        <v>150</v>
      </c>
      <c r="I16" s="26">
        <f t="shared" si="0"/>
        <v>9.8000000000000007</v>
      </c>
      <c r="J16" s="21" t="s">
        <v>322</v>
      </c>
      <c r="K16" s="21" t="s">
        <v>323</v>
      </c>
      <c r="L16" s="21" t="s">
        <v>324</v>
      </c>
      <c r="O16" s="26"/>
    </row>
    <row r="17" spans="1:15" ht="16.5" customHeight="1">
      <c r="A17" s="20">
        <v>3</v>
      </c>
      <c r="B17" s="21" t="s">
        <v>325</v>
      </c>
      <c r="C17" s="20" t="s">
        <v>322</v>
      </c>
      <c r="D17" s="20" t="s">
        <v>247</v>
      </c>
      <c r="E17" s="20">
        <v>3</v>
      </c>
      <c r="F17" s="26" t="s">
        <v>326</v>
      </c>
      <c r="G17" s="26">
        <v>90</v>
      </c>
      <c r="H17" s="26">
        <v>150</v>
      </c>
      <c r="I17" s="26">
        <f t="shared" si="0"/>
        <v>12</v>
      </c>
      <c r="J17" s="21" t="s">
        <v>327</v>
      </c>
      <c r="K17" s="21" t="s">
        <v>328</v>
      </c>
      <c r="L17" s="21" t="s">
        <v>329</v>
      </c>
      <c r="O17" s="26"/>
    </row>
    <row r="18" spans="1:15" ht="16.5" customHeight="1">
      <c r="A18" s="20">
        <v>4</v>
      </c>
      <c r="B18" s="21" t="s">
        <v>330</v>
      </c>
      <c r="C18" s="20" t="s">
        <v>331</v>
      </c>
      <c r="D18" s="26">
        <v>40</v>
      </c>
      <c r="E18" s="20">
        <v>4</v>
      </c>
      <c r="F18" s="26" t="s">
        <v>305</v>
      </c>
      <c r="G18" s="26">
        <v>40</v>
      </c>
      <c r="H18" s="26">
        <v>120</v>
      </c>
      <c r="I18" s="26">
        <f t="shared" si="0"/>
        <v>10.7</v>
      </c>
      <c r="J18" s="21"/>
      <c r="K18" s="21" t="s">
        <v>332</v>
      </c>
      <c r="L18" s="21" t="s">
        <v>333</v>
      </c>
      <c r="O18" s="26"/>
    </row>
    <row r="19" spans="1:15" ht="16.5" customHeight="1">
      <c r="A19" s="20">
        <v>5</v>
      </c>
      <c r="B19" s="21" t="s">
        <v>334</v>
      </c>
      <c r="C19" s="20" t="s">
        <v>335</v>
      </c>
      <c r="D19" s="26">
        <v>35</v>
      </c>
      <c r="E19" s="20">
        <v>4</v>
      </c>
      <c r="F19" s="26" t="s">
        <v>19</v>
      </c>
      <c r="G19" s="26">
        <v>40</v>
      </c>
      <c r="H19" s="26">
        <v>10</v>
      </c>
      <c r="I19" s="26">
        <f t="shared" si="0"/>
        <v>3.3</v>
      </c>
      <c r="J19" s="21"/>
      <c r="K19" s="21" t="s">
        <v>336</v>
      </c>
      <c r="L19" s="21" t="s">
        <v>337</v>
      </c>
      <c r="N19" t="s">
        <v>338</v>
      </c>
      <c r="O19" s="26"/>
    </row>
    <row r="20" spans="1:15" ht="16.5" customHeight="1">
      <c r="A20" s="20">
        <v>6</v>
      </c>
      <c r="B20" s="21" t="s">
        <v>339</v>
      </c>
      <c r="C20" s="20" t="s">
        <v>60</v>
      </c>
      <c r="D20" s="26" t="s">
        <v>257</v>
      </c>
      <c r="E20" s="20">
        <v>4</v>
      </c>
      <c r="F20" s="26" t="s">
        <v>19</v>
      </c>
      <c r="G20" s="26">
        <v>40</v>
      </c>
      <c r="H20" s="26">
        <v>105</v>
      </c>
      <c r="I20" s="26">
        <f t="shared" si="0"/>
        <v>9.6999999999999993</v>
      </c>
      <c r="J20" s="21"/>
      <c r="K20" s="21" t="s">
        <v>340</v>
      </c>
      <c r="L20" s="21" t="s">
        <v>341</v>
      </c>
      <c r="N20" t="s">
        <v>338</v>
      </c>
      <c r="O20" s="26"/>
    </row>
    <row r="21" spans="1:15" ht="16.5" customHeight="1">
      <c r="A21" s="20">
        <v>7</v>
      </c>
      <c r="B21" s="81" t="s">
        <v>342</v>
      </c>
      <c r="C21" s="20" t="s">
        <v>261</v>
      </c>
      <c r="D21" s="82" t="s">
        <v>247</v>
      </c>
      <c r="E21" s="20">
        <v>3</v>
      </c>
      <c r="F21" s="26">
        <v>10</v>
      </c>
      <c r="G21" s="26">
        <v>40</v>
      </c>
      <c r="H21" s="26">
        <v>60</v>
      </c>
      <c r="I21" s="26">
        <f t="shared" si="0"/>
        <v>5</v>
      </c>
      <c r="J21" s="21"/>
      <c r="K21" s="21" t="s">
        <v>343</v>
      </c>
      <c r="L21" s="21" t="s">
        <v>344</v>
      </c>
      <c r="O21" s="26"/>
    </row>
    <row r="22" spans="1:15" ht="15" customHeight="1">
      <c r="D22" s="3" t="s">
        <v>63</v>
      </c>
      <c r="E22" s="27">
        <f>SUM(E15:E21)</f>
        <v>26</v>
      </c>
      <c r="I22">
        <f>ROUND(SUM(I15:I21),0)</f>
        <v>70</v>
      </c>
    </row>
    <row r="23" spans="1:15" ht="15" customHeight="1"/>
  </sheetData>
  <phoneticPr fontId="32"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O6" sqref="O6:O16"/>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345</v>
      </c>
    </row>
    <row r="2" spans="1:15" ht="16.5" customHeight="1">
      <c r="A2" s="18" t="s">
        <v>1152</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1130</v>
      </c>
    </row>
    <row r="6" spans="1:15" ht="16.5" customHeight="1">
      <c r="A6" s="20">
        <v>1</v>
      </c>
      <c r="B6" s="81" t="s">
        <v>346</v>
      </c>
      <c r="C6" s="20" t="s">
        <v>18</v>
      </c>
      <c r="D6" s="20">
        <v>10</v>
      </c>
      <c r="E6" s="20">
        <v>3</v>
      </c>
      <c r="F6" s="26" t="s">
        <v>19</v>
      </c>
      <c r="G6" s="26">
        <v>40</v>
      </c>
      <c r="H6" s="26">
        <v>70</v>
      </c>
      <c r="I6" s="26">
        <f t="shared" ref="I6:I16" si="0">IF(E6=0,0,ROUND((E6*(G6+H6)+O6)/60,1))</f>
        <v>5.5</v>
      </c>
      <c r="J6" s="21"/>
      <c r="K6" s="21" t="s">
        <v>347</v>
      </c>
      <c r="L6" s="21" t="s">
        <v>348</v>
      </c>
      <c r="O6" s="26"/>
    </row>
    <row r="7" spans="1:15" ht="16.5" customHeight="1">
      <c r="A7" s="20">
        <v>2</v>
      </c>
      <c r="B7" s="81" t="s">
        <v>349</v>
      </c>
      <c r="C7" s="20" t="s">
        <v>18</v>
      </c>
      <c r="D7" s="20">
        <v>15</v>
      </c>
      <c r="E7" s="20">
        <v>3</v>
      </c>
      <c r="F7" s="26" t="s">
        <v>19</v>
      </c>
      <c r="G7" s="26">
        <v>40</v>
      </c>
      <c r="H7" s="26">
        <v>75</v>
      </c>
      <c r="I7" s="26">
        <f t="shared" si="0"/>
        <v>5.8</v>
      </c>
      <c r="J7" s="21" t="s">
        <v>350</v>
      </c>
      <c r="K7" s="21" t="s">
        <v>351</v>
      </c>
      <c r="L7" s="21" t="s">
        <v>352</v>
      </c>
      <c r="O7" s="26"/>
    </row>
    <row r="8" spans="1:15" ht="16.5" customHeight="1">
      <c r="A8" s="20">
        <v>3</v>
      </c>
      <c r="B8" s="81" t="s">
        <v>353</v>
      </c>
      <c r="C8" s="20" t="s">
        <v>23</v>
      </c>
      <c r="D8" s="20" t="s">
        <v>19</v>
      </c>
      <c r="E8" s="20">
        <v>3</v>
      </c>
      <c r="F8" s="26" t="s">
        <v>19</v>
      </c>
      <c r="G8" s="26">
        <v>40</v>
      </c>
      <c r="H8" s="26">
        <v>70</v>
      </c>
      <c r="I8" s="26">
        <f t="shared" si="0"/>
        <v>5.5</v>
      </c>
      <c r="J8" s="21" t="s">
        <v>354</v>
      </c>
      <c r="K8" s="21" t="s">
        <v>355</v>
      </c>
      <c r="L8" s="21" t="s">
        <v>356</v>
      </c>
      <c r="O8" s="26"/>
    </row>
    <row r="9" spans="1:15" ht="16.5" customHeight="1">
      <c r="A9" s="20">
        <v>4</v>
      </c>
      <c r="B9" s="81" t="s">
        <v>357</v>
      </c>
      <c r="C9" s="20" t="s">
        <v>23</v>
      </c>
      <c r="D9" s="20">
        <v>20</v>
      </c>
      <c r="E9" s="20">
        <v>3</v>
      </c>
      <c r="F9" s="26" t="s">
        <v>19</v>
      </c>
      <c r="G9" s="26">
        <v>40</v>
      </c>
      <c r="H9" s="26">
        <v>80</v>
      </c>
      <c r="I9" s="26">
        <f t="shared" si="0"/>
        <v>6</v>
      </c>
      <c r="J9" s="21" t="s">
        <v>354</v>
      </c>
      <c r="K9" s="21" t="s">
        <v>358</v>
      </c>
      <c r="L9" s="21" t="s">
        <v>359</v>
      </c>
      <c r="O9" s="26"/>
    </row>
    <row r="10" spans="1:15" ht="16.5" customHeight="1">
      <c r="A10" s="20">
        <v>5</v>
      </c>
      <c r="B10" s="91" t="s">
        <v>401</v>
      </c>
      <c r="C10" s="20" t="s">
        <v>34</v>
      </c>
      <c r="D10" s="20" t="s">
        <v>402</v>
      </c>
      <c r="E10" s="20">
        <v>3</v>
      </c>
      <c r="F10" s="26" t="s">
        <v>19</v>
      </c>
      <c r="G10" s="26">
        <v>40</v>
      </c>
      <c r="H10" s="26">
        <v>60</v>
      </c>
      <c r="I10" s="26">
        <f t="shared" si="0"/>
        <v>5</v>
      </c>
      <c r="J10" s="21"/>
      <c r="K10" s="21" t="s">
        <v>1099</v>
      </c>
      <c r="L10" s="21" t="s">
        <v>403</v>
      </c>
      <c r="O10" s="26"/>
    </row>
    <row r="11" spans="1:15" ht="16.5" customHeight="1">
      <c r="A11" s="20">
        <v>6</v>
      </c>
      <c r="B11" s="21" t="s">
        <v>299</v>
      </c>
      <c r="C11" s="20" t="s">
        <v>300</v>
      </c>
      <c r="D11" s="42" t="s">
        <v>301</v>
      </c>
      <c r="E11" s="20">
        <v>3</v>
      </c>
      <c r="F11" s="26" t="s">
        <v>40</v>
      </c>
      <c r="G11" s="26">
        <v>40</v>
      </c>
      <c r="H11" s="26">
        <v>150</v>
      </c>
      <c r="I11" s="26">
        <f t="shared" si="0"/>
        <v>9.5</v>
      </c>
      <c r="J11" s="21" t="s">
        <v>302</v>
      </c>
      <c r="K11" s="21" t="s">
        <v>1065</v>
      </c>
      <c r="L11" s="36" t="s">
        <v>303</v>
      </c>
      <c r="M11" s="92"/>
      <c r="O11" s="26"/>
    </row>
    <row r="12" spans="1:15" ht="16.5" customHeight="1">
      <c r="A12" s="20">
        <v>7</v>
      </c>
      <c r="B12" s="21" t="s">
        <v>361</v>
      </c>
      <c r="C12" s="20" t="s">
        <v>289</v>
      </c>
      <c r="D12" s="26" t="s">
        <v>362</v>
      </c>
      <c r="E12" s="20">
        <v>3</v>
      </c>
      <c r="F12" s="26" t="s">
        <v>305</v>
      </c>
      <c r="G12" s="26">
        <v>40</v>
      </c>
      <c r="H12" s="26">
        <v>90</v>
      </c>
      <c r="I12" s="26">
        <f t="shared" si="0"/>
        <v>7.5</v>
      </c>
      <c r="J12" s="21" t="s">
        <v>27</v>
      </c>
      <c r="K12" s="21" t="s">
        <v>1139</v>
      </c>
      <c r="L12" s="21" t="s">
        <v>363</v>
      </c>
      <c r="O12" s="26">
        <v>60</v>
      </c>
    </row>
    <row r="13" spans="1:15" ht="16.5" customHeight="1">
      <c r="A13" s="20">
        <v>8</v>
      </c>
      <c r="B13" s="21" t="s">
        <v>256</v>
      </c>
      <c r="C13" s="43" t="s">
        <v>44</v>
      </c>
      <c r="D13" s="26" t="s">
        <v>366</v>
      </c>
      <c r="E13" s="20">
        <v>3</v>
      </c>
      <c r="F13" s="26" t="s">
        <v>40</v>
      </c>
      <c r="G13" s="26">
        <v>40</v>
      </c>
      <c r="H13" s="26">
        <v>70</v>
      </c>
      <c r="I13" s="26">
        <f t="shared" si="0"/>
        <v>5.5</v>
      </c>
      <c r="J13" s="21" t="s">
        <v>45</v>
      </c>
      <c r="K13" s="21" t="s">
        <v>367</v>
      </c>
      <c r="L13" s="21" t="s">
        <v>368</v>
      </c>
      <c r="O13" s="26"/>
    </row>
    <row r="14" spans="1:15" ht="16.5" customHeight="1">
      <c r="A14" s="20">
        <v>9</v>
      </c>
      <c r="B14" s="81" t="s">
        <v>48</v>
      </c>
      <c r="C14" s="20" t="s">
        <v>45</v>
      </c>
      <c r="D14" s="20">
        <v>15</v>
      </c>
      <c r="E14" s="20">
        <v>4</v>
      </c>
      <c r="F14" s="26" t="s">
        <v>49</v>
      </c>
      <c r="G14" s="26">
        <v>40</v>
      </c>
      <c r="H14" s="26">
        <v>60</v>
      </c>
      <c r="I14" s="26">
        <f t="shared" si="0"/>
        <v>6.7</v>
      </c>
      <c r="J14" s="21"/>
      <c r="K14" s="21" t="s">
        <v>1078</v>
      </c>
      <c r="L14" s="21" t="s">
        <v>50</v>
      </c>
      <c r="O14" s="26"/>
    </row>
    <row r="15" spans="1:15" ht="16.5" customHeight="1">
      <c r="A15" s="20">
        <v>10</v>
      </c>
      <c r="B15" s="81" t="s">
        <v>51</v>
      </c>
      <c r="C15" s="20" t="s">
        <v>45</v>
      </c>
      <c r="D15" s="20">
        <v>15</v>
      </c>
      <c r="E15" s="20">
        <v>4</v>
      </c>
      <c r="F15" s="26" t="s">
        <v>52</v>
      </c>
      <c r="G15" s="26">
        <v>40</v>
      </c>
      <c r="H15" s="26">
        <v>70</v>
      </c>
      <c r="I15" s="26">
        <f t="shared" si="0"/>
        <v>7.3</v>
      </c>
      <c r="J15" s="21" t="s">
        <v>53</v>
      </c>
      <c r="K15" s="21" t="s">
        <v>1079</v>
      </c>
      <c r="L15" s="21" t="s">
        <v>54</v>
      </c>
      <c r="O15" s="26"/>
    </row>
    <row r="16" spans="1:15" ht="16.5" customHeight="1">
      <c r="A16" s="20">
        <v>11</v>
      </c>
      <c r="B16" s="21" t="s">
        <v>267</v>
      </c>
      <c r="C16" s="20" t="s">
        <v>56</v>
      </c>
      <c r="D16" s="26">
        <v>10</v>
      </c>
      <c r="E16" s="20">
        <v>4</v>
      </c>
      <c r="F16" s="26" t="s">
        <v>19</v>
      </c>
      <c r="G16" s="26">
        <v>40</v>
      </c>
      <c r="H16" s="26">
        <v>75</v>
      </c>
      <c r="I16" s="26">
        <f t="shared" si="0"/>
        <v>7.7</v>
      </c>
      <c r="J16" s="21"/>
      <c r="K16" s="21" t="s">
        <v>1090</v>
      </c>
      <c r="L16" s="21" t="s">
        <v>404</v>
      </c>
      <c r="O16" s="26"/>
    </row>
    <row r="17" spans="1:9" ht="16.5" customHeight="1">
      <c r="D17" s="3" t="s">
        <v>63</v>
      </c>
      <c r="E17" s="27">
        <f>SUM(E6:E16)</f>
        <v>36</v>
      </c>
      <c r="I17">
        <f>ROUND(SUM(I6:I16),0)</f>
        <v>72</v>
      </c>
    </row>
    <row r="18" spans="1:9" ht="16.5" customHeight="1"/>
    <row r="19" spans="1:9" ht="16.5" customHeight="1">
      <c r="A19" s="108" t="s">
        <v>374</v>
      </c>
    </row>
    <row r="20" spans="1:9" ht="16.5" customHeight="1">
      <c r="A20" s="109" t="s">
        <v>375</v>
      </c>
    </row>
    <row r="21" spans="1:9" ht="16.5" customHeight="1">
      <c r="A21" t="s">
        <v>376</v>
      </c>
    </row>
    <row r="22" spans="1:9" ht="16.5" customHeight="1">
      <c r="A22" s="109" t="s">
        <v>377</v>
      </c>
    </row>
    <row r="23" spans="1:9" ht="16.5" customHeight="1">
      <c r="A23" s="109" t="s">
        <v>378</v>
      </c>
    </row>
    <row r="24" spans="1:9" ht="16.5" customHeight="1">
      <c r="A24" s="109" t="s">
        <v>1067</v>
      </c>
    </row>
    <row r="25" spans="1:9" ht="16.5" customHeight="1">
      <c r="A25" s="109" t="s">
        <v>379</v>
      </c>
    </row>
    <row r="26" spans="1:9" ht="16.5" customHeight="1">
      <c r="A26" s="109" t="s">
        <v>380</v>
      </c>
    </row>
    <row r="27" spans="1:9" ht="16.5" customHeight="1">
      <c r="A27" s="108" t="s">
        <v>1081</v>
      </c>
    </row>
    <row r="28" spans="1:9" ht="16.5" customHeight="1">
      <c r="A28" s="109" t="s">
        <v>381</v>
      </c>
    </row>
    <row r="29" spans="1:9" ht="16.5" customHeight="1"/>
    <row r="30" spans="1:9" ht="16.5" customHeight="1">
      <c r="A30" t="s">
        <v>1082</v>
      </c>
    </row>
    <row r="31" spans="1:9" ht="16.5" customHeight="1">
      <c r="A31" t="s">
        <v>1083</v>
      </c>
    </row>
    <row r="32" spans="1:9" ht="16.5" customHeight="1">
      <c r="A32" t="s">
        <v>1093</v>
      </c>
    </row>
    <row r="33" spans="1:1" ht="16.5" customHeight="1">
      <c r="A33" t="s">
        <v>1101</v>
      </c>
    </row>
    <row r="34" spans="1:1" ht="16.5" customHeight="1"/>
    <row r="35" spans="1:1" ht="16.5" customHeight="1">
      <c r="A35" s="112" t="s">
        <v>1132</v>
      </c>
    </row>
    <row r="36" spans="1:1" ht="16.5" customHeight="1">
      <c r="A36" t="s">
        <v>1140</v>
      </c>
    </row>
    <row r="37" spans="1:1" ht="16.5" customHeight="1">
      <c r="A37" t="s">
        <v>1134</v>
      </c>
    </row>
    <row r="38" spans="1:1" ht="16.5" customHeight="1"/>
    <row r="39" spans="1:1" ht="16.5" customHeight="1"/>
    <row r="40" spans="1:1" ht="16.5" customHeight="1"/>
  </sheetData>
  <phoneticPr fontId="32"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4"/>
  <sheetViews>
    <sheetView zoomScaleNormal="100" workbookViewId="0">
      <pane ySplit="5" topLeftCell="A6" activePane="bottomLeft" state="frozen"/>
      <selection pane="bottomLeft" activeCell="O6" sqref="O6:O15"/>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382</v>
      </c>
    </row>
    <row r="2" spans="1:15" ht="16.5" customHeight="1">
      <c r="A2" s="18" t="s">
        <v>1153</v>
      </c>
    </row>
    <row r="3" spans="1:15">
      <c r="A3" s="33" t="s">
        <v>383</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1130</v>
      </c>
    </row>
    <row r="6" spans="1:15" ht="16.5" customHeight="1">
      <c r="A6" s="20">
        <v>1</v>
      </c>
      <c r="B6" s="36" t="s">
        <v>384</v>
      </c>
      <c r="C6" s="20" t="s">
        <v>246</v>
      </c>
      <c r="D6" s="26">
        <v>40</v>
      </c>
      <c r="E6" s="20">
        <v>5</v>
      </c>
      <c r="F6" s="26" t="s">
        <v>248</v>
      </c>
      <c r="G6" s="26">
        <v>40</v>
      </c>
      <c r="H6" s="26">
        <v>150</v>
      </c>
      <c r="I6" s="26">
        <f t="shared" ref="I6:I15" si="0">IF(E6=0,0,ROUND((E6*(G6+H6)+O6)/60,1))</f>
        <v>15.8</v>
      </c>
      <c r="J6" s="21" t="s">
        <v>385</v>
      </c>
      <c r="K6" s="21" t="s">
        <v>386</v>
      </c>
      <c r="L6" s="21" t="s">
        <v>387</v>
      </c>
      <c r="O6" s="26"/>
    </row>
    <row r="7" spans="1:15" ht="16.5" customHeight="1">
      <c r="A7" s="20">
        <v>2</v>
      </c>
      <c r="B7" s="36" t="s">
        <v>388</v>
      </c>
      <c r="C7" s="20" t="s">
        <v>238</v>
      </c>
      <c r="D7" s="26">
        <v>40</v>
      </c>
      <c r="E7" s="20">
        <v>3</v>
      </c>
      <c r="F7" s="26" t="s">
        <v>40</v>
      </c>
      <c r="G7" s="26">
        <v>40</v>
      </c>
      <c r="H7" s="26">
        <v>150</v>
      </c>
      <c r="I7" s="26">
        <f t="shared" si="0"/>
        <v>9.5</v>
      </c>
      <c r="J7" s="21" t="s">
        <v>385</v>
      </c>
      <c r="K7" s="21" t="s">
        <v>1111</v>
      </c>
      <c r="L7" s="21" t="s">
        <v>389</v>
      </c>
      <c r="O7" s="26"/>
    </row>
    <row r="8" spans="1:15" ht="16.5" customHeight="1">
      <c r="A8" s="20">
        <v>3</v>
      </c>
      <c r="B8" s="36" t="s">
        <v>1112</v>
      </c>
      <c r="C8" s="20" t="s">
        <v>238</v>
      </c>
      <c r="D8" s="26">
        <v>20</v>
      </c>
      <c r="E8" s="20">
        <v>2</v>
      </c>
      <c r="F8" s="26" t="s">
        <v>1108</v>
      </c>
      <c r="G8" s="26">
        <v>80</v>
      </c>
      <c r="H8" s="26">
        <v>150</v>
      </c>
      <c r="I8" s="26">
        <f t="shared" si="0"/>
        <v>9.6999999999999993</v>
      </c>
      <c r="J8" s="21" t="s">
        <v>385</v>
      </c>
      <c r="K8" s="21" t="s">
        <v>1141</v>
      </c>
      <c r="L8" s="21" t="s">
        <v>1113</v>
      </c>
      <c r="O8" s="26">
        <v>120</v>
      </c>
    </row>
    <row r="9" spans="1:15" ht="16.5" customHeight="1">
      <c r="A9" s="20">
        <v>4</v>
      </c>
      <c r="B9" s="36" t="s">
        <v>390</v>
      </c>
      <c r="C9" s="20" t="s">
        <v>246</v>
      </c>
      <c r="D9" s="20">
        <v>32</v>
      </c>
      <c r="E9" s="20">
        <v>4</v>
      </c>
      <c r="F9" s="26" t="s">
        <v>19</v>
      </c>
      <c r="G9" s="26">
        <v>40</v>
      </c>
      <c r="H9" s="26">
        <v>60</v>
      </c>
      <c r="I9" s="26">
        <f t="shared" si="0"/>
        <v>6.7</v>
      </c>
      <c r="J9" s="21" t="s">
        <v>391</v>
      </c>
      <c r="K9" s="21" t="s">
        <v>1114</v>
      </c>
      <c r="L9" s="21" t="s">
        <v>392</v>
      </c>
      <c r="O9" s="26"/>
    </row>
    <row r="10" spans="1:15" ht="16.5" customHeight="1">
      <c r="A10" s="20">
        <v>5</v>
      </c>
      <c r="B10" s="21" t="s">
        <v>353</v>
      </c>
      <c r="C10" s="20" t="s">
        <v>23</v>
      </c>
      <c r="D10" s="26" t="s">
        <v>19</v>
      </c>
      <c r="E10" s="20">
        <v>0</v>
      </c>
      <c r="F10" s="26" t="s">
        <v>29</v>
      </c>
      <c r="G10" s="26">
        <v>40</v>
      </c>
      <c r="H10" s="26">
        <v>70</v>
      </c>
      <c r="I10" s="26">
        <f t="shared" si="0"/>
        <v>0</v>
      </c>
      <c r="J10" s="21" t="s">
        <v>354</v>
      </c>
      <c r="K10" s="21" t="s">
        <v>393</v>
      </c>
      <c r="L10" s="21" t="s">
        <v>394</v>
      </c>
      <c r="O10" s="26"/>
    </row>
    <row r="11" spans="1:15" ht="16.5" customHeight="1">
      <c r="A11" s="20">
        <v>6</v>
      </c>
      <c r="B11" s="21" t="s">
        <v>395</v>
      </c>
      <c r="C11" s="20" t="s">
        <v>44</v>
      </c>
      <c r="D11" s="26">
        <v>30</v>
      </c>
      <c r="E11" s="20">
        <v>4</v>
      </c>
      <c r="F11" s="26" t="s">
        <v>40</v>
      </c>
      <c r="G11" s="26">
        <v>40</v>
      </c>
      <c r="H11" s="26">
        <v>70</v>
      </c>
      <c r="I11" s="26">
        <f t="shared" si="0"/>
        <v>8.3000000000000007</v>
      </c>
      <c r="J11" s="21" t="s">
        <v>45</v>
      </c>
      <c r="K11" s="21" t="s">
        <v>1142</v>
      </c>
      <c r="L11" s="22" t="s">
        <v>396</v>
      </c>
      <c r="O11" s="26">
        <v>60</v>
      </c>
    </row>
    <row r="12" spans="1:15" ht="16.5" customHeight="1">
      <c r="A12" s="20">
        <v>7</v>
      </c>
      <c r="B12" s="21" t="s">
        <v>397</v>
      </c>
      <c r="C12" s="20" t="s">
        <v>350</v>
      </c>
      <c r="D12" s="20">
        <v>20</v>
      </c>
      <c r="E12" s="20">
        <v>4</v>
      </c>
      <c r="F12" s="26" t="s">
        <v>305</v>
      </c>
      <c r="G12" s="26">
        <v>40</v>
      </c>
      <c r="H12" s="26">
        <v>90</v>
      </c>
      <c r="I12" s="26">
        <f t="shared" si="0"/>
        <v>8.6999999999999993</v>
      </c>
      <c r="J12" s="21" t="s">
        <v>398</v>
      </c>
      <c r="K12" s="21" t="s">
        <v>399</v>
      </c>
      <c r="L12" s="21" t="s">
        <v>400</v>
      </c>
      <c r="O12" s="26"/>
    </row>
    <row r="13" spans="1:15" ht="16.5" customHeight="1">
      <c r="A13" s="20">
        <v>8</v>
      </c>
      <c r="B13" s="81" t="s">
        <v>55</v>
      </c>
      <c r="C13" s="20" t="s">
        <v>56</v>
      </c>
      <c r="D13" s="20" t="s">
        <v>57</v>
      </c>
      <c r="E13" s="20">
        <v>2</v>
      </c>
      <c r="F13" s="26" t="s">
        <v>19</v>
      </c>
      <c r="G13" s="26">
        <v>40</v>
      </c>
      <c r="H13" s="26">
        <v>75</v>
      </c>
      <c r="I13" s="26">
        <f t="shared" si="0"/>
        <v>3.8</v>
      </c>
      <c r="J13" s="21"/>
      <c r="K13" s="21" t="s">
        <v>1100</v>
      </c>
      <c r="L13" s="21" t="s">
        <v>58</v>
      </c>
      <c r="O13" s="26"/>
    </row>
    <row r="14" spans="1:15" ht="16.5" customHeight="1">
      <c r="A14" s="20">
        <v>9</v>
      </c>
      <c r="B14" s="21" t="s">
        <v>59</v>
      </c>
      <c r="C14" s="20" t="s">
        <v>60</v>
      </c>
      <c r="D14" s="26">
        <v>15</v>
      </c>
      <c r="E14" s="20">
        <v>3</v>
      </c>
      <c r="F14" s="26" t="s">
        <v>61</v>
      </c>
      <c r="G14" s="26">
        <v>80</v>
      </c>
      <c r="H14" s="26">
        <v>75</v>
      </c>
      <c r="I14" s="26">
        <f t="shared" si="0"/>
        <v>7.8</v>
      </c>
      <c r="J14" s="21"/>
      <c r="K14" s="21" t="s">
        <v>1089</v>
      </c>
      <c r="L14" s="21" t="s">
        <v>62</v>
      </c>
      <c r="O14" s="26"/>
    </row>
    <row r="15" spans="1:15" ht="16.5" customHeight="1">
      <c r="A15" s="20">
        <v>10</v>
      </c>
      <c r="B15" s="85" t="s">
        <v>276</v>
      </c>
      <c r="C15" s="20" t="s">
        <v>272</v>
      </c>
      <c r="D15" s="20" t="s">
        <v>247</v>
      </c>
      <c r="E15" s="20">
        <v>3</v>
      </c>
      <c r="F15" s="26" t="s">
        <v>19</v>
      </c>
      <c r="G15" s="26">
        <v>40</v>
      </c>
      <c r="H15" s="26">
        <v>60</v>
      </c>
      <c r="I15" s="26">
        <f t="shared" si="0"/>
        <v>5</v>
      </c>
      <c r="J15" s="21"/>
      <c r="K15" s="21" t="s">
        <v>277</v>
      </c>
      <c r="L15" s="21" t="s">
        <v>278</v>
      </c>
      <c r="O15" s="26"/>
    </row>
    <row r="16" spans="1:15" ht="15" customHeight="1">
      <c r="D16" s="3" t="s">
        <v>63</v>
      </c>
      <c r="E16" s="27">
        <f>SUM(E6:E15)</f>
        <v>30</v>
      </c>
      <c r="I16">
        <f>ROUND(SUM(I6:I15),0)</f>
        <v>75</v>
      </c>
    </row>
    <row r="17" spans="1:2" ht="15" customHeight="1">
      <c r="A17" t="s">
        <v>1082</v>
      </c>
    </row>
    <row r="18" spans="1:2">
      <c r="A18" t="s">
        <v>1094</v>
      </c>
    </row>
    <row r="19" spans="1:2">
      <c r="A19" t="s">
        <v>1102</v>
      </c>
    </row>
    <row r="20" spans="1:2">
      <c r="A20" t="s">
        <v>1115</v>
      </c>
    </row>
    <row r="22" spans="1:2">
      <c r="A22" s="112" t="s">
        <v>1132</v>
      </c>
      <c r="B22" s="83"/>
    </row>
    <row r="23" spans="1:2">
      <c r="A23" t="s">
        <v>1143</v>
      </c>
    </row>
    <row r="24" spans="1:2">
      <c r="A24" t="s">
        <v>1134</v>
      </c>
    </row>
  </sheetData>
  <phoneticPr fontId="32"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tabSelected="1" zoomScaleNormal="100" workbookViewId="0">
      <pane ySplit="19" topLeftCell="A20" activePane="bottomLeft" state="frozen"/>
      <selection pane="bottomLeft" activeCell="O20" sqref="O20:O29"/>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407</v>
      </c>
    </row>
    <row r="2" spans="1:3" ht="16.5" customHeight="1">
      <c r="A2" s="18" t="s">
        <v>1154</v>
      </c>
    </row>
    <row r="4" spans="1:3" ht="16.5" customHeight="1">
      <c r="A4" s="3" t="s">
        <v>408</v>
      </c>
    </row>
    <row r="5" spans="1:3" ht="16.5" customHeight="1">
      <c r="A5" s="19" t="s">
        <v>6</v>
      </c>
      <c r="B5" s="19" t="s">
        <v>282</v>
      </c>
      <c r="C5" s="19" t="s">
        <v>7</v>
      </c>
    </row>
    <row r="6" spans="1:3" ht="15" customHeight="1">
      <c r="A6" s="20">
        <f>MAX(20,MROUND(시작중량_설정!$E$10*0.4,2.5))</f>
        <v>20</v>
      </c>
      <c r="B6" s="20">
        <v>5</v>
      </c>
      <c r="C6" s="20">
        <v>2</v>
      </c>
    </row>
    <row r="7" spans="1:3" ht="15" customHeight="1">
      <c r="A7" s="20" t="str">
        <f>IF(MAX(20,MROUND(시작중량_설정!$E$10*0.6,2.5))&lt;=MAX(20,MROUND(시작중량_설정!$E$10*0.4,2.5)),"생략",MAX(20,MROUND(시작중량_설정!$E$10*0.6,2.5)))</f>
        <v>생략</v>
      </c>
      <c r="B7" s="20">
        <v>5</v>
      </c>
      <c r="C7" s="20">
        <v>1</v>
      </c>
    </row>
    <row r="8" spans="1:3" ht="15" customHeight="1">
      <c r="A8" s="20" t="str">
        <f>IF(MAX(20,MROUND(시작중량_설정!$E$10*0.75,2.5))&lt;=MAX(20,MROUND(시작중량_설정!$E$10*0.6,2.5)),"생략",MAX(20,MROUND(시작중량_설정!$E$10*0.75,2.5)))</f>
        <v>생략</v>
      </c>
      <c r="B8" s="20">
        <v>3</v>
      </c>
      <c r="C8" s="20">
        <v>1</v>
      </c>
    </row>
    <row r="9" spans="1:3" ht="15" customHeight="1">
      <c r="A9" s="20">
        <f>IF(MAX(20,MROUND(시작중량_설정!$E$10*0.9,2.5))&lt;=MAX(20,MROUND(시작중량_설정!$E$10*0.75,2.5)),"생략",MAX(20,MROUND(시작중량_설정!$E$10*0.9,2.5)))</f>
        <v>22.5</v>
      </c>
      <c r="B9" s="20">
        <v>2</v>
      </c>
      <c r="C9" s="20">
        <v>1</v>
      </c>
    </row>
    <row r="10" spans="1:3" ht="15" customHeight="1">
      <c r="A10" s="37">
        <f>시작중량_설정!$E$10</f>
        <v>25</v>
      </c>
      <c r="B10" s="27">
        <v>5</v>
      </c>
      <c r="C10" s="27">
        <v>3</v>
      </c>
    </row>
    <row r="11" spans="1:3" ht="16.5" customHeight="1">
      <c r="A11" s="31" t="s">
        <v>283</v>
      </c>
    </row>
    <row r="13" spans="1:3" ht="16.5" customHeight="1">
      <c r="A13" s="3" t="s">
        <v>284</v>
      </c>
    </row>
    <row r="14" spans="1:3" ht="16.5" customHeight="1">
      <c r="A14" s="31" t="s">
        <v>285</v>
      </c>
    </row>
    <row r="15" spans="1:3" ht="16.5" customHeight="1">
      <c r="A15" s="31" t="s">
        <v>286</v>
      </c>
    </row>
    <row r="16" spans="1:3" ht="16.5" customHeight="1">
      <c r="A16" s="31" t="s">
        <v>287</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1130</v>
      </c>
    </row>
    <row r="20" spans="1:15" ht="16.5" customHeight="1">
      <c r="A20" s="40">
        <v>1</v>
      </c>
      <c r="B20" s="39" t="s">
        <v>409</v>
      </c>
      <c r="C20" s="40" t="s">
        <v>27</v>
      </c>
      <c r="D20" s="41">
        <f>시작중량_설정!$E$10</f>
        <v>25</v>
      </c>
      <c r="E20" s="40">
        <v>3</v>
      </c>
      <c r="F20" s="38" t="s">
        <v>290</v>
      </c>
      <c r="G20" s="38">
        <v>30</v>
      </c>
      <c r="H20" s="38">
        <v>180</v>
      </c>
      <c r="I20" s="38">
        <f t="shared" ref="I20:I29" si="0">IF(E20=0,0,ROUND((E20*(G20+H20)+O20)/60,1))</f>
        <v>10.5</v>
      </c>
      <c r="J20" s="39" t="s">
        <v>30</v>
      </c>
      <c r="K20" s="39" t="s">
        <v>410</v>
      </c>
      <c r="L20" s="39" t="s">
        <v>411</v>
      </c>
      <c r="M20" s="38" t="s">
        <v>412</v>
      </c>
      <c r="O20" s="38"/>
    </row>
    <row r="21" spans="1:15" ht="16.5" customHeight="1">
      <c r="A21" s="20">
        <v>2</v>
      </c>
      <c r="B21" s="21" t="s">
        <v>26</v>
      </c>
      <c r="C21" s="20" t="s">
        <v>27</v>
      </c>
      <c r="D21" s="20">
        <v>25</v>
      </c>
      <c r="E21" s="20">
        <v>3</v>
      </c>
      <c r="F21" s="26" t="s">
        <v>29</v>
      </c>
      <c r="G21" s="26">
        <v>40</v>
      </c>
      <c r="H21" s="26">
        <v>120</v>
      </c>
      <c r="I21" s="26">
        <f t="shared" si="0"/>
        <v>8</v>
      </c>
      <c r="J21" s="21" t="s">
        <v>413</v>
      </c>
      <c r="K21" s="21" t="s">
        <v>414</v>
      </c>
      <c r="L21" s="21" t="s">
        <v>415</v>
      </c>
      <c r="O21" s="26"/>
    </row>
    <row r="22" spans="1:15" ht="16.5" customHeight="1">
      <c r="A22" s="20">
        <v>3</v>
      </c>
      <c r="B22" s="36" t="s">
        <v>401</v>
      </c>
      <c r="C22" s="20" t="s">
        <v>34</v>
      </c>
      <c r="D22" s="20">
        <v>20</v>
      </c>
      <c r="E22" s="20">
        <v>3</v>
      </c>
      <c r="F22" s="26" t="s">
        <v>19</v>
      </c>
      <c r="G22" s="26">
        <v>40</v>
      </c>
      <c r="H22" s="26">
        <v>60</v>
      </c>
      <c r="I22" s="26">
        <f t="shared" si="0"/>
        <v>5</v>
      </c>
      <c r="J22" s="21" t="s">
        <v>249</v>
      </c>
      <c r="K22" s="21" t="s">
        <v>416</v>
      </c>
      <c r="L22" s="21" t="s">
        <v>417</v>
      </c>
      <c r="O22" s="26"/>
    </row>
    <row r="23" spans="1:15" ht="16.5" customHeight="1">
      <c r="A23" s="20">
        <v>4</v>
      </c>
      <c r="B23" s="21" t="s">
        <v>418</v>
      </c>
      <c r="C23" s="20" t="s">
        <v>289</v>
      </c>
      <c r="D23" s="26">
        <v>25</v>
      </c>
      <c r="E23" s="20">
        <v>3</v>
      </c>
      <c r="F23" s="26" t="s">
        <v>40</v>
      </c>
      <c r="G23" s="26">
        <v>40</v>
      </c>
      <c r="H23" s="26">
        <v>150</v>
      </c>
      <c r="I23" s="26">
        <f t="shared" si="0"/>
        <v>9.5</v>
      </c>
      <c r="J23" s="21" t="s">
        <v>39</v>
      </c>
      <c r="K23" s="21" t="s">
        <v>419</v>
      </c>
      <c r="L23" s="21" t="s">
        <v>420</v>
      </c>
      <c r="O23" s="26"/>
    </row>
    <row r="24" spans="1:15" ht="16.5" customHeight="1">
      <c r="A24" s="20">
        <v>5</v>
      </c>
      <c r="B24" s="21" t="s">
        <v>421</v>
      </c>
      <c r="C24" s="20" t="s">
        <v>300</v>
      </c>
      <c r="D24" s="26">
        <v>35</v>
      </c>
      <c r="E24" s="20">
        <v>3</v>
      </c>
      <c r="F24" s="26" t="s">
        <v>248</v>
      </c>
      <c r="G24" s="26">
        <v>40</v>
      </c>
      <c r="H24" s="26">
        <v>150</v>
      </c>
      <c r="I24" s="26">
        <f t="shared" si="0"/>
        <v>9.5</v>
      </c>
      <c r="J24" s="21" t="s">
        <v>291</v>
      </c>
      <c r="K24" s="21" t="s">
        <v>422</v>
      </c>
      <c r="L24" s="21" t="s">
        <v>423</v>
      </c>
      <c r="O24" s="26"/>
    </row>
    <row r="25" spans="1:15" ht="16.5" customHeight="1">
      <c r="A25" s="20">
        <v>6</v>
      </c>
      <c r="B25" s="21" t="s">
        <v>360</v>
      </c>
      <c r="C25" s="43" t="s">
        <v>289</v>
      </c>
      <c r="D25" s="26">
        <v>10</v>
      </c>
      <c r="E25" s="20">
        <v>3</v>
      </c>
      <c r="F25" s="26" t="s">
        <v>40</v>
      </c>
      <c r="G25" s="26">
        <v>40</v>
      </c>
      <c r="H25" s="26">
        <v>90</v>
      </c>
      <c r="I25" s="26">
        <f t="shared" si="0"/>
        <v>7.5</v>
      </c>
      <c r="J25" s="21"/>
      <c r="K25" s="21" t="s">
        <v>1144</v>
      </c>
      <c r="L25" s="21" t="s">
        <v>1080</v>
      </c>
      <c r="O25" s="26">
        <v>60</v>
      </c>
    </row>
    <row r="26" spans="1:15" ht="16.5" customHeight="1">
      <c r="A26" s="20">
        <v>7</v>
      </c>
      <c r="B26" s="21" t="s">
        <v>424</v>
      </c>
      <c r="C26" s="20" t="s">
        <v>23</v>
      </c>
      <c r="D26" s="26">
        <v>15</v>
      </c>
      <c r="E26" s="20">
        <v>3</v>
      </c>
      <c r="F26" s="26" t="s">
        <v>19</v>
      </c>
      <c r="G26" s="26">
        <v>40</v>
      </c>
      <c r="H26" s="26">
        <v>70</v>
      </c>
      <c r="I26" s="26">
        <f t="shared" si="0"/>
        <v>5.5</v>
      </c>
      <c r="J26" s="21"/>
      <c r="K26" s="21" t="s">
        <v>425</v>
      </c>
      <c r="L26" s="21" t="s">
        <v>426</v>
      </c>
      <c r="O26" s="26"/>
    </row>
    <row r="27" spans="1:15" ht="16.5" customHeight="1">
      <c r="A27" s="20">
        <v>8</v>
      </c>
      <c r="B27" s="21" t="s">
        <v>427</v>
      </c>
      <c r="C27" s="20" t="s">
        <v>18</v>
      </c>
      <c r="D27" s="26">
        <v>5</v>
      </c>
      <c r="E27" s="20">
        <v>3</v>
      </c>
      <c r="F27" s="26" t="s">
        <v>305</v>
      </c>
      <c r="G27" s="26">
        <v>70</v>
      </c>
      <c r="H27" s="26">
        <v>70</v>
      </c>
      <c r="I27" s="26">
        <f t="shared" si="0"/>
        <v>7</v>
      </c>
      <c r="J27" s="21"/>
      <c r="K27" s="21" t="s">
        <v>428</v>
      </c>
      <c r="L27" s="21" t="s">
        <v>429</v>
      </c>
      <c r="O27" s="26"/>
    </row>
    <row r="28" spans="1:15" ht="16.5" customHeight="1">
      <c r="A28" s="20">
        <v>9</v>
      </c>
      <c r="B28" s="21" t="s">
        <v>33</v>
      </c>
      <c r="C28" s="20" t="s">
        <v>34</v>
      </c>
      <c r="D28" s="26" t="s">
        <v>35</v>
      </c>
      <c r="E28" s="20">
        <v>3</v>
      </c>
      <c r="F28" s="26" t="s">
        <v>19</v>
      </c>
      <c r="G28" s="26">
        <v>40</v>
      </c>
      <c r="H28" s="26">
        <v>60</v>
      </c>
      <c r="I28" s="26">
        <f t="shared" si="0"/>
        <v>5</v>
      </c>
      <c r="J28" s="21" t="s">
        <v>391</v>
      </c>
      <c r="K28" s="21" t="s">
        <v>430</v>
      </c>
      <c r="L28" s="21" t="s">
        <v>431</v>
      </c>
      <c r="O28" s="26"/>
    </row>
    <row r="29" spans="1:15" ht="16.5" customHeight="1">
      <c r="A29" s="20">
        <v>10</v>
      </c>
      <c r="B29" s="85" t="s">
        <v>405</v>
      </c>
      <c r="C29" s="20" t="s">
        <v>261</v>
      </c>
      <c r="D29" s="20">
        <v>15</v>
      </c>
      <c r="E29" s="20">
        <v>3</v>
      </c>
      <c r="F29" s="26" t="s">
        <v>29</v>
      </c>
      <c r="G29" s="26">
        <v>40</v>
      </c>
      <c r="H29" s="26">
        <v>60</v>
      </c>
      <c r="I29" s="26">
        <f t="shared" si="0"/>
        <v>5</v>
      </c>
      <c r="J29" s="21"/>
      <c r="K29" s="21" t="s">
        <v>1091</v>
      </c>
      <c r="L29" s="21" t="s">
        <v>406</v>
      </c>
      <c r="O29" s="26"/>
    </row>
    <row r="30" spans="1:15" ht="15" customHeight="1">
      <c r="A30" s="20"/>
      <c r="B30" s="21"/>
      <c r="C30" s="20"/>
      <c r="D30" s="26" t="s">
        <v>63</v>
      </c>
      <c r="E30" s="20">
        <f>SUM(E20:E29)</f>
        <v>30</v>
      </c>
      <c r="F30" s="26"/>
      <c r="G30" s="26"/>
      <c r="H30" s="26"/>
      <c r="I30" s="26">
        <f>ROUND(SUM(I20:I29),0)</f>
        <v>73</v>
      </c>
      <c r="J30" s="21"/>
      <c r="K30" s="21"/>
      <c r="L30" s="21"/>
    </row>
    <row r="31" spans="1:15" ht="15" customHeight="1">
      <c r="A31" s="3" t="s">
        <v>432</v>
      </c>
    </row>
    <row r="32" spans="1:15">
      <c r="A32" s="31" t="s">
        <v>433</v>
      </c>
    </row>
    <row r="33" spans="1:1" ht="16.5" customHeight="1">
      <c r="A33" s="31" t="s">
        <v>434</v>
      </c>
    </row>
    <row r="34" spans="1:1" ht="16.5" customHeight="1">
      <c r="A34" s="31" t="s">
        <v>435</v>
      </c>
    </row>
    <row r="35" spans="1:1" ht="16.5" customHeight="1">
      <c r="A35" s="31" t="s">
        <v>436</v>
      </c>
    </row>
    <row r="36" spans="1:1" ht="16.5" customHeight="1">
      <c r="A36" s="31" t="s">
        <v>437</v>
      </c>
    </row>
    <row r="37" spans="1:1" ht="16.5" customHeight="1">
      <c r="A37" s="31" t="s">
        <v>438</v>
      </c>
    </row>
    <row r="38" spans="1:1" ht="16.5" customHeight="1">
      <c r="A38" s="31" t="s">
        <v>439</v>
      </c>
    </row>
    <row r="39" spans="1:1" ht="16.5" customHeight="1"/>
    <row r="40" spans="1:1" ht="16.5" customHeight="1">
      <c r="A40" t="s">
        <v>1082</v>
      </c>
    </row>
    <row r="41" spans="1:1">
      <c r="A41" t="s">
        <v>1085</v>
      </c>
    </row>
    <row r="42" spans="1:1">
      <c r="A42" t="s">
        <v>1095</v>
      </c>
    </row>
    <row r="44" spans="1:1">
      <c r="A44" s="112" t="s">
        <v>1132</v>
      </c>
    </row>
    <row r="45" spans="1:1">
      <c r="A45" t="s">
        <v>1145</v>
      </c>
    </row>
    <row r="46" spans="1:1">
      <c r="A46" t="s">
        <v>1134</v>
      </c>
    </row>
  </sheetData>
  <phoneticPr fontId="32"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440</v>
      </c>
    </row>
    <row r="2" spans="1:15" ht="16.5" customHeight="1">
      <c r="A2" s="18" t="s">
        <v>441</v>
      </c>
    </row>
    <row r="4" spans="1:15" ht="16.5" customHeight="1">
      <c r="A4" s="3" t="s">
        <v>442</v>
      </c>
    </row>
    <row r="5" spans="1:15" ht="16.5" customHeight="1">
      <c r="A5" s="19" t="s">
        <v>6</v>
      </c>
      <c r="B5" s="19" t="s">
        <v>282</v>
      </c>
      <c r="C5" s="19" t="s">
        <v>7</v>
      </c>
    </row>
    <row r="6" spans="1:15" ht="15" customHeight="1">
      <c r="A6" s="20">
        <f>MAX(20,MROUND(시작중량_설정!$E$8*0.4,2.5))</f>
        <v>25</v>
      </c>
      <c r="B6" s="20">
        <v>5</v>
      </c>
      <c r="C6" s="20">
        <v>2</v>
      </c>
    </row>
    <row r="7" spans="1:15" ht="15" customHeight="1">
      <c r="A7" s="20">
        <f>IF(MAX(20,MROUND(시작중량_설정!$E$8*0.6,2.5))&lt;=MAX(20,MROUND(시작중량_설정!$E$8*0.4,2.5)),"생략",MAX(20,MROUND(시작중량_설정!$E$8*0.6,2.5)))</f>
        <v>37.5</v>
      </c>
      <c r="B7" s="20">
        <v>5</v>
      </c>
      <c r="C7" s="20">
        <v>1</v>
      </c>
    </row>
    <row r="8" spans="1:15" ht="15" customHeight="1">
      <c r="A8" s="20">
        <f>IF(MAX(20,MROUND(시작중량_설정!$E$8*0.75,2.5))&lt;=MAX(20,MROUND(시작중량_설정!$E$8*0.6,2.5)),"생략",MAX(20,MROUND(시작중량_설정!$E$8*0.75,2.5)))</f>
        <v>47.5</v>
      </c>
      <c r="B8" s="20">
        <v>3</v>
      </c>
      <c r="C8" s="20">
        <v>1</v>
      </c>
    </row>
    <row r="9" spans="1:15" ht="15" customHeight="1">
      <c r="A9" s="20">
        <f>IF(MAX(20,MROUND(시작중량_설정!$E$8*0.9,2.5))&lt;=MAX(20,MROUND(시작중량_설정!$E$8*0.75,2.5)),"생략",MAX(20,MROUND(시작중량_설정!$E$8*0.9,2.5)))</f>
        <v>57.5</v>
      </c>
      <c r="B9" s="20">
        <v>2</v>
      </c>
      <c r="C9" s="20">
        <v>1</v>
      </c>
    </row>
    <row r="10" spans="1:15" ht="15" customHeight="1">
      <c r="A10" s="37">
        <f>시작중량_설정!$E$8</f>
        <v>62.5</v>
      </c>
      <c r="B10" s="27">
        <v>5</v>
      </c>
      <c r="C10" s="27">
        <v>1</v>
      </c>
    </row>
    <row r="11" spans="1:15" ht="16.5" customHeight="1">
      <c r="A11" s="31" t="s">
        <v>283</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1130</v>
      </c>
    </row>
    <row r="15" spans="1:15" ht="16.5" customHeight="1">
      <c r="A15" s="40">
        <v>1</v>
      </c>
      <c r="B15" s="39" t="s">
        <v>443</v>
      </c>
      <c r="C15" s="40" t="s">
        <v>272</v>
      </c>
      <c r="D15" s="41">
        <f>시작중량_설정!$E$8</f>
        <v>62.5</v>
      </c>
      <c r="E15" s="40">
        <v>1</v>
      </c>
      <c r="F15" s="38" t="s">
        <v>290</v>
      </c>
      <c r="G15" s="38">
        <v>35</v>
      </c>
      <c r="H15" s="38">
        <v>240</v>
      </c>
      <c r="I15" s="38">
        <f t="shared" ref="I15:I22" si="0">IF(E15=0,0,ROUND((E15*(G15+H15)+O15)/60,1))</f>
        <v>4.5999999999999996</v>
      </c>
      <c r="J15" s="39" t="s">
        <v>444</v>
      </c>
      <c r="K15" s="39" t="s">
        <v>445</v>
      </c>
      <c r="L15" s="39" t="s">
        <v>446</v>
      </c>
      <c r="O15" s="38"/>
    </row>
    <row r="16" spans="1:15" ht="16.5" customHeight="1">
      <c r="A16" s="40">
        <v>2</v>
      </c>
      <c r="B16" s="39" t="s">
        <v>447</v>
      </c>
      <c r="C16" s="40" t="s">
        <v>272</v>
      </c>
      <c r="D16" s="41">
        <f>시작중량_설정!$E$8-증량기록!$C$5</f>
        <v>57.5</v>
      </c>
      <c r="E16" s="40">
        <v>2</v>
      </c>
      <c r="F16" s="38" t="s">
        <v>290</v>
      </c>
      <c r="G16" s="38">
        <v>35</v>
      </c>
      <c r="H16" s="38">
        <v>180</v>
      </c>
      <c r="I16" s="38">
        <f t="shared" si="0"/>
        <v>7.2</v>
      </c>
      <c r="J16" s="39" t="s">
        <v>444</v>
      </c>
      <c r="K16" s="39" t="s">
        <v>448</v>
      </c>
      <c r="L16" s="39" t="s">
        <v>446</v>
      </c>
      <c r="O16" s="38"/>
    </row>
    <row r="17" spans="1:15" ht="16.5" customHeight="1">
      <c r="A17" s="20">
        <v>3</v>
      </c>
      <c r="B17" s="21" t="s">
        <v>449</v>
      </c>
      <c r="C17" s="20" t="s">
        <v>322</v>
      </c>
      <c r="D17" s="26">
        <v>25</v>
      </c>
      <c r="E17" s="20">
        <v>4</v>
      </c>
      <c r="F17" s="26" t="s">
        <v>40</v>
      </c>
      <c r="G17" s="26">
        <v>45</v>
      </c>
      <c r="H17" s="26">
        <v>150</v>
      </c>
      <c r="I17" s="26">
        <f t="shared" si="0"/>
        <v>13</v>
      </c>
      <c r="J17" s="21" t="s">
        <v>331</v>
      </c>
      <c r="K17" s="21" t="s">
        <v>450</v>
      </c>
      <c r="L17" s="21" t="s">
        <v>451</v>
      </c>
      <c r="O17" s="26"/>
    </row>
    <row r="18" spans="1:15" ht="16.5" customHeight="1">
      <c r="A18" s="20">
        <v>4</v>
      </c>
      <c r="B18" s="21" t="s">
        <v>452</v>
      </c>
      <c r="C18" s="20" t="s">
        <v>331</v>
      </c>
      <c r="D18" s="20">
        <v>35</v>
      </c>
      <c r="E18" s="20">
        <v>3</v>
      </c>
      <c r="F18" s="26" t="s">
        <v>57</v>
      </c>
      <c r="G18" s="26">
        <v>40</v>
      </c>
      <c r="H18" s="26">
        <v>150</v>
      </c>
      <c r="I18" s="26">
        <f t="shared" si="0"/>
        <v>9.5</v>
      </c>
      <c r="J18" s="21" t="s">
        <v>317</v>
      </c>
      <c r="K18" s="21" t="s">
        <v>453</v>
      </c>
      <c r="L18" s="21" t="s">
        <v>454</v>
      </c>
      <c r="O18" s="26"/>
    </row>
    <row r="19" spans="1:15" ht="16.5" customHeight="1">
      <c r="A19" s="20">
        <v>5</v>
      </c>
      <c r="B19" s="21" t="s">
        <v>455</v>
      </c>
      <c r="C19" s="20" t="s">
        <v>331</v>
      </c>
      <c r="D19" s="26">
        <v>15</v>
      </c>
      <c r="E19" s="20">
        <v>3</v>
      </c>
      <c r="F19" s="26" t="s">
        <v>268</v>
      </c>
      <c r="G19" s="26">
        <v>80</v>
      </c>
      <c r="H19" s="26">
        <v>120</v>
      </c>
      <c r="I19" s="26">
        <f t="shared" si="0"/>
        <v>10</v>
      </c>
      <c r="J19" s="21"/>
      <c r="K19" s="21" t="s">
        <v>456</v>
      </c>
      <c r="L19" s="21" t="s">
        <v>457</v>
      </c>
      <c r="O19" s="26"/>
    </row>
    <row r="20" spans="1:15" ht="16.5" customHeight="1">
      <c r="A20" s="20">
        <v>6</v>
      </c>
      <c r="B20" s="21" t="s">
        <v>1123</v>
      </c>
      <c r="C20" s="20" t="s">
        <v>1125</v>
      </c>
      <c r="D20" s="26">
        <v>120</v>
      </c>
      <c r="E20" s="20">
        <v>3</v>
      </c>
      <c r="F20" s="26" t="s">
        <v>1126</v>
      </c>
      <c r="G20" s="26">
        <v>45</v>
      </c>
      <c r="H20" s="26">
        <v>150</v>
      </c>
      <c r="I20" s="26">
        <f t="shared" si="0"/>
        <v>9.8000000000000007</v>
      </c>
      <c r="J20" s="21" t="s">
        <v>322</v>
      </c>
      <c r="K20" s="21" t="s">
        <v>1147</v>
      </c>
      <c r="L20" s="21" t="s">
        <v>1128</v>
      </c>
      <c r="O20" s="26"/>
    </row>
    <row r="21" spans="1:15" ht="16.5" customHeight="1">
      <c r="A21" s="20">
        <v>7</v>
      </c>
      <c r="B21" s="21" t="s">
        <v>1124</v>
      </c>
      <c r="C21" s="20" t="s">
        <v>1125</v>
      </c>
      <c r="D21" s="26">
        <v>42</v>
      </c>
      <c r="E21" s="20">
        <v>4</v>
      </c>
      <c r="F21" s="26" t="s">
        <v>1127</v>
      </c>
      <c r="G21" s="26">
        <v>40</v>
      </c>
      <c r="H21" s="26">
        <v>120</v>
      </c>
      <c r="I21" s="26">
        <f t="shared" si="0"/>
        <v>11.9</v>
      </c>
      <c r="J21" s="21"/>
      <c r="K21" s="21" t="s">
        <v>1146</v>
      </c>
      <c r="L21" s="21" t="s">
        <v>1129</v>
      </c>
      <c r="O21" s="26">
        <v>75</v>
      </c>
    </row>
    <row r="22" spans="1:15" ht="16.5" customHeight="1">
      <c r="A22" s="20">
        <v>8</v>
      </c>
      <c r="B22" s="21" t="s">
        <v>55</v>
      </c>
      <c r="C22" s="20" t="s">
        <v>56</v>
      </c>
      <c r="D22" s="26">
        <v>8</v>
      </c>
      <c r="E22" s="20">
        <v>4</v>
      </c>
      <c r="F22" s="26" t="s">
        <v>19</v>
      </c>
      <c r="G22" s="26">
        <v>40</v>
      </c>
      <c r="H22" s="26">
        <v>75</v>
      </c>
      <c r="I22" s="26">
        <f t="shared" si="0"/>
        <v>7.7</v>
      </c>
      <c r="J22" s="21"/>
      <c r="K22" s="21" t="s">
        <v>459</v>
      </c>
      <c r="L22" s="21" t="s">
        <v>460</v>
      </c>
      <c r="O22" s="26"/>
    </row>
    <row r="23" spans="1:15" ht="16.5" customHeight="1">
      <c r="D23" s="3" t="s">
        <v>63</v>
      </c>
      <c r="E23" s="27">
        <f>SUM(E15:E22)</f>
        <v>24</v>
      </c>
      <c r="I23">
        <f>ROUND(SUM(I15:I22),0)</f>
        <v>74</v>
      </c>
    </row>
    <row r="24" spans="1:15" ht="15" customHeight="1">
      <c r="A24" s="112" t="s">
        <v>1132</v>
      </c>
    </row>
    <row r="25" spans="1:15">
      <c r="A25" t="s">
        <v>1148</v>
      </c>
    </row>
    <row r="26" spans="1:15">
      <c r="A26" t="s">
        <v>1134</v>
      </c>
    </row>
    <row r="33" spans="2:2">
      <c r="B33" s="83"/>
    </row>
  </sheetData>
  <phoneticPr fontId="32"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O6" sqref="O6:O15"/>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0</v>
      </c>
    </row>
    <row r="2" spans="1:15" ht="16.5" customHeight="1">
      <c r="A2" s="18" t="s">
        <v>1092</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1130</v>
      </c>
    </row>
    <row r="6" spans="1:15" ht="16.5" customHeight="1">
      <c r="A6" s="20">
        <v>1</v>
      </c>
      <c r="B6" s="81" t="s">
        <v>17</v>
      </c>
      <c r="C6" s="20" t="s">
        <v>18</v>
      </c>
      <c r="D6" s="20">
        <v>5</v>
      </c>
      <c r="E6" s="20">
        <v>3</v>
      </c>
      <c r="F6" s="26" t="s">
        <v>19</v>
      </c>
      <c r="G6" s="26">
        <v>80</v>
      </c>
      <c r="H6" s="26">
        <v>70</v>
      </c>
      <c r="I6" s="26">
        <f t="shared" ref="I6:I15" si="0">IF(E6=0,0,ROUND((E6*(G6+H6)+O6)/60,1))</f>
        <v>7.5</v>
      </c>
      <c r="J6" s="21"/>
      <c r="K6" s="21" t="s">
        <v>20</v>
      </c>
      <c r="L6" s="21" t="s">
        <v>21</v>
      </c>
      <c r="O6" s="26"/>
    </row>
    <row r="7" spans="1:15" ht="16.5" customHeight="1">
      <c r="A7" s="20">
        <v>2</v>
      </c>
      <c r="B7" s="81" t="s">
        <v>22</v>
      </c>
      <c r="C7" s="20" t="s">
        <v>23</v>
      </c>
      <c r="D7" s="20">
        <v>5</v>
      </c>
      <c r="E7" s="20">
        <v>3</v>
      </c>
      <c r="F7" s="26" t="s">
        <v>19</v>
      </c>
      <c r="G7" s="26">
        <v>40</v>
      </c>
      <c r="H7" s="26">
        <v>70</v>
      </c>
      <c r="I7" s="26">
        <f t="shared" si="0"/>
        <v>5.5</v>
      </c>
      <c r="J7" s="21"/>
      <c r="K7" s="21" t="s">
        <v>24</v>
      </c>
      <c r="L7" s="21" t="s">
        <v>25</v>
      </c>
      <c r="O7" s="26"/>
    </row>
    <row r="8" spans="1:15" ht="16.5" customHeight="1">
      <c r="A8" s="20">
        <v>3</v>
      </c>
      <c r="B8" s="81" t="s">
        <v>26</v>
      </c>
      <c r="C8" s="20" t="s">
        <v>27</v>
      </c>
      <c r="D8" s="20" t="s">
        <v>28</v>
      </c>
      <c r="E8" s="20">
        <v>3</v>
      </c>
      <c r="F8" s="26" t="s">
        <v>29</v>
      </c>
      <c r="G8" s="26">
        <v>40</v>
      </c>
      <c r="H8" s="26">
        <v>120</v>
      </c>
      <c r="I8" s="26">
        <f t="shared" si="0"/>
        <v>8</v>
      </c>
      <c r="J8" s="21" t="s">
        <v>30</v>
      </c>
      <c r="K8" s="21" t="s">
        <v>31</v>
      </c>
      <c r="L8" s="21" t="s">
        <v>32</v>
      </c>
      <c r="O8" s="26"/>
    </row>
    <row r="9" spans="1:15" ht="16.5" customHeight="1">
      <c r="A9" s="20">
        <v>4</v>
      </c>
      <c r="B9" s="81" t="s">
        <v>33</v>
      </c>
      <c r="C9" s="20" t="s">
        <v>34</v>
      </c>
      <c r="D9" s="20" t="s">
        <v>35</v>
      </c>
      <c r="E9" s="20">
        <v>3</v>
      </c>
      <c r="F9" s="26" t="s">
        <v>19</v>
      </c>
      <c r="G9" s="26">
        <v>40</v>
      </c>
      <c r="H9" s="26">
        <v>60</v>
      </c>
      <c r="I9" s="26">
        <f t="shared" si="0"/>
        <v>5</v>
      </c>
      <c r="J9" s="21" t="s">
        <v>23</v>
      </c>
      <c r="K9" s="21" t="s">
        <v>36</v>
      </c>
      <c r="L9" s="21" t="s">
        <v>37</v>
      </c>
      <c r="O9" s="26"/>
    </row>
    <row r="10" spans="1:15" ht="16.5" customHeight="1">
      <c r="A10" s="20">
        <v>5</v>
      </c>
      <c r="B10" s="81" t="s">
        <v>895</v>
      </c>
      <c r="C10" s="20" t="s">
        <v>300</v>
      </c>
      <c r="D10" s="20">
        <v>8</v>
      </c>
      <c r="E10" s="20">
        <v>3</v>
      </c>
      <c r="F10" s="26" t="s">
        <v>305</v>
      </c>
      <c r="G10" s="26">
        <v>40</v>
      </c>
      <c r="H10" s="26">
        <v>105</v>
      </c>
      <c r="I10" s="26">
        <f t="shared" si="0"/>
        <v>7.3</v>
      </c>
      <c r="J10" s="21"/>
      <c r="K10" s="21" t="s">
        <v>1071</v>
      </c>
      <c r="L10" s="21" t="s">
        <v>307</v>
      </c>
      <c r="O10" s="26"/>
    </row>
    <row r="11" spans="1:15" ht="16.5" customHeight="1">
      <c r="A11" s="20">
        <v>6</v>
      </c>
      <c r="B11" s="21" t="s">
        <v>38</v>
      </c>
      <c r="C11" s="20" t="s">
        <v>39</v>
      </c>
      <c r="D11" s="26">
        <v>15</v>
      </c>
      <c r="E11" s="20">
        <v>4</v>
      </c>
      <c r="F11" s="26" t="s">
        <v>40</v>
      </c>
      <c r="G11" s="26">
        <v>40</v>
      </c>
      <c r="H11" s="26">
        <v>75</v>
      </c>
      <c r="I11" s="26">
        <f t="shared" si="0"/>
        <v>7.7</v>
      </c>
      <c r="J11" s="21"/>
      <c r="K11" s="21" t="s">
        <v>41</v>
      </c>
      <c r="L11" s="21" t="s">
        <v>42</v>
      </c>
      <c r="O11" s="26"/>
    </row>
    <row r="12" spans="1:15" ht="16.5" customHeight="1">
      <c r="A12" s="20">
        <v>7</v>
      </c>
      <c r="B12" s="81" t="s">
        <v>43</v>
      </c>
      <c r="C12" s="20" t="s">
        <v>44</v>
      </c>
      <c r="D12" s="20">
        <v>6</v>
      </c>
      <c r="E12" s="20">
        <v>4</v>
      </c>
      <c r="F12" s="26" t="s">
        <v>40</v>
      </c>
      <c r="G12" s="26">
        <v>40</v>
      </c>
      <c r="H12" s="26">
        <v>70</v>
      </c>
      <c r="I12" s="26">
        <f t="shared" si="0"/>
        <v>7.3</v>
      </c>
      <c r="J12" s="21" t="s">
        <v>45</v>
      </c>
      <c r="K12" s="21" t="s">
        <v>46</v>
      </c>
      <c r="L12" s="21" t="s">
        <v>47</v>
      </c>
      <c r="O12" s="26"/>
    </row>
    <row r="13" spans="1:15" ht="16.5" customHeight="1">
      <c r="A13" s="20">
        <v>8</v>
      </c>
      <c r="B13" s="81" t="s">
        <v>369</v>
      </c>
      <c r="C13" s="20" t="s">
        <v>45</v>
      </c>
      <c r="D13" s="20">
        <v>10</v>
      </c>
      <c r="E13" s="20">
        <v>3</v>
      </c>
      <c r="F13" s="26" t="s">
        <v>49</v>
      </c>
      <c r="G13" s="26">
        <v>40</v>
      </c>
      <c r="H13" s="26">
        <v>60</v>
      </c>
      <c r="I13" s="26">
        <f t="shared" si="0"/>
        <v>5</v>
      </c>
      <c r="J13" s="21"/>
      <c r="K13" s="21" t="s">
        <v>1077</v>
      </c>
      <c r="L13" s="21" t="s">
        <v>370</v>
      </c>
      <c r="O13" s="26"/>
    </row>
    <row r="14" spans="1:15" ht="16.5" customHeight="1">
      <c r="A14" s="20">
        <v>9</v>
      </c>
      <c r="B14" s="81" t="s">
        <v>334</v>
      </c>
      <c r="C14" s="20" t="s">
        <v>335</v>
      </c>
      <c r="D14" s="20" t="s">
        <v>371</v>
      </c>
      <c r="E14" s="20">
        <v>5</v>
      </c>
      <c r="F14" s="26" t="s">
        <v>19</v>
      </c>
      <c r="G14" s="26">
        <v>40</v>
      </c>
      <c r="H14" s="26">
        <v>10</v>
      </c>
      <c r="I14" s="26">
        <f t="shared" si="0"/>
        <v>4.2</v>
      </c>
      <c r="J14" s="21"/>
      <c r="K14" s="21" t="s">
        <v>1075</v>
      </c>
      <c r="L14" s="21" t="s">
        <v>372</v>
      </c>
      <c r="N14" t="s">
        <v>338</v>
      </c>
      <c r="O14" s="26"/>
    </row>
    <row r="15" spans="1:15" ht="16.5" customHeight="1">
      <c r="A15" s="20">
        <v>10</v>
      </c>
      <c r="B15" s="81" t="s">
        <v>339</v>
      </c>
      <c r="C15" s="20" t="s">
        <v>60</v>
      </c>
      <c r="D15" s="20" t="s">
        <v>257</v>
      </c>
      <c r="E15" s="20">
        <v>5</v>
      </c>
      <c r="F15" s="26" t="s">
        <v>19</v>
      </c>
      <c r="G15" s="26">
        <v>40</v>
      </c>
      <c r="H15" s="26">
        <v>105</v>
      </c>
      <c r="I15" s="26">
        <f t="shared" si="0"/>
        <v>12.1</v>
      </c>
      <c r="J15" s="21"/>
      <c r="K15" s="21" t="s">
        <v>1076</v>
      </c>
      <c r="L15" s="21" t="s">
        <v>373</v>
      </c>
      <c r="N15" t="s">
        <v>338</v>
      </c>
      <c r="O15" s="26"/>
    </row>
    <row r="16" spans="1:15" ht="16.5" customHeight="1">
      <c r="D16" s="3" t="s">
        <v>63</v>
      </c>
      <c r="E16" s="27">
        <f>SUM(E6:E15)</f>
        <v>36</v>
      </c>
      <c r="I16">
        <f>ROUND(SUM(I6:I15),0)</f>
        <v>70</v>
      </c>
    </row>
    <row r="17" spans="1:1" ht="16.5" customHeight="1"/>
    <row r="18" spans="1:1" ht="16.5" customHeight="1">
      <c r="A18" s="108" t="s">
        <v>64</v>
      </c>
    </row>
    <row r="19" spans="1:1" ht="16.5" customHeight="1">
      <c r="A19" t="s">
        <v>65</v>
      </c>
    </row>
    <row r="20" spans="1:1" ht="16.5" customHeight="1">
      <c r="A20" t="s">
        <v>66</v>
      </c>
    </row>
    <row r="21" spans="1:1" ht="16.5" customHeight="1">
      <c r="A21" t="s">
        <v>67</v>
      </c>
    </row>
    <row r="22" spans="1:1" ht="16.5" customHeight="1">
      <c r="A22" t="s">
        <v>68</v>
      </c>
    </row>
    <row r="23" spans="1:1" ht="16.5" customHeight="1"/>
    <row r="24" spans="1:1" ht="16.5" customHeight="1">
      <c r="A24" s="3" t="s">
        <v>69</v>
      </c>
    </row>
    <row r="25" spans="1:1" ht="16.5" customHeight="1">
      <c r="A25" s="31" t="s">
        <v>70</v>
      </c>
    </row>
    <row r="26" spans="1:1" ht="16.5" customHeight="1">
      <c r="A26" s="31" t="s">
        <v>71</v>
      </c>
    </row>
    <row r="27" spans="1:1" ht="16.5" customHeight="1">
      <c r="A27" s="31" t="s">
        <v>72</v>
      </c>
    </row>
    <row r="28" spans="1:1" ht="16.5" customHeight="1">
      <c r="A28" s="31" t="s">
        <v>73</v>
      </c>
    </row>
    <row r="29" spans="1:1" ht="16.5" customHeight="1">
      <c r="A29" s="3" t="s">
        <v>74</v>
      </c>
    </row>
    <row r="30" spans="1:1" ht="16.5" customHeight="1">
      <c r="A30" s="31" t="s">
        <v>75</v>
      </c>
    </row>
    <row r="31" spans="1:1" ht="16.5" customHeight="1">
      <c r="A31" s="31" t="s">
        <v>76</v>
      </c>
    </row>
    <row r="32" spans="1:1" ht="16.5" customHeight="1">
      <c r="A32" s="3" t="s">
        <v>77</v>
      </c>
    </row>
    <row r="33" spans="1:1" ht="16.5" customHeight="1">
      <c r="A33" s="31" t="s">
        <v>78</v>
      </c>
    </row>
    <row r="34" spans="1:1" ht="16.5" customHeight="1">
      <c r="A34" s="31" t="s">
        <v>79</v>
      </c>
    </row>
    <row r="35" spans="1:1" ht="16.5" customHeight="1">
      <c r="A35" s="31" t="s">
        <v>80</v>
      </c>
    </row>
    <row r="36" spans="1:1" ht="16.5" customHeight="1">
      <c r="A36" s="31" t="s">
        <v>81</v>
      </c>
    </row>
    <row r="37" spans="1:1" ht="16.5" customHeight="1">
      <c r="A37" s="3" t="s">
        <v>82</v>
      </c>
    </row>
    <row r="38" spans="1:1" ht="16.5" customHeight="1">
      <c r="A38" s="31" t="s">
        <v>83</v>
      </c>
    </row>
    <row r="39" spans="1:1" ht="16.5" customHeight="1">
      <c r="A39" s="31" t="s">
        <v>84</v>
      </c>
    </row>
    <row r="40" spans="1:1" ht="16.5" customHeight="1">
      <c r="A40" s="31" t="s">
        <v>85</v>
      </c>
    </row>
    <row r="41" spans="1:1">
      <c r="A41" s="31" t="s">
        <v>86</v>
      </c>
    </row>
    <row r="42" spans="1:1">
      <c r="A42" s="3" t="s">
        <v>87</v>
      </c>
    </row>
    <row r="43" spans="1:1">
      <c r="A43" s="31" t="s">
        <v>88</v>
      </c>
    </row>
    <row r="44" spans="1:1">
      <c r="A44" s="31" t="s">
        <v>89</v>
      </c>
    </row>
    <row r="45" spans="1:1">
      <c r="A45" s="31" t="s">
        <v>1072</v>
      </c>
    </row>
    <row r="46" spans="1:1">
      <c r="A46" t="s">
        <v>1073</v>
      </c>
    </row>
    <row r="47" spans="1:1">
      <c r="A47" t="s">
        <v>1084</v>
      </c>
    </row>
    <row r="48" spans="1:1">
      <c r="A48" t="s">
        <v>1096</v>
      </c>
    </row>
  </sheetData>
  <phoneticPr fontId="32"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461</v>
      </c>
    </row>
    <row r="2" spans="1:8" ht="30" customHeight="1">
      <c r="A2" s="115" t="s">
        <v>462</v>
      </c>
      <c r="B2" s="114"/>
      <c r="C2" s="114"/>
      <c r="D2" s="114"/>
      <c r="E2" s="114"/>
      <c r="F2" s="114"/>
      <c r="G2" s="114"/>
      <c r="H2" s="114"/>
    </row>
    <row r="3" spans="1:8">
      <c r="A3" t="s">
        <v>463</v>
      </c>
      <c r="F3">
        <f ca="1">COUNTIF($E$7:$E$80,"?")</f>
        <v>0</v>
      </c>
    </row>
    <row r="4" spans="1:8" ht="39.75" customHeight="1">
      <c r="A4" s="113" t="s">
        <v>464</v>
      </c>
      <c r="B4" s="114"/>
      <c r="C4" s="114"/>
      <c r="D4" s="114"/>
      <c r="E4" s="114"/>
      <c r="F4" s="114"/>
      <c r="G4" s="114"/>
      <c r="H4" s="114"/>
    </row>
    <row r="6" spans="1:8" ht="15" customHeight="1">
      <c r="A6" s="44" t="s">
        <v>465</v>
      </c>
      <c r="B6" s="44" t="s">
        <v>466</v>
      </c>
      <c r="C6" s="44" t="s">
        <v>467</v>
      </c>
      <c r="D6" s="44" t="s">
        <v>468</v>
      </c>
      <c r="E6" s="44" t="s">
        <v>469</v>
      </c>
      <c r="F6" s="44" t="s">
        <v>470</v>
      </c>
      <c r="G6" s="44" t="s">
        <v>471</v>
      </c>
      <c r="H6" s="44" t="s">
        <v>472</v>
      </c>
    </row>
    <row r="7" spans="1:8" ht="15" customHeight="1">
      <c r="A7" s="45" t="s">
        <v>473</v>
      </c>
      <c r="B7" s="45" t="s">
        <v>237</v>
      </c>
      <c r="C7" s="45" t="s">
        <v>44</v>
      </c>
      <c r="D7" s="46">
        <v>0.5</v>
      </c>
      <c r="E7" s="47">
        <f t="shared" ref="E7:E38" ca="1" si="0">IFERROR(INDEX(INDIRECT("'"&amp;$A7&amp;"'!$E$1:$E$45"),MATCH($B7,INDIRECT("'"&amp;$A7&amp;"'!$B$1:$B$45"),0)),"?")</f>
        <v>4</v>
      </c>
      <c r="F7" s="48">
        <f t="shared" ref="F7:F38" ca="1" si="1">IF(ISNUMBER(E7),$D7*E7,0)</f>
        <v>2</v>
      </c>
      <c r="G7" s="49" t="s">
        <v>474</v>
      </c>
      <c r="H7" s="50" t="s">
        <v>475</v>
      </c>
    </row>
    <row r="8" spans="1:8" ht="15" customHeight="1">
      <c r="A8" s="45" t="s">
        <v>473</v>
      </c>
      <c r="B8" s="45" t="s">
        <v>243</v>
      </c>
      <c r="C8" s="45" t="s">
        <v>44</v>
      </c>
      <c r="D8" s="46">
        <v>0.2</v>
      </c>
      <c r="E8" s="47">
        <f t="shared" ca="1" si="0"/>
        <v>2</v>
      </c>
      <c r="F8" s="48">
        <f t="shared" ca="1" si="1"/>
        <v>0.4</v>
      </c>
      <c r="G8" s="49" t="s">
        <v>474</v>
      </c>
      <c r="H8" s="50" t="s">
        <v>476</v>
      </c>
    </row>
    <row r="9" spans="1:8" ht="15" customHeight="1">
      <c r="A9" s="45" t="s">
        <v>477</v>
      </c>
      <c r="B9" s="45" t="s">
        <v>384</v>
      </c>
      <c r="C9" s="45" t="s">
        <v>44</v>
      </c>
      <c r="D9" s="46">
        <v>0.2</v>
      </c>
      <c r="E9" s="47">
        <f t="shared" ca="1" si="0"/>
        <v>5</v>
      </c>
      <c r="F9" s="48">
        <f t="shared" ca="1" si="1"/>
        <v>1</v>
      </c>
      <c r="G9" s="49" t="s">
        <v>474</v>
      </c>
      <c r="H9" s="50" t="s">
        <v>478</v>
      </c>
    </row>
    <row r="10" spans="1:8" ht="15" customHeight="1">
      <c r="A10" s="45" t="s">
        <v>477</v>
      </c>
      <c r="B10" s="45" t="s">
        <v>388</v>
      </c>
      <c r="C10" s="45" t="s">
        <v>44</v>
      </c>
      <c r="D10" s="46">
        <v>0.33</v>
      </c>
      <c r="E10" s="47">
        <f t="shared" ca="1" si="0"/>
        <v>3</v>
      </c>
      <c r="F10" s="48">
        <f t="shared" ca="1" si="1"/>
        <v>0.99</v>
      </c>
      <c r="G10" s="49" t="s">
        <v>474</v>
      </c>
      <c r="H10" s="50" t="s">
        <v>479</v>
      </c>
    </row>
    <row r="11" spans="1:8" ht="15" customHeight="1">
      <c r="A11" s="45" t="s">
        <v>480</v>
      </c>
      <c r="B11" s="45" t="s">
        <v>288</v>
      </c>
      <c r="C11" s="45" t="s">
        <v>39</v>
      </c>
      <c r="D11" s="46">
        <v>0.33</v>
      </c>
      <c r="E11" s="47">
        <f t="shared" ca="1" si="0"/>
        <v>5</v>
      </c>
      <c r="F11" s="48">
        <f t="shared" ca="1" si="1"/>
        <v>1.6500000000000001</v>
      </c>
      <c r="G11" s="49" t="s">
        <v>474</v>
      </c>
      <c r="H11" s="50" t="s">
        <v>481</v>
      </c>
    </row>
    <row r="12" spans="1:8" ht="15" customHeight="1">
      <c r="A12" s="45" t="s">
        <v>480</v>
      </c>
      <c r="B12" s="45" t="s">
        <v>295</v>
      </c>
      <c r="C12" s="45" t="s">
        <v>39</v>
      </c>
      <c r="D12" s="46">
        <v>0.5</v>
      </c>
      <c r="E12" s="47">
        <f t="shared" ca="1" si="0"/>
        <v>4</v>
      </c>
      <c r="F12" s="48">
        <f t="shared" ca="1" si="1"/>
        <v>2</v>
      </c>
      <c r="G12" s="49" t="s">
        <v>474</v>
      </c>
      <c r="H12" s="50" t="s">
        <v>482</v>
      </c>
    </row>
    <row r="13" spans="1:8" ht="15" customHeight="1">
      <c r="A13" s="45" t="s">
        <v>483</v>
      </c>
      <c r="B13" s="45" t="s">
        <v>409</v>
      </c>
      <c r="C13" s="45" t="s">
        <v>39</v>
      </c>
      <c r="D13" s="46">
        <v>0.33</v>
      </c>
      <c r="E13" s="47">
        <f t="shared" ca="1" si="0"/>
        <v>3</v>
      </c>
      <c r="F13" s="48">
        <f t="shared" ca="1" si="1"/>
        <v>0.99</v>
      </c>
      <c r="G13" s="49" t="s">
        <v>474</v>
      </c>
      <c r="H13" s="50" t="s">
        <v>484</v>
      </c>
    </row>
    <row r="14" spans="1:8" ht="15" customHeight="1">
      <c r="A14" s="45" t="s">
        <v>483</v>
      </c>
      <c r="B14" s="45" t="s">
        <v>421</v>
      </c>
      <c r="C14" s="45" t="s">
        <v>39</v>
      </c>
      <c r="D14" s="46">
        <v>0.5</v>
      </c>
      <c r="E14" s="47">
        <f t="shared" ca="1" si="0"/>
        <v>3</v>
      </c>
      <c r="F14" s="48">
        <f t="shared" ca="1" si="1"/>
        <v>1.5</v>
      </c>
      <c r="G14" s="49" t="s">
        <v>474</v>
      </c>
      <c r="H14" s="50" t="s">
        <v>485</v>
      </c>
    </row>
    <row r="15" spans="1:8" ht="15" customHeight="1">
      <c r="A15" s="45" t="s">
        <v>1070</v>
      </c>
      <c r="B15" s="45" t="s">
        <v>299</v>
      </c>
      <c r="C15" s="45" t="s">
        <v>39</v>
      </c>
      <c r="D15" s="46">
        <v>0.5</v>
      </c>
      <c r="E15" s="47">
        <f t="shared" ca="1" si="0"/>
        <v>3</v>
      </c>
      <c r="F15" s="48">
        <f t="shared" ca="1" si="1"/>
        <v>1.5</v>
      </c>
      <c r="G15" s="49" t="s">
        <v>486</v>
      </c>
      <c r="H15" s="50" t="s">
        <v>487</v>
      </c>
    </row>
    <row r="16" spans="1:8" ht="15" customHeight="1">
      <c r="A16" s="45" t="s">
        <v>488</v>
      </c>
      <c r="B16" s="45" t="s">
        <v>43</v>
      </c>
      <c r="C16" s="45" t="s">
        <v>45</v>
      </c>
      <c r="D16" s="46">
        <v>0.33</v>
      </c>
      <c r="E16" s="47">
        <f t="shared" ca="1" si="0"/>
        <v>4</v>
      </c>
      <c r="F16" s="48">
        <f t="shared" ca="1" si="1"/>
        <v>1.32</v>
      </c>
      <c r="G16" s="49" t="s">
        <v>474</v>
      </c>
      <c r="H16" s="50" t="s">
        <v>489</v>
      </c>
    </row>
    <row r="17" spans="1:8" ht="15" customHeight="1">
      <c r="A17" s="45" t="s">
        <v>477</v>
      </c>
      <c r="B17" s="45" t="s">
        <v>395</v>
      </c>
      <c r="C17" s="45" t="s">
        <v>45</v>
      </c>
      <c r="D17" s="46">
        <v>0.33</v>
      </c>
      <c r="E17" s="47">
        <f t="shared" ca="1" si="0"/>
        <v>4</v>
      </c>
      <c r="F17" s="48">
        <f t="shared" ca="1" si="1"/>
        <v>1.32</v>
      </c>
      <c r="G17" s="49" t="s">
        <v>474</v>
      </c>
      <c r="H17" s="50" t="s">
        <v>490</v>
      </c>
    </row>
    <row r="18" spans="1:8" ht="15" customHeight="1">
      <c r="A18" s="45" t="s">
        <v>477</v>
      </c>
      <c r="B18" s="45" t="s">
        <v>397</v>
      </c>
      <c r="C18" s="45" t="s">
        <v>45</v>
      </c>
      <c r="D18" s="46">
        <v>0</v>
      </c>
      <c r="E18" s="47">
        <f t="shared" ca="1" si="0"/>
        <v>4</v>
      </c>
      <c r="F18" s="48">
        <f t="shared" ca="1" si="1"/>
        <v>0</v>
      </c>
      <c r="G18" s="49" t="s">
        <v>474</v>
      </c>
      <c r="H18" s="50" t="s">
        <v>491</v>
      </c>
    </row>
    <row r="19" spans="1:8" ht="15" customHeight="1">
      <c r="A19" s="45" t="s">
        <v>480</v>
      </c>
      <c r="B19" s="45" t="s">
        <v>288</v>
      </c>
      <c r="C19" s="45" t="s">
        <v>27</v>
      </c>
      <c r="D19" s="46">
        <v>0.33</v>
      </c>
      <c r="E19" s="47">
        <f t="shared" ca="1" si="0"/>
        <v>5</v>
      </c>
      <c r="F19" s="48">
        <f t="shared" ca="1" si="1"/>
        <v>1.6500000000000001</v>
      </c>
      <c r="G19" s="49" t="s">
        <v>474</v>
      </c>
      <c r="H19" s="50" t="s">
        <v>492</v>
      </c>
    </row>
    <row r="20" spans="1:8" ht="15" customHeight="1">
      <c r="A20" s="45" t="s">
        <v>1070</v>
      </c>
      <c r="B20" s="45" t="s">
        <v>299</v>
      </c>
      <c r="C20" s="45" t="s">
        <v>27</v>
      </c>
      <c r="D20" s="46">
        <v>0.5</v>
      </c>
      <c r="E20" s="47">
        <f t="shared" ca="1" si="0"/>
        <v>3</v>
      </c>
      <c r="F20" s="48">
        <f t="shared" ca="1" si="1"/>
        <v>1.5</v>
      </c>
      <c r="G20" s="49" t="s">
        <v>486</v>
      </c>
      <c r="H20" s="50" t="s">
        <v>493</v>
      </c>
    </row>
    <row r="21" spans="1:8" ht="15" customHeight="1">
      <c r="A21" s="45" t="s">
        <v>483</v>
      </c>
      <c r="B21" s="45" t="s">
        <v>421</v>
      </c>
      <c r="C21" s="45" t="s">
        <v>27</v>
      </c>
      <c r="D21" s="46">
        <v>0.5</v>
      </c>
      <c r="E21" s="47">
        <f t="shared" ca="1" si="0"/>
        <v>3</v>
      </c>
      <c r="F21" s="48">
        <f t="shared" ca="1" si="1"/>
        <v>1.5</v>
      </c>
      <c r="G21" s="49" t="s">
        <v>474</v>
      </c>
      <c r="H21" s="50" t="s">
        <v>494</v>
      </c>
    </row>
    <row r="22" spans="1:8" ht="15" customHeight="1">
      <c r="A22" s="45" t="s">
        <v>483</v>
      </c>
      <c r="B22" s="45" t="s">
        <v>409</v>
      </c>
      <c r="C22" s="45" t="s">
        <v>18</v>
      </c>
      <c r="D22" s="46">
        <v>0.33</v>
      </c>
      <c r="E22" s="47">
        <f t="shared" ca="1" si="0"/>
        <v>3</v>
      </c>
      <c r="F22" s="48">
        <f t="shared" ca="1" si="1"/>
        <v>0.99</v>
      </c>
      <c r="G22" s="49" t="s">
        <v>474</v>
      </c>
      <c r="H22" s="50" t="s">
        <v>495</v>
      </c>
    </row>
    <row r="23" spans="1:8" ht="15" customHeight="1">
      <c r="A23" s="45" t="s">
        <v>483</v>
      </c>
      <c r="B23" s="45" t="s">
        <v>26</v>
      </c>
      <c r="C23" s="45" t="s">
        <v>18</v>
      </c>
      <c r="D23" s="46">
        <v>0.33</v>
      </c>
      <c r="E23" s="47">
        <f t="shared" ca="1" si="0"/>
        <v>3</v>
      </c>
      <c r="F23" s="48">
        <f t="shared" ca="1" si="1"/>
        <v>0.99</v>
      </c>
      <c r="G23" s="52" t="s">
        <v>486</v>
      </c>
      <c r="H23" s="50" t="s">
        <v>496</v>
      </c>
    </row>
    <row r="24" spans="1:8" ht="15" customHeight="1">
      <c r="A24" s="45" t="s">
        <v>488</v>
      </c>
      <c r="B24" s="45" t="s">
        <v>26</v>
      </c>
      <c r="C24" s="45" t="s">
        <v>18</v>
      </c>
      <c r="D24" s="46">
        <v>0.33</v>
      </c>
      <c r="E24" s="47">
        <f t="shared" ca="1" si="0"/>
        <v>3</v>
      </c>
      <c r="F24" s="48">
        <f t="shared" ca="1" si="1"/>
        <v>0.99</v>
      </c>
      <c r="G24" s="52" t="s">
        <v>486</v>
      </c>
      <c r="H24" s="50" t="s">
        <v>497</v>
      </c>
    </row>
    <row r="25" spans="1:8" ht="15" customHeight="1">
      <c r="A25" s="45" t="s">
        <v>473</v>
      </c>
      <c r="B25" s="45" t="s">
        <v>252</v>
      </c>
      <c r="C25" s="45" t="s">
        <v>23</v>
      </c>
      <c r="D25" s="46">
        <v>0.5</v>
      </c>
      <c r="E25" s="47">
        <f t="shared" ca="1" si="0"/>
        <v>3</v>
      </c>
      <c r="F25" s="48">
        <f t="shared" ca="1" si="1"/>
        <v>1.5</v>
      </c>
      <c r="G25" s="49" t="s">
        <v>474</v>
      </c>
      <c r="H25" s="50" t="s">
        <v>498</v>
      </c>
    </row>
    <row r="26" spans="1:8" ht="15" customHeight="1">
      <c r="A26" s="45" t="s">
        <v>488</v>
      </c>
      <c r="B26" s="45" t="s">
        <v>33</v>
      </c>
      <c r="C26" s="45" t="s">
        <v>23</v>
      </c>
      <c r="D26" s="46">
        <v>0.5</v>
      </c>
      <c r="E26" s="47">
        <f t="shared" ca="1" si="0"/>
        <v>3</v>
      </c>
      <c r="F26" s="48">
        <f t="shared" ca="1" si="1"/>
        <v>1.5</v>
      </c>
      <c r="G26" s="52" t="s">
        <v>486</v>
      </c>
      <c r="H26" s="50" t="s">
        <v>499</v>
      </c>
    </row>
    <row r="27" spans="1:8" ht="15" customHeight="1">
      <c r="A27" s="45" t="s">
        <v>483</v>
      </c>
      <c r="B27" s="45" t="s">
        <v>33</v>
      </c>
      <c r="C27" s="45" t="s">
        <v>23</v>
      </c>
      <c r="D27" s="46">
        <v>0.5</v>
      </c>
      <c r="E27" s="47">
        <f t="shared" ca="1" si="0"/>
        <v>3</v>
      </c>
      <c r="F27" s="48">
        <f t="shared" ca="1" si="1"/>
        <v>1.5</v>
      </c>
      <c r="G27" s="49" t="s">
        <v>474</v>
      </c>
      <c r="H27" s="51" t="s">
        <v>500</v>
      </c>
    </row>
    <row r="28" spans="1:8" ht="15" customHeight="1">
      <c r="A28" s="45" t="s">
        <v>477</v>
      </c>
      <c r="B28" s="45" t="s">
        <v>384</v>
      </c>
      <c r="C28" s="45" t="s">
        <v>238</v>
      </c>
      <c r="D28" s="46">
        <v>0.5</v>
      </c>
      <c r="E28" s="47">
        <f t="shared" ca="1" si="0"/>
        <v>5</v>
      </c>
      <c r="F28" s="48">
        <f t="shared" ca="1" si="1"/>
        <v>2.5</v>
      </c>
      <c r="G28" s="49" t="s">
        <v>474</v>
      </c>
      <c r="H28" s="50" t="s">
        <v>501</v>
      </c>
    </row>
    <row r="29" spans="1:8" ht="15" customHeight="1">
      <c r="A29" s="45" t="s">
        <v>477</v>
      </c>
      <c r="B29" s="45" t="s">
        <v>388</v>
      </c>
      <c r="C29" s="45" t="s">
        <v>246</v>
      </c>
      <c r="D29" s="46">
        <v>0.5</v>
      </c>
      <c r="E29" s="47">
        <f t="shared" ca="1" si="0"/>
        <v>3</v>
      </c>
      <c r="F29" s="48">
        <f t="shared" ca="1" si="1"/>
        <v>1.5</v>
      </c>
      <c r="G29" s="49" t="s">
        <v>474</v>
      </c>
      <c r="H29" s="50" t="s">
        <v>502</v>
      </c>
    </row>
    <row r="30" spans="1:8" ht="15" customHeight="1">
      <c r="A30" s="45" t="s">
        <v>477</v>
      </c>
      <c r="B30" s="45" t="s">
        <v>353</v>
      </c>
      <c r="C30" s="45" t="s">
        <v>246</v>
      </c>
      <c r="D30" s="46">
        <v>0.5</v>
      </c>
      <c r="E30" s="47">
        <f t="shared" ca="1" si="0"/>
        <v>0</v>
      </c>
      <c r="F30" s="48">
        <f t="shared" ca="1" si="1"/>
        <v>0</v>
      </c>
      <c r="G30" s="49" t="s">
        <v>474</v>
      </c>
      <c r="H30" s="50" t="s">
        <v>502</v>
      </c>
    </row>
    <row r="31" spans="1:8" ht="15" customHeight="1">
      <c r="A31" s="45" t="s">
        <v>503</v>
      </c>
      <c r="B31" s="45" t="s">
        <v>449</v>
      </c>
      <c r="C31" s="45" t="s">
        <v>331</v>
      </c>
      <c r="D31" s="46">
        <v>0.2</v>
      </c>
      <c r="E31" s="47">
        <f t="shared" ca="1" si="0"/>
        <v>4</v>
      </c>
      <c r="F31" s="48">
        <f t="shared" ca="1" si="1"/>
        <v>0.8</v>
      </c>
      <c r="G31" s="49" t="s">
        <v>474</v>
      </c>
      <c r="H31" s="50" t="s">
        <v>504</v>
      </c>
    </row>
    <row r="32" spans="1:8" ht="15" customHeight="1">
      <c r="A32" s="45" t="s">
        <v>503</v>
      </c>
      <c r="B32" s="45" t="s">
        <v>443</v>
      </c>
      <c r="C32" s="45" t="s">
        <v>331</v>
      </c>
      <c r="D32" s="46">
        <v>0.33</v>
      </c>
      <c r="E32" s="47">
        <f t="shared" ca="1" si="0"/>
        <v>1</v>
      </c>
      <c r="F32" s="48">
        <f t="shared" ca="1" si="1"/>
        <v>0.33</v>
      </c>
      <c r="G32" s="49" t="s">
        <v>474</v>
      </c>
      <c r="H32" s="50" t="s">
        <v>505</v>
      </c>
    </row>
    <row r="33" spans="1:8" ht="15" customHeight="1">
      <c r="A33" s="45" t="s">
        <v>473</v>
      </c>
      <c r="B33" s="45" t="s">
        <v>271</v>
      </c>
      <c r="C33" s="45" t="s">
        <v>331</v>
      </c>
      <c r="D33" s="46">
        <v>0.5</v>
      </c>
      <c r="E33" s="47">
        <f t="shared" ca="1" si="0"/>
        <v>3</v>
      </c>
      <c r="F33" s="48">
        <f t="shared" ca="1" si="1"/>
        <v>1.5</v>
      </c>
      <c r="G33" s="49" t="s">
        <v>474</v>
      </c>
      <c r="H33" s="50" t="s">
        <v>506</v>
      </c>
    </row>
    <row r="34" spans="1:8" ht="15" customHeight="1">
      <c r="A34" s="45" t="s">
        <v>507</v>
      </c>
      <c r="B34" s="45" t="s">
        <v>315</v>
      </c>
      <c r="C34" s="45" t="s">
        <v>322</v>
      </c>
      <c r="D34" s="46">
        <v>0.5</v>
      </c>
      <c r="E34" s="47">
        <f t="shared" ca="1" si="0"/>
        <v>5</v>
      </c>
      <c r="F34" s="48">
        <f t="shared" ca="1" si="1"/>
        <v>2.5</v>
      </c>
      <c r="G34" s="49" t="s">
        <v>474</v>
      </c>
      <c r="H34" s="50" t="s">
        <v>508</v>
      </c>
    </row>
    <row r="35" spans="1:8" ht="15" customHeight="1">
      <c r="A35" s="45" t="s">
        <v>507</v>
      </c>
      <c r="B35" s="45" t="s">
        <v>321</v>
      </c>
      <c r="C35" s="45" t="s">
        <v>322</v>
      </c>
      <c r="D35" s="46">
        <v>0.33</v>
      </c>
      <c r="E35" s="47">
        <f t="shared" ca="1" si="0"/>
        <v>3</v>
      </c>
      <c r="F35" s="48">
        <f t="shared" ca="1" si="1"/>
        <v>0.99</v>
      </c>
      <c r="G35" s="49" t="s">
        <v>474</v>
      </c>
      <c r="H35" s="50" t="s">
        <v>509</v>
      </c>
    </row>
    <row r="36" spans="1:8" ht="15" customHeight="1">
      <c r="A36" s="45" t="s">
        <v>503</v>
      </c>
      <c r="B36" s="45" t="s">
        <v>443</v>
      </c>
      <c r="C36" s="45" t="s">
        <v>322</v>
      </c>
      <c r="D36" s="46">
        <v>0.5</v>
      </c>
      <c r="E36" s="47">
        <f t="shared" ca="1" si="0"/>
        <v>1</v>
      </c>
      <c r="F36" s="48">
        <f t="shared" ca="1" si="1"/>
        <v>0.5</v>
      </c>
      <c r="G36" s="49" t="s">
        <v>474</v>
      </c>
      <c r="H36" s="50" t="s">
        <v>510</v>
      </c>
    </row>
    <row r="37" spans="1:8" ht="15" customHeight="1">
      <c r="A37" s="45" t="s">
        <v>503</v>
      </c>
      <c r="B37" s="45" t="s">
        <v>452</v>
      </c>
      <c r="C37" s="45" t="s">
        <v>322</v>
      </c>
      <c r="D37" s="46">
        <v>0.5</v>
      </c>
      <c r="E37" s="47">
        <f t="shared" ca="1" si="0"/>
        <v>3</v>
      </c>
      <c r="F37" s="48">
        <f t="shared" ca="1" si="1"/>
        <v>1.5</v>
      </c>
      <c r="G37" s="49" t="s">
        <v>474</v>
      </c>
      <c r="H37" s="50" t="s">
        <v>511</v>
      </c>
    </row>
    <row r="38" spans="1:8" ht="15" customHeight="1">
      <c r="A38" s="45" t="s">
        <v>473</v>
      </c>
      <c r="B38" s="45" t="s">
        <v>271</v>
      </c>
      <c r="C38" s="45" t="s">
        <v>322</v>
      </c>
      <c r="D38" s="46">
        <v>0.5</v>
      </c>
      <c r="E38" s="47">
        <f t="shared" ca="1" si="0"/>
        <v>3</v>
      </c>
      <c r="F38" s="48">
        <f t="shared" ca="1" si="1"/>
        <v>1.5</v>
      </c>
      <c r="G38" s="49" t="s">
        <v>474</v>
      </c>
      <c r="H38" s="50" t="s">
        <v>512</v>
      </c>
    </row>
    <row r="39" spans="1:8" ht="15" customHeight="1">
      <c r="A39" s="45" t="s">
        <v>507</v>
      </c>
      <c r="B39" s="45" t="s">
        <v>315</v>
      </c>
      <c r="C39" s="45" t="s">
        <v>272</v>
      </c>
      <c r="D39" s="46">
        <v>0</v>
      </c>
      <c r="E39" s="47">
        <f t="shared" ref="E39:E72" ca="1" si="2">IFERROR(INDEX(INDIRECT("'"&amp;$A39&amp;"'!$E$1:$E$45"),MATCH($B39,INDIRECT("'"&amp;$A39&amp;"'!$B$1:$B$45"),0)),"?")</f>
        <v>5</v>
      </c>
      <c r="F39" s="48">
        <f t="shared" ref="F39:F70" ca="1" si="3">IF(ISNUMBER(E39),$D39*E39,0)</f>
        <v>0</v>
      </c>
      <c r="G39" s="49" t="s">
        <v>474</v>
      </c>
      <c r="H39" s="50" t="s">
        <v>513</v>
      </c>
    </row>
    <row r="40" spans="1:8" ht="15" customHeight="1">
      <c r="A40" s="45" t="s">
        <v>477</v>
      </c>
      <c r="B40" s="45" t="s">
        <v>397</v>
      </c>
      <c r="C40" s="45" t="s">
        <v>272</v>
      </c>
      <c r="D40" s="46">
        <v>0</v>
      </c>
      <c r="E40" s="47">
        <f t="shared" ca="1" si="2"/>
        <v>4</v>
      </c>
      <c r="F40" s="48">
        <f t="shared" ca="1" si="3"/>
        <v>0</v>
      </c>
      <c r="G40" s="49" t="s">
        <v>474</v>
      </c>
      <c r="H40" s="50" t="s">
        <v>514</v>
      </c>
    </row>
    <row r="41" spans="1:8" ht="15" customHeight="1">
      <c r="A41" s="45" t="s">
        <v>503</v>
      </c>
      <c r="B41" s="45" t="s">
        <v>452</v>
      </c>
      <c r="C41" s="45" t="s">
        <v>272</v>
      </c>
      <c r="D41" s="46">
        <v>0.5</v>
      </c>
      <c r="E41" s="47">
        <f t="shared" ca="1" si="2"/>
        <v>3</v>
      </c>
      <c r="F41" s="48">
        <f t="shared" ca="1" si="3"/>
        <v>1.5</v>
      </c>
      <c r="G41" s="49" t="s">
        <v>474</v>
      </c>
      <c r="H41" s="51" t="s">
        <v>515</v>
      </c>
    </row>
    <row r="42" spans="1:8" ht="15" customHeight="1">
      <c r="A42" s="45" t="s">
        <v>507</v>
      </c>
      <c r="B42" s="45" t="s">
        <v>325</v>
      </c>
      <c r="C42" s="45" t="s">
        <v>316</v>
      </c>
      <c r="D42" s="46">
        <v>0.5</v>
      </c>
      <c r="E42" s="47">
        <f t="shared" ca="1" si="2"/>
        <v>3</v>
      </c>
      <c r="F42" s="48">
        <f t="shared" ca="1" si="3"/>
        <v>1.5</v>
      </c>
      <c r="G42" s="49" t="s">
        <v>474</v>
      </c>
      <c r="H42" s="50" t="s">
        <v>516</v>
      </c>
    </row>
    <row r="43" spans="1:8" ht="15" customHeight="1">
      <c r="A43" s="45" t="s">
        <v>507</v>
      </c>
      <c r="B43" s="45" t="s">
        <v>325</v>
      </c>
      <c r="C43" s="45" t="s">
        <v>60</v>
      </c>
      <c r="D43" s="46">
        <v>0.33</v>
      </c>
      <c r="E43" s="47">
        <f t="shared" ca="1" si="2"/>
        <v>3</v>
      </c>
      <c r="F43" s="48">
        <f t="shared" ca="1" si="3"/>
        <v>0.99</v>
      </c>
      <c r="G43" s="49" t="s">
        <v>474</v>
      </c>
      <c r="H43" s="50" t="s">
        <v>517</v>
      </c>
    </row>
    <row r="44" spans="1:8" ht="15" customHeight="1">
      <c r="A44" s="45" t="s">
        <v>503</v>
      </c>
      <c r="B44" s="45" t="s">
        <v>443</v>
      </c>
      <c r="C44" s="45" t="s">
        <v>238</v>
      </c>
      <c r="D44" s="46">
        <v>0</v>
      </c>
      <c r="E44" s="47">
        <f t="shared" ca="1" si="2"/>
        <v>1</v>
      </c>
      <c r="F44" s="48">
        <f t="shared" ca="1" si="3"/>
        <v>0</v>
      </c>
      <c r="G44" s="52" t="s">
        <v>486</v>
      </c>
      <c r="H44" s="50" t="s">
        <v>518</v>
      </c>
    </row>
    <row r="45" spans="1:8" ht="15" customHeight="1">
      <c r="A45" s="45" t="s">
        <v>507</v>
      </c>
      <c r="B45" s="45" t="s">
        <v>315</v>
      </c>
      <c r="C45" s="45" t="s">
        <v>335</v>
      </c>
      <c r="D45" s="46">
        <v>0.33</v>
      </c>
      <c r="E45" s="47">
        <f t="shared" ca="1" si="2"/>
        <v>5</v>
      </c>
      <c r="F45" s="48">
        <f t="shared" ca="1" si="3"/>
        <v>1.6500000000000001</v>
      </c>
      <c r="G45" s="52" t="s">
        <v>486</v>
      </c>
      <c r="H45" s="50" t="s">
        <v>519</v>
      </c>
    </row>
    <row r="46" spans="1:8" ht="15" customHeight="1">
      <c r="A46" s="45" t="s">
        <v>507</v>
      </c>
      <c r="B46" s="45" t="s">
        <v>321</v>
      </c>
      <c r="C46" s="45" t="s">
        <v>335</v>
      </c>
      <c r="D46" s="46">
        <v>0.33</v>
      </c>
      <c r="E46" s="47">
        <f t="shared" ca="1" si="2"/>
        <v>3</v>
      </c>
      <c r="F46" s="48">
        <f t="shared" ca="1" si="3"/>
        <v>0.99</v>
      </c>
      <c r="G46" s="52" t="s">
        <v>486</v>
      </c>
      <c r="H46" s="50" t="s">
        <v>520</v>
      </c>
    </row>
    <row r="47" spans="1:8" ht="15" customHeight="1">
      <c r="A47" s="45" t="s">
        <v>507</v>
      </c>
      <c r="B47" s="45" t="s">
        <v>325</v>
      </c>
      <c r="C47" s="45" t="s">
        <v>335</v>
      </c>
      <c r="D47" s="46">
        <v>0.33</v>
      </c>
      <c r="E47" s="47">
        <f t="shared" ca="1" si="2"/>
        <v>3</v>
      </c>
      <c r="F47" s="48">
        <f t="shared" ca="1" si="3"/>
        <v>0.99</v>
      </c>
      <c r="G47" s="52" t="s">
        <v>486</v>
      </c>
      <c r="H47" s="50" t="s">
        <v>521</v>
      </c>
    </row>
    <row r="48" spans="1:8" ht="15" customHeight="1">
      <c r="A48" s="45" t="s">
        <v>480</v>
      </c>
      <c r="B48" s="45" t="s">
        <v>288</v>
      </c>
      <c r="C48" s="45" t="s">
        <v>300</v>
      </c>
      <c r="D48" s="46">
        <v>0</v>
      </c>
      <c r="E48" s="47">
        <f t="shared" ca="1" si="2"/>
        <v>5</v>
      </c>
      <c r="F48" s="48">
        <f t="shared" ca="1" si="3"/>
        <v>0</v>
      </c>
      <c r="G48" s="52" t="s">
        <v>486</v>
      </c>
      <c r="H48" s="50" t="s">
        <v>522</v>
      </c>
    </row>
    <row r="49" spans="1:8" ht="15" customHeight="1">
      <c r="A49" s="45" t="s">
        <v>483</v>
      </c>
      <c r="B49" s="45" t="s">
        <v>421</v>
      </c>
      <c r="C49" s="45" t="s">
        <v>289</v>
      </c>
      <c r="D49" s="46">
        <v>0</v>
      </c>
      <c r="E49" s="47">
        <f t="shared" ca="1" si="2"/>
        <v>3</v>
      </c>
      <c r="F49" s="48">
        <f t="shared" ca="1" si="3"/>
        <v>0</v>
      </c>
      <c r="G49" s="52" t="s">
        <v>486</v>
      </c>
      <c r="H49" s="50" t="s">
        <v>523</v>
      </c>
    </row>
    <row r="50" spans="1:8" ht="15" customHeight="1">
      <c r="A50" s="45" t="s">
        <v>477</v>
      </c>
      <c r="B50" s="45" t="s">
        <v>384</v>
      </c>
      <c r="C50" s="45" t="s">
        <v>350</v>
      </c>
      <c r="D50" s="46">
        <v>0</v>
      </c>
      <c r="E50" s="47">
        <f t="shared" ca="1" si="2"/>
        <v>5</v>
      </c>
      <c r="F50" s="48">
        <f t="shared" ca="1" si="3"/>
        <v>0</v>
      </c>
      <c r="G50" s="52" t="s">
        <v>486</v>
      </c>
      <c r="H50" s="50" t="s">
        <v>524</v>
      </c>
    </row>
    <row r="51" spans="1:8" ht="15" customHeight="1">
      <c r="A51" s="45" t="s">
        <v>483</v>
      </c>
      <c r="B51" s="45" t="s">
        <v>409</v>
      </c>
      <c r="C51" s="45" t="s">
        <v>350</v>
      </c>
      <c r="D51" s="46">
        <v>0.2</v>
      </c>
      <c r="E51" s="47">
        <f t="shared" ca="1" si="2"/>
        <v>3</v>
      </c>
      <c r="F51" s="48">
        <f t="shared" ca="1" si="3"/>
        <v>0.60000000000000009</v>
      </c>
      <c r="G51" s="52" t="s">
        <v>486</v>
      </c>
      <c r="H51" s="50" t="s">
        <v>525</v>
      </c>
    </row>
    <row r="52" spans="1:8" ht="15" customHeight="1">
      <c r="A52" s="45" t="s">
        <v>503</v>
      </c>
      <c r="B52" s="45" t="s">
        <v>443</v>
      </c>
      <c r="C52" s="45" t="s">
        <v>350</v>
      </c>
      <c r="D52" s="46">
        <v>0</v>
      </c>
      <c r="E52" s="47">
        <f t="shared" ca="1" si="2"/>
        <v>1</v>
      </c>
      <c r="F52" s="48">
        <f t="shared" ca="1" si="3"/>
        <v>0</v>
      </c>
      <c r="G52" s="52" t="s">
        <v>486</v>
      </c>
      <c r="H52" s="50" t="s">
        <v>526</v>
      </c>
    </row>
    <row r="53" spans="1:8" ht="15" customHeight="1">
      <c r="A53" s="45" t="s">
        <v>473</v>
      </c>
      <c r="B53" s="45" t="s">
        <v>237</v>
      </c>
      <c r="C53" s="45" t="s">
        <v>34</v>
      </c>
      <c r="D53" s="46">
        <v>0.2</v>
      </c>
      <c r="E53" s="47">
        <f t="shared" ca="1" si="2"/>
        <v>4</v>
      </c>
      <c r="F53" s="48">
        <f t="shared" ca="1" si="3"/>
        <v>0.8</v>
      </c>
      <c r="G53" s="52" t="s">
        <v>486</v>
      </c>
      <c r="H53" s="50" t="s">
        <v>527</v>
      </c>
    </row>
    <row r="54" spans="1:8" ht="15" customHeight="1">
      <c r="A54" s="45" t="s">
        <v>477</v>
      </c>
      <c r="B54" s="45" t="s">
        <v>384</v>
      </c>
      <c r="C54" s="45" t="s">
        <v>34</v>
      </c>
      <c r="D54" s="46">
        <v>0.2</v>
      </c>
      <c r="E54" s="47">
        <f t="shared" ca="1" si="2"/>
        <v>5</v>
      </c>
      <c r="F54" s="48">
        <f t="shared" ca="1" si="3"/>
        <v>1</v>
      </c>
      <c r="G54" s="52" t="s">
        <v>486</v>
      </c>
      <c r="H54" s="50" t="s">
        <v>528</v>
      </c>
    </row>
    <row r="55" spans="1:8" ht="15" customHeight="1">
      <c r="A55" s="45" t="s">
        <v>480</v>
      </c>
      <c r="B55" s="45" t="s">
        <v>310</v>
      </c>
      <c r="C55" s="45" t="s">
        <v>246</v>
      </c>
      <c r="D55" s="46">
        <v>0.33</v>
      </c>
      <c r="E55" s="47">
        <f t="shared" ca="1" si="2"/>
        <v>5</v>
      </c>
      <c r="F55" s="48">
        <f t="shared" ca="1" si="3"/>
        <v>1.6500000000000001</v>
      </c>
      <c r="G55" s="52" t="s">
        <v>486</v>
      </c>
      <c r="H55" s="50" t="s">
        <v>529</v>
      </c>
    </row>
    <row r="56" spans="1:8" ht="15" customHeight="1">
      <c r="A56" s="45" t="s">
        <v>503</v>
      </c>
      <c r="B56" s="45" t="s">
        <v>321</v>
      </c>
      <c r="C56" s="45" t="s">
        <v>322</v>
      </c>
      <c r="D56" s="46">
        <v>0.33</v>
      </c>
      <c r="E56" s="47">
        <f t="shared" ca="1" si="2"/>
        <v>3</v>
      </c>
      <c r="F56" s="48">
        <f t="shared" ca="1" si="3"/>
        <v>0.99</v>
      </c>
      <c r="G56" s="52" t="s">
        <v>474</v>
      </c>
      <c r="H56" s="50" t="s">
        <v>530</v>
      </c>
    </row>
    <row r="57" spans="1:8" ht="15" customHeight="1">
      <c r="A57" s="45" t="s">
        <v>503</v>
      </c>
      <c r="B57" s="45" t="s">
        <v>321</v>
      </c>
      <c r="C57" s="45" t="s">
        <v>335</v>
      </c>
      <c r="D57" s="46">
        <v>0.33</v>
      </c>
      <c r="E57" s="47">
        <f t="shared" ca="1" si="2"/>
        <v>3</v>
      </c>
      <c r="F57" s="48">
        <f t="shared" ca="1" si="3"/>
        <v>0.99</v>
      </c>
      <c r="G57" s="52" t="s">
        <v>486</v>
      </c>
      <c r="H57" s="50" t="s">
        <v>531</v>
      </c>
    </row>
    <row r="58" spans="1:8" ht="15" customHeight="1">
      <c r="A58" s="45" t="s">
        <v>483</v>
      </c>
      <c r="B58" s="45" t="s">
        <v>26</v>
      </c>
      <c r="C58" s="45" t="s">
        <v>39</v>
      </c>
      <c r="D58" s="46">
        <v>0.5</v>
      </c>
      <c r="E58" s="47">
        <f t="shared" ca="1" si="2"/>
        <v>3</v>
      </c>
      <c r="F58" s="48">
        <f t="shared" ca="1" si="3"/>
        <v>1.5</v>
      </c>
      <c r="G58" s="52" t="s">
        <v>486</v>
      </c>
      <c r="H58" s="50" t="s">
        <v>532</v>
      </c>
    </row>
    <row r="59" spans="1:8" ht="15" customHeight="1">
      <c r="A59" s="45" t="s">
        <v>488</v>
      </c>
      <c r="B59" s="45" t="s">
        <v>26</v>
      </c>
      <c r="C59" s="45" t="s">
        <v>39</v>
      </c>
      <c r="D59" s="46">
        <v>0.5</v>
      </c>
      <c r="E59" s="47">
        <f t="shared" ca="1" si="2"/>
        <v>3</v>
      </c>
      <c r="F59" s="48">
        <f t="shared" ca="1" si="3"/>
        <v>1.5</v>
      </c>
      <c r="G59" s="52" t="s">
        <v>486</v>
      </c>
      <c r="H59" s="50" t="s">
        <v>533</v>
      </c>
    </row>
    <row r="60" spans="1:8" ht="15" customHeight="1">
      <c r="A60" s="45" t="s">
        <v>483</v>
      </c>
      <c r="B60" s="45" t="s">
        <v>418</v>
      </c>
      <c r="C60" s="45" t="s">
        <v>39</v>
      </c>
      <c r="D60" s="46">
        <v>0.5</v>
      </c>
      <c r="E60" s="47">
        <f t="shared" ca="1" si="2"/>
        <v>3</v>
      </c>
      <c r="F60" s="48">
        <f t="shared" ca="1" si="3"/>
        <v>1.5</v>
      </c>
      <c r="G60" s="52" t="s">
        <v>486</v>
      </c>
      <c r="H60" s="50" t="s">
        <v>534</v>
      </c>
    </row>
    <row r="61" spans="1:8" ht="15" customHeight="1">
      <c r="A61" s="45" t="s">
        <v>480</v>
      </c>
      <c r="B61" s="45" t="s">
        <v>295</v>
      </c>
      <c r="C61" s="45" t="s">
        <v>27</v>
      </c>
      <c r="D61" s="46">
        <v>0.2</v>
      </c>
      <c r="E61" s="47">
        <f t="shared" ca="1" si="2"/>
        <v>4</v>
      </c>
      <c r="F61" s="48">
        <f t="shared" ca="1" si="3"/>
        <v>0.8</v>
      </c>
      <c r="G61" s="52" t="s">
        <v>486</v>
      </c>
      <c r="H61" s="50" t="s">
        <v>535</v>
      </c>
    </row>
    <row r="62" spans="1:8" ht="15" customHeight="1">
      <c r="A62" s="45" t="s">
        <v>483</v>
      </c>
      <c r="B62" s="45" t="s">
        <v>418</v>
      </c>
      <c r="C62" s="45" t="s">
        <v>27</v>
      </c>
      <c r="D62" s="46">
        <v>0.33</v>
      </c>
      <c r="E62" s="47">
        <f t="shared" ca="1" si="2"/>
        <v>3</v>
      </c>
      <c r="F62" s="48">
        <f t="shared" ca="1" si="3"/>
        <v>0.99</v>
      </c>
      <c r="G62" s="52" t="s">
        <v>486</v>
      </c>
      <c r="H62" s="50" t="s">
        <v>536</v>
      </c>
    </row>
    <row r="63" spans="1:8" ht="15" customHeight="1">
      <c r="A63" s="45" t="s">
        <v>1088</v>
      </c>
      <c r="B63" s="45" t="s">
        <v>51</v>
      </c>
      <c r="C63" s="45" t="s">
        <v>44</v>
      </c>
      <c r="D63" s="46">
        <v>0.2</v>
      </c>
      <c r="E63" s="47">
        <f t="shared" ca="1" si="2"/>
        <v>4</v>
      </c>
      <c r="F63" s="48">
        <f t="shared" ca="1" si="3"/>
        <v>0.8</v>
      </c>
      <c r="G63" s="52" t="s">
        <v>486</v>
      </c>
      <c r="H63" s="50" t="s">
        <v>537</v>
      </c>
    </row>
    <row r="64" spans="1:8" ht="15" customHeight="1">
      <c r="A64" s="45" t="s">
        <v>538</v>
      </c>
      <c r="B64" s="45" t="s">
        <v>353</v>
      </c>
      <c r="C64" s="45" t="s">
        <v>246</v>
      </c>
      <c r="D64" s="46">
        <v>0.33</v>
      </c>
      <c r="E64" s="47">
        <f t="shared" ca="1" si="2"/>
        <v>3</v>
      </c>
      <c r="F64" s="48">
        <f t="shared" ca="1" si="3"/>
        <v>0.99</v>
      </c>
      <c r="G64" s="52" t="s">
        <v>486</v>
      </c>
      <c r="H64" s="50" t="s">
        <v>539</v>
      </c>
    </row>
    <row r="65" spans="1:8" ht="15" customHeight="1">
      <c r="A65" s="45" t="s">
        <v>538</v>
      </c>
      <c r="B65" s="45" t="s">
        <v>349</v>
      </c>
      <c r="C65" s="45" t="s">
        <v>350</v>
      </c>
      <c r="D65" s="46">
        <v>0.33</v>
      </c>
      <c r="E65" s="47">
        <f t="shared" ca="1" si="2"/>
        <v>3</v>
      </c>
      <c r="F65" s="48">
        <f t="shared" ca="1" si="3"/>
        <v>0.99</v>
      </c>
      <c r="G65" s="52" t="s">
        <v>486</v>
      </c>
      <c r="H65" s="50" t="s">
        <v>540</v>
      </c>
    </row>
    <row r="66" spans="1:8" ht="15" customHeight="1">
      <c r="A66" s="45" t="s">
        <v>538</v>
      </c>
      <c r="B66" s="45" t="s">
        <v>357</v>
      </c>
      <c r="C66" s="45" t="s">
        <v>246</v>
      </c>
      <c r="D66" s="46">
        <v>0.33</v>
      </c>
      <c r="E66" s="47">
        <f t="shared" ca="1" si="2"/>
        <v>3</v>
      </c>
      <c r="F66" s="48">
        <f t="shared" ca="1" si="3"/>
        <v>0.99</v>
      </c>
      <c r="G66" s="52" t="s">
        <v>486</v>
      </c>
      <c r="H66" s="50" t="s">
        <v>541</v>
      </c>
    </row>
    <row r="67" spans="1:8" ht="15" customHeight="1">
      <c r="A67" s="45" t="s">
        <v>538</v>
      </c>
      <c r="B67" s="45" t="s">
        <v>256</v>
      </c>
      <c r="C67" s="45" t="s">
        <v>45</v>
      </c>
      <c r="D67" s="46">
        <v>0.33</v>
      </c>
      <c r="E67" s="47">
        <f t="shared" ca="1" si="2"/>
        <v>3</v>
      </c>
      <c r="F67" s="48">
        <f t="shared" ca="1" si="3"/>
        <v>0.99</v>
      </c>
      <c r="G67" s="52" t="s">
        <v>486</v>
      </c>
      <c r="H67" s="50" t="s">
        <v>542</v>
      </c>
    </row>
    <row r="68" spans="1:8" ht="15" customHeight="1">
      <c r="A68" s="45" t="s">
        <v>503</v>
      </c>
      <c r="B68" s="45" t="s">
        <v>447</v>
      </c>
      <c r="C68" s="45" t="s">
        <v>331</v>
      </c>
      <c r="D68" s="46">
        <v>0.33</v>
      </c>
      <c r="E68" s="47">
        <f t="shared" ca="1" si="2"/>
        <v>2</v>
      </c>
      <c r="F68" s="48">
        <f t="shared" ca="1" si="3"/>
        <v>0.66</v>
      </c>
      <c r="G68" s="49" t="s">
        <v>474</v>
      </c>
      <c r="H68" s="50" t="s">
        <v>543</v>
      </c>
    </row>
    <row r="69" spans="1:8">
      <c r="A69" s="45" t="s">
        <v>503</v>
      </c>
      <c r="B69" s="45" t="s">
        <v>447</v>
      </c>
      <c r="C69" s="45" t="s">
        <v>322</v>
      </c>
      <c r="D69" s="46">
        <v>0.5</v>
      </c>
      <c r="E69" s="47">
        <f t="shared" ca="1" si="2"/>
        <v>2</v>
      </c>
      <c r="F69" s="48">
        <f t="shared" ca="1" si="3"/>
        <v>1</v>
      </c>
      <c r="G69" s="49" t="s">
        <v>474</v>
      </c>
      <c r="H69" s="50" t="s">
        <v>544</v>
      </c>
    </row>
    <row r="70" spans="1:8">
      <c r="A70" s="45" t="s">
        <v>503</v>
      </c>
      <c r="B70" s="45" t="s">
        <v>447</v>
      </c>
      <c r="C70" s="45" t="s">
        <v>350</v>
      </c>
      <c r="D70" s="46">
        <v>0</v>
      </c>
      <c r="E70" s="47">
        <f t="shared" ca="1" si="2"/>
        <v>2</v>
      </c>
      <c r="F70" s="48">
        <f t="shared" ca="1" si="3"/>
        <v>0</v>
      </c>
      <c r="G70" s="49" t="s">
        <v>486</v>
      </c>
      <c r="H70" s="50" t="s">
        <v>545</v>
      </c>
    </row>
    <row r="71" spans="1:8">
      <c r="A71" t="s">
        <v>473</v>
      </c>
      <c r="B71" t="s">
        <v>245</v>
      </c>
      <c r="C71" t="s">
        <v>238</v>
      </c>
      <c r="D71">
        <v>0.5</v>
      </c>
      <c r="E71">
        <f t="shared" ca="1" si="2"/>
        <v>4</v>
      </c>
      <c r="F71">
        <f t="shared" ref="F71:F72" ca="1" si="4">IF(ISNUMBER(E71),$D71*E71,0)</f>
        <v>2</v>
      </c>
      <c r="G71" t="s">
        <v>486</v>
      </c>
      <c r="H71" t="s">
        <v>546</v>
      </c>
    </row>
    <row r="72" spans="1:8">
      <c r="A72" t="s">
        <v>473</v>
      </c>
      <c r="B72" t="s">
        <v>245</v>
      </c>
      <c r="C72" t="s">
        <v>44</v>
      </c>
      <c r="D72">
        <v>0.2</v>
      </c>
      <c r="E72">
        <f t="shared" ca="1" si="2"/>
        <v>4</v>
      </c>
      <c r="F72">
        <f t="shared" ca="1" si="4"/>
        <v>0.8</v>
      </c>
      <c r="G72" t="s">
        <v>486</v>
      </c>
      <c r="H72" t="s">
        <v>547</v>
      </c>
    </row>
    <row r="73" spans="1:8">
      <c r="A73" t="s">
        <v>473</v>
      </c>
      <c r="B73" t="s">
        <v>1107</v>
      </c>
      <c r="C73" t="s">
        <v>44</v>
      </c>
      <c r="D73">
        <v>0.33</v>
      </c>
      <c r="E73">
        <f ca="1">IFERROR(INDEX(INDIRECT("'"&amp;$A73&amp;"'!$E$1:$E$45"),MATCH($B73,INDIRECT("'"&amp;$A73&amp;"'!$B$1:$B$45"),0)),"?")</f>
        <v>2</v>
      </c>
      <c r="F73">
        <f ca="1">IF(ISNUMBER(E73),$D73*E73,0)</f>
        <v>0.66</v>
      </c>
      <c r="G73" t="s">
        <v>474</v>
      </c>
      <c r="H73" t="s">
        <v>1116</v>
      </c>
    </row>
    <row r="74" spans="1:8">
      <c r="A74" t="s">
        <v>477</v>
      </c>
      <c r="B74" t="s">
        <v>1112</v>
      </c>
      <c r="C74" t="s">
        <v>44</v>
      </c>
      <c r="D74">
        <v>0.33</v>
      </c>
      <c r="E74">
        <f ca="1">IFERROR(INDEX(INDIRECT("'"&amp;$A74&amp;"'!$E$1:$E$45"),MATCH($B74,INDIRECT("'"&amp;$A74&amp;"'!$B$1:$B$45"),0)),"?")</f>
        <v>2</v>
      </c>
      <c r="F74">
        <f ca="1">IF(ISNUMBER(E74),$D74*E74,0)</f>
        <v>0.66</v>
      </c>
      <c r="G74" t="s">
        <v>474</v>
      </c>
      <c r="H74" t="s">
        <v>1117</v>
      </c>
    </row>
    <row r="75" spans="1:8">
      <c r="A75" t="s">
        <v>477</v>
      </c>
      <c r="B75" t="s">
        <v>1112</v>
      </c>
      <c r="C75" t="s">
        <v>246</v>
      </c>
      <c r="D75">
        <v>0.5</v>
      </c>
      <c r="E75">
        <f ca="1">IFERROR(INDEX(INDIRECT("'"&amp;$A75&amp;"'!$E$1:$E$45"),MATCH($B75,INDIRECT("'"&amp;$A75&amp;"'!$B$1:$B$45"),0)),"?")</f>
        <v>2</v>
      </c>
      <c r="F75">
        <f ca="1">IF(ISNUMBER(E75),$D75*E75,0)</f>
        <v>1</v>
      </c>
      <c r="G75" t="s">
        <v>474</v>
      </c>
      <c r="H75" t="s">
        <v>1118</v>
      </c>
    </row>
  </sheetData>
  <mergeCells count="2">
    <mergeCell ref="A4:H4"/>
    <mergeCell ref="A2:H2"/>
  </mergeCells>
  <phoneticPr fontId="3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548</v>
      </c>
      <c r="G1" s="93" t="s">
        <v>549</v>
      </c>
    </row>
    <row r="2" spans="1:12" ht="15" customHeight="1">
      <c r="A2" s="2" t="s">
        <v>550</v>
      </c>
      <c r="G2" s="94" t="s">
        <v>551</v>
      </c>
      <c r="H2" s="95">
        <v>10</v>
      </c>
      <c r="I2" s="94" t="s">
        <v>552</v>
      </c>
      <c r="J2" s="95">
        <v>244</v>
      </c>
      <c r="K2" s="94" t="s">
        <v>553</v>
      </c>
      <c r="L2" s="96">
        <f>B25</f>
        <v>241</v>
      </c>
    </row>
    <row r="3" spans="1:12">
      <c r="A3" s="97" t="str">
        <f>IF($H$3&lt;0,"⚠ 총량 상한 "&amp;ABS($H$3)&amp;"세트 초과 — 다른 종목에서 그만큼 빼기 전에는 추가 금지. 상한을 올리려면 아래 '상한 변경 이력'에 한 줄 남길 것.","")</f>
        <v/>
      </c>
      <c r="G3" s="94" t="s">
        <v>554</v>
      </c>
      <c r="H3" s="98">
        <f>$J$2-$L$2</f>
        <v>3</v>
      </c>
      <c r="I3" s="94" t="s">
        <v>555</v>
      </c>
      <c r="J3" s="98">
        <f>ROUND($L$2*7/$H$2,1)</f>
        <v>168.7</v>
      </c>
      <c r="K3" s="94" t="s">
        <v>556</v>
      </c>
      <c r="L3" s="98" t="str">
        <f>IF($H$3&lt;0,"INVALID","VALID")</f>
        <v>VALID</v>
      </c>
    </row>
    <row r="4" spans="1:12" ht="15" customHeight="1">
      <c r="A4" s="5" t="s">
        <v>5</v>
      </c>
      <c r="B4" s="5" t="s">
        <v>557</v>
      </c>
      <c r="C4" s="5" t="s">
        <v>558</v>
      </c>
      <c r="D4" s="5" t="s">
        <v>559</v>
      </c>
      <c r="E4" s="5" t="s">
        <v>560</v>
      </c>
      <c r="F4" s="5" t="s">
        <v>561</v>
      </c>
      <c r="J4" s="99" t="str">
        <f>"주당 환산 (×7/"&amp;$H$2&amp;")"</f>
        <v>주당 환산 (×7/10)</v>
      </c>
    </row>
    <row r="5" spans="1:12" ht="15" customHeight="1">
      <c r="A5" s="53" t="s">
        <v>300</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562</v>
      </c>
      <c r="G5" s="116" t="s">
        <v>563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289</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564</v>
      </c>
      <c r="G6" s="117"/>
      <c r="J6" s="55">
        <f t="shared" ca="1" si="2"/>
        <v>12.6</v>
      </c>
      <c r="L6" s="55">
        <f t="shared" si="3"/>
        <v>12.6</v>
      </c>
    </row>
    <row r="7" spans="1:12" ht="15" customHeight="1">
      <c r="A7" s="53" t="s">
        <v>238</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4.5</v>
      </c>
      <c r="D7" s="55">
        <f t="shared" ca="1" si="0"/>
        <v>17.5</v>
      </c>
      <c r="E7" s="7" t="str">
        <f t="shared" ca="1" si="1"/>
        <v>성장</v>
      </c>
      <c r="F7" s="53" t="s">
        <v>565</v>
      </c>
      <c r="G7" s="116" t="s">
        <v>566</v>
      </c>
      <c r="H7" s="56">
        <f ca="1">SUM(D7:D10)</f>
        <v>59</v>
      </c>
      <c r="J7" s="55">
        <f t="shared" ca="1" si="2"/>
        <v>12.3</v>
      </c>
      <c r="L7" s="55">
        <f t="shared" si="3"/>
        <v>9.1</v>
      </c>
    </row>
    <row r="8" spans="1:12" ht="15" customHeight="1">
      <c r="A8" s="53" t="s">
        <v>350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567</v>
      </c>
      <c r="G8" s="117"/>
      <c r="J8" s="55">
        <f t="shared" ca="1" si="2"/>
        <v>3.9</v>
      </c>
      <c r="L8" s="55">
        <f t="shared" si="3"/>
        <v>2.8</v>
      </c>
    </row>
    <row r="9" spans="1:12" ht="15" customHeight="1">
      <c r="A9" s="53" t="s">
        <v>34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2</v>
      </c>
      <c r="D9" s="55">
        <f t="shared" ca="1" si="0"/>
        <v>14</v>
      </c>
      <c r="E9" s="7" t="str">
        <f t="shared" ca="1" si="1"/>
        <v>유지</v>
      </c>
      <c r="F9" s="53" t="s">
        <v>568</v>
      </c>
      <c r="G9" s="117"/>
      <c r="J9" s="55">
        <f t="shared" ca="1" si="2"/>
        <v>9.8000000000000007</v>
      </c>
      <c r="L9" s="55">
        <f t="shared" si="3"/>
        <v>8.4</v>
      </c>
    </row>
    <row r="10" spans="1:12" ht="15" customHeight="1">
      <c r="A10" s="53" t="s">
        <v>246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16</v>
      </c>
      <c r="C10" s="54">
        <f ca="1">MROUND(SUMIFS(간접계수맵!$F$7:$F$80,간접계수맵!$C$7:$C$80,$A10),0.5)</f>
        <v>6</v>
      </c>
      <c r="D10" s="55">
        <f t="shared" ca="1" si="0"/>
        <v>22</v>
      </c>
      <c r="E10" s="7" t="str">
        <f t="shared" ca="1" si="1"/>
        <v>성장</v>
      </c>
      <c r="F10" s="53" t="s">
        <v>569</v>
      </c>
      <c r="G10" s="117"/>
      <c r="J10" s="55">
        <f t="shared" ca="1" si="2"/>
        <v>15.4</v>
      </c>
      <c r="L10" s="55">
        <f t="shared" si="3"/>
        <v>11.2</v>
      </c>
    </row>
    <row r="11" spans="1:12" ht="15" customHeight="1">
      <c r="A11" s="53" t="s">
        <v>272</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570</v>
      </c>
      <c r="G11" s="57"/>
      <c r="J11" s="55">
        <f t="shared" ca="1" si="2"/>
        <v>9.5</v>
      </c>
      <c r="L11" s="55">
        <f t="shared" si="3"/>
        <v>8.4</v>
      </c>
    </row>
    <row r="12" spans="1:12" ht="15" customHeight="1">
      <c r="A12" s="53" t="s">
        <v>27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571</v>
      </c>
      <c r="G12" s="57"/>
      <c r="J12" s="55">
        <f t="shared" ca="1" si="2"/>
        <v>10.9</v>
      </c>
      <c r="L12" s="55">
        <f t="shared" si="3"/>
        <v>6.3</v>
      </c>
    </row>
    <row r="13" spans="1:12" ht="15" customHeight="1">
      <c r="A13" s="53" t="s">
        <v>18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572</v>
      </c>
      <c r="G13" s="57"/>
      <c r="J13" s="55">
        <f t="shared" ca="1" si="2"/>
        <v>14.7</v>
      </c>
      <c r="L13" s="55">
        <f t="shared" si="3"/>
        <v>12.6</v>
      </c>
    </row>
    <row r="14" spans="1:12" ht="15" customHeight="1">
      <c r="A14" s="53" t="s">
        <v>23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573</v>
      </c>
      <c r="G14" s="57"/>
      <c r="H14" s="56"/>
      <c r="J14" s="55">
        <f t="shared" ca="1" si="2"/>
        <v>15.1</v>
      </c>
      <c r="L14" s="55">
        <f t="shared" si="3"/>
        <v>11.9</v>
      </c>
    </row>
    <row r="15" spans="1:12" ht="15" customHeight="1">
      <c r="A15" s="53" t="s">
        <v>316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325</v>
      </c>
      <c r="G15" s="58" t="s">
        <v>574</v>
      </c>
      <c r="H15" s="56">
        <f ca="1">SUM(D15:D16,D19)</f>
        <v>43</v>
      </c>
      <c r="J15" s="55">
        <f t="shared" ca="1" si="2"/>
        <v>11.6</v>
      </c>
      <c r="L15" s="55">
        <f t="shared" si="3"/>
        <v>10.5</v>
      </c>
    </row>
    <row r="16" spans="1:12" ht="15" customHeight="1">
      <c r="A16" s="53" t="s">
        <v>331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575</v>
      </c>
      <c r="G16" s="57"/>
      <c r="J16" s="55">
        <f t="shared" ca="1" si="2"/>
        <v>9.5</v>
      </c>
      <c r="L16" s="55">
        <f t="shared" si="3"/>
        <v>7</v>
      </c>
    </row>
    <row r="17" spans="1:12" ht="15" customHeight="1">
      <c r="A17" s="53" t="s">
        <v>322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576</v>
      </c>
      <c r="G17" s="116" t="s">
        <v>322</v>
      </c>
      <c r="H17" s="56">
        <f ca="1">SUM(D17:D18)</f>
        <v>29</v>
      </c>
      <c r="J17" s="55">
        <f t="shared" ca="1" si="2"/>
        <v>11.2</v>
      </c>
      <c r="L17" s="55">
        <f t="shared" si="3"/>
        <v>4.9000000000000004</v>
      </c>
    </row>
    <row r="18" spans="1:12" ht="15" customHeight="1">
      <c r="A18" s="53" t="s">
        <v>60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577</v>
      </c>
      <c r="G18" s="117"/>
      <c r="J18" s="55">
        <f t="shared" ca="1" si="2"/>
        <v>9.1</v>
      </c>
      <c r="L18" s="55">
        <f t="shared" si="3"/>
        <v>8.4</v>
      </c>
    </row>
    <row r="19" spans="1:12" ht="15" customHeight="1">
      <c r="A19" s="53" t="s">
        <v>56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578</v>
      </c>
      <c r="G19" s="57"/>
      <c r="J19" s="55">
        <f t="shared" si="2"/>
        <v>9.1</v>
      </c>
      <c r="L19" s="55">
        <f t="shared" si="3"/>
        <v>9.1</v>
      </c>
    </row>
    <row r="20" spans="1:12" ht="15" customHeight="1">
      <c r="A20" s="53" t="s">
        <v>44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7.5</v>
      </c>
      <c r="D20" s="55">
        <f t="shared" ca="1" si="0"/>
        <v>18.5</v>
      </c>
      <c r="E20" s="7" t="str">
        <f t="shared" ca="1" si="1"/>
        <v>성장</v>
      </c>
      <c r="F20" s="53" t="s">
        <v>1119</v>
      </c>
      <c r="G20" s="57"/>
      <c r="J20" s="55">
        <f t="shared" ca="1" si="2"/>
        <v>13</v>
      </c>
      <c r="L20" s="55">
        <f t="shared" si="3"/>
        <v>7.7</v>
      </c>
    </row>
    <row r="21" spans="1:12" ht="15" customHeight="1">
      <c r="A21" s="53" t="s">
        <v>39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579</v>
      </c>
      <c r="G21" s="57"/>
      <c r="J21" s="55">
        <f t="shared" ca="1" si="2"/>
        <v>14</v>
      </c>
      <c r="L21" s="55">
        <f t="shared" si="3"/>
        <v>5.6</v>
      </c>
    </row>
    <row r="22" spans="1:12" ht="16.5" customHeight="1">
      <c r="A22" s="53" t="s">
        <v>45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580</v>
      </c>
      <c r="G22" s="57"/>
      <c r="J22" s="55">
        <f t="shared" ca="1" si="2"/>
        <v>10.199999999999999</v>
      </c>
      <c r="L22" s="55">
        <f t="shared" si="3"/>
        <v>7.7</v>
      </c>
    </row>
    <row r="23" spans="1:12" ht="24" customHeight="1">
      <c r="A23" s="53" t="s">
        <v>261</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581</v>
      </c>
      <c r="G23" s="57"/>
      <c r="J23" s="55">
        <f t="shared" si="2"/>
        <v>9.1</v>
      </c>
      <c r="L23" s="55">
        <f t="shared" si="3"/>
        <v>9.1</v>
      </c>
    </row>
    <row r="24" spans="1:12" ht="15" customHeight="1">
      <c r="A24" s="53" t="s">
        <v>335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582</v>
      </c>
      <c r="G24" s="57"/>
      <c r="J24" s="55">
        <f t="shared" ca="1" si="2"/>
        <v>9.5</v>
      </c>
      <c r="L24" s="55">
        <f t="shared" si="3"/>
        <v>6.3</v>
      </c>
    </row>
    <row r="25" spans="1:12" ht="36" customHeight="1">
      <c r="A25" s="60" t="s">
        <v>583</v>
      </c>
      <c r="B25" s="15">
        <f>SUM(B5:B24)</f>
        <v>241</v>
      </c>
      <c r="C25" s="61"/>
      <c r="D25" s="62">
        <f ca="1">SUM(D5:D24)</f>
        <v>313</v>
      </c>
      <c r="E25" s="61"/>
      <c r="F25" s="61"/>
      <c r="J25" s="62">
        <f t="shared" ca="1" si="2"/>
        <v>219.1</v>
      </c>
      <c r="L25" s="62">
        <f t="shared" si="3"/>
        <v>168.7</v>
      </c>
    </row>
    <row r="26" spans="1:12" ht="15" customHeight="1">
      <c r="A26" s="13" t="s">
        <v>584</v>
      </c>
    </row>
    <row r="27" spans="1:12" ht="16.5" customHeight="1">
      <c r="A27" s="11" t="s">
        <v>585</v>
      </c>
    </row>
    <row r="28" spans="1:12" ht="36" customHeight="1">
      <c r="A28" s="11" t="s">
        <v>586</v>
      </c>
    </row>
    <row r="29" spans="1:12" ht="48" customHeight="1">
      <c r="A29" s="11" t="s">
        <v>587</v>
      </c>
    </row>
    <row r="30" spans="1:12" ht="48" customHeight="1">
      <c r="A30" s="63"/>
    </row>
    <row r="31" spans="1:12" ht="15" customHeight="1">
      <c r="A31" s="13" t="s">
        <v>588</v>
      </c>
    </row>
    <row r="32" spans="1:12" ht="16.5" customHeight="1">
      <c r="A32" s="11" t="s">
        <v>589</v>
      </c>
    </row>
    <row r="33" spans="1:1" ht="48" customHeight="1">
      <c r="A33" s="11" t="s">
        <v>590</v>
      </c>
    </row>
    <row r="34" spans="1:1" ht="48" customHeight="1">
      <c r="A34" s="11" t="s">
        <v>591</v>
      </c>
    </row>
    <row r="35" spans="1:1" ht="15" customHeight="1">
      <c r="A35" s="63"/>
    </row>
    <row r="36" spans="1:1" ht="48" customHeight="1">
      <c r="A36" s="13" t="s">
        <v>592</v>
      </c>
    </row>
    <row r="37" spans="1:1" ht="77.25" customHeight="1">
      <c r="A37" s="11" t="s">
        <v>593</v>
      </c>
    </row>
    <row r="38" spans="1:1" ht="48" customHeight="1">
      <c r="A38" s="11" t="s">
        <v>594</v>
      </c>
    </row>
    <row r="39" spans="1:1" ht="39" customHeight="1">
      <c r="A39" s="63" t="s">
        <v>595</v>
      </c>
    </row>
    <row r="40" spans="1:1" ht="45" customHeight="1">
      <c r="A40" s="11" t="s">
        <v>596</v>
      </c>
    </row>
    <row r="41" spans="1:1" ht="48" customHeight="1">
      <c r="A41" s="11" t="s">
        <v>597</v>
      </c>
    </row>
    <row r="42" spans="1:1" ht="48" customHeight="1">
      <c r="A42" s="11" t="s">
        <v>598</v>
      </c>
    </row>
    <row r="43" spans="1:1" ht="48" customHeight="1">
      <c r="A43" s="11" t="s">
        <v>599</v>
      </c>
    </row>
    <row r="44" spans="1:1" ht="48" customHeight="1">
      <c r="A44" s="90" t="s">
        <v>600</v>
      </c>
    </row>
    <row r="45" spans="1:1" ht="51.75" customHeight="1">
      <c r="A45" t="s">
        <v>601</v>
      </c>
    </row>
    <row r="46" spans="1:1" ht="90" customHeight="1">
      <c r="A46" s="11" t="s">
        <v>602</v>
      </c>
    </row>
    <row r="47" spans="1:1" ht="51.75" customHeight="1">
      <c r="A47" s="11" t="s">
        <v>603</v>
      </c>
    </row>
    <row r="48" spans="1:1" ht="48" customHeight="1">
      <c r="A48" s="11" t="s">
        <v>604</v>
      </c>
    </row>
    <row r="49" spans="1:5" ht="48" customHeight="1">
      <c r="A49" s="11" t="s">
        <v>605</v>
      </c>
    </row>
    <row r="50" spans="1:5" ht="48" customHeight="1">
      <c r="A50" s="11" t="s">
        <v>606</v>
      </c>
    </row>
    <row r="51" spans="1:5">
      <c r="A51" t="s">
        <v>607</v>
      </c>
    </row>
    <row r="52" spans="1:5">
      <c r="A52" t="s">
        <v>608</v>
      </c>
    </row>
    <row r="53" spans="1:5">
      <c r="A53" t="s">
        <v>609</v>
      </c>
    </row>
    <row r="54" spans="1:5">
      <c r="A54" t="s">
        <v>610</v>
      </c>
    </row>
    <row r="55" spans="1:5">
      <c r="A55" t="s">
        <v>611</v>
      </c>
    </row>
    <row r="57" spans="1:5">
      <c r="A57" s="93" t="s">
        <v>612</v>
      </c>
    </row>
    <row r="58" spans="1:5">
      <c r="A58" s="100" t="s">
        <v>613</v>
      </c>
      <c r="B58" s="100" t="s">
        <v>614</v>
      </c>
      <c r="C58" s="100" t="s">
        <v>615</v>
      </c>
      <c r="D58" s="100" t="s">
        <v>616</v>
      </c>
      <c r="E58" s="100" t="s">
        <v>617</v>
      </c>
    </row>
    <row r="59" spans="1:5">
      <c r="A59" s="101">
        <v>46269</v>
      </c>
      <c r="B59" s="102" t="s">
        <v>150</v>
      </c>
      <c r="C59" s="102">
        <v>239</v>
      </c>
      <c r="D59" s="102" t="s">
        <v>618</v>
      </c>
      <c r="E59" s="102" t="s">
        <v>150</v>
      </c>
    </row>
    <row r="60" spans="1:5">
      <c r="A60" s="106">
        <v>46269</v>
      </c>
      <c r="B60" s="107">
        <v>239</v>
      </c>
      <c r="C60" s="107">
        <v>239</v>
      </c>
      <c r="D60" s="107" t="s">
        <v>619</v>
      </c>
      <c r="E60" s="107" t="s">
        <v>620</v>
      </c>
    </row>
    <row r="61" spans="1:5">
      <c r="A61" s="110">
        <v>46270</v>
      </c>
      <c r="B61" s="111">
        <v>239</v>
      </c>
      <c r="C61" s="111">
        <v>244</v>
      </c>
      <c r="D61" s="111" t="s">
        <v>621</v>
      </c>
      <c r="E61" s="111" t="s">
        <v>622</v>
      </c>
    </row>
    <row r="62" spans="1:5">
      <c r="A62" s="104" t="s">
        <v>623</v>
      </c>
    </row>
    <row r="63" spans="1:5">
      <c r="A63" t="s">
        <v>624</v>
      </c>
    </row>
    <row r="64" spans="1:5">
      <c r="A64" t="s">
        <v>625</v>
      </c>
    </row>
    <row r="65" spans="1:1">
      <c r="A65" t="s">
        <v>626</v>
      </c>
    </row>
    <row r="66" spans="1:1">
      <c r="A66" t="s">
        <v>627</v>
      </c>
    </row>
    <row r="67" spans="1:1">
      <c r="A67" t="s">
        <v>628</v>
      </c>
    </row>
    <row r="68" spans="1:1">
      <c r="A68" t="s">
        <v>629</v>
      </c>
    </row>
  </sheetData>
  <mergeCells count="3">
    <mergeCell ref="G5:G6"/>
    <mergeCell ref="G17:G18"/>
    <mergeCell ref="G7:G10"/>
  </mergeCells>
  <phoneticPr fontId="32"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630</v>
      </c>
    </row>
    <row r="2" spans="1:13" ht="15" customHeight="1">
      <c r="A2" s="2" t="s">
        <v>631</v>
      </c>
    </row>
    <row r="4" spans="1:13" ht="15" customHeight="1">
      <c r="A4" s="3" t="s">
        <v>632</v>
      </c>
    </row>
    <row r="5" spans="1:13" ht="15" customHeight="1">
      <c r="A5" s="64" t="s">
        <v>633</v>
      </c>
      <c r="C5" s="4">
        <v>5</v>
      </c>
      <c r="D5" s="63" t="s">
        <v>634</v>
      </c>
    </row>
    <row r="6" spans="1:13" ht="15" customHeight="1">
      <c r="A6" s="64" t="s">
        <v>635</v>
      </c>
      <c r="C6" s="4">
        <v>5</v>
      </c>
      <c r="D6" s="63" t="s">
        <v>636</v>
      </c>
    </row>
    <row r="7" spans="1:13" ht="15" customHeight="1">
      <c r="A7" s="64" t="s">
        <v>637</v>
      </c>
      <c r="C7" s="4">
        <v>2.25</v>
      </c>
      <c r="D7" s="63" t="s">
        <v>638</v>
      </c>
      <c r="H7">
        <f>SUM(D7:D10)</f>
        <v>0</v>
      </c>
    </row>
    <row r="8" spans="1:13" ht="84" customHeight="1">
      <c r="A8" s="64" t="s">
        <v>639</v>
      </c>
      <c r="C8" s="4">
        <v>1.25</v>
      </c>
      <c r="D8" s="63" t="s">
        <v>640</v>
      </c>
    </row>
    <row r="9" spans="1:13" ht="15" customHeight="1">
      <c r="A9" s="5" t="s">
        <v>128</v>
      </c>
      <c r="B9" s="5" t="s">
        <v>641</v>
      </c>
      <c r="C9" s="5" t="s">
        <v>642</v>
      </c>
      <c r="D9" s="5" t="s">
        <v>643</v>
      </c>
      <c r="E9" s="5" t="s">
        <v>644</v>
      </c>
      <c r="F9" s="5" t="s">
        <v>643</v>
      </c>
      <c r="G9" s="5" t="s">
        <v>645</v>
      </c>
      <c r="H9" s="5" t="s">
        <v>643</v>
      </c>
      <c r="I9" s="5" t="s">
        <v>646</v>
      </c>
      <c r="J9" s="5" t="s">
        <v>643</v>
      </c>
      <c r="K9" s="5" t="s">
        <v>13</v>
      </c>
      <c r="L9" s="100" t="s">
        <v>647</v>
      </c>
      <c r="M9" s="100" t="s">
        <v>648</v>
      </c>
    </row>
    <row r="10" spans="1:13" ht="15" customHeight="1">
      <c r="A10" s="8" t="s">
        <v>129</v>
      </c>
      <c r="B10" s="4"/>
      <c r="C10" s="16">
        <f>시작중량_설정!$D$7</f>
        <v>37.5</v>
      </c>
      <c r="D10" s="4"/>
      <c r="E10" s="16">
        <f>시작중량_설정!$D$8</f>
        <v>42.5</v>
      </c>
      <c r="F10" s="4"/>
      <c r="G10" s="16">
        <f>시작중량_설정!$D$9</f>
        <v>22.5</v>
      </c>
      <c r="H10" s="4"/>
      <c r="I10" s="16">
        <f>시작중량_설정!$D$10</f>
        <v>20</v>
      </c>
      <c r="J10" s="4"/>
      <c r="K10" s="65"/>
      <c r="L10" s="103"/>
      <c r="M10" s="103"/>
    </row>
    <row r="11" spans="1:13" ht="15" customHeight="1">
      <c r="A11" s="8" t="s">
        <v>130</v>
      </c>
      <c r="B11" s="4"/>
      <c r="C11" s="16">
        <f t="shared" ref="C11:C21" si="0">IF(OR(D10="",D10="O"),C10+$C$6,C10)</f>
        <v>42.5</v>
      </c>
      <c r="D11" s="4"/>
      <c r="E11" s="16">
        <f t="shared" ref="E11:E21" si="1">IF(OR(F10="",F10="O"),E10+$C$5,E10)</f>
        <v>47.5</v>
      </c>
      <c r="F11" s="4"/>
      <c r="G11" s="16">
        <f t="shared" ref="G11:G21" si="2">IF(OR(H10="",H10="O"),G10+$C$7,G10)</f>
        <v>24.75</v>
      </c>
      <c r="H11" s="4"/>
      <c r="I11" s="16">
        <f t="shared" ref="I11:I21" si="3">IF(OR(J10="",J10="O"),I10+$C$8,I10)</f>
        <v>21.25</v>
      </c>
      <c r="J11" s="4"/>
      <c r="K11" s="65"/>
      <c r="L11" s="103"/>
      <c r="M11" s="103"/>
    </row>
    <row r="12" spans="1:13" ht="15" customHeight="1">
      <c r="A12" s="8" t="s">
        <v>131</v>
      </c>
      <c r="B12" s="4"/>
      <c r="C12" s="16">
        <f t="shared" si="0"/>
        <v>47.5</v>
      </c>
      <c r="D12" s="4"/>
      <c r="E12" s="16">
        <f t="shared" si="1"/>
        <v>52.5</v>
      </c>
      <c r="F12" s="4"/>
      <c r="G12" s="16">
        <f t="shared" si="2"/>
        <v>27</v>
      </c>
      <c r="H12" s="4"/>
      <c r="I12" s="16">
        <f t="shared" si="3"/>
        <v>22.5</v>
      </c>
      <c r="J12" s="4"/>
      <c r="K12" s="65"/>
      <c r="L12" s="103"/>
      <c r="M12" s="103"/>
    </row>
    <row r="13" spans="1:13" ht="15" customHeight="1">
      <c r="A13" s="8" t="s">
        <v>132</v>
      </c>
      <c r="B13" s="84">
        <v>46258</v>
      </c>
      <c r="C13" s="16">
        <f t="shared" si="0"/>
        <v>52.5</v>
      </c>
      <c r="D13" s="4"/>
      <c r="E13" s="16">
        <f t="shared" si="1"/>
        <v>57.5</v>
      </c>
      <c r="F13" s="4"/>
      <c r="G13" s="16">
        <f t="shared" si="2"/>
        <v>29.25</v>
      </c>
      <c r="H13" s="4"/>
      <c r="I13" s="16">
        <f t="shared" si="3"/>
        <v>23.75</v>
      </c>
      <c r="J13" s="4"/>
      <c r="K13" s="65"/>
      <c r="L13" s="103"/>
      <c r="M13" s="103"/>
    </row>
    <row r="14" spans="1:13" ht="15" customHeight="1">
      <c r="A14" s="8" t="s">
        <v>133</v>
      </c>
      <c r="B14" s="84">
        <v>46266</v>
      </c>
      <c r="C14" s="16">
        <f t="shared" si="0"/>
        <v>57.5</v>
      </c>
      <c r="D14" s="4"/>
      <c r="E14" s="16">
        <f t="shared" si="1"/>
        <v>62.5</v>
      </c>
      <c r="F14" s="4"/>
      <c r="G14" s="16">
        <f t="shared" si="2"/>
        <v>31.5</v>
      </c>
      <c r="H14" s="4"/>
      <c r="I14" s="16">
        <f t="shared" si="3"/>
        <v>25</v>
      </c>
      <c r="J14" s="4"/>
      <c r="K14" s="65" t="s">
        <v>1122</v>
      </c>
      <c r="L14" s="103"/>
      <c r="M14" s="103"/>
    </row>
    <row r="15" spans="1:13" ht="15" customHeight="1">
      <c r="A15" s="8" t="s">
        <v>134</v>
      </c>
      <c r="B15" s="4"/>
      <c r="C15" s="16">
        <f t="shared" si="0"/>
        <v>62.5</v>
      </c>
      <c r="D15" s="4"/>
      <c r="E15" s="16">
        <f t="shared" si="1"/>
        <v>67.5</v>
      </c>
      <c r="F15" s="4"/>
      <c r="G15" s="16">
        <f t="shared" si="2"/>
        <v>33.75</v>
      </c>
      <c r="H15" s="4"/>
      <c r="I15" s="16">
        <f t="shared" si="3"/>
        <v>26.25</v>
      </c>
      <c r="J15" s="4"/>
      <c r="K15" s="65"/>
      <c r="L15" s="103"/>
      <c r="M15" s="103"/>
    </row>
    <row r="16" spans="1:13" ht="15" customHeight="1">
      <c r="A16" s="8" t="s">
        <v>135</v>
      </c>
      <c r="B16" s="4"/>
      <c r="C16" s="16">
        <f t="shared" si="0"/>
        <v>67.5</v>
      </c>
      <c r="D16" s="4"/>
      <c r="E16" s="16">
        <f t="shared" si="1"/>
        <v>72.5</v>
      </c>
      <c r="F16" s="4"/>
      <c r="G16" s="16">
        <f t="shared" si="2"/>
        <v>36</v>
      </c>
      <c r="H16" s="4"/>
      <c r="I16" s="16">
        <f t="shared" si="3"/>
        <v>27.5</v>
      </c>
      <c r="J16" s="4"/>
      <c r="K16" s="65"/>
      <c r="L16" s="103"/>
      <c r="M16" s="103"/>
    </row>
    <row r="17" spans="1:13" ht="15" customHeight="1">
      <c r="A17" s="8" t="s">
        <v>136</v>
      </c>
      <c r="B17" s="4"/>
      <c r="C17" s="16">
        <f t="shared" si="0"/>
        <v>72.5</v>
      </c>
      <c r="D17" s="4"/>
      <c r="E17" s="16">
        <f t="shared" si="1"/>
        <v>77.5</v>
      </c>
      <c r="F17" s="4"/>
      <c r="G17" s="16">
        <f t="shared" si="2"/>
        <v>38.25</v>
      </c>
      <c r="H17" s="4"/>
      <c r="I17" s="16">
        <f t="shared" si="3"/>
        <v>28.75</v>
      </c>
      <c r="J17" s="4"/>
      <c r="K17" s="65"/>
      <c r="L17" s="103"/>
      <c r="M17" s="103"/>
    </row>
    <row r="18" spans="1:13" ht="15" customHeight="1">
      <c r="A18" s="8" t="s">
        <v>137</v>
      </c>
      <c r="B18" s="4"/>
      <c r="C18" s="16">
        <f t="shared" si="0"/>
        <v>77.5</v>
      </c>
      <c r="D18" s="4"/>
      <c r="E18" s="16">
        <f t="shared" si="1"/>
        <v>82.5</v>
      </c>
      <c r="F18" s="4"/>
      <c r="G18" s="16">
        <f t="shared" si="2"/>
        <v>40.5</v>
      </c>
      <c r="H18" s="4"/>
      <c r="I18" s="16">
        <f t="shared" si="3"/>
        <v>30</v>
      </c>
      <c r="J18" s="4"/>
      <c r="K18" s="65"/>
      <c r="L18" s="103"/>
      <c r="M18" s="103"/>
    </row>
    <row r="19" spans="1:13" ht="15" customHeight="1">
      <c r="A19" s="8" t="s">
        <v>138</v>
      </c>
      <c r="B19" s="4"/>
      <c r="C19" s="16">
        <f t="shared" si="0"/>
        <v>82.5</v>
      </c>
      <c r="D19" s="4"/>
      <c r="E19" s="16">
        <f t="shared" si="1"/>
        <v>87.5</v>
      </c>
      <c r="F19" s="4"/>
      <c r="G19" s="16">
        <f t="shared" si="2"/>
        <v>42.75</v>
      </c>
      <c r="H19" s="4"/>
      <c r="I19" s="16">
        <f t="shared" si="3"/>
        <v>31.25</v>
      </c>
      <c r="J19" s="4"/>
      <c r="K19" s="65"/>
      <c r="L19" s="103"/>
      <c r="M19" s="103"/>
    </row>
    <row r="20" spans="1:13" ht="15" customHeight="1">
      <c r="A20" s="8" t="s">
        <v>139</v>
      </c>
      <c r="B20" s="4"/>
      <c r="C20" s="16">
        <f t="shared" si="0"/>
        <v>87.5</v>
      </c>
      <c r="D20" s="4"/>
      <c r="E20" s="16">
        <f t="shared" si="1"/>
        <v>92.5</v>
      </c>
      <c r="F20" s="4"/>
      <c r="G20" s="16">
        <f t="shared" si="2"/>
        <v>45</v>
      </c>
      <c r="H20" s="4"/>
      <c r="I20" s="16">
        <f t="shared" si="3"/>
        <v>32.5</v>
      </c>
      <c r="J20" s="4"/>
      <c r="K20" s="65"/>
      <c r="L20" s="103"/>
      <c r="M20" s="103"/>
    </row>
    <row r="21" spans="1:13" ht="15" customHeight="1">
      <c r="A21" s="8" t="s">
        <v>140</v>
      </c>
      <c r="B21" s="4"/>
      <c r="C21" s="16">
        <f t="shared" si="0"/>
        <v>92.5</v>
      </c>
      <c r="D21" s="4"/>
      <c r="E21" s="16">
        <f t="shared" si="1"/>
        <v>97.5</v>
      </c>
      <c r="F21" s="4"/>
      <c r="G21" s="16">
        <f t="shared" si="2"/>
        <v>47.25</v>
      </c>
      <c r="H21" s="4"/>
      <c r="I21" s="16">
        <f t="shared" si="3"/>
        <v>33.75</v>
      </c>
      <c r="J21" s="4"/>
      <c r="K21" s="65"/>
      <c r="L21" s="103"/>
      <c r="M21" s="103"/>
    </row>
    <row r="23" spans="1:13" ht="108" customHeight="1">
      <c r="A23" s="11" t="s">
        <v>649</v>
      </c>
    </row>
    <row r="24" spans="1:13" ht="84" customHeight="1">
      <c r="A24" s="11" t="s">
        <v>650</v>
      </c>
    </row>
    <row r="25" spans="1:13" ht="84" customHeight="1">
      <c r="A25" s="11" t="s">
        <v>651</v>
      </c>
    </row>
    <row r="26" spans="1:13" ht="120" customHeight="1">
      <c r="A26" s="11"/>
    </row>
    <row r="27" spans="1:13" ht="96" customHeight="1">
      <c r="A27" s="11" t="s">
        <v>652</v>
      </c>
    </row>
    <row r="28" spans="1:13" ht="108" customHeight="1">
      <c r="A28" s="11" t="s">
        <v>653</v>
      </c>
    </row>
    <row r="29" spans="1:13" ht="108" customHeight="1">
      <c r="A29" s="11" t="s">
        <v>654</v>
      </c>
    </row>
    <row r="30" spans="1:13" ht="156" customHeight="1">
      <c r="A30" s="11" t="s">
        <v>655</v>
      </c>
    </row>
    <row r="31" spans="1:13" ht="96" customHeight="1">
      <c r="A31" s="11" t="s">
        <v>656</v>
      </c>
    </row>
    <row r="32" spans="1:13">
      <c r="A32" t="s">
        <v>657</v>
      </c>
    </row>
    <row r="33" spans="1:1">
      <c r="A33" t="s">
        <v>658</v>
      </c>
    </row>
    <row r="34" spans="1:1">
      <c r="A34" t="s">
        <v>659</v>
      </c>
    </row>
    <row r="35" spans="1:1">
      <c r="A35" t="s">
        <v>660</v>
      </c>
    </row>
    <row r="36" spans="1:1">
      <c r="A36" t="s">
        <v>661</v>
      </c>
    </row>
  </sheetData>
  <phoneticPr fontId="3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662</v>
      </c>
    </row>
    <row r="2" spans="1:3" ht="15" customHeight="1">
      <c r="A2" s="2" t="s">
        <v>663</v>
      </c>
    </row>
    <row r="4" spans="1:3" ht="15" customHeight="1">
      <c r="A4" s="5" t="s">
        <v>664</v>
      </c>
      <c r="B4" s="5" t="s">
        <v>665</v>
      </c>
      <c r="C4" s="5" t="s">
        <v>666</v>
      </c>
    </row>
    <row r="5" spans="1:3" ht="15" customHeight="1">
      <c r="A5" s="7" t="s">
        <v>566</v>
      </c>
      <c r="B5" s="7" t="s">
        <v>667</v>
      </c>
      <c r="C5" s="53" t="s">
        <v>668</v>
      </c>
    </row>
    <row r="6" spans="1:3" ht="15" customHeight="1">
      <c r="A6" s="7" t="s">
        <v>669</v>
      </c>
      <c r="B6" s="7" t="s">
        <v>667</v>
      </c>
      <c r="C6" s="53" t="s">
        <v>670</v>
      </c>
    </row>
    <row r="7" spans="1:3" ht="15" customHeight="1">
      <c r="A7" s="7" t="s">
        <v>272</v>
      </c>
      <c r="B7" s="7" t="s">
        <v>671</v>
      </c>
      <c r="C7" s="53" t="s">
        <v>672</v>
      </c>
    </row>
    <row r="8" spans="1:3" ht="15" customHeight="1">
      <c r="A8" s="67" t="s">
        <v>673</v>
      </c>
      <c r="B8" s="67" t="s">
        <v>674</v>
      </c>
      <c r="C8" s="68" t="s">
        <v>675</v>
      </c>
    </row>
    <row r="9" spans="1:3" ht="15" customHeight="1">
      <c r="A9" s="67" t="s">
        <v>676</v>
      </c>
      <c r="B9" s="67" t="s">
        <v>674</v>
      </c>
      <c r="C9" s="68" t="s">
        <v>677</v>
      </c>
    </row>
    <row r="10" spans="1:3" ht="15" customHeight="1">
      <c r="A10" s="7" t="s">
        <v>678</v>
      </c>
      <c r="B10" s="7" t="s">
        <v>679</v>
      </c>
      <c r="C10" s="69" t="s">
        <v>680</v>
      </c>
    </row>
    <row r="11" spans="1:3" ht="15" customHeight="1">
      <c r="A11" s="7" t="s">
        <v>681</v>
      </c>
      <c r="B11" s="8" t="s">
        <v>682</v>
      </c>
      <c r="C11" s="53" t="s">
        <v>683</v>
      </c>
    </row>
    <row r="12" spans="1:3" ht="15" customHeight="1">
      <c r="A12" s="7" t="s">
        <v>684</v>
      </c>
      <c r="B12" s="7" t="s">
        <v>685</v>
      </c>
      <c r="C12" s="53" t="s">
        <v>686</v>
      </c>
    </row>
    <row r="15" spans="1:3" ht="24" customHeight="1">
      <c r="A15" s="11" t="s">
        <v>687</v>
      </c>
    </row>
    <row r="16" spans="1:3" ht="24" customHeight="1">
      <c r="A16" s="11" t="s">
        <v>688</v>
      </c>
    </row>
    <row r="17" spans="1:1" ht="36" customHeight="1">
      <c r="A17" s="11" t="s">
        <v>689</v>
      </c>
    </row>
    <row r="18" spans="1:1" ht="15" customHeight="1">
      <c r="A18" s="63"/>
    </row>
    <row r="19" spans="1:1" ht="36" customHeight="1">
      <c r="A19" s="11" t="s">
        <v>690</v>
      </c>
    </row>
    <row r="20" spans="1:1" ht="36" customHeight="1">
      <c r="A20" s="11" t="s">
        <v>691</v>
      </c>
    </row>
    <row r="22" spans="1:1" ht="48" customHeight="1">
      <c r="A22" s="13" t="s">
        <v>692</v>
      </c>
    </row>
    <row r="24" spans="1:1" ht="16.5" customHeight="1">
      <c r="A24" s="14" t="s">
        <v>693</v>
      </c>
    </row>
    <row r="25" spans="1:1" ht="16.5" customHeight="1">
      <c r="A25" t="s">
        <v>694</v>
      </c>
    </row>
    <row r="26" spans="1:1" ht="16.5" customHeight="1">
      <c r="A26" t="s">
        <v>695</v>
      </c>
    </row>
    <row r="27" spans="1:1" ht="16.5" customHeight="1">
      <c r="A27" t="s">
        <v>696</v>
      </c>
    </row>
    <row r="28" spans="1:1" ht="16.5" customHeight="1">
      <c r="A28" t="s">
        <v>697</v>
      </c>
    </row>
    <row r="30" spans="1:1" ht="16.5" customHeight="1">
      <c r="A30" t="s">
        <v>698</v>
      </c>
    </row>
  </sheetData>
  <phoneticPr fontId="3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0"/>
  <sheetViews>
    <sheetView zoomScaleNormal="100" workbookViewId="0"/>
  </sheetViews>
  <sheetFormatPr defaultColWidth="8.7109375"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7.25" customHeight="1">
      <c r="A1" s="1" t="s">
        <v>699</v>
      </c>
    </row>
    <row r="2" spans="1:7" ht="15" customHeight="1">
      <c r="A2" s="70" t="s">
        <v>700</v>
      </c>
    </row>
    <row r="3" spans="1:7" ht="16.5" customHeight="1">
      <c r="A3" s="3" t="s">
        <v>701</v>
      </c>
    </row>
    <row r="5" spans="1:7" ht="15" customHeight="1">
      <c r="A5" s="5" t="s">
        <v>702</v>
      </c>
      <c r="B5" s="5" t="s">
        <v>703</v>
      </c>
      <c r="C5" s="5" t="s">
        <v>704</v>
      </c>
      <c r="D5" s="5" t="s">
        <v>705</v>
      </c>
      <c r="E5" s="5" t="s">
        <v>7</v>
      </c>
      <c r="F5" s="5" t="s">
        <v>148</v>
      </c>
      <c r="G5" t="s">
        <v>706</v>
      </c>
    </row>
    <row r="6" spans="1:7" ht="15" customHeight="1">
      <c r="A6" s="71" t="s">
        <v>707</v>
      </c>
      <c r="B6" s="72" t="s">
        <v>708</v>
      </c>
      <c r="C6" s="72" t="s">
        <v>709</v>
      </c>
      <c r="D6" s="71" t="s">
        <v>710</v>
      </c>
      <c r="E6" s="71">
        <f>복귀_평일A_가슴!$E$12</f>
        <v>28</v>
      </c>
      <c r="F6" s="73" t="s">
        <v>711</v>
      </c>
      <c r="G6" t="s">
        <v>712</v>
      </c>
    </row>
    <row r="7" spans="1:7" ht="15" customHeight="1">
      <c r="A7" s="7" t="s">
        <v>713</v>
      </c>
      <c r="B7" s="8" t="s">
        <v>708</v>
      </c>
      <c r="C7" s="8" t="s">
        <v>709</v>
      </c>
      <c r="D7" s="67" t="s">
        <v>714</v>
      </c>
      <c r="E7" s="7">
        <f>복귀_평일B_어깨!$E$15</f>
        <v>35</v>
      </c>
      <c r="F7" s="69" t="s">
        <v>715</v>
      </c>
      <c r="G7" t="s">
        <v>716</v>
      </c>
    </row>
    <row r="8" spans="1:7" ht="15" customHeight="1">
      <c r="A8" s="71" t="s">
        <v>717</v>
      </c>
      <c r="B8" s="72" t="s">
        <v>718</v>
      </c>
      <c r="C8" s="72" t="s">
        <v>704</v>
      </c>
      <c r="D8" s="71" t="s">
        <v>719</v>
      </c>
      <c r="E8" s="71">
        <f>복귀_토_하체!$E$14</f>
        <v>32</v>
      </c>
      <c r="F8" s="73" t="s">
        <v>720</v>
      </c>
      <c r="G8" t="s">
        <v>721</v>
      </c>
    </row>
    <row r="9" spans="1:7" ht="15" customHeight="1">
      <c r="A9" s="71" t="s">
        <v>722</v>
      </c>
      <c r="B9" s="72" t="s">
        <v>723</v>
      </c>
      <c r="C9" s="72" t="s">
        <v>704</v>
      </c>
      <c r="D9" s="71" t="s">
        <v>724</v>
      </c>
      <c r="E9" s="71">
        <f>복귀_일_등!$E$16</f>
        <v>33</v>
      </c>
      <c r="F9" s="73" t="s">
        <v>725</v>
      </c>
      <c r="G9" t="s">
        <v>726</v>
      </c>
    </row>
    <row r="10" spans="1:7" ht="15" customHeight="1">
      <c r="A10" s="71" t="s">
        <v>727</v>
      </c>
      <c r="B10" s="72" t="s">
        <v>728</v>
      </c>
      <c r="C10" s="72" t="s">
        <v>150</v>
      </c>
      <c r="D10" s="71" t="s">
        <v>158</v>
      </c>
      <c r="E10" s="71">
        <v>0</v>
      </c>
      <c r="F10" s="73" t="s">
        <v>150</v>
      </c>
      <c r="G10" t="s">
        <v>729</v>
      </c>
    </row>
    <row r="11" spans="1:7" ht="15" customHeight="1">
      <c r="A11" s="7" t="s">
        <v>166</v>
      </c>
      <c r="B11" s="7"/>
      <c r="C11" s="7"/>
      <c r="D11" s="67"/>
      <c r="E11" s="7">
        <f>SUM(E6:E10)</f>
        <v>128</v>
      </c>
      <c r="F11" s="53" t="s">
        <v>730</v>
      </c>
    </row>
    <row r="12" spans="1:7" ht="15" customHeight="1">
      <c r="A12" s="7"/>
      <c r="B12" s="7"/>
      <c r="C12" s="7"/>
      <c r="D12" s="67"/>
      <c r="E12" s="7"/>
      <c r="F12" s="53"/>
    </row>
    <row r="13" spans="1:7" ht="15" customHeight="1">
      <c r="A13" s="28"/>
      <c r="B13" s="28"/>
      <c r="C13" s="28"/>
      <c r="D13" s="28"/>
      <c r="E13" s="28"/>
      <c r="F13" s="29"/>
    </row>
    <row r="15" spans="1:7" ht="48" customHeight="1">
      <c r="A15" s="13" t="s">
        <v>731</v>
      </c>
    </row>
    <row r="16" spans="1:7" ht="141" customHeight="1">
      <c r="A16" s="11" t="s">
        <v>732</v>
      </c>
    </row>
    <row r="17" spans="1:1" ht="126" customHeight="1">
      <c r="A17" s="11" t="s">
        <v>733</v>
      </c>
    </row>
    <row r="18" spans="1:1" ht="77.25" customHeight="1">
      <c r="A18" s="11" t="s">
        <v>734</v>
      </c>
    </row>
    <row r="19" spans="1:1" ht="115.5" customHeight="1">
      <c r="A19" s="11" t="s">
        <v>735</v>
      </c>
    </row>
    <row r="20" spans="1:1" ht="15" customHeight="1">
      <c r="A20" s="63" t="s">
        <v>736</v>
      </c>
    </row>
    <row r="21" spans="1:1" ht="48" customHeight="1">
      <c r="A21" s="13"/>
    </row>
    <row r="22" spans="1:1" ht="141" customHeight="1">
      <c r="A22" s="11" t="s">
        <v>737</v>
      </c>
    </row>
    <row r="23" spans="1:1" ht="77.25" customHeight="1">
      <c r="A23" s="11" t="s">
        <v>738</v>
      </c>
    </row>
    <row r="24" spans="1:1" ht="90" customHeight="1">
      <c r="A24" s="11" t="s">
        <v>739</v>
      </c>
    </row>
    <row r="25" spans="1:1" ht="128.25" customHeight="1">
      <c r="A25" s="11" t="s">
        <v>740</v>
      </c>
    </row>
    <row r="26" spans="1:1" ht="128.25" customHeight="1">
      <c r="A26" s="11"/>
    </row>
    <row r="27" spans="1:1" ht="15" customHeight="1">
      <c r="A27" s="63" t="s">
        <v>741</v>
      </c>
    </row>
    <row r="28" spans="1:1" ht="48" customHeight="1">
      <c r="A28" s="13" t="s">
        <v>742</v>
      </c>
    </row>
    <row r="29" spans="1:1" ht="75" customHeight="1">
      <c r="A29" s="11" t="s">
        <v>743</v>
      </c>
    </row>
    <row r="30" spans="1:1" ht="102.75" customHeight="1">
      <c r="A30" s="11" t="s">
        <v>744</v>
      </c>
    </row>
    <row r="31" spans="1:1" ht="90" customHeight="1">
      <c r="A31" s="11" t="s">
        <v>745</v>
      </c>
    </row>
    <row r="32" spans="1:1" ht="128.25" customHeight="1">
      <c r="A32" s="11" t="s">
        <v>746</v>
      </c>
    </row>
    <row r="33" spans="1:1" ht="144" customHeight="1">
      <c r="A33" s="11"/>
    </row>
    <row r="34" spans="1:1" ht="15" customHeight="1">
      <c r="A34" s="74" t="s">
        <v>747</v>
      </c>
    </row>
    <row r="35" spans="1:1">
      <c r="A35" t="s">
        <v>748</v>
      </c>
    </row>
    <row r="36" spans="1:1">
      <c r="A36" t="s">
        <v>749</v>
      </c>
    </row>
    <row r="37" spans="1:1">
      <c r="A37" t="s">
        <v>750</v>
      </c>
    </row>
    <row r="39" spans="1:1">
      <c r="A39" t="s">
        <v>751</v>
      </c>
    </row>
    <row r="40" spans="1:1">
      <c r="A40" t="s">
        <v>752</v>
      </c>
    </row>
    <row r="41" spans="1:1">
      <c r="A41" t="s">
        <v>753</v>
      </c>
    </row>
    <row r="42" spans="1:1">
      <c r="A42" t="s">
        <v>754</v>
      </c>
    </row>
    <row r="44" spans="1:1">
      <c r="A44" t="s">
        <v>755</v>
      </c>
    </row>
    <row r="45" spans="1:1">
      <c r="A45" t="s">
        <v>204</v>
      </c>
    </row>
    <row r="46" spans="1:1">
      <c r="A46" t="s">
        <v>756</v>
      </c>
    </row>
    <row r="47" spans="1:1">
      <c r="A47" t="s">
        <v>757</v>
      </c>
    </row>
    <row r="48" spans="1:1">
      <c r="A48" t="s">
        <v>758</v>
      </c>
    </row>
    <row r="49" spans="1:1">
      <c r="A49" t="s">
        <v>759</v>
      </c>
    </row>
    <row r="50" spans="1:1">
      <c r="A50" t="s">
        <v>760</v>
      </c>
    </row>
  </sheetData>
  <phoneticPr fontId="3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33"/>
  <sheetViews>
    <sheetView zoomScaleNormal="100" workbookViewId="0">
      <selection activeCell="F15" sqref="F15"/>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761</v>
      </c>
    </row>
    <row r="2" spans="1:13" ht="15" customHeight="1">
      <c r="A2" s="2" t="s">
        <v>762</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29.25" customHeight="1">
      <c r="A5" s="67">
        <v>1</v>
      </c>
      <c r="B5" s="68" t="s">
        <v>99</v>
      </c>
      <c r="C5" s="67" t="s">
        <v>316</v>
      </c>
      <c r="D5" s="75">
        <f>시작중량_설정!$E$7</f>
        <v>57.5</v>
      </c>
      <c r="E5" s="67">
        <v>5</v>
      </c>
      <c r="F5" s="59">
        <v>5</v>
      </c>
      <c r="G5" s="68">
        <v>30</v>
      </c>
      <c r="H5" s="68">
        <v>180</v>
      </c>
      <c r="I5">
        <f t="shared" ref="I5:I13" si="0">IF(E5=0,0,ROUND(E5*(G5+H5)/60,1))</f>
        <v>17.5</v>
      </c>
      <c r="J5" t="s">
        <v>763</v>
      </c>
      <c r="K5" t="s">
        <v>764</v>
      </c>
      <c r="L5" s="68" t="s">
        <v>294</v>
      </c>
    </row>
    <row r="6" spans="1:13" ht="29.25" customHeight="1">
      <c r="A6" s="67">
        <v>2</v>
      </c>
      <c r="B6" s="68" t="s">
        <v>765</v>
      </c>
      <c r="C6" s="67" t="s">
        <v>27</v>
      </c>
      <c r="D6" s="75">
        <f>시작중량_설정!$E$10</f>
        <v>25</v>
      </c>
      <c r="E6" s="67">
        <v>3</v>
      </c>
      <c r="F6" s="59">
        <v>5</v>
      </c>
      <c r="G6" s="68">
        <v>30</v>
      </c>
      <c r="H6" s="68">
        <v>180</v>
      </c>
      <c r="I6">
        <f t="shared" si="0"/>
        <v>10.5</v>
      </c>
      <c r="J6" t="s">
        <v>766</v>
      </c>
      <c r="K6" t="s">
        <v>767</v>
      </c>
      <c r="L6" s="68" t="s">
        <v>412</v>
      </c>
    </row>
    <row r="7" spans="1:13" ht="15" customHeight="1">
      <c r="A7" s="7">
        <v>3</v>
      </c>
      <c r="B7" s="53" t="s">
        <v>321</v>
      </c>
      <c r="C7" s="7" t="s">
        <v>316</v>
      </c>
      <c r="D7" s="8" t="s">
        <v>150</v>
      </c>
      <c r="E7" s="7">
        <v>4</v>
      </c>
      <c r="F7" s="8" t="s">
        <v>40</v>
      </c>
      <c r="G7" s="53">
        <v>45</v>
      </c>
      <c r="H7" s="53">
        <v>150</v>
      </c>
      <c r="I7">
        <f t="shared" si="0"/>
        <v>13</v>
      </c>
      <c r="J7" t="s">
        <v>768</v>
      </c>
      <c r="K7" t="s">
        <v>769</v>
      </c>
    </row>
    <row r="8" spans="1:13" ht="15" customHeight="1">
      <c r="A8" s="7">
        <v>4</v>
      </c>
      <c r="B8" s="53" t="s">
        <v>458</v>
      </c>
      <c r="C8" s="7" t="s">
        <v>316</v>
      </c>
      <c r="D8" s="8" t="s">
        <v>150</v>
      </c>
      <c r="E8" s="7">
        <v>3</v>
      </c>
      <c r="F8" s="8" t="s">
        <v>305</v>
      </c>
      <c r="G8" s="53">
        <v>40</v>
      </c>
      <c r="H8" s="53">
        <v>120</v>
      </c>
      <c r="I8">
        <f t="shared" si="0"/>
        <v>8</v>
      </c>
      <c r="J8" t="s">
        <v>770</v>
      </c>
      <c r="K8" t="s">
        <v>771</v>
      </c>
    </row>
    <row r="9" spans="1:13" ht="15" customHeight="1">
      <c r="A9" s="7">
        <v>5</v>
      </c>
      <c r="B9" s="53" t="s">
        <v>455</v>
      </c>
      <c r="C9" s="7" t="s">
        <v>331</v>
      </c>
      <c r="D9" s="8" t="s">
        <v>150</v>
      </c>
      <c r="E9" s="7">
        <v>3</v>
      </c>
      <c r="F9" s="8">
        <v>10</v>
      </c>
      <c r="G9" s="53">
        <v>60</v>
      </c>
      <c r="H9" s="53">
        <v>120</v>
      </c>
      <c r="I9">
        <f t="shared" si="0"/>
        <v>9</v>
      </c>
      <c r="J9" t="s">
        <v>772</v>
      </c>
      <c r="K9" t="s">
        <v>773</v>
      </c>
    </row>
    <row r="10" spans="1:13" ht="15" customHeight="1">
      <c r="A10" s="7">
        <v>6</v>
      </c>
      <c r="B10" s="53" t="s">
        <v>334</v>
      </c>
      <c r="C10" s="7" t="s">
        <v>335</v>
      </c>
      <c r="D10" s="8" t="s">
        <v>774</v>
      </c>
      <c r="E10" s="7">
        <v>4</v>
      </c>
      <c r="F10" s="8" t="s">
        <v>19</v>
      </c>
      <c r="G10" s="53">
        <v>40</v>
      </c>
      <c r="H10" s="53">
        <v>120</v>
      </c>
      <c r="I10">
        <f t="shared" si="0"/>
        <v>10.7</v>
      </c>
      <c r="J10" t="s">
        <v>775</v>
      </c>
      <c r="K10" t="s">
        <v>776</v>
      </c>
    </row>
    <row r="11" spans="1:13" ht="15" customHeight="1">
      <c r="A11" s="7">
        <v>7</v>
      </c>
      <c r="B11" s="53" t="s">
        <v>55</v>
      </c>
      <c r="C11" s="7" t="s">
        <v>56</v>
      </c>
      <c r="D11" s="77" t="s">
        <v>150</v>
      </c>
      <c r="E11" s="7">
        <v>3</v>
      </c>
      <c r="F11" s="8" t="s">
        <v>19</v>
      </c>
      <c r="G11" s="53">
        <v>40</v>
      </c>
      <c r="H11" s="53">
        <v>75</v>
      </c>
      <c r="I11">
        <f t="shared" si="0"/>
        <v>5.8</v>
      </c>
      <c r="J11" t="s">
        <v>777</v>
      </c>
      <c r="K11" t="s">
        <v>778</v>
      </c>
    </row>
    <row r="12" spans="1:13" ht="15" customHeight="1">
      <c r="A12">
        <v>8</v>
      </c>
      <c r="B12" s="87" t="s">
        <v>779</v>
      </c>
      <c r="C12" t="s">
        <v>23</v>
      </c>
      <c r="D12" s="76" t="s">
        <v>780</v>
      </c>
      <c r="E12" s="28">
        <v>3</v>
      </c>
      <c r="F12" t="s">
        <v>19</v>
      </c>
      <c r="G12">
        <v>40</v>
      </c>
      <c r="H12">
        <v>60</v>
      </c>
      <c r="I12">
        <f t="shared" si="0"/>
        <v>5</v>
      </c>
      <c r="J12" t="s">
        <v>781</v>
      </c>
      <c r="K12" t="s">
        <v>782</v>
      </c>
    </row>
    <row r="13" spans="1:13">
      <c r="A13">
        <v>9</v>
      </c>
      <c r="B13" t="s">
        <v>308</v>
      </c>
      <c r="C13" t="s">
        <v>18</v>
      </c>
      <c r="D13" t="s">
        <v>248</v>
      </c>
      <c r="E13">
        <v>4</v>
      </c>
      <c r="F13" t="s">
        <v>19</v>
      </c>
      <c r="G13">
        <v>40</v>
      </c>
      <c r="H13">
        <v>60</v>
      </c>
      <c r="I13">
        <f t="shared" si="0"/>
        <v>6.7</v>
      </c>
      <c r="J13" t="s">
        <v>783</v>
      </c>
      <c r="K13" t="s">
        <v>784</v>
      </c>
    </row>
    <row r="14" spans="1:13" ht="76.5" customHeight="1">
      <c r="A14" s="12"/>
      <c r="D14" t="s">
        <v>63</v>
      </c>
      <c r="E14">
        <f>SUM(E5:E13)</f>
        <v>32</v>
      </c>
      <c r="I14">
        <f>ROUND(SUM(I5:I13),0)</f>
        <v>86</v>
      </c>
    </row>
    <row r="15" spans="1:13" ht="265.5" customHeight="1">
      <c r="A15" s="11"/>
      <c r="C15" s="87"/>
    </row>
    <row r="16" spans="1:13" ht="293.25" customHeight="1">
      <c r="A16" s="11" t="s">
        <v>785</v>
      </c>
    </row>
    <row r="17" spans="1:1" ht="276" customHeight="1">
      <c r="A17" s="11" t="s">
        <v>786</v>
      </c>
    </row>
    <row r="18" spans="1:1">
      <c r="A18" t="s">
        <v>787</v>
      </c>
    </row>
    <row r="19" spans="1:1">
      <c r="A19" t="s">
        <v>788</v>
      </c>
    </row>
    <row r="20" spans="1:1">
      <c r="A20" t="s">
        <v>789</v>
      </c>
    </row>
    <row r="21" spans="1:1">
      <c r="A21" t="s">
        <v>790</v>
      </c>
    </row>
    <row r="23" spans="1:1">
      <c r="A23" t="s">
        <v>791</v>
      </c>
    </row>
    <row r="24" spans="1:1">
      <c r="A24" t="s">
        <v>792</v>
      </c>
    </row>
    <row r="25" spans="1:1">
      <c r="A25" t="s">
        <v>793</v>
      </c>
    </row>
    <row r="26" spans="1:1">
      <c r="A26" t="s">
        <v>794</v>
      </c>
    </row>
    <row r="28" spans="1:1">
      <c r="A28" t="s">
        <v>751</v>
      </c>
    </row>
    <row r="29" spans="1:1">
      <c r="A29" t="s">
        <v>795</v>
      </c>
    </row>
    <row r="30" spans="1:1">
      <c r="A30" t="s">
        <v>796</v>
      </c>
    </row>
    <row r="33" spans="3:3">
      <c r="C33" t="s">
        <v>797</v>
      </c>
    </row>
  </sheetData>
  <phoneticPr fontId="3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44"/>
  <sheetViews>
    <sheetView zoomScaleNormal="100" workbookViewId="0">
      <selection activeCell="B7" sqref="B7"/>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798</v>
      </c>
    </row>
    <row r="2" spans="1:13" ht="15" customHeight="1">
      <c r="A2" s="2" t="s">
        <v>799</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29.25" customHeight="1">
      <c r="A5" s="67">
        <v>1</v>
      </c>
      <c r="B5" s="68" t="s">
        <v>101</v>
      </c>
      <c r="C5" s="67" t="s">
        <v>272</v>
      </c>
      <c r="D5" s="78">
        <f>시작중량_설정!$E$8</f>
        <v>62.5</v>
      </c>
      <c r="E5" s="67">
        <v>1</v>
      </c>
      <c r="F5" s="59">
        <v>5</v>
      </c>
      <c r="G5" s="68">
        <v>30</v>
      </c>
      <c r="H5" s="68">
        <v>180</v>
      </c>
      <c r="I5">
        <f t="shared" ref="I5:I15" si="0">IF(E5=0,0,ROUND(E5*(G5+H5)/60,1))</f>
        <v>3.5</v>
      </c>
      <c r="J5" t="s">
        <v>800</v>
      </c>
      <c r="K5" t="s">
        <v>801</v>
      </c>
    </row>
    <row r="6" spans="1:13" ht="15" customHeight="1">
      <c r="A6" s="7">
        <v>2</v>
      </c>
      <c r="B6" s="89" t="s">
        <v>802</v>
      </c>
      <c r="C6" s="7" t="s">
        <v>246</v>
      </c>
      <c r="D6" s="8" t="s">
        <v>803</v>
      </c>
      <c r="E6" s="7">
        <v>4</v>
      </c>
      <c r="F6" s="8" t="s">
        <v>248</v>
      </c>
      <c r="G6" s="53">
        <v>40</v>
      </c>
      <c r="H6" s="53">
        <v>150</v>
      </c>
      <c r="I6">
        <f t="shared" si="0"/>
        <v>12.7</v>
      </c>
      <c r="J6" t="s">
        <v>804</v>
      </c>
      <c r="K6" t="s">
        <v>805</v>
      </c>
      <c r="L6" s="53" t="s">
        <v>806</v>
      </c>
    </row>
    <row r="7" spans="1:13" ht="15" customHeight="1">
      <c r="A7" s="7">
        <v>3</v>
      </c>
      <c r="B7" s="89" t="s">
        <v>807</v>
      </c>
      <c r="C7" s="7" t="s">
        <v>238</v>
      </c>
      <c r="D7" s="7" t="s">
        <v>150</v>
      </c>
      <c r="E7" s="7">
        <v>4</v>
      </c>
      <c r="F7" s="8" t="s">
        <v>40</v>
      </c>
      <c r="G7" s="53">
        <v>40</v>
      </c>
      <c r="H7" s="53">
        <v>150</v>
      </c>
      <c r="I7">
        <f t="shared" si="0"/>
        <v>12.7</v>
      </c>
      <c r="J7" t="s">
        <v>808</v>
      </c>
      <c r="K7" t="s">
        <v>809</v>
      </c>
    </row>
    <row r="8" spans="1:13" ht="15" customHeight="1">
      <c r="A8" s="7">
        <v>4</v>
      </c>
      <c r="B8" s="53" t="s">
        <v>237</v>
      </c>
      <c r="C8" s="7" t="s">
        <v>238</v>
      </c>
      <c r="D8" s="7" t="s">
        <v>247</v>
      </c>
      <c r="E8" s="7">
        <v>3</v>
      </c>
      <c r="F8" s="8" t="s">
        <v>239</v>
      </c>
      <c r="G8" s="53">
        <v>35</v>
      </c>
      <c r="H8" s="53">
        <v>150</v>
      </c>
      <c r="I8">
        <f t="shared" si="0"/>
        <v>9.3000000000000007</v>
      </c>
      <c r="J8" t="s">
        <v>810</v>
      </c>
      <c r="K8" t="s">
        <v>811</v>
      </c>
      <c r="L8" s="53" t="s">
        <v>812</v>
      </c>
    </row>
    <row r="9" spans="1:13" ht="29.25" customHeight="1">
      <c r="A9" s="7">
        <v>5</v>
      </c>
      <c r="B9" s="53" t="s">
        <v>390</v>
      </c>
      <c r="C9" s="7" t="s">
        <v>246</v>
      </c>
      <c r="D9" s="8" t="s">
        <v>813</v>
      </c>
      <c r="E9" s="7">
        <v>3</v>
      </c>
      <c r="F9" s="8" t="s">
        <v>19</v>
      </c>
      <c r="G9" s="53">
        <v>40</v>
      </c>
      <c r="H9" s="53">
        <v>75</v>
      </c>
      <c r="I9">
        <f t="shared" si="0"/>
        <v>5.8</v>
      </c>
      <c r="J9" t="s">
        <v>814</v>
      </c>
      <c r="K9" t="s">
        <v>815</v>
      </c>
    </row>
    <row r="10" spans="1:13" ht="15" customHeight="1">
      <c r="A10" s="7">
        <v>6</v>
      </c>
      <c r="B10" s="53" t="s">
        <v>401</v>
      </c>
      <c r="C10" s="7" t="s">
        <v>34</v>
      </c>
      <c r="D10" s="8" t="s">
        <v>780</v>
      </c>
      <c r="E10" s="7">
        <v>3</v>
      </c>
      <c r="F10" s="8" t="s">
        <v>19</v>
      </c>
      <c r="G10" s="53">
        <v>40</v>
      </c>
      <c r="H10" s="53">
        <v>75</v>
      </c>
      <c r="I10">
        <f t="shared" si="0"/>
        <v>5.8</v>
      </c>
      <c r="J10" t="s">
        <v>816</v>
      </c>
      <c r="K10" t="s">
        <v>817</v>
      </c>
    </row>
    <row r="11" spans="1:13" ht="15" customHeight="1">
      <c r="A11" s="7">
        <v>7</v>
      </c>
      <c r="B11" s="53" t="s">
        <v>295</v>
      </c>
      <c r="C11" s="7" t="s">
        <v>289</v>
      </c>
      <c r="D11" s="8" t="s">
        <v>247</v>
      </c>
      <c r="E11" s="7">
        <v>3</v>
      </c>
      <c r="F11" s="8" t="s">
        <v>40</v>
      </c>
      <c r="G11" s="53">
        <v>40</v>
      </c>
      <c r="H11" s="53">
        <v>120</v>
      </c>
      <c r="I11">
        <f t="shared" si="0"/>
        <v>8</v>
      </c>
      <c r="J11" t="s">
        <v>818</v>
      </c>
      <c r="K11" t="s">
        <v>819</v>
      </c>
      <c r="L11" s="53" t="s">
        <v>820</v>
      </c>
    </row>
    <row r="12" spans="1:13" ht="15" customHeight="1">
      <c r="A12" s="7">
        <v>8</v>
      </c>
      <c r="B12" s="53" t="s">
        <v>360</v>
      </c>
      <c r="C12" s="7" t="s">
        <v>289</v>
      </c>
      <c r="D12" s="7" t="s">
        <v>52</v>
      </c>
      <c r="E12" s="7">
        <v>3</v>
      </c>
      <c r="F12" s="7" t="s">
        <v>19</v>
      </c>
      <c r="G12" s="53">
        <v>40</v>
      </c>
      <c r="H12" s="53">
        <v>105</v>
      </c>
      <c r="I12">
        <f t="shared" si="0"/>
        <v>7.3</v>
      </c>
      <c r="J12" t="s">
        <v>821</v>
      </c>
      <c r="K12" t="s">
        <v>822</v>
      </c>
    </row>
    <row r="13" spans="1:13" ht="15" customHeight="1">
      <c r="A13">
        <v>9</v>
      </c>
      <c r="B13" t="s">
        <v>395</v>
      </c>
      <c r="C13" t="s">
        <v>44</v>
      </c>
      <c r="D13" s="76" t="s">
        <v>366</v>
      </c>
      <c r="E13" s="28">
        <v>3</v>
      </c>
      <c r="F13" t="s">
        <v>40</v>
      </c>
      <c r="G13">
        <v>40</v>
      </c>
      <c r="H13">
        <v>75</v>
      </c>
      <c r="I13">
        <f t="shared" si="0"/>
        <v>5.8</v>
      </c>
      <c r="J13" t="s">
        <v>823</v>
      </c>
      <c r="K13" t="s">
        <v>824</v>
      </c>
    </row>
    <row r="14" spans="1:13">
      <c r="A14">
        <v>10</v>
      </c>
      <c r="B14" t="s">
        <v>825</v>
      </c>
      <c r="C14" t="s">
        <v>45</v>
      </c>
      <c r="D14">
        <v>12</v>
      </c>
      <c r="E14">
        <v>3</v>
      </c>
      <c r="F14" t="s">
        <v>49</v>
      </c>
      <c r="G14">
        <v>40</v>
      </c>
      <c r="H14">
        <v>60</v>
      </c>
      <c r="I14">
        <f t="shared" si="0"/>
        <v>5</v>
      </c>
      <c r="J14" t="s">
        <v>826</v>
      </c>
      <c r="K14" t="s">
        <v>827</v>
      </c>
    </row>
    <row r="15" spans="1:13" ht="17.25" customHeight="1">
      <c r="A15" s="12">
        <v>11</v>
      </c>
      <c r="B15" t="s">
        <v>369</v>
      </c>
      <c r="C15" t="s">
        <v>45</v>
      </c>
      <c r="D15">
        <v>10</v>
      </c>
      <c r="E15">
        <v>3</v>
      </c>
      <c r="F15" t="s">
        <v>49</v>
      </c>
      <c r="G15">
        <v>40</v>
      </c>
      <c r="H15">
        <v>60</v>
      </c>
      <c r="I15">
        <f t="shared" si="0"/>
        <v>5</v>
      </c>
      <c r="J15" t="s">
        <v>828</v>
      </c>
      <c r="K15" t="s">
        <v>829</v>
      </c>
    </row>
    <row r="16" spans="1:13" ht="23.25" customHeight="1">
      <c r="A16" s="11"/>
      <c r="C16" s="88"/>
      <c r="D16" t="s">
        <v>63</v>
      </c>
      <c r="E16">
        <f>SUM(E5:E15)</f>
        <v>33</v>
      </c>
      <c r="I16">
        <f>ROUND(SUM(I5:I15),0)</f>
        <v>81</v>
      </c>
    </row>
    <row r="17" spans="1:1" ht="240" customHeight="1">
      <c r="A17" s="11"/>
    </row>
    <row r="18" spans="1:1" ht="278.25" customHeight="1">
      <c r="A18" s="11" t="s">
        <v>830</v>
      </c>
    </row>
    <row r="19" spans="1:1" ht="15" customHeight="1">
      <c r="A19" s="63" t="s">
        <v>831</v>
      </c>
    </row>
    <row r="20" spans="1:1" ht="95.25" customHeight="1">
      <c r="A20" s="12" t="s">
        <v>832</v>
      </c>
    </row>
    <row r="21" spans="1:1" ht="252.75" customHeight="1">
      <c r="A21" s="11" t="s">
        <v>833</v>
      </c>
    </row>
    <row r="22" spans="1:1" ht="237.75" customHeight="1">
      <c r="A22" s="11" t="s">
        <v>834</v>
      </c>
    </row>
    <row r="23" spans="1:1" ht="265.5" customHeight="1">
      <c r="A23" s="11" t="s">
        <v>835</v>
      </c>
    </row>
    <row r="25" spans="1:1">
      <c r="A25" t="s">
        <v>836</v>
      </c>
    </row>
    <row r="26" spans="1:1">
      <c r="A26" t="s">
        <v>837</v>
      </c>
    </row>
    <row r="27" spans="1:1">
      <c r="A27" t="s">
        <v>838</v>
      </c>
    </row>
    <row r="28" spans="1:1">
      <c r="A28" t="s">
        <v>839</v>
      </c>
    </row>
    <row r="29" spans="1:1">
      <c r="A29" t="s">
        <v>840</v>
      </c>
    </row>
    <row r="31" spans="1:1">
      <c r="A31" t="s">
        <v>841</v>
      </c>
    </row>
    <row r="32" spans="1:1">
      <c r="A32" t="s">
        <v>842</v>
      </c>
    </row>
    <row r="33" spans="1:3">
      <c r="A33" t="s">
        <v>843</v>
      </c>
    </row>
    <row r="34" spans="1:3">
      <c r="A34" t="s">
        <v>844</v>
      </c>
    </row>
    <row r="35" spans="1:3">
      <c r="A35" t="s">
        <v>845</v>
      </c>
    </row>
    <row r="36" spans="1:3">
      <c r="A36" t="s">
        <v>846</v>
      </c>
    </row>
    <row r="38" spans="1:3">
      <c r="A38" t="s">
        <v>847</v>
      </c>
    </row>
    <row r="39" spans="1:3">
      <c r="A39" t="s">
        <v>848</v>
      </c>
    </row>
    <row r="40" spans="1:3">
      <c r="A40" t="s">
        <v>849</v>
      </c>
    </row>
    <row r="41" spans="1:3">
      <c r="A41" t="s">
        <v>850</v>
      </c>
    </row>
    <row r="44" spans="1:3">
      <c r="C44" t="s">
        <v>851</v>
      </c>
    </row>
  </sheetData>
  <phoneticPr fontId="3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33"/>
  <sheetViews>
    <sheetView workbookViewId="0">
      <selection activeCell="H16" sqref="H16"/>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852</v>
      </c>
    </row>
    <row r="2" spans="1:13" ht="15" customHeight="1">
      <c r="A2" s="2" t="s">
        <v>853</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15" customHeight="1">
      <c r="A5" s="67">
        <v>1</v>
      </c>
      <c r="B5" s="68" t="s">
        <v>26</v>
      </c>
      <c r="C5" s="67" t="s">
        <v>27</v>
      </c>
      <c r="D5" s="75" t="s">
        <v>366</v>
      </c>
      <c r="E5" s="67">
        <v>4</v>
      </c>
      <c r="F5" s="59" t="s">
        <v>40</v>
      </c>
      <c r="G5" s="68">
        <v>40</v>
      </c>
      <c r="H5" s="68">
        <v>120</v>
      </c>
      <c r="I5">
        <f t="shared" ref="I5:I14" si="0">IF(E5=0,0,ROUND(E5*(G5+H5)/60,1))</f>
        <v>10.7</v>
      </c>
      <c r="J5" t="s">
        <v>854</v>
      </c>
      <c r="K5" t="s">
        <v>32</v>
      </c>
    </row>
    <row r="6" spans="1:13" ht="15" customHeight="1">
      <c r="A6" s="7">
        <v>2</v>
      </c>
      <c r="B6" s="53" t="s">
        <v>308</v>
      </c>
      <c r="C6" s="7" t="s">
        <v>18</v>
      </c>
      <c r="D6" s="8" t="s">
        <v>248</v>
      </c>
      <c r="E6" s="7">
        <v>4</v>
      </c>
      <c r="F6" s="8" t="s">
        <v>19</v>
      </c>
      <c r="G6" s="53">
        <v>40</v>
      </c>
      <c r="H6" s="53">
        <v>60</v>
      </c>
      <c r="I6">
        <f t="shared" si="0"/>
        <v>6.7</v>
      </c>
      <c r="J6" t="s">
        <v>855</v>
      </c>
      <c r="K6" t="s">
        <v>856</v>
      </c>
    </row>
    <row r="7" spans="1:13" ht="15" customHeight="1">
      <c r="A7" s="7">
        <v>3</v>
      </c>
      <c r="B7" s="53" t="s">
        <v>857</v>
      </c>
      <c r="C7" s="7" t="s">
        <v>18</v>
      </c>
      <c r="D7" s="8" t="s">
        <v>858</v>
      </c>
      <c r="E7" s="7">
        <v>4</v>
      </c>
      <c r="F7" s="8" t="s">
        <v>19</v>
      </c>
      <c r="G7" s="53">
        <v>60</v>
      </c>
      <c r="H7" s="53">
        <v>60</v>
      </c>
      <c r="I7">
        <f t="shared" si="0"/>
        <v>8</v>
      </c>
      <c r="J7" t="s">
        <v>859</v>
      </c>
      <c r="K7" t="s">
        <v>860</v>
      </c>
    </row>
    <row r="8" spans="1:13" ht="15" customHeight="1">
      <c r="A8" s="7">
        <v>4</v>
      </c>
      <c r="B8" s="53" t="s">
        <v>424</v>
      </c>
      <c r="C8" s="7" t="s">
        <v>23</v>
      </c>
      <c r="D8" s="8" t="s">
        <v>248</v>
      </c>
      <c r="E8" s="7">
        <v>4</v>
      </c>
      <c r="F8" s="8" t="s">
        <v>19</v>
      </c>
      <c r="G8" s="53">
        <v>40</v>
      </c>
      <c r="H8" s="53">
        <v>60</v>
      </c>
      <c r="I8">
        <f t="shared" si="0"/>
        <v>6.7</v>
      </c>
      <c r="J8" t="s">
        <v>861</v>
      </c>
      <c r="K8" t="s">
        <v>862</v>
      </c>
    </row>
    <row r="9" spans="1:13" ht="15" customHeight="1">
      <c r="A9" s="7">
        <v>5</v>
      </c>
      <c r="B9" s="53" t="s">
        <v>353</v>
      </c>
      <c r="C9" s="7" t="s">
        <v>23</v>
      </c>
      <c r="D9" s="8" t="s">
        <v>858</v>
      </c>
      <c r="E9" s="7">
        <v>3</v>
      </c>
      <c r="F9" s="8" t="s">
        <v>19</v>
      </c>
      <c r="G9" s="53">
        <v>40</v>
      </c>
      <c r="H9" s="53">
        <v>60</v>
      </c>
      <c r="I9">
        <f t="shared" si="0"/>
        <v>5</v>
      </c>
      <c r="J9" t="s">
        <v>863</v>
      </c>
      <c r="K9" t="s">
        <v>864</v>
      </c>
    </row>
    <row r="10" spans="1:13" ht="15" customHeight="1">
      <c r="A10" s="7">
        <v>6</v>
      </c>
      <c r="B10" s="53" t="s">
        <v>43</v>
      </c>
      <c r="C10" s="7" t="s">
        <v>44</v>
      </c>
      <c r="D10" s="8" t="s">
        <v>305</v>
      </c>
      <c r="E10" s="7">
        <v>3</v>
      </c>
      <c r="F10" s="8" t="s">
        <v>40</v>
      </c>
      <c r="G10" s="53">
        <v>40</v>
      </c>
      <c r="H10" s="53">
        <v>75</v>
      </c>
      <c r="I10">
        <f t="shared" si="0"/>
        <v>5.8</v>
      </c>
      <c r="J10" t="s">
        <v>865</v>
      </c>
      <c r="K10" t="s">
        <v>866</v>
      </c>
    </row>
    <row r="11" spans="1:13" ht="15" customHeight="1">
      <c r="A11">
        <v>7</v>
      </c>
      <c r="B11" t="s">
        <v>449</v>
      </c>
      <c r="C11" t="s">
        <v>322</v>
      </c>
      <c r="D11" s="76" t="s">
        <v>867</v>
      </c>
      <c r="E11" s="28">
        <v>3</v>
      </c>
      <c r="F11" t="s">
        <v>305</v>
      </c>
      <c r="G11">
        <v>40</v>
      </c>
      <c r="H11">
        <v>120</v>
      </c>
      <c r="I11">
        <f t="shared" si="0"/>
        <v>8</v>
      </c>
      <c r="J11" t="s">
        <v>868</v>
      </c>
      <c r="K11" t="s">
        <v>869</v>
      </c>
    </row>
    <row r="12" spans="1:13">
      <c r="A12">
        <v>8</v>
      </c>
      <c r="B12" t="s">
        <v>59</v>
      </c>
      <c r="C12" t="s">
        <v>60</v>
      </c>
      <c r="D12" t="s">
        <v>49</v>
      </c>
      <c r="E12">
        <v>3</v>
      </c>
      <c r="F12" t="s">
        <v>61</v>
      </c>
      <c r="G12">
        <v>60</v>
      </c>
      <c r="H12">
        <v>75</v>
      </c>
      <c r="I12">
        <f t="shared" si="0"/>
        <v>6.8</v>
      </c>
      <c r="J12" t="s">
        <v>870</v>
      </c>
      <c r="K12" t="s">
        <v>871</v>
      </c>
    </row>
    <row r="13" spans="1:13" ht="18.75" customHeight="1">
      <c r="A13" s="12">
        <v>9</v>
      </c>
      <c r="B13" t="s">
        <v>330</v>
      </c>
      <c r="C13" t="s">
        <v>331</v>
      </c>
      <c r="D13" t="s">
        <v>150</v>
      </c>
      <c r="E13">
        <v>4</v>
      </c>
      <c r="F13" t="s">
        <v>305</v>
      </c>
      <c r="G13">
        <v>40</v>
      </c>
      <c r="H13">
        <v>120</v>
      </c>
      <c r="I13">
        <f t="shared" si="0"/>
        <v>10.7</v>
      </c>
      <c r="J13" t="s">
        <v>872</v>
      </c>
      <c r="K13" t="s">
        <v>873</v>
      </c>
    </row>
    <row r="14" spans="1:13" ht="18" customHeight="1">
      <c r="A14" s="11">
        <v>10</v>
      </c>
      <c r="B14" t="s">
        <v>405</v>
      </c>
      <c r="C14" s="87" t="s">
        <v>261</v>
      </c>
      <c r="D14">
        <v>2.5</v>
      </c>
      <c r="E14">
        <v>3</v>
      </c>
      <c r="F14" t="s">
        <v>29</v>
      </c>
      <c r="G14">
        <v>40</v>
      </c>
      <c r="H14">
        <v>60</v>
      </c>
      <c r="I14">
        <f t="shared" si="0"/>
        <v>5</v>
      </c>
      <c r="J14" t="s">
        <v>874</v>
      </c>
      <c r="K14" t="s">
        <v>875</v>
      </c>
    </row>
    <row r="15" spans="1:13" ht="25.5" customHeight="1">
      <c r="A15" s="11"/>
      <c r="D15" t="s">
        <v>63</v>
      </c>
      <c r="E15">
        <f>SUM(E5:E14)</f>
        <v>35</v>
      </c>
      <c r="I15">
        <f>ROUND(SUM(I5:I14),0)</f>
        <v>73</v>
      </c>
    </row>
    <row r="16" spans="1:13" ht="237.75" customHeight="1">
      <c r="A16" s="11" t="s">
        <v>785</v>
      </c>
    </row>
    <row r="17" spans="1:1">
      <c r="A17" t="s">
        <v>876</v>
      </c>
    </row>
    <row r="18" spans="1:1">
      <c r="A18" t="s">
        <v>877</v>
      </c>
    </row>
    <row r="19" spans="1:1">
      <c r="A19" t="s">
        <v>878</v>
      </c>
    </row>
    <row r="20" spans="1:1">
      <c r="A20" t="s">
        <v>879</v>
      </c>
    </row>
    <row r="22" spans="1:1">
      <c r="A22" t="s">
        <v>880</v>
      </c>
    </row>
    <row r="23" spans="1:1">
      <c r="A23" t="s">
        <v>881</v>
      </c>
    </row>
    <row r="24" spans="1:1">
      <c r="A24" t="s">
        <v>882</v>
      </c>
    </row>
    <row r="25" spans="1:1">
      <c r="A25" t="s">
        <v>883</v>
      </c>
    </row>
    <row r="27" spans="1:1">
      <c r="A27" t="s">
        <v>884</v>
      </c>
    </row>
    <row r="28" spans="1:1">
      <c r="A28" t="s">
        <v>885</v>
      </c>
    </row>
    <row r="29" spans="1:1">
      <c r="A29" t="s">
        <v>886</v>
      </c>
    </row>
    <row r="30" spans="1:1">
      <c r="A30" t="s">
        <v>887</v>
      </c>
    </row>
    <row r="33" spans="3:3">
      <c r="C33" t="s">
        <v>888</v>
      </c>
    </row>
  </sheetData>
  <phoneticPr fontId="3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7"/>
  <sheetViews>
    <sheetView zoomScaleNormal="100" workbookViewId="0">
      <selection activeCell="J14" sqref="J14"/>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s>
  <sheetData>
    <row r="1" spans="1:13" ht="21" customHeight="1">
      <c r="A1" s="1" t="s">
        <v>889</v>
      </c>
    </row>
    <row r="2" spans="1:13" ht="15" customHeight="1">
      <c r="A2" s="2" t="s">
        <v>890</v>
      </c>
    </row>
    <row r="4" spans="1:13" ht="15" customHeight="1">
      <c r="A4" s="6" t="s">
        <v>3</v>
      </c>
      <c r="B4" s="5" t="s">
        <v>4</v>
      </c>
      <c r="C4" s="5" t="s">
        <v>5</v>
      </c>
      <c r="D4" s="5" t="s">
        <v>6</v>
      </c>
      <c r="E4" s="5" t="s">
        <v>7</v>
      </c>
      <c r="F4" s="5" t="s">
        <v>8</v>
      </c>
      <c r="G4" s="5" t="s">
        <v>9</v>
      </c>
      <c r="H4" s="5" t="s">
        <v>10</v>
      </c>
      <c r="I4" t="s">
        <v>11</v>
      </c>
      <c r="J4" t="s">
        <v>13</v>
      </c>
      <c r="K4" t="s">
        <v>14</v>
      </c>
      <c r="L4" s="5" t="s">
        <v>15</v>
      </c>
      <c r="M4" s="5" t="s">
        <v>16</v>
      </c>
    </row>
    <row r="5" spans="1:13" ht="15" customHeight="1">
      <c r="A5" s="67">
        <v>1</v>
      </c>
      <c r="B5" s="68" t="s">
        <v>103</v>
      </c>
      <c r="C5" s="67" t="s">
        <v>289</v>
      </c>
      <c r="D5" s="75">
        <f>시작중량_설정!$E$9</f>
        <v>31.5</v>
      </c>
      <c r="E5" s="67">
        <v>5</v>
      </c>
      <c r="F5" s="59" t="s">
        <v>290</v>
      </c>
      <c r="G5" s="68">
        <v>30</v>
      </c>
      <c r="H5" s="68">
        <v>180</v>
      </c>
      <c r="I5">
        <f t="shared" ref="I5:I11" si="0">IF(E5=0,0,ROUND(E5*(G5+H5)/60,1))</f>
        <v>17.5</v>
      </c>
      <c r="J5" t="s">
        <v>891</v>
      </c>
      <c r="K5" t="s">
        <v>892</v>
      </c>
      <c r="L5" s="68" t="s">
        <v>294</v>
      </c>
    </row>
    <row r="6" spans="1:13" ht="15" customHeight="1">
      <c r="A6" s="7">
        <v>2</v>
      </c>
      <c r="B6" s="53" t="s">
        <v>421</v>
      </c>
      <c r="C6" s="7" t="s">
        <v>300</v>
      </c>
      <c r="D6" s="8" t="s">
        <v>803</v>
      </c>
      <c r="E6" s="7">
        <v>5</v>
      </c>
      <c r="F6" s="8" t="s">
        <v>248</v>
      </c>
      <c r="G6" s="53">
        <v>40</v>
      </c>
      <c r="H6" s="53">
        <v>150</v>
      </c>
      <c r="I6">
        <f t="shared" si="0"/>
        <v>15.8</v>
      </c>
      <c r="J6" t="s">
        <v>893</v>
      </c>
      <c r="K6" t="s">
        <v>894</v>
      </c>
    </row>
    <row r="7" spans="1:13" ht="15" customHeight="1">
      <c r="A7" s="7">
        <v>3</v>
      </c>
      <c r="B7" s="53" t="s">
        <v>895</v>
      </c>
      <c r="C7" s="7" t="s">
        <v>300</v>
      </c>
      <c r="D7" s="8" t="s">
        <v>248</v>
      </c>
      <c r="E7" s="7">
        <v>4</v>
      </c>
      <c r="F7" s="8" t="s">
        <v>305</v>
      </c>
      <c r="G7" s="53">
        <v>40</v>
      </c>
      <c r="H7" s="53">
        <v>105</v>
      </c>
      <c r="I7">
        <f t="shared" si="0"/>
        <v>9.6999999999999993</v>
      </c>
      <c r="J7" t="s">
        <v>896</v>
      </c>
      <c r="K7" t="s">
        <v>897</v>
      </c>
    </row>
    <row r="8" spans="1:13" ht="15" customHeight="1">
      <c r="A8" s="7">
        <v>4</v>
      </c>
      <c r="B8" s="89" t="s">
        <v>384</v>
      </c>
      <c r="C8" s="7" t="s">
        <v>246</v>
      </c>
      <c r="D8" s="8" t="s">
        <v>150</v>
      </c>
      <c r="E8" s="7">
        <v>4</v>
      </c>
      <c r="F8" s="8" t="s">
        <v>248</v>
      </c>
      <c r="G8" s="53">
        <v>40</v>
      </c>
      <c r="H8" s="53">
        <v>150</v>
      </c>
      <c r="I8">
        <f t="shared" si="0"/>
        <v>12.7</v>
      </c>
      <c r="J8" t="s">
        <v>898</v>
      </c>
      <c r="K8" t="s">
        <v>899</v>
      </c>
    </row>
    <row r="9" spans="1:13" ht="15" customHeight="1">
      <c r="A9" s="7">
        <v>5</v>
      </c>
      <c r="B9" s="89" t="s">
        <v>900</v>
      </c>
      <c r="C9" s="7" t="s">
        <v>238</v>
      </c>
      <c r="D9" s="8" t="s">
        <v>150</v>
      </c>
      <c r="E9" s="7">
        <v>4</v>
      </c>
      <c r="F9" s="8" t="s">
        <v>40</v>
      </c>
      <c r="G9" s="53">
        <v>40</v>
      </c>
      <c r="H9" s="53">
        <v>120</v>
      </c>
      <c r="I9">
        <f t="shared" si="0"/>
        <v>10.7</v>
      </c>
      <c r="J9" t="s">
        <v>901</v>
      </c>
      <c r="K9" t="s">
        <v>902</v>
      </c>
    </row>
    <row r="10" spans="1:13" ht="15" customHeight="1">
      <c r="A10" s="7">
        <v>6</v>
      </c>
      <c r="B10" s="53" t="s">
        <v>38</v>
      </c>
      <c r="C10" s="7" t="s">
        <v>39</v>
      </c>
      <c r="D10" s="8" t="s">
        <v>257</v>
      </c>
      <c r="E10" s="7">
        <v>3</v>
      </c>
      <c r="F10" s="8" t="s">
        <v>40</v>
      </c>
      <c r="G10" s="53">
        <v>40</v>
      </c>
      <c r="H10" s="53">
        <v>75</v>
      </c>
      <c r="I10">
        <f t="shared" si="0"/>
        <v>5.8</v>
      </c>
      <c r="J10" t="s">
        <v>903</v>
      </c>
      <c r="K10" t="s">
        <v>904</v>
      </c>
    </row>
    <row r="11" spans="1:13" ht="15" customHeight="1">
      <c r="A11">
        <v>7</v>
      </c>
      <c r="B11" t="s">
        <v>364</v>
      </c>
      <c r="C11" t="s">
        <v>39</v>
      </c>
      <c r="D11" s="76" t="s">
        <v>402</v>
      </c>
      <c r="E11" s="28">
        <v>3</v>
      </c>
      <c r="F11" t="s">
        <v>52</v>
      </c>
      <c r="G11">
        <v>40</v>
      </c>
      <c r="H11">
        <v>70</v>
      </c>
      <c r="I11">
        <f t="shared" si="0"/>
        <v>5.5</v>
      </c>
      <c r="J11" t="s">
        <v>905</v>
      </c>
      <c r="K11" t="s">
        <v>906</v>
      </c>
    </row>
    <row r="12" spans="1:13">
      <c r="D12" t="s">
        <v>63</v>
      </c>
      <c r="E12">
        <f>SUM(E5:E11)</f>
        <v>28</v>
      </c>
      <c r="I12">
        <f>ROUND(SUM(I5:I11),0)</f>
        <v>78</v>
      </c>
    </row>
    <row r="13" spans="1:13" ht="32.25" customHeight="1">
      <c r="A13" s="12"/>
    </row>
    <row r="14" spans="1:13" ht="278.25" customHeight="1">
      <c r="A14" s="11"/>
      <c r="C14" s="87"/>
      <c r="F14" s="87"/>
    </row>
    <row r="15" spans="1:13" ht="237.75" customHeight="1">
      <c r="A15" s="11"/>
    </row>
    <row r="16" spans="1:13" ht="237.75" customHeight="1">
      <c r="A16" s="11"/>
    </row>
    <row r="21" spans="1:3">
      <c r="A21" t="s">
        <v>907</v>
      </c>
    </row>
    <row r="22" spans="1:3">
      <c r="A22" t="s">
        <v>908</v>
      </c>
    </row>
    <row r="23" spans="1:3">
      <c r="A23" t="s">
        <v>909</v>
      </c>
    </row>
    <row r="24" spans="1:3">
      <c r="A24" t="s">
        <v>910</v>
      </c>
    </row>
    <row r="27" spans="1:3">
      <c r="C27" t="s">
        <v>911</v>
      </c>
    </row>
  </sheetData>
  <phoneticPr fontId="3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2"/>
  <sheetViews>
    <sheetView zoomScaleNormal="100" workbookViewId="0"/>
  </sheetViews>
  <sheetFormatPr defaultColWidth="8.7109375" defaultRowHeight="15"/>
  <cols>
    <col min="1" max="1" width="18" customWidth="1"/>
    <col min="2" max="3" width="22" customWidth="1"/>
    <col min="4" max="4" width="62" customWidth="1"/>
  </cols>
  <sheetData>
    <row r="1" spans="1:4" ht="17.25" customHeight="1">
      <c r="A1" s="1" t="s">
        <v>912</v>
      </c>
    </row>
    <row r="2" spans="1:4" ht="15" customHeight="1">
      <c r="A2" s="2" t="s">
        <v>913</v>
      </c>
    </row>
    <row r="4" spans="1:4" ht="15" customHeight="1">
      <c r="A4" s="5" t="s">
        <v>914</v>
      </c>
      <c r="B4" s="5" t="s">
        <v>915</v>
      </c>
      <c r="C4" s="5" t="s">
        <v>916</v>
      </c>
      <c r="D4" s="5" t="s">
        <v>666</v>
      </c>
    </row>
    <row r="5" spans="1:4" ht="15" customHeight="1">
      <c r="A5" s="7" t="s">
        <v>917</v>
      </c>
      <c r="B5" s="7" t="s">
        <v>918</v>
      </c>
      <c r="C5" s="7" t="s">
        <v>919</v>
      </c>
      <c r="D5" s="69" t="s">
        <v>920</v>
      </c>
    </row>
    <row r="6" spans="1:4" ht="15" customHeight="1">
      <c r="A6" s="7" t="s">
        <v>678</v>
      </c>
      <c r="B6" s="8" t="s">
        <v>921</v>
      </c>
      <c r="C6" s="7" t="s">
        <v>922</v>
      </c>
      <c r="D6" s="53" t="s">
        <v>923</v>
      </c>
    </row>
    <row r="7" spans="1:4" ht="15" customHeight="1">
      <c r="A7" s="7" t="s">
        <v>924</v>
      </c>
      <c r="B7" s="7" t="s">
        <v>925</v>
      </c>
      <c r="C7" s="7" t="s">
        <v>926</v>
      </c>
      <c r="D7" s="53" t="s">
        <v>927</v>
      </c>
    </row>
    <row r="8" spans="1:4" ht="15" customHeight="1">
      <c r="A8" s="7" t="s">
        <v>928</v>
      </c>
      <c r="B8" s="7" t="s">
        <v>929</v>
      </c>
      <c r="C8" s="7" t="s">
        <v>930</v>
      </c>
      <c r="D8" s="53" t="s">
        <v>931</v>
      </c>
    </row>
    <row r="9" spans="1:4" ht="15" customHeight="1">
      <c r="A9" s="7" t="s">
        <v>932</v>
      </c>
      <c r="B9" s="8" t="s">
        <v>933</v>
      </c>
      <c r="C9" s="8" t="s">
        <v>934</v>
      </c>
      <c r="D9" s="53" t="s">
        <v>935</v>
      </c>
    </row>
    <row r="10" spans="1:4" ht="15" customHeight="1">
      <c r="A10" s="7" t="s">
        <v>936</v>
      </c>
      <c r="B10" s="8" t="s">
        <v>937</v>
      </c>
      <c r="C10" s="8" t="s">
        <v>938</v>
      </c>
      <c r="D10" s="53" t="s">
        <v>939</v>
      </c>
    </row>
    <row r="11" spans="1:4" ht="15" customHeight="1">
      <c r="A11" s="7" t="s">
        <v>940</v>
      </c>
      <c r="B11" s="8" t="s">
        <v>150</v>
      </c>
      <c r="C11" s="8" t="s">
        <v>941</v>
      </c>
      <c r="D11" s="53" t="s">
        <v>942</v>
      </c>
    </row>
    <row r="12" spans="1:4" ht="15" customHeight="1">
      <c r="A12" s="7" t="s">
        <v>943</v>
      </c>
      <c r="B12" s="8" t="s">
        <v>944</v>
      </c>
      <c r="C12" s="8" t="s">
        <v>945</v>
      </c>
      <c r="D12" s="53" t="s">
        <v>946</v>
      </c>
    </row>
    <row r="13" spans="1:4" ht="15" customHeight="1">
      <c r="A13" s="79" t="s">
        <v>947</v>
      </c>
      <c r="B13" s="80" t="s">
        <v>948</v>
      </c>
      <c r="C13" s="80" t="s">
        <v>949</v>
      </c>
      <c r="D13" s="79" t="s">
        <v>950</v>
      </c>
    </row>
    <row r="14" spans="1:4">
      <c r="A14" t="s">
        <v>951</v>
      </c>
      <c r="B14" t="s">
        <v>952</v>
      </c>
      <c r="C14" t="s">
        <v>953</v>
      </c>
      <c r="D14" t="s">
        <v>954</v>
      </c>
    </row>
    <row r="15" spans="1:4" ht="15" customHeight="1">
      <c r="A15" s="3"/>
    </row>
    <row r="16" spans="1:4" ht="39" customHeight="1">
      <c r="A16" s="11"/>
    </row>
    <row r="17" spans="1:1" ht="51.75" customHeight="1">
      <c r="A17" s="11" t="s">
        <v>955</v>
      </c>
    </row>
    <row r="18" spans="1:1" ht="39" customHeight="1">
      <c r="A18" s="11" t="s">
        <v>956</v>
      </c>
    </row>
    <row r="19" spans="1:1" ht="39" customHeight="1">
      <c r="A19" s="11" t="s">
        <v>957</v>
      </c>
    </row>
    <row r="20" spans="1:1" ht="15" customHeight="1">
      <c r="A20" s="63" t="s">
        <v>958</v>
      </c>
    </row>
    <row r="21" spans="1:1" ht="51.75" customHeight="1">
      <c r="A21" s="11"/>
    </row>
    <row r="22" spans="1:1" ht="39" customHeight="1">
      <c r="A22" s="11" t="s">
        <v>959</v>
      </c>
    </row>
    <row r="23" spans="1:1" ht="15" customHeight="1">
      <c r="A23" s="63" t="s">
        <v>960</v>
      </c>
    </row>
    <row r="24" spans="1:1" ht="51.75" customHeight="1">
      <c r="A24" s="11" t="s">
        <v>961</v>
      </c>
    </row>
    <row r="25" spans="1:1" ht="39" customHeight="1">
      <c r="A25" s="11" t="s">
        <v>962</v>
      </c>
    </row>
    <row r="26" spans="1:1">
      <c r="A26" t="s">
        <v>887</v>
      </c>
    </row>
    <row r="28" spans="1:1">
      <c r="A28" t="s">
        <v>963</v>
      </c>
    </row>
    <row r="29" spans="1:1">
      <c r="A29" t="s">
        <v>964</v>
      </c>
    </row>
    <row r="30" spans="1:1">
      <c r="A30" t="s">
        <v>965</v>
      </c>
    </row>
    <row r="31" spans="1:1">
      <c r="A31" t="s">
        <v>966</v>
      </c>
    </row>
    <row r="33" spans="1:1">
      <c r="A33" t="s">
        <v>967</v>
      </c>
    </row>
    <row r="34" spans="1:1">
      <c r="A34" t="s">
        <v>968</v>
      </c>
    </row>
    <row r="35" spans="1:1">
      <c r="A35" t="s">
        <v>969</v>
      </c>
    </row>
    <row r="36" spans="1:1">
      <c r="A36" t="s">
        <v>970</v>
      </c>
    </row>
    <row r="37" spans="1:1">
      <c r="A37" t="s">
        <v>971</v>
      </c>
    </row>
    <row r="39" spans="1:1">
      <c r="A39" t="s">
        <v>972</v>
      </c>
    </row>
    <row r="40" spans="1:1">
      <c r="A40" t="s">
        <v>973</v>
      </c>
    </row>
    <row r="41" spans="1:1">
      <c r="A41" t="s">
        <v>974</v>
      </c>
    </row>
    <row r="42" spans="1:1">
      <c r="A42" t="s">
        <v>975</v>
      </c>
    </row>
    <row r="43" spans="1:1">
      <c r="A43" t="s">
        <v>976</v>
      </c>
    </row>
    <row r="44" spans="1:1">
      <c r="A44" t="s">
        <v>977</v>
      </c>
    </row>
    <row r="45" spans="1:1">
      <c r="A45" t="s">
        <v>978</v>
      </c>
    </row>
    <row r="47" spans="1:1">
      <c r="A47" t="s">
        <v>979</v>
      </c>
    </row>
    <row r="48" spans="1:1">
      <c r="A48" t="s">
        <v>980</v>
      </c>
    </row>
    <row r="49" spans="1:1">
      <c r="A49" t="s">
        <v>981</v>
      </c>
    </row>
    <row r="50" spans="1:1">
      <c r="A50" t="s">
        <v>982</v>
      </c>
    </row>
    <row r="51" spans="1:1">
      <c r="A51" t="s">
        <v>983</v>
      </c>
    </row>
    <row r="52" spans="1:1">
      <c r="A52" t="s">
        <v>984</v>
      </c>
    </row>
  </sheetData>
  <phoneticPr fontId="3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51"/>
  <sheetViews>
    <sheetView workbookViewId="0"/>
  </sheetViews>
  <sheetFormatPr defaultRowHeight="15"/>
  <cols>
    <col min="1" max="1" width="14" customWidth="1"/>
    <col min="2" max="2" width="32" customWidth="1"/>
    <col min="3" max="3" width="20" customWidth="1"/>
    <col min="4" max="4" width="7" customWidth="1"/>
    <col min="5" max="6" width="10" customWidth="1"/>
    <col min="7" max="7" width="7" customWidth="1"/>
    <col min="8" max="8" width="60" customWidth="1"/>
  </cols>
  <sheetData>
    <row r="1" spans="1:8">
      <c r="A1" t="s">
        <v>985</v>
      </c>
    </row>
    <row r="2" spans="1:8">
      <c r="A2" t="s">
        <v>986</v>
      </c>
    </row>
    <row r="3" spans="1:8">
      <c r="A3" t="s">
        <v>463</v>
      </c>
      <c r="F3">
        <f ca="1">COUNTIF($E$7:$E$51,"?")</f>
        <v>0</v>
      </c>
    </row>
    <row r="4" spans="1:8">
      <c r="A4" t="s">
        <v>987</v>
      </c>
    </row>
    <row r="6" spans="1:8">
      <c r="A6" t="s">
        <v>988</v>
      </c>
      <c r="B6" t="s">
        <v>466</v>
      </c>
      <c r="C6" t="s">
        <v>467</v>
      </c>
      <c r="D6" t="s">
        <v>468</v>
      </c>
      <c r="E6" t="s">
        <v>469</v>
      </c>
      <c r="F6" t="s">
        <v>470</v>
      </c>
      <c r="G6" t="s">
        <v>471</v>
      </c>
      <c r="H6" t="s">
        <v>472</v>
      </c>
    </row>
    <row r="7" spans="1:8">
      <c r="A7" t="s">
        <v>989</v>
      </c>
      <c r="B7" t="s">
        <v>384</v>
      </c>
      <c r="C7" t="s">
        <v>44</v>
      </c>
      <c r="D7">
        <v>0.2</v>
      </c>
      <c r="E7">
        <f t="shared" ref="E7:E13" ca="1" si="0">IFERROR(INDEX(INDIRECT("'"&amp;$A7&amp;"'!$E$1:$E$45"),MATCH($B7,INDIRECT("'"&amp;$A7&amp;"'!$B$1:$B$45"),0)),"?")</f>
        <v>4</v>
      </c>
      <c r="F7">
        <f t="shared" ref="F7:F13" ca="1" si="1">IF(ISNUMBER(E7),$D7*E7,0)</f>
        <v>0.8</v>
      </c>
      <c r="G7" t="s">
        <v>486</v>
      </c>
      <c r="H7" t="s">
        <v>990</v>
      </c>
    </row>
    <row r="8" spans="1:8">
      <c r="A8" t="s">
        <v>989</v>
      </c>
      <c r="B8" t="s">
        <v>900</v>
      </c>
      <c r="C8" t="s">
        <v>44</v>
      </c>
      <c r="D8">
        <v>0.5</v>
      </c>
      <c r="E8">
        <f t="shared" ca="1" si="0"/>
        <v>4</v>
      </c>
      <c r="F8">
        <f t="shared" ca="1" si="1"/>
        <v>2</v>
      </c>
      <c r="G8" t="s">
        <v>486</v>
      </c>
      <c r="H8" t="s">
        <v>991</v>
      </c>
    </row>
    <row r="9" spans="1:8">
      <c r="A9" t="s">
        <v>992</v>
      </c>
      <c r="B9" t="s">
        <v>802</v>
      </c>
      <c r="C9" t="s">
        <v>44</v>
      </c>
      <c r="D9">
        <v>0.2</v>
      </c>
      <c r="E9">
        <f t="shared" ca="1" si="0"/>
        <v>4</v>
      </c>
      <c r="F9">
        <f t="shared" ca="1" si="1"/>
        <v>0.8</v>
      </c>
      <c r="G9" t="s">
        <v>486</v>
      </c>
      <c r="H9" t="s">
        <v>993</v>
      </c>
    </row>
    <row r="10" spans="1:8">
      <c r="A10" t="s">
        <v>992</v>
      </c>
      <c r="B10" t="s">
        <v>807</v>
      </c>
      <c r="C10" t="s">
        <v>44</v>
      </c>
      <c r="D10">
        <v>0.33</v>
      </c>
      <c r="E10">
        <f t="shared" ca="1" si="0"/>
        <v>4</v>
      </c>
      <c r="F10">
        <f t="shared" ca="1" si="1"/>
        <v>1.32</v>
      </c>
      <c r="G10" t="s">
        <v>486</v>
      </c>
      <c r="H10" t="s">
        <v>994</v>
      </c>
    </row>
    <row r="11" spans="1:8">
      <c r="A11" t="s">
        <v>992</v>
      </c>
      <c r="B11" t="s">
        <v>237</v>
      </c>
      <c r="C11" t="s">
        <v>44</v>
      </c>
      <c r="D11">
        <v>0.5</v>
      </c>
      <c r="E11">
        <f t="shared" ca="1" si="0"/>
        <v>3</v>
      </c>
      <c r="F11">
        <f t="shared" ca="1" si="1"/>
        <v>1.5</v>
      </c>
      <c r="G11" t="s">
        <v>486</v>
      </c>
      <c r="H11" t="s">
        <v>995</v>
      </c>
    </row>
    <row r="12" spans="1:8">
      <c r="A12" t="s">
        <v>989</v>
      </c>
      <c r="B12" t="s">
        <v>103</v>
      </c>
      <c r="C12" t="s">
        <v>39</v>
      </c>
      <c r="D12">
        <v>0.5</v>
      </c>
      <c r="E12">
        <f t="shared" ca="1" si="0"/>
        <v>5</v>
      </c>
      <c r="F12">
        <f t="shared" ca="1" si="1"/>
        <v>2.5</v>
      </c>
      <c r="G12" t="s">
        <v>486</v>
      </c>
      <c r="H12" t="s">
        <v>996</v>
      </c>
    </row>
    <row r="13" spans="1:8">
      <c r="A13" t="s">
        <v>989</v>
      </c>
      <c r="B13" t="s">
        <v>421</v>
      </c>
      <c r="C13" t="s">
        <v>39</v>
      </c>
      <c r="D13">
        <v>0.5</v>
      </c>
      <c r="E13">
        <f t="shared" ca="1" si="0"/>
        <v>5</v>
      </c>
      <c r="F13">
        <f t="shared" ca="1" si="1"/>
        <v>2.5</v>
      </c>
      <c r="G13" t="s">
        <v>486</v>
      </c>
      <c r="H13" t="s">
        <v>997</v>
      </c>
    </row>
    <row r="15" spans="1:8">
      <c r="A15" t="s">
        <v>998</v>
      </c>
      <c r="B15" t="s">
        <v>26</v>
      </c>
      <c r="C15" t="s">
        <v>39</v>
      </c>
      <c r="D15">
        <v>0.5</v>
      </c>
      <c r="E15">
        <f t="shared" ref="E15:E51" ca="1" si="2">IFERROR(INDEX(INDIRECT("'"&amp;$A15&amp;"'!$E$1:$E$45"),MATCH($B15,INDIRECT("'"&amp;$A15&amp;"'!$B$1:$B$45"),0)),"?")</f>
        <v>4</v>
      </c>
      <c r="F15">
        <f t="shared" ref="F15:F51" ca="1" si="3">IF(ISNUMBER(E15),$D15*E15,0)</f>
        <v>2</v>
      </c>
      <c r="G15" t="s">
        <v>486</v>
      </c>
      <c r="H15" t="s">
        <v>997</v>
      </c>
    </row>
    <row r="16" spans="1:8">
      <c r="A16" t="s">
        <v>999</v>
      </c>
      <c r="B16" t="s">
        <v>765</v>
      </c>
      <c r="C16" t="s">
        <v>39</v>
      </c>
      <c r="D16">
        <v>0.5</v>
      </c>
      <c r="E16">
        <f t="shared" ca="1" si="2"/>
        <v>3</v>
      </c>
      <c r="F16">
        <f t="shared" ca="1" si="3"/>
        <v>1.5</v>
      </c>
      <c r="G16" t="s">
        <v>486</v>
      </c>
      <c r="H16" t="s">
        <v>997</v>
      </c>
    </row>
    <row r="17" spans="1:8">
      <c r="A17" t="s">
        <v>992</v>
      </c>
      <c r="B17" t="s">
        <v>295</v>
      </c>
      <c r="C17" t="s">
        <v>39</v>
      </c>
      <c r="D17">
        <v>0.5</v>
      </c>
      <c r="E17">
        <f t="shared" ca="1" si="2"/>
        <v>3</v>
      </c>
      <c r="F17">
        <f t="shared" ca="1" si="3"/>
        <v>1.5</v>
      </c>
      <c r="G17" t="s">
        <v>486</v>
      </c>
      <c r="H17" t="s">
        <v>997</v>
      </c>
    </row>
    <row r="18" spans="1:8">
      <c r="A18" t="s">
        <v>989</v>
      </c>
      <c r="B18" t="s">
        <v>103</v>
      </c>
      <c r="C18" t="s">
        <v>27</v>
      </c>
      <c r="D18">
        <v>0.5</v>
      </c>
      <c r="E18">
        <f t="shared" ca="1" si="2"/>
        <v>5</v>
      </c>
      <c r="F18">
        <f t="shared" ca="1" si="3"/>
        <v>2.5</v>
      </c>
      <c r="G18" t="s">
        <v>486</v>
      </c>
      <c r="H18" t="s">
        <v>1000</v>
      </c>
    </row>
    <row r="19" spans="1:8">
      <c r="A19" t="s">
        <v>989</v>
      </c>
      <c r="B19" t="s">
        <v>421</v>
      </c>
      <c r="C19" t="s">
        <v>27</v>
      </c>
      <c r="D19">
        <v>0.5</v>
      </c>
      <c r="E19">
        <f t="shared" ca="1" si="2"/>
        <v>5</v>
      </c>
      <c r="F19">
        <f t="shared" ca="1" si="3"/>
        <v>2.5</v>
      </c>
      <c r="G19" t="s">
        <v>486</v>
      </c>
      <c r="H19" t="s">
        <v>1001</v>
      </c>
    </row>
    <row r="20" spans="1:8">
      <c r="A20" t="s">
        <v>992</v>
      </c>
      <c r="B20" t="s">
        <v>295</v>
      </c>
      <c r="C20" t="s">
        <v>27</v>
      </c>
      <c r="D20">
        <v>0.2</v>
      </c>
      <c r="E20">
        <f t="shared" ca="1" si="2"/>
        <v>3</v>
      </c>
      <c r="F20">
        <f t="shared" ca="1" si="3"/>
        <v>0.60000000000000009</v>
      </c>
      <c r="G20" t="s">
        <v>486</v>
      </c>
      <c r="H20" t="s">
        <v>1002</v>
      </c>
    </row>
    <row r="21" spans="1:8">
      <c r="A21" t="s">
        <v>999</v>
      </c>
      <c r="B21" t="s">
        <v>765</v>
      </c>
      <c r="C21" t="s">
        <v>18</v>
      </c>
      <c r="D21">
        <v>0.5</v>
      </c>
      <c r="E21">
        <f t="shared" ca="1" si="2"/>
        <v>3</v>
      </c>
      <c r="F21">
        <f t="shared" ca="1" si="3"/>
        <v>1.5</v>
      </c>
      <c r="G21" t="s">
        <v>486</v>
      </c>
      <c r="H21" t="s">
        <v>1003</v>
      </c>
    </row>
    <row r="22" spans="1:8">
      <c r="A22" t="s">
        <v>989</v>
      </c>
      <c r="B22" t="s">
        <v>384</v>
      </c>
      <c r="C22" t="s">
        <v>238</v>
      </c>
      <c r="D22">
        <v>0.5</v>
      </c>
      <c r="E22">
        <f t="shared" ca="1" si="2"/>
        <v>4</v>
      </c>
      <c r="F22">
        <f t="shared" ca="1" si="3"/>
        <v>2</v>
      </c>
      <c r="G22" t="s">
        <v>486</v>
      </c>
      <c r="H22" t="s">
        <v>1004</v>
      </c>
    </row>
    <row r="23" spans="1:8">
      <c r="A23" t="s">
        <v>992</v>
      </c>
      <c r="B23" t="s">
        <v>802</v>
      </c>
      <c r="C23" t="s">
        <v>238</v>
      </c>
      <c r="D23">
        <v>0.5</v>
      </c>
      <c r="E23">
        <f t="shared" ca="1" si="2"/>
        <v>4</v>
      </c>
      <c r="F23">
        <f t="shared" ca="1" si="3"/>
        <v>2</v>
      </c>
      <c r="G23" t="s">
        <v>486</v>
      </c>
      <c r="H23" t="s">
        <v>1004</v>
      </c>
    </row>
    <row r="24" spans="1:8">
      <c r="A24" t="s">
        <v>992</v>
      </c>
      <c r="B24" t="s">
        <v>807</v>
      </c>
      <c r="C24" t="s">
        <v>246</v>
      </c>
      <c r="D24">
        <v>0.5</v>
      </c>
      <c r="E24">
        <f t="shared" ca="1" si="2"/>
        <v>4</v>
      </c>
      <c r="F24">
        <f t="shared" ca="1" si="3"/>
        <v>2</v>
      </c>
      <c r="G24" t="s">
        <v>486</v>
      </c>
      <c r="H24" t="s">
        <v>1005</v>
      </c>
    </row>
    <row r="25" spans="1:8">
      <c r="A25" t="s">
        <v>998</v>
      </c>
      <c r="B25" t="s">
        <v>353</v>
      </c>
      <c r="C25" t="s">
        <v>246</v>
      </c>
      <c r="D25">
        <v>0.5</v>
      </c>
      <c r="E25">
        <f t="shared" ca="1" si="2"/>
        <v>3</v>
      </c>
      <c r="F25">
        <f t="shared" ca="1" si="3"/>
        <v>1.5</v>
      </c>
      <c r="G25" t="s">
        <v>486</v>
      </c>
      <c r="H25" t="s">
        <v>1006</v>
      </c>
    </row>
    <row r="26" spans="1:8">
      <c r="A26" t="s">
        <v>998</v>
      </c>
      <c r="B26" t="s">
        <v>424</v>
      </c>
      <c r="C26" t="s">
        <v>246</v>
      </c>
      <c r="D26">
        <v>0.33</v>
      </c>
      <c r="E26">
        <f t="shared" ca="1" si="2"/>
        <v>4</v>
      </c>
      <c r="F26">
        <f t="shared" ca="1" si="3"/>
        <v>1.32</v>
      </c>
      <c r="G26" t="s">
        <v>486</v>
      </c>
      <c r="H26" t="s">
        <v>1007</v>
      </c>
    </row>
    <row r="27" spans="1:8">
      <c r="A27" t="s">
        <v>999</v>
      </c>
      <c r="B27" t="s">
        <v>779</v>
      </c>
      <c r="C27" t="s">
        <v>246</v>
      </c>
      <c r="D27">
        <v>0.33</v>
      </c>
      <c r="E27">
        <f t="shared" ca="1" si="2"/>
        <v>3</v>
      </c>
      <c r="F27">
        <f t="shared" ca="1" si="3"/>
        <v>0.99</v>
      </c>
      <c r="G27" t="s">
        <v>486</v>
      </c>
      <c r="H27" t="s">
        <v>1007</v>
      </c>
    </row>
    <row r="28" spans="1:8">
      <c r="A28" t="s">
        <v>999</v>
      </c>
      <c r="B28" t="s">
        <v>765</v>
      </c>
      <c r="C28" t="s">
        <v>350</v>
      </c>
      <c r="D28">
        <v>0.2</v>
      </c>
      <c r="E28">
        <f t="shared" ca="1" si="2"/>
        <v>3</v>
      </c>
      <c r="F28">
        <f t="shared" ca="1" si="3"/>
        <v>0.60000000000000009</v>
      </c>
      <c r="G28" t="s">
        <v>486</v>
      </c>
      <c r="H28" t="s">
        <v>1008</v>
      </c>
    </row>
    <row r="29" spans="1:8">
      <c r="A29" t="s">
        <v>992</v>
      </c>
      <c r="B29" t="s">
        <v>802</v>
      </c>
      <c r="C29" t="s">
        <v>350</v>
      </c>
      <c r="D29">
        <v>0.2</v>
      </c>
      <c r="E29">
        <f t="shared" ca="1" si="2"/>
        <v>4</v>
      </c>
      <c r="F29">
        <f t="shared" ca="1" si="3"/>
        <v>0.8</v>
      </c>
      <c r="G29" t="s">
        <v>486</v>
      </c>
      <c r="H29" t="s">
        <v>1009</v>
      </c>
    </row>
    <row r="30" spans="1:8">
      <c r="A30" t="s">
        <v>992</v>
      </c>
      <c r="B30" t="s">
        <v>101</v>
      </c>
      <c r="C30" t="s">
        <v>350</v>
      </c>
      <c r="D30">
        <v>0.2</v>
      </c>
      <c r="E30">
        <f t="shared" ca="1" si="2"/>
        <v>1</v>
      </c>
      <c r="F30">
        <f t="shared" ca="1" si="3"/>
        <v>0.2</v>
      </c>
      <c r="G30" t="s">
        <v>486</v>
      </c>
      <c r="H30" t="s">
        <v>1010</v>
      </c>
    </row>
    <row r="31" spans="1:8">
      <c r="A31" t="s">
        <v>992</v>
      </c>
      <c r="B31" t="s">
        <v>237</v>
      </c>
      <c r="C31" t="s">
        <v>34</v>
      </c>
      <c r="D31">
        <v>0.2</v>
      </c>
      <c r="E31">
        <f t="shared" ca="1" si="2"/>
        <v>3</v>
      </c>
      <c r="F31">
        <f t="shared" ca="1" si="3"/>
        <v>0.60000000000000009</v>
      </c>
      <c r="G31" t="s">
        <v>486</v>
      </c>
      <c r="H31" t="s">
        <v>1011</v>
      </c>
    </row>
    <row r="32" spans="1:8">
      <c r="A32" t="s">
        <v>989</v>
      </c>
      <c r="B32" t="s">
        <v>900</v>
      </c>
      <c r="C32" t="s">
        <v>34</v>
      </c>
      <c r="D32">
        <v>0.2</v>
      </c>
      <c r="E32">
        <f t="shared" ca="1" si="2"/>
        <v>4</v>
      </c>
      <c r="F32">
        <f t="shared" ca="1" si="3"/>
        <v>0.8</v>
      </c>
      <c r="G32" t="s">
        <v>486</v>
      </c>
      <c r="H32" t="s">
        <v>1012</v>
      </c>
    </row>
    <row r="33" spans="1:8">
      <c r="A33" t="s">
        <v>999</v>
      </c>
      <c r="B33" t="s">
        <v>99</v>
      </c>
      <c r="C33" t="s">
        <v>272</v>
      </c>
      <c r="D33">
        <v>0.2</v>
      </c>
      <c r="E33">
        <f t="shared" ca="1" si="2"/>
        <v>5</v>
      </c>
      <c r="F33">
        <f t="shared" ca="1" si="3"/>
        <v>1</v>
      </c>
      <c r="G33" t="s">
        <v>486</v>
      </c>
      <c r="H33" t="s">
        <v>1013</v>
      </c>
    </row>
    <row r="34" spans="1:8">
      <c r="A34" t="s">
        <v>992</v>
      </c>
      <c r="B34" t="s">
        <v>802</v>
      </c>
      <c r="C34" t="s">
        <v>272</v>
      </c>
      <c r="D34">
        <v>0.2</v>
      </c>
      <c r="E34">
        <f t="shared" ca="1" si="2"/>
        <v>4</v>
      </c>
      <c r="F34">
        <f t="shared" ca="1" si="3"/>
        <v>0.8</v>
      </c>
      <c r="G34" t="s">
        <v>486</v>
      </c>
      <c r="H34" t="s">
        <v>1014</v>
      </c>
    </row>
    <row r="35" spans="1:8">
      <c r="A35" t="s">
        <v>992</v>
      </c>
      <c r="B35" t="s">
        <v>401</v>
      </c>
      <c r="C35" t="s">
        <v>272</v>
      </c>
      <c r="D35">
        <v>0.2</v>
      </c>
      <c r="E35">
        <f t="shared" ca="1" si="2"/>
        <v>3</v>
      </c>
      <c r="F35">
        <f t="shared" ca="1" si="3"/>
        <v>0.60000000000000009</v>
      </c>
      <c r="G35" t="s">
        <v>486</v>
      </c>
      <c r="H35" t="s">
        <v>1015</v>
      </c>
    </row>
    <row r="36" spans="1:8">
      <c r="A36" t="s">
        <v>999</v>
      </c>
      <c r="B36" t="s">
        <v>99</v>
      </c>
      <c r="C36" t="s">
        <v>322</v>
      </c>
      <c r="D36">
        <v>0.5</v>
      </c>
      <c r="E36">
        <f t="shared" ca="1" si="2"/>
        <v>5</v>
      </c>
      <c r="F36">
        <f t="shared" ca="1" si="3"/>
        <v>2.5</v>
      </c>
      <c r="G36" t="s">
        <v>486</v>
      </c>
      <c r="H36" t="s">
        <v>508</v>
      </c>
    </row>
    <row r="37" spans="1:8">
      <c r="A37" t="s">
        <v>992</v>
      </c>
      <c r="B37" t="s">
        <v>101</v>
      </c>
      <c r="C37" t="s">
        <v>322</v>
      </c>
      <c r="D37">
        <v>0.5</v>
      </c>
      <c r="E37">
        <f t="shared" ca="1" si="2"/>
        <v>1</v>
      </c>
      <c r="F37">
        <f t="shared" ca="1" si="3"/>
        <v>0.5</v>
      </c>
      <c r="G37" t="s">
        <v>486</v>
      </c>
      <c r="H37" t="s">
        <v>1016</v>
      </c>
    </row>
    <row r="38" spans="1:8">
      <c r="A38" t="s">
        <v>999</v>
      </c>
      <c r="B38" t="s">
        <v>321</v>
      </c>
      <c r="C38" t="s">
        <v>322</v>
      </c>
      <c r="D38">
        <v>0.33</v>
      </c>
      <c r="E38">
        <f t="shared" ca="1" si="2"/>
        <v>4</v>
      </c>
      <c r="F38">
        <f t="shared" ca="1" si="3"/>
        <v>1.32</v>
      </c>
      <c r="G38" t="s">
        <v>486</v>
      </c>
      <c r="H38" t="s">
        <v>509</v>
      </c>
    </row>
    <row r="39" spans="1:8">
      <c r="A39" t="s">
        <v>998</v>
      </c>
      <c r="B39" t="s">
        <v>449</v>
      </c>
      <c r="C39" t="s">
        <v>331</v>
      </c>
      <c r="D39">
        <v>0.5</v>
      </c>
      <c r="E39">
        <f t="shared" ca="1" si="2"/>
        <v>3</v>
      </c>
      <c r="F39">
        <f t="shared" ca="1" si="3"/>
        <v>1.5</v>
      </c>
      <c r="G39" t="s">
        <v>486</v>
      </c>
      <c r="H39" t="s">
        <v>1017</v>
      </c>
    </row>
    <row r="40" spans="1:8">
      <c r="A40" t="s">
        <v>992</v>
      </c>
      <c r="B40" t="s">
        <v>101</v>
      </c>
      <c r="C40" t="s">
        <v>331</v>
      </c>
      <c r="D40">
        <v>0.5</v>
      </c>
      <c r="E40">
        <f t="shared" ca="1" si="2"/>
        <v>1</v>
      </c>
      <c r="F40">
        <f t="shared" ca="1" si="3"/>
        <v>0.5</v>
      </c>
      <c r="G40" t="s">
        <v>486</v>
      </c>
      <c r="H40" t="s">
        <v>1018</v>
      </c>
    </row>
    <row r="41" spans="1:8">
      <c r="A41" t="s">
        <v>999</v>
      </c>
      <c r="B41" t="s">
        <v>99</v>
      </c>
      <c r="C41" t="s">
        <v>335</v>
      </c>
      <c r="D41">
        <v>0.2</v>
      </c>
      <c r="E41">
        <f t="shared" ca="1" si="2"/>
        <v>5</v>
      </c>
      <c r="F41">
        <f t="shared" ca="1" si="3"/>
        <v>1</v>
      </c>
      <c r="G41" t="s">
        <v>486</v>
      </c>
      <c r="H41" t="s">
        <v>1019</v>
      </c>
    </row>
    <row r="42" spans="1:8">
      <c r="A42" t="s">
        <v>999</v>
      </c>
      <c r="B42" t="s">
        <v>321</v>
      </c>
      <c r="C42" t="s">
        <v>335</v>
      </c>
      <c r="D42">
        <v>0.2</v>
      </c>
      <c r="E42">
        <f t="shared" ca="1" si="2"/>
        <v>4</v>
      </c>
      <c r="F42">
        <f t="shared" ca="1" si="3"/>
        <v>0.8</v>
      </c>
      <c r="G42" t="s">
        <v>486</v>
      </c>
      <c r="H42" t="s">
        <v>1019</v>
      </c>
    </row>
    <row r="43" spans="1:8">
      <c r="A43" t="s">
        <v>998</v>
      </c>
      <c r="B43" t="s">
        <v>43</v>
      </c>
      <c r="C43" t="s">
        <v>45</v>
      </c>
      <c r="D43">
        <v>0.33</v>
      </c>
      <c r="E43">
        <f t="shared" ca="1" si="2"/>
        <v>3</v>
      </c>
      <c r="F43">
        <f t="shared" ca="1" si="3"/>
        <v>0.99</v>
      </c>
      <c r="G43" t="s">
        <v>486</v>
      </c>
      <c r="H43" t="s">
        <v>489</v>
      </c>
    </row>
    <row r="44" spans="1:8">
      <c r="A44" t="s">
        <v>992</v>
      </c>
      <c r="B44" t="s">
        <v>395</v>
      </c>
      <c r="C44" t="s">
        <v>45</v>
      </c>
      <c r="D44">
        <v>0.33</v>
      </c>
      <c r="E44">
        <f t="shared" ca="1" si="2"/>
        <v>3</v>
      </c>
      <c r="F44">
        <f t="shared" ca="1" si="3"/>
        <v>0.99</v>
      </c>
      <c r="G44" t="s">
        <v>486</v>
      </c>
      <c r="H44" t="s">
        <v>489</v>
      </c>
    </row>
    <row r="45" spans="1:8">
      <c r="A45" t="s">
        <v>989</v>
      </c>
      <c r="B45" t="s">
        <v>103</v>
      </c>
      <c r="C45" t="s">
        <v>300</v>
      </c>
      <c r="D45">
        <v>0.2</v>
      </c>
      <c r="E45">
        <f t="shared" ca="1" si="2"/>
        <v>5</v>
      </c>
      <c r="F45">
        <f t="shared" ca="1" si="3"/>
        <v>1</v>
      </c>
      <c r="G45" t="s">
        <v>486</v>
      </c>
      <c r="H45" t="s">
        <v>1020</v>
      </c>
    </row>
    <row r="46" spans="1:8">
      <c r="A46" t="s">
        <v>989</v>
      </c>
      <c r="B46" t="s">
        <v>421</v>
      </c>
      <c r="C46" t="s">
        <v>289</v>
      </c>
      <c r="D46">
        <v>0.2</v>
      </c>
      <c r="E46">
        <f t="shared" ca="1" si="2"/>
        <v>5</v>
      </c>
      <c r="F46">
        <f t="shared" ca="1" si="3"/>
        <v>1</v>
      </c>
      <c r="G46" t="s">
        <v>486</v>
      </c>
      <c r="H46" t="s">
        <v>1021</v>
      </c>
    </row>
    <row r="47" spans="1:8">
      <c r="A47" t="s">
        <v>992</v>
      </c>
      <c r="B47" t="s">
        <v>101</v>
      </c>
      <c r="C47" t="s">
        <v>238</v>
      </c>
      <c r="D47">
        <v>0</v>
      </c>
      <c r="E47">
        <f t="shared" ca="1" si="2"/>
        <v>1</v>
      </c>
      <c r="F47">
        <f t="shared" ca="1" si="3"/>
        <v>0</v>
      </c>
      <c r="G47" t="s">
        <v>486</v>
      </c>
      <c r="H47" t="s">
        <v>1022</v>
      </c>
    </row>
    <row r="48" spans="1:8">
      <c r="A48" t="s">
        <v>999</v>
      </c>
      <c r="B48" t="s">
        <v>99</v>
      </c>
      <c r="C48" t="s">
        <v>261</v>
      </c>
      <c r="D48">
        <v>0</v>
      </c>
      <c r="E48">
        <f t="shared" ca="1" si="2"/>
        <v>5</v>
      </c>
      <c r="F48">
        <f t="shared" ca="1" si="3"/>
        <v>0</v>
      </c>
      <c r="G48" t="s">
        <v>486</v>
      </c>
      <c r="H48" t="s">
        <v>1023</v>
      </c>
    </row>
    <row r="49" spans="1:8">
      <c r="A49" t="s">
        <v>999</v>
      </c>
      <c r="B49" t="s">
        <v>55</v>
      </c>
      <c r="C49" t="s">
        <v>56</v>
      </c>
      <c r="D49">
        <v>0</v>
      </c>
      <c r="E49">
        <f t="shared" ca="1" si="2"/>
        <v>3</v>
      </c>
      <c r="F49">
        <f t="shared" ca="1" si="3"/>
        <v>0</v>
      </c>
      <c r="G49" t="s">
        <v>486</v>
      </c>
      <c r="H49" t="s">
        <v>1024</v>
      </c>
    </row>
    <row r="50" spans="1:8">
      <c r="A50" t="s">
        <v>989</v>
      </c>
      <c r="B50" t="s">
        <v>895</v>
      </c>
      <c r="C50" t="s">
        <v>289</v>
      </c>
      <c r="D50">
        <v>0.2</v>
      </c>
      <c r="E50">
        <f t="shared" ca="1" si="2"/>
        <v>4</v>
      </c>
      <c r="F50">
        <f t="shared" ca="1" si="3"/>
        <v>0.8</v>
      </c>
      <c r="G50" t="s">
        <v>486</v>
      </c>
      <c r="H50" t="s">
        <v>1021</v>
      </c>
    </row>
    <row r="51" spans="1:8">
      <c r="A51" t="s">
        <v>989</v>
      </c>
      <c r="B51" t="s">
        <v>895</v>
      </c>
      <c r="C51" t="s">
        <v>27</v>
      </c>
      <c r="D51">
        <v>0.2</v>
      </c>
      <c r="E51">
        <f t="shared" ca="1" si="2"/>
        <v>4</v>
      </c>
      <c r="F51">
        <f t="shared" ca="1" si="3"/>
        <v>0.8</v>
      </c>
      <c r="G51" t="s">
        <v>486</v>
      </c>
      <c r="H51" t="s">
        <v>1025</v>
      </c>
    </row>
  </sheetData>
  <phoneticPr fontId="32"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41"/>
  <sheetViews>
    <sheetView workbookViewId="0">
      <selection activeCell="F43" sqref="F43"/>
    </sheetView>
  </sheetViews>
  <sheetFormatPr defaultRowHeight="15"/>
  <cols>
    <col min="1" max="1" width="22" customWidth="1"/>
    <col min="2" max="3" width="11" customWidth="1"/>
    <col min="4" max="4" width="9" customWidth="1"/>
    <col min="5" max="5" width="12" customWidth="1"/>
    <col min="6" max="6" width="95" customWidth="1"/>
    <col min="7" max="7" width="12" customWidth="1"/>
    <col min="8" max="8" width="24" customWidth="1"/>
    <col min="9" max="9" width="10" customWidth="1"/>
  </cols>
  <sheetData>
    <row r="1" spans="1:9">
      <c r="A1" t="s">
        <v>1026</v>
      </c>
    </row>
    <row r="2" spans="1:9">
      <c r="A2" t="s">
        <v>1027</v>
      </c>
    </row>
    <row r="4" spans="1:9">
      <c r="A4" t="s">
        <v>5</v>
      </c>
      <c r="B4" t="s">
        <v>557</v>
      </c>
      <c r="C4" t="s">
        <v>558</v>
      </c>
      <c r="D4" t="s">
        <v>559</v>
      </c>
      <c r="E4" t="s">
        <v>560</v>
      </c>
      <c r="F4" t="s">
        <v>561</v>
      </c>
      <c r="G4" t="s">
        <v>1028</v>
      </c>
    </row>
    <row r="5" spans="1:9">
      <c r="A5" t="s">
        <v>300</v>
      </c>
      <c r="B5">
        <f>SUMIFS(복귀_평일A_가슴!$E:$E,복귀_평일A_가슴!$C:$C,$A5)+SUMIFS(복귀_평일B_어깨!$E:$E,복귀_평일B_어깨!$C:$C,$A5)+SUMIFS(복귀_토_하체!$E:$E,복귀_토_하체!$C:$C,$A5)+SUMIFS(복귀_일_등!$E:$E,복귀_일_등!$C:$C,$A5)</f>
        <v>9</v>
      </c>
      <c r="C5">
        <f ca="1">MROUND(SUMIFS(복귀_간접계수맵!$F$7:$F$51,복귀_간접계수맵!$C$7:$C$51,$A5),0.5)</f>
        <v>1</v>
      </c>
      <c r="D5">
        <f t="shared" ref="D5:D24" ca="1" si="0">B5+C5</f>
        <v>10</v>
      </c>
      <c r="E5" t="str">
        <f t="shared" ref="E5:E24" ca="1" si="1">IF(D5&gt;20,"과다 점검",IF(D5&gt;=10,"충분",IF(D5&gt;=8,"하한",IF(D5&gt;=1,"보완 필요","미배치"))))</f>
        <v>충분</v>
      </c>
      <c r="F5" t="s">
        <v>1029</v>
      </c>
      <c r="G5" t="s">
        <v>622</v>
      </c>
      <c r="H5" t="s">
        <v>563</v>
      </c>
      <c r="I5">
        <f ca="1">SUM(D5:D6)</f>
        <v>23</v>
      </c>
    </row>
    <row r="6" spans="1:9">
      <c r="A6" t="s">
        <v>289</v>
      </c>
      <c r="B6">
        <f>SUMIFS(복귀_평일A_가슴!$E:$E,복귀_평일A_가슴!$C:$C,$A6)+SUMIFS(복귀_평일B_어깨!$E:$E,복귀_평일B_어깨!$C:$C,$A6)+SUMIFS(복귀_토_하체!$E:$E,복귀_토_하체!$C:$C,$A6)+SUMIFS(복귀_일_등!$E:$E,복귀_일_등!$C:$C,$A6)</f>
        <v>11</v>
      </c>
      <c r="C6">
        <f ca="1">MROUND(SUMIFS(복귀_간접계수맵!$F$7:$F$51,복귀_간접계수맵!$C$7:$C$51,$A6),0.5)</f>
        <v>2</v>
      </c>
      <c r="D6">
        <f t="shared" ca="1" si="0"/>
        <v>13</v>
      </c>
      <c r="E6" t="str">
        <f t="shared" ca="1" si="1"/>
        <v>충분</v>
      </c>
      <c r="F6" t="s">
        <v>1030</v>
      </c>
      <c r="G6" t="s">
        <v>622</v>
      </c>
    </row>
    <row r="7" spans="1:9">
      <c r="A7" t="s">
        <v>238</v>
      </c>
      <c r="B7">
        <f>SUMIFS(복귀_평일A_가슴!$E:$E,복귀_평일A_가슴!$C:$C,$A7)+SUMIFS(복귀_평일B_어깨!$E:$E,복귀_평일B_어깨!$C:$C,$A7)+SUMIFS(복귀_토_하체!$E:$E,복귀_토_하체!$C:$C,$A7)+SUMIFS(복귀_일_등!$E:$E,복귀_일_등!$C:$C,$A7)</f>
        <v>11</v>
      </c>
      <c r="C7">
        <f ca="1">MROUND(SUMIFS(복귀_간접계수맵!$F$7:$F$51,복귀_간접계수맵!$C$7:$C$51,$A7),0.5)</f>
        <v>4</v>
      </c>
      <c r="D7">
        <f t="shared" ca="1" si="0"/>
        <v>15</v>
      </c>
      <c r="E7" t="str">
        <f t="shared" ca="1" si="1"/>
        <v>충분</v>
      </c>
      <c r="F7" t="s">
        <v>1031</v>
      </c>
      <c r="G7" t="s">
        <v>1032</v>
      </c>
      <c r="H7" t="s">
        <v>1033</v>
      </c>
      <c r="I7">
        <f ca="1">SUM(D7:D10)</f>
        <v>38</v>
      </c>
    </row>
    <row r="8" spans="1:9">
      <c r="A8" t="s">
        <v>350</v>
      </c>
      <c r="B8">
        <f>SUMIFS(복귀_평일A_가슴!$E:$E,복귀_평일A_가슴!$C:$C,$A8)+SUMIFS(복귀_평일B_어깨!$E:$E,복귀_평일B_어깨!$C:$C,$A8)+SUMIFS(복귀_토_하체!$E:$E,복귀_토_하체!$C:$C,$A8)+SUMIFS(복귀_일_등!$E:$E,복귀_일_등!$C:$C,$A8)</f>
        <v>0</v>
      </c>
      <c r="C8">
        <f ca="1">MROUND(SUMIFS(복귀_간접계수맵!$F$7:$F$51,복귀_간접계수맵!$C$7:$C$51,$A8),0.5)</f>
        <v>1.5</v>
      </c>
      <c r="D8">
        <f t="shared" ca="1" si="0"/>
        <v>1.5</v>
      </c>
      <c r="E8" t="str">
        <f t="shared" ca="1" si="1"/>
        <v>보완 필요</v>
      </c>
      <c r="F8" t="s">
        <v>1034</v>
      </c>
      <c r="G8" t="s">
        <v>1032</v>
      </c>
    </row>
    <row r="9" spans="1:9">
      <c r="A9" t="s">
        <v>34</v>
      </c>
      <c r="B9">
        <f>SUMIFS(복귀_평일A_가슴!$E:$E,복귀_평일A_가슴!$C:$C,$A9)+SUMIFS(복귀_평일B_어깨!$E:$E,복귀_평일B_어깨!$C:$C,$A9)+SUMIFS(복귀_토_하체!$E:$E,복귀_토_하체!$C:$C,$A9)+SUMIFS(복귀_일_등!$E:$E,복귀_일_등!$C:$C,$A9)</f>
        <v>3</v>
      </c>
      <c r="C9">
        <f ca="1">MROUND(SUMIFS(복귀_간접계수맵!$F$7:$F$51,복귀_간접계수맵!$C$7:$C$51,$A9),0.5)</f>
        <v>1.5</v>
      </c>
      <c r="D9">
        <f t="shared" ca="1" si="0"/>
        <v>4.5</v>
      </c>
      <c r="E9" t="str">
        <f t="shared" ca="1" si="1"/>
        <v>보완 필요</v>
      </c>
      <c r="F9" t="s">
        <v>1035</v>
      </c>
      <c r="G9" t="s">
        <v>1036</v>
      </c>
    </row>
    <row r="10" spans="1:9">
      <c r="A10" t="s">
        <v>246</v>
      </c>
      <c r="B10">
        <f>SUMIFS(복귀_평일A_가슴!$E:$E,복귀_평일A_가슴!$C:$C,$A10)+SUMIFS(복귀_평일B_어깨!$E:$E,복귀_평일B_어깨!$C:$C,$A10)+SUMIFS(복귀_토_하체!$E:$E,복귀_토_하체!$C:$C,$A10)+SUMIFS(복귀_일_등!$E:$E,복귀_일_등!$C:$C,$A10)</f>
        <v>11</v>
      </c>
      <c r="C10">
        <f ca="1">MROUND(SUMIFS(복귀_간접계수맵!$F$7:$F$51,복귀_간접계수맵!$C$7:$C$51,$A10),0.5)</f>
        <v>6</v>
      </c>
      <c r="D10">
        <f t="shared" ca="1" si="0"/>
        <v>17</v>
      </c>
      <c r="E10" t="str">
        <f t="shared" ca="1" si="1"/>
        <v>충분</v>
      </c>
      <c r="F10" t="s">
        <v>1037</v>
      </c>
      <c r="G10" t="s">
        <v>1036</v>
      </c>
    </row>
    <row r="11" spans="1:9">
      <c r="A11" t="s">
        <v>272</v>
      </c>
      <c r="B11">
        <f>SUMIFS(복귀_평일A_가슴!$E:$E,복귀_평일A_가슴!$C:$C,$A11)+SUMIFS(복귀_평일B_어깨!$E:$E,복귀_평일B_어깨!$C:$C,$A11)+SUMIFS(복귀_토_하체!$E:$E,복귀_토_하체!$C:$C,$A11)+SUMIFS(복귀_일_등!$E:$E,복귀_일_등!$C:$C,$A11)</f>
        <v>1</v>
      </c>
      <c r="C11">
        <f ca="1">MROUND(SUMIFS(복귀_간접계수맵!$F$7:$F$51,복귀_간접계수맵!$C$7:$C$51,$A11),0.5)</f>
        <v>2.5</v>
      </c>
      <c r="D11">
        <f t="shared" ca="1" si="0"/>
        <v>3.5</v>
      </c>
      <c r="E11" t="str">
        <f t="shared" ca="1" si="1"/>
        <v>보완 필요</v>
      </c>
      <c r="F11" t="s">
        <v>1038</v>
      </c>
      <c r="G11" t="s">
        <v>1032</v>
      </c>
    </row>
    <row r="12" spans="1:9">
      <c r="A12" t="s">
        <v>27</v>
      </c>
      <c r="B12">
        <f>SUMIFS(복귀_평일A_가슴!$E:$E,복귀_평일A_가슴!$C:$C,$A12)+SUMIFS(복귀_평일B_어깨!$E:$E,복귀_평일B_어깨!$C:$C,$A12)+SUMIFS(복귀_토_하체!$E:$E,복귀_토_하체!$C:$C,$A12)+SUMIFS(복귀_일_등!$E:$E,복귀_일_등!$C:$C,$A12)</f>
        <v>7</v>
      </c>
      <c r="C12">
        <f ca="1">MROUND(SUMIFS(복귀_간접계수맵!$F$7:$F$51,복귀_간접계수맵!$C$7:$C$51,$A12),0.5)</f>
        <v>6.5</v>
      </c>
      <c r="D12">
        <f t="shared" ca="1" si="0"/>
        <v>13.5</v>
      </c>
      <c r="E12" t="str">
        <f t="shared" ca="1" si="1"/>
        <v>충분</v>
      </c>
      <c r="F12" t="s">
        <v>1039</v>
      </c>
      <c r="G12" t="s">
        <v>622</v>
      </c>
    </row>
    <row r="13" spans="1:9">
      <c r="A13" t="s">
        <v>18</v>
      </c>
      <c r="B13">
        <f>SUMIFS(복귀_평일A_가슴!$E:$E,복귀_평일A_가슴!$C:$C,$A13)+SUMIFS(복귀_평일B_어깨!$E:$E,복귀_평일B_어깨!$C:$C,$A13)+SUMIFS(복귀_토_하체!$E:$E,복귀_토_하체!$C:$C,$A13)+SUMIFS(복귀_일_등!$E:$E,복귀_일_등!$C:$C,$A13)</f>
        <v>12</v>
      </c>
      <c r="C13">
        <f ca="1">MROUND(SUMIFS(복귀_간접계수맵!$F$7:$F$51,복귀_간접계수맵!$C$7:$C$51,$A13),0.5)</f>
        <v>1.5</v>
      </c>
      <c r="D13">
        <f t="shared" ca="1" si="0"/>
        <v>13.5</v>
      </c>
      <c r="E13" t="str">
        <f t="shared" ca="1" si="1"/>
        <v>충분</v>
      </c>
      <c r="F13" t="s">
        <v>1040</v>
      </c>
      <c r="G13" t="s">
        <v>622</v>
      </c>
    </row>
    <row r="14" spans="1:9">
      <c r="A14" t="s">
        <v>23</v>
      </c>
      <c r="B14">
        <f>SUMIFS(복귀_평일A_가슴!$E:$E,복귀_평일A_가슴!$C:$C,$A14)+SUMIFS(복귀_평일B_어깨!$E:$E,복귀_평일B_어깨!$C:$C,$A14)+SUMIFS(복귀_토_하체!$E:$E,복귀_토_하체!$C:$C,$A14)+SUMIFS(복귀_일_등!$E:$E,복귀_일_등!$C:$C,$A14)</f>
        <v>10</v>
      </c>
      <c r="C14">
        <f>MROUND(SUMIFS(복귀_간접계수맵!$F$7:$F$51,복귀_간접계수맵!$C$7:$C$51,$A14),0.5)</f>
        <v>0</v>
      </c>
      <c r="D14">
        <f t="shared" si="0"/>
        <v>10</v>
      </c>
      <c r="E14" t="str">
        <f t="shared" si="1"/>
        <v>충분</v>
      </c>
      <c r="F14" t="s">
        <v>1041</v>
      </c>
      <c r="G14" t="s">
        <v>622</v>
      </c>
    </row>
    <row r="15" spans="1:9">
      <c r="A15" t="s">
        <v>316</v>
      </c>
      <c r="B15">
        <f>SUMIFS(복귀_평일A_가슴!$E:$E,복귀_평일A_가슴!$C:$C,$A15)+SUMIFS(복귀_평일B_어깨!$E:$E,복귀_평일B_어깨!$C:$C,$A15)+SUMIFS(복귀_토_하체!$E:$E,복귀_토_하체!$C:$C,$A15)+SUMIFS(복귀_일_등!$E:$E,복귀_일_등!$C:$C,$A15)</f>
        <v>12</v>
      </c>
      <c r="C15">
        <f>MROUND(SUMIFS(복귀_간접계수맵!$F$7:$F$51,복귀_간접계수맵!$C$7:$C$51,$A15),0.5)</f>
        <v>0</v>
      </c>
      <c r="D15">
        <f t="shared" si="0"/>
        <v>12</v>
      </c>
      <c r="E15" t="str">
        <f t="shared" si="1"/>
        <v>충분</v>
      </c>
      <c r="F15" t="s">
        <v>1042</v>
      </c>
      <c r="G15" t="s">
        <v>1032</v>
      </c>
      <c r="H15" t="s">
        <v>1043</v>
      </c>
      <c r="I15">
        <f ca="1">SUM(D15:D16,D19)</f>
        <v>24</v>
      </c>
    </row>
    <row r="16" spans="1:9">
      <c r="A16" t="s">
        <v>331</v>
      </c>
      <c r="B16">
        <f>SUMIFS(복귀_평일A_가슴!$E:$E,복귀_평일A_가슴!$C:$C,$A16)+SUMIFS(복귀_평일B_어깨!$E:$E,복귀_평일B_어깨!$C:$C,$A16)+SUMIFS(복귀_토_하체!$E:$E,복귀_토_하체!$C:$C,$A16)+SUMIFS(복귀_일_등!$E:$E,복귀_일_등!$C:$C,$A16)</f>
        <v>7</v>
      </c>
      <c r="C16">
        <f ca="1">MROUND(SUMIFS(복귀_간접계수맵!$F$7:$F$51,복귀_간접계수맵!$C$7:$C$51,$A16),0.5)</f>
        <v>2</v>
      </c>
      <c r="D16">
        <f t="shared" ca="1" si="0"/>
        <v>9</v>
      </c>
      <c r="E16" t="str">
        <f t="shared" ca="1" si="1"/>
        <v>하한</v>
      </c>
      <c r="F16" t="s">
        <v>1044</v>
      </c>
      <c r="G16" t="s">
        <v>1036</v>
      </c>
    </row>
    <row r="17" spans="1:7">
      <c r="A17" t="s">
        <v>322</v>
      </c>
      <c r="B17">
        <f>SUMIFS(복귀_평일A_가슴!$E:$E,복귀_평일A_가슴!$C:$C,$A17)+SUMIFS(복귀_평일B_어깨!$E:$E,복귀_평일B_어깨!$C:$C,$A17)+SUMIFS(복귀_토_하체!$E:$E,복귀_토_하체!$C:$C,$A17)+SUMIFS(복귀_일_등!$E:$E,복귀_일_등!$C:$C,$A17)</f>
        <v>3</v>
      </c>
      <c r="C17">
        <f ca="1">MROUND(SUMIFS(복귀_간접계수맵!$F$7:$F$51,복귀_간접계수맵!$C$7:$C$51,$A17),0.5)</f>
        <v>4.5</v>
      </c>
      <c r="D17">
        <f t="shared" ca="1" si="0"/>
        <v>7.5</v>
      </c>
      <c r="E17" t="str">
        <f t="shared" ca="1" si="1"/>
        <v>보완 필요</v>
      </c>
      <c r="F17" t="s">
        <v>1045</v>
      </c>
      <c r="G17" t="s">
        <v>1036</v>
      </c>
    </row>
    <row r="18" spans="1:7">
      <c r="A18" t="s">
        <v>60</v>
      </c>
      <c r="B18">
        <f>SUMIFS(복귀_평일A_가슴!$E:$E,복귀_평일A_가슴!$C:$C,$A18)+SUMIFS(복귀_평일B_어깨!$E:$E,복귀_평일B_어깨!$C:$C,$A18)+SUMIFS(복귀_토_하체!$E:$E,복귀_토_하체!$C:$C,$A18)+SUMIFS(복귀_일_등!$E:$E,복귀_일_등!$C:$C,$A18)</f>
        <v>3</v>
      </c>
      <c r="C18">
        <f>MROUND(SUMIFS(복귀_간접계수맵!$F$7:$F$51,복귀_간접계수맵!$C$7:$C$51,$A18),0.5)</f>
        <v>0</v>
      </c>
      <c r="D18">
        <f t="shared" si="0"/>
        <v>3</v>
      </c>
      <c r="E18" t="str">
        <f t="shared" si="1"/>
        <v>보완 필요</v>
      </c>
      <c r="F18" t="s">
        <v>1046</v>
      </c>
      <c r="G18" t="s">
        <v>1036</v>
      </c>
    </row>
    <row r="19" spans="1:7">
      <c r="A19" t="s">
        <v>56</v>
      </c>
      <c r="B19">
        <f>SUMIFS(복귀_평일A_가슴!$E:$E,복귀_평일A_가슴!$C:$C,$A19)+SUMIFS(복귀_평일B_어깨!$E:$E,복귀_평일B_어깨!$C:$C,$A19)+SUMIFS(복귀_토_하체!$E:$E,복귀_토_하체!$C:$C,$A19)+SUMIFS(복귀_일_등!$E:$E,복귀_일_등!$C:$C,$A19)</f>
        <v>3</v>
      </c>
      <c r="C19">
        <f ca="1">MROUND(SUMIFS(복귀_간접계수맵!$F$7:$F$51,복귀_간접계수맵!$C$7:$C$51,$A19),0.5)</f>
        <v>0</v>
      </c>
      <c r="D19">
        <f t="shared" ca="1" si="0"/>
        <v>3</v>
      </c>
      <c r="E19" t="str">
        <f t="shared" ca="1" si="1"/>
        <v>보완 필요</v>
      </c>
      <c r="F19" t="s">
        <v>1047</v>
      </c>
      <c r="G19" t="s">
        <v>1032</v>
      </c>
    </row>
    <row r="20" spans="1:7">
      <c r="A20" t="s">
        <v>44</v>
      </c>
      <c r="B20">
        <f>SUMIFS(복귀_평일A_가슴!$E:$E,복귀_평일A_가슴!$C:$C,$A20)+SUMIFS(복귀_평일B_어깨!$E:$E,복귀_평일B_어깨!$C:$C,$A20)+SUMIFS(복귀_토_하체!$E:$E,복귀_토_하체!$C:$C,$A20)+SUMIFS(복귀_일_등!$E:$E,복귀_일_등!$C:$C,$A20)</f>
        <v>6</v>
      </c>
      <c r="C20">
        <f ca="1">MROUND(SUMIFS(복귀_간접계수맵!$F$7:$F$51,복귀_간접계수맵!$C$7:$C$51,$A20),0.5)</f>
        <v>6.5</v>
      </c>
      <c r="D20">
        <f t="shared" ca="1" si="0"/>
        <v>12.5</v>
      </c>
      <c r="E20" t="str">
        <f t="shared" ca="1" si="1"/>
        <v>충분</v>
      </c>
      <c r="F20" t="s">
        <v>1048</v>
      </c>
      <c r="G20" t="s">
        <v>622</v>
      </c>
    </row>
    <row r="21" spans="1:7">
      <c r="A21" t="s">
        <v>39</v>
      </c>
      <c r="B21">
        <f>SUMIFS(복귀_평일A_가슴!$E:$E,복귀_평일A_가슴!$C:$C,$A21)+SUMIFS(복귀_평일B_어깨!$E:$E,복귀_평일B_어깨!$C:$C,$A21)+SUMIFS(복귀_토_하체!$E:$E,복귀_토_하체!$C:$C,$A21)+SUMIFS(복귀_일_등!$E:$E,복귀_일_등!$C:$C,$A21)</f>
        <v>6</v>
      </c>
      <c r="C21">
        <f ca="1">MROUND(SUMIFS(복귀_간접계수맵!$F$7:$F$51,복귀_간접계수맵!$C$7:$C$51,$A21),0.5)</f>
        <v>10</v>
      </c>
      <c r="D21">
        <f t="shared" ca="1" si="0"/>
        <v>16</v>
      </c>
      <c r="E21" t="str">
        <f t="shared" ca="1" si="1"/>
        <v>충분</v>
      </c>
      <c r="F21" t="s">
        <v>1049</v>
      </c>
      <c r="G21" t="s">
        <v>622</v>
      </c>
    </row>
    <row r="22" spans="1:7">
      <c r="A22" t="s">
        <v>45</v>
      </c>
      <c r="B22">
        <f>SUMIFS(복귀_평일A_가슴!$E:$E,복귀_평일A_가슴!$C:$C,$A22)+SUMIFS(복귀_평일B_어깨!$E:$E,복귀_평일B_어깨!$C:$C,$A22)+SUMIFS(복귀_토_하체!$E:$E,복귀_토_하체!$C:$C,$A22)+SUMIFS(복귀_일_등!$E:$E,복귀_일_등!$C:$C,$A22)</f>
        <v>6</v>
      </c>
      <c r="C22">
        <f ca="1">MROUND(SUMIFS(복귀_간접계수맵!$F$7:$F$51,복귀_간접계수맵!$C$7:$C$51,$A22),0.5)</f>
        <v>2</v>
      </c>
      <c r="D22">
        <f t="shared" ca="1" si="0"/>
        <v>8</v>
      </c>
      <c r="E22" t="str">
        <f t="shared" ca="1" si="1"/>
        <v>하한</v>
      </c>
      <c r="F22" t="s">
        <v>1050</v>
      </c>
      <c r="G22" t="s">
        <v>1032</v>
      </c>
    </row>
    <row r="23" spans="1:7">
      <c r="A23" t="s">
        <v>261</v>
      </c>
      <c r="B23">
        <f>SUMIFS(복귀_평일A_가슴!$E:$E,복귀_평일A_가슴!$C:$C,$A23)+SUMIFS(복귀_평일B_어깨!$E:$E,복귀_평일B_어깨!$C:$C,$A23)+SUMIFS(복귀_토_하체!$E:$E,복귀_토_하체!$C:$C,$A23)+SUMIFS(복귀_일_등!$E:$E,복귀_일_등!$C:$C,$A23)</f>
        <v>3</v>
      </c>
      <c r="C23">
        <f ca="1">MROUND(SUMIFS(복귀_간접계수맵!$F$7:$F$51,복귀_간접계수맵!$C$7:$C$51,$A23),0.5)</f>
        <v>0</v>
      </c>
      <c r="D23">
        <f t="shared" ca="1" si="0"/>
        <v>3</v>
      </c>
      <c r="E23" t="str">
        <f t="shared" ca="1" si="1"/>
        <v>보완 필요</v>
      </c>
      <c r="F23" t="s">
        <v>1051</v>
      </c>
      <c r="G23" t="s">
        <v>1036</v>
      </c>
    </row>
    <row r="24" spans="1:7">
      <c r="A24" t="s">
        <v>335</v>
      </c>
      <c r="B24">
        <f>SUMIFS(복귀_평일A_가슴!$E:$E,복귀_평일A_가슴!$C:$C,$A24)+SUMIFS(복귀_평일B_어깨!$E:$E,복귀_평일B_어깨!$C:$C,$A24)+SUMIFS(복귀_토_하체!$E:$E,복귀_토_하체!$C:$C,$A24)+SUMIFS(복귀_일_등!$E:$E,복귀_일_등!$C:$C,$A24)</f>
        <v>4</v>
      </c>
      <c r="C24">
        <f ca="1">MROUND(SUMIFS(복귀_간접계수맵!$F$7:$F$51,복귀_간접계수맵!$C$7:$C$51,$A24),0.5)</f>
        <v>2</v>
      </c>
      <c r="D24">
        <f t="shared" ca="1" si="0"/>
        <v>6</v>
      </c>
      <c r="E24" t="str">
        <f t="shared" ca="1" si="1"/>
        <v>보완 필요</v>
      </c>
      <c r="F24" t="s">
        <v>1052</v>
      </c>
      <c r="G24" t="s">
        <v>622</v>
      </c>
    </row>
    <row r="25" spans="1:7">
      <c r="A25" t="s">
        <v>583</v>
      </c>
      <c r="B25">
        <f>SUM(B5:B24)</f>
        <v>128</v>
      </c>
      <c r="D25">
        <f ca="1">SUM(D5:D24)</f>
        <v>181.5</v>
      </c>
    </row>
    <row r="27" spans="1:7">
      <c r="A27" t="s">
        <v>584</v>
      </c>
    </row>
    <row r="28" spans="1:7">
      <c r="A28" t="s">
        <v>1053</v>
      </c>
    </row>
    <row r="29" spans="1:7">
      <c r="A29" t="s">
        <v>1054</v>
      </c>
    </row>
    <row r="30" spans="1:7">
      <c r="A30" t="s">
        <v>1055</v>
      </c>
    </row>
    <row r="32" spans="1:7">
      <c r="A32" t="s">
        <v>1056</v>
      </c>
    </row>
    <row r="33" spans="1:1">
      <c r="A33" t="s">
        <v>1057</v>
      </c>
    </row>
    <row r="34" spans="1:1">
      <c r="A34" t="s">
        <v>1058</v>
      </c>
    </row>
    <row r="35" spans="1:1">
      <c r="A35" t="s">
        <v>1059</v>
      </c>
    </row>
    <row r="37" spans="1:1">
      <c r="A37" t="s">
        <v>1060</v>
      </c>
    </row>
    <row r="38" spans="1:1">
      <c r="A38" t="s">
        <v>1061</v>
      </c>
    </row>
    <row r="39" spans="1:1">
      <c r="A39" t="s">
        <v>1062</v>
      </c>
    </row>
    <row r="40" spans="1:1">
      <c r="A40" t="s">
        <v>1063</v>
      </c>
    </row>
    <row r="41" spans="1:1">
      <c r="A41" t="s">
        <v>1064</v>
      </c>
    </row>
  </sheetData>
  <phoneticPr fontId="3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22</vt:i4>
      </vt:variant>
    </vt:vector>
  </HeadingPairs>
  <TitlesOfParts>
    <vt:vector size="22"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vt:lpstr>
      <vt:lpstr>복귀_일_등</vt:lpstr>
      <vt:lpstr>복귀_평일B_어깨</vt:lpstr>
      <vt:lpstr>복귀_평일A_가슴</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2026-09-06T15:30:18Z</dcterms:modified>
  <dc:language>en-US</dc:language>
</cp:coreProperties>
</file>