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9" documentId="11_AD191220E1AB09E8313BB3B3DC196F42CA207056" xr6:coauthVersionLast="47" xr6:coauthVersionMax="47" xr10:uidLastSave="{65B96979-EEB9-480D-AA61-6D7A1BF1F8C0}"/>
  <bookViews>
    <workbookView xWindow="-120" yWindow="-120" windowWidth="38640" windowHeight="21120" tabRatio="883" activeTab="8" xr2:uid="{00000000-000D-0000-FFFF-FFFF00000000}"/>
  </bookViews>
  <sheets>
    <sheet name="시작중량_설정" sheetId="1" r:id="rId1"/>
    <sheet name="주간계획" sheetId="2" r:id="rId2"/>
    <sheet name="D1_당기기A" sheetId="3" r:id="rId3"/>
    <sheet name="D2_밀기A" sheetId="4" r:id="rId4"/>
    <sheet name="D3_하체A" sheetId="5" r:id="rId5"/>
    <sheet name="D5_당기기B" sheetId="6" r:id="rId6"/>
    <sheet name="D6_밀기B" sheetId="7" r:id="rId7"/>
    <sheet name="D7_하체B" sheetId="8" r:id="rId8"/>
    <sheet name="D8_어깨" sheetId="9" r:id="rId9"/>
    <sheet name="간접계수맵" sheetId="10" r:id="rId10"/>
    <sheet name="세트검산" sheetId="11" r:id="rId11"/>
    <sheet name="증량기록" sheetId="12" r:id="rId12"/>
    <sheet name="9월이후조정" sheetId="13" r:id="rId13"/>
    <sheet name="복귀_주간계획" sheetId="14" r:id="rId14"/>
    <sheet name="복귀_화_상체밀기" sheetId="15" r:id="rId15"/>
    <sheet name="복귀_토_하체" sheetId="16" r:id="rId16"/>
    <sheet name="복귀_일_등" sheetId="17" r:id="rId17"/>
    <sheet name="복귀_증량원칙" sheetId="18" r:id="rId1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7" l="1"/>
  <c r="E12" i="14" s="1"/>
  <c r="E12" i="16"/>
  <c r="E11" i="14" s="1"/>
  <c r="E11" i="15"/>
  <c r="E7" i="14" s="1"/>
  <c r="E13" i="14" s="1"/>
  <c r="I10" i="12"/>
  <c r="I11" i="12" s="1"/>
  <c r="G10" i="12"/>
  <c r="G11" i="12" s="1"/>
  <c r="E10" i="12"/>
  <c r="E11" i="12" s="1"/>
  <c r="C10" i="12"/>
  <c r="C11" i="12" s="1"/>
  <c r="H7" i="12"/>
  <c r="B24" i="11"/>
  <c r="C23" i="11"/>
  <c r="B23" i="11"/>
  <c r="D23" i="11" s="1"/>
  <c r="J23" i="11" s="1"/>
  <c r="E23" i="11" s="1"/>
  <c r="B22" i="11"/>
  <c r="B21" i="11"/>
  <c r="B20" i="11"/>
  <c r="C19" i="11"/>
  <c r="B19" i="11"/>
  <c r="D19" i="11" s="1"/>
  <c r="J19" i="11" s="1"/>
  <c r="E19" i="11" s="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E13" i="9"/>
  <c r="E12" i="2" s="1"/>
  <c r="I12" i="9"/>
  <c r="I11" i="9"/>
  <c r="I10" i="9"/>
  <c r="I9" i="9"/>
  <c r="I8" i="9"/>
  <c r="I7" i="9"/>
  <c r="I6" i="9"/>
  <c r="E23" i="8"/>
  <c r="I22" i="8"/>
  <c r="I21" i="8"/>
  <c r="I20" i="8"/>
  <c r="I19" i="8"/>
  <c r="I18" i="8"/>
  <c r="I17" i="8"/>
  <c r="I16" i="8"/>
  <c r="I15" i="8"/>
  <c r="E29" i="7"/>
  <c r="E10" i="2" s="1"/>
  <c r="I28" i="7"/>
  <c r="I27" i="7"/>
  <c r="I26" i="7"/>
  <c r="I25" i="7"/>
  <c r="I24" i="7"/>
  <c r="I23" i="7"/>
  <c r="I22" i="7"/>
  <c r="I21" i="7"/>
  <c r="I20" i="7"/>
  <c r="E15" i="6"/>
  <c r="E9" i="2" s="1"/>
  <c r="I14" i="6"/>
  <c r="I13" i="6"/>
  <c r="I12" i="6"/>
  <c r="I11" i="6"/>
  <c r="I10" i="6"/>
  <c r="I9" i="6"/>
  <c r="I8" i="6"/>
  <c r="I7" i="6"/>
  <c r="I6" i="6"/>
  <c r="E27" i="4"/>
  <c r="E6" i="2" s="1"/>
  <c r="I26" i="4"/>
  <c r="I25" i="4"/>
  <c r="I24" i="4"/>
  <c r="I23" i="4"/>
  <c r="I22" i="4"/>
  <c r="I21" i="4"/>
  <c r="I20" i="4"/>
  <c r="E15" i="3"/>
  <c r="E5" i="2" s="1"/>
  <c r="I14" i="3"/>
  <c r="I13" i="3"/>
  <c r="I12" i="3"/>
  <c r="I11" i="3"/>
  <c r="I10" i="3"/>
  <c r="I9" i="3"/>
  <c r="I8" i="3"/>
  <c r="I7" i="3"/>
  <c r="I6" i="3"/>
  <c r="E11" i="2"/>
  <c r="E40" i="1"/>
  <c r="D40" i="1"/>
  <c r="C40" i="1"/>
  <c r="B40" i="1"/>
  <c r="C10" i="1"/>
  <c r="C9" i="1"/>
  <c r="C8" i="1"/>
  <c r="C7" i="1"/>
  <c r="E23" i="5"/>
  <c r="E7" i="2" s="1"/>
  <c r="I22" i="5"/>
  <c r="I21" i="5"/>
  <c r="I20" i="5"/>
  <c r="I19" i="5"/>
  <c r="I18" i="5"/>
  <c r="I17" i="5"/>
  <c r="I16" i="5"/>
  <c r="I15" i="5"/>
  <c r="E60" i="10"/>
  <c r="E10" i="10"/>
  <c r="E37" i="10"/>
  <c r="E51" i="10"/>
  <c r="E14" i="10"/>
  <c r="E32" i="10"/>
  <c r="E43" i="10"/>
  <c r="E57" i="10"/>
  <c r="E53" i="10"/>
  <c r="E46" i="10"/>
  <c r="E7" i="10"/>
  <c r="E48" i="10"/>
  <c r="E27" i="10"/>
  <c r="E52" i="10"/>
  <c r="E13" i="10"/>
  <c r="E25" i="10"/>
  <c r="E61" i="10"/>
  <c r="E30" i="10"/>
  <c r="E40" i="10"/>
  <c r="E28" i="10"/>
  <c r="E54" i="10"/>
  <c r="E34" i="10"/>
  <c r="E22" i="10"/>
  <c r="E45" i="10"/>
  <c r="E12" i="10"/>
  <c r="E36" i="10"/>
  <c r="E44" i="10"/>
  <c r="E11" i="10"/>
  <c r="E38" i="10"/>
  <c r="E21" i="10"/>
  <c r="E58" i="10"/>
  <c r="E19" i="10"/>
  <c r="E56" i="10"/>
  <c r="E17" i="10"/>
  <c r="E55" i="10"/>
  <c r="E23" i="10"/>
  <c r="E29" i="10"/>
  <c r="E18" i="10"/>
  <c r="E39" i="10"/>
  <c r="E31" i="10"/>
  <c r="E9" i="10"/>
  <c r="E20" i="10"/>
  <c r="E24" i="10"/>
  <c r="E50" i="10"/>
  <c r="E42" i="10"/>
  <c r="E15" i="10"/>
  <c r="E59" i="10"/>
  <c r="E33" i="10"/>
  <c r="E49" i="10"/>
  <c r="E41" i="10"/>
  <c r="E26" i="10"/>
  <c r="E47" i="10"/>
  <c r="E8" i="10"/>
  <c r="E35" i="10"/>
  <c r="E16" i="10"/>
  <c r="I15" i="3" l="1"/>
  <c r="I23" i="5"/>
  <c r="C12" i="12"/>
  <c r="B41" i="1"/>
  <c r="E12" i="12"/>
  <c r="C41" i="1"/>
  <c r="B25" i="11"/>
  <c r="I29" i="7"/>
  <c r="I15" i="6"/>
  <c r="I27" i="4"/>
  <c r="I13" i="9"/>
  <c r="I23" i="8"/>
  <c r="F14" i="10"/>
  <c r="F20" i="10"/>
  <c r="C13" i="11" s="1"/>
  <c r="D13" i="11" s="1"/>
  <c r="J13" i="11" s="1"/>
  <c r="E13" i="11" s="1"/>
  <c r="F38" i="10"/>
  <c r="C18" i="11" s="1"/>
  <c r="D18" i="11" s="1"/>
  <c r="J18" i="11" s="1"/>
  <c r="E18" i="11" s="1"/>
  <c r="F56" i="10"/>
  <c r="F8" i="10"/>
  <c r="F26" i="10"/>
  <c r="F32" i="10"/>
  <c r="F44" i="10"/>
  <c r="C6" i="11" s="1"/>
  <c r="D6" i="11" s="1"/>
  <c r="J6" i="11" s="1"/>
  <c r="E6" i="11" s="1"/>
  <c r="F50" i="10"/>
  <c r="F15" i="10"/>
  <c r="F33" i="10"/>
  <c r="F51" i="10"/>
  <c r="F9" i="10"/>
  <c r="F21" i="10"/>
  <c r="C14" i="11" s="1"/>
  <c r="D14" i="11" s="1"/>
  <c r="J14" i="11" s="1"/>
  <c r="E14" i="11" s="1"/>
  <c r="F27" i="10"/>
  <c r="F39" i="10"/>
  <c r="C7" i="11" s="1"/>
  <c r="D7" i="11" s="1"/>
  <c r="F45" i="10"/>
  <c r="F57" i="10"/>
  <c r="F10" i="10"/>
  <c r="F16" i="10"/>
  <c r="F22" i="10"/>
  <c r="F28" i="10"/>
  <c r="F34" i="10"/>
  <c r="F40" i="10"/>
  <c r="F46" i="10"/>
  <c r="F52" i="10"/>
  <c r="F58" i="10"/>
  <c r="F17" i="10"/>
  <c r="F23" i="10"/>
  <c r="F29" i="10"/>
  <c r="F35" i="10"/>
  <c r="F41" i="10"/>
  <c r="F47" i="10"/>
  <c r="F53" i="10"/>
  <c r="F59" i="10"/>
  <c r="F12" i="10"/>
  <c r="F18" i="10"/>
  <c r="F24" i="10"/>
  <c r="F30" i="10"/>
  <c r="F36" i="10"/>
  <c r="F42" i="10"/>
  <c r="F48" i="10"/>
  <c r="C9" i="11" s="1"/>
  <c r="D9" i="11" s="1"/>
  <c r="J9" i="11" s="1"/>
  <c r="E9" i="11" s="1"/>
  <c r="F54" i="10"/>
  <c r="F60" i="10"/>
  <c r="F11" i="10"/>
  <c r="F7" i="10"/>
  <c r="F13" i="10"/>
  <c r="F19" i="10"/>
  <c r="F25" i="10"/>
  <c r="F31" i="10"/>
  <c r="F37" i="10"/>
  <c r="C15" i="11" s="1"/>
  <c r="D15" i="11" s="1"/>
  <c r="F43" i="10"/>
  <c r="C5" i="11" s="1"/>
  <c r="D5" i="11" s="1"/>
  <c r="F49" i="10"/>
  <c r="F55" i="10"/>
  <c r="F61" i="10"/>
  <c r="C42" i="1"/>
  <c r="E13" i="12"/>
  <c r="G12" i="12"/>
  <c r="D41" i="1"/>
  <c r="E13" i="2"/>
  <c r="E41" i="1"/>
  <c r="I12" i="12"/>
  <c r="C17" i="11" l="1"/>
  <c r="D17" i="11" s="1"/>
  <c r="C10" i="11"/>
  <c r="D10" i="11" s="1"/>
  <c r="J10" i="11" s="1"/>
  <c r="E10" i="11" s="1"/>
  <c r="C24" i="11"/>
  <c r="D24" i="11" s="1"/>
  <c r="J24" i="11" s="1"/>
  <c r="E24" i="11" s="1"/>
  <c r="C11" i="11"/>
  <c r="D11" i="11" s="1"/>
  <c r="J11" i="11" s="1"/>
  <c r="E11" i="11" s="1"/>
  <c r="C16" i="11"/>
  <c r="D16" i="11" s="1"/>
  <c r="J16" i="11" s="1"/>
  <c r="E16" i="11" s="1"/>
  <c r="C8" i="11"/>
  <c r="D8" i="11" s="1"/>
  <c r="J8" i="11" s="1"/>
  <c r="E8" i="11" s="1"/>
  <c r="C13" i="12"/>
  <c r="B42" i="1"/>
  <c r="J5" i="11"/>
  <c r="E5" i="11" s="1"/>
  <c r="H5" i="11"/>
  <c r="I5" i="11" s="1"/>
  <c r="J15" i="11"/>
  <c r="E15" i="11" s="1"/>
  <c r="E42" i="1"/>
  <c r="I13" i="12"/>
  <c r="C22" i="11"/>
  <c r="D22" i="11" s="1"/>
  <c r="J22" i="11" s="1"/>
  <c r="E22" i="11" s="1"/>
  <c r="D42" i="1"/>
  <c r="G13" i="12"/>
  <c r="J7" i="11"/>
  <c r="E7" i="11" s="1"/>
  <c r="C20" i="11"/>
  <c r="D20" i="11" s="1"/>
  <c r="J20" i="11" s="1"/>
  <c r="E20" i="11" s="1"/>
  <c r="F62" i="10"/>
  <c r="C21" i="11"/>
  <c r="D21" i="11" s="1"/>
  <c r="J21" i="11" s="1"/>
  <c r="E21" i="11" s="1"/>
  <c r="C43" i="1"/>
  <c r="E14" i="12"/>
  <c r="E8" i="1"/>
  <c r="J17" i="11"/>
  <c r="E17" i="11" s="1"/>
  <c r="H17" i="11"/>
  <c r="C12" i="11"/>
  <c r="D12" i="11" s="1"/>
  <c r="J12" i="11" s="1"/>
  <c r="E12" i="11" s="1"/>
  <c r="H15" i="11" l="1"/>
  <c r="H7" i="11"/>
  <c r="E7" i="1"/>
  <c r="B43" i="1"/>
  <c r="C14" i="12"/>
  <c r="D43" i="1"/>
  <c r="G14" i="12"/>
  <c r="E9" i="1"/>
  <c r="E43" i="1"/>
  <c r="E10" i="1"/>
  <c r="I14" i="12"/>
  <c r="C44" i="1"/>
  <c r="E15" i="12"/>
  <c r="D5" i="17"/>
  <c r="A8" i="8"/>
  <c r="A7" i="8"/>
  <c r="A6" i="8"/>
  <c r="D15" i="8"/>
  <c r="A9" i="8"/>
  <c r="A10" i="8"/>
  <c r="D25" i="11"/>
  <c r="J25" i="11" s="1"/>
  <c r="C15" i="12" l="1"/>
  <c r="B44" i="1"/>
  <c r="D15" i="5"/>
  <c r="A7" i="5"/>
  <c r="A8" i="5"/>
  <c r="D5" i="16"/>
  <c r="A10" i="5"/>
  <c r="A9" i="5"/>
  <c r="A6" i="5"/>
  <c r="C45" i="1"/>
  <c r="E16" i="12"/>
  <c r="A10" i="7"/>
  <c r="A9" i="7"/>
  <c r="A8" i="7"/>
  <c r="D11" i="16"/>
  <c r="D20" i="7"/>
  <c r="A7" i="7"/>
  <c r="A6" i="7"/>
  <c r="E44" i="1"/>
  <c r="I15" i="12"/>
  <c r="A10" i="4"/>
  <c r="A9" i="4"/>
  <c r="D20" i="4"/>
  <c r="D5" i="15"/>
  <c r="A8" i="4"/>
  <c r="A7" i="4"/>
  <c r="A6" i="4"/>
  <c r="G15" i="12"/>
  <c r="D44" i="1"/>
  <c r="B45" i="1" l="1"/>
  <c r="C16" i="12"/>
  <c r="C46" i="1"/>
  <c r="E17" i="12"/>
  <c r="D45" i="1"/>
  <c r="G16" i="12"/>
  <c r="E45" i="1"/>
  <c r="I16" i="12"/>
  <c r="C17" i="12" l="1"/>
  <c r="B46" i="1"/>
  <c r="E46" i="1"/>
  <c r="I17" i="12"/>
  <c r="C47" i="1"/>
  <c r="E18" i="12"/>
  <c r="D46" i="1"/>
  <c r="G17" i="12"/>
  <c r="B47" i="1" l="1"/>
  <c r="C18" i="12"/>
  <c r="C48" i="1"/>
  <c r="E19" i="12"/>
  <c r="G18" i="12"/>
  <c r="D47" i="1"/>
  <c r="E47" i="1"/>
  <c r="I18" i="12"/>
  <c r="B48" i="1" l="1"/>
  <c r="C19" i="12"/>
  <c r="E48" i="1"/>
  <c r="I19" i="12"/>
  <c r="G19" i="12"/>
  <c r="D48" i="1"/>
  <c r="C49" i="1"/>
  <c r="E20" i="12"/>
  <c r="B49" i="1" l="1"/>
  <c r="C20" i="12"/>
  <c r="E21" i="12"/>
  <c r="C51" i="1" s="1"/>
  <c r="C50" i="1"/>
  <c r="D49" i="1"/>
  <c r="G20" i="12"/>
  <c r="E49" i="1"/>
  <c r="I20" i="12"/>
  <c r="C21" i="12" l="1"/>
  <c r="B51" i="1" s="1"/>
  <c r="B50" i="1"/>
  <c r="E50" i="1"/>
  <c r="I21" i="12"/>
  <c r="E51" i="1" s="1"/>
  <c r="G21" i="12"/>
  <c r="D51" i="1" s="1"/>
  <c r="D50" i="1"/>
</calcChain>
</file>

<file path=xl/sharedStrings.xml><?xml version="1.0" encoding="utf-8"?>
<sst xmlns="http://schemas.openxmlformats.org/spreadsheetml/2006/main" count="1371" uniqueCount="770">
  <si>
    <t>3일차 — 하체 A (무릎 지배)</t>
  </si>
  <si>
    <t>스쿼트 · 레그프레스 중심. 7일차 하체 B(고관절 지배)와 4일 간격.</t>
  </si>
  <si>
    <t>메인: 스쿼트</t>
  </si>
  <si>
    <t>중량(Kg)</t>
  </si>
  <si>
    <t>반복</t>
  </si>
  <si>
    <t>세트</t>
  </si>
  <si>
    <t>↑ '시작중량_설정'과 자동 연동. 20 = 빈 봉. '생략'은 앞 세트와 중량이 겹쳐 불필요하다는 뜻.</t>
  </si>
  <si>
    <t>운동 구성</t>
  </si>
  <si>
    <t>#</t>
  </si>
  <si>
    <t>종목</t>
  </si>
  <si>
    <t>근육군</t>
  </si>
  <si>
    <t>횟수</t>
  </si>
  <si>
    <t>수행(초)</t>
  </si>
  <si>
    <t>휴식(초)</t>
  </si>
  <si>
    <t>종목 분</t>
  </si>
  <si>
    <t>간접 자극</t>
  </si>
  <si>
    <t>메모</t>
  </si>
  <si>
    <t>대체 종목</t>
  </si>
  <si>
    <t>스쿼트 (본세트)</t>
  </si>
  <si>
    <t>대퇴사두</t>
  </si>
  <si>
    <t>5</t>
  </si>
  <si>
    <t>둔근·기립근</t>
  </si>
  <si>
    <t>무릎 지배 메인. 데드(7일차)와 4일 간격이라 기립근이 회복된 상태에서 친다</t>
  </si>
  <si>
    <t>스미스 스쿼트 / 핵 스쿼트 (대퇴사두 집중) / 프론트 스쿼트 / 벨트 스쿼트 (척추 부하 없음)</t>
  </si>
  <si>
    <t>레그 프레스</t>
  </si>
  <si>
    <t>8~12</t>
  </si>
  <si>
    <t>둔근</t>
  </si>
  <si>
    <t>수/토 3+3 분할. 궤도 고정이라 대퇴사두가 확실히 한계까지 간다. 발판 위치는 중간</t>
  </si>
  <si>
    <t>핵 스쿼트 / 레그 익스텐션 (완전 고립) / 프론트 스쿼트</t>
  </si>
  <si>
    <t>불가리안 스플릿 스쿼트</t>
  </si>
  <si>
    <t>맨몸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</si>
  <si>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</si>
  <si>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</si>
  <si>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</si>
  <si>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</si>
  <si>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</si>
  <si>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햄스트링</t>
  </si>
  <si>
    <t>10~12</t>
  </si>
  <si>
    <t>무릎 굴곡. 7일차 RDL(고관절 신전)과 기능이 다르다 — 둘 다 필요</t>
  </si>
  <si>
    <t>라잉 레그 컬 · 시티드 레그 컬 (시티드가 늘어난 구간을 더 씀) / 노르딕 햄 컬</t>
  </si>
  <si>
    <t>이너 타이</t>
  </si>
  <si>
    <t>내전근</t>
  </si>
  <si>
    <t>12~15</t>
  </si>
  <si>
    <t>내전근 직접 종목은 이것뿐. 스쿼트·레그프레스가 어느 정도 커버한다</t>
  </si>
  <si>
    <t>와이드 스탠스 레그 프레스 / 코사크 스쿼트 / 케이블 힙 내전</t>
  </si>
  <si>
    <t>케이블 힙 외전</t>
  </si>
  <si>
    <t>중둔근</t>
  </si>
  <si>
    <t>—</t>
  </si>
  <si>
    <t>12~15 (좌우)</t>
  </si>
  <si>
    <t>관상면 외전. 7일차에서 이동. 앉는 시간이 길면 대둔근보다 중둔근이 먼저 잠든다 [v18 7일차로 이동 — 3일차 배치 사유(5일 버전 7일차 과부하) 소멸, 고관절 날로 복귀]</t>
  </si>
  <si>
    <t>밴드 몬스터 워크 / 사이드 라잉 힙 외전 / 힙 어브덕션 머신</t>
  </si>
  <si>
    <t>카프 레이즈 (스탠딩)</t>
  </si>
  <si>
    <t>종아리</t>
  </si>
  <si>
    <t>무릎 편 상태 — 비복근 주도. 7일차 시티드(가자미근)와 역할이 다르다</t>
  </si>
  <si>
    <t>스탠딩 카프 레이즈 머신 / 레그 프레스 발판 끝에서 / 스미스 카프 레이즈</t>
  </si>
  <si>
    <t>앱휠 롤아웃</t>
  </si>
  <si>
    <t>복부</t>
  </si>
  <si>
    <t>항신전. 다음날이 당기기 B라 브레이싱 손실이 문제되지 않는다</t>
  </si>
  <si>
    <t>애브 롤아웃 / 사이드 플랭크 / 팔로프 프레스 (항회전)</t>
  </si>
  <si>
    <t>세트 합계</t>
  </si>
  <si>
    <t>시작 중량 설정 — 5년 공백 후 복귀</t>
  </si>
  <si>
    <t>노란 칸 두 곳만 채우면 각 일차 시트의 웜업 램프와 본세트 중량이 전부 자동 계산됩니다.</t>
  </si>
  <si>
    <t>현재 사이클</t>
  </si>
  <si>
    <t>← 사이클이 끝날 때마다 이 숫자를 1 올리면 일차 시트 중량이 그 사이클에 맞게 갱신됩니다 (1~12)</t>
  </si>
  <si>
    <t>5년 전 중량</t>
  </si>
  <si>
    <t>권장 시작 (40%)</t>
  </si>
  <si>
    <t>시작 중량 ★입력★</t>
  </si>
  <si>
    <t>현재 작업중량</t>
  </si>
  <si>
    <t>본세트</t>
  </si>
  <si>
    <t>스쿼트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</si>
  <si>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</si>
  <si>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</si>
  <si>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</si>
  <si>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</si>
  <si>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</si>
  <si>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</si>
  <si>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</si>
  <si>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</si>
  <si>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</si>
  <si>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</si>
  <si>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</si>
  <si>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사이클'은 사이클이 끝날 때마다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</si>
  <si>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</si>
  <si>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</si>
  <si>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</si>
  <si>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</si>
  <si>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</si>
  <si>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</si>
  <si>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</si>
  <si>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사이클당 2.5kg씩만 올라가도 20사이클이면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</si>
  <si>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</si>
  <si>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</si>
  <si>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사이클마다 달성 여부에 O / X를 입력한다.</t>
  </si>
  <si>
    <t>· 3단계: C4의 현재 사이클을 바꾸면 일차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</si>
  <si>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</si>
  <si>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</si>
  <si>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</si>
  <si>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12사이클 예상 진행 (X 입력이 없을 때)</t>
  </si>
  <si>
    <t>사이클</t>
  </si>
  <si>
    <t>1사이클</t>
  </si>
  <si>
    <t>2사이클</t>
  </si>
  <si>
    <t>3사이클</t>
  </si>
  <si>
    <t>4사이클</t>
  </si>
  <si>
    <t>5사이클</t>
  </si>
  <si>
    <t>6사이클</t>
  </si>
  <si>
    <t>7사이클</t>
  </si>
  <si>
    <t>8사이클</t>
  </si>
  <si>
    <t>9사이클</t>
  </si>
  <si>
    <t>10사이클</t>
  </si>
  <si>
    <t>11사이클</t>
  </si>
  <si>
    <t>12사이클</t>
  </si>
  <si>
    <t>· 위 표는 X 입력이 없다고 가정한 계획선이다. 실제 진행은 증량기록 시트가 결정한다.</t>
  </si>
  <si>
    <t>운동 프로그램 — 8일 주기 (A블록 3일 · 휴식 · B블록 3일 · 어깨)</t>
  </si>
  <si>
    <t>적용 시기: 재택 근무 기간 (~9월)  |  8일 주기 / 1일 1세션  |  1사이클부터 설계 볼륨 100% (볼륨램프 해제)  |  요일이 아니라 주기 안의 순서로 돈다</t>
  </si>
  <si>
    <t>일차</t>
  </si>
  <si>
    <t>내용</t>
  </si>
  <si>
    <t>메인 리프트</t>
  </si>
  <si>
    <t>주요 근육군</t>
  </si>
  <si>
    <t>예상 시간</t>
  </si>
  <si>
    <t>1</t>
  </si>
  <si>
    <t>당기기 A (수직)</t>
  </si>
  <si>
    <t>광배 · 삼두 · 전완 · 기립근</t>
  </si>
  <si>
    <t>약 67분</t>
  </si>
  <si>
    <t>2</t>
  </si>
  <si>
    <t>밀기 A (수평)</t>
  </si>
  <si>
    <t>벤치프레스 5×5</t>
  </si>
  <si>
    <t>흉근 · 삼두 · 측면삼각 · 이두</t>
  </si>
  <si>
    <t>약 70분</t>
  </si>
  <si>
    <t>3</t>
  </si>
  <si>
    <t>하체 A (무릎)</t>
  </si>
  <si>
    <t>스쿼트 5×5</t>
  </si>
  <si>
    <t>대퇴사두 · 햄스트링 · 둔근</t>
  </si>
  <si>
    <t>약 77분</t>
  </si>
  <si>
    <t>4</t>
  </si>
  <si>
    <t>휴식</t>
  </si>
  <si>
    <t>당기기 B (수평)</t>
  </si>
  <si>
    <t>광배 · 능형근 · 승모 · 이두</t>
  </si>
  <si>
    <t>약 65분</t>
  </si>
  <si>
    <t>6</t>
  </si>
  <si>
    <t>밀기 B (수직)</t>
  </si>
  <si>
    <t>밀리터리 5×3</t>
  </si>
  <si>
    <t>삼각근 · 흉근 상부 · 승모(하부)</t>
  </si>
  <si>
    <t>약 66분</t>
  </si>
  <si>
    <t>7</t>
  </si>
  <si>
    <t>하체 B (고관절)</t>
  </si>
  <si>
    <t>데드리프트 1×5</t>
  </si>
  <si>
    <t>둔근 · 햄스트링 · 대퇴사두</t>
  </si>
  <si>
    <t>약 72분</t>
  </si>
  <si>
    <t>8</t>
  </si>
  <si>
    <t>어깨 (측면 · 후면) · 이두</t>
  </si>
  <si>
    <t>삼각근(측면·후면) · 이두</t>
  </si>
  <si>
    <t>약 39분</t>
  </si>
  <si>
    <t>합계</t>
  </si>
  <si>
    <t>약 456분 (7시간 36분)</t>
  </si>
  <si>
    <t>배치 논리</t>
  </si>
  <si>
    <t>· 8일 주기다. 1~3일차 A블록 · 4일차 완전휴식 · 5~7일차 B블록 · 8일차 어깨 · 다시 1일차.</t>
  </si>
  <si>
    <t>· 무거운 하체일 뒤가 둘 다 저부하다: 3일차 스쿼트 → 4일차 완전휴식, 7일차 데드 → 8일차 어깨. 어깨는 레터럴과 리버스 플라이뿐이라 척추 부하가 0이다.</t>
  </si>
  <si>
    <t>· 부위 간격이 4일로 균등해졌다. 주 단위였을 때는 3일과 4일이 번갈아 왔다. 벤치(2일차) → 밀리터리(6일차) 4일, 스쿼트(3일차) → 데드(7일차) 4일.</t>
  </si>
  <si>
    <t>· 8일차는 사실상 액티브 리커버리다. 다음 날 1일차 당기기에 영향이 있으면 무게가 과한 것 — 세트가 아니라 무게를 내린다.</t>
  </si>
  <si>
    <t>· 연속 훈련은 5일차부터 다음 3일차까지 7일이지만, 가운데 8일차가 30분 고립 세션이라 체감은 3일 → 가벼움 → 3일이다.</t>
  </si>
  <si>
    <t>· 당기기 A(수직) / B(수평), 밀기 A(수평) / B(수직), 하체 A(무릎) / B(고관절). 같은 부위를 4일 뒤 다른 각도로 친다.</t>
  </si>
  <si>
    <t>· 기립근: 데드(7일차) + 덤벨 RDL(1일차). RDL은 20kg으로 가볍게 — 척추 부하가 아니라 자세 유지가 목적.</t>
  </si>
  <si>
    <t>8일 주기로 바꾸며 치른 값 (2026-08-28 전환)</t>
  </si>
  <si>
    <t>· 달력과 어긋난다. 밀기 A(벤치)가 8일에 한 번씩 월요일에 걸린다 — 월요일 벤치 혼잡을 피하려던 원래 제약은 포기한 것이다.</t>
  </si>
  <si>
    <t>· 주당 볼륨이 12.5% 희석된다. 사이클당 세트 × 7/8 = 주당 환산. 세트검산 J열에 환산값을 두고 판정도 그 기준으로 한다.</t>
  </si>
  <si>
    <t>· 12사이클 = 96일로 12주(84일)보다 12일 길다. 메인 리프트 목표 중량은 그대로고 도달 시점만 늦어진다.</t>
  </si>
  <si>
    <t>· '이번 주'라는 단위가 사라진다. 지금이 몇 사이클인지는 시작중량_설정 C4에서, 몇 일차인지는 앱 탭에서 본다.</t>
  </si>
  <si>
    <t>· 되돌리려면: 8일차를 빼고 4일차 휴식을 맨 뒤로 옮기면 원래의 주 6일 배치다.</t>
  </si>
  <si>
    <t>주 단위 버전과의 차이</t>
  </si>
  <si>
    <t>· 총 세트 184 (사이클당) · 주당 환산 161. E열 실측.</t>
  </si>
  <si>
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5일차 27은 초과가 아니라 허용이다 (둘 다 팔 고립이 6·12세트씩 들어간 날).</t>
  </si>
  <si>
    <t>· 26 상한이 실제로 걸리는 날은 메인 리프트와 다관절 종목이 몰린 2일차(벤치 5×5)와 6일차(밀리터리 5×3)다. 여기서는 상한을 지킨다 — 2026-08-28에 2일차 바벨 컬 3세트를 넣을 때 디클라인 케이블 플라이를 0으로 내린 것이 그 적용이다.</t>
  </si>
  <si>
    <t>· 주요 부위 빈도 사이클당 2회, 4일 간격 균등. 팔은 3회 (이두 2·5·8일차 · 삼두 1·6일차) — 고립 소근육은 회복이 빨라 빈도를 더 준다.</t>
  </si>
  <si>
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8일차 후면 삼각근 9세트(종목을 셋으로 나눠 자극 축을 갈랐다).</t>
  </si>
  <si>
    <t>· 완전 휴식일은 4일차 하나 (8일에 1일 = 12.5%). 주 6일 버전의 7일에 1일(14.3%)보다 비율은 낮지만, 8일차가 30분 고립 세션이라 실질 회복 부담은 더 가볍다.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</si>
  <si>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</si>
  <si>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</si>
  <si>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</si>
  <si>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</si>
  <si>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</si>
  <si>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F열 예상 시간 — 산정 기준</t>
  </si>
  <si>
    <t>· 본세트만 센 값이다. 웜업(회전근개 · 스캡 풀업 · 밴드 풀 어파트)과 메인 리프트 웜업 램프는 빠져 있으니 그만큼 더 잡을 것.</t>
  </si>
  <si>
    <t>· 계산식: 종목 시간 = 세트수 × (수행 + 휴식). 마지막 세트의 휴식은 다음 종목으로 넘어가는 전환 시간으로 친다.</t>
  </si>
  <si>
    <t>· 휴식 기준: 메인 본세트 3분 · 다관절 보조 2~2분 30초 · 하체 고립 2분 · 흉근 고립 105초 · 종아리 75초 · 팔·어깨 고립 60~75초 · 복부 60초.</t>
  </si>
  <si>
    <t>· 기준을 가르는 것은 근육 크기가 아니라 그 세트가 동원하는 근육량이다. 레그 익스텐션은 고립이어도 대퇴사두 전체를 쓰므로 2분이 필요하고, 레터럴은 60초면 된다.</t>
  </si>
  <si>
    <t>· 같은 스테이션에서 이어 하는 조합은 이동이 0이라 계산보다 빠르다 — 1일차 랫풀다운→페이스풀, 5일차 시티드 케이블 로우→스캡 슈러그, 6일차 머신 숄더→오버헤드 슈러그.</t>
  </si>
  <si>
    <t>· 시계보다 반복 수가 우선이다. 직전 세트보다 2회 이상 떨어지면 휴식이 짧은 것 — 특히 스쿼트·데드는 8사이클 넘어가면 3분으로 모자란다.</t>
  </si>
  <si>
    <t>범례</t>
  </si>
  <si>
    <t>파란 글씨 = 직접 입력하는 값 · 검은 글씨 = 수식 (건드리지 말 것) · 노란 칸 = 매 사이클 채워 넣는 칸</t>
  </si>
  <si>
    <t>E열 = 설계 세트 (100% 고정). 볼륨 램프 미사용 — 1사이클부터 이 값 그대로 수행.</t>
  </si>
  <si>
    <t>주의</t>
  </si>
  <si>
    <t>· 판단 기준: 이전 세션의 근육통이 안 빠지거나 메인 리프트에 X가 연속으로 뜨면 8일차 어깨를 0세트로 내린다 — 완전 휴식일이 둘이 되고 배치는 그대로 남는다.</t>
  </si>
  <si>
    <t>· 그래도 안 되면 하체 B를 빼고 그 종목을 하체 A와 당기기 B에 나눠 붙인다 — 데드는 당기기 B로. 그러면 7일 주기가 된다.</t>
  </si>
  <si>
    <t>· 8일차 어깨 (2026-08-28 · 4사이클 추가): 측면·후면이 MEV 근처였고 2·6일차가 세션 상한이라 별도 일차로 뺐다. 회복 판정이 흔들리면 여기부터 0으로 내린다 — 프로그램에서 가장 먼저 버릴 세션이다.</t>
  </si>
  <si>
    <t>· 8일 주기 전환 직후 2사이클은 회복 확인 구간으로 쓴다. 7일 연속 구간(5일차~다음 3일차)이 버티는지가 관건이고, 안 버티면 8일차 어깨를 0세트로 내려 완전휴식일을 하나 더 만든다.</t>
  </si>
  <si>
    <t>1일차 — 당기기 A (수직)</t>
  </si>
  <si>
    <t>광배 위쪽 · 견갑골 하강 · 전완 · 삼두. 5일차 당기기 B(수평)와 각도를 나눈다.</t>
  </si>
  <si>
    <t>웜업 — 스캡 풀업 2세트 × 5~8 (세트 카운트 제외): 팔은 편 채 견갑골만 하강, 여유 있게(실패 4회+ 전 종료). 친업 직전 견갑 하강 프라이밍.</t>
  </si>
  <si>
    <t>친업 (어시스트 가능)</t>
  </si>
  <si>
    <t>광배</t>
  </si>
  <si>
    <t>6~8</t>
  </si>
  <si>
    <t>이두</t>
  </si>
  <si>
    <t>수직 당기기 메인. 광배 위쪽 섬유 비중이 큼</t>
  </si>
  <si>
    <t>어시스트 풀업 머신 (개수가 안 나올 때) / 뉴트럴 그립 친업 (팔꿈치가 편함) / 랫풀다운</t>
  </si>
  <si>
    <t>랫풀다운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</si>
  <si>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</si>
  <si>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</si>
  <si>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8~10</t>
  </si>
  <si>
    <t>전거근</t>
  </si>
  <si>
    <t>친업 직전 배치. 팔은 편 채 견갑골만 아래로 — 광배에 묻히지 않는다 [v18 웜업 전환 — 3행 웜업 참조. 카운트 제외]</t>
  </si>
  <si>
    <t>스캡 랫풀다운 (앉아서) / 어시스트 풀업 머신에서 스캡 풀업 / 바에 매달려 정지 3초</t>
  </si>
  <si>
    <t>페이스풀</t>
  </si>
  <si>
    <t>승모(중부)·능형근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</si>
  <si>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</si>
  <si>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5일차와 겹친다. 무게 욕심 내면 승모 상부가 다 가져간다. 수직 당기기 날이지만 승모 중부 사이클당 2회(5일차와 4일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</si>
  <si>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</si>
  <si>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</si>
  <si>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</si>
  <si>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전완</t>
  </si>
  <si>
    <t>[2026-08-28 — 이 종목은 2일차 밀기 A로 옮겨 3세트로 되살아났다. 당기기 날은 친업·랫풀다운으로 이두가 이미 간접 3.5세트분 지친 뒤라 컬을 두기에 나쁜 자리였다. 이 행은 기록으로만 남긴다]</t>
  </si>
  <si>
    <t>EZ바 컬 (손목이 편함) / 케이블 컬 (전 구간 장력) / 해머 컬 (상완요골근 동시)</t>
  </si>
  <si>
    <t>케이블 푸쉬다운 (로프)</t>
  </si>
  <si>
    <t>삼두</t>
  </si>
  <si>
    <t>10~15</t>
  </si>
  <si>
    <t>당기기 날에 삼두를 넣는 이유: 이 세션에서 삼두는 전혀 안 쓰이므로 완전히 신선한 상태에서 친다. 6일차 라잉 트라이셉스는 프레스 13세트를 마친 뒤라 자극당 값이 낮았고, 삼두 직접이 사이클당 1회뿐이었다 (직접 4 · 주당 환산 3.5로 MEV 6 미달). 이 3세트로 직접 7 · 사이클당 2회가 된다. 로프로 마지막에 손등을 바깥으로 벌리면 외측두가 끝까지 수축한다. 팔꿈치는 옆구리에 고정 — 어깨로 누르면 광배 종목이 된다. 6일차 라잉 익스텐션이 늘어난 구간(장두)이라 여기는 짧아진 구간(외측두·내측두)으로 축을 나눈다. [2026-08-28 — 이 자리에 있던 인클라인 덤벨 컬은 8일차로 이동]</t>
  </si>
  <si>
    <t>V바 푸쉬다운 (손목이 편함) / 오버헤드 케이블 익스텐션 (장두 — 6일차와 겹치므로 차선) / 덤벨 킥백 / 벤치 딥스 (케이블이 없을 때)</t>
  </si>
  <si>
    <t>시티드 리스트 컬(손등 위)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</si>
  <si>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</si>
  <si>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</si>
  <si>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</si>
  <si>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라잉 레그 레이즈 변형4가지</t>
  </si>
  <si>
    <t>복부 굴곡(하부). 그립이 이미 지쳐 있으면 캡틴 체어로</t>
  </si>
  <si>
    <t>https://www.youtube.com/watch?v=BGaOGtfTKPc&amp;list=LL&amp;index=4</t>
  </si>
  <si>
    <t>덤벨 루마니안 데드리프트</t>
  </si>
  <si>
    <t>기립근</t>
  </si>
  <si>
    <t>12</t>
  </si>
  <si>
    <t>둔근·햄스트링</t>
  </si>
  <si>
    <t>(원래는 백 익스텐션)기립근 보조. 20kg으로 가볍게 — 무게를 올리면 햄스트링 종목이 되고 척추 부하도 같이 올라간다. 데드(7일차)와 이틀 간격이라 이 자리가 맞다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</si>
  <si>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</si>
  <si>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 xml:space="preserve"> </t>
  </si>
  <si>
    <t>2일차 — 밀기 A (수평)</t>
  </si>
  <si>
    <t>벤치 5×5가 이 프로그램의 최우선 종목. 6일차 밀기 B(수직)와 각도를 나눈다. 이두는 이 날 안 쓰이므로 바벨 컬을 여기 둔다 — 신선한 상태에서 치는 자리다.</t>
  </si>
  <si>
    <t>메인: 벤치프레스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</si>
  <si>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</si>
  <si>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</si>
  <si>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</si>
  <si>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</si>
  <si>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벤치프레스 (본세트)</t>
  </si>
  <si>
    <t>흉근(중하부)</t>
  </si>
  <si>
    <t>삼두·전면삼각</t>
  </si>
  <si>
    <t>현재 최우선 종목. 사이클당 2.25kg 마이크로로딩. 여기가 무너지면 그 사이클 나머지를 줄인다</t>
  </si>
  <si>
    <t>스미스 벤치프레스 (궤도 고정) / 체스트 프레스 머신 / 플로어 프레스 (어깨가 아플 때)</t>
  </si>
  <si>
    <t>딥스</t>
  </si>
  <si>
    <t>75 10개 채움</t>
  </si>
  <si>
    <t>상체 앞으로 기울여 흉근 비중 확보. 쉬워지면 벨트로 중량 추가</t>
  </si>
  <si>
    <t>어시스트 딥스 머신 / 디클라인 덤벨 프레스 / 체스트 딥스 머신</t>
  </si>
  <si>
    <t>인클라인 덤벨 플라이(혹은 벡덱플라이 머신으로)</t>
  </si>
  <si>
    <t>흉근(상부)</t>
  </si>
  <si>
    <t>프레싱 뒤 고립. 늘어난 구간에서 멈추지 말고 부드럽게</t>
  </si>
  <si>
    <t>케이블 크로스오버 (아래→위) / 펙덱 플라이 (등받이를 눕혀 인클라인 각으로) / 인클라인 머신 플라이</t>
  </si>
  <si>
    <t>디클라인 케이블 플라이</t>
  </si>
  <si>
    <t>늘어난 구간을 쓰는 삼두 종목. 푸쉬다운(6일차)과 각도를 나눈다 [v18 6일차로 이동 — 푸쉬다운 제외로 2일차 배치 사유(각도 분담) 소멸 · 2026-08-28 E열 0으로 정리. 6일차 라잉 트라이셉스 4세트가 이 종목의 자리다. 되살리려면 여기 세트를 올리고 대신 다른 종목을 내릴 것 — 이 세션 상한은 26이다]</t>
  </si>
  <si>
    <t>오버헤드 케이블 익스텐션 / 스컬크러셔 / 클로즈그립 벤치프레스 (중량 가능)</t>
  </si>
  <si>
    <t>레터럴 레이즈</t>
  </si>
  <si>
    <t>삼각근(측면)</t>
  </si>
  <si>
    <t>덤벨은 아래 구간에 저항이 안 걸린다 — 원암 케이블(6일차)이 그 구간을 메운다</t>
  </si>
  <si>
    <t>케이블 레터럴 레이즈 (전 구간 장력) / 레터럴 레이즈 머신 / 라잉 레터럴</t>
  </si>
  <si>
    <t>리버스 펙덱플라이</t>
  </si>
  <si>
    <t>삼각근(후면)</t>
  </si>
  <si>
    <t>20~25</t>
  </si>
  <si>
    <t>밀기 날에 이두를 넣는 이유는 1일차 푸쉬다운과 같다 — 이 세션에서 이두는 전혀 안 쓰이므로 완전히 신선하다. 이두 직접이 6 → 9세트, 사이클당 2회 → 3회가 된다 (2일차 · 5일차 · 8일차, 간격 3-3-2일). 5일차 프리쳐(반동 차단 · 짧아진 구간) · 8일차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</si>
  <si>
    <t>EZ바 컬 (손목이 편함) / 케이블 바 컬 (전 구간 장력 유지) / 머신 컬 / 덤벨 컬 양팔 동시</t>
  </si>
  <si>
    <t>5일차 — 당기기 B (수평)</t>
  </si>
  <si>
    <t>로우 · 견갑골 후인 · 이두 · 전완. 1일차 당기기 A(수직)와 각도를 나눈다.</t>
  </si>
  <si>
    <t>웜업 — 밴드 풀 어파트 2세트 × 15 (세트 카운트 제외): 가볍게, 견갑골 후인 프라이밍. 대체: 케이블 스캡 로우 / 아주 가벼운 페이스풀.</t>
  </si>
  <si>
    <t>해머 스트랭스 로우</t>
  </si>
  <si>
    <t>중부승모·이두</t>
  </si>
  <si>
    <t>수평 당기기 메인. 가슴이 받쳐져 허리 부담이 없다</t>
  </si>
  <si>
    <t>체스트 서포티드 로우 / 티바 로우 / 펜들레이 로우 (척추 부하 ↑) / 바벨 로우</t>
  </si>
  <si>
    <t>시티드 케이블 로우</t>
  </si>
  <si>
    <t>해머와 그립을 다르게 (해머가 뉴트럴이면 여기선 와이드). 광배 아래쪽 섬유</t>
  </si>
  <si>
    <t>원암 케이블 로우 (좌우 독립) / 덤벨 로우 / 머신 로우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</si>
  <si>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</si>
  <si>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</si>
  <si>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</si>
  <si>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케이블 리버스 플라이</t>
  </si>
  <si>
    <t>중부승모·능형근</t>
  </si>
  <si>
    <t>후면 삼각근은 프레스로 자라지 않는다 — 반드시 별도로 센다 [v17 제외 — 후면은 2일차 4 · 6일차 3 · 8일차 9로 사이클당 3회 16세트 — 이 행은 그 재편으로 비워둔 자리다]</t>
  </si>
  <si>
    <t>리버스 펙덱 (자세 유지가 쉬워 사실상 상위 호환) / 페이스풀 / 인클라인 벤치 리어델트 레이즈</t>
  </si>
  <si>
    <t>프리쳐 컬</t>
  </si>
  <si>
    <t>반동이 차단되는 종목. 인클라인(8일차)과 각도를 나눈다</t>
  </si>
  <si>
    <t>EZ바 프리처 컬 / 머신 프리처 컬 / 컨센트레이션 컬</t>
  </si>
  <si>
    <t>리버스 리스트익스텐션 컬(손등 아래)</t>
  </si>
  <si>
    <t>손목 굴근. 1일차 리버스와 대항쌍 [v17 감량 4→3 — 전완 실질 8로 자체 하한 유지]</t>
  </si>
  <si>
    <t>덤벨 리스트 컬 (한 손씩) / 케이블 리스트 컬 / 비하인드백 리스트 컬</t>
  </si>
  <si>
    <t>리버스컬</t>
  </si>
  <si>
    <t>이두(상완근)</t>
  </si>
  <si>
    <t>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</si>
  <si>
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</si>
  <si>
    <t>트랩바 슈러그</t>
  </si>
  <si>
    <t>승모(상부)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</si>
  <si>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</si>
  <si>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6일차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</si>
  <si>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</si>
  <si>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케이블 크런치(혹은 중량 크런치)</t>
  </si>
  <si>
    <t>복부 굴곡(상부). 1일차 레그레이즈(하부)와 나눈다</t>
  </si>
  <si>
    <t>케이블 크런치 (점진적 과부하에 최적 — 1순위) / 압도미널 크런치 머신 / 인클라인 싯업</t>
  </si>
  <si>
    <t>6일차 — 밀기 B (수직)</t>
  </si>
  <si>
    <t>오버헤드 프레싱 · 흉근 상부 · 어깨 측면/후면. 벤치(2일차)와 4일 간격이라 무게가 온전히 나온다.</t>
  </si>
  <si>
    <t>메인: 밀리터리 프레스</t>
  </si>
  <si>
    <t>밀리터리 프레스 (본세트)</t>
  </si>
  <si>
    <t>삼각근(전면)</t>
  </si>
  <si>
    <t>삼두 · 삼각근(측면)</t>
  </si>
  <si>
    <t>벤치와 4일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</si>
  <si>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</si>
  <si>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머신 숄더 프레스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</si>
  <si>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</si>
  <si>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</si>
  <si>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</si>
  <si>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오버헤드 슈러그(스미스)</t>
  </si>
  <si>
    <t>승모(하부)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</si>
  <si>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</si>
  <si>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</si>
  <si>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</si>
  <si>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좌우 독립 + 궤도 고정. 벤치(2일차)가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</si>
  <si>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</si>
  <si>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인클라인 벤치프레스 머신</t>
  </si>
  <si>
    <t>쇄골지. 오버헤드 프레싱과 각도가 이어져 세팅 이동이 적다</t>
  </si>
  <si>
    <t>인클라인 스미스 프레스 / 인클라인 덤벨 프레스 (가동범위 ↑) / 인클라인 체스트 프레스 머신</t>
  </si>
  <si>
    <t>벤트오버 레터럴 레이즈 머신</t>
  </si>
  <si>
    <t>수평 외전. 2일차 리버스 펙덱 · 8일차 후면 3종목(9세트)과 함께 후면 사이클당 3회 16세트를 만든다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</si>
  <si>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</si>
  <si>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</si>
  <si>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레터럴(2일차)이 못 거는 구간</t>
  </si>
  <si>
    <t>케이블 원암 레터럴 레이즈 (최우선) / 원암 레터럴 레이즈 머신</t>
  </si>
  <si>
    <t>프론 Y 레이즈</t>
  </si>
  <si>
    <t>2~5</t>
  </si>
  <si>
    <t>벤트오버 레터럴과 같은 인클라인 벤치 — 세팅 그대로 이어서. 매우 가볍게. 오버헤드 슈러그가 상방회전, 이쪽은 하강 — 역할이 다르다</t>
  </si>
  <si>
    <t>케이블 Y 레이즈 / 페이스풀 (마지막에 견갑골 하강) / 프론 스윔</t>
  </si>
  <si>
    <t>라잉 트라이셉스 익스텐션</t>
  </si>
  <si>
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</si>
  <si>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</si>
  <si>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하부 승모 — 세 패턴 (v3)</t>
  </si>
  <si>
    <t>· 하부 승모의 일은 두 갈래다: 견갑골 하강, 그리고 팔이 올라갈 때의 상방회전.</t>
  </si>
  <si>
    <t>· 스캡 풀업(월 웜업) = 순수 하강 · 프론 Y(6일차) = 하강 + 후인 · 오버헤드 슈러그(6일차)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</si>
  <si>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</si>
  <si>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</si>
  <si>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</si>
  <si>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</si>
  <si>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</si>
  <si>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7일차 — 하체 B (고관절 지배)</t>
  </si>
  <si>
    <t>· 힙 힌지 · 둔근. 3일차 하체 A(무릎 지배)와 4일 간격. 다음 날은 8일차 어깨 — 척추 부하가 0인 고립 세션이라 사실상 회복일이다.</t>
  </si>
  <si>
    <t>메인: 데드리프트</t>
  </si>
  <si>
    <t>데드리프트 (본세트)</t>
  </si>
  <si>
    <t>광배·햄스트링·둔근</t>
  </si>
  <si>
    <t>사이클당 1회. 다음 날이 8일차 어깨(레터럴·리버스 플라이뿐이라 척추 부하 0)라 이 자리가 가장 안전하다. 기립근 보조는 1일차 덤벨 RDL이 맡는다</t>
  </si>
  <si>
    <t>트랩바 데드리프트 (요추 전단력 ↓) / 랙풀 (무릎 위에서 시작) / 스모 데드리프트</t>
  </si>
  <si>
    <t>힙 쓰러스트</t>
  </si>
  <si>
    <t>둔근 메인. 무겁게. 데드 뒤라 둔근이 예열된 상태</t>
  </si>
  <si>
    <t>힙 쓰러스트 머신 / 스미스 힙 쓰러스트 / 글룻 브릿지</t>
  </si>
  <si>
    <t>루마니안 데드리프트</t>
  </si>
  <si>
    <t>고관절 신전. 3일차 레그 컬(무릎 굴곡)과 기능이 다르다</t>
  </si>
  <si>
    <t>덤벨 RDL (좌우 독립) / 스티프 레그드 데드리프트 / 케이블 풀스루 (허리 부담 최소)</t>
  </si>
  <si>
    <t>원 레그 컬</t>
  </si>
  <si>
    <t>10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</si>
  <si>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</si>
  <si>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</si>
  <si>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</si>
  <si>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사이클당 2회를 만들기 위한 배치. 3일차 스쿼트 볼륨과 4일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</si>
  <si>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</si>
  <si>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</si>
  <si>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</si>
  <si>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시티드 카프 레이즈</t>
  </si>
  <si>
    <t>무릎 굽힘 — 가자미근 주도. 3일차 스탠딩(비복근)과 역할이 다르다</t>
  </si>
  <si>
    <t>시티드 카프 레이즈 머신 (1순위) / 레그 프레스에서 무릎 굽힌 채 / 덤벨을 무릎에 올리고</t>
  </si>
  <si>
    <t>관상면 외전 — 고관절 날로 복귀 (v18). 5일 버전 7일차 과부하 때문에 3일차로 갔던 종목이나 그 사유 소멸. 앉는 시간이 길면 대둔근보다 중둔근이 먼저 잠든다. (이 자리의 트렁크 로테이션은 v17 제외 — 복부 직접 8 유지)</t>
  </si>
  <si>
    <t>8일차 — 어깨 (측면 · 후면) · 이두</t>
  </si>
  <si>
    <t>측면·후면 삼각근 + 이두. 약 40분. 2·6일차 밀기가 세션 상한(26)이라 늘린 어깨 볼륨을 여기로 뺐고, 이두는 당기기로 지치지 않는 날에 두려고 1일차에서 옮겨 왔다.</t>
  </si>
  <si>
    <t>웜업 — 케이블 외회전 2세트 × 12~15 (세트 카운트 제외): 매우 가볍게 2.5~5kg. 팔꿈치를 90도로 접어 옆구리에 붙이고 바깥으로만 회전. 대체: 밴드 외회전 / 아주 가벼운 페이스풀.</t>
  </si>
  <si>
    <t>머신 레터럴 레이즈</t>
  </si>
  <si>
    <t>궤도가 고정돼 반동이 안 들어간다. 중간 구간을 끝까지 쓴다. 어깨가 으쓱 따라 올라가면 승모가 대신 일하는 것 — 무게를 내린다.</t>
  </si>
  <si>
    <t>덤벨 레터럴 (머신 없을 때 — 몸 옆이 아니라 살짝 앞) / 케이블 레터럴 양팔 크로스</t>
  </si>
  <si>
    <t>리닝 원암 케이블 레터럴 레이즈</t>
  </si>
  <si>
    <t>기둥을 잡고 몸을 반대로 기울여 늘어난 위치부터 부하가 걸린다 — 머신·덤벨이 못 거는 구간이다. 좌우 각 2세트. 6일차에도 같은 종목이 있지만 4일 간격이라 겹치지 않는다.</t>
  </si>
  <si>
    <t>케이블 비하인드백 레터럴 / 로우 풀리 원암 레터럴 / 인클라인 벤치에 옆으로 누워 덤벨 레터럴</t>
  </si>
  <si>
    <t>와이드 그립 케이블 업라이트 로우</t>
  </si>
  <si>
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</si>
  <si>
    <t>EZ바 와이드 업라이트 로우 / 스미스 업라이트 로우 / 케이블 Y 레이즈 (충돌이 느껴질 때)</t>
  </si>
  <si>
    <t>팔을 편 채 수평으로만 벌린다. 케이블이라 수축 지점에서도 장력이 유지된다. 팔꿈치가 어깨선을 크게 지나가면 후면 삼각근에서 능형근으로 넘어간다.</t>
  </si>
  <si>
    <t>리버스 펙덱 (2일차와 같은 머신이면 그립만 바꿔 각도를 나눈다) / 벤트오버 케이블 크로스</t>
  </si>
  <si>
    <t>인클라인 벤치 프론 리어 델트 레이즈</t>
  </si>
  <si>
    <t>가슴을 벤치에 대고 엎드려 상체를 고정한다 — 반동과 기립근 개입이 통째로 차단돼 후면만 남는다. 자유중량이라 궤도가 고정된 4번과 다른 안정화 요구가 붙는다. 아주 가볍게, 무게보다 정지 1초.</t>
  </si>
  <si>
    <t>프론 덤벨 리어 레이즈 (평벤치) / 시티드 벤트오버 덤벨 리어 레이즈 / 리버스 펙덱</t>
  </si>
  <si>
    <t>리어 델트 로우 (로프)</t>
  </si>
  <si>
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</si>
  <si>
    <t>와이드 그립 시티드 케이블 로우 (팔꿈치 벌려) / 페이스풀 (외회전까지 포함) / 머신 로우 와이드 그립</t>
  </si>
  <si>
    <t>인클라인 덤벨 컬</t>
  </si>
  <si>
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5일차 프리쳐 컬(짧아진 구간)과 각도를 나눈다. 어깨를 앞으로 말면 늘어난 구간이 사라진다.</t>
  </si>
  <si>
    <t>케이블 컬 (뒤로 물러서서 스트레치 확보) / 스파이더 컬 (반대 각도) / 드래그 컬</t>
  </si>
  <si>
    <t>· 실패지점 1~2회 남기고 멈춘다. 8일차는 5일차부터 이어진 연속 구간 한가운데라 여기서 회복을 깎으면 다음 사이클 앞머리가 밀린다.</t>
  </si>
  <si>
    <t>· 세트 간 휴식 60~80초. 소근육 고립이라 길게 쉴 이유가 없다. 본세트 기준 약 39분 (웜업 별도).</t>
  </si>
  <si>
    <t>· 이 세션에 메인 리프트는 없다. 무게를 올리는 날이 아니라 볼륨을 채우는 날이다.</t>
  </si>
  <si>
    <t>· 척추 부하가 0이라 7일차 데드리프트 다음 날 자리로 안전하다 — 그게 이 날이 여기 있는 이유다. 이두 컬이 붙어도 그 성질은 그대로다.</t>
  </si>
  <si>
    <t>· 척추 부하가 0이라 7일차 데드리프트 다음 날 자리로 안전하다 — 그게 이 날이 여기 있는 이유다.</t>
  </si>
  <si>
    <t>왜 프레스가 없는가</t>
  </si>
  <si>
    <t>· 볼륨 랜드마크 표에 전면 삼각근 행이 아예 없다 — 모든 프레스가 자동으로 채워주는 부위라 별도 하한을 잡지 않는다.</t>
  </si>
  <si>
    <t>· 실제로 전면은 벤치 · 밀리터리 · 머신 숄더 · 인클라인 · 딥스로 실질 11세트대다. 숄더 프레스를 더 넣으면 늘어나는 건 어깨가 아니라 삼두와 전면의 중복 피로다.</t>
  </si>
  <si>
    <t>왜 6종목으로 나눴는가</t>
  </si>
  <si>
    <t>· 한 세션 부위당 8~9세트가 이 프로그램의 상한인데, 여기서 후면이 9세트다. 상한에 정확히 걸쳐 있다.</t>
  </si>
  <si>
    <t>· 같은 종목 9세트는 뒤쪽 세트의 자극당 값이 떨어진다. 축을 셋으로 나눠 그 손해를 줄인 것이다 — 팔 편 수평 외전(4번) · 몸통 고정 자유중량(5번) · 팔 굽힌 당기기(6번).</t>
  </si>
  <si>
    <t>· 측면도 같은 이유로 셋이다 — 궤도 고정(1번) · 늘어난 구간(2번) · 굽힌 팔 당기기(3번).</t>
  </si>
  <si>
    <t>· 이상적인 배치는 아니다. 볼륨을 여러 날로 흩는 쪽이 낫지만, 2일차 26 · 6일차 26이 세션 상한이라 실을 자리가 없었다. 고립 소근육은 상한 예외지만 그건 이미 26에 닿은 날에 더 얹어도 된다는 뜻이 아니라, 팔 고립이 많은 날이 27이 되는 것을 허용한다는 뜻이다.</t>
  </si>
  <si>
    <t>배치 근거 (2026-08-28)</t>
  </si>
  <si>
    <t>· 측면 16 = 2일차 6 + 6일차 3 + 8일차 7. 후면 16 = 2일차 4 + 6일차 3 + 8일차 9. 사이클당 기준.</t>
  </si>
  <si>
    <t>· 주당 환산은 각 14다 (×7/8). MAV 하단(16)에 맞추려면 사이클당 18이 필요하고, 그러면 이 세션이 20세트가 된다. 거기까지는 가지 않았다.</t>
  </si>
  <si>
    <t>· 후면 간격: 2일차 → 6일차 4일 · 6일차 → 8일차 2일 · 8일차 → 다음 2일차 2일. 사이클당 3회.</t>
  </si>
  <si>
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</si>
  <si>
    <t>되돌리는 법</t>
  </si>
  <si>
    <t>· 회복이 안 따라오면 E열 세트를 0으로 내린다. 조건부서식이 회색으로 접고 세트 합계 · 세트검산에서 자동으로 빠진다 — 시트를 지울 필요가 없다.</t>
  </si>
  <si>
    <t>· 전부 끄면 4일차에 이어 완전 휴식일이 하나 더 생긴다. 프로그램에서 가장 먼저 버릴 세션이 여기다.</t>
  </si>
  <si>
    <t>· 판단 기준: 다음 날 1일차 당기기에서 힘이 안 나거나, 어깨 앞쪽에 통증이 생기거나, 근육통이 다음 세션까지 남으면 즉시 줄인다.</t>
  </si>
  <si>
    <t>간접 세트 계수 맵 — 세트검산 간접 열(C)의 계산 원천</t>
  </si>
  <si>
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</si>
  <si>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계수 규칙(상한 0.5):  0.5 = 명확한 협력근(능동 수축·신전) · 0.33 = 부분 협력(관여하나 비주도) · 0.2 = 약한 자극(고장력 등척성 또는 미미한 동적 관여) · 0 = 순수 그립·안정화(자극 없음).   파란 계수 = 수정 가능 · 출처 G = 프로그램 선언(초록) / C = Claude 추가(주황)</t>
  </si>
  <si>
    <t>원천 일차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</si>
  <si>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</si>
  <si>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</si>
  <si>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</si>
  <si>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</si>
  <si>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</si>
  <si>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</si>
  <si>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</si>
  <si>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D1_당기기A</t>
  </si>
  <si>
    <t>G</t>
  </si>
  <si>
    <t>당기기 중 이두 능동 굴곡 — 강한 협력</t>
  </si>
  <si>
    <t>당기기 중 이두 능동 굴곡</t>
  </si>
  <si>
    <t>D5_당기기B</t>
  </si>
  <si>
    <t>로우 중 이두 능동 굴곡</t>
  </si>
  <si>
    <t>D2_밀기A</t>
  </si>
  <si>
    <t>프레스 중 삼두 신전 — 강한 협력</t>
  </si>
  <si>
    <t>딥스는 삼두 스트레치+신전 강함</t>
  </si>
  <si>
    <t>D6_밀기B</t>
  </si>
  <si>
    <t>오버헤드 프레스 삼두 신전</t>
  </si>
  <si>
    <t>프레스 중 삼두 신전</t>
  </si>
  <si>
    <t>D8_어깨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</si>
  <si>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</si>
  <si>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</si>
  <si>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</si>
  <si>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</t>
  </si>
  <si>
    <t>인클라인은 전면삼각 관여 큼</t>
  </si>
  <si>
    <t>오버헤드 프레스 측면삼각 능동 관여</t>
  </si>
  <si>
    <t>페이스풀 중 후면삼각 능동 수축</t>
  </si>
  <si>
    <t>Y레이즈 후면삼각 능동 관여</t>
  </si>
  <si>
    <t>견갑 후인 능동 수축</t>
  </si>
  <si>
    <t>D7_하체B</t>
  </si>
  <si>
    <t>고관절 신전 협력</t>
  </si>
  <si>
    <t>힌지 — 햄스트링 준주동</t>
  </si>
  <si>
    <t>D3_하체A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</si>
  <si>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</si>
  <si>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</si>
  <si>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</si>
  <si>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</si>
  <si>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</si>
  <si>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</t>
  </si>
  <si>
    <t>고장력 등척성 — 중량 받치기</t>
  </si>
  <si>
    <t>RDL은 기립근 동적 신전·수축 — 등척성 아님</t>
  </si>
  <si>
    <t>스플릿 스쿼트 대퇴사두 동적 작동</t>
  </si>
  <si>
    <t>관상면 안정화 부하 — 부분 관여</t>
  </si>
  <si>
    <t>C</t>
  </si>
  <si>
    <t>고장력 등척성 — 바를 몸쪽에 고정(길이변화 작음)</t>
  </si>
  <si>
    <t>대내전근은 고관절 신전근 — 깊은 스쿼트서 동적 작동</t>
  </si>
  <si>
    <t>부분 관여</t>
  </si>
  <si>
    <t>단측 부하 부분 관여</t>
  </si>
  <si>
    <t>플랫 벤치의 상부 섬유 미미한 동적 관여</t>
  </si>
  <si>
    <t>인클라인의 중하부 섬유 미미한 관여</t>
  </si>
  <si>
    <t>로우 중 상부승모 약한 등척성</t>
  </si>
  <si>
    <t>오버헤드 상방회전 약한 관여</t>
  </si>
  <si>
    <t>고장력 등척성 견갑대 유지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</si>
  <si>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</si>
  <si>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</si>
  <si>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</si>
  <si>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(7일차 분할분)</t>
  </si>
  <si>
    <t>부분 관여 (7일차 분할분)</t>
  </si>
  <si>
    <t>오버헤드 프레스 삼두 신전 — 기존 프레스 삼두 엣지(0.5)와 일관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</si>
  <si>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</si>
  <si>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</si>
  <si>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벤치·인클라인 머신과 같은 0.5 등급</t>
  </si>
  <si>
    <t>엎침 그립이라 이두가 짧아진 자리에서 불리 — 상완근 경유 부분 협력 (프리쳐 컬→전완 0.33과 대칭)</t>
  </si>
  <si>
    <t>견갑 후인 능동 수축 — D5_당기기B의 같은 종목(0.5)과 동일 등급</t>
  </si>
  <si>
    <t>팔꿈치를 어깨 높이로 올리는 궤적 — 상부승모 부분 협력. 레이즈 계열(계수 없음)과 다른 점이 이것이다</t>
  </si>
  <si>
    <t>견갑 후인 능동 수축 — 로우 계열과 동일 등급</t>
  </si>
  <si>
    <t>컬 중 상완요골근 동적 굴곡 — 인클라인·프리쳐 컬(0.33)과 동일 등급</t>
  </si>
  <si>
    <t>간접 총합</t>
  </si>
  <si>
    <t>근육군별 주간 세트 — 검산</t>
  </si>
  <si>
    <t>세트는 근육군 단위로 센다. '하체 20세트'는 의미 없는 숫자 — 대퇴 18 / 햄스트링 2여도 하체 20이 된다. 집계는 일차 시트 E열(설계 세트) 기준이며 B~D열은 사이클당(8일) 값이다. 판정(E열)은 J열의 주당 환산(사이클당 × 7/8)으로 한다 — 볼륨 랜드마크가 주 단위이기 때문이다. 간접·실질은 0.5 단위 반올림으로 표시한다 — 메모의 계산 원값과 ±0.25 이내 차이가 날 수 있다.</t>
  </si>
  <si>
    <t>직접 세트</t>
  </si>
  <si>
    <t>간접 추정</t>
  </si>
  <si>
    <t>실질</t>
  </si>
  <si>
    <t>판정</t>
  </si>
  <si>
    <t>간접 출처 / 비고</t>
  </si>
  <si>
    <t>주당 환산 (×7/8)</t>
  </si>
  <si>
    <t>플랫 벤치 5세트가 쇄골지에도 일부 기여</t>
  </si>
  <si>
    <t>흉근 합산(상+중하)</t>
  </si>
  <si>
    <t>인클라인 벤치프레스 머신 0.2×4=0.8 — 흉늑지 약관여. 직접 12세트: 2일차 벤치 5 · 딥스 4 · 6일차 헤머 체스트 3 (디클라인 케이블 플라이는 2026-08-28 0세트로 정리).</t>
  </si>
  <si>
    <t>데드리프트의 광배 등척성 유지 — 사이클당 1세트뿐이라 0으로 하향(계수 0). 직접 14세트로 이미 충분.</t>
  </si>
  <si>
    <t>등</t>
  </si>
  <si>
    <t>직접: 트랩바 슈러그(5일차) 2세트. 간접: 해머 로우 0.2×4=0.8 · 밀리터리 0.2×3=0.6 · 데드 0.2×1=0.2 = 1.6. 실질 3.6 — 하한(8) 미만. 8일차 와이드 그립 업라이트 로우 0.33×2=0.66이 붙어 사이클당 2회가 됐다. 그래도 하한 미달이면 D2_밀기A에 2세트 추가.</t>
  </si>
  <si>
    <t>친업 0.2×4=0.8 + 해머 로우 0.2×4=0.8 = 1.6 — 견갑 하강은 동작 개시 관여라 약계수</t>
  </si>
  <si>
    <t>해머 로우 0.5×4=2 + 시티드 케이블 로우 0.5×3=1.5 + 리버스 펙덱(2일차) 0.33×4=1.32 = 4.82 — 전부 견갑 후인 계열. + 케이블 리버스 플라이(8일차) 0.5×3=1.5 = 6.32. (5일차 케이블 리버스 플라이는 v17 제외로 간접에서 빠지고, 그 종목이 8일차로 옮겨 왔다)</t>
  </si>
  <si>
    <t>스쿼트 0.2×5=1(등척성) + RDL(7일차) 0.5×3=1.5(동적) + 트랩바 슈러그 0.2×2=0.4 = 2.9</t>
  </si>
  <si>
    <t>벤치 0.5×5=2.5 + 인클라인 머신 0.5×4=2 + 딥스 0.2×3=0.6 = 5.1 (머신 숄더·밀리터리는 직접 전면 분류 · 헤머 체스트는 v17 제외)</t>
  </si>
  <si>
    <t>밀리터리 프레스 0.5×3=1.5. (머신 숄더 프레스는 직접 전면삼각으로 분류 — 측면 간접엔 미포함.) 직접 16세트: 2일차 레터럴 6 · 6일차 원암 케이블 3 · 8일차 3종목 7 (머신 3 · 리닝 케이블 2 · 업라이트 로우 2).</t>
  </si>
  <si>
    <t>페이스풀(1일차) 0.5×3=1.5 + 프론 Y(6일차) 0.5×2=1.0 = 2.5. 후면삼각은 프레스로 안 자라 직접 16세트로 별도 확보 — 2일차 리버스 펙덱 4 · 6일차 벤트오버 3 · 8일차 3종목 9 (케이블 리버스 플라이 3 · 인클라인 프론 리어 레이즈 3 · 리어 델트 로우 3). 사이클당 3회, 주당 환산 14.</t>
  </si>
  <si>
    <t>하체(대퇴·햄·종아리)</t>
  </si>
  <si>
    <t>힙 쓰러스트 0.5×4=2 + 데드 0.5×1=0.5 + 덤벨 RDL(1일차) 0.5×3=1.5 = 4</t>
  </si>
  <si>
    <t>스쿼트 0.5×5=2.5 + 데드 0.5×1=0.5 + RDL(7일차) 0.5×3=1.5 + 덤벨 RDL(1일차) 0.5×3=1.5 + 레그 프레스(수·토) 0.33×6=1.98 = 7.98</t>
  </si>
  <si>
    <t>불가리안 0.33×4=1.32 — 한 다리 지지 관상면 안정화. 스쿼트·레그프레스는 양측 지지라 계수 없음</t>
  </si>
  <si>
    <t>직접 세트 내역: 3일차 스탠딩 카프 3 (무릎 편 상태 — 비복근) · 7일차 시티드 카프 3 (무릎 굽힘 — 가자미근). 간접 출처는 없음 — 스쿼트·레그프레스의 발목 관여는 실패지점 근처까지 가지 않아 0으로 둔다.</t>
  </si>
  <si>
    <t>친업 0.5×4=2 + 랫풀다운 0.5×3=1.5 + 해머 로우 0.5×4=2 + 시티드 케이블 로우 0.5×3=1.5 + 리버스컬 0.33×3=0.99 = 7.99. 직접 9세트 · 사이클당 3회 — 2일차 바벨 컬 3 · 5일차 프리쳐 3 · 8일차 인클라인 3. 컬은 셋 다 당기기 간접이 안 걸린 자리에 둔다 (밀기 날 · 당기기 B는 프리쳐만 · 어깨 날).</t>
  </si>
  <si>
    <t>프레스 전 종목 0.5 — 벤치 2.5 · 딥스 2 · 밀리터리 1.5 · 머신 숄더 1.5 · 인클라인 머신 2 · 헤머 체스트 1.5 = 11. 직접 7세트: 1일차 케이블 푸쉬다운 3(짧아진 구간 · 신선한 상태) · 6일차 라잉 익스텐션 4(늘어난 구간). 2026-08-28 이전에는 직접 4 · 사이클당 1회로 MEV(6) 미달이었다.</t>
  </si>
  <si>
    <t>바벨 컬(2일차) · 프리쳐 컬(5일차) · 인클라인 덤벨 컬(8일차) 0.33×각3 = 2.97. 리버스컬(5일차)은 상완요골근 주동이라 간접이 아니라 직접 전완 3세트로 센다. 순수 그립(데드·로우·친업·트랩바)은 규칙상 0 — 성장 자극 없음</t>
  </si>
  <si>
    <t>스쿼트 · 데드의 코어 브레이싱은 등척성 안정화이며 실패지점 근처까지 가지 않아 0으로 하향. 직접 11세트로 충족.</t>
  </si>
  <si>
    <t>스쿼트 · 레그 프레스 · 불가리안의 벌어진 스탠스 구간</t>
  </si>
  <si>
    <t>직접 세트 총계</t>
  </si>
  <si>
    <t>기준선</t>
  </si>
  <si>
    <t>· 주 10~20세트 = 성장 구간. 8일 주기라 사이클당 세트를 그대로 쓰면 안 되고, J열의 주당 환산(×7/8)으로 판정한다.</t>
  </si>
  <si>
    <t>· 주 8세트 = 유지 하한 (역시 주당 환산 기준).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</si>
  <si>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</si>
  <si>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</si>
  <si>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</si>
  <si>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</si>
  <si>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</si>
  <si>
    <t>현재 보완 필요 항목</t>
  </si>
  <si>
    <t>· 종아리 (2026-08): 3일차 스탠딩 카프 3 + 7일차 시티드 카프 3 = 사이클당 6세트 · 주당 환산 5.3 — 유지 하한(8) 미달. 8로 올리려면 각 4세트로.  |  후면 삼각근 (2026-08-28 해소): 직접 7 → 10세트. 8일차 어깨 세션 신설로 MEV(8) 통과.</t>
  </si>
  <si>
    <t>· 8일 주기 (A블록 3일 · 휴식 · B블록 3일 · 어깨). 서술상 계보: 5일 147 → 재편 159 → v17 143 → v18 140 → 5일차 리버스컬 3 → 8일차 어깨 7. 다만 E열 실측은 162다 (2026-08-28 확인).</t>
  </si>
  <si>
    <t>· 하부 승모: 프론 Y(하강+후인) 2 + 오버헤드 슈러그(상방회전) 3 = 직접 5. 스캡 풀업(하강)은 v18에서 1일차 웜업으로 전환 — 패턴은 매주 유지되나 카운트 제외.</t>
  </si>
  <si>
    <t>· 중둔근·종아리는 하한(8) 미달이지만 성장이 아닌 유지 목적 — 계수 0으로 둔 양측 지지 안정화 자극(스쿼트·레그프레스)까지 감안한 판단이다. 내전근은 실질 10으로 충분에 진입 (v14).</t>
  </si>
  <si>
    <t>· 승모(중부)·능형근 보강 (2026-08): 직접 종목이 5일차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+ 5일차 리버스컬 3 + 8일차 어깨 7).</t>
  </si>
  <si>
    <t>· 승모(상부) 신설 (2026-08): 이전에는 항목 자체가 없었다. 5일차 트랩바 슈러그 2세트 — 사이클당 1회. 6일차 오버헤드 슈러그는 승모 하부·상방회전이라 대체가 아니라 별개 근육이므로 그대로 유지. 실질 3.6 — 하한 미만 — 3~4주 뒤 자극이 부족하면 D2_밀기A에 2세트 추가.</t>
  </si>
  <si>
    <t>· 서술 ↔ E열 불일치 (2026-08-28 발견): 남은 두 칸 — 1일차 바벨 로우 3(v18 웜업 전환) · 6일차 헤머스트랭스 체스트 프레스 3(v17 제외). 메모는 제외인데 E열에 세트가 남아 있다. 둘 다 0으로 내리면 사이클당 168. 2일차 디클라인 케이블 플라이는 바벨 컬을 넣으며 해소했다.</t>
  </si>
  <si>
    <t>웜업 · 관절 준비 항목 (세트 카운트 제외)</t>
  </si>
  <si>
    <t>· 견갑 프라이밍 웜업 — 1일차 스캡 풀업 2 (하강) · 2·6일차 케이블 외회전 2씩 · 5일차 밴드 풀 어파트 2 (후인). 네 상체일 전부 그날 패턴의 웜업 보유. (1일차 페이스풀은 실제 부하 카운트 세트이므로 여기서 제외)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</si>
  <si>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</si>
  <si>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부하가 걸린 외회전 종목은 1일차 페이스풀 3세트가 유일 (이전에는 직접 0세트).</t>
  </si>
  <si>
    <t>· 벤치 5×5가 최우선 종목이고 12주간 계속 오른다. 근비대가 아니라 어깨 관절 유지 목적.</t>
  </si>
  <si>
    <t>메인 리프트 증량 기록</t>
  </si>
  <si>
    <t>기본은 계획대로 증량. 목표 반복을 못 채운 사이클에만 해당 칸에 X를 입력하면 그 중량이 유지됩니다.</t>
  </si>
  <si>
    <t>증량 설정 — 종목별</t>
  </si>
  <si>
    <t>데드리프트 사이클당 증량 (kg)</t>
  </si>
  <si>
    <t>가장 큰 근육군 · 회복 여력 최대</t>
  </si>
  <si>
    <t>스쿼트 사이클당 증량 (kg)</t>
  </si>
  <si>
    <t>하체 — 복귀 구간에서는 빠르게 오른다</t>
  </si>
  <si>
    <t>벤치프레스 사이클당 증량 (kg)</t>
  </si>
  <si>
    <t>마이크로플레이트 1.125kg × 2</t>
  </si>
  <si>
    <t>밀리터리 프레스 사이클당 증량 (kg)</t>
  </si>
  <si>
    <t>가장 작은 근육군 — 절대값이 작아 2.25kg은 과함</t>
  </si>
  <si>
    <t>스쿼트 목표</t>
  </si>
  <si>
    <t>미달 시 X</t>
  </si>
  <si>
    <t>데드 목표</t>
  </si>
  <si>
    <t>벤치 목표</t>
  </si>
  <si>
    <t>프레스 목표</t>
  </si>
  <si>
    <t>· 공란 또는 O = 계획대로 증량. X = 그 중량을 다음 주에도 유지.</t>
  </si>
  <si>
    <t>· 1사이클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</si>
  <si>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</si>
  <si>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</si>
  <si>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</si>
  <si>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</si>
  <si>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</si>
  <si>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</si>
  <si>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9월 이후 — 현장 복귀 시 조정</t>
  </si>
  <si>
    <t>이 프로그램은 재택 = 생활 부하 0 전제. 현장 복귀 시 그대로 쓰면 과부하.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</si>
  <si>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</si>
  <si>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</si>
  <si>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</si>
  <si>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</si>
  <si>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</si>
  <si>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</si>
  <si>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</si>
  <si>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</si>
  <si>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</si>
  <si>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</si>
  <si>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</si>
  <si>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</si>
  <si>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</si>
  <si>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</si>
  <si>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</si>
  <si>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3회</t>
  </si>
  <si>
    <t>8시간 근무 기준. 12시간 근무일과 그 다음날은 회피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</si>
  <si>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</si>
  <si>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</si>
  <si>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</si>
  <si>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</si>
  <si>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</si>
  <si>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</si>
  <si>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</si>
  <si>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쌓는 시기, 복귀 후는 지키는 시기.</t>
  </si>
  <si>
    <t>· 재택 기간에 근력 베이스를 만들어두면 복귀 후에는 유지 모드로만 가도 된다.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</si>
  <si>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</si>
  <si>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</si>
  <si>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</si>
  <si>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</si>
  <si>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재택 140세트 → 복귀 66세트 감축은 유지 하한 밴드(성장 볼륨의 1/3~1/2 = 47~70세트) 안이다 — 하한 아래로 떨어지는 구조가 아니다. 그래도 급락보다 완충이 안전하다.</t>
  </si>
  <si>
    <t>· 복귀 2~3주 전을 완충 구간으로 둘 것 — 주 4회 · 약 90세트로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</si>
  <si>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</si>
  <si>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</si>
  <si>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복귀_주간계획의 현재 수치: 140 → 66세트 (53% 감축).</t>
  </si>
  <si>
    <t>현장 복귀 버전 — 주간 계획</t>
  </si>
  <si>
    <t>12시간 근무 주 2회 (수·목 또는 목·금) · 나머지 8시간 · 토요일 오전 근무 · 일요일 휴무</t>
  </si>
  <si>
    <t>훈련 주 3회 — 화 · 토 · 일</t>
  </si>
  <si>
    <t>요일</t>
  </si>
  <si>
    <t>근무 (패턴 A: 수·목)</t>
  </si>
  <si>
    <t>근무 (패턴 B: 목·금)</t>
  </si>
  <si>
    <t>훈련</t>
  </si>
  <si>
    <t>비고</t>
  </si>
  <si>
    <t>월</t>
  </si>
  <si>
    <t>8시간</t>
  </si>
  <si>
    <t>주말 이틀 연속 훈련 뒤 회복일</t>
  </si>
  <si>
    <t>화</t>
  </si>
  <si>
    <t>상체 밀기</t>
  </si>
  <si>
    <t>12시간 근무 구간 직전. 프레싱은 현장 일과 회복 경쟁 없음</t>
  </si>
  <si>
    <t>수</t>
  </si>
  <si>
    <t>12시간</t>
  </si>
  <si>
    <t>패턴에 따라 12시간 — 양쪽 다 안전한 날이 아님</t>
  </si>
  <si>
    <t>목</t>
  </si>
  <si>
    <t>양 패턴 공통 12시간</t>
  </si>
  <si>
    <t>금</t>
  </si>
  <si>
    <t>패턴 A라도 전날이 12시간이라 회복 미완</t>
  </si>
  <si>
    <t>토</t>
  </si>
  <si>
    <t>오전</t>
  </si>
  <si>
    <t>오전 근무 후. 다음날 완충 있음</t>
  </si>
  <si>
    <t>일</t>
  </si>
  <si>
    <t>휴무</t>
  </si>
  <si>
    <t>완전 휴무일 — 데드리프트를 여기에 배치</t>
  </si>
  <si>
    <t>요일 선정 논리</t>
  </si>
  <si>
    <t>· 12시간 근무가 수·목 또는 목·금으로 걸리므로, 양 패턴 모두 안전한 날은 월·화·토·일뿐이다.</t>
  </si>
  <si>
    <t>· 금요일은 패턴 A에서 8시간이지만 전날이 12시간이라 회복이 안 된 상태 — 제외.</t>
  </si>
  <si>
    <t>· 월요일은 일요일 훈련 직후라 회복일로 비운다.</t>
  </si>
  <si>
    <t>· 패턴이 목·금으로 바뀌어도 화·토·일은 영향받지 않는다. 이것이 이 조합을 고른 이유.</t>
  </si>
  <si>
    <t>종목 배치 논리</t>
  </si>
  <si>
    <t>· 화요일에 상체 밀기 — 다음이 12시간 근무 구간. 프레싱은 현장 일이 쓰지 않는 영역이라 겹치지 않는다.</t>
  </si>
  <si>
    <t>· 여기에 등이나 하체를 두면 수·목 근무를 망친다.</t>
  </si>
  <si>
    <t>· 토요일에 하체 — 오전 근무 후이나 다음날 일요일이 완충.</t>
  </si>
  <si>
    <t>· 일요일에 등 + 데드 — 완전 휴무일이라 전날 밤 회복 후 시작하고 하루가 통째로 남는다.</t>
  </si>
  <si>
    <t>· 토(스쿼트) → 일(데드) 순서가 그 반대보다 낫다. 데드 다음날 스쿼트는 허리가 안 받쳐준다.</t>
  </si>
  <si>
    <t>재택 버전과의 차이</t>
  </si>
  <si>
    <t>· 주 6회 140세트 → 주 3회 66세트 (53% 감축). 9월 전 2~3주는 주 4회로 완충 — 당기기 B·밀기 B를 빼면 93으로 완충 목표(약 90)에 바로 닿는다.</t>
  </si>
  <si>
    <t>· 등 · 하체 · 기립근 · 전완 감축 — 현장 일이 하루 종일 채우는 부위</t>
  </si>
  <si>
    <t>· 프레싱 · 어깨 후면 · 코어 유지 — 현장 일이 채우지 않는 부위</t>
  </si>
  <si>
    <t>· 전완 전용 종목만 삭제 — 그립은 현장에서 온종일 쓴다. 이두 3 · 삼두 3은 유지 목적으로 남겼다 (재택 이두 6 · 삼두 4 = 10세트 → 6세트).</t>
  </si>
  <si>
    <t>· 종목은 재택 6일 프로그램에 있는 것으로 구성했다 — 유일한 예외인 스미스 오버헤드 프레스도 밀리터리의 대체 목록에 있던 궤도 고정 버전이라 새로 익힐 동작이 없다.</t>
  </si>
  <si>
    <t>· 무거운 프리웨이트는 스쿼트 · 벤치 · 데드 셋뿐이다. 밀리터리는 스미스, 나머지는 전부 머신 · 케이블 — 현장 일이 안정화 근육을 이미 하루치 쓰고 온다.</t>
  </si>
  <si>
    <t>화요일 — 상체 밀기 (8시간 근무 후)</t>
  </si>
  <si>
    <t>현장 일이 채워주지 않는 유일한 영역. 감축의 예외 — 재택 버전과 거의 동일하게 유지한다.</t>
  </si>
  <si>
    <t>최우선 종목. 재택에서 도달한 중량을 그대로 이어간다 — 낮출 이유 없음</t>
  </si>
  <si>
    <t>스미스 벤치 / 체스트 프레스 머신</t>
  </si>
  <si>
    <t>20~24</t>
  </si>
  <si>
    <t>좌우 독립 + 궤도 고정. 재택 금요일과 같은 종목이라 새로 익힐 것이 없다</t>
  </si>
  <si>
    <t>케이블 체스트 프레스 (전 구간 장력) / 덤벨 프레스 (가동범위 ↑)</t>
  </si>
  <si>
    <t>40~45</t>
  </si>
  <si>
    <t>쇄골지. 바벨 인클라인보다 어깨 앞쪽 부담이 적어 근무일 사이에 넣기 좋다</t>
  </si>
  <si>
    <t>인클라인 스미스 프레스 / 인클라인 덤벨 프레스</t>
  </si>
  <si>
    <t>프레싱 끝에 삼두. 재택 4세트 → 3세트. 팔꿈치가 시큰하면 EZ바로 바꾸거나 케이블 푸쉬다운으로</t>
  </si>
  <si>
    <t>EZ바 라잉 익스텐션 (손목·팔꿈치 부담 ↓) / 케이블 오버헤드 익스텐션 / 케이블 푸쉬다운</t>
  </si>
  <si>
    <t>간접 자극이 0인 부위 — 직접 세트로만 채워짐</t>
  </si>
  <si>
    <t>케이블 레터럴 레이즈</t>
  </si>
  <si>
    <t>현장 자세가 앞으로 말리므로 오히려 더 필요해짐</t>
  </si>
  <si>
    <t>리버스 펙덱 / 케이블 리버스 플라이</t>
  </si>
  <si>
    <t>[배치 이유]</t>
  </si>
  <si>
    <t>· 다음이 12시간 근무 구간(수·목 또는 목·금)인데, 프레싱은 현장 일이 쓰지 않는 영역이라 겹치지 않는다.</t>
  </si>
  <si>
    <t>· 여기에 등이나 하체를 두면 12시간 근무일을 망친다. 이 자리는 상체 밀기 전용.</t>
  </si>
  <si>
    <t>· 실패지점은 3~4회 남기고 종료. 재택 버전(2~3회)보다 한 단계 더 보수적으로.</t>
  </si>
  <si>
    <t>토요일 — 하체 (오전 근무 후)</t>
  </si>
  <si>
    <t>스쿼트만 프리웨이트로 두고 나머지는 전부 머신. 다음날 데드가 있으므로 힌지를 빼서 기립근 부하를 0에 가깝게 만든다.</t>
  </si>
  <si>
    <t>유일한 프리웨이트. 재택 5×5 → 3×5로 감축. 서 있기·걷기로 하체 볼륨이 이미 누적됨</t>
  </si>
  <si>
    <t>레그 프레스 (허리 부담 시 1순위) / 스미스 스쿼트 / 핵 스쿼트</t>
  </si>
  <si>
    <t>스쿼트 뒤 사두 볼륨을 척추 부하 없이 채운다. 발 위치를 높게 두면 둔근·햄스트링도 걸린다</t>
  </si>
  <si>
    <t>핵 스쿼트 / 45도 레그 프레스 / 스미스 스쿼트</t>
  </si>
  <si>
    <t>사두 고립. 스쿼트 뒤 남은 볼륨을 척추 부하 없이 채운다</t>
  </si>
  <si>
    <t>레그 프레스 (고립은 아니나 궤도 고정) / 시시 스쿼트 머신</t>
  </si>
  <si>
    <t>시티드로 하면 고관절이 굽어 햄스트링이 늘어난 구간에서 훈련된다 — 원 레그 컬(라잉 계열)과 각도가 나뉜다</t>
  </si>
  <si>
    <t>시티드 레그 컬 (1순위 — 각도가 갈린다) / 라잉 레그 컬</t>
  </si>
  <si>
    <t>루마니안 데드 대체. 힌지를 빼서 다음날 데드가 온전히 나온다. 편측이라 좌우 차이도 잡힌다</t>
  </si>
  <si>
    <t>라잉 / 시티드 레그 컬 (양측) / 케이블 풀스루</t>
  </si>
  <si>
    <t>앉아서 하는 쪽. 온종일 서 있던 날 스탠딩보다 부담이 적다</t>
  </si>
  <si>
    <t>스탠딩 카프 레이즈 머신 / 레그 프레스 카프 레이즈</t>
  </si>
  <si>
    <t>스미스 오버헤드 프레스</t>
  </si>
  <si>
    <t>밀리터리 대체. 궤도가 고정돼 안정화 부담이 없으면서 중량은 바벨처럼 세므로 증량기록이 그대로 살아 있다</t>
  </si>
  <si>
    <t>머신 숄더 프레스 (완전 머신을 원할 때 — 단 증량 추적은 끊긴다) / 덤벨 숄더 프레스</t>
  </si>
  <si>
    <t>[허리가 부담되면]</t>
  </si>
  <si>
    <t>· 스쿼트를 레그 프레스로 교체하면 기립근이 완전히 빠져 다음날 데드가 온전히 나온다.</t>
  </si>
  <si>
    <t>· 토·일 연속은 이상적이지 않으나 이 근무 스케줄에서는 다른 선택지가 없다. 스쿼트를 3×5로 낮춘 것이 그 보정.</t>
  </si>
  <si>
    <t>· 스쿼트(토) → 데드(일) 순서가 그 반대보다 낫다. 데드 다음날 스쿼트는 허리가 받쳐주지 않는다.</t>
  </si>
  <si>
    <t>일요일 — 등 (완전 휴무일)</t>
  </si>
  <si>
    <t>완전 휴무일이라 회복된 상태에서 시작하고 하루가 통째로 남는다. 데드리프트는 반드시 이 날.</t>
  </si>
  <si>
    <t>재택에서 도달한 중량을 그대로 이어간다. 주 1회 · 1세트를 넘기지 않는다</t>
  </si>
  <si>
    <t>트랩바 데드 (요추 전단력 ↓) / 랙풀</t>
  </si>
  <si>
    <t>체스트 서포티드라 척추 부하가 없다. 현장에서 허리를 쓰고 온 주에 바벨 로우보다 안전</t>
  </si>
  <si>
    <t>시티드 케이블 로우 / 티바 로우 / 바벨 로우 (허리에 여유가 있는 주)</t>
  </si>
  <si>
    <t>수평 당기기 보강. 해머 로우와 그립·각도를 다르게 (해머가 뉴트럴이면 여기선 와이드)</t>
  </si>
  <si>
    <t>머신 로우 / 원암 케이블 로우 (좌우 독립)</t>
  </si>
  <si>
    <t>수직 당기기. 그립이 지쳐 있으면 주저 말고 어시스트 머신으로</t>
  </si>
  <si>
    <t>어시스트 풀업 머신 (1순위 — 그립 부담 ↓) / 랫풀다운</t>
  </si>
  <si>
    <t>수직 당기기를 무게로 조절하는 자리</t>
  </si>
  <si>
    <t>뉴트럴 그립 랫풀다운 / 원암 랫풀다운 / 케이블 풀오버</t>
  </si>
  <si>
    <t>현장 자세가 견갑골을 올리고 앞으로 말므로 유지</t>
  </si>
  <si>
    <t>케이블 Y 레이즈 / 페이스풀</t>
  </si>
  <si>
    <t>당기기 끝에 이두. 팔이 패드에 고정돼 반동이 안 된다. 당기기 간접만으로는 유지 하한에 딱 걸침</t>
  </si>
  <si>
    <t>케이블 컬 (전 구간 장력) / 머신 컬 / EZ바 프리쳐 컬 (손목이 편함)</t>
  </si>
  <si>
    <t>중량 크런치</t>
  </si>
  <si>
    <t>복귀판에 코어가 통째로 비어 있었다. 현장 일은 코어를 버티게만 하지 굴곡시키지 않는다</t>
  </si>
  <si>
    <t>케이블 크런치 (머신) / 앱스 머신 / 캡틴 체어 니 레이즈</t>
  </si>
  <si>
    <t>[데드리프트 운용 규칙]</t>
  </si>
  <si>
    <t>· 무게는 재택에서 도달한 중량을 그대로 이어간다. D5가 시작중량_설정의 현재 작업중량과 연동돼 있다.</t>
  </si>
  <si>
    <t>· 다음날(월)이 8시간 근무라 완충이 하루뿐이다. 주 1회, 1세트를 넘기지 않는다.</t>
  </si>
  <si>
    <t>· 허리가 무거운 주에는 트랩바로 바꾸거나 건너뛴다. 건너뛰는 것이 규율이지 나태가 아니다.</t>
  </si>
  <si>
    <t>[등 볼륨을 유지한 이유]</t>
  </si>
  <si>
    <t>· 광배 12세트 + 현장 일의 상시 부하 = 실질은 충분. 완전 휴무일이라 재택 14세트에서 소폭만 감축했다.</t>
  </si>
  <si>
    <t>· 단, 12시간 근무일 바로 다음날이 일요일이 되는 주에는 데드를 빼거나 트랩바로 대체할 것.</t>
  </si>
  <si>
    <t>현장 복귀 버전 — 증량 및 판단 기준</t>
  </si>
  <si>
    <t>재택 버전의 주 5kg 선형 증량은 현장 일과 병행할 수 없다. 폭을 절반으로 줄이되 매주 올리는 방식은 유지한다.</t>
  </si>
  <si>
    <t>항목</t>
  </si>
  <si>
    <t>재택 버전</t>
  </si>
  <si>
    <t>복귀 버전</t>
  </si>
  <si>
    <t>주 6회</t>
  </si>
  <si>
    <t>주 3회 (화·토·일)</t>
  </si>
  <si>
    <t>12시간 근무일과 그 다음날을 피하면 남는 날이 화·토·일뿐</t>
  </si>
  <si>
    <t>총 세트</t>
  </si>
  <si>
    <t>153세트</t>
  </si>
  <si>
    <t>약 66세트</t>
  </si>
  <si>
    <t>현장 일이 등·하체·기립근·전완에 하루치를 얹는다</t>
  </si>
  <si>
    <t>증량 주기</t>
  </si>
  <si>
    <t>매주</t>
  </si>
  <si>
    <t>매주 (폭 절반)</t>
  </si>
  <si>
    <t>2주에 한 번 크게보다 매주 조금씩이 낫다. 못 채운 주는 증량기록에 X만 넣으면 유지된다</t>
  </si>
  <si>
    <t>증량 폭</t>
  </si>
  <si>
    <t>하체 5 / 벤치 2.25 / 프레스 1.25</t>
  </si>
  <si>
    <t>하체 2.5 / 벤치 1.125 / 프레스 1.25</t>
  </si>
  <si>
    <t>마이크로플레이트 활용. 주 3회면 각 리프트가 주 1회뿐 — 폭을 줄여 그 1회를 확실히 채운다</t>
  </si>
  <si>
    <t>실패지점</t>
  </si>
  <si>
    <t>2~3회 남기고</t>
  </si>
  <si>
    <t>3~4회 남기고</t>
  </si>
  <si>
    <t>다음날 현장에서 청구서로 돌아온다</t>
  </si>
  <si>
    <t>1×5 · 주 +5kg</t>
  </si>
  <si>
    <t>1×5 · 주 +2.5kg</t>
  </si>
  <si>
    <t>중량은 9월 복귀 시점의 도달 중량에서 계속. 낮출 이유 없음</t>
  </si>
  <si>
    <t>5×5</t>
  </si>
  <si>
    <t>3×5</t>
  </si>
  <si>
    <t>서 있기·걷기로 하체 볼륨이 이미 누적</t>
  </si>
  <si>
    <t>팔 전용 종목</t>
  </si>
  <si>
    <t>25세트</t>
  </si>
  <si>
    <t>6세트 (이두 3 · 삼두 3)</t>
  </si>
  <si>
    <t>전완만 삭제 — 그립은 현장에서 온종일 쓴다. 이두·삼두 굴곡/신전은 현장에서 거의 안 나오므로 유지분만 남긴다</t>
  </si>
  <si>
    <t>장비</t>
  </si>
  <si>
    <t>프리웨이트 중심</t>
  </si>
  <si>
    <t>머신 · 케이블 중심 (스쿼트 · 벤치 · 데드 제외)</t>
  </si>
  <si>
    <t>현장 일이 안정화 근육을 이미 하루치 쓴다. 남은 힘을 표적 근육에만 쓰는 편이 남는다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</si>
  <si>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</si>
  <si>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</si>
  <si>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3회 중 2회만 가는 주가 있어도 된다.</t>
  </si>
  <si>
    <t>· 그것은 의지박약이 아니라 그 상황에서의 규율이다.</t>
  </si>
  <si>
    <t>· 12시간 근무일이 수·목인지 목·금인지에 관계없이 화·토·일 배치는 유효하다.</t>
  </si>
  <si>
    <t>· 다만 근무 패턴이 이 두 가지에서 벗어나면 요일부터 다시 짜야 한다.</t>
  </si>
  <si>
    <t>· 복귀 후의 목표는 성장이 아니라 유지다. 재택 기간에 쌓은 근력 베이스를 지키는 것.</t>
  </si>
  <si>
    <t>· 쌓는 시기와 지키는 시기는 다르게 설계해야 한다.</t>
  </si>
  <si>
    <t>날짜 (1일차)</t>
    <phoneticPr fontId="34" type="noConversion"/>
  </si>
  <si>
    <r>
      <rPr>
        <sz val="11"/>
        <rFont val="맑은 고딕"/>
        <family val="3"/>
        <charset val="129"/>
      </rPr>
      <t>페이스풀</t>
    </r>
    <r>
      <rPr>
        <sz val="11"/>
        <rFont val="Noto Sans CJK SC"/>
        <family val="2"/>
        <charset val="1"/>
      </rPr>
      <t>(로프)</t>
    </r>
    <phoneticPr fontId="34" type="noConversion"/>
  </si>
  <si>
    <r>
      <rPr>
        <sz val="11"/>
        <rFont val="맑은 고딕"/>
        <family val="3"/>
        <charset val="129"/>
      </rPr>
      <t>바벨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로우</t>
    </r>
    <r>
      <rPr>
        <sz val="11"/>
        <rFont val="Noto Sans CJK SC"/>
        <family val="2"/>
        <charset val="1"/>
      </rPr>
      <t>(스미스)</t>
    </r>
    <phoneticPr fontId="34" type="noConversion"/>
  </si>
  <si>
    <r>
      <rPr>
        <sz val="11"/>
        <rFont val="맑은 고딕"/>
        <family val="3"/>
        <charset val="129"/>
      </rPr>
      <t>해머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스트랭스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로우</t>
    </r>
    <r>
      <rPr>
        <sz val="11"/>
        <rFont val="Noto Sans CJK SC"/>
        <family val="2"/>
        <charset val="1"/>
      </rPr>
      <t>(오버그립)</t>
    </r>
    <phoneticPr fontId="34" type="noConversion"/>
  </si>
  <si>
    <r>
      <rPr>
        <sz val="11"/>
        <rFont val="맑은 고딕"/>
        <family val="3"/>
        <charset val="129"/>
      </rPr>
      <t>시티드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케이블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로우</t>
    </r>
    <phoneticPr fontId="34" type="noConversion"/>
  </si>
  <si>
    <r>
      <rPr>
        <sz val="11"/>
        <rFont val="맑은 고딕"/>
        <family val="3"/>
        <charset val="129"/>
      </rPr>
      <t>시티드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케이블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로우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스캡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슈러그</t>
    </r>
    <r>
      <rPr>
        <sz val="11"/>
        <rFont val="Noto Sans CJK SC"/>
        <family val="2"/>
        <charset val="1"/>
      </rPr>
      <t>(두번째 크기 바)</t>
    </r>
    <phoneticPr fontId="3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</si>
</sst>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0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b/>
      <sz val="11"/>
      <color rgb="FF000000"/>
      <name val="Noto Sans CJK SC"/>
      <family val="2"/>
      <charset val="1"/>
    </font>
    <font>
      <b/>
      <sz val="11"/>
      <color rgb="FF000000"/>
      <name val="Arial"/>
      <family val="2"/>
      <charset val="1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sz val="9"/>
      <color rgb="FF595959"/>
      <name val="Arial"/>
      <family val="2"/>
      <charset val="1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돋움"/>
      <family val="2"/>
      <charset val="129"/>
    </font>
    <font>
      <sz val="11"/>
      <color theme="1"/>
      <name val="Calibri"/>
      <family val="3"/>
      <charset val="129"/>
    </font>
    <font>
      <sz val="1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6" fillId="0" borderId="0"/>
  </cellStyleXfs>
  <cellXfs count="9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/>
    <xf numFmtId="0" fontId="13" fillId="0" borderId="0" xfId="0" applyFont="1" applyAlignment="1">
      <alignment horizontal="left" vertical="center" wrapText="1"/>
    </xf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/>
    </xf>
    <xf numFmtId="2" fontId="11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2" fontId="15" fillId="4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0" xfId="0" applyFont="1"/>
    <xf numFmtId="0" fontId="21" fillId="4" borderId="1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7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2" fontId="8" fillId="0" borderId="2" xfId="0" applyNumberFormat="1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6" fillId="0" borderId="2" xfId="0" applyFont="1" applyBorder="1"/>
    <xf numFmtId="0" fontId="27" fillId="0" borderId="2" xfId="0" applyFont="1" applyBorder="1"/>
    <xf numFmtId="0" fontId="28" fillId="0" borderId="2" xfId="0" applyFont="1" applyBorder="1" applyAlignment="1">
      <alignment horizontal="center"/>
    </xf>
    <xf numFmtId="2" fontId="11" fillId="0" borderId="0" xfId="0" applyNumberFormat="1" applyFont="1"/>
    <xf numFmtId="0" fontId="7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29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30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31" fillId="0" borderId="0" xfId="0" applyFont="1"/>
    <xf numFmtId="2" fontId="7" fillId="4" borderId="1" xfId="0" applyNumberFormat="1" applyFont="1" applyFill="1" applyBorder="1" applyAlignment="1">
      <alignment horizontal="center" vertical="center"/>
    </xf>
    <xf numFmtId="0" fontId="16" fillId="0" borderId="0" xfId="0" applyFont="1"/>
    <xf numFmtId="2" fontId="7" fillId="0" borderId="1" xfId="0" applyNumberFormat="1" applyFont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32" fillId="0" borderId="0" xfId="0" applyFont="1"/>
    <xf numFmtId="0" fontId="33" fillId="0" borderId="0" xfId="0" applyFont="1"/>
    <xf numFmtId="0" fontId="22" fillId="0" borderId="1" xfId="0" applyFont="1" applyBorder="1" applyAlignment="1">
      <alignment horizontal="left" vertical="center"/>
    </xf>
    <xf numFmtId="0" fontId="36" fillId="0" borderId="1" xfId="1" applyBorder="1" applyAlignment="1">
      <alignment horizontal="left" vertical="center"/>
    </xf>
    <xf numFmtId="0" fontId="35" fillId="0" borderId="1" xfId="0" applyFont="1" applyBorder="1" applyAlignment="1">
      <alignment horizontal="center" vertical="center"/>
    </xf>
    <xf numFmtId="0" fontId="37" fillId="0" borderId="0" xfId="0" applyFont="1"/>
    <xf numFmtId="0" fontId="38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24" fillId="6" borderId="0" xfId="0" applyFont="1" applyFill="1" applyAlignment="1">
      <alignment vertical="top" wrapText="1"/>
    </xf>
    <xf numFmtId="0" fontId="0" fillId="0" borderId="0" xfId="0"/>
    <xf numFmtId="0" fontId="23" fillId="0" borderId="0" xfId="0" applyFont="1" applyAlignment="1">
      <alignment vertical="top" wrapText="1"/>
    </xf>
    <xf numFmtId="0" fontId="29" fillId="0" borderId="3" xfId="0" applyFont="1" applyBorder="1" applyAlignment="1">
      <alignment horizontal="center" vertical="center"/>
    </xf>
    <xf numFmtId="0" fontId="0" fillId="0" borderId="3" xfId="0" applyBorder="1"/>
  </cellXfs>
  <cellStyles count="2">
    <cellStyle name="표준" xfId="0" builtinId="0"/>
    <cellStyle name="하이퍼링크" xfId="1" builtinId="8"/>
  </cellStyles>
  <dxfs count="9"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BGaOGtfTKPc&amp;list=LL&amp;index=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G17" sqref="G17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60</v>
      </c>
    </row>
    <row r="2" spans="1:6" ht="15" customHeight="1">
      <c r="A2" s="2" t="s">
        <v>61</v>
      </c>
    </row>
    <row r="4" spans="1:6" ht="15" customHeight="1">
      <c r="A4" s="3" t="s">
        <v>62</v>
      </c>
      <c r="C4" s="4">
        <v>4</v>
      </c>
      <c r="D4" s="2" t="s">
        <v>63</v>
      </c>
    </row>
    <row r="6" spans="1:6" ht="15" customHeight="1">
      <c r="A6" s="5" t="s">
        <v>9</v>
      </c>
      <c r="B6" s="6" t="s">
        <v>64</v>
      </c>
      <c r="C6" s="5" t="s">
        <v>65</v>
      </c>
      <c r="D6" s="5" t="s">
        <v>66</v>
      </c>
      <c r="E6" s="5" t="s">
        <v>67</v>
      </c>
      <c r="F6" s="5" t="s">
        <v>68</v>
      </c>
    </row>
    <row r="7" spans="1:6" ht="15" customHeight="1">
      <c r="A7" s="7" t="s">
        <v>69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52.5</v>
      </c>
      <c r="F7" s="8" t="s">
        <v>70</v>
      </c>
    </row>
    <row r="8" spans="1:6" ht="15" customHeight="1">
      <c r="A8" s="7" t="s">
        <v>71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57.5</v>
      </c>
      <c r="F8" s="8" t="s">
        <v>72</v>
      </c>
    </row>
    <row r="9" spans="1:6" ht="15" customHeight="1">
      <c r="A9" s="7" t="s">
        <v>73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29.25</v>
      </c>
      <c r="F9" s="8" t="s">
        <v>70</v>
      </c>
    </row>
    <row r="10" spans="1:6" ht="15" customHeight="1">
      <c r="A10" s="7" t="s">
        <v>74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23.75</v>
      </c>
      <c r="F10" s="8" t="s">
        <v>75</v>
      </c>
    </row>
    <row r="11" spans="1:6" ht="15" customHeight="1">
      <c r="D11" s="10" t="s">
        <v>76</v>
      </c>
    </row>
    <row r="12" spans="1:6" ht="15" customHeight="1">
      <c r="A12" s="11"/>
    </row>
    <row r="13" spans="1:6" ht="32.25" customHeight="1">
      <c r="A13" s="12" t="s">
        <v>77</v>
      </c>
    </row>
    <row r="14" spans="1:6" ht="51.75" customHeight="1">
      <c r="A14" s="11" t="s">
        <v>78</v>
      </c>
    </row>
    <row r="15" spans="1:6" ht="51.75" customHeight="1">
      <c r="A15" s="11" t="s">
        <v>79</v>
      </c>
    </row>
    <row r="16" spans="1:6" ht="64.5" customHeight="1">
      <c r="A16" s="11" t="s">
        <v>80</v>
      </c>
    </row>
    <row r="17" spans="1:1" ht="51.75" customHeight="1">
      <c r="A17" s="11" t="s">
        <v>81</v>
      </c>
    </row>
    <row r="18" spans="1:1" ht="51.75" customHeight="1">
      <c r="A18" s="11"/>
    </row>
    <row r="19" spans="1:1" ht="15" customHeight="1">
      <c r="A19" s="12" t="s">
        <v>82</v>
      </c>
    </row>
    <row r="20" spans="1:1" ht="77.25" customHeight="1">
      <c r="A20" s="11" t="s">
        <v>83</v>
      </c>
    </row>
    <row r="21" spans="1:1" ht="51.75" customHeight="1">
      <c r="A21" s="11" t="s">
        <v>84</v>
      </c>
    </row>
    <row r="22" spans="1:1" ht="15" customHeight="1">
      <c r="A22" s="11" t="s">
        <v>85</v>
      </c>
    </row>
    <row r="23" spans="1:1" ht="16.5" customHeight="1">
      <c r="A23" s="11" t="s">
        <v>86</v>
      </c>
    </row>
    <row r="24" spans="1:1" ht="51.75" customHeight="1">
      <c r="A24" s="11" t="s">
        <v>87</v>
      </c>
    </row>
    <row r="25" spans="1:1" ht="39" customHeight="1">
      <c r="A25" s="11"/>
    </row>
    <row r="26" spans="1:1" ht="64.5" customHeight="1">
      <c r="A26" s="11" t="s">
        <v>88</v>
      </c>
    </row>
    <row r="27" spans="1:1" ht="15" customHeight="1">
      <c r="A27" s="11" t="s">
        <v>89</v>
      </c>
    </row>
    <row r="28" spans="1:1" ht="60" customHeight="1">
      <c r="A28" s="11"/>
    </row>
    <row r="29" spans="1:1" ht="51.75" customHeight="1">
      <c r="A29" s="13" t="s">
        <v>90</v>
      </c>
    </row>
    <row r="30" spans="1:1" ht="51.75" customHeight="1">
      <c r="A30" s="11" t="s">
        <v>91</v>
      </c>
    </row>
    <row r="31" spans="1:1" ht="64.5" customHeight="1">
      <c r="A31" s="11" t="s">
        <v>92</v>
      </c>
    </row>
    <row r="32" spans="1:1" ht="64.5" customHeight="1">
      <c r="A32" s="11" t="s">
        <v>93</v>
      </c>
    </row>
    <row r="33" spans="1:5" ht="15" customHeight="1">
      <c r="A33" s="11"/>
    </row>
    <row r="34" spans="1:5" ht="51.75" customHeight="1">
      <c r="A34" s="11" t="s">
        <v>94</v>
      </c>
    </row>
    <row r="35" spans="1:5" ht="64.5" customHeight="1">
      <c r="A35" s="11" t="s">
        <v>95</v>
      </c>
    </row>
    <row r="36" spans="1:5" ht="26.25" customHeight="1">
      <c r="A36" s="11" t="s">
        <v>96</v>
      </c>
    </row>
    <row r="38" spans="1:5" ht="16.5" customHeight="1">
      <c r="A38" s="14" t="s">
        <v>97</v>
      </c>
    </row>
    <row r="39" spans="1:5" ht="15" customHeight="1">
      <c r="A39" s="5" t="s">
        <v>98</v>
      </c>
      <c r="B39" s="5" t="s">
        <v>69</v>
      </c>
      <c r="C39" s="5" t="s">
        <v>71</v>
      </c>
      <c r="D39" s="5" t="s">
        <v>73</v>
      </c>
      <c r="E39" s="5" t="s">
        <v>74</v>
      </c>
    </row>
    <row r="40" spans="1:5" ht="15" customHeight="1">
      <c r="A40" s="15" t="s">
        <v>99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100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101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102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103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104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105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106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107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108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109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110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111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0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112</v>
      </c>
    </row>
    <row r="2" spans="1:6" ht="15" customHeight="1">
      <c r="A2" s="18" t="s">
        <v>113</v>
      </c>
    </row>
    <row r="4" spans="1:6" ht="15" customHeight="1">
      <c r="A4" s="19" t="s">
        <v>114</v>
      </c>
      <c r="B4" s="19" t="s">
        <v>115</v>
      </c>
      <c r="C4" s="19" t="s">
        <v>116</v>
      </c>
      <c r="D4" s="19" t="s">
        <v>117</v>
      </c>
      <c r="E4" s="19" t="s">
        <v>5</v>
      </c>
      <c r="F4" s="19" t="s">
        <v>118</v>
      </c>
    </row>
    <row r="5" spans="1:6" ht="15" customHeight="1">
      <c r="A5" s="20" t="s">
        <v>119</v>
      </c>
      <c r="B5" s="21" t="s">
        <v>120</v>
      </c>
      <c r="C5" s="22" t="s">
        <v>47</v>
      </c>
      <c r="D5" s="21" t="s">
        <v>121</v>
      </c>
      <c r="E5" s="20">
        <f>D1_당기기A!$E$15</f>
        <v>27</v>
      </c>
      <c r="F5" s="20" t="s">
        <v>122</v>
      </c>
    </row>
    <row r="6" spans="1:6" ht="15" customHeight="1">
      <c r="A6" s="20" t="s">
        <v>123</v>
      </c>
      <c r="B6" s="21" t="s">
        <v>124</v>
      </c>
      <c r="C6" s="21" t="s">
        <v>125</v>
      </c>
      <c r="D6" s="21" t="s">
        <v>126</v>
      </c>
      <c r="E6" s="20">
        <f>D2_밀기A!$E$27</f>
        <v>29</v>
      </c>
      <c r="F6" s="20" t="s">
        <v>127</v>
      </c>
    </row>
    <row r="7" spans="1:6" ht="15" customHeight="1">
      <c r="A7" s="20" t="s">
        <v>128</v>
      </c>
      <c r="B7" s="21" t="s">
        <v>129</v>
      </c>
      <c r="C7" s="21" t="s">
        <v>130</v>
      </c>
      <c r="D7" s="21" t="s">
        <v>131</v>
      </c>
      <c r="E7" s="20">
        <f>D3_하체A!$E$23</f>
        <v>27</v>
      </c>
      <c r="F7" s="20" t="s">
        <v>132</v>
      </c>
    </row>
    <row r="8" spans="1:6" ht="15" customHeight="1">
      <c r="A8" s="23" t="s">
        <v>133</v>
      </c>
      <c r="B8" s="24" t="s">
        <v>134</v>
      </c>
      <c r="C8" s="25" t="s">
        <v>47</v>
      </c>
      <c r="D8" s="24" t="s">
        <v>47</v>
      </c>
      <c r="E8" s="23">
        <v>0</v>
      </c>
      <c r="F8" s="20" t="s">
        <v>47</v>
      </c>
    </row>
    <row r="9" spans="1:6" ht="15" customHeight="1">
      <c r="A9" s="20" t="s">
        <v>20</v>
      </c>
      <c r="B9" s="21" t="s">
        <v>135</v>
      </c>
      <c r="C9" s="21" t="s">
        <v>47</v>
      </c>
      <c r="D9" s="21" t="s">
        <v>136</v>
      </c>
      <c r="E9" s="20">
        <f>D5_당기기B!$E$15</f>
        <v>30</v>
      </c>
      <c r="F9" s="20" t="s">
        <v>137</v>
      </c>
    </row>
    <row r="10" spans="1:6" ht="15" customHeight="1">
      <c r="A10" s="20" t="s">
        <v>138</v>
      </c>
      <c r="B10" s="21" t="s">
        <v>139</v>
      </c>
      <c r="C10" s="21" t="s">
        <v>140</v>
      </c>
      <c r="D10" s="21" t="s">
        <v>141</v>
      </c>
      <c r="E10" s="20">
        <f>D6_밀기B!$E$29</f>
        <v>26</v>
      </c>
      <c r="F10" s="20" t="s">
        <v>142</v>
      </c>
    </row>
    <row r="11" spans="1:6" ht="15" customHeight="1">
      <c r="A11" s="23" t="s">
        <v>143</v>
      </c>
      <c r="B11" s="24" t="s">
        <v>144</v>
      </c>
      <c r="C11" s="25" t="s">
        <v>145</v>
      </c>
      <c r="D11" s="25" t="s">
        <v>146</v>
      </c>
      <c r="E11" s="23">
        <f>D7_하체B!$E$23</f>
        <v>25</v>
      </c>
      <c r="F11" s="26" t="s">
        <v>147</v>
      </c>
    </row>
    <row r="12" spans="1:6" ht="15" customHeight="1">
      <c r="A12" s="23" t="s">
        <v>148</v>
      </c>
      <c r="B12" s="24" t="s">
        <v>149</v>
      </c>
      <c r="C12" s="25" t="s">
        <v>47</v>
      </c>
      <c r="D12" s="25" t="s">
        <v>150</v>
      </c>
      <c r="E12" s="23">
        <f>D8_어깨!$E$13</f>
        <v>20</v>
      </c>
      <c r="F12" s="26" t="s">
        <v>151</v>
      </c>
    </row>
    <row r="13" spans="1:6">
      <c r="A13" s="27" t="s">
        <v>152</v>
      </c>
      <c r="B13" s="28"/>
      <c r="C13" s="29"/>
      <c r="D13" s="28"/>
      <c r="E13" s="27">
        <f>SUM(E5:E12)</f>
        <v>184</v>
      </c>
      <c r="F13" t="s">
        <v>153</v>
      </c>
    </row>
    <row r="14" spans="1:6" ht="16.5" customHeight="1"/>
    <row r="15" spans="1:6" ht="89.25" customHeight="1">
      <c r="A15" s="13" t="s">
        <v>154</v>
      </c>
    </row>
    <row r="16" spans="1:6" ht="76.5" customHeight="1">
      <c r="A16" s="30" t="s">
        <v>155</v>
      </c>
    </row>
    <row r="17" spans="1:1" ht="38.25" customHeight="1">
      <c r="A17" s="30" t="s">
        <v>156</v>
      </c>
    </row>
    <row r="18" spans="1:1" ht="114.75" customHeight="1">
      <c r="A18" s="30" t="s">
        <v>157</v>
      </c>
    </row>
    <row r="19" spans="1:1" ht="16.5" customHeight="1">
      <c r="A19" s="30" t="s">
        <v>158</v>
      </c>
    </row>
    <row r="20" spans="1:1" ht="16.5" customHeight="1">
      <c r="A20" s="30" t="s">
        <v>159</v>
      </c>
    </row>
    <row r="21" spans="1:1" ht="15" customHeight="1">
      <c r="A21" s="30" t="s">
        <v>160</v>
      </c>
    </row>
    <row r="22" spans="1:1" ht="15" customHeight="1">
      <c r="A22" s="30" t="s">
        <v>161</v>
      </c>
    </row>
    <row r="23" spans="1:1" ht="15" customHeight="1">
      <c r="A23" s="31"/>
    </row>
    <row r="24" spans="1:1" ht="15" customHeight="1">
      <c r="A24" s="13" t="s">
        <v>162</v>
      </c>
    </row>
    <row r="25" spans="1:1" ht="16.5" customHeight="1">
      <c r="A25" s="30" t="s">
        <v>163</v>
      </c>
    </row>
    <row r="26" spans="1:1" ht="15" customHeight="1">
      <c r="A26" s="30" t="s">
        <v>164</v>
      </c>
    </row>
    <row r="27" spans="1:1" ht="15" customHeight="1">
      <c r="A27" s="30" t="s">
        <v>165</v>
      </c>
    </row>
    <row r="28" spans="1:1" ht="79.5" customHeight="1">
      <c r="A28" s="30" t="s">
        <v>166</v>
      </c>
    </row>
    <row r="29" spans="1:1" ht="64.5" customHeight="1">
      <c r="A29" s="30" t="s">
        <v>167</v>
      </c>
    </row>
    <row r="30" spans="1:1" ht="90" customHeight="1">
      <c r="A30" s="30"/>
    </row>
    <row r="31" spans="1:1" ht="102.75" customHeight="1">
      <c r="A31" s="13" t="s">
        <v>168</v>
      </c>
    </row>
    <row r="32" spans="1:1" ht="100.5" customHeight="1">
      <c r="A32" s="30" t="s">
        <v>169</v>
      </c>
    </row>
    <row r="33" spans="1:1" ht="15" customHeight="1">
      <c r="A33" s="30" t="s">
        <v>170</v>
      </c>
    </row>
    <row r="34" spans="1:1" ht="90" customHeight="1">
      <c r="A34" s="30" t="s">
        <v>171</v>
      </c>
    </row>
    <row r="35" spans="1:1" ht="51.75" customHeight="1">
      <c r="A35" s="30" t="s">
        <v>172</v>
      </c>
    </row>
    <row r="36" spans="1:1" ht="77.25" customHeight="1">
      <c r="A36" s="30" t="s">
        <v>173</v>
      </c>
    </row>
    <row r="37" spans="1:1" ht="64.5" customHeight="1">
      <c r="A37" s="30" t="s">
        <v>174</v>
      </c>
    </row>
    <row r="38" spans="1:1" ht="16.5" customHeight="1">
      <c r="A38" s="32"/>
    </row>
    <row r="39" spans="1:1" ht="16.5" customHeight="1">
      <c r="A39" s="13" t="s">
        <v>175</v>
      </c>
    </row>
    <row r="40" spans="1:1" ht="16.5" customHeight="1">
      <c r="A40" s="30" t="s">
        <v>176</v>
      </c>
    </row>
    <row r="41" spans="1:1" ht="242.25" customHeight="1">
      <c r="A41" s="30" t="s">
        <v>177</v>
      </c>
    </row>
    <row r="42" spans="1:1" ht="270.75" customHeight="1">
      <c r="A42" s="30" t="s">
        <v>178</v>
      </c>
    </row>
    <row r="43" spans="1:1" ht="242.25" customHeight="1">
      <c r="A43" s="30" t="s">
        <v>179</v>
      </c>
    </row>
    <row r="44" spans="1:1" ht="199.5" customHeight="1">
      <c r="A44" s="31"/>
    </row>
    <row r="45" spans="1:1" ht="185.25" customHeight="1">
      <c r="A45" s="13" t="s">
        <v>180</v>
      </c>
    </row>
    <row r="46" spans="1:1" ht="199.5" customHeight="1">
      <c r="A46" s="30" t="s">
        <v>181</v>
      </c>
    </row>
    <row r="47" spans="1:1" ht="185.25" customHeight="1">
      <c r="A47" s="30" t="s">
        <v>182</v>
      </c>
    </row>
    <row r="48" spans="1:1" ht="327.75" customHeight="1">
      <c r="A48" s="30" t="s">
        <v>183</v>
      </c>
    </row>
    <row r="49" spans="1:1" ht="256.5" customHeight="1">
      <c r="A49" s="30" t="s">
        <v>184</v>
      </c>
    </row>
    <row r="50" spans="1:1" ht="409.5" customHeight="1">
      <c r="A50" s="30" t="s">
        <v>185</v>
      </c>
    </row>
    <row r="51" spans="1:1" ht="370.5" customHeight="1">
      <c r="A51" s="30" t="s">
        <v>186</v>
      </c>
    </row>
    <row r="52" spans="1:1" ht="409.5" customHeight="1">
      <c r="A52" s="13" t="s">
        <v>187</v>
      </c>
    </row>
    <row r="53" spans="1:1" ht="370.5" customHeight="1">
      <c r="A53" s="30" t="s">
        <v>188</v>
      </c>
    </row>
    <row r="54" spans="1:1" ht="185.25">
      <c r="A54" s="30" t="s">
        <v>189</v>
      </c>
    </row>
    <row r="56" spans="1:1">
      <c r="A56" s="13" t="s">
        <v>190</v>
      </c>
    </row>
    <row r="57" spans="1:1" ht="327.75">
      <c r="A57" s="30" t="s">
        <v>191</v>
      </c>
    </row>
    <row r="58" spans="1:1" ht="256.5">
      <c r="A58" s="30" t="s">
        <v>192</v>
      </c>
    </row>
    <row r="59" spans="1:1" ht="409.5">
      <c r="A59" s="30" t="s">
        <v>193</v>
      </c>
    </row>
    <row r="60" spans="1:1" ht="370.5">
      <c r="A60" s="30" t="s">
        <v>194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3"/>
  <sheetViews>
    <sheetView zoomScaleNormal="100" workbookViewId="0">
      <pane ySplit="5" topLeftCell="A6" activePane="bottomLeft" state="frozen"/>
      <selection pane="bottomLeft" activeCell="D52" sqref="D5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12" ht="19.5" customHeight="1">
      <c r="A1" s="17" t="s">
        <v>195</v>
      </c>
    </row>
    <row r="2" spans="1:12" ht="16.5" customHeight="1">
      <c r="A2" s="18" t="s">
        <v>196</v>
      </c>
    </row>
    <row r="3" spans="1:12">
      <c r="A3" s="33" t="s">
        <v>197</v>
      </c>
    </row>
    <row r="4" spans="1:12" ht="15" customHeight="1">
      <c r="A4" s="3" t="s">
        <v>7</v>
      </c>
    </row>
    <row r="5" spans="1:12" ht="16.5" customHeight="1">
      <c r="A5" s="34" t="s">
        <v>8</v>
      </c>
      <c r="B5" s="35" t="s">
        <v>9</v>
      </c>
      <c r="C5" s="35" t="s">
        <v>10</v>
      </c>
      <c r="D5" s="35" t="s">
        <v>3</v>
      </c>
      <c r="E5" s="35" t="s">
        <v>5</v>
      </c>
      <c r="F5" s="35" t="s">
        <v>11</v>
      </c>
      <c r="G5" s="35" t="s">
        <v>12</v>
      </c>
      <c r="H5" s="35" t="s">
        <v>13</v>
      </c>
      <c r="I5" s="35" t="s">
        <v>14</v>
      </c>
      <c r="J5" s="35" t="s">
        <v>15</v>
      </c>
      <c r="K5" s="35" t="s">
        <v>16</v>
      </c>
      <c r="L5" s="35" t="s">
        <v>17</v>
      </c>
    </row>
    <row r="6" spans="1:12" ht="16.5" customHeight="1">
      <c r="A6" s="20">
        <v>1</v>
      </c>
      <c r="B6" s="21" t="s">
        <v>198</v>
      </c>
      <c r="C6" s="20" t="s">
        <v>199</v>
      </c>
      <c r="D6" s="20">
        <v>60</v>
      </c>
      <c r="E6" s="20">
        <v>4</v>
      </c>
      <c r="F6" s="26" t="s">
        <v>200</v>
      </c>
      <c r="G6" s="26">
        <v>35</v>
      </c>
      <c r="H6" s="26">
        <v>150</v>
      </c>
      <c r="I6" s="26">
        <f t="shared" ref="I6:I14" si="0">IF(E6=0,0,ROUND(E6*(G6+H6)/60,1))</f>
        <v>12.3</v>
      </c>
      <c r="J6" s="21" t="s">
        <v>201</v>
      </c>
      <c r="K6" s="21" t="s">
        <v>202</v>
      </c>
      <c r="L6" s="21" t="s">
        <v>203</v>
      </c>
    </row>
    <row r="7" spans="1:12" ht="16.5" customHeight="1">
      <c r="A7" s="20">
        <v>2</v>
      </c>
      <c r="B7" s="21" t="s">
        <v>204</v>
      </c>
      <c r="C7" s="20" t="s">
        <v>199</v>
      </c>
      <c r="D7" s="26">
        <v>40</v>
      </c>
      <c r="E7" s="20">
        <v>3</v>
      </c>
      <c r="F7" s="26" t="s">
        <v>25</v>
      </c>
      <c r="G7" s="26">
        <v>40</v>
      </c>
      <c r="H7" s="26">
        <v>120</v>
      </c>
      <c r="I7" s="26">
        <f t="shared" si="0"/>
        <v>8</v>
      </c>
      <c r="J7" s="21" t="s">
        <v>201</v>
      </c>
      <c r="K7" s="36" t="s">
        <v>205</v>
      </c>
      <c r="L7" s="21" t="s">
        <v>206</v>
      </c>
    </row>
    <row r="8" spans="1:12" ht="16.5" customHeight="1">
      <c r="A8" s="20">
        <v>3</v>
      </c>
      <c r="B8" s="36" t="s">
        <v>766</v>
      </c>
      <c r="C8" s="44" t="s">
        <v>199</v>
      </c>
      <c r="D8" s="20" t="s">
        <v>30</v>
      </c>
      <c r="E8" s="20">
        <v>3</v>
      </c>
      <c r="F8" s="26" t="s">
        <v>207</v>
      </c>
      <c r="G8" s="26">
        <v>40</v>
      </c>
      <c r="H8" s="26">
        <v>120</v>
      </c>
      <c r="I8" s="26">
        <f t="shared" si="0"/>
        <v>8</v>
      </c>
      <c r="J8" s="21" t="s">
        <v>208</v>
      </c>
      <c r="K8" s="21" t="s">
        <v>209</v>
      </c>
      <c r="L8" s="21" t="s">
        <v>210</v>
      </c>
    </row>
    <row r="9" spans="1:12" ht="16.5" customHeight="1">
      <c r="A9" s="20">
        <v>4</v>
      </c>
      <c r="B9" s="36" t="s">
        <v>765</v>
      </c>
      <c r="C9" s="20" t="s">
        <v>212</v>
      </c>
      <c r="D9" s="20">
        <v>12.5</v>
      </c>
      <c r="E9" s="20">
        <v>3</v>
      </c>
      <c r="F9" s="26" t="s">
        <v>42</v>
      </c>
      <c r="G9" s="26">
        <v>45</v>
      </c>
      <c r="H9" s="26">
        <v>60</v>
      </c>
      <c r="I9" s="26">
        <f t="shared" si="0"/>
        <v>5.3</v>
      </c>
      <c r="J9" s="21" t="s">
        <v>213</v>
      </c>
      <c r="K9" s="21" t="s">
        <v>214</v>
      </c>
      <c r="L9" s="21" t="s">
        <v>215</v>
      </c>
    </row>
    <row r="10" spans="1:12" ht="16.5" customHeight="1">
      <c r="A10" s="20">
        <v>5</v>
      </c>
      <c r="B10" s="21" t="s">
        <v>216</v>
      </c>
      <c r="C10" s="20" t="s">
        <v>201</v>
      </c>
      <c r="D10" s="26" t="s">
        <v>217</v>
      </c>
      <c r="E10" s="20">
        <v>0</v>
      </c>
      <c r="F10" s="26" t="s">
        <v>25</v>
      </c>
      <c r="G10" s="26">
        <v>40</v>
      </c>
      <c r="H10" s="26">
        <v>70</v>
      </c>
      <c r="I10" s="26">
        <f t="shared" si="0"/>
        <v>0</v>
      </c>
      <c r="J10" s="21" t="s">
        <v>218</v>
      </c>
      <c r="K10" s="21" t="s">
        <v>219</v>
      </c>
      <c r="L10" s="22" t="s">
        <v>220</v>
      </c>
    </row>
    <row r="11" spans="1:12" ht="16.5" customHeight="1">
      <c r="A11" s="20">
        <v>6</v>
      </c>
      <c r="B11" s="21" t="s">
        <v>221</v>
      </c>
      <c r="C11" s="20" t="s">
        <v>222</v>
      </c>
      <c r="D11" s="26">
        <v>20</v>
      </c>
      <c r="E11" s="20">
        <v>4</v>
      </c>
      <c r="F11" s="26" t="s">
        <v>223</v>
      </c>
      <c r="G11" s="26">
        <v>40</v>
      </c>
      <c r="H11" s="26">
        <v>70</v>
      </c>
      <c r="I11" s="26">
        <f t="shared" si="0"/>
        <v>7.3</v>
      </c>
      <c r="J11" s="21"/>
      <c r="K11" s="21" t="s">
        <v>224</v>
      </c>
      <c r="L11" s="21" t="s">
        <v>225</v>
      </c>
    </row>
    <row r="12" spans="1:12" ht="16.5" customHeight="1">
      <c r="A12" s="20">
        <v>7</v>
      </c>
      <c r="B12" s="86" t="s">
        <v>226</v>
      </c>
      <c r="C12" s="20" t="s">
        <v>218</v>
      </c>
      <c r="D12" s="20">
        <v>10</v>
      </c>
      <c r="E12" s="20">
        <v>3</v>
      </c>
      <c r="F12" s="26" t="s">
        <v>227</v>
      </c>
      <c r="G12" s="26">
        <v>40</v>
      </c>
      <c r="H12" s="26">
        <v>60</v>
      </c>
      <c r="I12" s="26">
        <f t="shared" si="0"/>
        <v>5</v>
      </c>
      <c r="J12" s="21"/>
      <c r="K12" s="21" t="s">
        <v>228</v>
      </c>
      <c r="L12" s="21" t="s">
        <v>229</v>
      </c>
    </row>
    <row r="13" spans="1:12" ht="15" customHeight="1">
      <c r="A13" s="20">
        <v>8</v>
      </c>
      <c r="B13" s="86" t="s">
        <v>230</v>
      </c>
      <c r="C13" s="20" t="s">
        <v>56</v>
      </c>
      <c r="D13" s="20" t="s">
        <v>30</v>
      </c>
      <c r="E13" s="20">
        <v>4</v>
      </c>
      <c r="F13" s="26">
        <v>100</v>
      </c>
      <c r="G13" s="26">
        <v>150</v>
      </c>
      <c r="H13" s="26">
        <v>60</v>
      </c>
      <c r="I13" s="26">
        <f t="shared" si="0"/>
        <v>14</v>
      </c>
      <c r="J13" s="21"/>
      <c r="K13" s="21" t="s">
        <v>231</v>
      </c>
      <c r="L13" s="87" t="s">
        <v>232</v>
      </c>
    </row>
    <row r="14" spans="1:12" ht="15" customHeight="1">
      <c r="A14" s="20">
        <v>9</v>
      </c>
      <c r="B14" s="21" t="s">
        <v>233</v>
      </c>
      <c r="C14" s="20" t="s">
        <v>234</v>
      </c>
      <c r="D14" s="20">
        <v>20</v>
      </c>
      <c r="E14" s="20">
        <v>3</v>
      </c>
      <c r="F14" s="26" t="s">
        <v>235</v>
      </c>
      <c r="G14" s="26">
        <v>45</v>
      </c>
      <c r="H14" s="26">
        <v>90</v>
      </c>
      <c r="I14" s="26">
        <f t="shared" si="0"/>
        <v>6.8</v>
      </c>
      <c r="J14" s="21" t="s">
        <v>236</v>
      </c>
      <c r="K14" s="36" t="s">
        <v>237</v>
      </c>
      <c r="L14" s="36" t="s">
        <v>238</v>
      </c>
    </row>
    <row r="15" spans="1:12" ht="15" customHeight="1">
      <c r="D15" s="37" t="s">
        <v>59</v>
      </c>
      <c r="E15" s="38">
        <f>SUM(E6:E14)</f>
        <v>27</v>
      </c>
      <c r="I15">
        <f>ROUND(SUM(I6:I14),0)</f>
        <v>67</v>
      </c>
    </row>
    <row r="25" spans="2:2">
      <c r="B25" s="36"/>
    </row>
    <row r="33" spans="10:10">
      <c r="J33" t="s">
        <v>239</v>
      </c>
    </row>
  </sheetData>
  <phoneticPr fontId="34" type="noConversion"/>
  <conditionalFormatting sqref="A6:N14">
    <cfRule type="expression" dxfId="8" priority="1">
      <formula>$E6=0</formula>
    </cfRule>
  </conditionalFormatting>
  <conditionalFormatting sqref="B25">
    <cfRule type="expression" dxfId="7" priority="2">
      <formula>$E25=0</formula>
    </cfRule>
  </conditionalFormatting>
  <hyperlinks>
    <hyperlink ref="I13" r:id="rId1" display="https://www.youtube.com/watch?v=BGaOGtfTKPc&amp;list=LL&amp;index=4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7"/>
  <sheetViews>
    <sheetView zoomScaleNormal="100" workbookViewId="0">
      <pane ySplit="19" topLeftCell="A20" activePane="bottomLeft" state="frozen"/>
      <selection pane="bottomLeft" activeCell="I32" sqref="I3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3" ht="19.5" customHeight="1">
      <c r="A1" s="17" t="s">
        <v>240</v>
      </c>
    </row>
    <row r="2" spans="1:3" ht="16.5" customHeight="1">
      <c r="A2" s="18" t="s">
        <v>241</v>
      </c>
    </row>
    <row r="4" spans="1:3" ht="16.5" customHeight="1">
      <c r="A4" s="3" t="s">
        <v>242</v>
      </c>
    </row>
    <row r="5" spans="1:3" ht="16.5" customHeight="1">
      <c r="A5" s="19" t="s">
        <v>3</v>
      </c>
      <c r="B5" s="19" t="s">
        <v>4</v>
      </c>
      <c r="C5" s="19" t="s">
        <v>5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>
        <f>IF(MAX(20,MROUND(시작중량_설정!$E$9*0.75,2.5))&lt;=MAX(20,MROUND(시작중량_설정!$E$9*0.6,2.5)),"생략",MAX(20,MROUND(시작중량_설정!$E$9*0.75,2.5)))</f>
        <v>22.5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27.5</v>
      </c>
      <c r="B9" s="20">
        <v>2</v>
      </c>
      <c r="C9" s="20">
        <v>1</v>
      </c>
    </row>
    <row r="10" spans="1:3" ht="15" customHeight="1">
      <c r="A10" s="39">
        <f>시작중량_설정!$E$9</f>
        <v>29.25</v>
      </c>
      <c r="B10" s="27">
        <v>5</v>
      </c>
      <c r="C10" s="27">
        <v>5</v>
      </c>
    </row>
    <row r="11" spans="1:3" ht="16.5" customHeight="1">
      <c r="A11" s="31" t="s">
        <v>6</v>
      </c>
    </row>
    <row r="13" spans="1:3" ht="16.5" customHeight="1">
      <c r="A13" s="3" t="s">
        <v>243</v>
      </c>
    </row>
    <row r="14" spans="1:3" ht="16.5" customHeight="1">
      <c r="A14" s="31" t="s">
        <v>244</v>
      </c>
    </row>
    <row r="15" spans="1:3" ht="16.5" customHeight="1">
      <c r="A15" s="31" t="s">
        <v>245</v>
      </c>
    </row>
    <row r="16" spans="1:3" ht="16.5" customHeight="1">
      <c r="A16" s="31" t="s">
        <v>246</v>
      </c>
    </row>
    <row r="18" spans="1:12" ht="15" customHeight="1">
      <c r="A18" s="3" t="s">
        <v>7</v>
      </c>
    </row>
    <row r="19" spans="1:12" ht="16.5" customHeight="1">
      <c r="A19" s="34" t="s">
        <v>8</v>
      </c>
      <c r="B19" s="35" t="s">
        <v>9</v>
      </c>
      <c r="C19" s="35" t="s">
        <v>10</v>
      </c>
      <c r="D19" s="35" t="s">
        <v>3</v>
      </c>
      <c r="E19" s="35" t="s">
        <v>5</v>
      </c>
      <c r="F19" s="35" t="s">
        <v>11</v>
      </c>
      <c r="G19" s="35" t="s">
        <v>12</v>
      </c>
      <c r="H19" s="35" t="s">
        <v>13</v>
      </c>
      <c r="I19" s="35" t="s">
        <v>14</v>
      </c>
      <c r="J19" s="35" t="s">
        <v>15</v>
      </c>
      <c r="K19" s="35" t="s">
        <v>16</v>
      </c>
      <c r="L19" s="35" t="s">
        <v>17</v>
      </c>
    </row>
    <row r="20" spans="1:12" ht="16.5" customHeight="1">
      <c r="A20" s="40">
        <v>1</v>
      </c>
      <c r="B20" s="41" t="s">
        <v>247</v>
      </c>
      <c r="C20" s="42" t="s">
        <v>248</v>
      </c>
      <c r="D20" s="43">
        <f>시작중량_설정!$E$9</f>
        <v>29.25</v>
      </c>
      <c r="E20" s="42">
        <v>5</v>
      </c>
      <c r="F20" s="40" t="s">
        <v>20</v>
      </c>
      <c r="G20" s="40">
        <v>30</v>
      </c>
      <c r="H20" s="40">
        <v>180</v>
      </c>
      <c r="I20" s="40">
        <f t="shared" ref="I20:I26" si="0">IF(E20=0,0,ROUND(E20*(G20+H20)/60,1))</f>
        <v>17.5</v>
      </c>
      <c r="J20" s="41" t="s">
        <v>249</v>
      </c>
      <c r="K20" s="41" t="s">
        <v>250</v>
      </c>
      <c r="L20" s="41" t="s">
        <v>251</v>
      </c>
    </row>
    <row r="21" spans="1:12" ht="16.5" customHeight="1">
      <c r="A21" s="20">
        <v>2</v>
      </c>
      <c r="B21" s="21" t="s">
        <v>252</v>
      </c>
      <c r="C21" s="20" t="s">
        <v>248</v>
      </c>
      <c r="D21" s="44" t="s">
        <v>253</v>
      </c>
      <c r="E21" s="20">
        <v>4</v>
      </c>
      <c r="F21" s="26" t="s">
        <v>207</v>
      </c>
      <c r="G21" s="26">
        <v>40</v>
      </c>
      <c r="H21" s="26">
        <v>150</v>
      </c>
      <c r="I21" s="26">
        <f t="shared" si="0"/>
        <v>12.7</v>
      </c>
      <c r="J21" s="21" t="s">
        <v>222</v>
      </c>
      <c r="K21" s="21" t="s">
        <v>254</v>
      </c>
      <c r="L21" s="21" t="s">
        <v>255</v>
      </c>
    </row>
    <row r="22" spans="1:12" ht="16.5" customHeight="1">
      <c r="A22" s="20">
        <v>3</v>
      </c>
      <c r="B22" s="36" t="s">
        <v>256</v>
      </c>
      <c r="C22" s="20" t="s">
        <v>257</v>
      </c>
      <c r="D22" s="26">
        <v>8</v>
      </c>
      <c r="E22" s="20">
        <v>4</v>
      </c>
      <c r="F22" s="26" t="s">
        <v>37</v>
      </c>
      <c r="G22" s="26">
        <v>40</v>
      </c>
      <c r="H22" s="26">
        <v>105</v>
      </c>
      <c r="I22" s="26">
        <f t="shared" si="0"/>
        <v>9.6999999999999993</v>
      </c>
      <c r="J22" s="21"/>
      <c r="K22" s="21" t="s">
        <v>258</v>
      </c>
      <c r="L22" s="21" t="s">
        <v>259</v>
      </c>
    </row>
    <row r="23" spans="1:12" ht="16.5" customHeight="1">
      <c r="A23" s="20">
        <v>4</v>
      </c>
      <c r="B23" s="21" t="s">
        <v>260</v>
      </c>
      <c r="C23" s="45" t="s">
        <v>248</v>
      </c>
      <c r="D23" s="26">
        <v>10</v>
      </c>
      <c r="E23" s="20">
        <v>3</v>
      </c>
      <c r="F23" s="26" t="s">
        <v>25</v>
      </c>
      <c r="G23" s="26">
        <v>40</v>
      </c>
      <c r="H23" s="26">
        <v>90</v>
      </c>
      <c r="I23" s="26">
        <f t="shared" si="0"/>
        <v>6.5</v>
      </c>
      <c r="J23" s="21"/>
      <c r="K23" s="21" t="s">
        <v>261</v>
      </c>
      <c r="L23" s="21" t="s">
        <v>262</v>
      </c>
    </row>
    <row r="24" spans="1:12" ht="16.5" customHeight="1">
      <c r="A24" s="20">
        <v>5</v>
      </c>
      <c r="B24" s="21" t="s">
        <v>263</v>
      </c>
      <c r="C24" s="20" t="s">
        <v>264</v>
      </c>
      <c r="D24" s="26">
        <v>6</v>
      </c>
      <c r="E24" s="20">
        <v>6</v>
      </c>
      <c r="F24" s="26" t="s">
        <v>42</v>
      </c>
      <c r="G24" s="26">
        <v>40</v>
      </c>
      <c r="H24" s="26">
        <v>70</v>
      </c>
      <c r="I24" s="26">
        <f t="shared" si="0"/>
        <v>11</v>
      </c>
      <c r="J24" s="21"/>
      <c r="K24" s="21" t="s">
        <v>265</v>
      </c>
      <c r="L24" s="21" t="s">
        <v>266</v>
      </c>
    </row>
    <row r="25" spans="1:12" ht="16.5" customHeight="1">
      <c r="A25" s="20">
        <v>6</v>
      </c>
      <c r="B25" s="21" t="s">
        <v>267</v>
      </c>
      <c r="C25" s="45" t="s">
        <v>268</v>
      </c>
      <c r="D25" s="26">
        <v>20</v>
      </c>
      <c r="E25" s="20">
        <v>4</v>
      </c>
      <c r="F25" s="26" t="s">
        <v>42</v>
      </c>
      <c r="G25" s="26">
        <v>40</v>
      </c>
      <c r="H25" s="26">
        <v>70</v>
      </c>
      <c r="I25" s="26">
        <f t="shared" si="0"/>
        <v>7.3</v>
      </c>
      <c r="J25" s="21"/>
      <c r="K25" s="21"/>
      <c r="L25" s="21"/>
    </row>
    <row r="26" spans="1:12" ht="16.5" customHeight="1">
      <c r="A26" s="20">
        <v>7</v>
      </c>
      <c r="B26" s="21" t="s">
        <v>216</v>
      </c>
      <c r="C26" s="45" t="s">
        <v>201</v>
      </c>
      <c r="D26" s="26" t="s">
        <v>269</v>
      </c>
      <c r="E26" s="20">
        <v>3</v>
      </c>
      <c r="F26" s="26" t="s">
        <v>25</v>
      </c>
      <c r="G26" s="26">
        <v>40</v>
      </c>
      <c r="H26" s="26">
        <v>70</v>
      </c>
      <c r="I26" s="26">
        <f t="shared" si="0"/>
        <v>5.5</v>
      </c>
      <c r="J26" s="21" t="s">
        <v>218</v>
      </c>
      <c r="K26" s="21" t="s">
        <v>270</v>
      </c>
      <c r="L26" s="21" t="s">
        <v>271</v>
      </c>
    </row>
    <row r="27" spans="1:12">
      <c r="D27" s="3" t="s">
        <v>59</v>
      </c>
      <c r="E27" s="27">
        <f>SUM(E20:E26)</f>
        <v>29</v>
      </c>
      <c r="I27">
        <f>ROUND(SUM(I20:I26),0)</f>
        <v>70</v>
      </c>
    </row>
  </sheetData>
  <phoneticPr fontId="34" type="noConversion"/>
  <conditionalFormatting sqref="A20:N26">
    <cfRule type="expression" dxfId="6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3"/>
  <sheetViews>
    <sheetView zoomScaleNormal="100" workbookViewId="0">
      <pane ySplit="14" topLeftCell="A15" activePane="bottomLeft" state="frozen"/>
      <selection pane="bottomLeft" activeCell="E36" sqref="E36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12" ht="19.5" customHeight="1">
      <c r="A1" s="17" t="s">
        <v>0</v>
      </c>
    </row>
    <row r="2" spans="1:12" ht="16.5" customHeight="1">
      <c r="A2" s="18" t="s">
        <v>1</v>
      </c>
    </row>
    <row r="4" spans="1:12" ht="16.5" customHeight="1">
      <c r="A4" s="3" t="s">
        <v>2</v>
      </c>
    </row>
    <row r="5" spans="1:12" ht="16.5" customHeight="1">
      <c r="A5" s="19" t="s">
        <v>3</v>
      </c>
      <c r="B5" s="19" t="s">
        <v>4</v>
      </c>
      <c r="C5" s="19" t="s">
        <v>5</v>
      </c>
    </row>
    <row r="6" spans="1:12" ht="15" customHeight="1">
      <c r="A6" s="20">
        <f>MAX(20,MROUND(시작중량_설정!$E$7*0.4,2.5))</f>
        <v>20</v>
      </c>
      <c r="B6" s="20">
        <v>5</v>
      </c>
      <c r="C6" s="20">
        <v>2</v>
      </c>
    </row>
    <row r="7" spans="1:12" ht="15" customHeight="1">
      <c r="A7" s="20">
        <f>IF(MAX(20,MROUND(시작중량_설정!$E$7*0.6,2.5))&lt;=MAX(20,MROUND(시작중량_설정!$E$7*0.4,2.5)),"생략",MAX(20,MROUND(시작중량_설정!$E$7*0.6,2.5)))</f>
        <v>32.5</v>
      </c>
      <c r="B7" s="20">
        <v>5</v>
      </c>
      <c r="C7" s="20">
        <v>1</v>
      </c>
    </row>
    <row r="8" spans="1:12" ht="15" customHeight="1">
      <c r="A8" s="20">
        <f>IF(MAX(20,MROUND(시작중량_설정!$E$7*0.75,2.5))&lt;=MAX(20,MROUND(시작중량_설정!$E$7*0.6,2.5)),"생략",MAX(20,MROUND(시작중량_설정!$E$7*0.75,2.5)))</f>
        <v>40</v>
      </c>
      <c r="B8" s="20">
        <v>3</v>
      </c>
      <c r="C8" s="20">
        <v>1</v>
      </c>
    </row>
    <row r="9" spans="1:12" ht="15" customHeight="1">
      <c r="A9" s="20">
        <f>IF(MAX(20,MROUND(시작중량_설정!$E$7*0.9,2.5))&lt;=MAX(20,MROUND(시작중량_설정!$E$7*0.75,2.5)),"생략",MAX(20,MROUND(시작중량_설정!$E$7*0.9,2.5)))</f>
        <v>47.5</v>
      </c>
      <c r="B9" s="20">
        <v>2</v>
      </c>
      <c r="C9" s="20">
        <v>1</v>
      </c>
    </row>
    <row r="10" spans="1:12" ht="15" customHeight="1">
      <c r="A10" s="39">
        <f>시작중량_설정!$E$7</f>
        <v>52.5</v>
      </c>
      <c r="B10" s="27">
        <v>5</v>
      </c>
      <c r="C10" s="27">
        <v>5</v>
      </c>
    </row>
    <row r="11" spans="1:12" ht="16.5" customHeight="1">
      <c r="A11" s="31" t="s">
        <v>6</v>
      </c>
    </row>
    <row r="13" spans="1:12" ht="15" customHeight="1">
      <c r="A13" s="3" t="s">
        <v>7</v>
      </c>
    </row>
    <row r="14" spans="1:12" ht="16.5" customHeight="1">
      <c r="A14" s="34" t="s">
        <v>8</v>
      </c>
      <c r="B14" s="35" t="s">
        <v>9</v>
      </c>
      <c r="C14" s="35" t="s">
        <v>10</v>
      </c>
      <c r="D14" s="35" t="s">
        <v>3</v>
      </c>
      <c r="E14" s="35" t="s">
        <v>5</v>
      </c>
      <c r="F14" s="35" t="s">
        <v>11</v>
      </c>
      <c r="G14" s="35" t="s">
        <v>12</v>
      </c>
      <c r="H14" s="35" t="s">
        <v>13</v>
      </c>
      <c r="I14" s="35" t="s">
        <v>14</v>
      </c>
      <c r="J14" s="35" t="s">
        <v>15</v>
      </c>
      <c r="K14" s="35" t="s">
        <v>16</v>
      </c>
      <c r="L14" s="35" t="s">
        <v>17</v>
      </c>
    </row>
    <row r="15" spans="1:12" ht="16.5" customHeight="1">
      <c r="A15" s="42">
        <v>1</v>
      </c>
      <c r="B15" s="41" t="s">
        <v>18</v>
      </c>
      <c r="C15" s="42" t="s">
        <v>19</v>
      </c>
      <c r="D15" s="43">
        <f>시작중량_설정!$E$7</f>
        <v>52.5</v>
      </c>
      <c r="E15" s="42">
        <v>5</v>
      </c>
      <c r="F15" s="40" t="s">
        <v>20</v>
      </c>
      <c r="G15" s="40">
        <v>35</v>
      </c>
      <c r="H15" s="40">
        <v>180</v>
      </c>
      <c r="I15" s="40">
        <f t="shared" ref="I15:I22" si="0">IF(E15=0,0,ROUND(E15*(G15+H15)/60,1))</f>
        <v>17.899999999999999</v>
      </c>
      <c r="J15" s="41" t="s">
        <v>21</v>
      </c>
      <c r="K15" s="41" t="s">
        <v>22</v>
      </c>
      <c r="L15" s="41" t="s">
        <v>23</v>
      </c>
    </row>
    <row r="16" spans="1:12" ht="16.5" customHeight="1">
      <c r="A16" s="20">
        <v>2</v>
      </c>
      <c r="B16" s="21" t="s">
        <v>24</v>
      </c>
      <c r="C16" s="20" t="s">
        <v>19</v>
      </c>
      <c r="D16" s="26">
        <v>100</v>
      </c>
      <c r="E16" s="20">
        <v>3</v>
      </c>
      <c r="F16" s="26" t="s">
        <v>25</v>
      </c>
      <c r="G16" s="26">
        <v>45</v>
      </c>
      <c r="H16" s="26">
        <v>150</v>
      </c>
      <c r="I16" s="26">
        <f t="shared" si="0"/>
        <v>9.8000000000000007</v>
      </c>
      <c r="J16" s="21" t="s">
        <v>26</v>
      </c>
      <c r="K16" s="21" t="s">
        <v>27</v>
      </c>
      <c r="L16" s="21" t="s">
        <v>28</v>
      </c>
    </row>
    <row r="17" spans="1:12" ht="16.5" customHeight="1">
      <c r="A17" s="20">
        <v>3</v>
      </c>
      <c r="B17" s="21" t="s">
        <v>29</v>
      </c>
      <c r="C17" s="20" t="s">
        <v>26</v>
      </c>
      <c r="D17" s="20" t="s">
        <v>30</v>
      </c>
      <c r="E17" s="20">
        <v>4</v>
      </c>
      <c r="F17" s="26" t="s">
        <v>31</v>
      </c>
      <c r="G17" s="26">
        <v>90</v>
      </c>
      <c r="H17" s="26">
        <v>150</v>
      </c>
      <c r="I17" s="26">
        <f t="shared" si="0"/>
        <v>16</v>
      </c>
      <c r="J17" s="21" t="s">
        <v>32</v>
      </c>
      <c r="K17" s="21" t="s">
        <v>33</v>
      </c>
      <c r="L17" s="21" t="s">
        <v>34</v>
      </c>
    </row>
    <row r="18" spans="1:12" ht="16.5" customHeight="1">
      <c r="A18" s="20">
        <v>4</v>
      </c>
      <c r="B18" s="21" t="s">
        <v>35</v>
      </c>
      <c r="C18" s="20" t="s">
        <v>36</v>
      </c>
      <c r="D18" s="26">
        <v>40</v>
      </c>
      <c r="E18" s="20">
        <v>4</v>
      </c>
      <c r="F18" s="26" t="s">
        <v>37</v>
      </c>
      <c r="G18" s="26">
        <v>40</v>
      </c>
      <c r="H18" s="26">
        <v>120</v>
      </c>
      <c r="I18" s="26">
        <f t="shared" si="0"/>
        <v>10.7</v>
      </c>
      <c r="J18" s="21"/>
      <c r="K18" s="21" t="s">
        <v>38</v>
      </c>
      <c r="L18" s="21" t="s">
        <v>39</v>
      </c>
    </row>
    <row r="19" spans="1:12" ht="16.5" customHeight="1">
      <c r="A19" s="20">
        <v>5</v>
      </c>
      <c r="B19" s="21" t="s">
        <v>40</v>
      </c>
      <c r="C19" s="20" t="s">
        <v>41</v>
      </c>
      <c r="D19" s="26">
        <v>36</v>
      </c>
      <c r="E19" s="20">
        <v>4</v>
      </c>
      <c r="F19" s="26" t="s">
        <v>42</v>
      </c>
      <c r="G19" s="26">
        <v>40</v>
      </c>
      <c r="H19" s="26">
        <v>105</v>
      </c>
      <c r="I19" s="26">
        <f t="shared" si="0"/>
        <v>9.6999999999999993</v>
      </c>
      <c r="J19" s="21"/>
      <c r="K19" s="21" t="s">
        <v>43</v>
      </c>
      <c r="L19" s="21" t="s">
        <v>44</v>
      </c>
    </row>
    <row r="20" spans="1:12" ht="16.5" customHeight="1">
      <c r="A20" s="20">
        <v>6</v>
      </c>
      <c r="B20" s="21" t="s">
        <v>45</v>
      </c>
      <c r="C20" s="20" t="s">
        <v>46</v>
      </c>
      <c r="D20" s="26" t="s">
        <v>47</v>
      </c>
      <c r="E20" s="20">
        <v>0</v>
      </c>
      <c r="F20" s="26" t="s">
        <v>48</v>
      </c>
      <c r="G20" s="26">
        <v>80</v>
      </c>
      <c r="H20" s="26">
        <v>75</v>
      </c>
      <c r="I20" s="26">
        <f t="shared" si="0"/>
        <v>0</v>
      </c>
      <c r="J20" s="21"/>
      <c r="K20" s="21" t="s">
        <v>49</v>
      </c>
      <c r="L20" s="21" t="s">
        <v>50</v>
      </c>
    </row>
    <row r="21" spans="1:12" ht="16.5" customHeight="1">
      <c r="A21" s="20">
        <v>7</v>
      </c>
      <c r="B21" s="21" t="s">
        <v>51</v>
      </c>
      <c r="C21" s="20" t="s">
        <v>52</v>
      </c>
      <c r="D21" s="26">
        <v>6</v>
      </c>
      <c r="E21" s="20">
        <v>4</v>
      </c>
      <c r="F21" s="26" t="s">
        <v>42</v>
      </c>
      <c r="G21" s="26">
        <v>40</v>
      </c>
      <c r="H21" s="26">
        <v>75</v>
      </c>
      <c r="I21" s="26">
        <f t="shared" si="0"/>
        <v>7.7</v>
      </c>
      <c r="J21" s="21"/>
      <c r="K21" s="21" t="s">
        <v>53</v>
      </c>
      <c r="L21" s="21" t="s">
        <v>54</v>
      </c>
    </row>
    <row r="22" spans="1:12" ht="15" customHeight="1">
      <c r="A22" s="20">
        <v>8</v>
      </c>
      <c r="B22" s="86" t="s">
        <v>55</v>
      </c>
      <c r="C22" s="20" t="s">
        <v>56</v>
      </c>
      <c r="D22" s="88" t="s">
        <v>30</v>
      </c>
      <c r="E22" s="20">
        <v>3</v>
      </c>
      <c r="F22" s="26">
        <v>10</v>
      </c>
      <c r="G22" s="26">
        <v>40</v>
      </c>
      <c r="H22" s="26">
        <v>60</v>
      </c>
      <c r="I22" s="26">
        <f t="shared" si="0"/>
        <v>5</v>
      </c>
      <c r="J22" s="21"/>
      <c r="K22" s="21" t="s">
        <v>57</v>
      </c>
      <c r="L22" s="21" t="s">
        <v>58</v>
      </c>
    </row>
    <row r="23" spans="1:12" ht="15" customHeight="1">
      <c r="D23" s="3" t="s">
        <v>59</v>
      </c>
      <c r="E23" s="27">
        <f>SUM(E15:E22)</f>
        <v>27</v>
      </c>
      <c r="I23">
        <f>ROUND(SUM(I15:I22),0)</f>
        <v>77</v>
      </c>
    </row>
  </sheetData>
  <phoneticPr fontId="34" type="noConversion"/>
  <conditionalFormatting sqref="A15:N21 A22 C22:N22">
    <cfRule type="expression" dxfId="5" priority="1">
      <formula>$E15=0</formula>
    </cfRule>
  </conditionalFormatting>
  <conditionalFormatting sqref="B22">
    <cfRule type="expression" dxfId="4" priority="2">
      <formula>$E22=0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1"/>
  <sheetViews>
    <sheetView zoomScaleNormal="100" workbookViewId="0">
      <pane ySplit="5" topLeftCell="A6" activePane="bottomLeft" state="frozen"/>
      <selection pane="bottomLeft" activeCell="C27" sqref="C27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12" ht="19.5" customHeight="1">
      <c r="A1" s="17" t="s">
        <v>272</v>
      </c>
    </row>
    <row r="2" spans="1:12" ht="16.5" customHeight="1">
      <c r="A2" s="18" t="s">
        <v>273</v>
      </c>
    </row>
    <row r="3" spans="1:12">
      <c r="A3" s="33" t="s">
        <v>274</v>
      </c>
    </row>
    <row r="4" spans="1:12" ht="15" customHeight="1">
      <c r="A4" s="3" t="s">
        <v>7</v>
      </c>
    </row>
    <row r="5" spans="1:12" ht="16.5" customHeight="1">
      <c r="A5" s="34" t="s">
        <v>8</v>
      </c>
      <c r="B5" s="35" t="s">
        <v>9</v>
      </c>
      <c r="C5" s="35" t="s">
        <v>10</v>
      </c>
      <c r="D5" s="35" t="s">
        <v>3</v>
      </c>
      <c r="E5" s="35" t="s">
        <v>5</v>
      </c>
      <c r="F5" s="35" t="s">
        <v>11</v>
      </c>
      <c r="G5" s="35" t="s">
        <v>12</v>
      </c>
      <c r="H5" s="35" t="s">
        <v>13</v>
      </c>
      <c r="I5" s="35" t="s">
        <v>14</v>
      </c>
      <c r="J5" s="35" t="s">
        <v>15</v>
      </c>
      <c r="K5" s="35" t="s">
        <v>16</v>
      </c>
      <c r="L5" s="35" t="s">
        <v>17</v>
      </c>
    </row>
    <row r="6" spans="1:12" ht="16.5" customHeight="1">
      <c r="A6" s="20">
        <v>1</v>
      </c>
      <c r="B6" s="36" t="s">
        <v>767</v>
      </c>
      <c r="C6" s="20" t="s">
        <v>199</v>
      </c>
      <c r="D6" s="26">
        <v>35</v>
      </c>
      <c r="E6" s="20">
        <v>4</v>
      </c>
      <c r="F6" s="26" t="s">
        <v>207</v>
      </c>
      <c r="G6" s="26">
        <v>40</v>
      </c>
      <c r="H6" s="26">
        <v>150</v>
      </c>
      <c r="I6" s="26">
        <f t="shared" ref="I6:I14" si="0">IF(E6=0,0,ROUND(E6*(G6+H6)/60,1))</f>
        <v>12.7</v>
      </c>
      <c r="J6" s="21" t="s">
        <v>276</v>
      </c>
      <c r="K6" s="21" t="s">
        <v>277</v>
      </c>
      <c r="L6" s="21" t="s">
        <v>278</v>
      </c>
    </row>
    <row r="7" spans="1:12" ht="16.5" customHeight="1">
      <c r="A7" s="20">
        <v>2</v>
      </c>
      <c r="B7" s="36" t="s">
        <v>768</v>
      </c>
      <c r="C7" s="20" t="s">
        <v>199</v>
      </c>
      <c r="D7" s="26">
        <v>32</v>
      </c>
      <c r="E7" s="20">
        <v>4</v>
      </c>
      <c r="F7" s="26" t="s">
        <v>25</v>
      </c>
      <c r="G7" s="26">
        <v>40</v>
      </c>
      <c r="H7" s="26">
        <v>150</v>
      </c>
      <c r="I7" s="26">
        <f t="shared" si="0"/>
        <v>12.7</v>
      </c>
      <c r="J7" s="21" t="s">
        <v>276</v>
      </c>
      <c r="K7" s="21" t="s">
        <v>280</v>
      </c>
      <c r="L7" s="21" t="s">
        <v>281</v>
      </c>
    </row>
    <row r="8" spans="1:12" ht="16.5" customHeight="1">
      <c r="A8" s="20">
        <v>3</v>
      </c>
      <c r="B8" s="36" t="s">
        <v>769</v>
      </c>
      <c r="C8" s="20" t="s">
        <v>212</v>
      </c>
      <c r="D8" s="20">
        <v>25</v>
      </c>
      <c r="E8" s="20">
        <v>4</v>
      </c>
      <c r="F8" s="26" t="s">
        <v>42</v>
      </c>
      <c r="G8" s="26">
        <v>40</v>
      </c>
      <c r="H8" s="26">
        <v>60</v>
      </c>
      <c r="I8" s="26">
        <f t="shared" si="0"/>
        <v>6.7</v>
      </c>
      <c r="J8" s="21" t="s">
        <v>282</v>
      </c>
      <c r="K8" s="21" t="s">
        <v>283</v>
      </c>
      <c r="L8" s="21" t="s">
        <v>284</v>
      </c>
    </row>
    <row r="9" spans="1:12" ht="16.5" customHeight="1">
      <c r="A9" s="20">
        <v>4</v>
      </c>
      <c r="B9" s="21" t="s">
        <v>285</v>
      </c>
      <c r="C9" s="20" t="s">
        <v>268</v>
      </c>
      <c r="D9" s="26" t="s">
        <v>42</v>
      </c>
      <c r="E9" s="20">
        <v>0</v>
      </c>
      <c r="F9" s="26" t="s">
        <v>235</v>
      </c>
      <c r="G9" s="26">
        <v>40</v>
      </c>
      <c r="H9" s="26">
        <v>70</v>
      </c>
      <c r="I9" s="26">
        <f t="shared" si="0"/>
        <v>0</v>
      </c>
      <c r="J9" s="21" t="s">
        <v>286</v>
      </c>
      <c r="K9" s="21" t="s">
        <v>287</v>
      </c>
      <c r="L9" s="21" t="s">
        <v>288</v>
      </c>
    </row>
    <row r="10" spans="1:12" ht="16.5" customHeight="1">
      <c r="A10" s="20">
        <v>5</v>
      </c>
      <c r="B10" s="21" t="s">
        <v>289</v>
      </c>
      <c r="C10" s="20" t="s">
        <v>201</v>
      </c>
      <c r="D10" s="26">
        <v>25</v>
      </c>
      <c r="E10" s="20">
        <v>4</v>
      </c>
      <c r="F10" s="26" t="s">
        <v>25</v>
      </c>
      <c r="G10" s="26">
        <v>40</v>
      </c>
      <c r="H10" s="26">
        <v>70</v>
      </c>
      <c r="I10" s="26">
        <f t="shared" si="0"/>
        <v>7.3</v>
      </c>
      <c r="J10" s="21" t="s">
        <v>218</v>
      </c>
      <c r="K10" s="21" t="s">
        <v>290</v>
      </c>
      <c r="L10" s="22" t="s">
        <v>291</v>
      </c>
    </row>
    <row r="11" spans="1:12" ht="16.5" customHeight="1">
      <c r="A11" s="20">
        <v>6</v>
      </c>
      <c r="B11" s="86" t="s">
        <v>292</v>
      </c>
      <c r="C11" s="20" t="s">
        <v>218</v>
      </c>
      <c r="D11" s="20">
        <v>15</v>
      </c>
      <c r="E11" s="20">
        <v>4</v>
      </c>
      <c r="F11" s="26" t="s">
        <v>227</v>
      </c>
      <c r="G11" s="26">
        <v>40</v>
      </c>
      <c r="H11" s="26">
        <v>60</v>
      </c>
      <c r="I11" s="26">
        <f t="shared" si="0"/>
        <v>6.7</v>
      </c>
      <c r="J11" s="21"/>
      <c r="K11" s="21" t="s">
        <v>293</v>
      </c>
      <c r="L11" s="21" t="s">
        <v>294</v>
      </c>
    </row>
    <row r="12" spans="1:12" ht="16.5" customHeight="1">
      <c r="A12" s="20">
        <v>7</v>
      </c>
      <c r="B12" s="86" t="s">
        <v>295</v>
      </c>
      <c r="C12" s="20" t="s">
        <v>218</v>
      </c>
      <c r="D12" s="20">
        <v>15</v>
      </c>
      <c r="E12" s="20">
        <v>4</v>
      </c>
      <c r="F12" s="26" t="s">
        <v>223</v>
      </c>
      <c r="G12" s="26">
        <v>40</v>
      </c>
      <c r="H12" s="26">
        <v>70</v>
      </c>
      <c r="I12" s="26">
        <f t="shared" si="0"/>
        <v>7.3</v>
      </c>
      <c r="J12" s="21" t="s">
        <v>296</v>
      </c>
      <c r="K12" s="21" t="s">
        <v>297</v>
      </c>
      <c r="L12" s="21" t="s">
        <v>298</v>
      </c>
    </row>
    <row r="13" spans="1:12" ht="16.5" customHeight="1">
      <c r="A13" s="20">
        <v>8</v>
      </c>
      <c r="B13" s="21" t="s">
        <v>299</v>
      </c>
      <c r="C13" s="20" t="s">
        <v>300</v>
      </c>
      <c r="D13" s="20">
        <v>15</v>
      </c>
      <c r="E13" s="20">
        <v>3</v>
      </c>
      <c r="F13" s="26" t="s">
        <v>37</v>
      </c>
      <c r="G13" s="26">
        <v>40</v>
      </c>
      <c r="H13" s="26">
        <v>90</v>
      </c>
      <c r="I13" s="26">
        <f t="shared" si="0"/>
        <v>6.5</v>
      </c>
      <c r="J13" s="21" t="s">
        <v>301</v>
      </c>
      <c r="K13" s="21" t="s">
        <v>302</v>
      </c>
      <c r="L13" s="21" t="s">
        <v>303</v>
      </c>
    </row>
    <row r="14" spans="1:12" ht="15" customHeight="1">
      <c r="A14" s="20">
        <v>9</v>
      </c>
      <c r="B14" s="90" t="s">
        <v>304</v>
      </c>
      <c r="C14" s="20" t="s">
        <v>56</v>
      </c>
      <c r="D14" s="20">
        <v>10</v>
      </c>
      <c r="E14" s="20">
        <v>3</v>
      </c>
      <c r="F14" s="26" t="s">
        <v>235</v>
      </c>
      <c r="G14" s="26">
        <v>40</v>
      </c>
      <c r="H14" s="26">
        <v>60</v>
      </c>
      <c r="I14" s="26">
        <f t="shared" si="0"/>
        <v>5</v>
      </c>
      <c r="J14" s="21"/>
      <c r="K14" s="21" t="s">
        <v>305</v>
      </c>
      <c r="L14" s="21" t="s">
        <v>306</v>
      </c>
    </row>
    <row r="15" spans="1:12" ht="15" customHeight="1">
      <c r="D15" s="3" t="s">
        <v>59</v>
      </c>
      <c r="E15" s="27">
        <f>SUM(E6:E14)</f>
        <v>30</v>
      </c>
      <c r="I15">
        <f>ROUND(SUM(I6:I14),0)</f>
        <v>65</v>
      </c>
    </row>
    <row r="21" spans="2:2">
      <c r="B21" s="89"/>
    </row>
  </sheetData>
  <phoneticPr fontId="34" type="noConversion"/>
  <conditionalFormatting sqref="A6:N14">
    <cfRule type="expression" dxfId="3" priority="1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8"/>
  <sheetViews>
    <sheetView zoomScaleNormal="100" workbookViewId="0">
      <pane ySplit="19" topLeftCell="A20" activePane="bottomLeft" state="frozen"/>
      <selection pane="bottomLeft" activeCell="B23" sqref="B23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3" ht="19.5" customHeight="1">
      <c r="A1" s="17" t="s">
        <v>307</v>
      </c>
    </row>
    <row r="2" spans="1:3" ht="16.5" customHeight="1">
      <c r="A2" s="18" t="s">
        <v>308</v>
      </c>
    </row>
    <row r="4" spans="1:3" ht="16.5" customHeight="1">
      <c r="A4" s="3" t="s">
        <v>309</v>
      </c>
    </row>
    <row r="5" spans="1:3" ht="16.5" customHeight="1">
      <c r="A5" s="19" t="s">
        <v>3</v>
      </c>
      <c r="B5" s="19" t="s">
        <v>4</v>
      </c>
      <c r="C5" s="19" t="s">
        <v>5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IF(MAX(20,MROUND(시작중량_설정!$E$10*0.9,2.5))&lt;=MAX(20,MROUND(시작중량_설정!$E$10*0.75,2.5)),"생략",MAX(20,MROUND(시작중량_설정!$E$10*0.9,2.5)))</f>
        <v>22.5</v>
      </c>
      <c r="B9" s="20">
        <v>2</v>
      </c>
      <c r="C9" s="20">
        <v>1</v>
      </c>
    </row>
    <row r="10" spans="1:3" ht="15" customHeight="1">
      <c r="A10" s="39">
        <f>시작중량_설정!$E$10</f>
        <v>23.75</v>
      </c>
      <c r="B10" s="27">
        <v>5</v>
      </c>
      <c r="C10" s="27">
        <v>3</v>
      </c>
    </row>
    <row r="11" spans="1:3" ht="16.5" customHeight="1">
      <c r="A11" s="31" t="s">
        <v>6</v>
      </c>
    </row>
    <row r="13" spans="1:3" ht="16.5" customHeight="1">
      <c r="A13" s="3" t="s">
        <v>243</v>
      </c>
    </row>
    <row r="14" spans="1:3" ht="16.5" customHeight="1">
      <c r="A14" s="31" t="s">
        <v>244</v>
      </c>
    </row>
    <row r="15" spans="1:3" ht="16.5" customHeight="1">
      <c r="A15" s="31" t="s">
        <v>245</v>
      </c>
    </row>
    <row r="16" spans="1:3" ht="16.5" customHeight="1">
      <c r="A16" s="31" t="s">
        <v>246</v>
      </c>
    </row>
    <row r="18" spans="1:12" ht="15" customHeight="1">
      <c r="A18" s="3" t="s">
        <v>7</v>
      </c>
    </row>
    <row r="19" spans="1:12" ht="16.5" customHeight="1">
      <c r="A19" s="34" t="s">
        <v>8</v>
      </c>
      <c r="B19" s="35" t="s">
        <v>9</v>
      </c>
      <c r="C19" s="35" t="s">
        <v>10</v>
      </c>
      <c r="D19" s="35" t="s">
        <v>3</v>
      </c>
      <c r="E19" s="35" t="s">
        <v>5</v>
      </c>
      <c r="F19" s="35" t="s">
        <v>11</v>
      </c>
      <c r="G19" s="35" t="s">
        <v>12</v>
      </c>
      <c r="H19" s="35" t="s">
        <v>13</v>
      </c>
      <c r="I19" s="35" t="s">
        <v>14</v>
      </c>
      <c r="J19" s="35" t="s">
        <v>15</v>
      </c>
      <c r="K19" s="35" t="s">
        <v>16</v>
      </c>
      <c r="L19" s="35" t="s">
        <v>17</v>
      </c>
    </row>
    <row r="20" spans="1:12" ht="16.5" customHeight="1">
      <c r="A20" s="42">
        <v>1</v>
      </c>
      <c r="B20" s="41" t="s">
        <v>310</v>
      </c>
      <c r="C20" s="42" t="s">
        <v>311</v>
      </c>
      <c r="D20" s="43">
        <f>시작중량_설정!$E$10</f>
        <v>23.75</v>
      </c>
      <c r="E20" s="42">
        <v>3</v>
      </c>
      <c r="F20" s="40" t="s">
        <v>20</v>
      </c>
      <c r="G20" s="40">
        <v>30</v>
      </c>
      <c r="H20" s="40">
        <v>180</v>
      </c>
      <c r="I20" s="40">
        <f t="shared" ref="I20:I28" si="0">IF(E20=0,0,ROUND(E20*(G20+H20)/60,1))</f>
        <v>10.5</v>
      </c>
      <c r="J20" s="41" t="s">
        <v>312</v>
      </c>
      <c r="K20" s="41" t="s">
        <v>313</v>
      </c>
      <c r="L20" s="41" t="s">
        <v>314</v>
      </c>
    </row>
    <row r="21" spans="1:12" ht="16.5" customHeight="1">
      <c r="A21" s="20">
        <v>2</v>
      </c>
      <c r="B21" s="21" t="s">
        <v>315</v>
      </c>
      <c r="C21" s="20" t="s">
        <v>311</v>
      </c>
      <c r="D21" s="20">
        <v>15</v>
      </c>
      <c r="E21" s="20">
        <v>3</v>
      </c>
      <c r="F21" s="26" t="s">
        <v>235</v>
      </c>
      <c r="G21" s="26">
        <v>40</v>
      </c>
      <c r="H21" s="26">
        <v>120</v>
      </c>
      <c r="I21" s="26">
        <f t="shared" si="0"/>
        <v>8</v>
      </c>
      <c r="J21" s="21" t="s">
        <v>316</v>
      </c>
      <c r="K21" s="21" t="s">
        <v>317</v>
      </c>
      <c r="L21" s="21" t="s">
        <v>318</v>
      </c>
    </row>
    <row r="22" spans="1:12" ht="16.5" customHeight="1">
      <c r="A22" s="20">
        <v>3</v>
      </c>
      <c r="B22" s="36" t="s">
        <v>319</v>
      </c>
      <c r="C22" s="20" t="s">
        <v>320</v>
      </c>
      <c r="D22" s="20">
        <v>10</v>
      </c>
      <c r="E22" s="20">
        <v>3</v>
      </c>
      <c r="F22" s="26" t="s">
        <v>42</v>
      </c>
      <c r="G22" s="26">
        <v>40</v>
      </c>
      <c r="H22" s="26">
        <v>60</v>
      </c>
      <c r="I22" s="26">
        <f t="shared" si="0"/>
        <v>5</v>
      </c>
      <c r="J22" s="21" t="s">
        <v>208</v>
      </c>
      <c r="K22" s="21" t="s">
        <v>321</v>
      </c>
      <c r="L22" s="21" t="s">
        <v>322</v>
      </c>
    </row>
    <row r="23" spans="1:12" ht="16.5" customHeight="1">
      <c r="A23" s="20">
        <v>4</v>
      </c>
      <c r="B23" s="21" t="s">
        <v>323</v>
      </c>
      <c r="C23" s="20" t="s">
        <v>248</v>
      </c>
      <c r="D23" s="26">
        <v>15</v>
      </c>
      <c r="E23" s="20">
        <v>3</v>
      </c>
      <c r="F23" s="26" t="s">
        <v>25</v>
      </c>
      <c r="G23" s="26">
        <v>40</v>
      </c>
      <c r="H23" s="26">
        <v>150</v>
      </c>
      <c r="I23" s="26">
        <f t="shared" si="0"/>
        <v>9.5</v>
      </c>
      <c r="J23" s="21" t="s">
        <v>222</v>
      </c>
      <c r="K23" s="21" t="s">
        <v>324</v>
      </c>
      <c r="L23" s="21" t="s">
        <v>325</v>
      </c>
    </row>
    <row r="24" spans="1:12" ht="16.5" customHeight="1">
      <c r="A24" s="20">
        <v>5</v>
      </c>
      <c r="B24" s="21" t="s">
        <v>326</v>
      </c>
      <c r="C24" s="20" t="s">
        <v>257</v>
      </c>
      <c r="D24" s="26">
        <v>30</v>
      </c>
      <c r="E24" s="20">
        <v>4</v>
      </c>
      <c r="F24" s="26" t="s">
        <v>207</v>
      </c>
      <c r="G24" s="26">
        <v>40</v>
      </c>
      <c r="H24" s="26">
        <v>150</v>
      </c>
      <c r="I24" s="26">
        <f t="shared" si="0"/>
        <v>12.7</v>
      </c>
      <c r="J24" s="21" t="s">
        <v>249</v>
      </c>
      <c r="K24" s="21" t="s">
        <v>327</v>
      </c>
      <c r="L24" s="21" t="s">
        <v>328</v>
      </c>
    </row>
    <row r="25" spans="1:12" ht="16.5" customHeight="1">
      <c r="A25" s="20">
        <v>6</v>
      </c>
      <c r="B25" s="21" t="s">
        <v>329</v>
      </c>
      <c r="C25" s="20" t="s">
        <v>268</v>
      </c>
      <c r="D25" s="26">
        <v>10</v>
      </c>
      <c r="E25" s="20">
        <v>3</v>
      </c>
      <c r="F25" s="26" t="s">
        <v>42</v>
      </c>
      <c r="G25" s="26">
        <v>40</v>
      </c>
      <c r="H25" s="26">
        <v>70</v>
      </c>
      <c r="I25" s="26">
        <f t="shared" si="0"/>
        <v>5.5</v>
      </c>
      <c r="J25" s="21"/>
      <c r="K25" s="21" t="s">
        <v>330</v>
      </c>
      <c r="L25" s="21" t="s">
        <v>331</v>
      </c>
    </row>
    <row r="26" spans="1:12" ht="16.5" customHeight="1">
      <c r="A26" s="20">
        <v>7</v>
      </c>
      <c r="B26" s="21" t="s">
        <v>332</v>
      </c>
      <c r="C26" s="20" t="s">
        <v>264</v>
      </c>
      <c r="D26" s="26">
        <v>5</v>
      </c>
      <c r="E26" s="20">
        <v>3</v>
      </c>
      <c r="F26" s="26" t="s">
        <v>37</v>
      </c>
      <c r="G26" s="26">
        <v>70</v>
      </c>
      <c r="H26" s="26">
        <v>70</v>
      </c>
      <c r="I26" s="26">
        <f t="shared" si="0"/>
        <v>7</v>
      </c>
      <c r="J26" s="21"/>
      <c r="K26" s="21" t="s">
        <v>333</v>
      </c>
      <c r="L26" s="21" t="s">
        <v>334</v>
      </c>
    </row>
    <row r="27" spans="1:12" ht="16.5" customHeight="1">
      <c r="A27" s="20">
        <v>8</v>
      </c>
      <c r="B27" s="21" t="s">
        <v>335</v>
      </c>
      <c r="C27" s="20" t="s">
        <v>320</v>
      </c>
      <c r="D27" s="26" t="s">
        <v>336</v>
      </c>
      <c r="E27" s="20">
        <v>0</v>
      </c>
      <c r="F27" s="26" t="s">
        <v>42</v>
      </c>
      <c r="G27" s="26">
        <v>40</v>
      </c>
      <c r="H27" s="26">
        <v>60</v>
      </c>
      <c r="I27" s="26">
        <f t="shared" si="0"/>
        <v>0</v>
      </c>
      <c r="J27" s="21" t="s">
        <v>282</v>
      </c>
      <c r="K27" s="21" t="s">
        <v>337</v>
      </c>
      <c r="L27" s="21" t="s">
        <v>338</v>
      </c>
    </row>
    <row r="28" spans="1:12" ht="15" customHeight="1">
      <c r="A28" s="20">
        <v>9</v>
      </c>
      <c r="B28" s="21" t="s">
        <v>339</v>
      </c>
      <c r="C28" s="20" t="s">
        <v>222</v>
      </c>
      <c r="D28" s="26">
        <v>15</v>
      </c>
      <c r="E28" s="20">
        <v>4</v>
      </c>
      <c r="F28" s="26" t="s">
        <v>25</v>
      </c>
      <c r="G28" s="26">
        <v>40</v>
      </c>
      <c r="H28" s="26">
        <v>75</v>
      </c>
      <c r="I28" s="26">
        <f t="shared" si="0"/>
        <v>7.7</v>
      </c>
      <c r="J28" s="21"/>
      <c r="K28" s="21" t="s">
        <v>340</v>
      </c>
      <c r="L28" s="21" t="s">
        <v>341</v>
      </c>
    </row>
    <row r="29" spans="1:12" ht="15" customHeight="1">
      <c r="D29" s="46" t="s">
        <v>59</v>
      </c>
      <c r="E29" s="47">
        <f>SUM(E20:E28)</f>
        <v>26</v>
      </c>
      <c r="I29">
        <f>ROUND(SUM(I20:I28),0)</f>
        <v>66</v>
      </c>
    </row>
    <row r="31" spans="1:12" ht="16.5" customHeight="1">
      <c r="A31" s="3" t="s">
        <v>342</v>
      </c>
    </row>
    <row r="32" spans="1:12" ht="16.5" customHeight="1">
      <c r="A32" s="31" t="s">
        <v>343</v>
      </c>
    </row>
    <row r="33" spans="1:1" ht="16.5" customHeight="1">
      <c r="A33" s="31" t="s">
        <v>344</v>
      </c>
    </row>
    <row r="34" spans="1:1" ht="16.5" customHeight="1">
      <c r="A34" s="31" t="s">
        <v>345</v>
      </c>
    </row>
    <row r="35" spans="1:1" ht="16.5" customHeight="1">
      <c r="A35" s="31" t="s">
        <v>346</v>
      </c>
    </row>
    <row r="36" spans="1:1" ht="16.5" customHeight="1">
      <c r="A36" s="31" t="s">
        <v>347</v>
      </c>
    </row>
    <row r="37" spans="1:1" ht="16.5" customHeight="1">
      <c r="A37" s="31" t="s">
        <v>348</v>
      </c>
    </row>
    <row r="38" spans="1:1" ht="16.5" customHeight="1">
      <c r="A38" s="31" t="s">
        <v>349</v>
      </c>
    </row>
  </sheetData>
  <phoneticPr fontId="34" type="noConversion"/>
  <conditionalFormatting sqref="A20:N28">
    <cfRule type="expression" dxfId="2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33"/>
  <sheetViews>
    <sheetView zoomScaleNormal="100" workbookViewId="0">
      <pane ySplit="14" topLeftCell="A15" activePane="bottomLeft" state="frozen"/>
      <selection pane="bottomLeft" activeCell="H28" sqref="H28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</cols>
  <sheetData>
    <row r="1" spans="1:12" ht="19.5" customHeight="1">
      <c r="A1" s="17" t="s">
        <v>350</v>
      </c>
    </row>
    <row r="2" spans="1:12" ht="16.5" customHeight="1">
      <c r="A2" s="18" t="s">
        <v>351</v>
      </c>
    </row>
    <row r="4" spans="1:12" ht="16.5" customHeight="1">
      <c r="A4" s="3" t="s">
        <v>352</v>
      </c>
    </row>
    <row r="5" spans="1:12" ht="16.5" customHeight="1">
      <c r="A5" s="19" t="s">
        <v>3</v>
      </c>
      <c r="B5" s="19" t="s">
        <v>4</v>
      </c>
      <c r="C5" s="19" t="s">
        <v>5</v>
      </c>
    </row>
    <row r="6" spans="1:12" ht="15" customHeight="1">
      <c r="A6" s="20">
        <f>MAX(20,MROUND(시작중량_설정!$E$8*0.4,2.5))</f>
        <v>22.5</v>
      </c>
      <c r="B6" s="20">
        <v>5</v>
      </c>
      <c r="C6" s="20">
        <v>2</v>
      </c>
    </row>
    <row r="7" spans="1:12" ht="15" customHeight="1">
      <c r="A7" s="20">
        <f>IF(MAX(20,MROUND(시작중량_설정!$E$8*0.6,2.5))&lt;=MAX(20,MROUND(시작중량_설정!$E$8*0.4,2.5)),"생략",MAX(20,MROUND(시작중량_설정!$E$8*0.6,2.5)))</f>
        <v>35</v>
      </c>
      <c r="B7" s="20">
        <v>5</v>
      </c>
      <c r="C7" s="20">
        <v>1</v>
      </c>
    </row>
    <row r="8" spans="1:12" ht="15" customHeight="1">
      <c r="A8" s="20">
        <f>IF(MAX(20,MROUND(시작중량_설정!$E$8*0.75,2.5))&lt;=MAX(20,MROUND(시작중량_설정!$E$8*0.6,2.5)),"생략",MAX(20,MROUND(시작중량_설정!$E$8*0.75,2.5)))</f>
        <v>42.5</v>
      </c>
      <c r="B8" s="20">
        <v>3</v>
      </c>
      <c r="C8" s="20">
        <v>1</v>
      </c>
    </row>
    <row r="9" spans="1:12" ht="15" customHeight="1">
      <c r="A9" s="20">
        <f>IF(MAX(20,MROUND(시작중량_설정!$E$8*0.9,2.5))&lt;=MAX(20,MROUND(시작중량_설정!$E$8*0.75,2.5)),"생략",MAX(20,MROUND(시작중량_설정!$E$8*0.9,2.5)))</f>
        <v>52.5</v>
      </c>
      <c r="B9" s="20">
        <v>2</v>
      </c>
      <c r="C9" s="20">
        <v>1</v>
      </c>
    </row>
    <row r="10" spans="1:12" ht="15" customHeight="1">
      <c r="A10" s="39">
        <f>시작중량_설정!$E$8</f>
        <v>57.5</v>
      </c>
      <c r="B10" s="27">
        <v>5</v>
      </c>
      <c r="C10" s="27">
        <v>1</v>
      </c>
    </row>
    <row r="11" spans="1:12" ht="16.5" customHeight="1">
      <c r="A11" s="31" t="s">
        <v>6</v>
      </c>
    </row>
    <row r="13" spans="1:12" ht="15" customHeight="1">
      <c r="A13" s="3" t="s">
        <v>7</v>
      </c>
    </row>
    <row r="14" spans="1:12" ht="16.5" customHeight="1">
      <c r="A14" s="34" t="s">
        <v>8</v>
      </c>
      <c r="B14" s="35" t="s">
        <v>9</v>
      </c>
      <c r="C14" s="35" t="s">
        <v>10</v>
      </c>
      <c r="D14" s="35" t="s">
        <v>3</v>
      </c>
      <c r="E14" s="35" t="s">
        <v>5</v>
      </c>
      <c r="F14" s="35" t="s">
        <v>11</v>
      </c>
      <c r="G14" s="35" t="s">
        <v>12</v>
      </c>
      <c r="H14" s="35" t="s">
        <v>13</v>
      </c>
      <c r="I14" s="35" t="s">
        <v>14</v>
      </c>
      <c r="J14" s="35" t="s">
        <v>15</v>
      </c>
      <c r="K14" s="35" t="s">
        <v>16</v>
      </c>
      <c r="L14" s="35" t="s">
        <v>17</v>
      </c>
    </row>
    <row r="15" spans="1:12" ht="16.5" customHeight="1">
      <c r="A15" s="42">
        <v>1</v>
      </c>
      <c r="B15" s="41" t="s">
        <v>353</v>
      </c>
      <c r="C15" s="42" t="s">
        <v>234</v>
      </c>
      <c r="D15" s="43">
        <f>시작중량_설정!$E$8</f>
        <v>57.5</v>
      </c>
      <c r="E15" s="42">
        <v>1</v>
      </c>
      <c r="F15" s="40" t="s">
        <v>20</v>
      </c>
      <c r="G15" s="40">
        <v>35</v>
      </c>
      <c r="H15" s="40">
        <v>180</v>
      </c>
      <c r="I15" s="40">
        <f t="shared" ref="I15:I22" si="0">IF(E15=0,0,ROUND(E15*(G15+H15)/60,1))</f>
        <v>3.6</v>
      </c>
      <c r="J15" s="41" t="s">
        <v>354</v>
      </c>
      <c r="K15" s="41" t="s">
        <v>355</v>
      </c>
      <c r="L15" s="41" t="s">
        <v>356</v>
      </c>
    </row>
    <row r="16" spans="1:12" ht="16.5" customHeight="1">
      <c r="A16" s="20">
        <v>2</v>
      </c>
      <c r="B16" s="21" t="s">
        <v>357</v>
      </c>
      <c r="C16" s="20" t="s">
        <v>26</v>
      </c>
      <c r="D16" s="26">
        <v>25</v>
      </c>
      <c r="E16" s="20">
        <v>4</v>
      </c>
      <c r="F16" s="26" t="s">
        <v>25</v>
      </c>
      <c r="G16" s="26">
        <v>45</v>
      </c>
      <c r="H16" s="26">
        <v>150</v>
      </c>
      <c r="I16" s="26">
        <f t="shared" si="0"/>
        <v>13</v>
      </c>
      <c r="J16" s="21" t="s">
        <v>36</v>
      </c>
      <c r="K16" s="21" t="s">
        <v>358</v>
      </c>
      <c r="L16" s="21" t="s">
        <v>359</v>
      </c>
    </row>
    <row r="17" spans="1:12" ht="16.5" customHeight="1">
      <c r="A17" s="20">
        <v>3</v>
      </c>
      <c r="B17" s="21" t="s">
        <v>360</v>
      </c>
      <c r="C17" s="20" t="s">
        <v>36</v>
      </c>
      <c r="D17" s="20">
        <v>35</v>
      </c>
      <c r="E17" s="20">
        <v>3</v>
      </c>
      <c r="F17" s="26" t="s">
        <v>148</v>
      </c>
      <c r="G17" s="26">
        <v>40</v>
      </c>
      <c r="H17" s="26">
        <v>150</v>
      </c>
      <c r="I17" s="26">
        <f t="shared" si="0"/>
        <v>9.5</v>
      </c>
      <c r="J17" s="21" t="s">
        <v>21</v>
      </c>
      <c r="K17" s="21" t="s">
        <v>361</v>
      </c>
      <c r="L17" s="21" t="s">
        <v>362</v>
      </c>
    </row>
    <row r="18" spans="1:12" ht="16.5" customHeight="1">
      <c r="A18" s="20">
        <v>4</v>
      </c>
      <c r="B18" s="21" t="s">
        <v>363</v>
      </c>
      <c r="C18" s="20" t="s">
        <v>36</v>
      </c>
      <c r="D18" s="26">
        <v>15</v>
      </c>
      <c r="E18" s="20">
        <v>3</v>
      </c>
      <c r="F18" s="26" t="s">
        <v>364</v>
      </c>
      <c r="G18" s="26">
        <v>80</v>
      </c>
      <c r="H18" s="26">
        <v>120</v>
      </c>
      <c r="I18" s="26">
        <f t="shared" si="0"/>
        <v>10</v>
      </c>
      <c r="J18" s="21"/>
      <c r="K18" s="21" t="s">
        <v>365</v>
      </c>
      <c r="L18" s="21" t="s">
        <v>366</v>
      </c>
    </row>
    <row r="19" spans="1:12" ht="16.5" customHeight="1">
      <c r="A19" s="20">
        <v>5</v>
      </c>
      <c r="B19" s="21" t="s">
        <v>367</v>
      </c>
      <c r="C19" s="20" t="s">
        <v>19</v>
      </c>
      <c r="D19" s="26">
        <v>42</v>
      </c>
      <c r="E19" s="20">
        <v>4</v>
      </c>
      <c r="F19" s="26" t="s">
        <v>37</v>
      </c>
      <c r="G19" s="26">
        <v>40</v>
      </c>
      <c r="H19" s="26">
        <v>120</v>
      </c>
      <c r="I19" s="26">
        <f t="shared" si="0"/>
        <v>10.7</v>
      </c>
      <c r="J19" s="21"/>
      <c r="K19" s="21" t="s">
        <v>368</v>
      </c>
      <c r="L19" s="21" t="s">
        <v>369</v>
      </c>
    </row>
    <row r="20" spans="1:12" ht="16.5" customHeight="1">
      <c r="A20" s="20">
        <v>6</v>
      </c>
      <c r="B20" s="21" t="s">
        <v>24</v>
      </c>
      <c r="C20" s="20" t="s">
        <v>19</v>
      </c>
      <c r="D20" s="26">
        <v>90</v>
      </c>
      <c r="E20" s="20">
        <v>3</v>
      </c>
      <c r="F20" s="26" t="s">
        <v>25</v>
      </c>
      <c r="G20" s="26">
        <v>45</v>
      </c>
      <c r="H20" s="26">
        <v>150</v>
      </c>
      <c r="I20" s="26">
        <f t="shared" si="0"/>
        <v>9.8000000000000007</v>
      </c>
      <c r="J20" s="21" t="s">
        <v>26</v>
      </c>
      <c r="K20" s="21" t="s">
        <v>370</v>
      </c>
      <c r="L20" s="21" t="s">
        <v>371</v>
      </c>
    </row>
    <row r="21" spans="1:12" ht="16.5" customHeight="1">
      <c r="A21" s="20">
        <v>7</v>
      </c>
      <c r="B21" s="21" t="s">
        <v>372</v>
      </c>
      <c r="C21" s="20" t="s">
        <v>52</v>
      </c>
      <c r="D21" s="26">
        <v>8</v>
      </c>
      <c r="E21" s="20">
        <v>4</v>
      </c>
      <c r="F21" s="26" t="s">
        <v>42</v>
      </c>
      <c r="G21" s="26">
        <v>40</v>
      </c>
      <c r="H21" s="26">
        <v>75</v>
      </c>
      <c r="I21" s="26">
        <f t="shared" si="0"/>
        <v>7.7</v>
      </c>
      <c r="J21" s="21"/>
      <c r="K21" s="21" t="s">
        <v>373</v>
      </c>
      <c r="L21" s="21" t="s">
        <v>374</v>
      </c>
    </row>
    <row r="22" spans="1:12" ht="16.5" customHeight="1">
      <c r="A22" s="20">
        <v>8</v>
      </c>
      <c r="B22" s="21" t="s">
        <v>45</v>
      </c>
      <c r="C22" s="20" t="s">
        <v>46</v>
      </c>
      <c r="D22" s="26">
        <v>15</v>
      </c>
      <c r="E22" s="20">
        <v>3</v>
      </c>
      <c r="F22" s="26" t="s">
        <v>48</v>
      </c>
      <c r="G22" s="26">
        <v>80</v>
      </c>
      <c r="H22" s="26">
        <v>75</v>
      </c>
      <c r="I22" s="26">
        <f t="shared" si="0"/>
        <v>7.8</v>
      </c>
      <c r="J22" s="21"/>
      <c r="K22" s="21" t="s">
        <v>375</v>
      </c>
      <c r="L22" s="21" t="s">
        <v>50</v>
      </c>
    </row>
    <row r="23" spans="1:12" ht="16.5" customHeight="1">
      <c r="D23" s="3" t="s">
        <v>59</v>
      </c>
      <c r="E23" s="27">
        <f>SUM(E15:E22)</f>
        <v>25</v>
      </c>
      <c r="I23">
        <f>ROUND(SUM(I15:I22),0)</f>
        <v>72</v>
      </c>
    </row>
    <row r="24" spans="1:12" ht="15" customHeight="1"/>
    <row r="33" spans="2:2">
      <c r="B33" s="89"/>
    </row>
  </sheetData>
  <phoneticPr fontId="34" type="noConversion"/>
  <conditionalFormatting sqref="A15:N22">
    <cfRule type="expression" dxfId="1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6"/>
  <sheetViews>
    <sheetView tabSelected="1" workbookViewId="0">
      <pane ySplit="5" topLeftCell="A6" activePane="bottomLeft" state="frozen"/>
      <selection pane="bottomLeft" activeCell="Q39" sqref="Q39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</cols>
  <sheetData>
    <row r="1" spans="1:12" ht="19.5" customHeight="1">
      <c r="A1" s="17" t="s">
        <v>376</v>
      </c>
    </row>
    <row r="2" spans="1:12" ht="16.5" customHeight="1">
      <c r="A2" s="18" t="s">
        <v>377</v>
      </c>
    </row>
    <row r="3" spans="1:12" ht="30" customHeight="1">
      <c r="A3" s="33" t="s">
        <v>378</v>
      </c>
    </row>
    <row r="4" spans="1:12" ht="15" customHeight="1">
      <c r="A4" s="3" t="s">
        <v>7</v>
      </c>
    </row>
    <row r="5" spans="1:12" ht="16.5" customHeight="1">
      <c r="A5" s="34" t="s">
        <v>8</v>
      </c>
      <c r="B5" s="35" t="s">
        <v>9</v>
      </c>
      <c r="C5" s="35" t="s">
        <v>10</v>
      </c>
      <c r="D5" s="35" t="s">
        <v>3</v>
      </c>
      <c r="E5" s="35" t="s">
        <v>5</v>
      </c>
      <c r="F5" s="35" t="s">
        <v>11</v>
      </c>
      <c r="G5" s="35" t="s">
        <v>12</v>
      </c>
      <c r="H5" s="35" t="s">
        <v>13</v>
      </c>
      <c r="I5" s="35" t="s">
        <v>14</v>
      </c>
      <c r="J5" s="35" t="s">
        <v>15</v>
      </c>
      <c r="K5" s="35" t="s">
        <v>16</v>
      </c>
      <c r="L5" s="35" t="s">
        <v>17</v>
      </c>
    </row>
    <row r="6" spans="1:12" ht="16.5" customHeight="1">
      <c r="A6" s="20">
        <v>1</v>
      </c>
      <c r="B6" s="86" t="s">
        <v>379</v>
      </c>
      <c r="C6" s="20" t="s">
        <v>264</v>
      </c>
      <c r="D6" s="20">
        <v>10</v>
      </c>
      <c r="E6" s="20">
        <v>3</v>
      </c>
      <c r="F6" s="26" t="s">
        <v>42</v>
      </c>
      <c r="G6" s="26">
        <v>40</v>
      </c>
      <c r="H6" s="26">
        <v>70</v>
      </c>
      <c r="I6" s="26">
        <f t="shared" ref="I6:I12" si="0">IF(E6=0,0,ROUND(E6*(G6+H6)/60,1))</f>
        <v>5.5</v>
      </c>
      <c r="J6" s="21"/>
      <c r="K6" s="21" t="s">
        <v>380</v>
      </c>
      <c r="L6" s="21" t="s">
        <v>381</v>
      </c>
    </row>
    <row r="7" spans="1:12" ht="16.5" customHeight="1">
      <c r="A7" s="20">
        <v>2</v>
      </c>
      <c r="B7" s="86" t="s">
        <v>382</v>
      </c>
      <c r="C7" s="20" t="s">
        <v>264</v>
      </c>
      <c r="D7" s="20">
        <v>5</v>
      </c>
      <c r="E7" s="20">
        <v>2</v>
      </c>
      <c r="F7" s="26" t="s">
        <v>42</v>
      </c>
      <c r="G7" s="26">
        <v>80</v>
      </c>
      <c r="H7" s="26">
        <v>70</v>
      </c>
      <c r="I7" s="26">
        <f t="shared" si="0"/>
        <v>5</v>
      </c>
      <c r="J7" s="21"/>
      <c r="K7" s="21" t="s">
        <v>383</v>
      </c>
      <c r="L7" s="21" t="s">
        <v>384</v>
      </c>
    </row>
    <row r="8" spans="1:12" ht="16.5" customHeight="1">
      <c r="A8" s="20">
        <v>3</v>
      </c>
      <c r="B8" s="86" t="s">
        <v>385</v>
      </c>
      <c r="C8" s="20" t="s">
        <v>264</v>
      </c>
      <c r="D8" s="20">
        <v>15</v>
      </c>
      <c r="E8" s="20">
        <v>2</v>
      </c>
      <c r="F8" s="26" t="s">
        <v>42</v>
      </c>
      <c r="G8" s="26">
        <v>40</v>
      </c>
      <c r="H8" s="26">
        <v>75</v>
      </c>
      <c r="I8" s="26">
        <f t="shared" si="0"/>
        <v>3.8</v>
      </c>
      <c r="J8" s="21" t="s">
        <v>300</v>
      </c>
      <c r="K8" s="21" t="s">
        <v>386</v>
      </c>
      <c r="L8" s="21" t="s">
        <v>387</v>
      </c>
    </row>
    <row r="9" spans="1:12" ht="16.5" customHeight="1">
      <c r="A9" s="20">
        <v>4</v>
      </c>
      <c r="B9" s="86" t="s">
        <v>285</v>
      </c>
      <c r="C9" s="20" t="s">
        <v>268</v>
      </c>
      <c r="D9" s="20" t="s">
        <v>42</v>
      </c>
      <c r="E9" s="20">
        <v>3</v>
      </c>
      <c r="F9" s="26" t="s">
        <v>42</v>
      </c>
      <c r="G9" s="26">
        <v>40</v>
      </c>
      <c r="H9" s="26">
        <v>70</v>
      </c>
      <c r="I9" s="26">
        <f t="shared" si="0"/>
        <v>5.5</v>
      </c>
      <c r="J9" s="21" t="s">
        <v>286</v>
      </c>
      <c r="K9" s="21" t="s">
        <v>388</v>
      </c>
      <c r="L9" s="21" t="s">
        <v>389</v>
      </c>
    </row>
    <row r="10" spans="1:12" ht="16.5" customHeight="1">
      <c r="A10" s="20">
        <v>5</v>
      </c>
      <c r="B10" s="86" t="s">
        <v>390</v>
      </c>
      <c r="C10" s="20" t="s">
        <v>268</v>
      </c>
      <c r="D10" s="20">
        <v>5</v>
      </c>
      <c r="E10" s="20">
        <v>3</v>
      </c>
      <c r="F10" s="26" t="s">
        <v>42</v>
      </c>
      <c r="G10" s="26">
        <v>40</v>
      </c>
      <c r="H10" s="26">
        <v>70</v>
      </c>
      <c r="I10" s="26">
        <f t="shared" si="0"/>
        <v>5.5</v>
      </c>
      <c r="J10" s="21"/>
      <c r="K10" s="21" t="s">
        <v>391</v>
      </c>
      <c r="L10" s="21" t="s">
        <v>392</v>
      </c>
    </row>
    <row r="11" spans="1:12" ht="16.5" customHeight="1">
      <c r="A11" s="20">
        <v>6</v>
      </c>
      <c r="B11" s="86" t="s">
        <v>393</v>
      </c>
      <c r="C11" s="20" t="s">
        <v>268</v>
      </c>
      <c r="D11" s="20">
        <v>20</v>
      </c>
      <c r="E11" s="20">
        <v>3</v>
      </c>
      <c r="F11" s="26" t="s">
        <v>42</v>
      </c>
      <c r="G11" s="26">
        <v>40</v>
      </c>
      <c r="H11" s="26">
        <v>80</v>
      </c>
      <c r="I11" s="26">
        <f t="shared" si="0"/>
        <v>6</v>
      </c>
      <c r="J11" s="21" t="s">
        <v>286</v>
      </c>
      <c r="K11" s="21" t="s">
        <v>394</v>
      </c>
      <c r="L11" s="21" t="s">
        <v>395</v>
      </c>
    </row>
    <row r="12" spans="1:12" ht="16.5" customHeight="1">
      <c r="A12" s="20">
        <v>7</v>
      </c>
      <c r="B12" s="86" t="s">
        <v>396</v>
      </c>
      <c r="C12" s="20" t="s">
        <v>201</v>
      </c>
      <c r="D12" s="20">
        <v>6</v>
      </c>
      <c r="E12" s="20">
        <v>4</v>
      </c>
      <c r="F12" s="26" t="s">
        <v>25</v>
      </c>
      <c r="G12" s="26">
        <v>40</v>
      </c>
      <c r="H12" s="26">
        <v>70</v>
      </c>
      <c r="I12" s="26">
        <f t="shared" si="0"/>
        <v>7.3</v>
      </c>
      <c r="J12" s="21" t="s">
        <v>218</v>
      </c>
      <c r="K12" s="21" t="s">
        <v>397</v>
      </c>
      <c r="L12" s="21" t="s">
        <v>398</v>
      </c>
    </row>
    <row r="13" spans="1:12" ht="16.5" customHeight="1">
      <c r="D13" s="3" t="s">
        <v>59</v>
      </c>
      <c r="E13" s="27">
        <f>SUM(E6:E12)</f>
        <v>20</v>
      </c>
      <c r="I13">
        <f>ROUND(SUM(I6:I12),0)</f>
        <v>39</v>
      </c>
    </row>
    <row r="14" spans="1:12" ht="16.5" customHeight="1"/>
    <row r="15" spans="1:12" ht="16.5" customHeight="1">
      <c r="A15" s="3" t="s">
        <v>399</v>
      </c>
    </row>
    <row r="16" spans="1:12" ht="16.5" customHeight="1">
      <c r="A16" s="31" t="s">
        <v>400</v>
      </c>
    </row>
    <row r="17" spans="1:1" ht="16.5" customHeight="1">
      <c r="A17" s="31" t="s">
        <v>401</v>
      </c>
    </row>
    <row r="18" spans="1:1" ht="16.5" customHeight="1">
      <c r="A18" s="31" t="s">
        <v>402</v>
      </c>
    </row>
    <row r="19" spans="1:1" ht="16.5" customHeight="1">
      <c r="A19" s="31" t="s">
        <v>403</v>
      </c>
    </row>
    <row r="20" spans="1:1" ht="16.5" customHeight="1">
      <c r="A20" s="3" t="s">
        <v>404</v>
      </c>
    </row>
    <row r="21" spans="1:1" ht="16.5" customHeight="1">
      <c r="A21" s="31" t="s">
        <v>405</v>
      </c>
    </row>
    <row r="22" spans="1:1" ht="16.5" customHeight="1">
      <c r="A22" s="31" t="s">
        <v>406</v>
      </c>
    </row>
    <row r="23" spans="1:1" ht="16.5" customHeight="1">
      <c r="A23" s="3" t="s">
        <v>407</v>
      </c>
    </row>
    <row r="24" spans="1:1" ht="16.5" customHeight="1">
      <c r="A24" s="31" t="s">
        <v>408</v>
      </c>
    </row>
    <row r="25" spans="1:1" ht="16.5" customHeight="1">
      <c r="A25" s="31" t="s">
        <v>409</v>
      </c>
    </row>
    <row r="26" spans="1:1" ht="16.5" customHeight="1">
      <c r="A26" s="31" t="s">
        <v>410</v>
      </c>
    </row>
    <row r="27" spans="1:1" ht="16.5" customHeight="1">
      <c r="A27" s="31" t="s">
        <v>411</v>
      </c>
    </row>
    <row r="28" spans="1:1" ht="16.5" customHeight="1">
      <c r="A28" s="3" t="s">
        <v>412</v>
      </c>
    </row>
    <row r="29" spans="1:1" ht="16.5" customHeight="1">
      <c r="A29" s="31" t="s">
        <v>413</v>
      </c>
    </row>
    <row r="30" spans="1:1" ht="16.5" customHeight="1">
      <c r="A30" s="31" t="s">
        <v>414</v>
      </c>
    </row>
    <row r="31" spans="1:1" ht="16.5" customHeight="1">
      <c r="A31" s="31" t="s">
        <v>415</v>
      </c>
    </row>
    <row r="32" spans="1:1" ht="16.5" customHeight="1">
      <c r="A32" s="31" t="s">
        <v>416</v>
      </c>
    </row>
    <row r="33" spans="1:1" ht="16.5" customHeight="1">
      <c r="A33" s="3" t="s">
        <v>417</v>
      </c>
    </row>
    <row r="34" spans="1:1" ht="16.5" customHeight="1">
      <c r="A34" s="31" t="s">
        <v>418</v>
      </c>
    </row>
    <row r="35" spans="1:1" ht="16.5" customHeight="1">
      <c r="A35" s="31" t="s">
        <v>419</v>
      </c>
    </row>
    <row r="36" spans="1:1">
      <c r="A36" s="31" t="s">
        <v>420</v>
      </c>
    </row>
  </sheetData>
  <phoneticPr fontId="34" type="noConversion"/>
  <conditionalFormatting sqref="A6:N12">
    <cfRule type="expression" dxfId="0" priority="1">
      <formula>$E6=0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62"/>
  <sheetViews>
    <sheetView topLeftCell="A8" zoomScaleNormal="100" workbookViewId="0">
      <selection activeCell="P37" sqref="P37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421</v>
      </c>
    </row>
    <row r="2" spans="1:8" ht="30" customHeight="1">
      <c r="A2" s="94" t="s">
        <v>422</v>
      </c>
      <c r="B2" s="93"/>
      <c r="C2" s="93"/>
      <c r="D2" s="93"/>
      <c r="E2" s="93"/>
      <c r="F2" s="93"/>
      <c r="G2" s="93"/>
      <c r="H2" s="93"/>
    </row>
    <row r="4" spans="1:8" ht="39.75" customHeight="1">
      <c r="A4" s="92" t="s">
        <v>423</v>
      </c>
      <c r="B4" s="93"/>
      <c r="C4" s="93"/>
      <c r="D4" s="93"/>
      <c r="E4" s="93"/>
      <c r="F4" s="93"/>
      <c r="G4" s="93"/>
      <c r="H4" s="93"/>
    </row>
    <row r="6" spans="1:8" ht="15" customHeight="1">
      <c r="A6" s="48" t="s">
        <v>424</v>
      </c>
      <c r="B6" s="48" t="s">
        <v>425</v>
      </c>
      <c r="C6" s="48" t="s">
        <v>426</v>
      </c>
      <c r="D6" s="48" t="s">
        <v>427</v>
      </c>
      <c r="E6" s="48" t="s">
        <v>428</v>
      </c>
      <c r="F6" s="48" t="s">
        <v>429</v>
      </c>
      <c r="G6" s="48" t="s">
        <v>430</v>
      </c>
      <c r="H6" s="48" t="s">
        <v>431</v>
      </c>
    </row>
    <row r="7" spans="1:8" ht="15" customHeight="1">
      <c r="A7" s="49" t="s">
        <v>432</v>
      </c>
      <c r="B7" s="49" t="s">
        <v>198</v>
      </c>
      <c r="C7" s="49" t="s">
        <v>201</v>
      </c>
      <c r="D7" s="50">
        <v>0.5</v>
      </c>
      <c r="E7" s="51">
        <f t="shared" ref="E7:E38" ca="1" si="0">IFERROR(INDEX(INDIRECT("'"&amp;$A7&amp;"'!$E$1:$E$45"),MATCH($B7,INDIRECT("'"&amp;$A7&amp;"'!$B$1:$B$45"),0)),"?")</f>
        <v>4</v>
      </c>
      <c r="F7" s="52">
        <f t="shared" ref="F7:F38" ca="1" si="1">IF(ISNUMBER(E7),$D7*E7,0)</f>
        <v>2</v>
      </c>
      <c r="G7" s="53" t="s">
        <v>433</v>
      </c>
      <c r="H7" s="54" t="s">
        <v>434</v>
      </c>
    </row>
    <row r="8" spans="1:8" ht="15" customHeight="1">
      <c r="A8" s="49" t="s">
        <v>432</v>
      </c>
      <c r="B8" s="49" t="s">
        <v>204</v>
      </c>
      <c r="C8" s="49" t="s">
        <v>201</v>
      </c>
      <c r="D8" s="50">
        <v>0.5</v>
      </c>
      <c r="E8" s="51">
        <f t="shared" ca="1" si="0"/>
        <v>3</v>
      </c>
      <c r="F8" s="52">
        <f t="shared" ca="1" si="1"/>
        <v>1.5</v>
      </c>
      <c r="G8" s="53" t="s">
        <v>433</v>
      </c>
      <c r="H8" s="54" t="s">
        <v>435</v>
      </c>
    </row>
    <row r="9" spans="1:8" ht="15" customHeight="1">
      <c r="A9" s="49" t="s">
        <v>436</v>
      </c>
      <c r="B9" s="49" t="s">
        <v>275</v>
      </c>
      <c r="C9" s="49" t="s">
        <v>201</v>
      </c>
      <c r="D9" s="50">
        <v>0.5</v>
      </c>
      <c r="E9" s="51" t="str">
        <f t="shared" ca="1" si="0"/>
        <v>?</v>
      </c>
      <c r="F9" s="52">
        <f t="shared" ca="1" si="1"/>
        <v>0</v>
      </c>
      <c r="G9" s="53" t="s">
        <v>433</v>
      </c>
      <c r="H9" s="54" t="s">
        <v>437</v>
      </c>
    </row>
    <row r="10" spans="1:8" ht="15" customHeight="1">
      <c r="A10" s="49" t="s">
        <v>436</v>
      </c>
      <c r="B10" s="49" t="s">
        <v>279</v>
      </c>
      <c r="C10" s="49" t="s">
        <v>201</v>
      </c>
      <c r="D10" s="50">
        <v>0.5</v>
      </c>
      <c r="E10" s="51">
        <f t="shared" ca="1" si="0"/>
        <v>4</v>
      </c>
      <c r="F10" s="52">
        <f t="shared" ca="1" si="1"/>
        <v>2</v>
      </c>
      <c r="G10" s="53" t="s">
        <v>433</v>
      </c>
      <c r="H10" s="54" t="s">
        <v>437</v>
      </c>
    </row>
    <row r="11" spans="1:8" ht="15" customHeight="1">
      <c r="A11" s="49" t="s">
        <v>438</v>
      </c>
      <c r="B11" s="49" t="s">
        <v>247</v>
      </c>
      <c r="C11" s="49" t="s">
        <v>222</v>
      </c>
      <c r="D11" s="50">
        <v>0.5</v>
      </c>
      <c r="E11" s="51">
        <f t="shared" ca="1" si="0"/>
        <v>5</v>
      </c>
      <c r="F11" s="52">
        <f t="shared" ca="1" si="1"/>
        <v>2.5</v>
      </c>
      <c r="G11" s="53" t="s">
        <v>433</v>
      </c>
      <c r="H11" s="54" t="s">
        <v>439</v>
      </c>
    </row>
    <row r="12" spans="1:8" ht="15" customHeight="1">
      <c r="A12" s="49" t="s">
        <v>438</v>
      </c>
      <c r="B12" s="49" t="s">
        <v>252</v>
      </c>
      <c r="C12" s="49" t="s">
        <v>222</v>
      </c>
      <c r="D12" s="50">
        <v>0.5</v>
      </c>
      <c r="E12" s="51">
        <f t="shared" ca="1" si="0"/>
        <v>4</v>
      </c>
      <c r="F12" s="52">
        <f t="shared" ca="1" si="1"/>
        <v>2</v>
      </c>
      <c r="G12" s="53" t="s">
        <v>433</v>
      </c>
      <c r="H12" s="54" t="s">
        <v>440</v>
      </c>
    </row>
    <row r="13" spans="1:8" ht="15" customHeight="1">
      <c r="A13" s="49" t="s">
        <v>441</v>
      </c>
      <c r="B13" s="49" t="s">
        <v>310</v>
      </c>
      <c r="C13" s="49" t="s">
        <v>222</v>
      </c>
      <c r="D13" s="50">
        <v>0.5</v>
      </c>
      <c r="E13" s="51">
        <f t="shared" ca="1" si="0"/>
        <v>3</v>
      </c>
      <c r="F13" s="52">
        <f t="shared" ca="1" si="1"/>
        <v>1.5</v>
      </c>
      <c r="G13" s="53" t="s">
        <v>433</v>
      </c>
      <c r="H13" s="54" t="s">
        <v>442</v>
      </c>
    </row>
    <row r="14" spans="1:8" ht="15" customHeight="1">
      <c r="A14" s="49" t="s">
        <v>441</v>
      </c>
      <c r="B14" s="49" t="s">
        <v>326</v>
      </c>
      <c r="C14" s="49" t="s">
        <v>222</v>
      </c>
      <c r="D14" s="50">
        <v>0.5</v>
      </c>
      <c r="E14" s="51">
        <f t="shared" ca="1" si="0"/>
        <v>4</v>
      </c>
      <c r="F14" s="52">
        <f t="shared" ca="1" si="1"/>
        <v>2</v>
      </c>
      <c r="G14" s="53" t="s">
        <v>433</v>
      </c>
      <c r="H14" s="54" t="s">
        <v>443</v>
      </c>
    </row>
    <row r="15" spans="1:8" ht="15" customHeight="1">
      <c r="A15" s="49" t="s">
        <v>444</v>
      </c>
      <c r="B15" s="49" t="s">
        <v>396</v>
      </c>
      <c r="C15" s="49" t="s">
        <v>218</v>
      </c>
      <c r="D15" s="50">
        <v>0.33</v>
      </c>
      <c r="E15" s="51">
        <f t="shared" ca="1" si="0"/>
        <v>4</v>
      </c>
      <c r="F15" s="52">
        <f t="shared" ca="1" si="1"/>
        <v>1.32</v>
      </c>
      <c r="G15" s="53" t="s">
        <v>433</v>
      </c>
      <c r="H15" s="54" t="s">
        <v>445</v>
      </c>
    </row>
    <row r="16" spans="1:8" ht="15" customHeight="1">
      <c r="A16" s="49" t="s">
        <v>436</v>
      </c>
      <c r="B16" s="49" t="s">
        <v>289</v>
      </c>
      <c r="C16" s="49" t="s">
        <v>218</v>
      </c>
      <c r="D16" s="50">
        <v>0.33</v>
      </c>
      <c r="E16" s="51">
        <f t="shared" ca="1" si="0"/>
        <v>4</v>
      </c>
      <c r="F16" s="52">
        <f t="shared" ca="1" si="1"/>
        <v>1.32</v>
      </c>
      <c r="G16" s="53" t="s">
        <v>433</v>
      </c>
      <c r="H16" s="54" t="s">
        <v>446</v>
      </c>
    </row>
    <row r="17" spans="1:8" ht="15" customHeight="1">
      <c r="A17" s="49" t="s">
        <v>436</v>
      </c>
      <c r="B17" s="49" t="s">
        <v>299</v>
      </c>
      <c r="C17" s="49" t="s">
        <v>218</v>
      </c>
      <c r="D17" s="50">
        <v>0</v>
      </c>
      <c r="E17" s="51">
        <f t="shared" ca="1" si="0"/>
        <v>3</v>
      </c>
      <c r="F17" s="52">
        <f t="shared" ca="1" si="1"/>
        <v>0</v>
      </c>
      <c r="G17" s="53" t="s">
        <v>433</v>
      </c>
      <c r="H17" s="54" t="s">
        <v>447</v>
      </c>
    </row>
    <row r="18" spans="1:8" ht="15" customHeight="1">
      <c r="A18" s="49" t="s">
        <v>438</v>
      </c>
      <c r="B18" s="49" t="s">
        <v>247</v>
      </c>
      <c r="C18" s="49" t="s">
        <v>311</v>
      </c>
      <c r="D18" s="50">
        <v>0.5</v>
      </c>
      <c r="E18" s="51">
        <f t="shared" ca="1" si="0"/>
        <v>5</v>
      </c>
      <c r="F18" s="52">
        <f t="shared" ca="1" si="1"/>
        <v>2.5</v>
      </c>
      <c r="G18" s="53" t="s">
        <v>433</v>
      </c>
      <c r="H18" s="54" t="s">
        <v>448</v>
      </c>
    </row>
    <row r="19" spans="1:8" ht="15" customHeight="1">
      <c r="A19" s="49" t="s">
        <v>441</v>
      </c>
      <c r="B19" s="49" t="s">
        <v>326</v>
      </c>
      <c r="C19" s="49" t="s">
        <v>311</v>
      </c>
      <c r="D19" s="50">
        <v>0.5</v>
      </c>
      <c r="E19" s="51">
        <f t="shared" ca="1" si="0"/>
        <v>4</v>
      </c>
      <c r="F19" s="52">
        <f t="shared" ca="1" si="1"/>
        <v>2</v>
      </c>
      <c r="G19" s="53" t="s">
        <v>433</v>
      </c>
      <c r="H19" s="54" t="s">
        <v>449</v>
      </c>
    </row>
    <row r="20" spans="1:8" ht="15" customHeight="1">
      <c r="A20" s="49" t="s">
        <v>441</v>
      </c>
      <c r="B20" s="49" t="s">
        <v>310</v>
      </c>
      <c r="C20" s="49" t="s">
        <v>264</v>
      </c>
      <c r="D20" s="50">
        <v>0.5</v>
      </c>
      <c r="E20" s="51">
        <f t="shared" ca="1" si="0"/>
        <v>3</v>
      </c>
      <c r="F20" s="52">
        <f t="shared" ca="1" si="1"/>
        <v>1.5</v>
      </c>
      <c r="G20" s="53" t="s">
        <v>433</v>
      </c>
      <c r="H20" s="54" t="s">
        <v>450</v>
      </c>
    </row>
    <row r="21" spans="1:8" ht="15" customHeight="1">
      <c r="A21" s="49" t="s">
        <v>432</v>
      </c>
      <c r="B21" s="49" t="s">
        <v>211</v>
      </c>
      <c r="C21" s="49" t="s">
        <v>268</v>
      </c>
      <c r="D21" s="50">
        <v>0.5</v>
      </c>
      <c r="E21" s="51" t="str">
        <f t="shared" ca="1" si="0"/>
        <v>?</v>
      </c>
      <c r="F21" s="52">
        <f t="shared" ca="1" si="1"/>
        <v>0</v>
      </c>
      <c r="G21" s="53" t="s">
        <v>433</v>
      </c>
      <c r="H21" s="54" t="s">
        <v>451</v>
      </c>
    </row>
    <row r="22" spans="1:8" ht="15" customHeight="1">
      <c r="A22" s="49" t="s">
        <v>441</v>
      </c>
      <c r="B22" s="49" t="s">
        <v>335</v>
      </c>
      <c r="C22" s="49" t="s">
        <v>268</v>
      </c>
      <c r="D22" s="50">
        <v>0.5</v>
      </c>
      <c r="E22" s="51">
        <f t="shared" ca="1" si="0"/>
        <v>0</v>
      </c>
      <c r="F22" s="52">
        <f t="shared" ca="1" si="1"/>
        <v>0</v>
      </c>
      <c r="G22" s="53" t="s">
        <v>433</v>
      </c>
      <c r="H22" s="55" t="s">
        <v>452</v>
      </c>
    </row>
    <row r="23" spans="1:8" ht="15" customHeight="1">
      <c r="A23" s="49" t="s">
        <v>436</v>
      </c>
      <c r="B23" s="49" t="s">
        <v>275</v>
      </c>
      <c r="C23" s="49" t="s">
        <v>212</v>
      </c>
      <c r="D23" s="50">
        <v>0.5</v>
      </c>
      <c r="E23" s="51" t="str">
        <f t="shared" ca="1" si="0"/>
        <v>?</v>
      </c>
      <c r="F23" s="52">
        <f t="shared" ca="1" si="1"/>
        <v>0</v>
      </c>
      <c r="G23" s="53" t="s">
        <v>433</v>
      </c>
      <c r="H23" s="54" t="s">
        <v>453</v>
      </c>
    </row>
    <row r="24" spans="1:8" ht="15" customHeight="1">
      <c r="A24" s="49" t="s">
        <v>436</v>
      </c>
      <c r="B24" s="49" t="s">
        <v>279</v>
      </c>
      <c r="C24" s="49" t="s">
        <v>212</v>
      </c>
      <c r="D24" s="50">
        <v>0.5</v>
      </c>
      <c r="E24" s="51">
        <f t="shared" ca="1" si="0"/>
        <v>4</v>
      </c>
      <c r="F24" s="52">
        <f t="shared" ca="1" si="1"/>
        <v>2</v>
      </c>
      <c r="G24" s="53" t="s">
        <v>433</v>
      </c>
      <c r="H24" s="54" t="s">
        <v>453</v>
      </c>
    </row>
    <row r="25" spans="1:8" ht="15" customHeight="1">
      <c r="A25" s="49" t="s">
        <v>436</v>
      </c>
      <c r="B25" s="49" t="s">
        <v>285</v>
      </c>
      <c r="C25" s="49" t="s">
        <v>212</v>
      </c>
      <c r="D25" s="50">
        <v>0.5</v>
      </c>
      <c r="E25" s="51">
        <f t="shared" ca="1" si="0"/>
        <v>0</v>
      </c>
      <c r="F25" s="52">
        <f t="shared" ca="1" si="1"/>
        <v>0</v>
      </c>
      <c r="G25" s="53" t="s">
        <v>433</v>
      </c>
      <c r="H25" s="54" t="s">
        <v>453</v>
      </c>
    </row>
    <row r="26" spans="1:8" ht="15" customHeight="1">
      <c r="A26" s="49" t="s">
        <v>454</v>
      </c>
      <c r="B26" s="49" t="s">
        <v>357</v>
      </c>
      <c r="C26" s="49" t="s">
        <v>36</v>
      </c>
      <c r="D26" s="50">
        <v>0.5</v>
      </c>
      <c r="E26" s="51">
        <f t="shared" ca="1" si="0"/>
        <v>4</v>
      </c>
      <c r="F26" s="52">
        <f t="shared" ca="1" si="1"/>
        <v>2</v>
      </c>
      <c r="G26" s="53" t="s">
        <v>433</v>
      </c>
      <c r="H26" s="54" t="s">
        <v>455</v>
      </c>
    </row>
    <row r="27" spans="1:8" ht="15" customHeight="1">
      <c r="A27" s="49" t="s">
        <v>454</v>
      </c>
      <c r="B27" s="49" t="s">
        <v>353</v>
      </c>
      <c r="C27" s="49" t="s">
        <v>36</v>
      </c>
      <c r="D27" s="50">
        <v>0.5</v>
      </c>
      <c r="E27" s="51">
        <f t="shared" ca="1" si="0"/>
        <v>1</v>
      </c>
      <c r="F27" s="52">
        <f t="shared" ca="1" si="1"/>
        <v>0.5</v>
      </c>
      <c r="G27" s="53" t="s">
        <v>433</v>
      </c>
      <c r="H27" s="54" t="s">
        <v>456</v>
      </c>
    </row>
    <row r="28" spans="1:8" ht="15" customHeight="1">
      <c r="A28" s="49" t="s">
        <v>432</v>
      </c>
      <c r="B28" s="49" t="s">
        <v>233</v>
      </c>
      <c r="C28" s="49" t="s">
        <v>36</v>
      </c>
      <c r="D28" s="50">
        <v>0.5</v>
      </c>
      <c r="E28" s="51">
        <f t="shared" ca="1" si="0"/>
        <v>3</v>
      </c>
      <c r="F28" s="52">
        <f t="shared" ca="1" si="1"/>
        <v>1.5</v>
      </c>
      <c r="G28" s="53" t="s">
        <v>433</v>
      </c>
      <c r="H28" s="54" t="s">
        <v>456</v>
      </c>
    </row>
    <row r="29" spans="1:8" ht="15" customHeight="1">
      <c r="A29" s="49" t="s">
        <v>457</v>
      </c>
      <c r="B29" s="49" t="s">
        <v>18</v>
      </c>
      <c r="C29" s="49" t="s">
        <v>26</v>
      </c>
      <c r="D29" s="50">
        <v>0.5</v>
      </c>
      <c r="E29" s="51">
        <f t="shared" ca="1" si="0"/>
        <v>5</v>
      </c>
      <c r="F29" s="52">
        <f t="shared" ca="1" si="1"/>
        <v>2.5</v>
      </c>
      <c r="G29" s="53" t="s">
        <v>433</v>
      </c>
      <c r="H29" s="54" t="s">
        <v>458</v>
      </c>
    </row>
    <row r="30" spans="1:8" ht="15" customHeight="1">
      <c r="A30" s="49" t="s">
        <v>457</v>
      </c>
      <c r="B30" s="49" t="s">
        <v>24</v>
      </c>
      <c r="C30" s="49" t="s">
        <v>26</v>
      </c>
      <c r="D30" s="50">
        <v>0.33</v>
      </c>
      <c r="E30" s="51">
        <f t="shared" ca="1" si="0"/>
        <v>3</v>
      </c>
      <c r="F30" s="52">
        <f t="shared" ca="1" si="1"/>
        <v>0.99</v>
      </c>
      <c r="G30" s="53" t="s">
        <v>433</v>
      </c>
      <c r="H30" s="54" t="s">
        <v>459</v>
      </c>
    </row>
    <row r="31" spans="1:8" ht="15" customHeight="1">
      <c r="A31" s="49" t="s">
        <v>454</v>
      </c>
      <c r="B31" s="49" t="s">
        <v>353</v>
      </c>
      <c r="C31" s="49" t="s">
        <v>26</v>
      </c>
      <c r="D31" s="50">
        <v>0.5</v>
      </c>
      <c r="E31" s="51">
        <f t="shared" ca="1" si="0"/>
        <v>1</v>
      </c>
      <c r="F31" s="52">
        <f t="shared" ca="1" si="1"/>
        <v>0.5</v>
      </c>
      <c r="G31" s="53" t="s">
        <v>433</v>
      </c>
      <c r="H31" s="54" t="s">
        <v>460</v>
      </c>
    </row>
    <row r="32" spans="1:8" ht="15" customHeight="1">
      <c r="A32" s="49" t="s">
        <v>454</v>
      </c>
      <c r="B32" s="49" t="s">
        <v>360</v>
      </c>
      <c r="C32" s="49" t="s">
        <v>26</v>
      </c>
      <c r="D32" s="50">
        <v>0.5</v>
      </c>
      <c r="E32" s="51">
        <f t="shared" ca="1" si="0"/>
        <v>3</v>
      </c>
      <c r="F32" s="52">
        <f t="shared" ca="1" si="1"/>
        <v>1.5</v>
      </c>
      <c r="G32" s="53" t="s">
        <v>433</v>
      </c>
      <c r="H32" s="54" t="s">
        <v>461</v>
      </c>
    </row>
    <row r="33" spans="1:8" ht="15" customHeight="1">
      <c r="A33" s="49" t="s">
        <v>432</v>
      </c>
      <c r="B33" s="49" t="s">
        <v>233</v>
      </c>
      <c r="C33" s="49" t="s">
        <v>26</v>
      </c>
      <c r="D33" s="50">
        <v>0.5</v>
      </c>
      <c r="E33" s="51">
        <f t="shared" ca="1" si="0"/>
        <v>3</v>
      </c>
      <c r="F33" s="52">
        <f t="shared" ca="1" si="1"/>
        <v>1.5</v>
      </c>
      <c r="G33" s="53" t="s">
        <v>433</v>
      </c>
      <c r="H33" s="54" t="s">
        <v>462</v>
      </c>
    </row>
    <row r="34" spans="1:8" ht="15" customHeight="1">
      <c r="A34" s="49" t="s">
        <v>457</v>
      </c>
      <c r="B34" s="49" t="s">
        <v>18</v>
      </c>
      <c r="C34" s="49" t="s">
        <v>234</v>
      </c>
      <c r="D34" s="50">
        <v>0.2</v>
      </c>
      <c r="E34" s="51">
        <f t="shared" ca="1" si="0"/>
        <v>5</v>
      </c>
      <c r="F34" s="52">
        <f t="shared" ca="1" si="1"/>
        <v>1</v>
      </c>
      <c r="G34" s="53" t="s">
        <v>433</v>
      </c>
      <c r="H34" s="54" t="s">
        <v>463</v>
      </c>
    </row>
    <row r="35" spans="1:8" ht="15" customHeight="1">
      <c r="A35" s="49" t="s">
        <v>436</v>
      </c>
      <c r="B35" s="49" t="s">
        <v>299</v>
      </c>
      <c r="C35" s="49" t="s">
        <v>234</v>
      </c>
      <c r="D35" s="50">
        <v>0.2</v>
      </c>
      <c r="E35" s="51">
        <f t="shared" ca="1" si="0"/>
        <v>3</v>
      </c>
      <c r="F35" s="52">
        <f t="shared" ca="1" si="1"/>
        <v>0.60000000000000009</v>
      </c>
      <c r="G35" s="53" t="s">
        <v>433</v>
      </c>
      <c r="H35" s="54" t="s">
        <v>464</v>
      </c>
    </row>
    <row r="36" spans="1:8" ht="15" customHeight="1">
      <c r="A36" s="49" t="s">
        <v>454</v>
      </c>
      <c r="B36" s="49" t="s">
        <v>360</v>
      </c>
      <c r="C36" s="49" t="s">
        <v>234</v>
      </c>
      <c r="D36" s="50">
        <v>0.5</v>
      </c>
      <c r="E36" s="51">
        <f t="shared" ca="1" si="0"/>
        <v>3</v>
      </c>
      <c r="F36" s="52">
        <f t="shared" ca="1" si="1"/>
        <v>1.5</v>
      </c>
      <c r="G36" s="53" t="s">
        <v>433</v>
      </c>
      <c r="H36" s="55" t="s">
        <v>465</v>
      </c>
    </row>
    <row r="37" spans="1:8" ht="15" customHeight="1">
      <c r="A37" s="49" t="s">
        <v>457</v>
      </c>
      <c r="B37" s="49" t="s">
        <v>29</v>
      </c>
      <c r="C37" s="49" t="s">
        <v>19</v>
      </c>
      <c r="D37" s="50">
        <v>0.5</v>
      </c>
      <c r="E37" s="51">
        <f t="shared" ca="1" si="0"/>
        <v>4</v>
      </c>
      <c r="F37" s="52">
        <f t="shared" ca="1" si="1"/>
        <v>2</v>
      </c>
      <c r="G37" s="53" t="s">
        <v>433</v>
      </c>
      <c r="H37" s="54" t="s">
        <v>466</v>
      </c>
    </row>
    <row r="38" spans="1:8" ht="15" customHeight="1">
      <c r="A38" s="49" t="s">
        <v>457</v>
      </c>
      <c r="B38" s="49" t="s">
        <v>29</v>
      </c>
      <c r="C38" s="49" t="s">
        <v>46</v>
      </c>
      <c r="D38" s="50">
        <v>0.33</v>
      </c>
      <c r="E38" s="51">
        <f t="shared" ca="1" si="0"/>
        <v>4</v>
      </c>
      <c r="F38" s="52">
        <f t="shared" ca="1" si="1"/>
        <v>1.32</v>
      </c>
      <c r="G38" s="53" t="s">
        <v>433</v>
      </c>
      <c r="H38" s="54" t="s">
        <v>467</v>
      </c>
    </row>
    <row r="39" spans="1:8" ht="15" customHeight="1">
      <c r="A39" s="49" t="s">
        <v>454</v>
      </c>
      <c r="B39" s="49" t="s">
        <v>353</v>
      </c>
      <c r="C39" s="49" t="s">
        <v>199</v>
      </c>
      <c r="D39" s="50">
        <v>0</v>
      </c>
      <c r="E39" s="51">
        <f t="shared" ref="E39:E61" ca="1" si="2">IFERROR(INDEX(INDIRECT("'"&amp;$A39&amp;"'!$E$1:$E$45"),MATCH($B39,INDIRECT("'"&amp;$A39&amp;"'!$B$1:$B$45"),0)),"?")</f>
        <v>1</v>
      </c>
      <c r="F39" s="52">
        <f t="shared" ref="F39:F61" ca="1" si="3">IF(ISNUMBER(E39),$D39*E39,0)</f>
        <v>0</v>
      </c>
      <c r="G39" s="56" t="s">
        <v>468</v>
      </c>
      <c r="H39" s="54" t="s">
        <v>469</v>
      </c>
    </row>
    <row r="40" spans="1:8" ht="15" customHeight="1">
      <c r="A40" s="49" t="s">
        <v>457</v>
      </c>
      <c r="B40" s="49" t="s">
        <v>18</v>
      </c>
      <c r="C40" s="49" t="s">
        <v>41</v>
      </c>
      <c r="D40" s="50">
        <v>0.5</v>
      </c>
      <c r="E40" s="51">
        <f t="shared" ca="1" si="2"/>
        <v>5</v>
      </c>
      <c r="F40" s="52">
        <f t="shared" ca="1" si="3"/>
        <v>2.5</v>
      </c>
      <c r="G40" s="56" t="s">
        <v>468</v>
      </c>
      <c r="H40" s="54" t="s">
        <v>470</v>
      </c>
    </row>
    <row r="41" spans="1:8" ht="15" customHeight="1">
      <c r="A41" s="49" t="s">
        <v>457</v>
      </c>
      <c r="B41" s="49" t="s">
        <v>24</v>
      </c>
      <c r="C41" s="49" t="s">
        <v>41</v>
      </c>
      <c r="D41" s="50">
        <v>0.33</v>
      </c>
      <c r="E41" s="51">
        <f t="shared" ca="1" si="2"/>
        <v>3</v>
      </c>
      <c r="F41" s="52">
        <f t="shared" ca="1" si="3"/>
        <v>0.99</v>
      </c>
      <c r="G41" s="56" t="s">
        <v>468</v>
      </c>
      <c r="H41" s="54" t="s">
        <v>471</v>
      </c>
    </row>
    <row r="42" spans="1:8" ht="15" customHeight="1">
      <c r="A42" s="49" t="s">
        <v>457</v>
      </c>
      <c r="B42" s="49" t="s">
        <v>29</v>
      </c>
      <c r="C42" s="49" t="s">
        <v>41</v>
      </c>
      <c r="D42" s="50">
        <v>0.33</v>
      </c>
      <c r="E42" s="51">
        <f t="shared" ca="1" si="2"/>
        <v>4</v>
      </c>
      <c r="F42" s="52">
        <f t="shared" ca="1" si="3"/>
        <v>1.32</v>
      </c>
      <c r="G42" s="56" t="s">
        <v>468</v>
      </c>
      <c r="H42" s="54" t="s">
        <v>472</v>
      </c>
    </row>
    <row r="43" spans="1:8" ht="15" customHeight="1">
      <c r="A43" s="49" t="s">
        <v>438</v>
      </c>
      <c r="B43" s="49" t="s">
        <v>247</v>
      </c>
      <c r="C43" s="49" t="s">
        <v>257</v>
      </c>
      <c r="D43" s="50">
        <v>0.2</v>
      </c>
      <c r="E43" s="51">
        <f t="shared" ca="1" si="2"/>
        <v>5</v>
      </c>
      <c r="F43" s="52">
        <f t="shared" ca="1" si="3"/>
        <v>1</v>
      </c>
      <c r="G43" s="56" t="s">
        <v>468</v>
      </c>
      <c r="H43" s="54" t="s">
        <v>473</v>
      </c>
    </row>
    <row r="44" spans="1:8" ht="15" customHeight="1">
      <c r="A44" s="49" t="s">
        <v>441</v>
      </c>
      <c r="B44" s="49" t="s">
        <v>326</v>
      </c>
      <c r="C44" s="49" t="s">
        <v>248</v>
      </c>
      <c r="D44" s="50">
        <v>0.2</v>
      </c>
      <c r="E44" s="51">
        <f t="shared" ca="1" si="2"/>
        <v>4</v>
      </c>
      <c r="F44" s="52">
        <f t="shared" ca="1" si="3"/>
        <v>0.8</v>
      </c>
      <c r="G44" s="56" t="s">
        <v>468</v>
      </c>
      <c r="H44" s="54" t="s">
        <v>474</v>
      </c>
    </row>
    <row r="45" spans="1:8" ht="15" customHeight="1">
      <c r="A45" s="49" t="s">
        <v>436</v>
      </c>
      <c r="B45" s="49" t="s">
        <v>275</v>
      </c>
      <c r="C45" s="49" t="s">
        <v>300</v>
      </c>
      <c r="D45" s="50">
        <v>0.2</v>
      </c>
      <c r="E45" s="51" t="str">
        <f t="shared" ca="1" si="2"/>
        <v>?</v>
      </c>
      <c r="F45" s="52">
        <f t="shared" ca="1" si="3"/>
        <v>0</v>
      </c>
      <c r="G45" s="56" t="s">
        <v>468</v>
      </c>
      <c r="H45" s="54" t="s">
        <v>475</v>
      </c>
    </row>
    <row r="46" spans="1:8" ht="15" customHeight="1">
      <c r="A46" s="49" t="s">
        <v>441</v>
      </c>
      <c r="B46" s="49" t="s">
        <v>310</v>
      </c>
      <c r="C46" s="49" t="s">
        <v>300</v>
      </c>
      <c r="D46" s="50">
        <v>0.2</v>
      </c>
      <c r="E46" s="51">
        <f t="shared" ca="1" si="2"/>
        <v>3</v>
      </c>
      <c r="F46" s="52">
        <f t="shared" ca="1" si="3"/>
        <v>0.60000000000000009</v>
      </c>
      <c r="G46" s="56" t="s">
        <v>468</v>
      </c>
      <c r="H46" s="54" t="s">
        <v>476</v>
      </c>
    </row>
    <row r="47" spans="1:8" ht="15" customHeight="1">
      <c r="A47" s="49" t="s">
        <v>454</v>
      </c>
      <c r="B47" s="49" t="s">
        <v>353</v>
      </c>
      <c r="C47" s="49" t="s">
        <v>300</v>
      </c>
      <c r="D47" s="50">
        <v>0.2</v>
      </c>
      <c r="E47" s="51">
        <f t="shared" ca="1" si="2"/>
        <v>1</v>
      </c>
      <c r="F47" s="52">
        <f t="shared" ca="1" si="3"/>
        <v>0.2</v>
      </c>
      <c r="G47" s="56" t="s">
        <v>468</v>
      </c>
      <c r="H47" s="54" t="s">
        <v>477</v>
      </c>
    </row>
    <row r="48" spans="1:8" ht="15" customHeight="1">
      <c r="A48" s="49" t="s">
        <v>432</v>
      </c>
      <c r="B48" s="49" t="s">
        <v>198</v>
      </c>
      <c r="C48" s="49" t="s">
        <v>320</v>
      </c>
      <c r="D48" s="50">
        <v>0.2</v>
      </c>
      <c r="E48" s="51">
        <f t="shared" ca="1" si="2"/>
        <v>4</v>
      </c>
      <c r="F48" s="52">
        <f t="shared" ca="1" si="3"/>
        <v>0.8</v>
      </c>
      <c r="G48" s="56" t="s">
        <v>468</v>
      </c>
      <c r="H48" s="54" t="s">
        <v>478</v>
      </c>
    </row>
    <row r="49" spans="1:8" ht="15" customHeight="1">
      <c r="A49" s="49" t="s">
        <v>436</v>
      </c>
      <c r="B49" s="49" t="s">
        <v>275</v>
      </c>
      <c r="C49" s="49" t="s">
        <v>320</v>
      </c>
      <c r="D49" s="50">
        <v>0.2</v>
      </c>
      <c r="E49" s="51" t="str">
        <f t="shared" ca="1" si="2"/>
        <v>?</v>
      </c>
      <c r="F49" s="52">
        <f t="shared" ca="1" si="3"/>
        <v>0</v>
      </c>
      <c r="G49" s="56" t="s">
        <v>468</v>
      </c>
      <c r="H49" s="54" t="s">
        <v>479</v>
      </c>
    </row>
    <row r="50" spans="1:8" ht="15" customHeight="1">
      <c r="A50" s="49" t="s">
        <v>438</v>
      </c>
      <c r="B50" s="49" t="s">
        <v>267</v>
      </c>
      <c r="C50" s="49" t="s">
        <v>212</v>
      </c>
      <c r="D50" s="50">
        <v>0.33</v>
      </c>
      <c r="E50" s="51">
        <f t="shared" ca="1" si="2"/>
        <v>4</v>
      </c>
      <c r="F50" s="52">
        <f t="shared" ca="1" si="3"/>
        <v>1.32</v>
      </c>
      <c r="G50" s="56" t="s">
        <v>468</v>
      </c>
      <c r="H50" s="54" t="s">
        <v>480</v>
      </c>
    </row>
    <row r="51" spans="1:8" ht="15" customHeight="1">
      <c r="A51" s="49" t="s">
        <v>454</v>
      </c>
      <c r="B51" s="49" t="s">
        <v>24</v>
      </c>
      <c r="C51" s="49" t="s">
        <v>26</v>
      </c>
      <c r="D51" s="50">
        <v>0.33</v>
      </c>
      <c r="E51" s="51">
        <f t="shared" ca="1" si="2"/>
        <v>3</v>
      </c>
      <c r="F51" s="52">
        <f t="shared" ca="1" si="3"/>
        <v>0.99</v>
      </c>
      <c r="G51" s="56" t="s">
        <v>433</v>
      </c>
      <c r="H51" s="54" t="s">
        <v>481</v>
      </c>
    </row>
    <row r="52" spans="1:8" ht="15" customHeight="1">
      <c r="A52" s="49" t="s">
        <v>454</v>
      </c>
      <c r="B52" s="49" t="s">
        <v>24</v>
      </c>
      <c r="C52" s="49" t="s">
        <v>41</v>
      </c>
      <c r="D52" s="50">
        <v>0.33</v>
      </c>
      <c r="E52" s="51">
        <f t="shared" ca="1" si="2"/>
        <v>3</v>
      </c>
      <c r="F52" s="52">
        <f t="shared" ca="1" si="3"/>
        <v>0.99</v>
      </c>
      <c r="G52" s="56" t="s">
        <v>468</v>
      </c>
      <c r="H52" s="54" t="s">
        <v>482</v>
      </c>
    </row>
    <row r="53" spans="1:8" ht="15" customHeight="1">
      <c r="A53" s="49" t="s">
        <v>441</v>
      </c>
      <c r="B53" s="49" t="s">
        <v>315</v>
      </c>
      <c r="C53" s="49" t="s">
        <v>222</v>
      </c>
      <c r="D53" s="50">
        <v>0.5</v>
      </c>
      <c r="E53" s="51">
        <f t="shared" ca="1" si="2"/>
        <v>3</v>
      </c>
      <c r="F53" s="52">
        <f t="shared" ca="1" si="3"/>
        <v>1.5</v>
      </c>
      <c r="G53" s="56" t="s">
        <v>468</v>
      </c>
      <c r="H53" s="54" t="s">
        <v>483</v>
      </c>
    </row>
    <row r="54" spans="1:8" ht="15" customHeight="1">
      <c r="A54" s="49" t="s">
        <v>441</v>
      </c>
      <c r="B54" s="49" t="s">
        <v>323</v>
      </c>
      <c r="C54" s="49" t="s">
        <v>222</v>
      </c>
      <c r="D54" s="50">
        <v>0.5</v>
      </c>
      <c r="E54" s="51">
        <f t="shared" ca="1" si="2"/>
        <v>3</v>
      </c>
      <c r="F54" s="52">
        <f t="shared" ca="1" si="3"/>
        <v>1.5</v>
      </c>
      <c r="G54" s="56" t="s">
        <v>468</v>
      </c>
      <c r="H54" s="54" t="s">
        <v>484</v>
      </c>
    </row>
    <row r="55" spans="1:8" ht="15" customHeight="1">
      <c r="A55" s="49" t="s">
        <v>438</v>
      </c>
      <c r="B55" s="49" t="s">
        <v>252</v>
      </c>
      <c r="C55" s="49" t="s">
        <v>311</v>
      </c>
      <c r="D55" s="50">
        <v>0.2</v>
      </c>
      <c r="E55" s="51">
        <f t="shared" ca="1" si="2"/>
        <v>4</v>
      </c>
      <c r="F55" s="52">
        <f t="shared" ca="1" si="3"/>
        <v>0.8</v>
      </c>
      <c r="G55" s="56" t="s">
        <v>468</v>
      </c>
      <c r="H55" s="54" t="s">
        <v>485</v>
      </c>
    </row>
    <row r="56" spans="1:8" ht="15" customHeight="1">
      <c r="A56" s="49" t="s">
        <v>441</v>
      </c>
      <c r="B56" s="49" t="s">
        <v>323</v>
      </c>
      <c r="C56" s="49" t="s">
        <v>311</v>
      </c>
      <c r="D56" s="50">
        <v>0.5</v>
      </c>
      <c r="E56" s="51">
        <f t="shared" ca="1" si="2"/>
        <v>3</v>
      </c>
      <c r="F56" s="52">
        <f t="shared" ca="1" si="3"/>
        <v>1.5</v>
      </c>
      <c r="G56" s="56" t="s">
        <v>468</v>
      </c>
      <c r="H56" s="54" t="s">
        <v>486</v>
      </c>
    </row>
    <row r="57" spans="1:8" ht="15" customHeight="1">
      <c r="A57" s="49" t="s">
        <v>436</v>
      </c>
      <c r="B57" s="49" t="s">
        <v>295</v>
      </c>
      <c r="C57" s="49" t="s">
        <v>201</v>
      </c>
      <c r="D57" s="50">
        <v>0.33</v>
      </c>
      <c r="E57" s="51">
        <f t="shared" ca="1" si="2"/>
        <v>4</v>
      </c>
      <c r="F57" s="52">
        <f t="shared" ca="1" si="3"/>
        <v>1.32</v>
      </c>
      <c r="G57" s="56" t="s">
        <v>468</v>
      </c>
      <c r="H57" s="54" t="s">
        <v>487</v>
      </c>
    </row>
    <row r="58" spans="1:8" ht="15" customHeight="1">
      <c r="A58" s="49" t="s">
        <v>444</v>
      </c>
      <c r="B58" s="49" t="s">
        <v>285</v>
      </c>
      <c r="C58" s="49" t="s">
        <v>212</v>
      </c>
      <c r="D58" s="50">
        <v>0.5</v>
      </c>
      <c r="E58" s="51">
        <f t="shared" ca="1" si="2"/>
        <v>3</v>
      </c>
      <c r="F58" s="52">
        <f t="shared" ca="1" si="3"/>
        <v>1.5</v>
      </c>
      <c r="G58" s="56" t="s">
        <v>468</v>
      </c>
      <c r="H58" s="54" t="s">
        <v>488</v>
      </c>
    </row>
    <row r="59" spans="1:8" ht="15" customHeight="1">
      <c r="A59" s="49" t="s">
        <v>444</v>
      </c>
      <c r="B59" s="49" t="s">
        <v>385</v>
      </c>
      <c r="C59" s="49" t="s">
        <v>300</v>
      </c>
      <c r="D59" s="50">
        <v>0.33</v>
      </c>
      <c r="E59" s="51">
        <f t="shared" ca="1" si="2"/>
        <v>2</v>
      </c>
      <c r="F59" s="52">
        <f t="shared" ca="1" si="3"/>
        <v>0.66</v>
      </c>
      <c r="G59" s="56" t="s">
        <v>468</v>
      </c>
      <c r="H59" s="54" t="s">
        <v>489</v>
      </c>
    </row>
    <row r="60" spans="1:8" ht="15" customHeight="1">
      <c r="A60" s="49" t="s">
        <v>444</v>
      </c>
      <c r="B60" s="49" t="s">
        <v>393</v>
      </c>
      <c r="C60" s="49" t="s">
        <v>212</v>
      </c>
      <c r="D60" s="50">
        <v>0.5</v>
      </c>
      <c r="E60" s="51">
        <f t="shared" ca="1" si="2"/>
        <v>3</v>
      </c>
      <c r="F60" s="52">
        <f t="shared" ca="1" si="3"/>
        <v>1.5</v>
      </c>
      <c r="G60" s="56" t="s">
        <v>468</v>
      </c>
      <c r="H60" s="54" t="s">
        <v>490</v>
      </c>
    </row>
    <row r="61" spans="1:8" ht="15" customHeight="1">
      <c r="A61" s="49" t="s">
        <v>438</v>
      </c>
      <c r="B61" s="49" t="s">
        <v>216</v>
      </c>
      <c r="C61" s="49" t="s">
        <v>218</v>
      </c>
      <c r="D61" s="50">
        <v>0.33</v>
      </c>
      <c r="E61" s="51">
        <f t="shared" ca="1" si="2"/>
        <v>3</v>
      </c>
      <c r="F61" s="52">
        <f t="shared" ca="1" si="3"/>
        <v>0.99</v>
      </c>
      <c r="G61" s="56" t="s">
        <v>468</v>
      </c>
      <c r="H61" s="54" t="s">
        <v>491</v>
      </c>
    </row>
    <row r="62" spans="1:8" ht="15" customHeight="1">
      <c r="E62" s="3" t="s">
        <v>492</v>
      </c>
      <c r="F62" s="57">
        <f ca="1">SUM(F7:F61)</f>
        <v>64.33</v>
      </c>
    </row>
  </sheetData>
  <mergeCells count="2">
    <mergeCell ref="A4:H4"/>
    <mergeCell ref="A2:H2"/>
  </mergeCells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48"/>
  <sheetViews>
    <sheetView zoomScaleNormal="100" workbookViewId="0">
      <selection activeCell="I32" sqref="I32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</cols>
  <sheetData>
    <row r="1" spans="1:10" ht="18" customHeight="1">
      <c r="A1" s="1" t="s">
        <v>493</v>
      </c>
    </row>
    <row r="2" spans="1:10" ht="15" customHeight="1">
      <c r="A2" s="2" t="s">
        <v>494</v>
      </c>
    </row>
    <row r="4" spans="1:10" ht="15" customHeight="1">
      <c r="A4" s="5" t="s">
        <v>10</v>
      </c>
      <c r="B4" s="5" t="s">
        <v>495</v>
      </c>
      <c r="C4" s="5" t="s">
        <v>496</v>
      </c>
      <c r="D4" s="5" t="s">
        <v>497</v>
      </c>
      <c r="E4" s="5" t="s">
        <v>498</v>
      </c>
      <c r="F4" s="5" t="s">
        <v>499</v>
      </c>
      <c r="J4" s="5" t="s">
        <v>500</v>
      </c>
    </row>
    <row r="5" spans="1:10" ht="15" customHeight="1">
      <c r="A5" s="58" t="s">
        <v>257</v>
      </c>
      <c r="B5" s="7">
        <f>SUMIFS(D1_당기기A!$E:$E,D1_당기기A!$C:$C,$A5)+SUMIFS(D2_밀기A!$E:$E,D2_밀기A!$C:$C,$A5)+SUMIFS(D3_하체A!$E:$E,D3_하체A!$C:$C,$A5)+SUMIFS(D5_당기기B!$E:$E,D5_당기기B!$C:$C,$A5)+SUMIFS(D6_밀기B!$E:$E,D6_밀기B!$C:$C,$A5)+SUMIFS(D7_하체B!$E:$E,D7_하체B!$C:$C,$A5)+SUMIFS(D8_어깨!$E:$E,D8_어깨!$C:$C,$A5)</f>
        <v>8</v>
      </c>
      <c r="C5" s="59">
        <f ca="1">MROUND(SUMIFS(간접계수맵!$F$7:$F$61,간접계수맵!$C$7:$C$61,$A5),0.5)</f>
        <v>1</v>
      </c>
      <c r="D5" s="60">
        <f t="shared" ref="D5:D24" ca="1" si="0">B5+C5</f>
        <v>9</v>
      </c>
      <c r="E5" s="7" t="str">
        <f t="shared" ref="E5:E24" ca="1" si="1">IF(J5&gt;20,"과다 점검",IF(J5&gt;=10,"충분",IF(J5&gt;=8,"하한",IF(J5&gt;=1,"보완 필요","미배치"))))</f>
        <v>보완 필요</v>
      </c>
      <c r="F5" s="58" t="s">
        <v>501</v>
      </c>
      <c r="G5" s="95" t="s">
        <v>502</v>
      </c>
      <c r="H5" s="61">
        <f ca="1">SUM(D5:D6)</f>
        <v>25</v>
      </c>
      <c r="I5" t="str">
        <f ca="1">IF(H5*7/8&gt;20,"주당 환산 천장(20) 초과 — 2일차 예외 허용 · 세트 질 관찰","")</f>
        <v>주당 환산 천장(20) 초과 — 2일차 예외 허용 · 세트 질 관찰</v>
      </c>
      <c r="J5" s="60">
        <f t="shared" ref="J5:J25" ca="1" si="2">ROUND(D5*7/8,1)</f>
        <v>7.9</v>
      </c>
    </row>
    <row r="6" spans="1:10" ht="15" customHeight="1">
      <c r="A6" s="58" t="s">
        <v>248</v>
      </c>
      <c r="B6" s="7">
        <f>SUMIFS(D1_당기기A!$E:$E,D1_당기기A!$C:$C,$A6)+SUMIFS(D2_밀기A!$E:$E,D2_밀기A!$C:$C,$A6)+SUMIFS(D3_하체A!$E:$E,D3_하체A!$C:$C,$A6)+SUMIFS(D5_당기기B!$E:$E,D5_당기기B!$C:$C,$A6)+SUMIFS(D6_밀기B!$E:$E,D6_밀기B!$C:$C,$A6)+SUMIFS(D7_하체B!$E:$E,D7_하체B!$C:$C,$A6)+SUMIFS(D8_어깨!$E:$E,D8_어깨!$C:$C,$A6)</f>
        <v>15</v>
      </c>
      <c r="C6" s="59">
        <f ca="1">MROUND(SUMIFS(간접계수맵!$F$7:$F$61,간접계수맵!$C$7:$C$61,$A6),0.5)</f>
        <v>1</v>
      </c>
      <c r="D6" s="60">
        <f t="shared" ca="1" si="0"/>
        <v>16</v>
      </c>
      <c r="E6" s="7" t="str">
        <f t="shared" ca="1" si="1"/>
        <v>충분</v>
      </c>
      <c r="F6" s="58" t="s">
        <v>503</v>
      </c>
      <c r="G6" s="96"/>
      <c r="J6" s="60">
        <f t="shared" ca="1" si="2"/>
        <v>14</v>
      </c>
    </row>
    <row r="7" spans="1:10" ht="15" customHeight="1">
      <c r="A7" s="58" t="s">
        <v>199</v>
      </c>
      <c r="B7" s="7">
        <f>SUMIFS(D1_당기기A!$E:$E,D1_당기기A!$C:$C,$A7)+SUMIFS(D2_밀기A!$E:$E,D2_밀기A!$C:$C,$A7)+SUMIFS(D3_하체A!$E:$E,D3_하체A!$C:$C,$A7)+SUMIFS(D5_당기기B!$E:$E,D5_당기기B!$C:$C,$A7)+SUMIFS(D6_밀기B!$E:$E,D6_밀기B!$C:$C,$A7)+SUMIFS(D7_하체B!$E:$E,D7_하체B!$C:$C,$A7)+SUMIFS(D8_어깨!$E:$E,D8_어깨!$C:$C,$A7)</f>
        <v>18</v>
      </c>
      <c r="C7" s="59">
        <f ca="1">MROUND(SUMIFS(간접계수맵!$F$7:$F$61,간접계수맵!$C$7:$C$61,$A7),0.5)</f>
        <v>0</v>
      </c>
      <c r="D7" s="60">
        <f t="shared" ca="1" si="0"/>
        <v>18</v>
      </c>
      <c r="E7" s="7" t="str">
        <f t="shared" ca="1" si="1"/>
        <v>충분</v>
      </c>
      <c r="F7" s="58" t="s">
        <v>504</v>
      </c>
      <c r="G7" s="95" t="s">
        <v>505</v>
      </c>
      <c r="H7" s="61">
        <f ca="1">SUM(D7:D10)</f>
        <v>40</v>
      </c>
      <c r="J7" s="60">
        <f t="shared" ca="1" si="2"/>
        <v>15.8</v>
      </c>
    </row>
    <row r="8" spans="1:10" ht="15" customHeight="1">
      <c r="A8" s="58" t="s">
        <v>300</v>
      </c>
      <c r="B8" s="7">
        <f>SUMIFS(D1_당기기A!$E:$E,D1_당기기A!$C:$C,$A8)+SUMIFS(D2_밀기A!$E:$E,D2_밀기A!$C:$C,$A8)+SUMIFS(D3_하체A!$E:$E,D3_하체A!$C:$C,$A8)+SUMIFS(D5_당기기B!$E:$E,D5_당기기B!$C:$C,$A8)+SUMIFS(D6_밀기B!$E:$E,D6_밀기B!$C:$C,$A8)+SUMIFS(D7_하체B!$E:$E,D7_하체B!$C:$C,$A8)+SUMIFS(D8_어깨!$E:$E,D8_어깨!$C:$C,$A8)</f>
        <v>3</v>
      </c>
      <c r="C8" s="59">
        <f ca="1">MROUND(SUMIFS(간접계수맵!$F$7:$F$61,간접계수맵!$C$7:$C$61,$A8),0.5)</f>
        <v>1.5</v>
      </c>
      <c r="D8" s="60">
        <f t="shared" ca="1" si="0"/>
        <v>4.5</v>
      </c>
      <c r="E8" s="7" t="str">
        <f t="shared" ca="1" si="1"/>
        <v>보완 필요</v>
      </c>
      <c r="F8" s="58" t="s">
        <v>506</v>
      </c>
      <c r="G8" s="96"/>
      <c r="J8" s="60">
        <f t="shared" ca="1" si="2"/>
        <v>3.9</v>
      </c>
    </row>
    <row r="9" spans="1:10" ht="15" customHeight="1">
      <c r="A9" s="58" t="s">
        <v>320</v>
      </c>
      <c r="B9" s="7">
        <f>SUMIFS(D1_당기기A!$E:$E,D1_당기기A!$C:$C,$A9)+SUMIFS(D2_밀기A!$E:$E,D2_밀기A!$C:$C,$A9)+SUMIFS(D3_하체A!$E:$E,D3_하체A!$C:$C,$A9)+SUMIFS(D5_당기기B!$E:$E,D5_당기기B!$C:$C,$A9)+SUMIFS(D6_밀기B!$E:$E,D6_밀기B!$C:$C,$A9)+SUMIFS(D7_하체B!$E:$E,D7_하체B!$C:$C,$A9)+SUMIFS(D8_어깨!$E:$E,D8_어깨!$C:$C,$A9)</f>
        <v>3</v>
      </c>
      <c r="C9" s="59">
        <f ca="1">MROUND(SUMIFS(간접계수맵!$F$7:$F$61,간접계수맵!$C$7:$C$61,$A9),0.5)</f>
        <v>1</v>
      </c>
      <c r="D9" s="60">
        <f t="shared" ca="1" si="0"/>
        <v>4</v>
      </c>
      <c r="E9" s="7" t="str">
        <f t="shared" ca="1" si="1"/>
        <v>보완 필요</v>
      </c>
      <c r="F9" s="58" t="s">
        <v>507</v>
      </c>
      <c r="G9" s="96"/>
      <c r="J9" s="60">
        <f t="shared" ca="1" si="2"/>
        <v>3.5</v>
      </c>
    </row>
    <row r="10" spans="1:10" ht="15" customHeight="1">
      <c r="A10" s="58" t="s">
        <v>212</v>
      </c>
      <c r="B10" s="7">
        <f>SUMIFS(D1_당기기A!$E:$E,D1_당기기A!$C:$C,$A10)+SUMIFS(D2_밀기A!$E:$E,D2_밀기A!$C:$C,$A10)+SUMIFS(D3_하체A!$E:$E,D3_하체A!$C:$C,$A10)+SUMIFS(D5_당기기B!$E:$E,D5_당기기B!$C:$C,$A10)+SUMIFS(D6_밀기B!$E:$E,D6_밀기B!$C:$C,$A10)+SUMIFS(D7_하체B!$E:$E,D7_하체B!$C:$C,$A10)+SUMIFS(D8_어깨!$E:$E,D8_어깨!$C:$C,$A10)</f>
        <v>7</v>
      </c>
      <c r="C10" s="59">
        <f ca="1">MROUND(SUMIFS(간접계수맵!$F$7:$F$61,간접계수맵!$C$7:$C$61,$A10),0.5)</f>
        <v>6.5</v>
      </c>
      <c r="D10" s="60">
        <f t="shared" ca="1" si="0"/>
        <v>13.5</v>
      </c>
      <c r="E10" s="7" t="str">
        <f t="shared" ca="1" si="1"/>
        <v>충분</v>
      </c>
      <c r="F10" s="58" t="s">
        <v>508</v>
      </c>
      <c r="G10" s="96"/>
      <c r="J10" s="60">
        <f t="shared" ca="1" si="2"/>
        <v>11.8</v>
      </c>
    </row>
    <row r="11" spans="1:10" ht="15" customHeight="1">
      <c r="A11" s="58" t="s">
        <v>234</v>
      </c>
      <c r="B11" s="7">
        <f>SUMIFS(D1_당기기A!$E:$E,D1_당기기A!$C:$C,$A11)+SUMIFS(D2_밀기A!$E:$E,D2_밀기A!$C:$C,$A11)+SUMIFS(D3_하체A!$E:$E,D3_하체A!$C:$C,$A11)+SUMIFS(D5_당기기B!$E:$E,D5_당기기B!$C:$C,$A11)+SUMIFS(D6_밀기B!$E:$E,D6_밀기B!$C:$C,$A11)+SUMIFS(D7_하체B!$E:$E,D7_하체B!$C:$C,$A11)+SUMIFS(D8_어깨!$E:$E,D8_어깨!$C:$C,$A11)</f>
        <v>4</v>
      </c>
      <c r="C11" s="59">
        <f ca="1">MROUND(SUMIFS(간접계수맵!$F$7:$F$61,간접계수맵!$C$7:$C$61,$A11),0.5)</f>
        <v>3</v>
      </c>
      <c r="D11" s="60">
        <f t="shared" ca="1" si="0"/>
        <v>7</v>
      </c>
      <c r="E11" s="7" t="str">
        <f t="shared" ca="1" si="1"/>
        <v>보완 필요</v>
      </c>
      <c r="F11" s="58" t="s">
        <v>509</v>
      </c>
      <c r="G11" s="62"/>
      <c r="J11" s="60">
        <f t="shared" ca="1" si="2"/>
        <v>6.1</v>
      </c>
    </row>
    <row r="12" spans="1:10" ht="15" customHeight="1">
      <c r="A12" s="58" t="s">
        <v>311</v>
      </c>
      <c r="B12" s="7">
        <f>SUMIFS(D1_당기기A!$E:$E,D1_당기기A!$C:$C,$A12)+SUMIFS(D2_밀기A!$E:$E,D2_밀기A!$C:$C,$A12)+SUMIFS(D3_하체A!$E:$E,D3_하체A!$C:$C,$A12)+SUMIFS(D5_당기기B!$E:$E,D5_당기기B!$C:$C,$A12)+SUMIFS(D6_밀기B!$E:$E,D6_밀기B!$C:$C,$A12)+SUMIFS(D7_하체B!$E:$E,D7_하체B!$C:$C,$A12)+SUMIFS(D8_어깨!$E:$E,D8_어깨!$C:$C,$A12)</f>
        <v>6</v>
      </c>
      <c r="C12" s="59">
        <f ca="1">MROUND(SUMIFS(간접계수맵!$F$7:$F$61,간접계수맵!$C$7:$C$61,$A12),0.5)</f>
        <v>7</v>
      </c>
      <c r="D12" s="60">
        <f t="shared" ca="1" si="0"/>
        <v>13</v>
      </c>
      <c r="E12" s="7" t="str">
        <f t="shared" ca="1" si="1"/>
        <v>충분</v>
      </c>
      <c r="F12" s="58" t="s">
        <v>510</v>
      </c>
      <c r="G12" s="62"/>
      <c r="J12" s="60">
        <f t="shared" ca="1" si="2"/>
        <v>11.4</v>
      </c>
    </row>
    <row r="13" spans="1:10" ht="15" customHeight="1">
      <c r="A13" s="58" t="s">
        <v>264</v>
      </c>
      <c r="B13" s="7">
        <f>SUMIFS(D1_당기기A!$E:$E,D1_당기기A!$C:$C,$A13)+SUMIFS(D2_밀기A!$E:$E,D2_밀기A!$C:$C,$A13)+SUMIFS(D3_하체A!$E:$E,D3_하체A!$C:$C,$A13)+SUMIFS(D5_당기기B!$E:$E,D5_당기기B!$C:$C,$A13)+SUMIFS(D6_밀기B!$E:$E,D6_밀기B!$C:$C,$A13)+SUMIFS(D7_하체B!$E:$E,D7_하체B!$C:$C,$A13)+SUMIFS(D8_어깨!$E:$E,D8_어깨!$C:$C,$A13)</f>
        <v>16</v>
      </c>
      <c r="C13" s="59">
        <f ca="1">MROUND(SUMIFS(간접계수맵!$F$7:$F$61,간접계수맵!$C$7:$C$61,$A13),0.5)</f>
        <v>1.5</v>
      </c>
      <c r="D13" s="60">
        <f t="shared" ca="1" si="0"/>
        <v>17.5</v>
      </c>
      <c r="E13" s="7" t="str">
        <f t="shared" ca="1" si="1"/>
        <v>충분</v>
      </c>
      <c r="F13" s="58" t="s">
        <v>511</v>
      </c>
      <c r="G13" s="62"/>
      <c r="J13" s="60">
        <f t="shared" ca="1" si="2"/>
        <v>15.3</v>
      </c>
    </row>
    <row r="14" spans="1:10" ht="15" customHeight="1">
      <c r="A14" s="58" t="s">
        <v>268</v>
      </c>
      <c r="B14" s="7">
        <f>SUMIFS(D1_당기기A!$E:$E,D1_당기기A!$C:$C,$A14)+SUMIFS(D2_밀기A!$E:$E,D2_밀기A!$C:$C,$A14)+SUMIFS(D3_하체A!$E:$E,D3_하체A!$C:$C,$A14)+SUMIFS(D5_당기기B!$E:$E,D5_당기기B!$C:$C,$A14)+SUMIFS(D6_밀기B!$E:$E,D6_밀기B!$C:$C,$A14)+SUMIFS(D7_하체B!$E:$E,D7_하체B!$C:$C,$A14)+SUMIFS(D8_어깨!$E:$E,D8_어깨!$C:$C,$A14)</f>
        <v>16</v>
      </c>
      <c r="C14" s="59">
        <f ca="1">MROUND(SUMIFS(간접계수맵!$F$7:$F$61,간접계수맵!$C$7:$C$61,$A14),0.5)</f>
        <v>0</v>
      </c>
      <c r="D14" s="60">
        <f t="shared" ca="1" si="0"/>
        <v>16</v>
      </c>
      <c r="E14" s="7" t="str">
        <f t="shared" ca="1" si="1"/>
        <v>충분</v>
      </c>
      <c r="F14" s="58" t="s">
        <v>512</v>
      </c>
      <c r="G14" s="62"/>
      <c r="H14" s="61"/>
      <c r="J14" s="60">
        <f t="shared" ca="1" si="2"/>
        <v>14</v>
      </c>
    </row>
    <row r="15" spans="1:10" ht="15" customHeight="1">
      <c r="A15" s="58" t="s">
        <v>19</v>
      </c>
      <c r="B15" s="7">
        <f>SUMIFS(D1_당기기A!$E:$E,D1_당기기A!$C:$C,$A15)+SUMIFS(D2_밀기A!$E:$E,D2_밀기A!$C:$C,$A15)+SUMIFS(D3_하체A!$E:$E,D3_하체A!$C:$C,$A15)+SUMIFS(D5_당기기B!$E:$E,D5_당기기B!$C:$C,$A15)+SUMIFS(D6_밀기B!$E:$E,D6_밀기B!$C:$C,$A15)+SUMIFS(D7_하체B!$E:$E,D7_하체B!$C:$C,$A15)+SUMIFS(D8_어깨!$E:$E,D8_어깨!$C:$C,$A15)</f>
        <v>15</v>
      </c>
      <c r="C15" s="59">
        <f ca="1">MROUND(SUMIFS(간접계수맵!$F$7:$F$61,간접계수맵!$C$7:$C$61,$A15),0.5)</f>
        <v>2</v>
      </c>
      <c r="D15" s="60">
        <f t="shared" ca="1" si="0"/>
        <v>17</v>
      </c>
      <c r="E15" s="7" t="str">
        <f t="shared" ca="1" si="1"/>
        <v>충분</v>
      </c>
      <c r="F15" s="58" t="s">
        <v>29</v>
      </c>
      <c r="G15" s="63" t="s">
        <v>513</v>
      </c>
      <c r="H15" s="61">
        <f ca="1">SUM(D15:D16,D19)</f>
        <v>39</v>
      </c>
      <c r="J15" s="60">
        <f t="shared" ca="1" si="2"/>
        <v>14.9</v>
      </c>
    </row>
    <row r="16" spans="1:10" ht="15" customHeight="1">
      <c r="A16" s="58" t="s">
        <v>36</v>
      </c>
      <c r="B16" s="7">
        <f>SUMIFS(D1_당기기A!$E:$E,D1_당기기A!$C:$C,$A16)+SUMIFS(D2_밀기A!$E:$E,D2_밀기A!$C:$C,$A16)+SUMIFS(D3_하체A!$E:$E,D3_하체A!$C:$C,$A16)+SUMIFS(D5_당기기B!$E:$E,D5_당기기B!$C:$C,$A16)+SUMIFS(D6_밀기B!$E:$E,D6_밀기B!$C:$C,$A16)+SUMIFS(D7_하체B!$E:$E,D7_하체B!$C:$C,$A16)+SUMIFS(D8_어깨!$E:$E,D8_어깨!$C:$C,$A16)</f>
        <v>10</v>
      </c>
      <c r="C16" s="59">
        <f ca="1">MROUND(SUMIFS(간접계수맵!$F$7:$F$61,간접계수맵!$C$7:$C$61,$A16),0.5)</f>
        <v>4</v>
      </c>
      <c r="D16" s="60">
        <f t="shared" ca="1" si="0"/>
        <v>14</v>
      </c>
      <c r="E16" s="7" t="str">
        <f t="shared" ca="1" si="1"/>
        <v>충분</v>
      </c>
      <c r="F16" s="58" t="s">
        <v>514</v>
      </c>
      <c r="G16" s="62"/>
      <c r="J16" s="60">
        <f t="shared" ca="1" si="2"/>
        <v>12.3</v>
      </c>
    </row>
    <row r="17" spans="1:10" ht="15" customHeight="1">
      <c r="A17" s="58" t="s">
        <v>26</v>
      </c>
      <c r="B17" s="7">
        <f>SUMIFS(D1_당기기A!$E:$E,D1_당기기A!$C:$C,$A17)+SUMIFS(D2_밀기A!$E:$E,D2_밀기A!$C:$C,$A17)+SUMIFS(D3_하체A!$E:$E,D3_하체A!$C:$C,$A17)+SUMIFS(D5_당기기B!$E:$E,D5_당기기B!$C:$C,$A17)+SUMIFS(D6_밀기B!$E:$E,D6_밀기B!$C:$C,$A17)+SUMIFS(D7_하체B!$E:$E,D7_하체B!$C:$C,$A17)+SUMIFS(D8_어깨!$E:$E,D8_어깨!$C:$C,$A17)</f>
        <v>8</v>
      </c>
      <c r="C17" s="59">
        <f ca="1">MROUND(SUMIFS(간접계수맵!$F$7:$F$61,간접계수맵!$C$7:$C$61,$A17),0.5)</f>
        <v>8</v>
      </c>
      <c r="D17" s="60">
        <f t="shared" ca="1" si="0"/>
        <v>16</v>
      </c>
      <c r="E17" s="7" t="str">
        <f t="shared" ca="1" si="1"/>
        <v>충분</v>
      </c>
      <c r="F17" s="58" t="s">
        <v>515</v>
      </c>
      <c r="G17" s="95" t="s">
        <v>26</v>
      </c>
      <c r="H17" s="61">
        <f ca="1">SUM(D17:D18)</f>
        <v>20.5</v>
      </c>
      <c r="J17" s="60">
        <f t="shared" ca="1" si="2"/>
        <v>14</v>
      </c>
    </row>
    <row r="18" spans="1:10" ht="15" customHeight="1">
      <c r="A18" s="58" t="s">
        <v>46</v>
      </c>
      <c r="B18" s="7">
        <f>SUMIFS(D1_당기기A!$E:$E,D1_당기기A!$C:$C,$A18)+SUMIFS(D2_밀기A!$E:$E,D2_밀기A!$C:$C,$A18)+SUMIFS(D3_하체A!$E:$E,D3_하체A!$C:$C,$A18)+SUMIFS(D5_당기기B!$E:$E,D5_당기기B!$C:$C,$A18)+SUMIFS(D6_밀기B!$E:$E,D6_밀기B!$C:$C,$A18)+SUMIFS(D7_하체B!$E:$E,D7_하체B!$C:$C,$A18)+SUMIFS(D8_어깨!$E:$E,D8_어깨!$C:$C,$A18)</f>
        <v>3</v>
      </c>
      <c r="C18" s="59">
        <f ca="1">MROUND(SUMIFS(간접계수맵!$F$7:$F$61,간접계수맵!$C$7:$C$61,$A18),0.5)</f>
        <v>1.5</v>
      </c>
      <c r="D18" s="60">
        <f t="shared" ca="1" si="0"/>
        <v>4.5</v>
      </c>
      <c r="E18" s="7" t="str">
        <f t="shared" ca="1" si="1"/>
        <v>보완 필요</v>
      </c>
      <c r="F18" s="58" t="s">
        <v>516</v>
      </c>
      <c r="G18" s="96"/>
      <c r="J18" s="60">
        <f t="shared" ca="1" si="2"/>
        <v>3.9</v>
      </c>
    </row>
    <row r="19" spans="1:10" ht="15" customHeight="1">
      <c r="A19" s="58" t="s">
        <v>52</v>
      </c>
      <c r="B19" s="7">
        <f>SUMIFS(D1_당기기A!$E:$E,D1_당기기A!$C:$C,$A19)+SUMIFS(D2_밀기A!$E:$E,D2_밀기A!$C:$C,$A19)+SUMIFS(D3_하체A!$E:$E,D3_하체A!$C:$C,$A19)+SUMIFS(D5_당기기B!$E:$E,D5_당기기B!$C:$C,$A19)+SUMIFS(D6_밀기B!$E:$E,D6_밀기B!$C:$C,$A19)+SUMIFS(D7_하체B!$E:$E,D7_하체B!$C:$C,$A19)+SUMIFS(D8_어깨!$E:$E,D8_어깨!$C:$C,$A19)</f>
        <v>8</v>
      </c>
      <c r="C19" s="59">
        <f>MROUND(SUMIFS(간접계수맵!$F$7:$F$61,간접계수맵!$C$7:$C$61,$A19),0.5)</f>
        <v>0</v>
      </c>
      <c r="D19" s="60">
        <f t="shared" si="0"/>
        <v>8</v>
      </c>
      <c r="E19" s="7" t="str">
        <f t="shared" si="1"/>
        <v>보완 필요</v>
      </c>
      <c r="F19" s="58" t="s">
        <v>517</v>
      </c>
      <c r="G19" s="62"/>
      <c r="J19" s="60">
        <f t="shared" si="2"/>
        <v>7</v>
      </c>
    </row>
    <row r="20" spans="1:10" ht="15" customHeight="1">
      <c r="A20" s="58" t="s">
        <v>201</v>
      </c>
      <c r="B20" s="7">
        <f>SUMIFS(D1_당기기A!$E:$E,D1_당기기A!$C:$C,$A20)+SUMIFS(D2_밀기A!$E:$E,D2_밀기A!$C:$C,$A20)+SUMIFS(D3_하체A!$E:$E,D3_하체A!$C:$C,$A20)+SUMIFS(D5_당기기B!$E:$E,D5_당기기B!$C:$C,$A20)+SUMIFS(D6_밀기B!$E:$E,D6_밀기B!$C:$C,$A20)+SUMIFS(D7_하체B!$E:$E,D7_하체B!$C:$C,$A20)+SUMIFS(D8_어깨!$E:$E,D8_어깨!$C:$C,$A20)</f>
        <v>11</v>
      </c>
      <c r="C20" s="59">
        <f ca="1">MROUND(SUMIFS(간접계수맵!$F$7:$F$61,간접계수맵!$C$7:$C$61,$A20),0.5)</f>
        <v>7</v>
      </c>
      <c r="D20" s="60">
        <f t="shared" ca="1" si="0"/>
        <v>18</v>
      </c>
      <c r="E20" s="7" t="str">
        <f t="shared" ca="1" si="1"/>
        <v>충분</v>
      </c>
      <c r="F20" s="58" t="s">
        <v>518</v>
      </c>
      <c r="G20" s="62"/>
      <c r="J20" s="60">
        <f t="shared" ca="1" si="2"/>
        <v>15.8</v>
      </c>
    </row>
    <row r="21" spans="1:10" ht="15" customHeight="1">
      <c r="A21" s="58" t="s">
        <v>222</v>
      </c>
      <c r="B21" s="7">
        <f>SUMIFS(D1_당기기A!$E:$E,D1_당기기A!$C:$C,$A21)+SUMIFS(D2_밀기A!$E:$E,D2_밀기A!$C:$C,$A21)+SUMIFS(D3_하체A!$E:$E,D3_하체A!$C:$C,$A21)+SUMIFS(D5_당기기B!$E:$E,D5_당기기B!$C:$C,$A21)+SUMIFS(D6_밀기B!$E:$E,D6_밀기B!$C:$C,$A21)+SUMIFS(D7_하체B!$E:$E,D7_하체B!$C:$C,$A21)+SUMIFS(D8_어깨!$E:$E,D8_어깨!$C:$C,$A21)</f>
        <v>8</v>
      </c>
      <c r="C21" s="59">
        <f ca="1">MROUND(SUMIFS(간접계수맵!$F$7:$F$61,간접계수맵!$C$7:$C$61,$A21),0.5)</f>
        <v>11</v>
      </c>
      <c r="D21" s="60">
        <f t="shared" ca="1" si="0"/>
        <v>19</v>
      </c>
      <c r="E21" s="7" t="str">
        <f t="shared" ca="1" si="1"/>
        <v>충분</v>
      </c>
      <c r="F21" s="58" t="s">
        <v>519</v>
      </c>
      <c r="G21" s="62"/>
      <c r="J21" s="60">
        <f t="shared" ca="1" si="2"/>
        <v>16.600000000000001</v>
      </c>
    </row>
    <row r="22" spans="1:10" ht="16.5" customHeight="1">
      <c r="A22" s="58" t="s">
        <v>218</v>
      </c>
      <c r="B22" s="7">
        <f>SUMIFS(D1_당기기A!$E:$E,D1_당기기A!$C:$C,$A22)+SUMIFS(D2_밀기A!$E:$E,D2_밀기A!$C:$C,$A22)+SUMIFS(D3_하체A!$E:$E,D3_하체A!$C:$C,$A22)+SUMIFS(D5_당기기B!$E:$E,D5_당기기B!$C:$C,$A22)+SUMIFS(D6_밀기B!$E:$E,D6_밀기B!$C:$C,$A22)+SUMIFS(D7_하체B!$E:$E,D7_하체B!$C:$C,$A22)+SUMIFS(D8_어깨!$E:$E,D8_어깨!$C:$C,$A22)</f>
        <v>11</v>
      </c>
      <c r="C22" s="59">
        <f ca="1">MROUND(SUMIFS(간접계수맵!$F$7:$F$61,간접계수맵!$C$7:$C$61,$A22),0.5)</f>
        <v>3.5</v>
      </c>
      <c r="D22" s="60">
        <f t="shared" ca="1" si="0"/>
        <v>14.5</v>
      </c>
      <c r="E22" s="7" t="str">
        <f t="shared" ca="1" si="1"/>
        <v>충분</v>
      </c>
      <c r="F22" s="58" t="s">
        <v>520</v>
      </c>
      <c r="G22" s="62"/>
      <c r="J22" s="60">
        <f t="shared" ca="1" si="2"/>
        <v>12.7</v>
      </c>
    </row>
    <row r="23" spans="1:10" ht="24" customHeight="1">
      <c r="A23" s="58" t="s">
        <v>56</v>
      </c>
      <c r="B23" s="64">
        <f>SUMIFS(D1_당기기A!$E:$E,D1_당기기A!$C:$C,$A23)+SUMIFS(D2_밀기A!$E:$E,D2_밀기A!$C:$C,$A23)+SUMIFS(D3_하체A!$E:$E,D3_하체A!$C:$C,$A23)+SUMIFS(D5_당기기B!$E:$E,D5_당기기B!$C:$C,$A23)+SUMIFS(D6_밀기B!$E:$E,D6_밀기B!$C:$C,$A23)+SUMIFS(D7_하체B!$E:$E,D7_하체B!$C:$C,$A23)+SUMIFS(D8_어깨!$E:$E,D8_어깨!$C:$C,$A23)</f>
        <v>10</v>
      </c>
      <c r="C23" s="59">
        <f>MROUND(SUMIFS(간접계수맵!$F$7:$F$61,간접계수맵!$C$7:$C$61,$A23),0.5)</f>
        <v>0</v>
      </c>
      <c r="D23" s="60">
        <f t="shared" si="0"/>
        <v>10</v>
      </c>
      <c r="E23" s="7" t="str">
        <f t="shared" si="1"/>
        <v>하한</v>
      </c>
      <c r="F23" s="58" t="s">
        <v>521</v>
      </c>
      <c r="G23" s="62"/>
      <c r="J23" s="60">
        <f t="shared" si="2"/>
        <v>8.8000000000000007</v>
      </c>
    </row>
    <row r="24" spans="1:10" ht="15" customHeight="1">
      <c r="A24" s="58" t="s">
        <v>41</v>
      </c>
      <c r="B24" s="64">
        <f>SUMIFS(D1_당기기A!$E:$E,D1_당기기A!$C:$C,$A24)+SUMIFS(D2_밀기A!$E:$E,D2_밀기A!$C:$C,$A24)+SUMIFS(D3_하체A!$E:$E,D3_하체A!$C:$C,$A24)+SUMIFS(D5_당기기B!$E:$E,D5_당기기B!$C:$C,$A24)+SUMIFS(D6_밀기B!$E:$E,D6_밀기B!$C:$C,$A24)+SUMIFS(D7_하체B!$E:$E,D7_하체B!$C:$C,$A24)+SUMIFS(D8_어깨!$E:$E,D8_어깨!$C:$C,$A24)</f>
        <v>4</v>
      </c>
      <c r="C24" s="59">
        <f ca="1">MROUND(SUMIFS(간접계수맵!$F$7:$F$61,간접계수맵!$C$7:$C$61,$A24),0.5)</f>
        <v>6</v>
      </c>
      <c r="D24" s="60">
        <f t="shared" ca="1" si="0"/>
        <v>10</v>
      </c>
      <c r="E24" s="7" t="str">
        <f t="shared" ca="1" si="1"/>
        <v>하한</v>
      </c>
      <c r="F24" s="58" t="s">
        <v>522</v>
      </c>
      <c r="G24" s="62"/>
      <c r="J24" s="60">
        <f t="shared" ca="1" si="2"/>
        <v>8.8000000000000007</v>
      </c>
    </row>
    <row r="25" spans="1:10" ht="36" customHeight="1">
      <c r="A25" s="65" t="s">
        <v>523</v>
      </c>
      <c r="B25" s="15">
        <f>SUM(B5:B24)</f>
        <v>184</v>
      </c>
      <c r="C25" s="66"/>
      <c r="D25" s="67">
        <f ca="1">SUM(D5:D24)</f>
        <v>249.5</v>
      </c>
      <c r="E25" s="66"/>
      <c r="F25" s="66"/>
      <c r="J25" s="67">
        <f t="shared" ca="1" si="2"/>
        <v>218.3</v>
      </c>
    </row>
    <row r="26" spans="1:10" ht="15" customHeight="1">
      <c r="A26" s="13" t="s">
        <v>524</v>
      </c>
    </row>
    <row r="27" spans="1:10" ht="16.5" customHeight="1">
      <c r="A27" s="11" t="s">
        <v>525</v>
      </c>
    </row>
    <row r="28" spans="1:10" ht="36" customHeight="1">
      <c r="A28" s="11" t="s">
        <v>526</v>
      </c>
    </row>
    <row r="29" spans="1:10" ht="48" customHeight="1">
      <c r="A29" s="11" t="s">
        <v>527</v>
      </c>
    </row>
    <row r="30" spans="1:10" ht="48" customHeight="1">
      <c r="A30" s="68"/>
    </row>
    <row r="31" spans="1:10" ht="15" customHeight="1">
      <c r="A31" s="13" t="s">
        <v>528</v>
      </c>
    </row>
    <row r="32" spans="1:10" ht="16.5" customHeight="1">
      <c r="A32" s="11" t="s">
        <v>529</v>
      </c>
    </row>
    <row r="33" spans="1:1" ht="48" customHeight="1">
      <c r="A33" s="11" t="s">
        <v>530</v>
      </c>
    </row>
    <row r="34" spans="1:1" ht="48" customHeight="1">
      <c r="A34" s="11" t="s">
        <v>531</v>
      </c>
    </row>
    <row r="35" spans="1:1" ht="15" customHeight="1">
      <c r="A35" s="68"/>
    </row>
    <row r="36" spans="1:1" ht="48" customHeight="1">
      <c r="A36" s="13" t="s">
        <v>532</v>
      </c>
    </row>
    <row r="37" spans="1:1" ht="77.25" customHeight="1">
      <c r="A37" s="11" t="s">
        <v>533</v>
      </c>
    </row>
    <row r="38" spans="1:1" ht="48" customHeight="1">
      <c r="A38" s="11" t="s">
        <v>534</v>
      </c>
    </row>
    <row r="39" spans="1:1" ht="39" customHeight="1">
      <c r="A39" s="68" t="s">
        <v>535</v>
      </c>
    </row>
    <row r="40" spans="1:1" ht="45" customHeight="1">
      <c r="A40" s="11" t="s">
        <v>536</v>
      </c>
    </row>
    <row r="41" spans="1:1" ht="48" customHeight="1">
      <c r="A41" s="11" t="s">
        <v>537</v>
      </c>
    </row>
    <row r="42" spans="1:1" ht="48" customHeight="1">
      <c r="A42" s="11" t="s">
        <v>538</v>
      </c>
    </row>
    <row r="43" spans="1:1" ht="48" customHeight="1">
      <c r="A43" s="11" t="s">
        <v>539</v>
      </c>
    </row>
    <row r="44" spans="1:1" ht="48" customHeight="1">
      <c r="A44" s="11" t="s">
        <v>540</v>
      </c>
    </row>
    <row r="45" spans="1:1" ht="51.75" customHeight="1">
      <c r="A45" s="11" t="s">
        <v>541</v>
      </c>
    </row>
    <row r="46" spans="1:1" ht="90" customHeight="1">
      <c r="A46" s="11" t="s">
        <v>542</v>
      </c>
    </row>
    <row r="47" spans="1:1" ht="51.75" customHeight="1">
      <c r="A47" s="11" t="s">
        <v>543</v>
      </c>
    </row>
    <row r="48" spans="1:1" ht="48" customHeight="1">
      <c r="A48" s="11" t="s">
        <v>544</v>
      </c>
    </row>
  </sheetData>
  <mergeCells count="3">
    <mergeCell ref="G5:G6"/>
    <mergeCell ref="G17:G18"/>
    <mergeCell ref="G7:G10"/>
  </mergeCells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31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</cols>
  <sheetData>
    <row r="1" spans="1:11" ht="18" customHeight="1">
      <c r="A1" s="1" t="s">
        <v>545</v>
      </c>
    </row>
    <row r="2" spans="1:11" ht="15" customHeight="1">
      <c r="A2" s="2" t="s">
        <v>546</v>
      </c>
    </row>
    <row r="4" spans="1:11" ht="15" customHeight="1">
      <c r="A4" s="3" t="s">
        <v>547</v>
      </c>
    </row>
    <row r="5" spans="1:11" ht="15" customHeight="1">
      <c r="A5" s="69" t="s">
        <v>548</v>
      </c>
      <c r="C5" s="4">
        <v>5</v>
      </c>
      <c r="D5" s="68" t="s">
        <v>549</v>
      </c>
    </row>
    <row r="6" spans="1:11" ht="15" customHeight="1">
      <c r="A6" s="69" t="s">
        <v>550</v>
      </c>
      <c r="C6" s="4">
        <v>5</v>
      </c>
      <c r="D6" s="68" t="s">
        <v>551</v>
      </c>
    </row>
    <row r="7" spans="1:11" ht="15" customHeight="1">
      <c r="A7" s="69" t="s">
        <v>552</v>
      </c>
      <c r="C7" s="4">
        <v>2.25</v>
      </c>
      <c r="D7" s="68" t="s">
        <v>553</v>
      </c>
      <c r="H7">
        <f>SUM(D7:D10)</f>
        <v>0</v>
      </c>
    </row>
    <row r="8" spans="1:11" ht="84" customHeight="1">
      <c r="A8" s="69" t="s">
        <v>554</v>
      </c>
      <c r="C8" s="4">
        <v>1.25</v>
      </c>
      <c r="D8" s="68" t="s">
        <v>555</v>
      </c>
    </row>
    <row r="9" spans="1:11" ht="15" customHeight="1">
      <c r="A9" s="5" t="s">
        <v>98</v>
      </c>
      <c r="B9" s="5" t="s">
        <v>764</v>
      </c>
      <c r="C9" s="5" t="s">
        <v>556</v>
      </c>
      <c r="D9" s="5" t="s">
        <v>557</v>
      </c>
      <c r="E9" s="5" t="s">
        <v>558</v>
      </c>
      <c r="F9" s="5" t="s">
        <v>557</v>
      </c>
      <c r="G9" s="5" t="s">
        <v>559</v>
      </c>
      <c r="H9" s="5" t="s">
        <v>557</v>
      </c>
      <c r="I9" s="5" t="s">
        <v>560</v>
      </c>
      <c r="J9" s="5" t="s">
        <v>557</v>
      </c>
      <c r="K9" s="5" t="s">
        <v>16</v>
      </c>
    </row>
    <row r="10" spans="1:11" ht="15" customHeight="1">
      <c r="A10" s="8" t="s">
        <v>99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70"/>
    </row>
    <row r="11" spans="1:11" ht="15" customHeight="1">
      <c r="A11" s="8" t="s">
        <v>100</v>
      </c>
      <c r="B11" s="4"/>
      <c r="C11" s="16">
        <f t="shared" ref="C11:C21" si="0">IF(D10="X",C10,C10+$C$6)</f>
        <v>42.5</v>
      </c>
      <c r="D11" s="4"/>
      <c r="E11" s="16">
        <f t="shared" ref="E11:E21" si="1">IF(F10="X",E10,E10+$C$5)</f>
        <v>47.5</v>
      </c>
      <c r="F11" s="4"/>
      <c r="G11" s="16">
        <f t="shared" ref="G11:G21" si="2">IF(H10="X",G10,G10+$C$7)</f>
        <v>24.75</v>
      </c>
      <c r="H11" s="4"/>
      <c r="I11" s="16">
        <f t="shared" ref="I11:I21" si="3">IF(J10="X",I10,I10+$C$8)</f>
        <v>21.25</v>
      </c>
      <c r="J11" s="4"/>
      <c r="K11" s="70"/>
    </row>
    <row r="12" spans="1:11" ht="15" customHeight="1">
      <c r="A12" s="8" t="s">
        <v>101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70"/>
    </row>
    <row r="13" spans="1:11" ht="15" customHeight="1">
      <c r="A13" s="8" t="s">
        <v>102</v>
      </c>
      <c r="B13" s="91">
        <v>46258</v>
      </c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70"/>
    </row>
    <row r="14" spans="1:11" ht="15" customHeight="1">
      <c r="A14" s="8" t="s">
        <v>103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70"/>
    </row>
    <row r="15" spans="1:11" ht="15" customHeight="1">
      <c r="A15" s="8" t="s">
        <v>104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70"/>
    </row>
    <row r="16" spans="1:11" ht="15" customHeight="1">
      <c r="A16" s="8" t="s">
        <v>105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70"/>
    </row>
    <row r="17" spans="1:11" ht="15" customHeight="1">
      <c r="A17" s="8" t="s">
        <v>106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70"/>
    </row>
    <row r="18" spans="1:11" ht="15" customHeight="1">
      <c r="A18" s="8" t="s">
        <v>107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70"/>
    </row>
    <row r="19" spans="1:11" ht="15" customHeight="1">
      <c r="A19" s="8" t="s">
        <v>108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70"/>
    </row>
    <row r="20" spans="1:11" ht="15" customHeight="1">
      <c r="A20" s="8" t="s">
        <v>109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70"/>
    </row>
    <row r="21" spans="1:11" ht="15" customHeight="1">
      <c r="A21" s="8" t="s">
        <v>110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70"/>
    </row>
    <row r="23" spans="1:11" ht="108" customHeight="1">
      <c r="A23" s="11" t="s">
        <v>561</v>
      </c>
    </row>
    <row r="24" spans="1:11" ht="84" customHeight="1">
      <c r="A24" s="11" t="s">
        <v>562</v>
      </c>
    </row>
    <row r="25" spans="1:11" ht="84" customHeight="1">
      <c r="A25" s="11" t="s">
        <v>563</v>
      </c>
    </row>
    <row r="26" spans="1:11" ht="120" customHeight="1">
      <c r="A26" s="11"/>
    </row>
    <row r="27" spans="1:11" ht="96" customHeight="1">
      <c r="A27" s="11" t="s">
        <v>564</v>
      </c>
    </row>
    <row r="28" spans="1:11" ht="108" customHeight="1">
      <c r="A28" s="11" t="s">
        <v>565</v>
      </c>
    </row>
    <row r="29" spans="1:11" ht="108" customHeight="1">
      <c r="A29" s="11" t="s">
        <v>566</v>
      </c>
    </row>
    <row r="30" spans="1:11" ht="156" customHeight="1">
      <c r="A30" s="11" t="s">
        <v>567</v>
      </c>
    </row>
    <row r="31" spans="1:11" ht="96" customHeight="1">
      <c r="A31" s="11" t="s">
        <v>568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71" t="s">
        <v>569</v>
      </c>
    </row>
    <row r="2" spans="1:3" ht="15" customHeight="1">
      <c r="A2" s="2" t="s">
        <v>570</v>
      </c>
    </row>
    <row r="4" spans="1:3" ht="15" customHeight="1">
      <c r="A4" s="5" t="s">
        <v>571</v>
      </c>
      <c r="B4" s="5" t="s">
        <v>572</v>
      </c>
      <c r="C4" s="5" t="s">
        <v>573</v>
      </c>
    </row>
    <row r="5" spans="1:3" ht="15" customHeight="1">
      <c r="A5" s="7" t="s">
        <v>505</v>
      </c>
      <c r="B5" s="7" t="s">
        <v>574</v>
      </c>
      <c r="C5" s="58" t="s">
        <v>575</v>
      </c>
    </row>
    <row r="6" spans="1:3" ht="15" customHeight="1">
      <c r="A6" s="7" t="s">
        <v>576</v>
      </c>
      <c r="B6" s="7" t="s">
        <v>574</v>
      </c>
      <c r="C6" s="58" t="s">
        <v>577</v>
      </c>
    </row>
    <row r="7" spans="1:3" ht="15" customHeight="1">
      <c r="A7" s="7" t="s">
        <v>234</v>
      </c>
      <c r="B7" s="7" t="s">
        <v>578</v>
      </c>
      <c r="C7" s="58" t="s">
        <v>579</v>
      </c>
    </row>
    <row r="8" spans="1:3" ht="15" customHeight="1">
      <c r="A8" s="72" t="s">
        <v>580</v>
      </c>
      <c r="B8" s="72" t="s">
        <v>581</v>
      </c>
      <c r="C8" s="73" t="s">
        <v>582</v>
      </c>
    </row>
    <row r="9" spans="1:3" ht="15" customHeight="1">
      <c r="A9" s="72" t="s">
        <v>583</v>
      </c>
      <c r="B9" s="72" t="s">
        <v>581</v>
      </c>
      <c r="C9" s="73" t="s">
        <v>584</v>
      </c>
    </row>
    <row r="10" spans="1:3" ht="15" customHeight="1">
      <c r="A10" s="7" t="s">
        <v>585</v>
      </c>
      <c r="B10" s="7" t="s">
        <v>586</v>
      </c>
      <c r="C10" s="74" t="s">
        <v>587</v>
      </c>
    </row>
    <row r="11" spans="1:3" ht="15" customHeight="1">
      <c r="A11" s="7" t="s">
        <v>588</v>
      </c>
      <c r="B11" s="8" t="s">
        <v>589</v>
      </c>
      <c r="C11" s="58" t="s">
        <v>590</v>
      </c>
    </row>
    <row r="12" spans="1:3" ht="15" customHeight="1">
      <c r="A12" s="7" t="s">
        <v>591</v>
      </c>
      <c r="B12" s="7" t="s">
        <v>592</v>
      </c>
      <c r="C12" s="58" t="s">
        <v>593</v>
      </c>
    </row>
    <row r="15" spans="1:3" ht="24" customHeight="1">
      <c r="A15" s="11" t="s">
        <v>594</v>
      </c>
    </row>
    <row r="16" spans="1:3" ht="24" customHeight="1">
      <c r="A16" s="11" t="s">
        <v>595</v>
      </c>
    </row>
    <row r="17" spans="1:1" ht="36" customHeight="1">
      <c r="A17" s="11" t="s">
        <v>596</v>
      </c>
    </row>
    <row r="18" spans="1:1" ht="15" customHeight="1">
      <c r="A18" s="68"/>
    </row>
    <row r="19" spans="1:1" ht="36" customHeight="1">
      <c r="A19" s="11" t="s">
        <v>597</v>
      </c>
    </row>
    <row r="20" spans="1:1" ht="36" customHeight="1">
      <c r="A20" s="11" t="s">
        <v>598</v>
      </c>
    </row>
    <row r="22" spans="1:1" ht="48" customHeight="1">
      <c r="A22" s="13" t="s">
        <v>599</v>
      </c>
    </row>
    <row r="24" spans="1:1" ht="16.5" customHeight="1">
      <c r="A24" s="14" t="s">
        <v>600</v>
      </c>
    </row>
    <row r="25" spans="1:1" ht="16.5" customHeight="1">
      <c r="A25" t="s">
        <v>601</v>
      </c>
    </row>
    <row r="26" spans="1:1" ht="16.5" customHeight="1">
      <c r="A26" t="s">
        <v>602</v>
      </c>
    </row>
    <row r="27" spans="1:1" ht="16.5" customHeight="1">
      <c r="A27" t="s">
        <v>603</v>
      </c>
    </row>
    <row r="28" spans="1:1" ht="16.5" customHeight="1">
      <c r="A28" t="s">
        <v>604</v>
      </c>
    </row>
    <row r="30" spans="1:1" ht="16.5" customHeight="1">
      <c r="A30" t="s">
        <v>605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34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4" width="16" customWidth="1"/>
    <col min="5" max="5" width="10" customWidth="1"/>
    <col min="6" max="6" width="62" customWidth="1"/>
  </cols>
  <sheetData>
    <row r="1" spans="1:6" ht="17.25" customHeight="1">
      <c r="A1" s="1" t="s">
        <v>606</v>
      </c>
    </row>
    <row r="2" spans="1:6" ht="15" customHeight="1">
      <c r="A2" s="75" t="s">
        <v>607</v>
      </c>
    </row>
    <row r="3" spans="1:6" ht="16.5" customHeight="1">
      <c r="A3" s="3" t="s">
        <v>608</v>
      </c>
    </row>
    <row r="5" spans="1:6" ht="15" customHeight="1">
      <c r="A5" s="5" t="s">
        <v>609</v>
      </c>
      <c r="B5" s="5" t="s">
        <v>610</v>
      </c>
      <c r="C5" s="5" t="s">
        <v>611</v>
      </c>
      <c r="D5" s="5" t="s">
        <v>612</v>
      </c>
      <c r="E5" s="5" t="s">
        <v>5</v>
      </c>
      <c r="F5" s="5" t="s">
        <v>613</v>
      </c>
    </row>
    <row r="6" spans="1:6" ht="15" customHeight="1">
      <c r="A6" s="76" t="s">
        <v>614</v>
      </c>
      <c r="B6" s="77" t="s">
        <v>615</v>
      </c>
      <c r="C6" s="77" t="s">
        <v>615</v>
      </c>
      <c r="D6" s="76" t="s">
        <v>134</v>
      </c>
      <c r="E6" s="76">
        <v>0</v>
      </c>
      <c r="F6" s="78" t="s">
        <v>616</v>
      </c>
    </row>
    <row r="7" spans="1:6" ht="15" customHeight="1">
      <c r="A7" s="7" t="s">
        <v>617</v>
      </c>
      <c r="B7" s="8" t="s">
        <v>615</v>
      </c>
      <c r="C7" s="8" t="s">
        <v>615</v>
      </c>
      <c r="D7" s="72" t="s">
        <v>618</v>
      </c>
      <c r="E7" s="7">
        <f>복귀_화_상체밀기!$E$11</f>
        <v>22</v>
      </c>
      <c r="F7" s="74" t="s">
        <v>619</v>
      </c>
    </row>
    <row r="8" spans="1:6" ht="15" customHeight="1">
      <c r="A8" s="76" t="s">
        <v>620</v>
      </c>
      <c r="B8" s="77" t="s">
        <v>621</v>
      </c>
      <c r="C8" s="77" t="s">
        <v>615</v>
      </c>
      <c r="D8" s="76" t="s">
        <v>134</v>
      </c>
      <c r="E8" s="76">
        <v>0</v>
      </c>
      <c r="F8" s="78" t="s">
        <v>622</v>
      </c>
    </row>
    <row r="9" spans="1:6" ht="15" customHeight="1">
      <c r="A9" s="76" t="s">
        <v>623</v>
      </c>
      <c r="B9" s="77" t="s">
        <v>621</v>
      </c>
      <c r="C9" s="77" t="s">
        <v>621</v>
      </c>
      <c r="D9" s="76" t="s">
        <v>134</v>
      </c>
      <c r="E9" s="76">
        <v>0</v>
      </c>
      <c r="F9" s="78" t="s">
        <v>624</v>
      </c>
    </row>
    <row r="10" spans="1:6" ht="15" customHeight="1">
      <c r="A10" s="76" t="s">
        <v>625</v>
      </c>
      <c r="B10" s="77" t="s">
        <v>615</v>
      </c>
      <c r="C10" s="77" t="s">
        <v>621</v>
      </c>
      <c r="D10" s="76" t="s">
        <v>134</v>
      </c>
      <c r="E10" s="76">
        <v>0</v>
      </c>
      <c r="F10" s="78" t="s">
        <v>626</v>
      </c>
    </row>
    <row r="11" spans="1:6" ht="15" customHeight="1">
      <c r="A11" s="7" t="s">
        <v>627</v>
      </c>
      <c r="B11" s="7" t="s">
        <v>628</v>
      </c>
      <c r="C11" s="7" t="s">
        <v>628</v>
      </c>
      <c r="D11" s="72" t="s">
        <v>576</v>
      </c>
      <c r="E11" s="7">
        <f>복귀_토_하체!$E$12</f>
        <v>22</v>
      </c>
      <c r="F11" s="58" t="s">
        <v>629</v>
      </c>
    </row>
    <row r="12" spans="1:6" ht="15" customHeight="1">
      <c r="A12" s="7" t="s">
        <v>630</v>
      </c>
      <c r="B12" s="7" t="s">
        <v>631</v>
      </c>
      <c r="C12" s="7" t="s">
        <v>631</v>
      </c>
      <c r="D12" s="72" t="s">
        <v>505</v>
      </c>
      <c r="E12" s="7">
        <f>복귀_일_등!$E$13</f>
        <v>22</v>
      </c>
      <c r="F12" s="58" t="s">
        <v>632</v>
      </c>
    </row>
    <row r="13" spans="1:6" ht="15" customHeight="1">
      <c r="A13" s="28" t="s">
        <v>152</v>
      </c>
      <c r="B13" s="28"/>
      <c r="C13" s="28"/>
      <c r="D13" s="28"/>
      <c r="E13" s="28">
        <f>SUM(E6:E12)</f>
        <v>66</v>
      </c>
      <c r="F13" s="29"/>
    </row>
    <row r="15" spans="1:6" ht="48" customHeight="1">
      <c r="A15" s="13" t="s">
        <v>633</v>
      </c>
    </row>
    <row r="16" spans="1:6" ht="141" customHeight="1">
      <c r="A16" s="11" t="s">
        <v>634</v>
      </c>
    </row>
    <row r="17" spans="1:1" ht="126" customHeight="1">
      <c r="A17" s="11" t="s">
        <v>635</v>
      </c>
    </row>
    <row r="18" spans="1:1" ht="77.25" customHeight="1">
      <c r="A18" s="11" t="s">
        <v>636</v>
      </c>
    </row>
    <row r="19" spans="1:1" ht="115.5" customHeight="1">
      <c r="A19" s="11" t="s">
        <v>637</v>
      </c>
    </row>
    <row r="20" spans="1:1" ht="15" customHeight="1">
      <c r="A20" s="68"/>
    </row>
    <row r="21" spans="1:1" ht="48" customHeight="1">
      <c r="A21" s="13" t="s">
        <v>638</v>
      </c>
    </row>
    <row r="22" spans="1:1" ht="141" customHeight="1">
      <c r="A22" s="11" t="s">
        <v>639</v>
      </c>
    </row>
    <row r="23" spans="1:1" ht="77.25" customHeight="1">
      <c r="A23" s="11" t="s">
        <v>640</v>
      </c>
    </row>
    <row r="24" spans="1:1" ht="90" customHeight="1">
      <c r="A24" s="11" t="s">
        <v>641</v>
      </c>
    </row>
    <row r="25" spans="1:1" ht="128.25" customHeight="1">
      <c r="A25" s="11" t="s">
        <v>642</v>
      </c>
    </row>
    <row r="26" spans="1:1" ht="128.25" customHeight="1">
      <c r="A26" s="11" t="s">
        <v>643</v>
      </c>
    </row>
    <row r="27" spans="1:1" ht="15" customHeight="1">
      <c r="A27" s="68"/>
    </row>
    <row r="28" spans="1:1" ht="48" customHeight="1">
      <c r="A28" s="13" t="s">
        <v>644</v>
      </c>
    </row>
    <row r="29" spans="1:1" ht="75" customHeight="1">
      <c r="A29" s="11" t="s">
        <v>645</v>
      </c>
    </row>
    <row r="30" spans="1:1" ht="102.75" customHeight="1">
      <c r="A30" s="11" t="s">
        <v>646</v>
      </c>
    </row>
    <row r="31" spans="1:1" ht="90" customHeight="1">
      <c r="A31" s="11" t="s">
        <v>647</v>
      </c>
    </row>
    <row r="32" spans="1:1" ht="128.25" customHeight="1">
      <c r="A32" s="11" t="s">
        <v>648</v>
      </c>
    </row>
    <row r="33" spans="1:1" ht="144" customHeight="1">
      <c r="A33" s="11" t="s">
        <v>649</v>
      </c>
    </row>
    <row r="34" spans="1:1" ht="15" customHeight="1">
      <c r="A34" s="79" t="s">
        <v>650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6"/>
  <sheetViews>
    <sheetView zoomScaleNormal="100" workbookViewId="0">
      <selection activeCell="F14" sqref="F14"/>
    </sheetView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651</v>
      </c>
    </row>
    <row r="2" spans="1:8" ht="15" customHeight="1">
      <c r="A2" s="2" t="s">
        <v>652</v>
      </c>
    </row>
    <row r="4" spans="1:8" ht="15" customHeight="1">
      <c r="A4" s="6" t="s">
        <v>8</v>
      </c>
      <c r="B4" s="5" t="s">
        <v>9</v>
      </c>
      <c r="C4" s="5" t="s">
        <v>10</v>
      </c>
      <c r="D4" s="5" t="s">
        <v>3</v>
      </c>
      <c r="E4" s="5" t="s">
        <v>5</v>
      </c>
      <c r="F4" s="5" t="s">
        <v>11</v>
      </c>
      <c r="G4" s="5" t="s">
        <v>16</v>
      </c>
      <c r="H4" s="5" t="s">
        <v>17</v>
      </c>
    </row>
    <row r="5" spans="1:8" ht="15" customHeight="1">
      <c r="A5" s="72">
        <v>1</v>
      </c>
      <c r="B5" s="73" t="s">
        <v>73</v>
      </c>
      <c r="C5" s="72" t="s">
        <v>248</v>
      </c>
      <c r="D5" s="80">
        <f>시작중량_설정!$E$9</f>
        <v>29.25</v>
      </c>
      <c r="E5" s="72">
        <v>5</v>
      </c>
      <c r="F5" s="64" t="s">
        <v>20</v>
      </c>
      <c r="G5" s="73" t="s">
        <v>653</v>
      </c>
      <c r="H5" s="73" t="s">
        <v>654</v>
      </c>
    </row>
    <row r="6" spans="1:8" ht="15" customHeight="1">
      <c r="A6" s="7">
        <v>2</v>
      </c>
      <c r="B6" s="58" t="s">
        <v>323</v>
      </c>
      <c r="C6" s="7" t="s">
        <v>248</v>
      </c>
      <c r="D6" s="8" t="s">
        <v>655</v>
      </c>
      <c r="E6" s="7">
        <v>3</v>
      </c>
      <c r="F6" s="8" t="s">
        <v>25</v>
      </c>
      <c r="G6" s="58" t="s">
        <v>656</v>
      </c>
      <c r="H6" s="58" t="s">
        <v>657</v>
      </c>
    </row>
    <row r="7" spans="1:8" ht="15" customHeight="1">
      <c r="A7" s="7">
        <v>3</v>
      </c>
      <c r="B7" s="58" t="s">
        <v>326</v>
      </c>
      <c r="C7" s="7" t="s">
        <v>257</v>
      </c>
      <c r="D7" s="8" t="s">
        <v>658</v>
      </c>
      <c r="E7" s="7">
        <v>3</v>
      </c>
      <c r="F7" s="8" t="s">
        <v>207</v>
      </c>
      <c r="G7" s="58" t="s">
        <v>659</v>
      </c>
      <c r="H7" s="58" t="s">
        <v>660</v>
      </c>
    </row>
    <row r="8" spans="1:8" ht="15" customHeight="1">
      <c r="A8" s="7">
        <v>4</v>
      </c>
      <c r="B8" s="58" t="s">
        <v>339</v>
      </c>
      <c r="C8" s="7" t="s">
        <v>222</v>
      </c>
      <c r="D8" s="8" t="s">
        <v>217</v>
      </c>
      <c r="E8" s="7">
        <v>3</v>
      </c>
      <c r="F8" s="8" t="s">
        <v>25</v>
      </c>
      <c r="G8" s="58" t="s">
        <v>661</v>
      </c>
      <c r="H8" s="58" t="s">
        <v>662</v>
      </c>
    </row>
    <row r="9" spans="1:8" ht="15" customHeight="1">
      <c r="A9" s="7">
        <v>5</v>
      </c>
      <c r="B9" s="58" t="s">
        <v>263</v>
      </c>
      <c r="C9" s="7" t="s">
        <v>264</v>
      </c>
      <c r="D9" s="8" t="s">
        <v>207</v>
      </c>
      <c r="E9" s="7">
        <v>4</v>
      </c>
      <c r="F9" s="8" t="s">
        <v>42</v>
      </c>
      <c r="G9" s="58" t="s">
        <v>663</v>
      </c>
      <c r="H9" s="58" t="s">
        <v>664</v>
      </c>
    </row>
    <row r="10" spans="1:8" ht="15" customHeight="1">
      <c r="A10" s="7">
        <v>6</v>
      </c>
      <c r="B10" s="58" t="s">
        <v>329</v>
      </c>
      <c r="C10" s="7" t="s">
        <v>268</v>
      </c>
      <c r="D10" s="8" t="s">
        <v>207</v>
      </c>
      <c r="E10" s="7">
        <v>4</v>
      </c>
      <c r="F10" s="8" t="s">
        <v>42</v>
      </c>
      <c r="G10" s="58" t="s">
        <v>665</v>
      </c>
      <c r="H10" s="58" t="s">
        <v>666</v>
      </c>
    </row>
    <row r="11" spans="1:8" ht="15" customHeight="1">
      <c r="D11" s="81" t="s">
        <v>59</v>
      </c>
      <c r="E11" s="28">
        <f>SUM(E5:E10)</f>
        <v>22</v>
      </c>
    </row>
    <row r="13" spans="1:8" ht="32.25" customHeight="1">
      <c r="A13" s="12" t="s">
        <v>667</v>
      </c>
    </row>
    <row r="14" spans="1:8" ht="278.25" customHeight="1">
      <c r="A14" s="11" t="s">
        <v>668</v>
      </c>
    </row>
    <row r="15" spans="1:8" ht="237.75" customHeight="1">
      <c r="A15" s="11" t="s">
        <v>669</v>
      </c>
    </row>
    <row r="16" spans="1:8" ht="237.75" customHeight="1">
      <c r="A16" s="11" t="s">
        <v>670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7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671</v>
      </c>
    </row>
    <row r="2" spans="1:8" ht="15" customHeight="1">
      <c r="A2" s="2" t="s">
        <v>672</v>
      </c>
    </row>
    <row r="4" spans="1:8" ht="15" customHeight="1">
      <c r="A4" s="6" t="s">
        <v>8</v>
      </c>
      <c r="B4" s="5" t="s">
        <v>9</v>
      </c>
      <c r="C4" s="5" t="s">
        <v>10</v>
      </c>
      <c r="D4" s="5" t="s">
        <v>3</v>
      </c>
      <c r="E4" s="5" t="s">
        <v>5</v>
      </c>
      <c r="F4" s="5" t="s">
        <v>11</v>
      </c>
      <c r="G4" s="5" t="s">
        <v>16</v>
      </c>
      <c r="H4" s="5" t="s">
        <v>17</v>
      </c>
    </row>
    <row r="5" spans="1:8" ht="29.25" customHeight="1">
      <c r="A5" s="72">
        <v>1</v>
      </c>
      <c r="B5" s="73" t="s">
        <v>69</v>
      </c>
      <c r="C5" s="72" t="s">
        <v>19</v>
      </c>
      <c r="D5" s="80">
        <f>시작중량_설정!$E$7</f>
        <v>52.5</v>
      </c>
      <c r="E5" s="72">
        <v>3</v>
      </c>
      <c r="F5" s="64">
        <v>5</v>
      </c>
      <c r="G5" s="73" t="s">
        <v>673</v>
      </c>
      <c r="H5" s="73" t="s">
        <v>674</v>
      </c>
    </row>
    <row r="6" spans="1:8" ht="29.25" customHeight="1">
      <c r="A6" s="72">
        <v>2</v>
      </c>
      <c r="B6" s="73" t="s">
        <v>24</v>
      </c>
      <c r="C6" s="72" t="s">
        <v>19</v>
      </c>
      <c r="D6" s="80" t="s">
        <v>47</v>
      </c>
      <c r="E6" s="72">
        <v>4</v>
      </c>
      <c r="F6" s="64" t="s">
        <v>25</v>
      </c>
      <c r="G6" s="73" t="s">
        <v>675</v>
      </c>
      <c r="H6" s="73" t="s">
        <v>676</v>
      </c>
    </row>
    <row r="7" spans="1:8" ht="15" customHeight="1">
      <c r="A7" s="7">
        <v>3</v>
      </c>
      <c r="B7" s="58" t="s">
        <v>367</v>
      </c>
      <c r="C7" s="7" t="s">
        <v>19</v>
      </c>
      <c r="D7" s="8" t="s">
        <v>47</v>
      </c>
      <c r="E7" s="7">
        <v>3</v>
      </c>
      <c r="F7" s="8" t="s">
        <v>37</v>
      </c>
      <c r="G7" s="58" t="s">
        <v>677</v>
      </c>
      <c r="H7" s="58" t="s">
        <v>678</v>
      </c>
    </row>
    <row r="8" spans="1:8" ht="15" customHeight="1">
      <c r="A8" s="7">
        <v>4</v>
      </c>
      <c r="B8" s="58" t="s">
        <v>35</v>
      </c>
      <c r="C8" s="7" t="s">
        <v>36</v>
      </c>
      <c r="D8" s="8" t="s">
        <v>47</v>
      </c>
      <c r="E8" s="7">
        <v>3</v>
      </c>
      <c r="F8" s="8" t="s">
        <v>37</v>
      </c>
      <c r="G8" s="58" t="s">
        <v>679</v>
      </c>
      <c r="H8" s="58" t="s">
        <v>680</v>
      </c>
    </row>
    <row r="9" spans="1:8" ht="15" customHeight="1">
      <c r="A9" s="7">
        <v>5</v>
      </c>
      <c r="B9" s="58" t="s">
        <v>363</v>
      </c>
      <c r="C9" s="7" t="s">
        <v>36</v>
      </c>
      <c r="D9" s="8" t="s">
        <v>47</v>
      </c>
      <c r="E9" s="7">
        <v>3</v>
      </c>
      <c r="F9" s="8">
        <v>10</v>
      </c>
      <c r="G9" s="58" t="s">
        <v>681</v>
      </c>
      <c r="H9" s="58" t="s">
        <v>682</v>
      </c>
    </row>
    <row r="10" spans="1:8" ht="15" customHeight="1">
      <c r="A10" s="7">
        <v>6</v>
      </c>
      <c r="B10" s="58" t="s">
        <v>372</v>
      </c>
      <c r="C10" s="7" t="s">
        <v>52</v>
      </c>
      <c r="D10" s="8" t="s">
        <v>47</v>
      </c>
      <c r="E10" s="7">
        <v>3</v>
      </c>
      <c r="F10" s="8" t="s">
        <v>42</v>
      </c>
      <c r="G10" s="58" t="s">
        <v>683</v>
      </c>
      <c r="H10" s="58" t="s">
        <v>684</v>
      </c>
    </row>
    <row r="11" spans="1:8" ht="15" customHeight="1">
      <c r="A11" s="7">
        <v>7</v>
      </c>
      <c r="B11" s="58" t="s">
        <v>685</v>
      </c>
      <c r="C11" s="7" t="s">
        <v>311</v>
      </c>
      <c r="D11" s="82">
        <f>시작중량_설정!$E$10</f>
        <v>23.75</v>
      </c>
      <c r="E11" s="7">
        <v>3</v>
      </c>
      <c r="F11" s="8">
        <v>5</v>
      </c>
      <c r="G11" s="58" t="s">
        <v>686</v>
      </c>
      <c r="H11" s="58" t="s">
        <v>687</v>
      </c>
    </row>
    <row r="12" spans="1:8" ht="15" customHeight="1">
      <c r="D12" s="81" t="s">
        <v>59</v>
      </c>
      <c r="E12" s="28">
        <f>SUM(E5:E11)</f>
        <v>22</v>
      </c>
    </row>
    <row r="14" spans="1:8" ht="76.5" customHeight="1">
      <c r="A14" s="12" t="s">
        <v>688</v>
      </c>
    </row>
    <row r="15" spans="1:8" ht="265.5" customHeight="1">
      <c r="A15" s="11" t="s">
        <v>689</v>
      </c>
    </row>
    <row r="16" spans="1:8" ht="293.25" customHeight="1">
      <c r="A16" s="11" t="s">
        <v>690</v>
      </c>
    </row>
    <row r="17" spans="1:1" ht="276" customHeight="1">
      <c r="A17" s="11" t="s">
        <v>691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3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692</v>
      </c>
    </row>
    <row r="2" spans="1:8" ht="15" customHeight="1">
      <c r="A2" s="2" t="s">
        <v>693</v>
      </c>
    </row>
    <row r="4" spans="1:8" ht="15" customHeight="1">
      <c r="A4" s="6" t="s">
        <v>8</v>
      </c>
      <c r="B4" s="5" t="s">
        <v>9</v>
      </c>
      <c r="C4" s="5" t="s">
        <v>10</v>
      </c>
      <c r="D4" s="5" t="s">
        <v>3</v>
      </c>
      <c r="E4" s="5" t="s">
        <v>5</v>
      </c>
      <c r="F4" s="5" t="s">
        <v>11</v>
      </c>
      <c r="G4" s="5" t="s">
        <v>16</v>
      </c>
      <c r="H4" s="5" t="s">
        <v>17</v>
      </c>
    </row>
    <row r="5" spans="1:8" ht="29.25" customHeight="1">
      <c r="A5" s="72">
        <v>1</v>
      </c>
      <c r="B5" s="73" t="s">
        <v>71</v>
      </c>
      <c r="C5" s="72" t="s">
        <v>234</v>
      </c>
      <c r="D5" s="83">
        <f>시작중량_설정!$E$8</f>
        <v>57.5</v>
      </c>
      <c r="E5" s="72">
        <v>1</v>
      </c>
      <c r="F5" s="64">
        <v>5</v>
      </c>
      <c r="G5" s="73" t="s">
        <v>694</v>
      </c>
      <c r="H5" s="73" t="s">
        <v>695</v>
      </c>
    </row>
    <row r="6" spans="1:8" ht="15" customHeight="1">
      <c r="A6" s="7">
        <v>2</v>
      </c>
      <c r="B6" s="58" t="s">
        <v>275</v>
      </c>
      <c r="C6" s="7" t="s">
        <v>199</v>
      </c>
      <c r="D6" s="8" t="s">
        <v>47</v>
      </c>
      <c r="E6" s="7">
        <v>3</v>
      </c>
      <c r="F6" s="8" t="s">
        <v>207</v>
      </c>
      <c r="G6" s="58" t="s">
        <v>696</v>
      </c>
      <c r="H6" s="58" t="s">
        <v>697</v>
      </c>
    </row>
    <row r="7" spans="1:8" ht="15" customHeight="1">
      <c r="A7" s="7">
        <v>3</v>
      </c>
      <c r="B7" s="58" t="s">
        <v>279</v>
      </c>
      <c r="C7" s="7" t="s">
        <v>199</v>
      </c>
      <c r="D7" s="7" t="s">
        <v>47</v>
      </c>
      <c r="E7" s="7">
        <v>3</v>
      </c>
      <c r="F7" s="8" t="s">
        <v>25</v>
      </c>
      <c r="G7" s="58" t="s">
        <v>698</v>
      </c>
      <c r="H7" s="58" t="s">
        <v>699</v>
      </c>
    </row>
    <row r="8" spans="1:8" ht="15" customHeight="1">
      <c r="A8" s="7">
        <v>4</v>
      </c>
      <c r="B8" s="58" t="s">
        <v>198</v>
      </c>
      <c r="C8" s="7" t="s">
        <v>199</v>
      </c>
      <c r="D8" s="7" t="s">
        <v>30</v>
      </c>
      <c r="E8" s="7">
        <v>3</v>
      </c>
      <c r="F8" s="8" t="s">
        <v>200</v>
      </c>
      <c r="G8" s="58" t="s">
        <v>700</v>
      </c>
      <c r="H8" s="58" t="s">
        <v>701</v>
      </c>
    </row>
    <row r="9" spans="1:8" ht="15" customHeight="1">
      <c r="A9" s="7">
        <v>5</v>
      </c>
      <c r="B9" s="58" t="s">
        <v>204</v>
      </c>
      <c r="C9" s="7" t="s">
        <v>199</v>
      </c>
      <c r="D9" s="8" t="s">
        <v>47</v>
      </c>
      <c r="E9" s="7">
        <v>3</v>
      </c>
      <c r="F9" s="8" t="s">
        <v>25</v>
      </c>
      <c r="G9" s="58" t="s">
        <v>702</v>
      </c>
      <c r="H9" s="58" t="s">
        <v>703</v>
      </c>
    </row>
    <row r="10" spans="1:8" ht="15" customHeight="1">
      <c r="A10" s="7">
        <v>6</v>
      </c>
      <c r="B10" s="58" t="s">
        <v>335</v>
      </c>
      <c r="C10" s="7" t="s">
        <v>320</v>
      </c>
      <c r="D10" s="8" t="s">
        <v>336</v>
      </c>
      <c r="E10" s="7">
        <v>3</v>
      </c>
      <c r="F10" s="8" t="s">
        <v>42</v>
      </c>
      <c r="G10" s="58" t="s">
        <v>704</v>
      </c>
      <c r="H10" s="58" t="s">
        <v>705</v>
      </c>
    </row>
    <row r="11" spans="1:8" ht="15" customHeight="1">
      <c r="A11" s="7">
        <v>7</v>
      </c>
      <c r="B11" s="58" t="s">
        <v>289</v>
      </c>
      <c r="C11" s="7" t="s">
        <v>201</v>
      </c>
      <c r="D11" s="8" t="s">
        <v>269</v>
      </c>
      <c r="E11" s="7">
        <v>3</v>
      </c>
      <c r="F11" s="8" t="s">
        <v>25</v>
      </c>
      <c r="G11" s="58" t="s">
        <v>706</v>
      </c>
      <c r="H11" s="58" t="s">
        <v>707</v>
      </c>
    </row>
    <row r="12" spans="1:8" ht="15" customHeight="1">
      <c r="A12" s="7">
        <v>8</v>
      </c>
      <c r="B12" s="58" t="s">
        <v>708</v>
      </c>
      <c r="C12" s="7" t="s">
        <v>56</v>
      </c>
      <c r="D12" s="7">
        <v>2.5</v>
      </c>
      <c r="E12" s="7">
        <v>3</v>
      </c>
      <c r="F12" s="7">
        <v>12</v>
      </c>
      <c r="G12" s="58" t="s">
        <v>709</v>
      </c>
      <c r="H12" s="58" t="s">
        <v>710</v>
      </c>
    </row>
    <row r="13" spans="1:8" ht="15" customHeight="1">
      <c r="D13" s="81" t="s">
        <v>59</v>
      </c>
      <c r="E13" s="28">
        <f>SUM(E5:E12)</f>
        <v>22</v>
      </c>
    </row>
    <row r="15" spans="1:8" ht="92.25" customHeight="1">
      <c r="A15" s="12" t="s">
        <v>711</v>
      </c>
    </row>
    <row r="16" spans="1:8" ht="233.25" customHeight="1">
      <c r="A16" s="11" t="s">
        <v>712</v>
      </c>
    </row>
    <row r="17" spans="1:1" ht="240" customHeight="1">
      <c r="A17" s="11" t="s">
        <v>713</v>
      </c>
    </row>
    <row r="18" spans="1:1" ht="278.25" customHeight="1">
      <c r="A18" s="11" t="s">
        <v>714</v>
      </c>
    </row>
    <row r="19" spans="1:1" ht="15" customHeight="1">
      <c r="A19" s="68"/>
    </row>
    <row r="20" spans="1:1" ht="95.25" customHeight="1">
      <c r="A20" s="12" t="s">
        <v>715</v>
      </c>
    </row>
    <row r="21" spans="1:1" ht="252.75" customHeight="1">
      <c r="A21" s="11" t="s">
        <v>716</v>
      </c>
    </row>
    <row r="22" spans="1:1" ht="237.75" customHeight="1">
      <c r="A22" s="11"/>
    </row>
    <row r="23" spans="1:1" ht="265.5" customHeight="1">
      <c r="A23" s="11" t="s">
        <v>717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25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718</v>
      </c>
    </row>
    <row r="2" spans="1:4" ht="15" customHeight="1">
      <c r="A2" s="2" t="s">
        <v>719</v>
      </c>
    </row>
    <row r="4" spans="1:4" ht="15" customHeight="1">
      <c r="A4" s="5" t="s">
        <v>720</v>
      </c>
      <c r="B4" s="5" t="s">
        <v>721</v>
      </c>
      <c r="C4" s="5" t="s">
        <v>722</v>
      </c>
      <c r="D4" s="5" t="s">
        <v>573</v>
      </c>
    </row>
    <row r="5" spans="1:4" ht="15" customHeight="1">
      <c r="A5" s="7" t="s">
        <v>585</v>
      </c>
      <c r="B5" s="7" t="s">
        <v>723</v>
      </c>
      <c r="C5" s="7" t="s">
        <v>724</v>
      </c>
      <c r="D5" s="74" t="s">
        <v>725</v>
      </c>
    </row>
    <row r="6" spans="1:4" ht="15" customHeight="1">
      <c r="A6" s="7" t="s">
        <v>726</v>
      </c>
      <c r="B6" s="8" t="s">
        <v>727</v>
      </c>
      <c r="C6" s="7" t="s">
        <v>728</v>
      </c>
      <c r="D6" s="58" t="s">
        <v>729</v>
      </c>
    </row>
    <row r="7" spans="1:4" ht="15" customHeight="1">
      <c r="A7" s="7" t="s">
        <v>730</v>
      </c>
      <c r="B7" s="7" t="s">
        <v>731</v>
      </c>
      <c r="C7" s="7" t="s">
        <v>732</v>
      </c>
      <c r="D7" s="58" t="s">
        <v>733</v>
      </c>
    </row>
    <row r="8" spans="1:4" ht="15" customHeight="1">
      <c r="A8" s="7" t="s">
        <v>734</v>
      </c>
      <c r="B8" s="7" t="s">
        <v>735</v>
      </c>
      <c r="C8" s="7" t="s">
        <v>736</v>
      </c>
      <c r="D8" s="58" t="s">
        <v>737</v>
      </c>
    </row>
    <row r="9" spans="1:4" ht="15" customHeight="1">
      <c r="A9" s="7" t="s">
        <v>738</v>
      </c>
      <c r="B9" s="8" t="s">
        <v>739</v>
      </c>
      <c r="C9" s="8" t="s">
        <v>740</v>
      </c>
      <c r="D9" s="58" t="s">
        <v>741</v>
      </c>
    </row>
    <row r="10" spans="1:4" ht="15" customHeight="1">
      <c r="A10" s="7" t="s">
        <v>71</v>
      </c>
      <c r="B10" s="8" t="s">
        <v>742</v>
      </c>
      <c r="C10" s="8" t="s">
        <v>743</v>
      </c>
      <c r="D10" s="58" t="s">
        <v>744</v>
      </c>
    </row>
    <row r="11" spans="1:4" ht="15" customHeight="1">
      <c r="A11" s="7" t="s">
        <v>69</v>
      </c>
      <c r="B11" s="8" t="s">
        <v>745</v>
      </c>
      <c r="C11" s="8" t="s">
        <v>746</v>
      </c>
      <c r="D11" s="58" t="s">
        <v>747</v>
      </c>
    </row>
    <row r="12" spans="1:4" ht="15" customHeight="1">
      <c r="A12" s="7" t="s">
        <v>748</v>
      </c>
      <c r="B12" s="8" t="s">
        <v>749</v>
      </c>
      <c r="C12" s="8" t="s">
        <v>750</v>
      </c>
      <c r="D12" s="58" t="s">
        <v>751</v>
      </c>
    </row>
    <row r="13" spans="1:4" ht="15" customHeight="1">
      <c r="A13" s="84" t="s">
        <v>752</v>
      </c>
      <c r="B13" s="85" t="s">
        <v>753</v>
      </c>
      <c r="C13" s="85" t="s">
        <v>754</v>
      </c>
      <c r="D13" s="84" t="s">
        <v>755</v>
      </c>
    </row>
    <row r="15" spans="1:4" ht="15" customHeight="1">
      <c r="A15" s="3" t="s">
        <v>591</v>
      </c>
    </row>
    <row r="16" spans="1:4" ht="39" customHeight="1">
      <c r="A16" s="11" t="s">
        <v>756</v>
      </c>
    </row>
    <row r="17" spans="1:1" ht="51.75" customHeight="1">
      <c r="A17" s="11" t="s">
        <v>757</v>
      </c>
    </row>
    <row r="18" spans="1:1" ht="39" customHeight="1">
      <c r="A18" s="11" t="s">
        <v>758</v>
      </c>
    </row>
    <row r="19" spans="1:1" ht="39" customHeight="1">
      <c r="A19" s="11" t="s">
        <v>759</v>
      </c>
    </row>
    <row r="20" spans="1:1" ht="15" customHeight="1">
      <c r="A20" s="68"/>
    </row>
    <row r="21" spans="1:1" ht="51.75" customHeight="1">
      <c r="A21" s="11" t="s">
        <v>760</v>
      </c>
    </row>
    <row r="22" spans="1:1" ht="39" customHeight="1">
      <c r="A22" s="11" t="s">
        <v>761</v>
      </c>
    </row>
    <row r="23" spans="1:1" ht="15" customHeight="1">
      <c r="A23" s="68"/>
    </row>
    <row r="24" spans="1:1" ht="51.75" customHeight="1">
      <c r="A24" s="11" t="s">
        <v>762</v>
      </c>
    </row>
    <row r="25" spans="1:1" ht="39" customHeight="1">
      <c r="A25" s="11" t="s">
        <v>763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시작중량_설정</vt:lpstr>
      <vt:lpstr>주간계획</vt:lpstr>
      <vt:lpstr>D1_당기기A</vt:lpstr>
      <vt:lpstr>D2_밀기A</vt:lpstr>
      <vt:lpstr>D3_하체A</vt:lpstr>
      <vt:lpstr>D5_당기기B</vt:lpstr>
      <vt:lpstr>D6_밀기B</vt:lpstr>
      <vt:lpstr>D7_하체B</vt:lpstr>
      <vt:lpstr>D8_어깨</vt:lpstr>
      <vt:lpstr>간접계수맵</vt:lpstr>
      <vt:lpstr>세트검산</vt:lpstr>
      <vt:lpstr>증량기록</vt:lpstr>
      <vt:lpstr>9월이후조정</vt:lpstr>
      <vt:lpstr>복귀_주간계획</vt:lpstr>
      <vt:lpstr>복귀_화_상체밀기</vt:lpstr>
      <vt:lpstr>복귀_토_하체</vt:lpstr>
      <vt:lpstr>복귀_일_등</vt:lpstr>
      <vt:lpstr>복귀_증량원칙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2026-08-28T01:27:01Z</dcterms:modified>
  <dc:language>en-US</dc:language>
</cp:coreProperties>
</file>