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834" documentId="11_6AF0B42629B6F5CFF7DAC05DB27E968F34409905" xr6:coauthVersionLast="47" xr6:coauthVersionMax="47" xr10:uidLastSave="{EEC8A2E7-9370-47C4-8D02-083DD76D1E8D}"/>
  <bookViews>
    <workbookView xWindow="-120" yWindow="-120" windowWidth="38640" windowHeight="21120" tabRatio="976" firstSheet="7"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6" l="1"/>
  <c r="E47" i="23"/>
  <c r="F47" i="23" s="1"/>
  <c r="E19" i="23"/>
  <c r="F19" i="23" s="1"/>
  <c r="I16" i="17"/>
  <c r="E22" i="1"/>
  <c r="D12" i="21" s="1"/>
  <c r="AJ29" i="13"/>
  <c r="AJ30" i="13" s="1"/>
  <c r="AJ31" i="13" s="1"/>
  <c r="AJ32" i="13" s="1"/>
  <c r="AJ33" i="13" s="1"/>
  <c r="AJ34" i="13" s="1"/>
  <c r="AJ35" i="13" s="1"/>
  <c r="AJ36" i="13" s="1"/>
  <c r="AJ37" i="13" s="1"/>
  <c r="AJ38" i="13" s="1"/>
  <c r="AJ39" i="13" s="1"/>
  <c r="AJ40" i="13" s="1"/>
  <c r="AJ41" i="13" s="1"/>
  <c r="AJ42" i="13" s="1"/>
  <c r="AJ43" i="13" s="1"/>
  <c r="AJ44" i="13" s="1"/>
  <c r="AJ45" i="13" s="1"/>
  <c r="AJ46" i="13" s="1"/>
  <c r="AJ47" i="13" s="1"/>
  <c r="AJ48" i="13" s="1"/>
  <c r="AJ49" i="13" s="1"/>
  <c r="AJ50" i="13" s="1"/>
  <c r="AJ51" i="13" s="1"/>
  <c r="E21" i="1"/>
  <c r="D19" i="19" s="1"/>
  <c r="AH29" i="13"/>
  <c r="AH30" i="13" s="1"/>
  <c r="AH31" i="13" s="1"/>
  <c r="AH32" i="13" s="1"/>
  <c r="AH33" i="13" s="1"/>
  <c r="AH34" i="13" s="1"/>
  <c r="AH35" i="13" s="1"/>
  <c r="AH36" i="13" s="1"/>
  <c r="AH37" i="13" s="1"/>
  <c r="AH38" i="13" s="1"/>
  <c r="AH39" i="13" s="1"/>
  <c r="AH40" i="13" s="1"/>
  <c r="AH41" i="13" s="1"/>
  <c r="AH42" i="13" s="1"/>
  <c r="AH43" i="13" s="1"/>
  <c r="AH44" i="13" s="1"/>
  <c r="AH45" i="13" s="1"/>
  <c r="AH46" i="13" s="1"/>
  <c r="AH47" i="13" s="1"/>
  <c r="AH48" i="13" s="1"/>
  <c r="AH49" i="13" s="1"/>
  <c r="AH50" i="13" s="1"/>
  <c r="AH51" i="13" s="1"/>
  <c r="E20" i="1"/>
  <c r="D16" i="19" s="1"/>
  <c r="AF29" i="13"/>
  <c r="AF30" i="13" s="1"/>
  <c r="AF31" i="13" s="1"/>
  <c r="AF32" i="13" s="1"/>
  <c r="AF33" i="13" s="1"/>
  <c r="AF34" i="13" s="1"/>
  <c r="AF35" i="13" s="1"/>
  <c r="AF36" i="13" s="1"/>
  <c r="AF37" i="13" s="1"/>
  <c r="AF38" i="13" s="1"/>
  <c r="AF39" i="13" s="1"/>
  <c r="AF40" i="13" s="1"/>
  <c r="AF41" i="13" s="1"/>
  <c r="AF42" i="13" s="1"/>
  <c r="AF43" i="13" s="1"/>
  <c r="AF44" i="13" s="1"/>
  <c r="AF45" i="13" s="1"/>
  <c r="AF46" i="13" s="1"/>
  <c r="AF47" i="13" s="1"/>
  <c r="AF48" i="13" s="1"/>
  <c r="AF49" i="13" s="1"/>
  <c r="AF50" i="13" s="1"/>
  <c r="AF51" i="13" s="1"/>
  <c r="E19" i="1"/>
  <c r="AD29" i="13"/>
  <c r="AD30" i="13" s="1"/>
  <c r="AD31" i="13" s="1"/>
  <c r="AD32" i="13" s="1"/>
  <c r="AD33" i="13" s="1"/>
  <c r="AD34" i="13" s="1"/>
  <c r="AD35" i="13" s="1"/>
  <c r="AD36" i="13" s="1"/>
  <c r="AD37" i="13" s="1"/>
  <c r="AD38" i="13" s="1"/>
  <c r="AD39" i="13" s="1"/>
  <c r="AD40" i="13" s="1"/>
  <c r="AD41" i="13" s="1"/>
  <c r="AD42" i="13" s="1"/>
  <c r="AD43" i="13" s="1"/>
  <c r="AD44" i="13" s="1"/>
  <c r="AD45" i="13" s="1"/>
  <c r="AD46" i="13" s="1"/>
  <c r="AD47" i="13" s="1"/>
  <c r="AD48" i="13" s="1"/>
  <c r="AD49" i="13" s="1"/>
  <c r="AD50" i="13" s="1"/>
  <c r="AD51" i="13" s="1"/>
  <c r="E18" i="1"/>
  <c r="D15" i="17" s="1"/>
  <c r="AB29" i="13"/>
  <c r="AB30" i="13" s="1"/>
  <c r="AB31" i="13" s="1"/>
  <c r="AB32" i="13" s="1"/>
  <c r="AB33" i="13" s="1"/>
  <c r="AB34" i="13" s="1"/>
  <c r="AB35" i="13" s="1"/>
  <c r="AB36" i="13" s="1"/>
  <c r="AB37" i="13" s="1"/>
  <c r="AB38" i="13" s="1"/>
  <c r="AB39" i="13" s="1"/>
  <c r="AB40" i="13" s="1"/>
  <c r="AB41" i="13" s="1"/>
  <c r="AB42" i="13" s="1"/>
  <c r="AB43" i="13" s="1"/>
  <c r="AB44" i="13" s="1"/>
  <c r="AB45" i="13" s="1"/>
  <c r="AB46" i="13" s="1"/>
  <c r="AB47" i="13" s="1"/>
  <c r="AB48" i="13" s="1"/>
  <c r="AB49" i="13" s="1"/>
  <c r="AB50" i="13" s="1"/>
  <c r="AB51" i="13" s="1"/>
  <c r="E17" i="1"/>
  <c r="D18" i="21" s="1"/>
  <c r="Z29" i="13"/>
  <c r="Z30" i="13" s="1"/>
  <c r="Z31" i="13" s="1"/>
  <c r="Z32" i="13" s="1"/>
  <c r="Z33" i="13" s="1"/>
  <c r="Z34" i="13" s="1"/>
  <c r="Z35" i="13" s="1"/>
  <c r="Z36" i="13" s="1"/>
  <c r="Z37" i="13" s="1"/>
  <c r="Z38" i="13" s="1"/>
  <c r="Z39" i="13" s="1"/>
  <c r="Z40" i="13" s="1"/>
  <c r="Z41" i="13" s="1"/>
  <c r="Z42" i="13" s="1"/>
  <c r="Z43" i="13" s="1"/>
  <c r="Z44" i="13" s="1"/>
  <c r="Z45" i="13" s="1"/>
  <c r="Z46" i="13" s="1"/>
  <c r="Z47" i="13" s="1"/>
  <c r="Z48" i="13" s="1"/>
  <c r="Z49" i="13" s="1"/>
  <c r="Z50" i="13" s="1"/>
  <c r="Z51" i="13" s="1"/>
  <c r="E16" i="1"/>
  <c r="D11" i="19" s="1"/>
  <c r="X29" i="13"/>
  <c r="X30" i="13" s="1"/>
  <c r="X31" i="13" s="1"/>
  <c r="X32" i="13" s="1"/>
  <c r="X33" i="13" s="1"/>
  <c r="X34" i="13" s="1"/>
  <c r="X35" i="13" s="1"/>
  <c r="X36" i="13" s="1"/>
  <c r="X37" i="13" s="1"/>
  <c r="X38" i="13" s="1"/>
  <c r="X39" i="13" s="1"/>
  <c r="X40" i="13" s="1"/>
  <c r="X41" i="13" s="1"/>
  <c r="X42" i="13" s="1"/>
  <c r="X43" i="13" s="1"/>
  <c r="X44" i="13" s="1"/>
  <c r="X45" i="13" s="1"/>
  <c r="X46" i="13" s="1"/>
  <c r="X47" i="13" s="1"/>
  <c r="X48" i="13" s="1"/>
  <c r="X49" i="13" s="1"/>
  <c r="X50" i="13" s="1"/>
  <c r="X51" i="13" s="1"/>
  <c r="E15" i="1"/>
  <c r="D30" i="20" s="1"/>
  <c r="V29" i="13"/>
  <c r="V30" i="13" s="1"/>
  <c r="V31" i="13" s="1"/>
  <c r="V32" i="13" s="1"/>
  <c r="V33" i="13" s="1"/>
  <c r="V34" i="13" s="1"/>
  <c r="V35" i="13" s="1"/>
  <c r="V36" i="13" s="1"/>
  <c r="V37" i="13" s="1"/>
  <c r="V38" i="13" s="1"/>
  <c r="V39" i="13" s="1"/>
  <c r="V40" i="13" s="1"/>
  <c r="V41" i="13" s="1"/>
  <c r="V42" i="13" s="1"/>
  <c r="V43" i="13" s="1"/>
  <c r="V44" i="13" s="1"/>
  <c r="V45" i="13" s="1"/>
  <c r="V46" i="13" s="1"/>
  <c r="V47" i="13" s="1"/>
  <c r="V48" i="13" s="1"/>
  <c r="V49" i="13" s="1"/>
  <c r="V50" i="13" s="1"/>
  <c r="V51" i="13" s="1"/>
  <c r="E14" i="1"/>
  <c r="D31" i="20" s="1"/>
  <c r="T29" i="13"/>
  <c r="T30" i="13" s="1"/>
  <c r="T31" i="13" s="1"/>
  <c r="T32" i="13" s="1"/>
  <c r="T33" i="13" s="1"/>
  <c r="T34" i="13" s="1"/>
  <c r="T35" i="13" s="1"/>
  <c r="T36" i="13" s="1"/>
  <c r="T37" i="13" s="1"/>
  <c r="T38" i="13" s="1"/>
  <c r="T39" i="13" s="1"/>
  <c r="T40" i="13" s="1"/>
  <c r="T41" i="13" s="1"/>
  <c r="T42" i="13" s="1"/>
  <c r="T43" i="13" s="1"/>
  <c r="T44" i="13" s="1"/>
  <c r="T45" i="13" s="1"/>
  <c r="T46" i="13" s="1"/>
  <c r="T47" i="13" s="1"/>
  <c r="T48" i="13" s="1"/>
  <c r="T49" i="13" s="1"/>
  <c r="T50" i="13" s="1"/>
  <c r="T51" i="13" s="1"/>
  <c r="E13" i="1"/>
  <c r="D21" i="16" s="1"/>
  <c r="R29" i="13"/>
  <c r="R30" i="13" s="1"/>
  <c r="R31" i="13" s="1"/>
  <c r="R32" i="13" s="1"/>
  <c r="R33" i="13" s="1"/>
  <c r="R34" i="13" s="1"/>
  <c r="R35" i="13" s="1"/>
  <c r="R36" i="13" s="1"/>
  <c r="R37" i="13" s="1"/>
  <c r="R38" i="13" s="1"/>
  <c r="R39" i="13" s="1"/>
  <c r="R40" i="13" s="1"/>
  <c r="R41" i="13" s="1"/>
  <c r="R42" i="13" s="1"/>
  <c r="R43" i="13" s="1"/>
  <c r="R44" i="13" s="1"/>
  <c r="R45" i="13" s="1"/>
  <c r="R46" i="13" s="1"/>
  <c r="R47" i="13" s="1"/>
  <c r="R48" i="13" s="1"/>
  <c r="R49" i="13" s="1"/>
  <c r="R50" i="13" s="1"/>
  <c r="R51" i="13" s="1"/>
  <c r="E12" i="1"/>
  <c r="D19" i="18" s="1"/>
  <c r="E11" i="1"/>
  <c r="D11" i="17" s="1"/>
  <c r="P29" i="13"/>
  <c r="P30" i="13" s="1"/>
  <c r="P31" i="13" s="1"/>
  <c r="P32" i="13" s="1"/>
  <c r="P33" i="13" s="1"/>
  <c r="P34" i="13" s="1"/>
  <c r="P35" i="13" s="1"/>
  <c r="P36" i="13" s="1"/>
  <c r="P37" i="13" s="1"/>
  <c r="P38" i="13" s="1"/>
  <c r="P39" i="13" s="1"/>
  <c r="P40" i="13" s="1"/>
  <c r="P41" i="13" s="1"/>
  <c r="P42" i="13" s="1"/>
  <c r="P43" i="13" s="1"/>
  <c r="P44" i="13" s="1"/>
  <c r="P45" i="13" s="1"/>
  <c r="P46" i="13" s="1"/>
  <c r="P47" i="13" s="1"/>
  <c r="P48" i="13" s="1"/>
  <c r="P49" i="13" s="1"/>
  <c r="P50" i="13" s="1"/>
  <c r="P51" i="13" s="1"/>
  <c r="N29" i="13"/>
  <c r="N30" i="13" s="1"/>
  <c r="N31" i="13" s="1"/>
  <c r="N32" i="13" s="1"/>
  <c r="N33" i="13" s="1"/>
  <c r="N34" i="13" s="1"/>
  <c r="N35" i="13" s="1"/>
  <c r="N36" i="13" s="1"/>
  <c r="N37" i="13" s="1"/>
  <c r="N38" i="13" s="1"/>
  <c r="N39" i="13" s="1"/>
  <c r="N40" i="13" s="1"/>
  <c r="N41" i="13" s="1"/>
  <c r="N42" i="13" s="1"/>
  <c r="N43" i="13" s="1"/>
  <c r="N44" i="13" s="1"/>
  <c r="N45" i="13" s="1"/>
  <c r="N46" i="13" s="1"/>
  <c r="N47" i="13" s="1"/>
  <c r="N48" i="13" s="1"/>
  <c r="N49" i="13" s="1"/>
  <c r="N50" i="13" s="1"/>
  <c r="N51" i="13" s="1"/>
  <c r="C15" i="24"/>
  <c r="B15" i="24"/>
  <c r="I37" i="20"/>
  <c r="I26" i="18"/>
  <c r="I26" i="16"/>
  <c r="E83" i="23"/>
  <c r="F83" i="23" s="1"/>
  <c r="E82" i="23"/>
  <c r="F82" i="23" s="1"/>
  <c r="E81" i="23"/>
  <c r="F81" i="23" s="1"/>
  <c r="I8" i="24"/>
  <c r="E29" i="18"/>
  <c r="E8" i="15" s="1"/>
  <c r="I28" i="18"/>
  <c r="I27" i="18"/>
  <c r="I15" i="19"/>
  <c r="E24" i="19"/>
  <c r="E9" i="15" s="1"/>
  <c r="I14" i="19"/>
  <c r="I13" i="19"/>
  <c r="I12" i="19"/>
  <c r="I11" i="19"/>
  <c r="E21" i="23"/>
  <c r="F21" i="23" s="1"/>
  <c r="I18" i="19"/>
  <c r="E34" i="23"/>
  <c r="F34" i="23" s="1"/>
  <c r="I35" i="20"/>
  <c r="I23" i="16"/>
  <c r="D35" i="25"/>
  <c r="D34" i="25"/>
  <c r="D33" i="25"/>
  <c r="D32" i="25"/>
  <c r="D31" i="25"/>
  <c r="D30" i="25"/>
  <c r="D29" i="25"/>
  <c r="D28" i="25"/>
  <c r="D27" i="25"/>
  <c r="D26" i="25"/>
  <c r="D25" i="25"/>
  <c r="D24" i="25"/>
  <c r="D23" i="25"/>
  <c r="D22" i="25"/>
  <c r="D21" i="25"/>
  <c r="D20" i="25"/>
  <c r="D19" i="25"/>
  <c r="D18" i="25"/>
  <c r="E31" i="23"/>
  <c r="F31" i="23" s="1"/>
  <c r="E30" i="23"/>
  <c r="F30" i="23" s="1"/>
  <c r="E45" i="23"/>
  <c r="F45" i="23" s="1"/>
  <c r="I17" i="21"/>
  <c r="E53" i="23"/>
  <c r="F53" i="23" s="1"/>
  <c r="E16" i="23"/>
  <c r="F16" i="23" s="1"/>
  <c r="I13" i="17"/>
  <c r="E51" i="23"/>
  <c r="F51" i="23" s="1"/>
  <c r="I25" i="18"/>
  <c r="I24" i="18"/>
  <c r="I23" i="18"/>
  <c r="B26" i="24"/>
  <c r="B25" i="24"/>
  <c r="B24" i="24"/>
  <c r="B23" i="24"/>
  <c r="B22" i="24"/>
  <c r="B21" i="24"/>
  <c r="B20" i="24"/>
  <c r="C19" i="24"/>
  <c r="B19" i="24"/>
  <c r="B18" i="24"/>
  <c r="B17" i="24"/>
  <c r="B16" i="24"/>
  <c r="B14" i="24"/>
  <c r="B13" i="24"/>
  <c r="B12" i="24"/>
  <c r="B11" i="24"/>
  <c r="B10" i="24"/>
  <c r="B9" i="24"/>
  <c r="B8" i="24"/>
  <c r="B7" i="24"/>
  <c r="B6" i="24"/>
  <c r="B5" i="24"/>
  <c r="E80" i="23"/>
  <c r="F80" i="23" s="1"/>
  <c r="C26" i="24" s="1"/>
  <c r="E79" i="23"/>
  <c r="F79" i="23" s="1"/>
  <c r="C20" i="24" s="1"/>
  <c r="E78" i="23"/>
  <c r="F78" i="23" s="1"/>
  <c r="C24" i="24" s="1"/>
  <c r="E77" i="23"/>
  <c r="F77" i="23" s="1"/>
  <c r="E76" i="23"/>
  <c r="F76" i="23"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2" i="23"/>
  <c r="F52" i="23" s="1"/>
  <c r="E50" i="23"/>
  <c r="F50" i="23" s="1"/>
  <c r="E49" i="23"/>
  <c r="F49" i="23" s="1"/>
  <c r="E48" i="23"/>
  <c r="F48" i="23" s="1"/>
  <c r="E46" i="23"/>
  <c r="F46" i="23" s="1"/>
  <c r="E44" i="23"/>
  <c r="F44" i="23" s="1"/>
  <c r="E43" i="23"/>
  <c r="F43" i="23" s="1"/>
  <c r="E42" i="23"/>
  <c r="F42" i="23" s="1"/>
  <c r="E41" i="23"/>
  <c r="F41" i="23" s="1"/>
  <c r="E40" i="23"/>
  <c r="F40" i="23" s="1"/>
  <c r="E39" i="23"/>
  <c r="F39" i="23" s="1"/>
  <c r="E38" i="23"/>
  <c r="F38" i="23" s="1"/>
  <c r="E37" i="23"/>
  <c r="F37" i="23" s="1"/>
  <c r="E36" i="23"/>
  <c r="F36" i="23" s="1"/>
  <c r="E35" i="23"/>
  <c r="F35" i="23" s="1"/>
  <c r="C16" i="24" s="1"/>
  <c r="E33" i="23"/>
  <c r="F33" i="23" s="1"/>
  <c r="E32" i="23"/>
  <c r="F32" i="23" s="1"/>
  <c r="E29" i="23"/>
  <c r="F29" i="23" s="1"/>
  <c r="E28" i="23"/>
  <c r="F28" i="23" s="1"/>
  <c r="E27" i="23"/>
  <c r="F27" i="23" s="1"/>
  <c r="E26" i="23"/>
  <c r="F26" i="23" s="1"/>
  <c r="E25" i="23"/>
  <c r="F25" i="23" s="1"/>
  <c r="E24" i="23"/>
  <c r="F24" i="23" s="1"/>
  <c r="E23" i="23"/>
  <c r="F23" i="23" s="1"/>
  <c r="E22" i="23"/>
  <c r="F22" i="23" s="1"/>
  <c r="E20" i="23"/>
  <c r="F20"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9" i="20"/>
  <c r="E10" i="15" s="1"/>
  <c r="I38" i="20"/>
  <c r="I36" i="20"/>
  <c r="I34" i="20"/>
  <c r="I33" i="20"/>
  <c r="I32" i="20"/>
  <c r="I31" i="20"/>
  <c r="I30" i="20"/>
  <c r="I29" i="20"/>
  <c r="I28" i="20"/>
  <c r="I23" i="19"/>
  <c r="I22" i="19"/>
  <c r="I21" i="19"/>
  <c r="I20" i="19"/>
  <c r="I19" i="19"/>
  <c r="I17" i="19"/>
  <c r="I16" i="19"/>
  <c r="I22" i="18"/>
  <c r="I21" i="18"/>
  <c r="I20" i="18"/>
  <c r="I19" i="18"/>
  <c r="I18" i="18"/>
  <c r="E23" i="17"/>
  <c r="E7" i="15" s="1"/>
  <c r="I22" i="17"/>
  <c r="I21" i="17"/>
  <c r="I20" i="17"/>
  <c r="I19" i="17"/>
  <c r="I18" i="17"/>
  <c r="I17" i="17"/>
  <c r="I15" i="17"/>
  <c r="I14" i="17"/>
  <c r="I12" i="17"/>
  <c r="I11" i="17"/>
  <c r="E6" i="15"/>
  <c r="I30" i="16"/>
  <c r="I29" i="16"/>
  <c r="I28" i="16"/>
  <c r="I27" i="16"/>
  <c r="I25" i="16"/>
  <c r="I24" i="16"/>
  <c r="I22" i="16"/>
  <c r="I21" i="16"/>
  <c r="I20" i="16"/>
  <c r="I22" i="13"/>
  <c r="I23" i="13" s="1"/>
  <c r="I24" i="13" s="1"/>
  <c r="I25" i="13" s="1"/>
  <c r="I26" i="13" s="1"/>
  <c r="I27" i="13" s="1"/>
  <c r="I28" i="13" s="1"/>
  <c r="I29" i="13" s="1"/>
  <c r="I30" i="13" s="1"/>
  <c r="I31" i="13" s="1"/>
  <c r="I32" i="13" s="1"/>
  <c r="I33" i="13" s="1"/>
  <c r="I34" i="13" s="1"/>
  <c r="I35" i="13" s="1"/>
  <c r="I36" i="13" s="1"/>
  <c r="I37" i="13" s="1"/>
  <c r="I38" i="13" s="1"/>
  <c r="I39" i="13" s="1"/>
  <c r="I40" i="13" s="1"/>
  <c r="I41" i="13" s="1"/>
  <c r="I42" i="13" s="1"/>
  <c r="I43" i="13" s="1"/>
  <c r="I44" i="13" s="1"/>
  <c r="I45" i="13" s="1"/>
  <c r="I46" i="13" s="1"/>
  <c r="I47" i="13" s="1"/>
  <c r="I48" i="13" s="1"/>
  <c r="I49" i="13" s="1"/>
  <c r="I50" i="13" s="1"/>
  <c r="I51" i="13" s="1"/>
  <c r="G22" i="13"/>
  <c r="G23" i="13" s="1"/>
  <c r="G24" i="13" s="1"/>
  <c r="G25" i="13" s="1"/>
  <c r="G26" i="13" s="1"/>
  <c r="G27" i="13" s="1"/>
  <c r="G28" i="13" s="1"/>
  <c r="G29" i="13" s="1"/>
  <c r="G30" i="13" s="1"/>
  <c r="G31" i="13" s="1"/>
  <c r="G32" i="13" s="1"/>
  <c r="G33" i="13" s="1"/>
  <c r="G34" i="13" s="1"/>
  <c r="G35" i="13" s="1"/>
  <c r="G36" i="13" s="1"/>
  <c r="G37" i="13" s="1"/>
  <c r="G38" i="13" s="1"/>
  <c r="G39" i="13" s="1"/>
  <c r="G40" i="13" s="1"/>
  <c r="G41" i="13" s="1"/>
  <c r="G42" i="13" s="1"/>
  <c r="G43" i="13" s="1"/>
  <c r="G44" i="13" s="1"/>
  <c r="G45" i="13" s="1"/>
  <c r="G46" i="13" s="1"/>
  <c r="G47" i="13" s="1"/>
  <c r="G48" i="13" s="1"/>
  <c r="G49" i="13" s="1"/>
  <c r="G50" i="13" s="1"/>
  <c r="G51" i="13" s="1"/>
  <c r="E22" i="13"/>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C22" i="13"/>
  <c r="C23" i="13" s="1"/>
  <c r="C24" i="13" s="1"/>
  <c r="C25" i="13" s="1"/>
  <c r="C26" i="13" s="1"/>
  <c r="C27" i="13" s="1"/>
  <c r="C28" i="13" s="1"/>
  <c r="C29" i="13" s="1"/>
  <c r="C30" i="13" s="1"/>
  <c r="C31" i="13" s="1"/>
  <c r="C32" i="13" s="1"/>
  <c r="C33" i="13" s="1"/>
  <c r="C34" i="13" s="1"/>
  <c r="C35" i="13" s="1"/>
  <c r="C36" i="13" s="1"/>
  <c r="C37" i="13" s="1"/>
  <c r="C38" i="13" s="1"/>
  <c r="C39" i="13" s="1"/>
  <c r="C40" i="13" s="1"/>
  <c r="C41" i="13" s="1"/>
  <c r="C42" i="13" s="1"/>
  <c r="C43" i="13" s="1"/>
  <c r="C44" i="13" s="1"/>
  <c r="C45" i="13" s="1"/>
  <c r="C46" i="13" s="1"/>
  <c r="C47" i="13" s="1"/>
  <c r="C48" i="13" s="1"/>
  <c r="C49" i="13" s="1"/>
  <c r="C50" i="13" s="1"/>
  <c r="C5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E13" i="2" s="1"/>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E10" i="2" s="1"/>
  <c r="I15" i="7"/>
  <c r="I14" i="7"/>
  <c r="I13" i="7"/>
  <c r="I12" i="7"/>
  <c r="I11" i="7"/>
  <c r="I10" i="7"/>
  <c r="I9" i="7"/>
  <c r="I8" i="7"/>
  <c r="I7" i="7"/>
  <c r="I6" i="7"/>
  <c r="I16" i="7" s="1"/>
  <c r="F10" i="2" s="1"/>
  <c r="E17" i="6"/>
  <c r="E8" i="2" s="1"/>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5" i="2"/>
  <c r="C10" i="1"/>
  <c r="C9" i="1"/>
  <c r="C8" i="1"/>
  <c r="C7" i="1"/>
  <c r="I31" i="16" l="1"/>
  <c r="D15" i="24"/>
  <c r="E15" i="24" s="1"/>
  <c r="E55" i="1"/>
  <c r="D55" i="1"/>
  <c r="I29" i="18"/>
  <c r="C55" i="1"/>
  <c r="B55" i="1"/>
  <c r="I24" i="19"/>
  <c r="I26" i="4"/>
  <c r="C10" i="24"/>
  <c r="D10" i="24" s="1"/>
  <c r="E10" i="24" s="1"/>
  <c r="C8" i="12"/>
  <c r="D8" i="12" s="1"/>
  <c r="J8" i="12" s="1"/>
  <c r="E8" i="12" s="1"/>
  <c r="C16" i="12"/>
  <c r="D16" i="12" s="1"/>
  <c r="J16" i="12" s="1"/>
  <c r="E16" i="12" s="1"/>
  <c r="C14" i="24"/>
  <c r="D14" i="24" s="1"/>
  <c r="E14" i="24" s="1"/>
  <c r="C23" i="24"/>
  <c r="D23" i="24" s="1"/>
  <c r="E23" i="24" s="1"/>
  <c r="C25" i="24"/>
  <c r="D25" i="24" s="1"/>
  <c r="E25" i="24" s="1"/>
  <c r="I39" i="20"/>
  <c r="C9" i="24"/>
  <c r="D9" i="24" s="1"/>
  <c r="E9" i="24" s="1"/>
  <c r="I23" i="9"/>
  <c r="C14" i="12"/>
  <c r="D14" i="12" s="1"/>
  <c r="J14" i="12" s="1"/>
  <c r="E14" i="12" s="1"/>
  <c r="C24" i="12"/>
  <c r="D24" i="12" s="1"/>
  <c r="J24" i="12" s="1"/>
  <c r="E24" i="12" s="1"/>
  <c r="C7" i="24"/>
  <c r="D7" i="24" s="1"/>
  <c r="C18" i="24"/>
  <c r="D18" i="24" s="1"/>
  <c r="E18" i="24" s="1"/>
  <c r="C7" i="12"/>
  <c r="D7" i="12" s="1"/>
  <c r="C17" i="12"/>
  <c r="D17" i="12" s="1"/>
  <c r="I17" i="6"/>
  <c r="F8" i="2" s="1"/>
  <c r="C13" i="24"/>
  <c r="D13" i="24" s="1"/>
  <c r="E13" i="24" s="1"/>
  <c r="C6" i="24"/>
  <c r="D6" i="24" s="1"/>
  <c r="E6" i="24" s="1"/>
  <c r="C22" i="12"/>
  <c r="D22" i="12" s="1"/>
  <c r="J22" i="12" s="1"/>
  <c r="E22" i="12" s="1"/>
  <c r="C10" i="12"/>
  <c r="D10" i="12" s="1"/>
  <c r="J10" i="12" s="1"/>
  <c r="E10" i="12" s="1"/>
  <c r="D19" i="24"/>
  <c r="E19" i="24" s="1"/>
  <c r="C21" i="12"/>
  <c r="D21" i="12" s="1"/>
  <c r="J21" i="12" s="1"/>
  <c r="E21" i="12" s="1"/>
  <c r="C5" i="24"/>
  <c r="D5" i="24" s="1"/>
  <c r="C11" i="24"/>
  <c r="D11" i="24" s="1"/>
  <c r="E11" i="24" s="1"/>
  <c r="C11" i="12"/>
  <c r="D11" i="12" s="1"/>
  <c r="J11" i="12" s="1"/>
  <c r="E11" i="12" s="1"/>
  <c r="I25" i="21"/>
  <c r="I23" i="17"/>
  <c r="I16" i="10"/>
  <c r="F13" i="2" s="1"/>
  <c r="I30" i="8"/>
  <c r="I17" i="3"/>
  <c r="F5" i="2" s="1"/>
  <c r="I22" i="5"/>
  <c r="C12" i="24"/>
  <c r="D12" i="24" s="1"/>
  <c r="E12" i="24" s="1"/>
  <c r="C12" i="12"/>
  <c r="D12" i="12" s="1"/>
  <c r="J12" i="12" s="1"/>
  <c r="E12" i="12" s="1"/>
  <c r="B27" i="24"/>
  <c r="F7" i="23"/>
  <c r="C22" i="24" s="1"/>
  <c r="D22" i="24" s="1"/>
  <c r="E22" i="24" s="1"/>
  <c r="F3" i="23"/>
  <c r="E56" i="1"/>
  <c r="D56"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6" i="24"/>
  <c r="E26" i="24" s="1"/>
  <c r="D24" i="24"/>
  <c r="E24" i="24" s="1"/>
  <c r="D20" i="24"/>
  <c r="E20" i="24" s="1"/>
  <c r="D16" i="24"/>
  <c r="C17" i="24"/>
  <c r="D17" i="24" s="1"/>
  <c r="E17" i="24" s="1"/>
  <c r="C8" i="24"/>
  <c r="D8" i="24" s="1"/>
  <c r="E8" i="24" s="1"/>
  <c r="C21" i="24"/>
  <c r="D21" i="24" s="1"/>
  <c r="E21" i="24" s="1"/>
  <c r="E13" i="15"/>
  <c r="C13" i="12"/>
  <c r="D13" i="12" s="1"/>
  <c r="J13" i="12" s="1"/>
  <c r="E13" i="12" s="1"/>
  <c r="C56" i="1" l="1"/>
  <c r="B56" i="1"/>
  <c r="E5" i="24"/>
  <c r="I5" i="24"/>
  <c r="D27" i="24"/>
  <c r="E57" i="1"/>
  <c r="D57" i="1"/>
  <c r="H17" i="12"/>
  <c r="J17" i="12"/>
  <c r="E17" i="12" s="1"/>
  <c r="H15" i="12"/>
  <c r="J15" i="12"/>
  <c r="E15" i="12" s="1"/>
  <c r="H7" i="12"/>
  <c r="J7" i="12"/>
  <c r="E7" i="12" s="1"/>
  <c r="L25" i="12"/>
  <c r="L2" i="12"/>
  <c r="J5" i="12"/>
  <c r="E5" i="12" s="1"/>
  <c r="D25" i="12"/>
  <c r="J25" i="12" s="1"/>
  <c r="H5" i="12"/>
  <c r="I5" i="12" s="1"/>
  <c r="I16" i="24"/>
  <c r="E16" i="24"/>
  <c r="I7" i="24"/>
  <c r="E7" i="24"/>
  <c r="C57" i="1" l="1"/>
  <c r="B57" i="1"/>
  <c r="E58" i="1"/>
  <c r="D58" i="1"/>
  <c r="H3" i="12"/>
  <c r="J3" i="12"/>
  <c r="C58" i="1" l="1"/>
  <c r="B58" i="1"/>
  <c r="E10" i="1"/>
  <c r="E59" i="1"/>
  <c r="E9" i="1"/>
  <c r="D59" i="1"/>
  <c r="L3" i="12"/>
  <c r="A3" i="12"/>
  <c r="C59" i="1" l="1"/>
  <c r="B59" i="1"/>
  <c r="A6" i="8"/>
  <c r="A7" i="8"/>
  <c r="A8" i="8"/>
  <c r="A9" i="8"/>
  <c r="A10" i="8"/>
  <c r="D20" i="8"/>
  <c r="A14" i="20"/>
  <c r="A16" i="20"/>
  <c r="A15" i="20"/>
  <c r="A18" i="20"/>
  <c r="A17" i="20"/>
  <c r="D33" i="20"/>
  <c r="A7" i="18"/>
  <c r="A8" i="18"/>
  <c r="A10" i="18"/>
  <c r="A7" i="4"/>
  <c r="D18" i="18"/>
  <c r="A9" i="18"/>
  <c r="A6" i="18"/>
  <c r="A6" i="4"/>
  <c r="A8" i="4"/>
  <c r="A9" i="4"/>
  <c r="A10" i="4"/>
  <c r="D20" i="4"/>
  <c r="E60" i="1"/>
  <c r="D60" i="1"/>
  <c r="E8" i="1" l="1"/>
  <c r="C60" i="1"/>
  <c r="E7" i="1"/>
  <c r="B60" i="1"/>
  <c r="F11" i="2"/>
  <c r="E11" i="2"/>
  <c r="F6" i="2"/>
  <c r="E6" i="2"/>
  <c r="E61" i="1"/>
  <c r="D61" i="1"/>
  <c r="D29" i="20" l="1"/>
  <c r="A7" i="9"/>
  <c r="A6" i="9"/>
  <c r="A6" i="20"/>
  <c r="D28" i="20"/>
  <c r="A8" i="20"/>
  <c r="A7" i="20"/>
  <c r="A10" i="9"/>
  <c r="A9" i="20"/>
  <c r="D16" i="9"/>
  <c r="D15" i="9"/>
  <c r="A9" i="9"/>
  <c r="A8" i="9"/>
  <c r="A10" i="20"/>
  <c r="C61" i="1"/>
  <c r="B61" i="1"/>
  <c r="A7" i="5"/>
  <c r="A10" i="16"/>
  <c r="A9" i="5"/>
  <c r="A10" i="5"/>
  <c r="D20" i="16"/>
  <c r="A6" i="16"/>
  <c r="A8" i="16"/>
  <c r="D15" i="5"/>
  <c r="A8" i="5"/>
  <c r="A9" i="16"/>
  <c r="A6" i="5"/>
  <c r="A7" i="16"/>
  <c r="E62" i="1"/>
  <c r="D62" i="1"/>
  <c r="F12" i="2" l="1"/>
  <c r="E12" i="2"/>
  <c r="C62" i="1"/>
  <c r="B62" i="1"/>
  <c r="F15" i="2"/>
  <c r="E7" i="2"/>
  <c r="F7" i="2"/>
  <c r="E63" i="1"/>
  <c r="D63" i="1"/>
  <c r="E15" i="2" l="1"/>
  <c r="C63" i="1"/>
  <c r="B63" i="1"/>
  <c r="E64" i="1"/>
  <c r="D64" i="1"/>
  <c r="C64" i="1" l="1"/>
  <c r="B64" i="1"/>
  <c r="E65" i="1"/>
  <c r="D65" i="1"/>
  <c r="C65" i="1" l="1"/>
  <c r="B65" i="1"/>
  <c r="E66" i="1"/>
  <c r="D66" i="1"/>
  <c r="C66" i="1" l="1"/>
  <c r="B66" i="1"/>
</calcChain>
</file>

<file path=xl/sharedStrings.xml><?xml version="1.0" encoding="utf-8"?>
<sst xmlns="http://schemas.openxmlformats.org/spreadsheetml/2006/main" count="3184" uniqueCount="1676">
  <si>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</si>
  <si>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</si>
  <si>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</si>
  <si>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</si>
  <si>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</si>
  <si>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</si>
  <si>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</si>
  <si>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</si>
  <si>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</si>
  <si>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</si>
  <si>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</si>
  <si>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</si>
  <si>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</si>
  <si>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</si>
  <si>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</si>
  <si>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</si>
  <si>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</si>
  <si>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</si>
  <si>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</si>
  <si>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</si>
  <si>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</si>
  <si>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</si>
  <si>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</si>
  <si>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</si>
  <si>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</si>
  <si>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</si>
  <si>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</si>
  <si>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</si>
  <si>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</si>
  <si>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</si>
  <si>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</si>
  <si>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</si>
  <si>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</si>
  <si>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</si>
  <si>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</si>
  <si>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</si>
  <si>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</si>
  <si>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</si>
  <si>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</si>
  <si>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</si>
  <si>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</si>
  <si>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</si>
  <si>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</si>
  <si>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</si>
  <si>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</si>
  <si>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</si>
  <si>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</si>
  <si>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</si>
  <si>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</si>
  <si>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</si>
  <si>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</si>
  <si>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</si>
  <si>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</si>
  <si>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</si>
  <si>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</si>
  <si>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</si>
  <si>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</si>
  <si>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</si>
  <si>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</si>
  <si>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</si>
  <si>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</si>
  <si>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</si>
  <si>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</si>
  <si>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</si>
  <si>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</si>
  <si>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</si>
  <si>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</si>
  <si>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</si>
  <si>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</si>
  <si>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</si>
  <si>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</si>
  <si>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</si>
  <si>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</si>
  <si>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</si>
  <si>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</si>
  <si>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</si>
  <si>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</si>
  <si>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</si>
  <si>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</si>
  <si>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</si>
  <si>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</si>
  <si>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</si>
  <si>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</si>
  <si>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</si>
  <si>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</si>
  <si>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</si>
  <si>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</si>
  <si>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</si>
  <si>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</si>
  <si>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</si>
  <si>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</si>
  <si>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</si>
  <si>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</si>
  <si>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</si>
  <si>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</si>
  <si>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</si>
  <si>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</si>
  <si>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</si>
  <si>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</si>
  <si>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</si>
  <si>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</si>
  <si>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</si>
  <si>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</si>
  <si>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</si>
  <si>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</si>
  <si>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</si>
  <si>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</si>
  <si>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</si>
  <si>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</si>
  <si>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</si>
  <si>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</si>
  <si>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</si>
  <si>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</si>
  <si>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</si>
  <si>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</si>
  <si>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</si>
  <si>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</si>
  <si>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</si>
  <si>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</si>
  <si>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</si>
  <si>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</si>
  <si>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</si>
  <si>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</si>
  <si>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</si>
  <si>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</si>
  <si>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</si>
  <si>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</si>
  <si>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</si>
  <si>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</si>
  <si>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</si>
  <si>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</si>
  <si>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</si>
  <si>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</si>
  <si>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</si>
  <si>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</si>
  <si>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</si>
  <si>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</si>
  <si>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</si>
  <si>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</si>
  <si>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</si>
  <si>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</si>
  <si>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</si>
  <si>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</si>
  <si>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</si>
  <si>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</si>
  <si>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</si>
  <si>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</si>
  <si>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</si>
  <si>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</si>
  <si>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</si>
  <si>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</si>
  <si>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</si>
  <si>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</si>
  <si>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</si>
  <si>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</si>
  <si>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</si>
  <si>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</si>
  <si>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</si>
  <si>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</si>
  <si>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</si>
  <si>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</si>
  <si>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</si>
  <si>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</si>
  <si>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</si>
  <si>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</si>
  <si>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</si>
  <si>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</si>
  <si>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</si>
  <si>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</si>
  <si>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</si>
  <si>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</si>
  <si>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</si>
  <si>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</si>
  <si>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</si>
  <si>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</si>
  <si>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</si>
  <si>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</si>
  <si>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</si>
  <si>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</si>
  <si>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</si>
  <si>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</si>
  <si>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</si>
  <si>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</si>
  <si>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</si>
  <si>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</si>
  <si>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</si>
  <si>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</si>
  <si>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</si>
  <si>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</si>
  <si>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</si>
  <si>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</si>
  <si>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</si>
  <si>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</si>
  <si>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</si>
  <si>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</si>
  <si>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</si>
  <si>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</si>
  <si>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</si>
  <si>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</si>
  <si>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</si>
  <si>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</si>
  <si>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</si>
  <si>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</si>
  <si>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</si>
  <si>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</si>
  <si>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</si>
  <si>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</si>
  <si>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</si>
  <si>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</si>
  <si>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</si>
  <si>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</si>
  <si>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</si>
  <si>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</si>
  <si>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</si>
  <si>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</si>
  <si>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</si>
  <si>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</si>
  <si>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</si>
  <si>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</si>
  <si>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</si>
  <si>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</si>
  <si>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</si>
  <si>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</si>
  <si>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</si>
  <si>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</si>
  <si>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</si>
  <si>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</si>
  <si>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</si>
  <si>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</si>
  <si>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</si>
  <si>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</si>
  <si>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</si>
  <si>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</si>
  <si>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</si>
  <si>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</si>
  <si>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</si>
  <si>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</si>
  <si>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</si>
  <si>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</si>
  <si>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</si>
  <si>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</si>
  <si>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</si>
  <si>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</si>
  <si>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</si>
  <si>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</si>
  <si>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</si>
  <si>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</si>
  <si>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</si>
  <si>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</si>
  <si>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</si>
  <si>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</si>
  <si>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</si>
  <si>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</si>
  <si>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</si>
  <si>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</si>
  <si>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</si>
  <si>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</si>
  <si>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</si>
  <si>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</si>
  <si>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</si>
  <si>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</si>
  <si>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</si>
  <si>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</si>
  <si>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</si>
  <si>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</si>
  <si>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</si>
  <si>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</si>
  <si>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</si>
  <si>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</si>
  <si>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</si>
  <si>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</si>
  <si>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</si>
  <si>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</si>
  <si>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</si>
  <si>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</si>
  <si>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</si>
  <si>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</si>
  <si>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</si>
  <si>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</si>
  <si>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</si>
  <si>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</si>
  <si>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</si>
  <si>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</si>
  <si>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</si>
  <si>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</si>
  <si>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</si>
  <si>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</si>
  <si>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</si>
  <si>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</si>
  <si>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</si>
  <si>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</si>
  <si>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</si>
  <si>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</si>
  <si>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</si>
  <si>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</si>
  <si>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</si>
  <si>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</si>
  <si>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</si>
  <si>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</si>
  <si>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</si>
  <si>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</si>
  <si>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</si>
  <si>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</si>
  <si>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</si>
  <si>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</si>
  <si>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</si>
  <si>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</si>
  <si>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</si>
  <si>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</si>
  <si>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</si>
  <si>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</si>
  <si>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</si>
  <si>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</si>
  <si>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</si>
  <si>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</si>
  <si>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</si>
  <si>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</si>
  <si>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</si>
  <si>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</si>
  <si>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</si>
  <si>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</si>
  <si>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</si>
  <si>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</si>
  <si>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</si>
  <si>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</si>
  <si>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</si>
  <si>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</si>
  <si>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</si>
  <si>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</si>
  <si>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</si>
  <si>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</si>
  <si>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</si>
  <si>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</si>
  <si>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</si>
  <si>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</si>
  <si>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</si>
  <si>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</si>
  <si>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</si>
  <si>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</si>
  <si>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</si>
  <si>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</si>
  <si>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</si>
  <si>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</si>
  <si>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</si>
  <si>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</si>
  <si>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</si>
  <si>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</si>
  <si>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</si>
  <si>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</si>
  <si>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</si>
  <si>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</si>
  <si>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</si>
  <si>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</si>
  <si>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</si>
  <si>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</si>
  <si>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</si>
  <si>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</si>
  <si>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</si>
  <si>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</si>
  <si>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</si>
  <si>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</si>
  <si>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</si>
  <si>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</si>
  <si>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</si>
  <si>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</si>
  <si>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</si>
  <si>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</si>
  <si>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</si>
  <si>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</si>
  <si>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</si>
  <si>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</si>
  <si>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</si>
  <si>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</si>
  <si>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</si>
  <si>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</si>
  <si>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</si>
  <si>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</si>
  <si>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</si>
  <si>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</si>
  <si>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</si>
  <si>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</si>
  <si>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</si>
  <si>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</si>
  <si>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</si>
  <si>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</si>
  <si>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</si>
  <si>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</si>
  <si>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</si>
  <si>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</si>
  <si>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</si>
  <si>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</si>
  <si>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</si>
  <si>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</si>
  <si>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</si>
  <si>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</si>
  <si>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</si>
  <si>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</si>
  <si>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</si>
  <si>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</si>
  <si>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</si>
  <si>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</si>
  <si>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</si>
  <si>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</si>
  <si>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</si>
  <si>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</si>
  <si>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</si>
  <si>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</si>
  <si>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</si>
  <si>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</si>
  <si>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</si>
  <si>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</si>
  <si>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</si>
  <si>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</si>
  <si>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</si>
  <si>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</si>
  <si>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</si>
  <si>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</si>
  <si>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</si>
  <si>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</si>
  <si>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</si>
  <si>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</si>
  <si>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</si>
  <si>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</si>
  <si>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</si>
  <si>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</si>
  <si>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</si>
  <si>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</si>
  <si>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</si>
  <si>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</si>
  <si>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</si>
  <si>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</si>
  <si>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</si>
  <si>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</si>
  <si>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</si>
  <si>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</si>
  <si>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</si>
  <si>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</si>
  <si>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</si>
  <si>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</si>
  <si>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</si>
  <si>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</si>
  <si>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</si>
  <si>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</si>
  <si>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</si>
  <si>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</si>
  <si>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</si>
  <si>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</si>
  <si>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</si>
  <si>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</si>
  <si>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</si>
  <si>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</si>
  <si>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</si>
  <si>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</si>
  <si>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</si>
  <si>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</si>
  <si>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</si>
  <si>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</si>
  <si>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</si>
  <si>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</si>
  <si>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</si>
  <si>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</si>
  <si>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</si>
  <si>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</si>
  <si>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</si>
  <si>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</si>
  <si>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</si>
  <si>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</si>
  <si>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</si>
  <si>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</si>
  <si>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</si>
  <si>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</si>
  <si>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</si>
  <si>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</si>
  <si>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</si>
  <si>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</si>
  <si>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</si>
  <si>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</si>
  <si>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</si>
  <si>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</si>
  <si>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</si>
  <si>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</si>
  <si>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</si>
  <si>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</si>
  <si>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</si>
  <si>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</si>
  <si>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</si>
  <si>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</si>
  <si>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</si>
  <si>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</si>
  <si>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</si>
  <si>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</si>
  <si>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</si>
  <si>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</si>
  <si>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</si>
  <si>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</si>
  <si>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</si>
  <si>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</si>
  <si>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</si>
  <si>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</si>
  <si>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</si>
  <si>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</si>
  <si>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</si>
  <si>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</si>
  <si>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</si>
  <si>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</si>
  <si>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</si>
  <si>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</si>
  <si>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</si>
  <si>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</si>
  <si>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</si>
  <si>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</si>
  <si>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</si>
  <si>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</si>
  <si>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</si>
  <si>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</si>
  <si>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</si>
  <si>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</si>
  <si>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</si>
  <si>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</si>
  <si>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</si>
  <si>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</si>
  <si>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</si>
  <si>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</si>
  <si>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</si>
  <si>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</si>
  <si>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</si>
  <si>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</si>
  <si>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</si>
  <si>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</si>
  <si>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</si>
  <si>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</si>
  <si>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</si>
  <si>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</si>
  <si>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</si>
  <si>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</si>
  <si>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</si>
  <si>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</si>
  <si>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</si>
  <si>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</si>
  <si>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</si>
  <si>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</si>
  <si>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</si>
  <si>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</si>
  <si>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</si>
  <si>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</si>
  <si>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</si>
  <si>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</si>
  <si>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</si>
  <si>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</si>
  <si>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</si>
  <si>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</si>
  <si>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</si>
  <si>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</si>
  <si>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</si>
  <si>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</si>
  <si>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</si>
  <si>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</si>
  <si>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</si>
  <si>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</si>
  <si>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</si>
  <si>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</si>
  <si>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</si>
  <si>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</si>
  <si>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</si>
  <si>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</si>
  <si>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</si>
  <si>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</si>
  <si>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</si>
  <si>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</si>
  <si>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</si>
  <si>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</si>
  <si>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</si>
  <si>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</si>
  <si>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</si>
  <si>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</si>
  <si>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</si>
  <si>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</si>
  <si>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</si>
  <si>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</si>
  <si>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</si>
  <si>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</si>
  <si>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</si>
  <si>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</si>
  <si>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</si>
  <si>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</si>
  <si>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</si>
  <si>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</si>
  <si>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</si>
  <si>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</si>
  <si>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</si>
  <si>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</si>
  <si>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</si>
  <si>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</si>
  <si>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</si>
  <si>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</si>
  <si>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</si>
  <si>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</si>
  <si>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</si>
  <si>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</si>
  <si>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</si>
  <si>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</si>
  <si>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</si>
  <si>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</si>
  <si>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</si>
  <si>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</si>
  <si>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</si>
  <si>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</si>
  <si>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</si>
  <si>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</si>
  <si>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</si>
  <si>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</si>
  <si>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</si>
  <si>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</si>
  <si>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</si>
  <si>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</si>
  <si>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</si>
  <si>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</si>
  <si>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</si>
  <si>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</si>
  <si>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</si>
  <si>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</si>
  <si>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</si>
  <si>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</si>
  <si>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</si>
  <si>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</si>
  <si>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</si>
  <si>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</si>
  <si>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</si>
  <si>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</si>
  <si>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</si>
  <si>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</si>
  <si>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</si>
  <si>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</si>
  <si>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</si>
  <si>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</si>
  <si>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</si>
  <si>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</si>
  <si>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</si>
  <si>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</si>
  <si>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</si>
  <si>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</si>
  <si>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</si>
  <si>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</si>
  <si>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</si>
  <si>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</si>
  <si>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</si>
  <si>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</si>
  <si>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</si>
  <si>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</si>
  <si>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</si>
  <si>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</si>
  <si>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</si>
  <si>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</si>
  <si>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</si>
  <si>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</si>
  <si>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</si>
  <si>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</si>
  <si>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</si>
  <si>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</si>
  <si>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</si>
  <si>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</si>
  <si>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</si>
  <si>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</si>
  <si>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</si>
  <si>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</si>
  <si>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</si>
  <si>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</si>
  <si>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</si>
  <si>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</si>
  <si>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</si>
  <si>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</si>
  <si>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</si>
  <si>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</si>
  <si>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</si>
  <si>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</si>
  <si>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</si>
  <si>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</si>
  <si>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</si>
  <si>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</si>
  <si>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</si>
  <si>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</si>
  <si>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</si>
  <si>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</si>
  <si>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</si>
  <si>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</si>
  <si>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</si>
  <si>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</si>
  <si>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</si>
  <si>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</si>
  <si>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</si>
  <si>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</si>
  <si>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</si>
  <si>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</si>
  <si>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</si>
  <si>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</si>
  <si>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</si>
  <si>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</si>
  <si>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</si>
  <si>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</si>
  <si>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</si>
  <si>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</si>
  <si>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</si>
  <si>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</si>
  <si>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</si>
  <si>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</si>
  <si>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</si>
  <si>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</si>
  <si>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</si>
  <si>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</si>
  <si>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</si>
  <si>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</si>
  <si>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</si>
  <si>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</si>
  <si>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</si>
  <si>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</si>
  <si>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</si>
  <si>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</si>
  <si>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</si>
  <si>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</si>
  <si>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</si>
  <si>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</si>
  <si>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</si>
  <si>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</si>
  <si>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</si>
  <si>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</si>
  <si>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</si>
  <si>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</si>
  <si>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</si>
  <si>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</si>
  <si>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</si>
  <si>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</si>
  <si>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</si>
  <si>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</si>
  <si>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</si>
  <si>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</si>
  <si>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</si>
  <si>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</si>
  <si>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</si>
  <si>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</si>
  <si>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</si>
  <si>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</si>
  <si>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</si>
  <si>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</si>
  <si>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</si>
  <si>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</si>
  <si>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</si>
  <si>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</si>
  <si>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</si>
  <si>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</si>
  <si>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</si>
  <si>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</si>
  <si>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</si>
  <si>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</si>
  <si>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</si>
  <si>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</si>
  <si>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</si>
  <si>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</si>
  <si>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</si>
  <si>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</si>
  <si>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</si>
  <si>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</si>
  <si>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</si>
  <si>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</si>
  <si>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</si>
  <si>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</si>
  <si>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</si>
  <si>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</si>
  <si>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</si>
  <si>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</si>
  <si>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</si>
  <si>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</si>
  <si>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</si>
  <si>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</si>
  <si>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</si>
  <si>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</si>
  <si>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</si>
  <si>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</si>
  <si>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</si>
  <si>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</si>
  <si>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</si>
  <si>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</si>
  <si>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</si>
  <si>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</si>
  <si>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</si>
  <si>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</si>
  <si>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</si>
  <si>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</si>
  <si>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</si>
  <si>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</si>
  <si>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</si>
  <si>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</si>
  <si>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</si>
  <si>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</si>
  <si>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</si>
  <si>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</si>
  <si>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</si>
  <si>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</si>
  <si>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</si>
  <si>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</si>
  <si>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</si>
  <si>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</si>
  <si>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</si>
  <si>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</si>
  <si>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</si>
  <si>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</si>
  <si>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</si>
  <si>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</si>
  <si>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</si>
  <si>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</si>
  <si>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</si>
  <si>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</si>
  <si>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</si>
  <si>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</si>
  <si>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</si>
  <si>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</si>
  <si>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</si>
  <si>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</si>
  <si>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</si>
  <si>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</si>
  <si>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</si>
  <si>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</si>
  <si>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</si>
  <si>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</si>
  <si>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</si>
  <si>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</si>
  <si>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</si>
  <si>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</si>
  <si>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</si>
  <si>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</si>
  <si>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</si>
  <si>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</si>
  <si>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</si>
  <si>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</si>
  <si>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</si>
  <si>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</si>
  <si>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</si>
  <si>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</si>
  <si>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</si>
  <si>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</si>
  <si>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</si>
  <si>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</si>
  <si>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</si>
  <si>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</si>
  <si>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</si>
  <si>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</si>
  <si>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</si>
  <si>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</si>
  <si>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</si>
  <si>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</si>
  <si>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</si>
  <si>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</si>
  <si>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</si>
  <si>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</si>
  <si>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</si>
  <si>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</si>
  <si>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</si>
  <si>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</si>
  <si>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</si>
  <si>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</si>
  <si>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</si>
  <si>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</si>
  <si>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</si>
  <si>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</si>
  <si>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</si>
  <si>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</si>
  <si>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</si>
  <si>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</si>
  <si>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</si>
  <si>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</si>
  <si>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</si>
  <si>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</si>
  <si>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</si>
  <si>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</si>
  <si>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</si>
  <si>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</si>
  <si>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</si>
  <si>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</si>
  <si>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</si>
  <si>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</si>
  <si>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</si>
  <si>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</si>
  <si>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</si>
  <si>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</si>
  <si>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</si>
  <si>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</si>
  <si>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</si>
  <si>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</si>
  <si>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</si>
  <si>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</si>
  <si>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</si>
  <si>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</si>
  <si>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</si>
  <si>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</si>
  <si>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</si>
  <si>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</si>
  <si>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</si>
  <si>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</si>
  <si>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</si>
  <si>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</si>
  <si>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</si>
  <si>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</si>
  <si>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</si>
  <si>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</si>
  <si>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</si>
  <si>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</si>
  <si>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</si>
  <si>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</si>
  <si>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</si>
  <si>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</si>
  <si>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</si>
  <si>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</si>
  <si>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</si>
  <si>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</si>
  <si>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</si>
  <si>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</si>
  <si>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</si>
  <si>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</si>
  <si>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</si>
  <si>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</si>
  <si>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</si>
  <si>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</si>
  <si>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</si>
  <si>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</si>
  <si>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</si>
  <si>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</si>
  <si>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</si>
  <si>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</si>
  <si>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</si>
  <si>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</si>
  <si>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</si>
  <si>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</si>
  <si>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</si>
  <si>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</si>
  <si>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</si>
  <si>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</si>
  <si>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</si>
  <si>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</si>
  <si>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</si>
  <si>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</si>
  <si>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</si>
  <si>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</si>
  <si>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</si>
  <si>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</si>
  <si>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</si>
  <si>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</si>
  <si>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</si>
  <si>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</si>
  <si>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</si>
  <si>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</si>
  <si>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</si>
  <si>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</si>
  <si>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</si>
  <si>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</si>
  <si>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</si>
  <si>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</si>
  <si>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</si>
  <si>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</si>
  <si>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</si>
  <si>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</si>
  <si>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</si>
  <si>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</si>
  <si>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</si>
  <si>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</si>
  <si>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</si>
  <si>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</si>
  <si>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</si>
  <si>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</si>
  <si>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</si>
  <si>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</si>
  <si>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</si>
  <si>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</si>
  <si>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</si>
  <si>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</si>
  <si>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</si>
  <si>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</si>
  <si>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</si>
  <si>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</si>
  <si>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</si>
  <si>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</si>
  <si>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</si>
  <si>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</si>
  <si>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</si>
  <si>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</si>
  <si>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</si>
  <si>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</si>
  <si>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</si>
  <si>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</si>
  <si>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</si>
  <si>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</si>
  <si>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</si>
  <si>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</si>
  <si>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</si>
  <si>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</si>
  <si>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</si>
  <si>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</si>
  <si>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</si>
  <si>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</si>
  <si>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</si>
  <si>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</si>
  <si>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</si>
  <si>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</si>
  <si>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</si>
  <si>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</si>
  <si>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</si>
  <si>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</si>
  <si>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</si>
  <si>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</si>
  <si>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</si>
  <si>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</si>
  <si>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</si>
  <si>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</si>
  <si>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</si>
  <si>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</si>
  <si>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</si>
  <si>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스미스 벤치 / 체스트 프레스 머신</t>
  </si>
  <si>
    <t>150/170/190/210</t>
  </si>
  <si>
    <t>인클라인 스미스 프레스 / 인클라인 덤벨 프레스</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</si>
  <si>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</si>
  <si>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</si>
  <si>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</si>
  <si>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</si>
  <si>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</si>
  <si>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</si>
  <si>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</si>
  <si>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</si>
  <si>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</si>
  <si>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</si>
  <si>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</si>
  <si>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</si>
  <si>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</si>
  <si>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</si>
  <si>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</si>
  <si>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EZ바 리버스컬 / 케이블 리버스컬 / 해머 컬 (중립 그립)</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</si>
  <si>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</si>
  <si>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</si>
  <si>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</si>
  <si>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</si>
  <si>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</si>
  <si>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</si>
  <si>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</si>
  <si>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</si>
  <si>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</si>
  <si>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</si>
  <si>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</si>
  <si>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</si>
  <si>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</si>
  <si>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</si>
  <si>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</si>
  <si>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</si>
  <si>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</si>
  <si>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</si>
  <si>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</si>
  <si>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</si>
  <si>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</si>
  <si>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</si>
  <si>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</si>
  <si>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</si>
  <si>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</si>
  <si>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</si>
  <si>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</si>
  <si>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</si>
  <si>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</si>
  <si>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</si>
  <si>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</si>
  <si>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</si>
  <si>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</si>
  <si>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와이드 스탠스 레그 프레스 (발 높게) / 45도 레그 프레스 (발 높게) / 스미스 스쿼트 (발 앞쪽)</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</si>
  <si>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</si>
  <si>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</si>
  <si>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</si>
  <si>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</si>
  <si>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</si>
  <si>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</si>
  <si>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</si>
  <si>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</si>
  <si>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</si>
  <si>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</si>
  <si>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</si>
  <si>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</si>
  <si>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</si>
  <si>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</si>
  <si>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</si>
  <si>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</si>
  <si>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</si>
  <si>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</si>
  <si>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</si>
  <si>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</si>
  <si>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</si>
  <si>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</si>
  <si>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</si>
  <si>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</si>
  <si>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</si>
  <si>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</si>
  <si>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</si>
  <si>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</si>
  <si>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</si>
  <si>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</si>
  <si>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</si>
  <si>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</si>
  <si>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</si>
  <si>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</si>
  <si>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</si>
  <si>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</si>
  <si>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케이블 크로스오버 (중간 높이) / 덤벨 플라이 / 머신 체스트 프레스</t>
  </si>
  <si>
    <t>케이블 크로스오버 (낮은 도르래) / 디클라인 덤벨 플라이 / 디클라인 머신 프레스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</si>
  <si>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</si>
  <si>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</si>
  <si>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</si>
  <si>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</si>
  <si>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</si>
  <si>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</si>
  <si>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</si>
  <si>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</si>
  <si>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</si>
  <si>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</si>
  <si>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</si>
  <si>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</si>
  <si>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</si>
  <si>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</si>
  <si>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</si>
  <si>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</si>
  <si>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</si>
  <si>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</si>
  <si>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</si>
  <si>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</si>
  <si>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</si>
  <si>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</si>
  <si>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</si>
  <si>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</si>
  <si>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</si>
  <si>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</si>
  <si>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</si>
  <si>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</si>
  <si>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</si>
  <si>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</si>
  <si>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</si>
  <si>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</si>
  <si>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</si>
  <si>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</si>
  <si>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</si>
  <si>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</si>
  <si>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</si>
  <si>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</si>
  <si>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</si>
  <si>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</si>
  <si>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</si>
  <si>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</si>
  <si>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</si>
  <si>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</si>
  <si>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</si>
  <si>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</si>
  <si>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</si>
  <si>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</si>
  <si>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</si>
  <si>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</si>
  <si>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</si>
  <si>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</si>
  <si>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</si>
  <si>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</si>
  <si>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</si>
  <si>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</si>
  <si>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</si>
  <si>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</si>
  <si>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</si>
  <si>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</si>
  <si>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</si>
  <si>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</si>
  <si>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</si>
  <si>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</si>
  <si>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</si>
  <si>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</si>
  <si>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</si>
  <si>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</si>
  <si>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</si>
  <si>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</si>
  <si>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</si>
  <si>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</si>
  <si>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</si>
  <si>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</si>
  <si>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</si>
  <si>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</si>
  <si>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</si>
  <si>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</si>
  <si>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</si>
  <si>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</si>
  <si>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</si>
  <si>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</si>
  <si>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</si>
  <si>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</si>
  <si>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</si>
  <si>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</si>
  <si>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</si>
  <si>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</si>
  <si>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</si>
  <si>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</si>
  <si>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</si>
  <si>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</si>
  <si>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</si>
  <si>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</si>
  <si>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</si>
  <si>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</si>
  <si>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</si>
  <si>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</si>
  <si>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</si>
  <si>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</si>
  <si>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</si>
  <si>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</si>
  <si>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</si>
  <si>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</si>
  <si>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</si>
  <si>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</si>
  <si>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</si>
  <si>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</si>
  <si>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</si>
  <si>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</si>
  <si>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</si>
  <si>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</si>
  <si>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</si>
  <si>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</si>
  <si>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</si>
  <si>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</si>
  <si>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</si>
  <si>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</si>
  <si>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</si>
  <si>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</si>
  <si>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</si>
  <si>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</si>
  <si>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</si>
  <si>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</si>
  <si>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</si>
  <si>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</si>
  <si>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</si>
  <si>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</si>
  <si>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</si>
  <si>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</si>
  <si>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</si>
  <si>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</si>
  <si>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</si>
  <si>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</si>
  <si>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</si>
  <si>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</si>
  <si>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</si>
  <si>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</si>
  <si>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</si>
  <si>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</si>
  <si>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</si>
  <si>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</si>
  <si>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</si>
  <si>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</si>
  <si>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</si>
  <si>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</si>
  <si>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</si>
  <si>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</si>
  <si>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</si>
  <si>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</si>
  <si>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</si>
  <si>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</si>
  <si>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</si>
  <si>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</si>
  <si>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</si>
  <si>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</si>
  <si>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</si>
  <si>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</si>
  <si>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</si>
  <si>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</si>
  <si>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</si>
  <si>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</si>
  <si>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</si>
  <si>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</si>
  <si>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</si>
  <si>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</si>
  <si>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</si>
  <si>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</si>
  <si>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</si>
  <si>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</si>
  <si>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</si>
  <si>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</si>
  <si>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</si>
  <si>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</si>
  <si>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</si>
  <si>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</si>
  <si>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</si>
  <si>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</si>
  <si>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</si>
  <si>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</si>
  <si>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</si>
  <si>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</si>
  <si>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</si>
  <si>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</si>
  <si>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</si>
  <si>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</si>
  <si>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</si>
  <si>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</si>
  <si>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</si>
  <si>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</si>
  <si>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</si>
  <si>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</si>
  <si>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</si>
  <si>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</si>
  <si>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</si>
  <si>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</si>
  <si>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</si>
  <si>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</si>
  <si>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</si>
  <si>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</si>
  <si>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</si>
  <si>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</si>
  <si>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</si>
  <si>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</si>
  <si>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</si>
  <si>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</si>
  <si>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</si>
  <si>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</si>
  <si>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</si>
  <si>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</si>
  <si>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</si>
  <si>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</si>
  <si>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</si>
  <si>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</si>
  <si>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</si>
  <si>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</si>
  <si>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</si>
  <si>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</si>
  <si>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</si>
  <si>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</si>
  <si>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</si>
  <si>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</si>
  <si>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</si>
  <si>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</si>
  <si>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</si>
  <si>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</si>
  <si>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</si>
  <si>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</si>
  <si>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</si>
  <si>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</si>
  <si>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</si>
  <si>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</si>
  <si>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</si>
  <si>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</si>
  <si>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</si>
  <si>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</si>
  <si>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</si>
  <si>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</si>
  <si>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</si>
  <si>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짧은 날 손</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</si>
  <si>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</si>
  <si>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</si>
  <si>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</si>
  <si>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</si>
  <si>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</si>
  <si>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</si>
  <si>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</si>
  <si>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</si>
  <si>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</si>
  <si>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</si>
  <si>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</si>
  <si>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</si>
  <si>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</si>
  <si>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</si>
  <si>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</si>
  <si>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</si>
  <si>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</si>
  <si>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</si>
  <si>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</si>
  <si>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</si>
  <si>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</si>
  <si>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</si>
  <si>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</si>
  <si>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</si>
  <si>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</si>
  <si>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</si>
  <si>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</si>
  <si>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</si>
  <si>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</si>
  <si>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</si>
  <si>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</si>
  <si>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</si>
  <si>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</si>
  <si>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</si>
  <si>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</si>
  <si>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</si>
  <si>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</si>
  <si>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</si>
  <si>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</si>
  <si>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</si>
  <si>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</si>
  <si>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</si>
  <si>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</si>
  <si>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</si>
  <si>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</si>
  <si>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</si>
  <si>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</si>
  <si>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</si>
  <si>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</si>
  <si>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</si>
  <si>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</si>
  <si>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</si>
  <si>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</si>
  <si>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</si>
  <si>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</si>
  <si>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</si>
  <si>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</si>
  <si>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</si>
  <si>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</si>
  <si>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</si>
  <si>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</si>
  <si>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</si>
  <si>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</si>
  <si>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</si>
  <si>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</si>
  <si>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</si>
  <si>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</si>
  <si>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</si>
  <si>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</si>
  <si>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</si>
  <si>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</si>
  <si>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</si>
  <si>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</si>
  <si>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</si>
  <si>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</si>
  <si>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</si>
  <si>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</si>
  <si>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</si>
  <si>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</si>
  <si>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</si>
  <si>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</si>
  <si>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</si>
  <si>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</si>
  <si>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</si>
  <si>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</si>
  <si>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</si>
  <si>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</si>
  <si>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</si>
  <si>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</si>
  <si>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</si>
  <si>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</si>
  <si>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</si>
  <si>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</si>
  <si>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</si>
  <si>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</si>
  <si>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</si>
  <si>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</si>
  <si>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</si>
  <si>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</si>
  <si>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</si>
  <si>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</si>
  <si>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</si>
  <si>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</si>
  <si>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</si>
  <si>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</si>
  <si>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</si>
  <si>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</si>
  <si>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</si>
  <si>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</si>
  <si>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</si>
  <si>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</si>
  <si>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</si>
  <si>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</si>
  <si>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</si>
  <si>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</si>
  <si>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</si>
  <si>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</si>
  <si>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</si>
  <si>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</si>
  <si>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</si>
  <si>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</si>
  <si>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</si>
  <si>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</si>
  <si>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</si>
  <si>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</si>
  <si>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</si>
  <si>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</si>
  <si>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</si>
  <si>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</si>
  <si>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</si>
  <si>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</si>
  <si>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</si>
  <si>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</si>
  <si>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</si>
  <si>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</si>
  <si>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</si>
  <si>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</si>
  <si>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</si>
  <si>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</si>
  <si>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</si>
  <si>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</si>
  <si>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</si>
  <si>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</si>
  <si>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</si>
  <si>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</si>
  <si>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</si>
  <si>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</si>
  <si>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</si>
  <si>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</si>
  <si>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10~12</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</si>
  <si>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</si>
  <si>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</si>
  <si>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</si>
  <si>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</si>
  <si>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</si>
  <si>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</si>
  <si>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</si>
  <si>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</si>
  <si>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</si>
  <si>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</si>
  <si>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</si>
  <si>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</si>
  <si>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</si>
  <si>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</si>
  <si>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</si>
  <si>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 [2026-10-21 사용자 결정] 3×5 → 3×8. 10/21 27kg으로 16회 — '너무 가볍다'. 추정 1RM 약 41 → 8회 약 32. 시작중량_설정 D10 25 → 28로 12주차(10/28)가 32다(격주 1kg 그대로 · 14주차 33). 오버헤드 프레스는 3대에 안 들어가 저반복으로 근력을 따로 잴 이유가 없다 — 벤치 4×8과 같은 판단. 수행 30 → 50초. 협력근 계수 삼두 · 측면 0.33 → 0.5(저반복 하향 근거가 사라졌다). 8회를 못 채운 주는 증량기록 J열에 반복수를 적어 그 중량을 한 번 더 든다.</t>
    <phoneticPr fontId="29" type="noConversion"/>
  </si>
  <si>
    <t>스미스 오버헤드 프레스 (허리 · 어깨 컨디션이 나쁜 날) / 머신 숄더 프레스</t>
    <phoneticPr fontId="29" type="noConversion"/>
  </si>
  <si>
    <t>시티드 레터럴 레이즈</t>
    <phoneticPr fontId="29" type="noConversion"/>
  </si>
  <si>
    <t>[2026-10-21] 케이블 Y 레이즈가 빠지고(사용자 — 동작이 어렵다) 덤벨 숄더 프레스가 들어와 수요일 측면 직접은 이 3세트다. Y 레이즈에 걸려 있던 드롭(+60초)을 이리 옮겼다. 프레스 둘(밀리터리 0.5×3 · 덤벨 0.5×3) 뒤라 측면 삼각이 간접 3세트치를 받은 상태 — 중량을 토요일보다 낮춰 잡는 것이 정상이다. [이전] [2026-10-06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</si>
  <si>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케이블 레터럴 레이즈 / 머신 레터럴</t>
    <phoneticPr fontId="29" type="noConversion"/>
  </si>
  <si>
    <t>덤벨 숄더 프레스</t>
    <phoneticPr fontId="29" type="noConversion"/>
  </si>
  <si>
    <t>삼각근(전면)</t>
    <phoneticPr fontId="29" type="noConversion"/>
  </si>
  <si>
    <t>머신 숄더 프레스 / 아놀드 프레스 / 스탠딩 덤벨 프레스 (허리가 괜찮은 날)</t>
    <phoneticPr fontId="29" type="noConversion"/>
  </si>
  <si>
    <t>· 시티드 레터럴 레이즈 +60초 하나뿐이다(2026-10-21 케이블 Y 레이즈가 빠지며 옮김 · 그 전 2026-10-06 덤벨 레터럴 → Y 레이즈). 덤벨 숄더 프레스에는 걸지 않는다 — 복합 프레스다. 마지막 세트에만 2단 — 레그 컬 드롭은 2026-10-02에 양측 레그 컬과 함께 토요일로 갔다.</t>
    <phoneticPr fontId="29" type="noConversion"/>
  </si>
  <si>
    <t>· 31세트 · 약 84분. [2026-10-21] 밀리터리 3×5 → 3×8(수행 30 → 50초) · 케이블 Y 레이즈 3 → 덤벨 숄더 프레스 3으로 80 → 84분.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</si>
  <si>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12세트(어깨 6 · 카프 6)를 빼면 실질 19세트다(2026-10-21 덤벨 숄더 프레스가 들어와 15 → 12 · 16 → 19). 어깨 블록 뒤에는 스탠딩 카프 6만 남았다. 메인 둘이 있으므로 웜업은 램프 두 블록을 따로 잡는다.</t>
    <phoneticPr fontId="29" type="noConversion"/>
  </si>
  <si>
    <t>8회 × 3세트</t>
    <phoneticPr fontId="29" type="noConversion"/>
  </si>
  <si>
    <t>· [2026-10-21 사용자 결정] 시티드 바벨 밀리터리를 3×5 → 3×8로. 10/21 27kg × 16회 — 5회 기준으로 너무 가벼웠다. 추정 1RM 약 41 → 8회 약 32. D10 25 → 28로 12주차(10/28) 32 · 14주차 33(격주 1kg 그대로). F10 · 수요일 램프 B18 · 종목표 F33 · 앱 메인 카드가 같이 8회다.</t>
  </si>
  <si>
    <t>스쿼트 5×5 · 벤치 4×8 · 오버헤드 3×8 · 데드 톱1+백오프2</t>
    <phoneticPr fontId="29" type="noConversion"/>
  </si>
  <si>
    <t>· 메인 리프트는 세트만 줄인다 — 스쿼트 5×5 → 2×5 · 벤치 4×8 → 2×8 · 오버헤드 3×8 → 1×8 · 데드는 건너뛴다.</t>
    <phoneticPr fontId="29" type="noConversion"/>
  </si>
  <si>
    <t>매주 미는 네 리프트 중 하나. 이 날은 하체 · 힌지가 없어 코어와 기립근이 가장 신선하다. [벤치만 4×8 (2026-10-02 사용자 지정)] 스쿼트 · 데드는 5회 고정이고 벤치와 오버헤드 프레스(2026-10-21 3×5 → 3×8)는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phoneticPr fontId="29" type="noConversion"/>
  </si>
  <si>
    <t>오버헤드 프레스 측면삼각 관여 — 5×5 본세트라 측면삼각이 자기 실패 근처에 못 간다. 재택 2026-09-04 0.5→0.33 (2026-10-02 재택 09-04 규칙서 정렬) [2026-10-21 0.33 → 0.5] 3×5 → 3×8 — 8회면 측면삼각도 실패 근처까지 간다. 자유중량이라 궤도 고정 머신 숄더(0.33)보다 높다.</t>
    <phoneticPr fontId="29" type="noConversion"/>
  </si>
  <si>
    <t>복귀_수_하체후면</t>
    <phoneticPr fontId="29" type="noConversion"/>
  </si>
  <si>
    <t>삼두</t>
    <phoneticPr fontId="29" type="noConversion"/>
  </si>
  <si>
    <t>C</t>
    <phoneticPr fontId="29" type="noConversion"/>
  </si>
  <si>
    <t>프레스 중 팔꿈치 신전 — 강한 협력. 머신 숄더 프레스 · 밀리터리 8회와 같은 등급 (2026-10-21 신설)</t>
    <phoneticPr fontId="29" type="noConversion"/>
  </si>
  <si>
    <t>머리 위 덤벨 프레스 중 측면삼각 외전 — 자유중량 · 10~12회라 밀리터리 8회(0.5)와 같은 등급. 궤도 고정 머신 숄더(0.33)보다 높다 (2026-10-21 신설)</t>
    <phoneticPr fontId="29" type="noConversion"/>
  </si>
  <si>
    <t>승모(상부)</t>
    <phoneticPr fontId="29" type="noConversion"/>
  </si>
  <si>
    <t>머리 위 구간 견갑 상방 회전 — 약한 관여. 밀리터리와 같은 등급 (2026-10-21 신설)</t>
    <phoneticPr fontId="29" type="noConversion"/>
  </si>
  <si>
    <t>[2026-10-21 사용자 요청] 수요일 덤벨 숄더 프레스 3 신설(케이블 Y 레이즈 자리) — 직접 7 → 10(토 머신 숄더 4 · 수 밀리터리 3 · 덤벨 3) · 실질 13.5 → 16.5. [이전 기록] 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</si>
  <si>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[2026-10-21 사용자 요청] 수요일 케이블 Y 레이즈 3 → 덤벨 숄더 프레스 3(동작이 어렵다) — 직접 19 → 16. 간접 2.5 → 4.5 — 밀리터리 3×8로 0.33 → 0.5 · 덤벨 숄더 프레스 0.5×3 신설. 실질 21.5 → 20.5로 여전히 '과다 점검' 표시지만 MAV 상단(약 22) 안쪽이다. 수요일 측면 직접은 3이 됐다(간접 3을 더하면 그날 6). [이전 기록] 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</si>
  <si>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 ㊷ [2026-10-21] 수요일 어깨 블록 — 사용자 결정. 케이블 Y 레이즈 3 → 덤벨 숄더 프레스 3(동작이 어렵다 · 숄더 프레스를 원함) · 시티드 바벨 밀리터리 3×5 → 3×8(10/21 27kg × 16회 — 너무 가벼웠다). 밀리터리 D10 25 → 28로 12주차 32. 순서는 밀리터리 → 덤벨 프레스 → 레터럴(드롭 이전) → 벤트오버. 월요일이 아니라 수요일인 이유 — Y 레이즈가 수요일에 있었고, 월요일은 가슴 프레스 셋이 전면 삼각 · 삼두를 먼저 써 버리는 날이다. 31세트 그대로 · 수 80 → 84분. 측면 실질 21.5 → 20.5 · 전면 13.5 → 16.5 · 삼두 18.5 → 20.5(천장 첫 초과). 앱 메인 카드가 본세트를 '5회'로 고정해 보여 주던 것도 고쳤다 — 시작중량_설정 F열의 반복을 읽는다(벤치 8회도 카드엔 5회로 나오고 있었다).</t>
  </si>
  <si>
    <t>프레스 중 팔꿈치 신전 — 약관여. [2026-10-23 0.5 → 0.2 · 사용자 결정] 내리는 건 인중까지 · 위에서도 끝까지 안 편다 — 삼두가 주도하는 락아웃 구간이 빠진 부분 가동범위. 끝까지 펴게 되면 0.5로 되돌린다. 측면삼각(0.33)은 그대로.</t>
    <phoneticPr fontId="29" type="noConversion"/>
  </si>
  <si>
    <t>로프 푸쉬다운</t>
    <phoneticPr fontId="29" type="noConversion"/>
  </si>
  <si>
    <t>· 팔이 맨 뒤인 이유 — 앞의 18세트가 이두에 간접을 얹고, 가슴 8세트는 플라이라 삼두를 쓰지 않는다. 그래서 로프 푸쉬다운이 온전히 나온다.</t>
    <phoneticPr fontId="29" type="noConversion"/>
  </si>
  <si>
    <t>[2026-10-23 V바 → 로프 · 실제 하는 대로] 2026-10-08 일요일 로프 푸쉬다운이 오버헤드 익스텐션으로 바뀌어 이것이 주의 유일한 짧아진 구간 삼두다(외측두 · 내측두 — 프레스 간접도 같은 갈래로 간다). [동작] 중립 그립(손바닥끼리 마주 · 엄지 위) · 팔꿈치는 옆구리에 고정 · 내리면서 로프 양끝을 허벅지 옆으로 벌린다 · 손바닥은 벌린 만큼만 따라 돌고 손목은 꺾지 않는다(손바닥을 천장으로 돌려도 삼두엔 더해지는 게 없다) · 끝에서 팔꿈치 끝까지 펴고 1초.</t>
    <phoneticPr fontId="29" type="noConversion"/>
  </si>
  <si>
    <t>[2026-10-23 0.5 → 0.2 · 사용자가 엑셀에서 직접 변경] 오버헤드 프레스 삼두 신전 — 5×5 저반복 본세트 하향. 머신 숄더 프레스(0.5)와 구분. 재택 2026-09-04 0.5→0.33 (2026-10-02 재택 09-04 규칙서 정렬) [2026-10-21 0.33 → 0.5] 3×5 → 3×8 — 저반복 하향 근거가 사라졌다. 벤치(2026-10-08)와 같은 처리.</t>
    <phoneticPr fontId="29" type="noConversion"/>
  </si>
  <si>
    <t>[2026-10-23 · 장두] 직접 9 → 12 — 일 케이블 오버헤드 익스텐션 3 → 5 · 화 라잉 익스텐션 3 → 4(팔꿈치 부하 · 화요일 46세트라 한 세트 덜). 늘어난 위치 장두 주 6 → 9. 같은 날 사용자가 수요일 시티드 바벨 밀리터리 → 삼두를 0.5 → 0.2로 직접 바꿔 간접 10.5 → 9.5 · 실질 21.5. 천장 20을 넘는 몫은 비어 있던 장두다 — 외측두 · 내측두(프레스 간접)는 그대로. [2026-10-23] 간접 11.5 → 10.5 — 토요일 머신 숄더 프레스 0.5 → 0.2(사용자 결정 · 인중까지만 내리고 위에서도 끝까지 안 펴는 부분 가동범위 · 락아웃 구간이 빠짐). 실질 20.5 → 19.5. [2026-10-21] 간접 9.5 → 11.5 — 시티드 바벨 밀리터리 3×5 → 3×8로 0.33 → 0.5 · 덤벨 숄더 프레스 0.5×3 신설. 실질 18.5 → 20.5로 천장(20)을 처음 넘었다. 늘어난 것은 프레스 간접(외측두 · 내측두)이고 장두 직접 6은 그대로다 — 화 · 목 · 일 삼두 중량이 2주 연속 멈추면 그때 이 숫자를 본다. [이전 기록] 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</si>
  <si>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마지막(5번째 · 2026-10-23 3 → 5)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로프 푸쉬다운이 맡는다. 당기기 뒤라 삼두가 신선한 상태로 들어온다. 중량 20은 푸쉬다운 25에서 낮춰 잡은 출발값이라 첫 세션에 8~12회에 맞춘다.</t>
    <phoneticPr fontId="29" type="noConversion"/>
  </si>
  <si>
    <t>인클라인 덤벨 프로트랙션</t>
  </si>
  <si>
    <t>[2026-10-23 신설 · 사용자 결정] 전거근 직접 주 9 중 3 — 각도를 위로 올린 자리다(토 · 월 수평 → 수 45°). 랜드마인은 사용자가 원하지 않아 이것으로 정했다. [동작] 벤치 45° · 등을 기댄 채 덤벨을 어깨 위로 편다(손바닥은 마주 보게) · 팔꿈치는 편 채 견갑골만 천장 쪽으로 내민다 — 덤벨이 5~8cm 올라간다 · 끝에서 1초 · 날개뼈가 벤치에 붙을 때까지 천천히 돌아온다 · 등이 벤치에서 뜨거나 으쓱하지 않는다. 밀리터리 · 덤벨 숄더 프레스 뒤라 몸이 받쳐지는 종목으로 골랐다.</t>
  </si>
  <si>
    <t>케이블 하이 리치 (낮은 도르래를 등지고 앞-위 45°로 뻗기) / 숄더 프레스 머신에서 팔 편 채 밀어올리기</t>
  </si>
  <si>
    <t>약 84분</t>
    <phoneticPr fontId="29" type="noConversion"/>
  </si>
  <si>
    <t>약 89분</t>
    <phoneticPr fontId="29" type="noConversion"/>
  </si>
  <si>
    <t>· ㊸ [2026-10-23] 전거근 직접 신설 — 사용자 결정(키우기 · 견갑골 안정화). 어깨 날마다 어깨 블록 뒤에: 토 원암 케이블 서라투스 펀치 2(수평 · 서서) · 월 스미스 프로트랙션 4(수평 · 하중을 거는 자리) · 수 인클라인 덤벨 프로트랙션 3(45°). 랜드마인 · 스캡 푸시업 · 푸시업 플러스는 사용자가 원하지 않거나 하중이 막혀 뺐다. 직접 0 → 9(하한) · 235세트. 프레스 앞이 아니라 뒤에 둔 이유 — 키우려면 지칠 때까지 하는데, 프레스 앞에서 지치면 프레스 중 견갑골이 흔들린다.</t>
  </si>
  <si>
    <t>해머 스트랭스 로우</t>
  </si>
  <si>
    <t>10회 × 3세트</t>
  </si>
  <si>
    <t>시작 주차</t>
  </si>
  <si>
    <t>해머 스트랭스 로우 주당 증량 (kg)</t>
  </si>
  <si>
    <t>매주 +1 → 평균 주 1.25kg. 원판식 기구 · 13주차 60kg에서 출발 (2026-10-23 사용자 결정)</t>
  </si>
  <si>
    <t>인클라인 벤치프레스 머신 주당 증량 (kg)</t>
  </si>
  <si>
    <t>매주 +1 · 13주차 42kg에서 출발. 2주 연속 미달이면 선형 중단 → 8~10 더블 프로그레션 (2026-10-23)</t>
  </si>
  <si>
    <t>해머 로우 목표</t>
    <phoneticPr fontId="29" type="noConversion"/>
  </si>
  <si>
    <t>미달 시 반복수</t>
    <phoneticPr fontId="29" type="noConversion"/>
  </si>
  <si>
    <t>인클라인 머신 목표</t>
    <phoneticPr fontId="29" type="noConversion"/>
  </si>
  <si>
    <t>· [2026-10-23 사용자 결정] 해머 스트랭스 로우 4×8 · 인클라인 벤치프레스 머신 3×10을 매주 +1kg 선형으로 — 둘 다 원판식이라 1kg 격자가 맞는다. D11 · D12는 6주차가 아니라 13주차(10/24 주) 중량이다. 미달 기록은 증량기록 O · Q열. 인클라인 머신은 2주 연속 미달이면 선형을 멈추고 8~10 더블 프로그레션으로 돌아간다 — 벤치 바로 뒤라 벤치 피로인지 정체인지 구분이 안 되기 때문이다. 앱에는 메인 카드 없이 종목표 그 줄의 중량만 주차를 따라간다.</t>
  </si>
  <si>
    <t>[2026-10-23 사용자 결정] 4×8 고정 · 매주 +1kg 자동(13주차 60kg에서 출발 · 증량기록 N열). 8회를 못 채운 주는 증량기록 O열에 마지막 세트 반복수를 적고 같은 무게를 한 번 더 든다. [2026-10-11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</si>
  <si>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[2026-10-23 사용자 결정] 3×10 고정 · 매주 +1kg 자동(13주차 42kg에서 출발 · 증량기록 P열). 10회를 못 채운 주는 Q열에 반복수를 적고 같은 무게를 한 번 더. 2주 연속 미달이면 선형을 멈추고 8~10 더블 프로그레션으로 돌아간다 — 벤치 바로 뒤라 벤치 피로 때문인지 근력이 막힌 건지 구분이 안 된다. 상부지 복합. 복합이라 플라이보다 앞에 둔다.</t>
    <phoneticPr fontId="29" type="noConversion"/>
  </si>
  <si>
    <t>인클라인 벤치프레스(바벨)</t>
    <phoneticPr fontId="29" type="noConversion"/>
  </si>
  <si>
    <t>인클라인 벤치프레스(스미스) — 이전 종목 / 인클라인 벤치프레스 머신 (월요일과 같은 기구가 되나 자리는 유효) / 인클라인 덤벨 프레스 / 헤머스트랭스 인클라인 프레스</t>
    <phoneticPr fontId="29" type="noConversion"/>
  </si>
  <si>
    <t>· [2026-10-10 사용자 결정] 1~6번은 등 → 가슴 → 등 → 가슴 → 등 → 가슴(친업 · 인클라인 바벨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</si>
  <si>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벤치프레스(바벨)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</si>
  <si>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직접 9세트: 월요일 인클라인 벤치프레스 머신 3 · 인클라인 덤벨 플라이 3 + 목요일 인클라인 벤치프레스(바벨)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phoneticPr fontId="29" type="noConversion"/>
  </si>
  <si>
    <t>10회 × 4세트</t>
  </si>
  <si>
    <t>레그 프레스 주당 증량 (kg)</t>
  </si>
  <si>
    <t>매주 +2 · 13주차 160kg에서 출발 (2026-10-23 사용자 결정)</t>
  </si>
  <si>
    <t>레그 프레스 목표</t>
    <phoneticPr fontId="29" type="noConversion"/>
  </si>
  <si>
    <t>[2026-10-23 사용자 결정] 10회 × 4세트 고정 · 매주 +2kg 자동(13주차 160kg에서 출발 · 증량기록 R열). 10회를 못 채운 주는 S열에 마지막 세트 반복수를 적고 같은 무게를 한 번 더. 2주 연속 미달이면 선형을 멈추고 범위 방식으로 돌아간다. 스쿼트 바로 뒤라 다리가 신선하다 — 무게가 커서 +1은 0.6%라 +2. 스쿼트 뒤 사두 볼륨. 발 위치를 높이면 둔근 쪽으로, 낮추면 사두 쪽으로 간다 — 이 자리는 낮게 둔다.</t>
    <phoneticPr fontId="29" type="noConversion"/>
  </si>
  <si>
    <t>레그 프레스 (발 높게) 주당 증량 (kg)</t>
  </si>
  <si>
    <t>2주마다 +2 · 13주차 140kg에서 출발 (2026-10-23 사용자 결정)</t>
  </si>
  <si>
    <t>레그 프레스 발 높게 목표</t>
    <phoneticPr fontId="29" type="noConversion"/>
  </si>
  <si>
    <t>[2026-10-23 사용자 결정] 10회 × 4세트 고정 · 2주마다 +2kg 자동(13주차 140kg에서 출발 · 증량기록 T열). 10회를 못 채운 주는 U열에 마지막 세트 반복수를 적고 같은 무게를 한 번 더. 2주 연속 미달이면 선형을 멈추고 범위 방식으로 돌아간다. 데드 · 루마니안 뒤 4번이라 2주마다. [2026-10-02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phoneticPr fontId="29" type="noConversion"/>
  </si>
  <si>
    <t>루마니안 데드리프트 주당 증량 (kg)</t>
  </si>
  <si>
    <t>2주마다 +1 · 13주차 50kg에서 출발 (2026-10-23 사용자 결정)</t>
  </si>
  <si>
    <t>루마니안 목표</t>
    <phoneticPr fontId="29" type="noConversion"/>
  </si>
  <si>
    <t>[2026-10-23 사용자 결정] 10회 × 3세트 고정 · 2주마다 +1kg 자동(13주차 50kg에서 출발 · 증량기록 V열). 10회를 못 채운 주는 W열에 마지막 세트 반복수를 적고 같은 무게를 한 번 더. 2주 연속 미달이면 선형을 멈추고 범위 방식으로 돌아간다. 데드 톱 · 백오프 뒤 3번이라 2주마다(햄스트링은 10/23 사용자 '이제 괜찮다'). 당기면 그날은 미달로 적는다. [2026-10-11] 엉덩이 뒤가 당기면 이 종목은 그날 중단(백오프와 같은 규칙). 고관절 신전으로 햄스트링을 늘어난 구간에서 훈련한다. 무릎은 살짝만 굽히고 중립 척추를 지킨다.</t>
    <phoneticPr fontId="29" type="noConversion"/>
  </si>
  <si>
    <t>12회 × 4세트</t>
  </si>
  <si>
    <t>힙 쓰러스트 주당 증량 (kg)</t>
  </si>
  <si>
    <t>2주마다 +1 · 13주차 25kg에서 출발 (2026-10-23 사용자 결정)</t>
  </si>
  <si>
    <t>힙 쓰러스트 목표</t>
    <phoneticPr fontId="29" type="noConversion"/>
  </si>
  <si>
    <t>[2026-10-23 사용자 결정] 12회 × 4세트 고정 · 2주마다 +1kg 자동(13주차 25kg에서 출발 · 증량기록 X열). 12회를 못 채운 주는 Y열에 마지막 세트 반복수를 적고 같은 무게를 한 번 더. 2주 연속 미달이면 선형을 멈추고 범위 방식으로 돌아간다. 데드 전날이라 RIR 1~2를 지킨 채 12회가 나와야 달성. [2026-10-07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</si>
  <si>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15회 × 3세트</t>
  </si>
  <si>
    <t>오버헤드 슈러그(스미스) 주당 증량 (kg)</t>
  </si>
  <si>
    <t>3주마다 +1 · 13주차 25kg에서 출발 · 원판만 센 무게(봉 제외) (2026-10-23 사용자 결정)</t>
  </si>
  <si>
    <t>오버헤드 슈러그 목표</t>
    <phoneticPr fontId="29" type="noConversion"/>
  </si>
  <si>
    <t>[2026-10-23 사용자 결정] 15회 × 3세트 고정 · 3주마다 +1kg 자동(13주차 25kg에서 출발 · 증량기록 Z열). 15회를 못 채운 주는 AA열에 마지막 세트 반복수를 적고 같은 무게를 한 번 더. 2주 연속 미달이면 선형을 멈추고 범위 방식으로 돌아간다. 무게는 원판만 센 값이다 — 봉 무게를 몰라도 1kg 격자 규칙이 맞는다. 가동범위가 짧은 고립이라 3주마다. 팔이 머리 위에 고정된 채 견갑을 내린다 — 승모 하부가 직접 걸리는 유일한 자리이고, 팔이 머리 위라는 점에서 수직 날에 맞는다.</t>
    <phoneticPr fontId="29" type="noConversion"/>
  </si>
  <si>
    <t>해머 스트랭스 스캡 슈러그(중립 그립)</t>
  </si>
  <si>
    <t>해머 스트랭스 스캡 슈러그(중립 그립) 주당 증량 (kg)</t>
  </si>
  <si>
    <t>2주마다 +1 · 13주차 50kg에서 출발 · 원판만 센 무게(봉 제외) (2026-10-23 사용자 결정)</t>
  </si>
  <si>
    <t>스캡 슈러그 목표</t>
    <phoneticPr fontId="29" type="noConversion"/>
  </si>
  <si>
    <t>[2026-10-23 사용자 결정] 15회 × 3세트 고정 · 2주마다 +1kg 자동(13주차 50kg에서 출발 · 증량기록 AB열). 15회를 못 채운 주는 AC열에 마지막 세트 반복수를 적고 같은 무게를 한 번 더. 2주 연속 미달이면 선형을 멈추고 범위 방식으로 돌아간다. 무게는 원판만 센 값이다 — 봉 무게를 몰라도 1kg 격자 규칙이 맞는다. [2026-10-11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</si>
  <si>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15회 × 4세트</t>
  </si>
  <si>
    <t>스미스 프로트랙션 주당 증량 (kg)</t>
  </si>
  <si>
    <t>프로트랙션 목표</t>
    <phoneticPr fontId="29" type="noConversion"/>
  </si>
  <si>
    <t>· [2026-10-23 사용자 결정 · 둘째 묶음] 13~19행 일곱 종목도 선형으로 — 주기는 종목마다(증량기록 E열 · 1~3주). D열은 13주차 중량이다. 스미스 · 머신은 원판만 센 무게(봉 무게를 몰라도 '5로 나눈 나머지 4' 규칙이 맞는다). 공통 규칙: 2주 연속 미달이면 그 종목만 선형을 멈추고 범위 방식으로 돌아간다. 라잉 트라이셉스 · 리버스컬은 고정 EZ바라 보류 — 원판 EZ바로 바꾸고 원판 무게가 정해지면 넣는다.</t>
  </si>
  <si>
    <t>라잉 트라이셉스 익스텐션 주당 증량 (kg)</t>
  </si>
  <si>
    <t>3주마다 +1 · 13주차 15kg에서 출발 · EZ바 봉 포함 총무게 (2026-10-23 사용자 결정)</t>
  </si>
  <si>
    <t>라잉 트라이셉스 목표</t>
    <phoneticPr fontId="29" type="noConversion"/>
  </si>
  <si>
    <t>[2026-10-23 사용자 결정] 10회 × 4세트 고정 · 3주마다 +1kg 자동(13주차 15kg에서 출발 · 증량기록 AF열). 봉만 있는 EZ바 + 원판으로 바꾼다(고정 EZ바는 1kg 증량이 안 된다). 무게는 봉 포함 총무게 — 지금 고정 바 15kg와 같은 무게로 시작한다. 봉 무게가 5의 배수(10 등)가 아니면 끼울 수 없는 칸이 생기니 알려줄 것. 10회를 못 채운 주는 AG열에 마지막 세트 반복수를 적고 같은 무게를 한 번 더 · 2주 연속 미달이면 범위 방식으로 돌아간다. [2026-10-08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로프 푸쉬다운(짧아진 구간)과 각도를 나누고, 일요일 오버헤드 익스텐션과 함께 장두 늘어난 구간을 주 2회로 만든다(2026-10-08). 팔꿈치가 시큰하면 EZ바로 바꾼다.</t>
    <phoneticPr fontId="29" type="noConversion"/>
  </si>
  <si>
    <t>12회 × 3세트</t>
  </si>
  <si>
    <t>리버스컬 주당 증량 (kg)</t>
  </si>
  <si>
    <t>리버스컬 목표</t>
    <phoneticPr fontId="29" type="noConversion"/>
  </si>
  <si>
    <t>[2026-10-23 사용자 결정] 12회 × 3세트 고정 · 3주마다 +1kg 자동(13주차 15kg에서 출발 · 증량기록 AH열). 봉만 있는 EZ바 + 원판으로 바꾼다(고정 EZ바는 1kg 증량이 안 된다). 무게는 봉 포함 총무게 — 지금 고정 바 15kg와 같은 무게로 시작한다. 봉 무게가 5의 배수(10 등)가 아니면 끼울 수 없는 칸이 생기니 알려줄 것. 12회를 못 채운 주는 AI열에 마지막 세트 반복수를 적고 같은 무게를 한 번 더 · 2주 연속 미달이면 범위 방식으로 돌아간다. 엎침 그립 컬 — 상완요골근과 신근이 주동이다. 재택 4일차 종목이라 새로 익힐 것이 없다.</t>
    <phoneticPr fontId="29" type="noConversion"/>
  </si>
  <si>
    <t>인클라인 벤치프레스(바벨)</t>
  </si>
  <si>
    <t>8회 × 3세트</t>
  </si>
  <si>
    <t>인클라인 벤치프레스(바벨) 주당 증량 (kg)</t>
  </si>
  <si>
    <t>매주 +1 · 13주차 40kg에서 출발 · 봉 20 포함 총무게 · 벤치와 같은 방식 (2026-10-23 사용자 결정)</t>
  </si>
  <si>
    <t>인클라인 바벨 목표</t>
    <phoneticPr fontId="29" type="noConversion"/>
  </si>
  <si>
    <t>[2026-10-23 사용자 결정] 8회 × 3세트 고정 · 매주 +1kg 자동(13주차 40kg에서 출발 · 증량기록 AJ열). 벤치처럼 고정 반복 · 매주 +1kg(사용자 요청 — 범위로 자리 잡는 기간 없이 바로). 봉 20 + 한쪽 10 = 40에서 출발. 목요일 가슴 첫 종목이라 세트만 3. 8회를 못 채운 주는 AK열에 마지막 세트 반복수를 적고 같은 무게를 한 번 더 · 2주 연속 미달이면 범위 방식으로 돌아간다. [2026-10-23 사용자 결정 · 스미스 → 바벨] 바벨 인클라인으로 바꿨다 — 자극이 더 좋고 어깨가 편하다(사용자). 바가 레일에 묶이지 않아 궤도가 팔꿈치 · 어깨를 따라 스스로 잡힌다. 10/15 오른쪽 앞 어깨 찝힘의 원인이 고정 궤도에서 팔꿈치를 배꼽 쪽으로 끌어내린 것이었으니, 원인 자체가 사라졌다. 큐는 그대로 — 바닥에서 전완이 바 바로 밑에 수직 · 팔꿈치는 몸통에서 45~60° · 바는 쇄골 바로 아래 윗가슴에 닿게 · 견갑은 뒤로 모으고 아래로 고정. 랙 세이프티 바는 가슴 바로 위 높이로(혼자 하는 프리웨이트). 계수는 스미스와 같다(삼두 0.5 · 전면삼각 0.5).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바벨은 궤도가 자유라 안정화가 셋 중 가장 많이 든다. 상부지를 월 6(머신 3 + 플라이 3) + 목 3으로 주 2회로 쪼갰다.</t>
    <phoneticPr fontId="29" type="noConversion"/>
  </si>
  <si>
    <t>· [2026-10-23 사용자 결정 · 셋째 묶음] 라잉 트라이셉스 4×10 · 리버스컬 3×12 — 봉만 있는 EZ바 + 원판으로 바꿔 3주마다 +1kg(D20 · D21은 봉 포함 총무게 · 지금 고정 바와 같은 15). 위 '보류' 줄은 이것으로 끝났다. 목 인클라인 벤치프레스(바벨) 3×8 매주 +1kg — 벤치처럼 바로(사용자 요청 · D22 = 봉 20 + 한쪽 10).</t>
  </si>
  <si>
    <t>15~20</t>
  </si>
  <si>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</si>
  <si>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</si>
  <si>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</si>
  <si>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phoneticPr fontId="29" type="noConversion"/>
  </si>
  <si>
    <t>[2026-10-24 사용자 결정] 15회 고정 → 15~20 더블 프로그레션 · 무게 고정 바 → 원판 끼우는 봉으로 바꾼다(봉 무게 모름 — 봉 포함 총무게로 적고 첫날 지금 무게에 가깝게 맞춘다). 전 세트 20회면 앱 ▲ +1kg — 못 끼우는 무게면 무게 칸을 눌러 고친다. [2026-10-04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</si>
  <si>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체스트 프레스 머신 프로트랙션</t>
    <phoneticPr fontId="29" type="noConversion"/>
  </si>
  <si>
    <t>원암 케이블 서라투스 펀치 / 스미스 프로트랙션 / 인클라인 덤벨 프로트랙션</t>
    <phoneticPr fontId="29" type="noConversion"/>
  </si>
  <si>
    <t>하이로우 머신(언더그립)</t>
  </si>
  <si>
    <t>[2026-10-25 사용자 결정] 스캡 슈러그 다음 마무리 3세트 — 무게를 미는 종목이 아니라, 앞의 로우 넷이 무게를 맡고 지친 광배 · 대원근을 늘어난 위치에서 한 번 더 긁는 자리다(앞쪽 순서 · 강도는 그대로). 일요일에 손바닥이 천장을 보는 유일한 당기기: 어깨가 외회전된 채 팔이 위로 올라가, 내회전근인 광배 · 대원근이 길이와 회전 양쪽으로 늘어난다 — 10/25 첫 수행에서 스트레치 구간 대원근 신장감이 확실했다. 팔꿈치가 옆구리에 붙어 몸 옆으로 내려오는 경로라 주동근은 광배다(대원근은 광배 줄로 같이 센다 — 팔꿈치 경로 원칙). 큐: 위 스트레치에서 1~2초 멈춤 · 내릴 때 2~3초 · 팔이 아니라 팔꿈치로 끌어내린다(끝에서 팔로 당기면 이두가 먼저 지친다). RIR 1~2 · 드롭 없음 — 스트레치를 지키는 게 목적이라 폼이 무너지면 의미가 없다. 전 세트 15회면 한 칸. 60kg은 10/25 첫날 무게 — 이 자리(로우 다섯 뒤)에선 덜 나와도 정상이니 첫 세션에 12~15회로 맞춘다. 언더그립 + 하중이라 첫 2주는 팔꿈치 안쪽(이두 힘줄) 느낌을 확인. 그립이 지친 자리라 다음 트랩바 슈러그는 스트랩. 이 날 광배 직접 6 → 9 — 세션당 6세트 기준의 예외(사용자 결정 · 목요일까지 밤 4번이라 회복은 충분). 확인: 목요일 랫풀다운 · 친업 무게/반복이 떨어지거나 목요일까지 광배 뻐근함이 남으면 다시 본다(2주).</t>
  </si>
  <si>
    <t>랫풀다운 (언더그립 · 좁게) / 원암 하이 케이블 로우 (손바닥 위) / 시티드 케이블 로우 (언더그립)</t>
  </si>
  <si>
    <t>하이로우 머신(언더그립)</t>
    <phoneticPr fontId="29" type="noConversion"/>
  </si>
  <si>
    <t>이두</t>
    <phoneticPr fontId="29" type="noConversion"/>
  </si>
  <si>
    <t>뒤침 그립 — 이두가 유리한 자리에서 능동 굴곡. 당기기 → 이두 계수는 그립으로 정한다: 뒤침 0.5 · 뉴트럴 0.33 · 엎침 0.2 (2026-10-25 일요일 6번 신설 · 목요일 언더그립 랫풀다운과 같은 등급)</t>
    <phoneticPr fontId="29" type="noConversion"/>
  </si>
  <si>
    <t>승모(하부)</t>
    <phoneticPr fontId="29" type="noConversion"/>
  </si>
  <si>
    <t>견갑 하강 개시 관여 — 위에서 끌어내리는 경로라 언더그립 랫풀다운과 같은 등급 (2026-10-25 신설)</t>
    <phoneticPr fontId="29" type="noConversion"/>
  </si>
  <si>
    <t>[2026-10-25 사용자 결정] 일요일 6번 하이로우 머신(언더그립) 3 신설 — 직접 18 → 21 · 일요일 광배 6 → 9(세션당 6세트 기준의 예외 · 목요일까지 밤 4번). 늘어난 위치 · 외회전 마무리이고 대원근도 이 줄로 센다. 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</si>
  <si>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[2026-10-25] 일요일 하이로우 머신(언더그립) → 이두 간접 0.5×3 추가. 직접 세트는 그대로. [2026-10-06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</si>
  <si>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[2026-10-25] 스캡 슈러그 다음 하이로우(언더그립) 3 — 늘어난 위치 마무리. 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</si>
  <si>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㊹ [2026-10-25] 일요일 6번(스캡 슈러그 다음) 하이로우 머신(언더그립) 3 × 12~15 신설 — 사용자 결정. 손바닥이 천장을 보게 했더니 스트레치 구간에서 대원근 신장감이 확실했다. 앞쪽 로우 넷은 그대로 두고 뒤에 이어 가는 마무리 · 드롭 없음. 일요일 광배 직접 6 → 9(세션당 6 기준 예외 — 사용자: 목요일까지 밤 4번이면 회복된다) · 주 광배 직접 18 → 21 · 이두 간접 +1.5 · 238세트.</t>
    <phoneticPr fontId="29" type="noConversion"/>
  </si>
  <si>
    <t>· [2026-10-25] 39세트 · 약 89분 — 6번 하이로우 머신(언더그립) 3 신설(스캡 슈러그 다음 마무리). 이전 기록: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</si>
  <si>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 그립이 이 날의 제약이다. 해머(서포티드) → 인클라인 덤벨(서포티드) → 시티드(양팔) → 원암 → 스캡 슈러그 순으로 그립 부담이 줄어드는 순서다. [2026-10-25] 스캡 슈러그 뒤에 하이로우(언더그립)가 붙어 그립이 한 번 더 쓰인다 — 다음 트랩바 슈러그는 스트랩을 쓴다.</t>
    <phoneticPr fontId="29" type="noConversion"/>
  </si>
  <si>
    <t>걷기(초)</t>
    <phoneticPr fontId="29" type="noConversion"/>
  </si>
  <si>
    <t>목표 32 → 헬스장에 32 덤벨 없음 · 30으로 함</t>
  </si>
  <si>
    <t>목표: 한 손 35kg(헬스장 덤벨 칸 · 2L 6병 묶음 3팩 = 손에 30~36kg)을 손에서 놓치지 않고 컨트롤한다. 세트 카운트 · 세트검산에는 넣지 않는다.</t>
    <phoneticPr fontId="29" type="noConversion"/>
  </si>
  <si>
    <t>걷기 × 4(시간은 진행표 G열 · 보통 40초), 휴식 120초</t>
    <phoneticPr fontId="29" type="noConversion"/>
  </si>
  <si>
    <t>· 디로드 주(10/17 토 · 10/21 수) 줄은 직전 칸 그대로 — 웨이트 · 캐리와 같이 멈춘다. 표는 12/2에서 끝난다 — 다음 디로드(12/5 주) 즈음이면 배달 일이 이 표를 대신한다. [2026-10-25] 덤벨이 30 다음 35라 32 · 34 · 36 칸을 없앴다 — 11/11 35 × 1분 → 11/14 1.5분 → 11/18 2분(일 시작 기준 날짜 그대로) → 3 · 4 · 5분. 짧은 날(스트랩)은 11/11만 30, 11/14부터 35.</t>
    <phoneticPr fontId="29" type="noConversion"/>
  </si>
  <si>
    <t>일 시작 기준: 한 손 35kg 맨손 × 2분 연속(지하 1층 → 7층 한 번) — 표대로면 11/18(수). 최종 목표 5분 연속은 11/28 칸에 있지만 못 채우면 일을 하면서 채운다. 세트 카운트 · 세트검산에는 넣지 않는다.</t>
    <phoneticPr fontId="29" type="noConversion"/>
  </si>
  <si>
    <t>· 5 · 6회차(10/17 토 · 10/21 수)는 디로드 주라 30kg 그대로 — 웨이트와 같이 한 주 멈추고, 앱에는 회차 대신 디로드로 뜬다. 디로드 날짜가 바뀌면 멈추는 줄도 같이 옮긴다. 다음 디로드는 12/5 주 — 그 전에 줄을 이어 붙인다. 놓친 회차는 같은 무게를 한 번 더 들고, 표는 날짜대로 간다(앱도 날짜로 고른다). [2026-10-25] 헬스장 덤벨이 30 · 35 · 40뿐이라 32 · 34 · 36 칸이 없다 — 덤벨로 하기로(사용자). 30에서 35는 +17%라 30에서 시간을 먼저 늘리고(사용자 요청 — 30으로 조금 더 준비) 35로 넘어가며 시간을 다시 쪼갠다: 10/28 30 × 50초 → 10/31 30 × 60초 → 11/4 35 × 20초 → 11/7 30초 → 11/11부터 40초 = 목표 도달 (배달 손 하중 30~36kg이라 35면 채운 것). 35 첫날 놓치면 30 × 60초로 한 번 돌아갔다가 다시 간다.</t>
    <phoneticPr fontId="29" type="noConversion"/>
  </si>
  <si>
    <t>4번 다 안 놓치면 다음 회차(토 → 수 → 토 …) — 30까지는 한 손 +2kg, 30에서 50 → 60초로 늘린 뒤 35(덤벨 칸)로: 20 → 30 → 40초</t>
    <phoneticPr fontId="29" type="noConversion"/>
  </si>
  <si>
    <t>[2026-10-26 3 → 5 · 사용자 결정] 남은 세트 여유를 사두에 — 사두 직접 토 9 · 화 5. 건강한 무릎에서 10~12회 중간 무게 5세트는 관절 부담이 작다: 회전축을 무릎에 맞추고 · 위에서 잠그지 말고 1초 멈춤 · 2초 내리기. 슬개골 앞 시큰함이 다음 날까지 남으면 세트를 줄인다. 데드 전날이라 RIR 1~2 그대로. [2026-10-09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</si>
  <si>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직접 14세트: 토요일 스쿼트 5 · 레그 프레스 4 + 화요일 레그 익스텐션 5(2026-10-09 토 → 화 · 사용자 결정 — 직접 주 2회 · 간격 3/4일 · 2026-10-26 3 → 5). 간접 1.3 — 수요일 레그 프레스(발 높게) 0.33×4. 2026-10-02~10-08에는 스쿼트 5×5가 한 날을 다 써 직접이 토요일 주 1회였다.</t>
    <phoneticPr fontId="29" type="noConversion"/>
  </si>
  <si>
    <t>약 111분</t>
    <phoneticPr fontId="29" type="noConversion"/>
  </si>
  <si>
    <t>약 550분 (9시간 10분)</t>
    <phoneticPr fontId="29" type="noConversion"/>
  </si>
  <si>
    <t>· ㊺ [2026-10-26] 토 레그 컬 4 → 6 · 화 레그 익스텐션 3 → 5 — 사용자 결정(남은 세트 여유를 사두 · 햄스트링에). 처음 제안은 불가리안 스플릿 스쿼트였으나 햄스트링엔 거의 안 들어가고 세트당 전신 피로가 커서, 같은 근육을 고립 종목으로 채웠다. 수요일 햄스트링은 이미 6(세션당 6 기준)이라 손대지 않았다. 사두 실질 15.5 · 햄스트링 실질 14.5 · 둘 다 주 2회 유지 · 242세트.</t>
  </si>
  <si>
    <t>약 88분</t>
    <phoneticPr fontId="29" type="noConversion"/>
  </si>
  <si>
    <t>· 토 47세트 111분 · 목 42세트 95분 · 화 43세트 88분 · 수 34세트 89분 · 월 37세트 84분 · 일 39세트 89분. (2026-10-26 토 레그 컬 · 화 레그 익스텐션 +2씩 반영)</t>
    <phoneticPr fontId="29" type="noConversion"/>
  </si>
  <si>
    <t>스미스 프로트랙션 / 스캡 푸시업 (등에 원판) / 원암 케이블 서라투스 펀치</t>
    <phoneticPr fontId="29" type="noConversion"/>
  </si>
  <si>
    <t>스미스 프로트랙션 (2026-10-26 중단 — 월 체스트 프레스 머신 프로트랙션 범위 방식)</t>
    <phoneticPr fontId="29" type="noConversion"/>
  </si>
  <si>
    <t>2주마다 +1 · 13주차 0kg에서 출발 · 원판만 센 무게(봉 제외) (2026-10-23 사용자 결정) · [2026-10-26 중단 — 월요일 체스트 프레스 머신 프로트랙션으로 교체 · 토요일과 같은 범위 + 핀 방식 (사용자 결정)]</t>
    <phoneticPr fontId="29" type="noConversion"/>
  </si>
  <si>
    <t>직접 9세트: 토 체스트 프레스 머신 프로트랙션 2 · 월 체스트 프레스 머신 프로트랙션 4(2026-10-26 스미스 프로트랙션에서 교체) · 수 인클라인 덤벨 프로트랙션 3. 2026-10-23 신설 — 사용자 결정(키우기 · 견갑골 안정화). 그 전에는 직접 0이었다. 간접은 계상하지 않는다 — 프레스 · 오버헤드 슈러그의 전인 · 상방회전 기여에 맞는 계수 줄이 09-04 규칙서에 없다. 각도를 수평(토 · 월) → 45°(수)로 나눴다. 하한(8~10)에서 출발 — 기록이 쌓이면 세션당 6 기준 안에서 올린다.</t>
    <phoneticPr fontId="29" type="noConversion"/>
  </si>
  <si>
    <t>· ㊻ [2026-10-26 같은 날] 월 9번 스미스 프로트랙션 → 체스트 프레스 머신 프로트랙션 — 사용자 결정. 토요일과 같은 머신 · 같은 방식(범위 + 핀 미세 단계)으로 맞췄다. 4 × 15 고정 · 2주 +1kg 선형 추적은 멈춤(12종목 → 11종목). 세트 · 시간 그대로 · 242세트.</t>
  </si>
  <si>
    <t>원 레그 라잉 컬</t>
    <phoneticPr fontId="29" type="noConversion"/>
  </si>
  <si>
    <t>원 레그 시티드 컬 (옆 센터) / 라잉 레그 컬 (양측 — 편측 자리가 없을 때) / 노르딕 햄 컬 (맨몸)</t>
    <phoneticPr fontId="29" type="noConversion"/>
  </si>
  <si>
    <t>· ㊼ [2026-10-26 같은 날] 토 레그 컬 = 실제로는 라잉이었다(사용자 정정) → 옆 센터(걸어서 2~3분) 시티드 레그 컬로 바꾸고 8번 → 맨 끝(11번) — 사용자 결정. 고관절 굽힘 = 늘어난 위치(Maeo 2021 시티드 &gt; 라잉). 옆 센터는 한 번만 가고 거기서 끝낸다. 무게는 첫날 다시 찾는다. 수요일 원 레그 컬은 라잉 그대로 · 이름만 '원 레그 라잉 컬'. 세트 · 시간 그대로(이동 2~3분 별도) · 242세트.</t>
  </si>
  <si>
    <t>[2026-10-24 사용자 결정 · 원암 케이블 서라투스 펀치에서 교체]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가동 범위가 짧은 게 정상이다. 첫날 12회가 되는 무게를 찾아 적는다 — 프레스 작업 무게보다 무겁게 나와도 이상하지 않다. ── 이전 메모: [2026-10-23 신설 · 사용자 결정] 전거근 직접 — 키우기 · 견갑골 안정화가 목적이다. 토 2 · 월 4 · 수 3 = 주 9(토요일은 이미 가장 무거운 날이라 2). 수평 · 서서. [동작] 도르래를 어깨 높이에 · 케이블을 등지고 한 팔을 앞으로 편 채 시작 · 팔꿈치는 끝까지 편 채로 견갑골만 앞으로 더 내민다 · 끝에서 1초 · 날개뼈가 등에 붙을 때까지 천천히 돌아온다 · 어깨를 으쓱하면 상부 승모가 일을 가져간다. 어깨 블록 뒤에 둔다 — 프레스 앞에서 전거근을 지치게 하면 프레스 중 견갑골이 흔들린다.</t>
    <phoneticPr fontId="29" type="noConversion"/>
  </si>
  <si>
    <t>[2026-10-26 사용자 결정 · 스미스 프로트랙션에서 교체] 토요일과 같은 머신 · 같은 방식 — 4 × 12~15 범위 + 핀 미세 단계(전 세트 15회면 앱 ▲). 선형 자동 증량(2주 +1kg)은 멈췄다 — 증량기록 AD열 · 시작중량_설정 19행은 기록만 남긴다. 양팔 · 앉아서 · 궤도 고정. [동작] [2026-10-26 보강] 시트 높이 — 손잡이가 가슴 한가운데(유두 높이)나 그보다 조금 아래 · 팔을 폈을 때 바닥과 평행하거나 손이 살짝 아래를 향하게(어깨보다 높으면 밀 때 어깨가 따라 올라간다 · 명치 아래면 어깨뼈가 앞으로 안 나간다 · 애매하면 한 칸 낮게) · 팔을 끝까지 편 채 시작 · 팔꿈치는 편 채로 고정하고 견갑골만 앞으로 밀어 손잡이가 3~5cm 더 나가게 · 끝에서 1초 · 날개뼈가 등에 붙을 때까지 천천히 돌아온다(팔꿈치 굽히면 체스트 프레스가 된다) · 어깨 으쓱 금지 — 시작 전에 어깨를 귀에서 멀리 내리고 가슴을 살짝 세운 뒤, 나갈 때도 돌아올 때도 그 높이 그대로. 돌아올 때는 날개뼈가 등받이 쪽으로 뒤로 모이기만 한다(위로 올라가면 상부 승모) · 툭 풀지 말고 2초. 그래도 올라가면 무게를 한 칸 내린다. 첫날 12~15회가 되는 무게를 찾아 적는다 — 토요일(10~12회) 무게보다 한두 칸 가볍게 나오는 게 정상이다. ── 이전 메모: [2026-10-23 사용자 결정] 15회 × 4세트 고정 · 2주마다 +1kg 자동(13주차 0kg에서 출발 · 증량기록 AD열). 15회를 못 채운 주는 AE열에 마지막 세트 반복수를 적고 같은 무게를 한 번 더. 2주 연속 미달이면 선형을 멈추고 범위 방식으로 돌아간다. 무게는 원판만 센 값이다 — 봉 무게를 몰라도 1kg 격자 규칙이 맞는다. 빈 바(원판 0)에서 출발 — 처음 2주가 적응이고 15주차에 원판 1kg(한쪽 0.5)부터. [2026-10-23 신설 · 사용자 결정] 전거근 직접 주 9 중 4 — 하중을 제대로 거는 자리다(원판 1kg 단위 증량 · 궤도 고정이라 무거워져도 자세가 유지된다). 스캡 푸시업은 등에 원판을 올리는 데서 하중이 막혀 이것으로 정했다(사용자). 수평 · 누워서. [동작] 플랫 벤치를 스미스 안에 · 팔을 가슴 위로 편 채 바를 잡는다 · 팔꿈치는 굽히지 않고 견갑골만 벌려 바를 5~8cm 밀어 올린다 · 끝에서 1초 · 날개뼈가 벤치에 붙을 때까지 천천히 내린다. 첫 2주는 빈 바나 가벼운 원판 — 끝 범위 1초를 먼저 익힌다(무게가 먼저 늘면 으쓱하거나 팔꿈치를 굽혀 밀게 된다). 움직이는 거리가 짧아 그 뒤로는 생각보다 무겁게 올라간다.</t>
    <phoneticPr fontId="29" type="noConversion"/>
  </si>
  <si>
    <t>인클라인 플라이 머신</t>
    <phoneticPr fontId="29" type="noConversion"/>
  </si>
  <si>
    <t>[2026-10-26 사용자 결정 · 인클라인 덤벨 플라이에서 교체] 옆 센터(걸어서 2~3분)의 인클라인 플라이 머신. 자리는 3번 그대로 — 가슴 블록을 이어서 끝내고 딥스 전에 돌아온다(왕복 약 5분 · 시간 칸에는 안 넣었다). 바꾼 이유 — 궤도가 고정돼 가장 늘어난 자리의 깊이를 매번 같게 지킬 수 있고(오른쪽 전면 삼각근 크기 차이를 덤벨 플라이 탓으로 의심 중 · 2026-10-26), 덤벨 10 → 12는 한 번에 20%라 핀 미세 단계가 낫다. [셋업] 손잡이가 가슴 위쪽(쇄골 아래) 높이에서 모이게 시트를 맞춘다 · 가동범위 조절이 있으면 팔이 몸통 선보다 뒤로 넘어가지 않는 칸 · 팔꿈치는 살짝 굽혀 고정 · 어깨를 내리고 가슴을 세운 채 · 돌아올 때 2초. 무게는 첫날 10~12회로 찾는다(덤벨 10kg과 이어지지 않는다). 드롭은 걸지 않는다(이전 결정 유지). ── 이전 메모: 상부지를 프레스와 플라이 둘로 나눠 각 3세트 (2026-10-02 사용자가 엑셀에서 직접 조정) — 흉근 합산을 25.0 → 22.5로 내리려고 둘에서 하나씩 뺐다. 각도는 30~45도.</t>
    <phoneticPr fontId="29" type="noConversion"/>
  </si>
  <si>
    <t>인클라인 덤벨 플라이 (본 센터 · 이동 없이) / 펙덱 플라이 머신 (인클라인 각도) / 인클라인 케이블 플라이</t>
    <phoneticPr fontId="29" type="noConversion"/>
  </si>
  <si>
    <t>플라이 시작 구간 전면삼각 약관여 — 인클라인 덤벨 플라이와 같은 등급</t>
    <phoneticPr fontId="29" type="noConversion"/>
  </si>
  <si>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phoneticPr fontId="29" type="noConversion"/>
  </si>
  <si>
    <t>· ㊽ [2026-10-26 같은 날] 월 3번 인클라인 덤벨 플라이 → 옆 센터 인클라인 플라이 머신 — 사용자 결정. 자리는 3번 그대로(맨 끝 이동안 대신 가슴 블록을 이어서 끝내고 왕복 약 5분). 궤도 고정으로 늘어난 자리 깊이를 일정하게(오른쪽 전면 삼각근 차이 관찰 중) · 덤벨 10 → 12 = 20% 점프 대신 핀 미세 단계. 무게는 첫날 다시 찾는다 · 간접계수 그대로 · 242세트.</t>
  </si>
  <si>
    <t>레그 컬</t>
    <phoneticPr fontId="29" type="noConversion"/>
  </si>
  <si>
    <t>시티드 레그 컬 (옆 센터 · 고관절이 굽어 늘어난 구간) / 노르딕 햄 컬 (맨몸)</t>
    <phoneticPr fontId="29" type="noConversion"/>
  </si>
  <si>
    <t>[2026-10-26 이름 정정 — 실제로 라잉 기구에서 한 다리씩 · 토요일도 라잉(2026-10-27 시티드에서 복귀)] [2026-10-24 사용자 결정] 3×10 고정 → 3×10~12 더블 프로그레션 — 전 세트(좌우) 12회면 앱 ▲로 핀 단계(30 → + 핀 → + 핀 + 1 → + 핀 + 2.5 → 다음 칸). 좌우가 갈리면 약한 쪽 반복으로 판정한다. [2026-10-02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phoneticPr fontId="29" type="noConversion"/>
  </si>
  <si>
    <t>직접 12세트: 토요일 레그 컬 6(양측 · 라잉 · 중량 · 2026-10-26 4 → 6 · 10-26 시티드로 갔다가 10-27 라잉 · 8번으로 복귀) + 수요일 루마니안 데드 3 · 원 레그 라잉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</si>
  <si>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 ㊾ [2026-10-27] 토 시티드 레그 컬(옆 센터 · 11번) → 라잉 레그 컬 · 8번 원래 자리로 복귀 — 사용자 결정. ㊼을 되돌린 것. 옆 센터 이동이 없어지고 무게는 라잉 50부터 이어 간다. 수요일 원 레그 라잉 컬은 그대로. 세트 · 시간 그대로 · 242세트.</t>
    <phoneticPr fontId="29" type="noConversion"/>
  </si>
  <si>
    <t>[2026-10-27 셋업 · 사용자 결정 — 패드 끼우기] 골반 앞(엉덩이뼈 ~ 허벅지 윗부분) 아래에 접은 패드나 매트를 넣어 엉덩이를 들어 올린다 — 고관절이 굽어 햄스트링이 시티드 쪽 길이로 늘어난다. 무릎뼈는 패드 끝 밖에 두고 무릎 축을 기구 회전축에 맞춘다. 허리가 꺾이지 않게 배에 힘 · 엉덩이가 패드에서 뜨면 무게가 무거운 것. 같은 무게라도 늘어나서 무겁게 느껴질 수 있다 — 첫날 10~12회가 안 나오면 핀 한 단계 내린다. 앱 예열 1세트(50% × 6~8)를 붙였다 — 늘어난 자세 + 그날 첫 무릎 굽힘. [2026-10-27 사용자 결정 · 시티드에서 라잉으로 복귀 · 맨 끝 → 8번 원래 자리] 본 센터 라잉 레그 컬로 돌아왔다 — 옆 센터 이동 없음. 무게는 라잉 마지막 50부터. 드롭 75초 · 미세 단계(핀) 그대로. ── 이전 메모:  [2026-10-26 4 → 6 · 사용자 결정] 남은 세트 여유를 햄스트링에 — 세션당 6 기준까지. 불가리안 스플릿 스쿼트도 검토했으나 햄스트링 길이가 거의 안 바뀌고 세트당 전신 피로가 커서 고립으로 채웠다. 수요일은 루마니안 3 · 원 레그 컬 3으로 이미 6이라 토요일에 얹는다. [2026-10-02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phoneticPr fontId="29" type="noConversion"/>
  </si>
  <si>
    <t>· ㊿ [2026-10-27 같은 날] 토 라잉 레그 컬에 패드 — 사용자 결정. 골반 앞 아래에 패드를 넣어 고관절을 굽힌다(라잉 기구로 늘어난 위치를 얻는다 · 옆 센터 이동 없이). 앱 예열 1세트 추가. 세트 · 무게 · 시간 그대로 · 242세트.</t>
    <phoneticPr fontId="29" type="noConversion"/>
  </si>
  <si>
    <t>[2026-10-21 사용자 요청 · 케이블 Y 레이즈 자리] 밀리터리 바로 뒤에 붙인다 — 바벨이 무게를 밀고(8회 · 증량 추적) 덤벨은 궤도를 자유롭게 두고 10~12회로 가동범위 끝까지 쓴다. 반복 구간을 갈라 두 프레스가 같은 일을 하지 않게 했다. 등받이 80~90° · 팔꿈치는 몸통 앞 약 30°(정옆으로 벌리지 않는다 — 10/15 오른쪽 앞 어깨 찝힘 이후 · 측면 직접은 바로 뒤 시티드 레터럴이 맡으니 여기서 측면을 짜내려고 벌릴 이유가 없다) · 아래에서 팔뚝은 바닥과 수직(팔꿈치가 손목 바로 밑) · 깊이는 덤벨이 귀~턱 높이까지, 어깨 앞이 당기면 거기서 멈춘다 · 올릴 땐 살짝 모이며 머리 위로 · 위에서 덤벨끼리 부딪치지 않게 멈춘다. [2026-10-27 사용자 요청 · 큐 보강] 어깨 앞이 찝히면 팔꿈치를 더 앞으로 모으고, 그래도 찝히면 그날은 무게 한 단계 내림. 중량은 한 손 기준 출발값 — 밀리터리 3×8 직후라 첫 세션에 10회를 못 채우면 12로. 덤벨은 한 손 2kg씩 뛰므로 12회를 채우면 다음 무게로(더블 프로그레션). 드롭 없음(복합 프레스). 계수 — 삼두 0.5 · 측면 0.5 · 승모 상부 0.2(밀리터리 8회와 같은 등급).</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</si>
</sst>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5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7" fillId="0" borderId="0" xfId="0" applyFont="1" applyAlignment="1">
      <alignment horizontal="center" vertical="center"/>
    </xf>
    <xf numFmtId="2" fontId="9" fillId="4" borderId="0" xfId="0" applyNumberFormat="1" applyFont="1" applyFill="1" applyAlignment="1">
      <alignment horizontal="center" vertical="center"/>
    </xf>
    <xf numFmtId="0" fontId="4" fillId="2" borderId="4" xfId="0" applyFont="1" applyFill="1" applyBorder="1" applyAlignment="1">
      <alignment horizontal="center" vertical="center"/>
    </xf>
    <xf numFmtId="2" fontId="51" fillId="0" borderId="4" xfId="0" applyNumberFormat="1" applyFont="1" applyBorder="1" applyAlignment="1">
      <alignment horizontal="center" vertical="center"/>
    </xf>
    <xf numFmtId="49" fontId="51" fillId="0" borderId="4" xfId="0" applyNumberFormat="1" applyFont="1" applyBorder="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0"/>
  <sheetViews>
    <sheetView topLeftCell="A36" zoomScaleNormal="100" workbookViewId="0">
      <selection activeCell="A75" sqref="A75"/>
    </sheetView>
  </sheetViews>
  <sheetFormatPr defaultColWidth="8.7109375" defaultRowHeight="15"/>
  <cols>
    <col min="1" max="1" width="18" customWidth="1"/>
    <col min="2" max="2" width="14" customWidth="1"/>
    <col min="3" max="6" width="16" customWidth="1"/>
  </cols>
  <sheetData>
    <row r="1" spans="1:6" ht="21" customHeight="1">
      <c r="A1" s="1" t="s">
        <v>72</v>
      </c>
    </row>
    <row r="2" spans="1:6" ht="15" customHeight="1">
      <c r="A2" s="2" t="s">
        <v>73</v>
      </c>
    </row>
    <row r="4" spans="1:6" ht="15" customHeight="1">
      <c r="A4" s="3" t="s">
        <v>74</v>
      </c>
      <c r="C4" s="4">
        <v>11</v>
      </c>
      <c r="D4" s="2" t="s">
        <v>75</v>
      </c>
    </row>
    <row r="6" spans="1:6" ht="15" customHeight="1">
      <c r="A6" s="5" t="s">
        <v>76</v>
      </c>
      <c r="B6" s="6" t="s">
        <v>77</v>
      </c>
      <c r="C6" s="5" t="s">
        <v>78</v>
      </c>
      <c r="D6" s="5" t="s">
        <v>79</v>
      </c>
      <c r="E6" s="5" t="s">
        <v>80</v>
      </c>
      <c r="F6" s="5" t="s">
        <v>81</v>
      </c>
    </row>
    <row r="7" spans="1:6" ht="15" customHeight="1">
      <c r="A7" s="7" t="s">
        <v>82</v>
      </c>
      <c r="B7" s="7">
        <v>92.5</v>
      </c>
      <c r="C7" s="8" t="str">
        <f>TEXT(D7/B7,"0%")</f>
        <v>67%</v>
      </c>
      <c r="D7" s="4">
        <v>62</v>
      </c>
      <c r="E7" s="9">
        <f>INDEX(증량기록!$C$22:$C$51,MAX(1,MIN(30,$C$4-5)))</f>
        <v>75</v>
      </c>
      <c r="F7" s="8" t="s">
        <v>83</v>
      </c>
    </row>
    <row r="8" spans="1:6" ht="15" customHeight="1">
      <c r="A8" s="7" t="s">
        <v>84</v>
      </c>
      <c r="B8" s="7">
        <v>105</v>
      </c>
      <c r="C8" s="8" t="str">
        <f>TEXT(D8/B8,"0%")</f>
        <v>64%</v>
      </c>
      <c r="D8" s="4">
        <v>67</v>
      </c>
      <c r="E8" s="9">
        <f>INDEX(증량기록!$E$22:$E$51,MAX(1,MIN(30,$C$4-5)))</f>
        <v>80</v>
      </c>
      <c r="F8" s="8" t="s">
        <v>85</v>
      </c>
    </row>
    <row r="9" spans="1:6" ht="15" customHeight="1">
      <c r="A9" s="7" t="s">
        <v>86</v>
      </c>
      <c r="B9" s="7">
        <v>47.25</v>
      </c>
      <c r="C9" s="8" t="str">
        <f>TEXT(D9/B9,"0%")</f>
        <v>74%</v>
      </c>
      <c r="D9" s="4">
        <v>35</v>
      </c>
      <c r="E9" s="9">
        <f>INDEX(증량기록!$G$22:$G$51,MAX(1,MIN(30,$C$4-5)))</f>
        <v>41</v>
      </c>
      <c r="F9" s="8" t="s">
        <v>87</v>
      </c>
    </row>
    <row r="10" spans="1:6" ht="15" customHeight="1">
      <c r="A10" s="7" t="s">
        <v>88</v>
      </c>
      <c r="B10" s="7">
        <v>40</v>
      </c>
      <c r="C10" s="8" t="str">
        <f>TEXT(D10/B10,"0%")</f>
        <v>70%</v>
      </c>
      <c r="D10" s="4">
        <v>28</v>
      </c>
      <c r="E10" s="9">
        <f>INDEX(증량기록!$I$22:$I$51,MAX(1,MIN(30,$C$4-5)))</f>
        <v>31</v>
      </c>
      <c r="F10" s="8" t="s">
        <v>1521</v>
      </c>
    </row>
    <row r="11" spans="1:6" ht="15" customHeight="1">
      <c r="A11" s="141" t="s">
        <v>1550</v>
      </c>
      <c r="B11" s="141" t="s">
        <v>27</v>
      </c>
      <c r="C11" s="101" t="s">
        <v>27</v>
      </c>
      <c r="D11" s="102">
        <v>60</v>
      </c>
      <c r="E11" s="142">
        <f>IF($C$4&lt;증량기록!$F$9,D11,INDEX(증량기록!$N$22:$N$51,MAX(1,MIN(30,$C$4-5))))</f>
        <v>60</v>
      </c>
      <c r="F11" s="101" t="s">
        <v>87</v>
      </c>
    </row>
    <row r="12" spans="1:6" ht="15" customHeight="1">
      <c r="A12" s="141" t="s">
        <v>517</v>
      </c>
      <c r="B12" s="141" t="s">
        <v>27</v>
      </c>
      <c r="C12" s="101" t="s">
        <v>27</v>
      </c>
      <c r="D12" s="102">
        <v>42</v>
      </c>
      <c r="E12" s="142">
        <f>IF($C$4&lt;증량기록!$F$10,D12,INDEX(증량기록!$P$22:$P$51,MAX(1,MIN(30,$C$4-5))))</f>
        <v>42</v>
      </c>
      <c r="F12" s="101" t="s">
        <v>1551</v>
      </c>
    </row>
    <row r="13" spans="1:6" ht="15" customHeight="1">
      <c r="A13" s="141" t="s">
        <v>374</v>
      </c>
      <c r="B13" s="141" t="s">
        <v>27</v>
      </c>
      <c r="C13" s="101" t="s">
        <v>27</v>
      </c>
      <c r="D13" s="102">
        <v>160</v>
      </c>
      <c r="E13" s="142">
        <f>IF($C$4&lt;증량기록!$F$11,D13,INDEX(증량기록!$R$22:$R$51,MAX(1,MIN(30,$C$4-5))))</f>
        <v>160</v>
      </c>
      <c r="F13" s="101" t="s">
        <v>1568</v>
      </c>
    </row>
    <row r="14" spans="1:6" ht="15" customHeight="1">
      <c r="A14" s="141" t="s">
        <v>1065</v>
      </c>
      <c r="B14" s="141" t="s">
        <v>27</v>
      </c>
      <c r="C14" s="101" t="s">
        <v>27</v>
      </c>
      <c r="D14" s="102">
        <v>140</v>
      </c>
      <c r="E14" s="142">
        <f>IF($C$4&lt;증량기록!$F$12,D14,INDEX(증량기록!$T$22:$T$51,MAX(1,MIN(30,$C$4-5))))</f>
        <v>140</v>
      </c>
      <c r="F14" s="101" t="s">
        <v>1568</v>
      </c>
    </row>
    <row r="15" spans="1:6" ht="15" customHeight="1">
      <c r="A15" s="141" t="s">
        <v>559</v>
      </c>
      <c r="B15" s="141" t="s">
        <v>27</v>
      </c>
      <c r="C15" s="101" t="s">
        <v>27</v>
      </c>
      <c r="D15" s="102">
        <v>50</v>
      </c>
      <c r="E15" s="142">
        <f>IF($C$4&lt;증량기록!$F$13,D15,INDEX(증량기록!$V$22:$V$51,MAX(1,MIN(30,$C$4-5))))</f>
        <v>50</v>
      </c>
      <c r="F15" s="101" t="s">
        <v>1551</v>
      </c>
    </row>
    <row r="16" spans="1:6" ht="15" customHeight="1">
      <c r="A16" s="141" t="s">
        <v>556</v>
      </c>
      <c r="B16" s="141" t="s">
        <v>27</v>
      </c>
      <c r="C16" s="101" t="s">
        <v>27</v>
      </c>
      <c r="D16" s="102">
        <v>25</v>
      </c>
      <c r="E16" s="142">
        <f>IF($C$4&lt;증량기록!$F$14,D16,INDEX(증량기록!$X$22:$X$51,MAX(1,MIN(30,$C$4-5))))</f>
        <v>25</v>
      </c>
      <c r="F16" s="101" t="s">
        <v>1581</v>
      </c>
    </row>
    <row r="17" spans="1:6" ht="15" customHeight="1">
      <c r="A17" s="141" t="s">
        <v>417</v>
      </c>
      <c r="B17" s="141" t="s">
        <v>27</v>
      </c>
      <c r="C17" s="101" t="s">
        <v>27</v>
      </c>
      <c r="D17" s="102">
        <v>25</v>
      </c>
      <c r="E17" s="142">
        <f>IF($C$4&lt;증량기록!$F$15,D17,INDEX(증량기록!$Z$22:$Z$51,MAX(1,MIN(30,$C$4-5))))</f>
        <v>25</v>
      </c>
      <c r="F17" s="101" t="s">
        <v>1586</v>
      </c>
    </row>
    <row r="18" spans="1:6" ht="15" customHeight="1">
      <c r="A18" s="141" t="s">
        <v>1591</v>
      </c>
      <c r="B18" s="141" t="s">
        <v>27</v>
      </c>
      <c r="C18" s="101" t="s">
        <v>27</v>
      </c>
      <c r="D18" s="102">
        <v>50</v>
      </c>
      <c r="E18" s="142">
        <f>IF($C$4&lt;증량기록!$F$16,D18,INDEX(증량기록!$AB$22:$AB$51,MAX(1,MIN(30,$C$4-5))))</f>
        <v>50</v>
      </c>
      <c r="F18" s="101" t="s">
        <v>1586</v>
      </c>
    </row>
    <row r="19" spans="1:6" ht="15" customHeight="1">
      <c r="A19" s="141" t="s">
        <v>1653</v>
      </c>
      <c r="B19" s="141" t="s">
        <v>27</v>
      </c>
      <c r="C19" s="101" t="s">
        <v>27</v>
      </c>
      <c r="D19" s="102">
        <v>0</v>
      </c>
      <c r="E19" s="142">
        <f>IF($C$4&lt;증량기록!$F$17,D19,INDEX(증량기록!$AD$22:$AD$51,MAX(1,MIN(30,$C$4-5))))</f>
        <v>0</v>
      </c>
      <c r="F19" s="101" t="s">
        <v>1596</v>
      </c>
    </row>
    <row r="20" spans="1:6" ht="15" customHeight="1">
      <c r="A20" s="141" t="s">
        <v>588</v>
      </c>
      <c r="B20" s="141" t="s">
        <v>27</v>
      </c>
      <c r="C20" s="101" t="s">
        <v>27</v>
      </c>
      <c r="D20" s="102">
        <v>15</v>
      </c>
      <c r="E20" s="142">
        <f>IF($C$4&lt;증량기록!$F$18,D20,INDEX(증량기록!$AF$22:$AF$51,MAX(1,MIN(30,$C$4-5))))</f>
        <v>15</v>
      </c>
      <c r="F20" s="101" t="s">
        <v>1568</v>
      </c>
    </row>
    <row r="21" spans="1:6" ht="15" customHeight="1">
      <c r="A21" s="141" t="s">
        <v>439</v>
      </c>
      <c r="B21" s="141" t="s">
        <v>27</v>
      </c>
      <c r="C21" s="101" t="s">
        <v>27</v>
      </c>
      <c r="D21" s="102">
        <v>15</v>
      </c>
      <c r="E21" s="142">
        <f>IF($C$4&lt;증량기록!$F$19,D21,INDEX(증량기록!$AH$22:$AH$51,MAX(1,MIN(30,$C$4-5))))</f>
        <v>15</v>
      </c>
      <c r="F21" s="101" t="s">
        <v>1604</v>
      </c>
    </row>
    <row r="22" spans="1:6" ht="15" customHeight="1">
      <c r="A22" s="141" t="s">
        <v>1608</v>
      </c>
      <c r="B22" s="141" t="s">
        <v>27</v>
      </c>
      <c r="C22" s="101" t="s">
        <v>27</v>
      </c>
      <c r="D22" s="102">
        <v>40</v>
      </c>
      <c r="E22" s="142">
        <f>IF($C$4&lt;증량기록!$F$20,D22,INDEX(증량기록!$AJ$22:$AJ$51,MAX(1,MIN(30,$C$4-5))))</f>
        <v>40</v>
      </c>
      <c r="F22" s="101" t="s">
        <v>1609</v>
      </c>
    </row>
    <row r="23" spans="1:6" ht="15" customHeight="1">
      <c r="D23" s="10" t="s">
        <v>89</v>
      </c>
    </row>
    <row r="24" spans="1:6" ht="15" customHeight="1">
      <c r="A24" s="11"/>
    </row>
    <row r="25" spans="1:6" ht="32.25" customHeight="1">
      <c r="A25" s="12" t="s">
        <v>90</v>
      </c>
    </row>
    <row r="26" spans="1:6" ht="51.75" customHeight="1">
      <c r="A26" s="11" t="s">
        <v>91</v>
      </c>
    </row>
    <row r="27" spans="1:6" ht="51.75" customHeight="1">
      <c r="A27" s="11" t="s">
        <v>92</v>
      </c>
    </row>
    <row r="28" spans="1:6" ht="64.5" customHeight="1">
      <c r="A28" s="11" t="s">
        <v>93</v>
      </c>
    </row>
    <row r="29" spans="1:6" ht="51.75" customHeight="1">
      <c r="A29" s="11" t="s">
        <v>94</v>
      </c>
    </row>
    <row r="30" spans="1:6" ht="51.75" customHeight="1">
      <c r="A30" s="11"/>
    </row>
    <row r="31" spans="1:6" ht="15" customHeight="1">
      <c r="A31" s="12" t="s">
        <v>95</v>
      </c>
    </row>
    <row r="32" spans="1:6" ht="77.25" customHeight="1">
      <c r="A32" s="11" t="s">
        <v>96</v>
      </c>
    </row>
    <row r="33" spans="1:1" ht="51.75" customHeight="1">
      <c r="A33" s="11" t="s">
        <v>97</v>
      </c>
    </row>
    <row r="34" spans="1:1" ht="15" customHeight="1">
      <c r="A34" s="11" t="s">
        <v>98</v>
      </c>
    </row>
    <row r="35" spans="1:1" ht="16.5" customHeight="1">
      <c r="A35" s="11" t="s">
        <v>99</v>
      </c>
    </row>
    <row r="36" spans="1:1" ht="51.75" customHeight="1">
      <c r="A36" s="11" t="s">
        <v>100</v>
      </c>
    </row>
    <row r="37" spans="1:1" ht="39" customHeight="1">
      <c r="A37" s="11"/>
    </row>
    <row r="38" spans="1:1" ht="64.5" customHeight="1">
      <c r="A38" s="11" t="s">
        <v>101</v>
      </c>
    </row>
    <row r="39" spans="1:1" ht="15" customHeight="1">
      <c r="A39" s="11" t="s">
        <v>102</v>
      </c>
    </row>
    <row r="40" spans="1:1" ht="60" customHeight="1">
      <c r="A40" s="11"/>
    </row>
    <row r="41" spans="1:1" ht="51.75" customHeight="1">
      <c r="A41" s="13" t="s">
        <v>103</v>
      </c>
    </row>
    <row r="42" spans="1:1" ht="51.75" customHeight="1">
      <c r="A42" s="11" t="s">
        <v>104</v>
      </c>
    </row>
    <row r="43" spans="1:1" ht="64.5" customHeight="1">
      <c r="A43" s="11" t="s">
        <v>105</v>
      </c>
    </row>
    <row r="44" spans="1:1" ht="64.5" customHeight="1">
      <c r="A44" s="11" t="s">
        <v>106</v>
      </c>
    </row>
    <row r="45" spans="1:1" ht="15" customHeight="1">
      <c r="A45" s="11"/>
    </row>
    <row r="46" spans="1:1" ht="51.75" customHeight="1">
      <c r="A46" s="11" t="s">
        <v>107</v>
      </c>
    </row>
    <row r="47" spans="1:1" ht="64.5" customHeight="1">
      <c r="A47" s="11" t="s">
        <v>108</v>
      </c>
    </row>
    <row r="48" spans="1:1" ht="26.25" customHeight="1">
      <c r="A48" s="11" t="s">
        <v>109</v>
      </c>
    </row>
    <row r="49" spans="1:5" ht="26.25" customHeight="1">
      <c r="A49" s="11" t="s">
        <v>110</v>
      </c>
    </row>
    <row r="50" spans="1:5" ht="26.25" customHeight="1">
      <c r="A50" s="11" t="s">
        <v>111</v>
      </c>
    </row>
    <row r="51" spans="1:5" ht="26.25" customHeight="1">
      <c r="A51" s="11" t="s">
        <v>112</v>
      </c>
    </row>
    <row r="53" spans="1:5" ht="16.5" customHeight="1">
      <c r="A53" s="14" t="s">
        <v>113</v>
      </c>
    </row>
    <row r="54" spans="1:5" ht="15" customHeight="1">
      <c r="A54" s="5" t="s">
        <v>114</v>
      </c>
      <c r="B54" s="5" t="s">
        <v>82</v>
      </c>
      <c r="C54" s="5" t="s">
        <v>84</v>
      </c>
      <c r="D54" s="5" t="s">
        <v>86</v>
      </c>
      <c r="E54" s="5" t="s">
        <v>88</v>
      </c>
    </row>
    <row r="55" spans="1:5" ht="15" customHeight="1">
      <c r="A55" s="15" t="s">
        <v>115</v>
      </c>
      <c r="B55" s="9">
        <f>증량기록!C22</f>
        <v>62</v>
      </c>
      <c r="C55" s="9">
        <f>증량기록!E22</f>
        <v>67</v>
      </c>
      <c r="D55" s="9">
        <f>증량기록!G22</f>
        <v>35</v>
      </c>
      <c r="E55" s="9">
        <f>증량기록!I22</f>
        <v>28</v>
      </c>
    </row>
    <row r="56" spans="1:5" ht="15" customHeight="1">
      <c r="A56" s="8" t="s">
        <v>116</v>
      </c>
      <c r="B56" s="16">
        <f>증량기록!C23</f>
        <v>65</v>
      </c>
      <c r="C56" s="16">
        <f>증량기록!E23</f>
        <v>70</v>
      </c>
      <c r="D56" s="16">
        <f>증량기록!G23</f>
        <v>36</v>
      </c>
      <c r="E56" s="16">
        <f>증량기록!I23</f>
        <v>28</v>
      </c>
    </row>
    <row r="57" spans="1:5" ht="15" customHeight="1">
      <c r="A57" s="8" t="s">
        <v>117</v>
      </c>
      <c r="B57" s="16">
        <f>증량기록!C24</f>
        <v>67</v>
      </c>
      <c r="C57" s="16">
        <f>증량기록!E24</f>
        <v>72</v>
      </c>
      <c r="D57" s="16">
        <f>증량기록!G24</f>
        <v>37</v>
      </c>
      <c r="E57" s="16">
        <f>증량기록!I24</f>
        <v>30</v>
      </c>
    </row>
    <row r="58" spans="1:5" ht="15" customHeight="1">
      <c r="A58" s="8" t="s">
        <v>118</v>
      </c>
      <c r="B58" s="16">
        <f>증량기록!C25</f>
        <v>70</v>
      </c>
      <c r="C58" s="16">
        <f>증량기록!E25</f>
        <v>75</v>
      </c>
      <c r="D58" s="16">
        <f>증량기록!G25</f>
        <v>38</v>
      </c>
      <c r="E58" s="16">
        <f>증량기록!I25</f>
        <v>30</v>
      </c>
    </row>
    <row r="59" spans="1:5" ht="15" customHeight="1">
      <c r="A59" s="8" t="s">
        <v>119</v>
      </c>
      <c r="B59" s="16">
        <f>증량기록!C26</f>
        <v>72</v>
      </c>
      <c r="C59" s="16">
        <f>증량기록!E26</f>
        <v>77</v>
      </c>
      <c r="D59" s="16">
        <f>증량기록!G26</f>
        <v>40</v>
      </c>
      <c r="E59" s="16">
        <f>증량기록!I26</f>
        <v>31</v>
      </c>
    </row>
    <row r="60" spans="1:5" ht="15" customHeight="1">
      <c r="A60" s="8" t="s">
        <v>120</v>
      </c>
      <c r="B60" s="16">
        <f>증량기록!C27</f>
        <v>75</v>
      </c>
      <c r="C60" s="16">
        <f>증량기록!E27</f>
        <v>80</v>
      </c>
      <c r="D60" s="16">
        <f>증량기록!G27</f>
        <v>41</v>
      </c>
      <c r="E60" s="16">
        <f>증량기록!I27</f>
        <v>31</v>
      </c>
    </row>
    <row r="61" spans="1:5" ht="15" customHeight="1">
      <c r="A61" s="8" t="s">
        <v>121</v>
      </c>
      <c r="B61" s="16">
        <f>증량기록!C28</f>
        <v>77</v>
      </c>
      <c r="C61" s="16">
        <f>증량기록!E28</f>
        <v>82</v>
      </c>
      <c r="D61" s="16">
        <f>증량기록!G28</f>
        <v>42</v>
      </c>
      <c r="E61" s="16">
        <f>증량기록!I28</f>
        <v>32</v>
      </c>
    </row>
    <row r="62" spans="1:5" ht="15" customHeight="1">
      <c r="A62" s="8" t="s">
        <v>122</v>
      </c>
      <c r="B62" s="16">
        <f>증량기록!C29</f>
        <v>80</v>
      </c>
      <c r="C62" s="16">
        <f>증량기록!E29</f>
        <v>85</v>
      </c>
      <c r="D62" s="16">
        <f>증량기록!G29</f>
        <v>43</v>
      </c>
      <c r="E62" s="16">
        <f>증량기록!I29</f>
        <v>32</v>
      </c>
    </row>
    <row r="63" spans="1:5" ht="15" customHeight="1">
      <c r="A63" s="8" t="s">
        <v>123</v>
      </c>
      <c r="B63" s="16">
        <f>증량기록!C30</f>
        <v>82</v>
      </c>
      <c r="C63" s="16">
        <f>증량기록!E30</f>
        <v>87</v>
      </c>
      <c r="D63" s="16">
        <f>증량기록!G30</f>
        <v>45</v>
      </c>
      <c r="E63" s="16">
        <f>증량기록!I30</f>
        <v>33</v>
      </c>
    </row>
    <row r="64" spans="1:5" ht="15" customHeight="1">
      <c r="A64" s="8" t="s">
        <v>124</v>
      </c>
      <c r="B64" s="16">
        <f>증량기록!C31</f>
        <v>85</v>
      </c>
      <c r="C64" s="16">
        <f>증량기록!E31</f>
        <v>90</v>
      </c>
      <c r="D64" s="16">
        <f>증량기록!G31</f>
        <v>46</v>
      </c>
      <c r="E64" s="16">
        <f>증량기록!I31</f>
        <v>33</v>
      </c>
    </row>
    <row r="65" spans="1:5" ht="15" customHeight="1">
      <c r="A65" s="8" t="s">
        <v>125</v>
      </c>
      <c r="B65" s="16">
        <f>증량기록!C32</f>
        <v>87</v>
      </c>
      <c r="C65" s="16">
        <f>증량기록!E32</f>
        <v>92</v>
      </c>
      <c r="D65" s="16">
        <f>증량기록!G32</f>
        <v>47</v>
      </c>
      <c r="E65" s="16">
        <f>증량기록!I32</f>
        <v>35</v>
      </c>
    </row>
    <row r="66" spans="1:5" ht="15" customHeight="1">
      <c r="A66" s="8" t="s">
        <v>126</v>
      </c>
      <c r="B66" s="16">
        <f>증량기록!C33</f>
        <v>90</v>
      </c>
      <c r="C66" s="16">
        <f>증량기록!E33</f>
        <v>95</v>
      </c>
      <c r="D66" s="16">
        <f>증량기록!G33</f>
        <v>48</v>
      </c>
      <c r="E66" s="16">
        <f>증량기록!I33</f>
        <v>35</v>
      </c>
    </row>
    <row r="68" spans="1:5" ht="51.75" customHeight="1">
      <c r="A68" s="11" t="s">
        <v>127</v>
      </c>
    </row>
    <row r="70" spans="1:5">
      <c r="A70" t="s">
        <v>128</v>
      </c>
    </row>
    <row r="71" spans="1:5">
      <c r="A71" t="s">
        <v>129</v>
      </c>
      <c r="C71" s="100">
        <v>46228</v>
      </c>
      <c r="D71" t="s">
        <v>1239</v>
      </c>
    </row>
    <row r="72" spans="1:5">
      <c r="A72" t="s">
        <v>130</v>
      </c>
      <c r="C72" s="100">
        <v>46298</v>
      </c>
      <c r="D72" t="s">
        <v>1240</v>
      </c>
    </row>
    <row r="73" spans="1:5">
      <c r="A73" t="s">
        <v>131</v>
      </c>
      <c r="C73">
        <v>11</v>
      </c>
      <c r="D73" t="s">
        <v>132</v>
      </c>
    </row>
    <row r="74" spans="1:5">
      <c r="A74" t="s">
        <v>133</v>
      </c>
      <c r="C74">
        <v>1</v>
      </c>
      <c r="D74" t="s">
        <v>134</v>
      </c>
    </row>
    <row r="75" spans="1:5">
      <c r="A75" t="s">
        <v>1289</v>
      </c>
      <c r="C75" s="100">
        <v>46312</v>
      </c>
      <c r="D75" t="s">
        <v>1294</v>
      </c>
    </row>
    <row r="76" spans="1:5">
      <c r="A76" t="s">
        <v>1292</v>
      </c>
      <c r="C76" s="133">
        <v>7</v>
      </c>
      <c r="D76" t="s">
        <v>1293</v>
      </c>
    </row>
    <row r="77" spans="1:5">
      <c r="A77" t="s">
        <v>135</v>
      </c>
      <c r="C77" s="100">
        <v>46266</v>
      </c>
      <c r="D77" t="s">
        <v>136</v>
      </c>
    </row>
    <row r="78" spans="1:5">
      <c r="A78" t="s">
        <v>137</v>
      </c>
    </row>
    <row r="79" spans="1:5">
      <c r="A79" t="s">
        <v>138</v>
      </c>
    </row>
    <row r="80" spans="1:5">
      <c r="A80" t="s">
        <v>139</v>
      </c>
    </row>
    <row r="81" spans="1:1">
      <c r="A81" t="s">
        <v>1290</v>
      </c>
    </row>
    <row r="82" spans="1:1">
      <c r="A82" t="s">
        <v>140</v>
      </c>
    </row>
    <row r="83" spans="1:1">
      <c r="A83" t="s">
        <v>141</v>
      </c>
    </row>
    <row r="84" spans="1:1">
      <c r="A84" t="s">
        <v>1241</v>
      </c>
    </row>
    <row r="85" spans="1:1">
      <c r="A85" t="s">
        <v>1243</v>
      </c>
    </row>
    <row r="86" spans="1:1">
      <c r="A86" t="s">
        <v>1432</v>
      </c>
    </row>
    <row r="87" spans="1:1">
      <c r="A87" t="s">
        <v>1522</v>
      </c>
    </row>
    <row r="88" spans="1:1">
      <c r="A88" t="s">
        <v>1560</v>
      </c>
    </row>
    <row r="89" spans="1:1">
      <c r="A89" t="s">
        <v>1599</v>
      </c>
    </row>
    <row r="90" spans="1:1">
      <c r="A90" t="s">
        <v>1614</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142</v>
      </c>
    </row>
    <row r="2" spans="1:6" ht="15" customHeight="1">
      <c r="A2" s="18" t="s">
        <v>143</v>
      </c>
    </row>
    <row r="4" spans="1:6" ht="15" customHeight="1">
      <c r="A4" s="19" t="s">
        <v>144</v>
      </c>
      <c r="B4" s="19" t="s">
        <v>145</v>
      </c>
      <c r="C4" s="19" t="s">
        <v>146</v>
      </c>
      <c r="D4" s="19" t="s">
        <v>147</v>
      </c>
      <c r="E4" s="19" t="s">
        <v>148</v>
      </c>
      <c r="F4" s="19" t="s">
        <v>149</v>
      </c>
    </row>
    <row r="5" spans="1:6" ht="15" customHeight="1">
      <c r="A5" s="20">
        <v>1</v>
      </c>
      <c r="B5" s="21" t="s">
        <v>150</v>
      </c>
      <c r="C5" s="22" t="s">
        <v>27</v>
      </c>
      <c r="D5" s="21" t="s">
        <v>151</v>
      </c>
      <c r="E5" s="20">
        <f>INDEX(D1_당기기A!$E:$E,MATCH("세트 합계",D1_당기기A!$D:$D,0))</f>
        <v>32</v>
      </c>
      <c r="F5" s="20" t="str">
        <f>"약 "&amp;INDEX(D1_당기기A!$I:$I,MATCH("세트 합계",D1_당기기A!$D:$D,0))&amp;"분"</f>
        <v>약 76분</v>
      </c>
    </row>
    <row r="6" spans="1:6" ht="15" customHeight="1">
      <c r="A6" s="20">
        <v>2</v>
      </c>
      <c r="B6" s="21" t="s">
        <v>152</v>
      </c>
      <c r="C6" s="22" t="s">
        <v>153</v>
      </c>
      <c r="D6" s="21" t="s">
        <v>154</v>
      </c>
      <c r="E6" s="20">
        <f>INDEX(D2_밀기A!$E:$E,MATCH("세트 합계",D2_밀기A!$D:$D,0))</f>
        <v>28</v>
      </c>
      <c r="F6" s="20" t="str">
        <f>"약 "&amp;INDEX(D2_밀기A!$I:$I,MATCH("세트 합계",D2_밀기A!$D:$D,0))&amp;"분"</f>
        <v>약 71분</v>
      </c>
    </row>
    <row r="7" spans="1:6" ht="15" customHeight="1">
      <c r="A7" s="20">
        <v>3</v>
      </c>
      <c r="B7" s="21" t="s">
        <v>155</v>
      </c>
      <c r="C7" s="22" t="s">
        <v>156</v>
      </c>
      <c r="D7" s="21" t="s">
        <v>157</v>
      </c>
      <c r="E7" s="20">
        <f>INDEX(D3_하체A!$E:$E,MATCH("세트 합계",D3_하체A!$D:$D,0))</f>
        <v>26</v>
      </c>
      <c r="F7" s="20" t="str">
        <f>"약 "&amp;INDEX(D3_하체A!$I:$I,MATCH("세트 합계",D3_하체A!$D:$D,0))&amp;"분"</f>
        <v>약 71분</v>
      </c>
    </row>
    <row r="8" spans="1:6" ht="15" customHeight="1">
      <c r="A8" s="20">
        <v>4</v>
      </c>
      <c r="B8" s="21" t="s">
        <v>158</v>
      </c>
      <c r="C8" s="22" t="s">
        <v>27</v>
      </c>
      <c r="D8" s="21" t="s">
        <v>159</v>
      </c>
      <c r="E8" s="20">
        <f>INDEX(D4_어깨팔A!$E:$E,MATCH("세트 합계",D4_어깨팔A!$D:$D,0))</f>
        <v>36</v>
      </c>
      <c r="F8" s="20" t="str">
        <f>"약 "&amp;INDEX(D4_어깨팔A!$I:$I,MATCH("세트 합계",D4_어깨팔A!$D:$D,0))&amp;"분"</f>
        <v>약 73분</v>
      </c>
    </row>
    <row r="9" spans="1:6" ht="15" customHeight="1">
      <c r="A9" s="23">
        <v>5</v>
      </c>
      <c r="B9" s="24" t="s">
        <v>160</v>
      </c>
      <c r="C9" s="25" t="s">
        <v>27</v>
      </c>
      <c r="D9" s="24" t="s">
        <v>27</v>
      </c>
      <c r="E9" s="23">
        <v>0</v>
      </c>
      <c r="F9" s="20" t="s">
        <v>27</v>
      </c>
    </row>
    <row r="10" spans="1:6" ht="15" customHeight="1">
      <c r="A10" s="20">
        <v>6</v>
      </c>
      <c r="B10" s="21" t="s">
        <v>161</v>
      </c>
      <c r="C10" s="22" t="s">
        <v>27</v>
      </c>
      <c r="D10" s="21" t="s">
        <v>162</v>
      </c>
      <c r="E10" s="20">
        <f>INDEX(D6_당기기B!$E:$E,MATCH("세트 합계",D6_당기기B!$D:$D,0))</f>
        <v>28</v>
      </c>
      <c r="F10" s="20" t="str">
        <f>"약 "&amp;INDEX(D6_당기기B!$I:$I,MATCH("세트 합계",D6_당기기B!$D:$D,0))&amp;"분"</f>
        <v>약 70분</v>
      </c>
    </row>
    <row r="11" spans="1:6" ht="15" customHeight="1">
      <c r="A11" s="20">
        <v>7</v>
      </c>
      <c r="B11" s="21" t="s">
        <v>163</v>
      </c>
      <c r="C11" s="22" t="s">
        <v>164</v>
      </c>
      <c r="D11" s="21" t="s">
        <v>165</v>
      </c>
      <c r="E11" s="20">
        <f>INDEX(D7_밀기B!$E:$E,MATCH("세트 합계",D7_밀기B!$D:$D,0))</f>
        <v>30</v>
      </c>
      <c r="F11" s="20" t="str">
        <f>"약 "&amp;INDEX(D7_밀기B!$I:$I,MATCH("세트 합계",D7_밀기B!$D:$D,0))&amp;"분"</f>
        <v>약 73분</v>
      </c>
    </row>
    <row r="12" spans="1:6" ht="15" customHeight="1">
      <c r="A12" s="20">
        <v>8</v>
      </c>
      <c r="B12" s="21" t="s">
        <v>166</v>
      </c>
      <c r="C12" s="22" t="s">
        <v>167</v>
      </c>
      <c r="D12" s="21" t="s">
        <v>168</v>
      </c>
      <c r="E12" s="20">
        <f>INDEX(D8_하체B!$E:$E,MATCH("세트 합계",D8_하체B!$D:$D,0))</f>
        <v>24</v>
      </c>
      <c r="F12" s="20" t="str">
        <f>"약 "&amp;INDEX(D8_하체B!$I:$I,MATCH("세트 합계",D8_하체B!$D:$D,0))&amp;"분"</f>
        <v>약 74분</v>
      </c>
    </row>
    <row r="13" spans="1:6" ht="15" customHeight="1">
      <c r="A13" s="20">
        <v>9</v>
      </c>
      <c r="B13" s="21" t="s">
        <v>169</v>
      </c>
      <c r="C13" s="22" t="s">
        <v>27</v>
      </c>
      <c r="D13" s="21" t="s">
        <v>170</v>
      </c>
      <c r="E13" s="20">
        <f>INDEX(D9_어깨팔B!$E:$E,MATCH("세트 합계",D9_어깨팔B!$D:$D,0))</f>
        <v>36</v>
      </c>
      <c r="F13" s="20" t="str">
        <f>"약 "&amp;INDEX(D9_어깨팔B!$I:$I,MATCH("세트 합계",D9_어깨팔B!$D:$D,0))&amp;"분"</f>
        <v>약 70분</v>
      </c>
    </row>
    <row r="14" spans="1:6">
      <c r="A14" s="23">
        <v>10</v>
      </c>
      <c r="B14" s="24" t="s">
        <v>160</v>
      </c>
      <c r="C14" s="25" t="s">
        <v>27</v>
      </c>
      <c r="D14" s="24" t="s">
        <v>27</v>
      </c>
      <c r="E14" s="23">
        <v>0</v>
      </c>
      <c r="F14" s="20" t="s">
        <v>27</v>
      </c>
    </row>
    <row r="15" spans="1:6" ht="16.5" customHeight="1">
      <c r="A15" s="27" t="s">
        <v>171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172</v>
      </c>
    </row>
    <row r="18" spans="1:1" ht="38.25" customHeight="1">
      <c r="A18" s="30" t="s">
        <v>173</v>
      </c>
    </row>
    <row r="19" spans="1:1" ht="114.75" customHeight="1">
      <c r="A19" s="30" t="s">
        <v>174</v>
      </c>
    </row>
    <row r="20" spans="1:1" ht="16.5" customHeight="1">
      <c r="A20" s="30" t="s">
        <v>175</v>
      </c>
    </row>
    <row r="21" spans="1:1" ht="16.5" customHeight="1">
      <c r="A21" s="30" t="s">
        <v>176</v>
      </c>
    </row>
    <row r="22" spans="1:1" ht="15" customHeight="1">
      <c r="A22" s="30" t="s">
        <v>177</v>
      </c>
    </row>
    <row r="23" spans="1:1" ht="15" customHeight="1">
      <c r="A23" s="30" t="s">
        <v>178</v>
      </c>
    </row>
    <row r="24" spans="1:1" ht="15" customHeight="1">
      <c r="A24" s="30" t="s">
        <v>179</v>
      </c>
    </row>
    <row r="25" spans="1:1" ht="15" customHeight="1">
      <c r="A25" s="31"/>
    </row>
    <row r="26" spans="1:1" ht="16.5" customHeight="1">
      <c r="A26" s="92" t="s">
        <v>180</v>
      </c>
    </row>
    <row r="27" spans="1:1" ht="15" customHeight="1">
      <c r="A27" t="s">
        <v>181</v>
      </c>
    </row>
    <row r="28" spans="1:1" ht="15" customHeight="1">
      <c r="A28" t="s">
        <v>182</v>
      </c>
    </row>
    <row r="29" spans="1:1" ht="79.5" customHeight="1">
      <c r="A29" t="s">
        <v>183</v>
      </c>
    </row>
    <row r="30" spans="1:1" ht="64.5" customHeight="1">
      <c r="A30" t="s">
        <v>184</v>
      </c>
    </row>
    <row r="31" spans="1:1" ht="90" customHeight="1">
      <c r="A31" t="s">
        <v>185</v>
      </c>
    </row>
    <row r="32" spans="1:1" ht="102.75" customHeight="1">
      <c r="A32" t="s">
        <v>186</v>
      </c>
    </row>
    <row r="33" spans="1:1" ht="100.5" customHeight="1">
      <c r="A33" t="s">
        <v>187</v>
      </c>
    </row>
    <row r="34" spans="1:1" ht="15" customHeight="1">
      <c r="A34" t="s">
        <v>188</v>
      </c>
    </row>
    <row r="35" spans="1:1" ht="90" customHeight="1">
      <c r="A35" t="s">
        <v>189</v>
      </c>
    </row>
    <row r="36" spans="1:1" ht="90" customHeight="1">
      <c r="A36" t="s">
        <v>190</v>
      </c>
    </row>
    <row r="37" spans="1:1" ht="90" customHeight="1">
      <c r="A37" t="s">
        <v>191</v>
      </c>
    </row>
    <row r="38" spans="1:1" ht="90" customHeight="1">
      <c r="A38" t="s">
        <v>192</v>
      </c>
    </row>
    <row r="39" spans="1:1" ht="90" customHeight="1">
      <c r="A39" t="s">
        <v>193</v>
      </c>
    </row>
    <row r="40" spans="1:1" ht="90" customHeight="1">
      <c r="A40" t="s">
        <v>194</v>
      </c>
    </row>
    <row r="41" spans="1:1" ht="51.75" customHeight="1">
      <c r="A41" s="13" t="s">
        <v>195</v>
      </c>
    </row>
    <row r="42" spans="1:1" ht="77.25" customHeight="1">
      <c r="A42" s="30" t="s">
        <v>196</v>
      </c>
    </row>
    <row r="43" spans="1:1" ht="64.5" customHeight="1">
      <c r="A43" s="30" t="s">
        <v>197</v>
      </c>
    </row>
    <row r="44" spans="1:1" ht="16.5" customHeight="1">
      <c r="A44" s="30" t="s">
        <v>198</v>
      </c>
    </row>
    <row r="45" spans="1:1" ht="16.5" customHeight="1">
      <c r="A45" s="30" t="s">
        <v>199</v>
      </c>
    </row>
    <row r="46" spans="1:1" ht="16.5" customHeight="1">
      <c r="A46" s="30" t="s">
        <v>200</v>
      </c>
    </row>
    <row r="47" spans="1:1" ht="242.25" customHeight="1">
      <c r="A47" s="30"/>
    </row>
    <row r="48" spans="1:1" ht="270.75" customHeight="1">
      <c r="A48" s="13" t="s">
        <v>201</v>
      </c>
    </row>
    <row r="49" spans="1:1" ht="242.25" customHeight="1">
      <c r="A49" s="30" t="s">
        <v>202</v>
      </c>
    </row>
    <row r="50" spans="1:1" ht="199.5" customHeight="1">
      <c r="A50" s="30" t="s">
        <v>203</v>
      </c>
    </row>
    <row r="51" spans="1:1" ht="185.25" customHeight="1">
      <c r="A51" s="30" t="s">
        <v>204</v>
      </c>
    </row>
    <row r="52" spans="1:1" ht="199.5" customHeight="1">
      <c r="A52" s="30" t="s">
        <v>205</v>
      </c>
    </row>
    <row r="53" spans="1:1" ht="185.25" customHeight="1">
      <c r="A53" s="30" t="s">
        <v>206</v>
      </c>
    </row>
    <row r="54" spans="1:1" ht="327.75" customHeight="1">
      <c r="A54" s="30" t="s">
        <v>207</v>
      </c>
    </row>
    <row r="55" spans="1:1" ht="256.5" customHeight="1">
      <c r="A55" s="32"/>
    </row>
    <row r="56" spans="1:1" ht="409.5" customHeight="1">
      <c r="A56" s="13" t="s">
        <v>208</v>
      </c>
    </row>
    <row r="57" spans="1:1" ht="370.5" customHeight="1">
      <c r="A57" s="30" t="s">
        <v>209</v>
      </c>
    </row>
    <row r="58" spans="1:1" ht="409.5" customHeight="1">
      <c r="A58" s="30" t="s">
        <v>210</v>
      </c>
    </row>
    <row r="59" spans="1:1" ht="370.5" customHeight="1">
      <c r="A59" s="30" t="s">
        <v>211</v>
      </c>
    </row>
    <row r="60" spans="1:1" ht="185.25" customHeight="1">
      <c r="A60" s="30" t="s">
        <v>212</v>
      </c>
    </row>
    <row r="61" spans="1:1" ht="60" customHeight="1">
      <c r="A61" s="31"/>
    </row>
    <row r="62" spans="1:1" ht="256.5" customHeight="1">
      <c r="A62" s="13" t="s">
        <v>213</v>
      </c>
    </row>
    <row r="63" spans="1:1" ht="327.75" customHeight="1">
      <c r="A63" s="30" t="s">
        <v>214</v>
      </c>
    </row>
    <row r="64" spans="1:1" ht="256.5" customHeight="1">
      <c r="A64" s="30" t="s">
        <v>215</v>
      </c>
    </row>
    <row r="65" spans="1:1" ht="409.5" customHeight="1">
      <c r="A65" s="30" t="s">
        <v>216</v>
      </c>
    </row>
    <row r="66" spans="1:1" ht="370.5" customHeight="1">
      <c r="A66" s="30" t="s">
        <v>217</v>
      </c>
    </row>
    <row r="67" spans="1:1" ht="285" customHeight="1">
      <c r="A67" s="30" t="s">
        <v>218</v>
      </c>
    </row>
    <row r="68" spans="1:1" ht="90" customHeight="1">
      <c r="A68" s="30" t="s">
        <v>219</v>
      </c>
    </row>
    <row r="69" spans="1:1" ht="313.5" customHeight="1">
      <c r="A69" s="13" t="s">
        <v>220</v>
      </c>
    </row>
    <row r="70" spans="1:1" ht="370.5" customHeight="1">
      <c r="A70" s="30" t="s">
        <v>221</v>
      </c>
    </row>
    <row r="71" spans="1:1" ht="285" customHeight="1">
      <c r="A71" s="30" t="s">
        <v>222</v>
      </c>
    </row>
    <row r="72" spans="1:1" ht="370.5" customHeight="1"/>
    <row r="73" spans="1:1" ht="256.5" customHeight="1">
      <c r="A73" s="13" t="s">
        <v>223</v>
      </c>
    </row>
    <row r="74" spans="1:1" ht="327.75" customHeight="1">
      <c r="A74" s="30" t="s">
        <v>224</v>
      </c>
    </row>
    <row r="75" spans="1:1" ht="327.75" customHeight="1">
      <c r="A75" s="30" t="s">
        <v>225</v>
      </c>
    </row>
    <row r="76" spans="1:1" ht="299.25" customHeight="1">
      <c r="A76" s="30" t="s">
        <v>226</v>
      </c>
    </row>
    <row r="77" spans="1:1" ht="327.75" customHeight="1">
      <c r="A77" s="30" t="s">
        <v>227</v>
      </c>
    </row>
    <row r="78" spans="1:1" ht="90" customHeight="1"/>
    <row r="79" spans="1:1" ht="75" customHeight="1">
      <c r="A79" s="13" t="s">
        <v>228</v>
      </c>
    </row>
    <row r="80" spans="1:1" ht="327.75" customHeight="1">
      <c r="A80" s="30" t="s">
        <v>229</v>
      </c>
    </row>
    <row r="81" spans="1:1" ht="356.25" customHeight="1">
      <c r="A81" s="30" t="s">
        <v>230</v>
      </c>
    </row>
    <row r="82" spans="1:1" ht="270.75" customHeight="1">
      <c r="A82" s="30" t="s">
        <v>231</v>
      </c>
    </row>
    <row r="83" spans="1:1" ht="313.5" customHeight="1">
      <c r="A83" s="30" t="s">
        <v>232</v>
      </c>
    </row>
    <row r="84" spans="1:1" ht="142.5" customHeight="1">
      <c r="A84" s="30" t="s">
        <v>233</v>
      </c>
    </row>
    <row r="85" spans="1:1" ht="242.25" customHeight="1">
      <c r="A85" s="30" t="s">
        <v>234</v>
      </c>
    </row>
    <row r="86" spans="1:1" ht="299.25" customHeight="1">
      <c r="A86" s="30" t="s">
        <v>235</v>
      </c>
    </row>
    <row r="87" spans="1:1" ht="327.75" customHeight="1">
      <c r="A87" s="30" t="s">
        <v>236</v>
      </c>
    </row>
    <row r="88" spans="1:1" ht="327.75" customHeight="1">
      <c r="A88" s="30" t="s">
        <v>237</v>
      </c>
    </row>
    <row r="89" spans="1:1" ht="75" customHeight="1"/>
    <row r="90" spans="1:1" ht="327.75" customHeight="1">
      <c r="A90" s="13" t="s">
        <v>238</v>
      </c>
    </row>
    <row r="91" spans="1:1" ht="356.25" customHeight="1">
      <c r="A91" s="30" t="s">
        <v>239</v>
      </c>
    </row>
    <row r="92" spans="1:1" ht="270.75" customHeight="1">
      <c r="A92" s="30" t="s">
        <v>240</v>
      </c>
    </row>
    <row r="93" spans="1:1" ht="313.5" customHeight="1">
      <c r="A93" s="30" t="s">
        <v>241</v>
      </c>
    </row>
    <row r="94" spans="1:1" ht="142.5" customHeight="1">
      <c r="A94" s="30" t="s">
        <v>242</v>
      </c>
    </row>
    <row r="95" spans="1:1" ht="242.25" customHeight="1">
      <c r="A95" s="30" t="s">
        <v>243</v>
      </c>
    </row>
    <row r="96" spans="1:1" ht="242.25" customHeight="1">
      <c r="A96" s="30" t="s">
        <v>244</v>
      </c>
    </row>
    <row r="98" spans="1:1">
      <c r="A98" s="99" t="s">
        <v>245</v>
      </c>
    </row>
    <row r="99" spans="1:1">
      <c r="A99" t="s">
        <v>246</v>
      </c>
    </row>
    <row r="100" spans="1:1">
      <c r="A100" t="s">
        <v>247</v>
      </c>
    </row>
    <row r="101" spans="1:1">
      <c r="A101" t="s">
        <v>248</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249</v>
      </c>
    </row>
    <row r="2" spans="1:15" ht="16.5" customHeight="1">
      <c r="A2" s="18" t="s">
        <v>250</v>
      </c>
    </row>
    <row r="3" spans="1:15">
      <c r="A3" s="33" t="s">
        <v>251</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21" t="s">
        <v>266</v>
      </c>
      <c r="C6" s="20" t="s">
        <v>267</v>
      </c>
      <c r="D6" s="20">
        <v>60</v>
      </c>
      <c r="E6" s="20">
        <v>4</v>
      </c>
      <c r="F6" s="26" t="s">
        <v>268</v>
      </c>
      <c r="G6" s="26">
        <v>35</v>
      </c>
      <c r="H6" s="26">
        <v>155</v>
      </c>
      <c r="I6" s="26">
        <f t="shared" ref="I6:I16" si="0">IF(E6=0,0,ROUND((E6*(G6+H6)+O6)/60,1))</f>
        <v>12.7</v>
      </c>
      <c r="J6" s="21" t="s">
        <v>269</v>
      </c>
      <c r="K6" s="21" t="s">
        <v>270</v>
      </c>
      <c r="L6" s="21" t="s">
        <v>271</v>
      </c>
      <c r="M6" s="26" t="s">
        <v>272</v>
      </c>
      <c r="O6" s="26"/>
    </row>
    <row r="7" spans="1:15" ht="16.5" customHeight="1">
      <c r="A7" s="20">
        <v>2</v>
      </c>
      <c r="B7" s="21" t="s">
        <v>273</v>
      </c>
      <c r="C7" s="20" t="s">
        <v>267</v>
      </c>
      <c r="D7" s="26">
        <v>40</v>
      </c>
      <c r="E7" s="20">
        <v>3</v>
      </c>
      <c r="F7" s="26" t="s">
        <v>274</v>
      </c>
      <c r="G7" s="26">
        <v>40</v>
      </c>
      <c r="H7" s="26">
        <v>120</v>
      </c>
      <c r="I7" s="26">
        <f t="shared" si="0"/>
        <v>8</v>
      </c>
      <c r="J7" s="21" t="s">
        <v>269</v>
      </c>
      <c r="K7" s="36" t="s">
        <v>275</v>
      </c>
      <c r="L7" s="21" t="s">
        <v>276</v>
      </c>
      <c r="O7" s="26"/>
    </row>
    <row r="8" spans="1:15" ht="16.5" customHeight="1">
      <c r="A8" s="20">
        <v>3</v>
      </c>
      <c r="B8" s="21" t="s">
        <v>277</v>
      </c>
      <c r="C8" s="20" t="s">
        <v>267</v>
      </c>
      <c r="D8" s="26">
        <v>20</v>
      </c>
      <c r="E8" s="20">
        <v>2</v>
      </c>
      <c r="F8" s="26" t="s">
        <v>278</v>
      </c>
      <c r="G8" s="26">
        <v>80</v>
      </c>
      <c r="H8" s="26">
        <v>120</v>
      </c>
      <c r="I8" s="26">
        <f t="shared" si="0"/>
        <v>8.6999999999999993</v>
      </c>
      <c r="J8" s="21" t="s">
        <v>269</v>
      </c>
      <c r="K8" s="36" t="s">
        <v>279</v>
      </c>
      <c r="L8" s="21" t="s">
        <v>280</v>
      </c>
      <c r="O8" s="26">
        <v>120</v>
      </c>
    </row>
    <row r="9" spans="1:15" ht="16.5" customHeight="1">
      <c r="A9" s="20">
        <v>4</v>
      </c>
      <c r="B9" s="36" t="s">
        <v>281</v>
      </c>
      <c r="C9" s="42" t="s">
        <v>282</v>
      </c>
      <c r="D9" s="20" t="s">
        <v>283</v>
      </c>
      <c r="E9" s="20">
        <v>4</v>
      </c>
      <c r="F9" s="26" t="s">
        <v>284</v>
      </c>
      <c r="G9" s="26">
        <v>40</v>
      </c>
      <c r="H9" s="26">
        <v>120</v>
      </c>
      <c r="I9" s="26">
        <f t="shared" si="0"/>
        <v>10.7</v>
      </c>
      <c r="J9" s="21" t="s">
        <v>285</v>
      </c>
      <c r="K9" s="21" t="s">
        <v>286</v>
      </c>
      <c r="L9" s="21" t="s">
        <v>287</v>
      </c>
      <c r="O9" s="26"/>
    </row>
    <row r="10" spans="1:15" ht="16.5" customHeight="1">
      <c r="A10" s="20">
        <v>5</v>
      </c>
      <c r="B10" s="36" t="s">
        <v>288</v>
      </c>
      <c r="C10" s="20" t="s">
        <v>282</v>
      </c>
      <c r="D10" s="20">
        <v>12.5</v>
      </c>
      <c r="E10" s="20">
        <v>3</v>
      </c>
      <c r="F10" s="26" t="s">
        <v>289</v>
      </c>
      <c r="G10" s="26">
        <v>45</v>
      </c>
      <c r="H10" s="26">
        <v>60</v>
      </c>
      <c r="I10" s="26">
        <f t="shared" si="0"/>
        <v>5.3</v>
      </c>
      <c r="J10" s="21" t="s">
        <v>290</v>
      </c>
      <c r="K10" s="21" t="s">
        <v>291</v>
      </c>
      <c r="L10" s="21" t="s">
        <v>292</v>
      </c>
      <c r="O10" s="26"/>
    </row>
    <row r="11" spans="1:15" ht="16.5" customHeight="1">
      <c r="A11" s="20">
        <v>6</v>
      </c>
      <c r="B11" s="21" t="s">
        <v>293</v>
      </c>
      <c r="C11" s="20" t="s">
        <v>269</v>
      </c>
      <c r="D11" s="26" t="s">
        <v>294</v>
      </c>
      <c r="E11" s="20">
        <v>0</v>
      </c>
      <c r="F11" s="26" t="s">
        <v>274</v>
      </c>
      <c r="G11" s="26">
        <v>40</v>
      </c>
      <c r="H11" s="26">
        <v>70</v>
      </c>
      <c r="I11" s="26">
        <f t="shared" si="0"/>
        <v>0</v>
      </c>
      <c r="J11" s="21" t="s">
        <v>295</v>
      </c>
      <c r="K11" s="21" t="s">
        <v>296</v>
      </c>
      <c r="L11" s="22" t="s">
        <v>297</v>
      </c>
      <c r="O11" s="26"/>
    </row>
    <row r="12" spans="1:15" ht="16.5" customHeight="1">
      <c r="A12" s="20">
        <v>7</v>
      </c>
      <c r="B12" s="70" t="s">
        <v>298</v>
      </c>
      <c r="C12" s="20" t="s">
        <v>299</v>
      </c>
      <c r="D12" s="20" t="s">
        <v>283</v>
      </c>
      <c r="E12" s="20">
        <v>4</v>
      </c>
      <c r="F12" s="26" t="s">
        <v>289</v>
      </c>
      <c r="G12" s="26">
        <v>40</v>
      </c>
      <c r="H12" s="26">
        <v>60</v>
      </c>
      <c r="I12" s="26">
        <f t="shared" si="0"/>
        <v>6.7</v>
      </c>
      <c r="J12" s="21"/>
      <c r="K12" s="21" t="s">
        <v>300</v>
      </c>
      <c r="L12" s="75" t="s">
        <v>301</v>
      </c>
      <c r="O12" s="26"/>
    </row>
    <row r="13" spans="1:15" ht="16.5" customHeight="1">
      <c r="A13" s="20">
        <v>8</v>
      </c>
      <c r="B13" s="70" t="s">
        <v>302</v>
      </c>
      <c r="C13" s="20" t="s">
        <v>299</v>
      </c>
      <c r="D13" s="20" t="s">
        <v>303</v>
      </c>
      <c r="E13" s="20">
        <v>3</v>
      </c>
      <c r="F13" s="26" t="s">
        <v>304</v>
      </c>
      <c r="G13" s="26">
        <v>70</v>
      </c>
      <c r="H13" s="26">
        <v>60</v>
      </c>
      <c r="I13" s="26">
        <f t="shared" si="0"/>
        <v>6.5</v>
      </c>
      <c r="J13" s="21"/>
      <c r="K13" s="21" t="s">
        <v>305</v>
      </c>
      <c r="L13" s="75" t="s">
        <v>306</v>
      </c>
      <c r="O13" s="26"/>
    </row>
    <row r="14" spans="1:15" ht="15" customHeight="1">
      <c r="A14" s="20">
        <v>9</v>
      </c>
      <c r="B14" s="70" t="s">
        <v>307</v>
      </c>
      <c r="C14" s="20" t="s">
        <v>308</v>
      </c>
      <c r="D14" s="20" t="s">
        <v>309</v>
      </c>
      <c r="E14" s="20">
        <v>3</v>
      </c>
      <c r="F14" s="26" t="s">
        <v>289</v>
      </c>
      <c r="G14" s="26">
        <v>40</v>
      </c>
      <c r="H14" s="26">
        <v>75</v>
      </c>
      <c r="I14" s="26">
        <f t="shared" si="0"/>
        <v>5.8</v>
      </c>
      <c r="J14" s="21"/>
      <c r="K14" s="21" t="s">
        <v>310</v>
      </c>
      <c r="L14" s="75" t="s">
        <v>311</v>
      </c>
      <c r="O14" s="26"/>
    </row>
    <row r="15" spans="1:15" ht="15" customHeight="1">
      <c r="A15" s="20">
        <v>10</v>
      </c>
      <c r="B15" s="21" t="s">
        <v>312</v>
      </c>
      <c r="C15" s="20" t="s">
        <v>313</v>
      </c>
      <c r="D15" s="20">
        <v>20</v>
      </c>
      <c r="E15" s="20">
        <v>3</v>
      </c>
      <c r="F15" s="26" t="s">
        <v>314</v>
      </c>
      <c r="G15" s="26">
        <v>45</v>
      </c>
      <c r="H15" s="26">
        <v>90</v>
      </c>
      <c r="I15" s="26">
        <f t="shared" si="0"/>
        <v>6.8</v>
      </c>
      <c r="J15" s="21" t="s">
        <v>315</v>
      </c>
      <c r="K15" s="36" t="s">
        <v>316</v>
      </c>
      <c r="L15" s="36" t="s">
        <v>317</v>
      </c>
      <c r="O15" s="26"/>
    </row>
    <row r="16" spans="1:15" ht="15" customHeight="1">
      <c r="A16" s="20">
        <v>11</v>
      </c>
      <c r="B16" s="21" t="s">
        <v>318</v>
      </c>
      <c r="C16" s="20" t="s">
        <v>313</v>
      </c>
      <c r="D16" s="20" t="s">
        <v>283</v>
      </c>
      <c r="E16" s="20">
        <v>3</v>
      </c>
      <c r="F16" s="26" t="s">
        <v>289</v>
      </c>
      <c r="G16" s="26">
        <v>40</v>
      </c>
      <c r="H16" s="26">
        <v>60</v>
      </c>
      <c r="I16" s="26">
        <f t="shared" si="0"/>
        <v>5</v>
      </c>
      <c r="J16" s="21"/>
      <c r="K16" s="36" t="s">
        <v>319</v>
      </c>
      <c r="L16" s="36" t="s">
        <v>320</v>
      </c>
      <c r="O16" s="26"/>
    </row>
    <row r="17" spans="1:12" ht="15" customHeight="1">
      <c r="A17" s="20"/>
      <c r="B17" s="21"/>
      <c r="C17" s="20"/>
      <c r="D17" s="20" t="s">
        <v>321</v>
      </c>
      <c r="E17" s="20">
        <f>SUM(E6:E16)</f>
        <v>32</v>
      </c>
      <c r="F17" s="26"/>
      <c r="G17" s="26"/>
      <c r="H17" s="26"/>
      <c r="I17" s="26">
        <f>ROUND(SUM(I6:I16),0)</f>
        <v>76</v>
      </c>
      <c r="J17" s="21"/>
      <c r="K17" s="36"/>
      <c r="L17" s="36"/>
    </row>
    <row r="18" spans="1:12" ht="15" customHeight="1"/>
    <row r="19" spans="1:12">
      <c r="A19" t="s">
        <v>322</v>
      </c>
    </row>
    <row r="20" spans="1:12">
      <c r="A20" t="s">
        <v>323</v>
      </c>
    </row>
    <row r="22" spans="1:12">
      <c r="A22" s="99" t="s">
        <v>245</v>
      </c>
    </row>
    <row r="23" spans="1:12">
      <c r="A23" t="s">
        <v>324</v>
      </c>
    </row>
    <row r="24" spans="1:12">
      <c r="A24" t="s">
        <v>325</v>
      </c>
    </row>
    <row r="26" spans="1:12">
      <c r="B26" s="36"/>
    </row>
    <row r="34" spans="10:10">
      <c r="J34" t="s">
        <v>326</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327</v>
      </c>
    </row>
    <row r="2" spans="1:3" ht="16.5" customHeight="1">
      <c r="A2" s="18" t="s">
        <v>328</v>
      </c>
    </row>
    <row r="4" spans="1:3" ht="16.5" customHeight="1">
      <c r="A4" s="3" t="s">
        <v>329</v>
      </c>
    </row>
    <row r="5" spans="1:3" ht="16.5" customHeight="1">
      <c r="A5" s="19" t="s">
        <v>255</v>
      </c>
      <c r="B5" s="19" t="s">
        <v>330</v>
      </c>
      <c r="C5" s="19" t="s">
        <v>148</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38">
        <v>1</v>
      </c>
      <c r="B20" s="39" t="s">
        <v>336</v>
      </c>
      <c r="C20" s="40" t="s">
        <v>337</v>
      </c>
      <c r="D20" s="41">
        <f>시작중량_설정!$E$9</f>
        <v>41</v>
      </c>
      <c r="E20" s="40">
        <v>5</v>
      </c>
      <c r="F20" s="38" t="s">
        <v>338</v>
      </c>
      <c r="G20" s="38">
        <v>30</v>
      </c>
      <c r="H20" s="38">
        <v>180</v>
      </c>
      <c r="I20" s="38">
        <f t="shared" ref="I20:I25" si="0">IF(E20=0,0,ROUND((E20*(G20+H20)+O20)/60,1))</f>
        <v>17.5</v>
      </c>
      <c r="J20" s="39" t="s">
        <v>339</v>
      </c>
      <c r="K20" s="39" t="s">
        <v>340</v>
      </c>
      <c r="L20" s="39" t="s">
        <v>341</v>
      </c>
      <c r="M20" s="38" t="s">
        <v>342</v>
      </c>
      <c r="O20" s="38"/>
    </row>
    <row r="21" spans="1:15" ht="16.5" customHeight="1">
      <c r="A21" s="20">
        <v>2</v>
      </c>
      <c r="B21" s="21" t="s">
        <v>343</v>
      </c>
      <c r="C21" s="20" t="s">
        <v>337</v>
      </c>
      <c r="D21" s="42" t="s">
        <v>344</v>
      </c>
      <c r="E21" s="20">
        <v>4</v>
      </c>
      <c r="F21" s="26" t="s">
        <v>284</v>
      </c>
      <c r="G21" s="26">
        <v>40</v>
      </c>
      <c r="H21" s="26">
        <v>155</v>
      </c>
      <c r="I21" s="26">
        <f t="shared" si="0"/>
        <v>13</v>
      </c>
      <c r="J21" s="21" t="s">
        <v>345</v>
      </c>
      <c r="K21" s="21" t="s">
        <v>346</v>
      </c>
      <c r="L21" s="36" t="s">
        <v>347</v>
      </c>
      <c r="M21" s="26" t="s">
        <v>272</v>
      </c>
      <c r="O21" s="26"/>
    </row>
    <row r="22" spans="1:15" ht="16.5" customHeight="1">
      <c r="A22" s="20">
        <v>3</v>
      </c>
      <c r="B22" s="36" t="s">
        <v>348</v>
      </c>
      <c r="C22" s="20" t="s">
        <v>349</v>
      </c>
      <c r="D22" s="26">
        <v>8</v>
      </c>
      <c r="E22" s="20">
        <v>4</v>
      </c>
      <c r="F22" s="26" t="s">
        <v>350</v>
      </c>
      <c r="G22" s="26">
        <v>40</v>
      </c>
      <c r="H22" s="26">
        <v>105</v>
      </c>
      <c r="I22" s="26">
        <f t="shared" si="0"/>
        <v>9.6999999999999993</v>
      </c>
      <c r="J22" s="21"/>
      <c r="K22" s="21" t="s">
        <v>351</v>
      </c>
      <c r="L22" s="21" t="s">
        <v>352</v>
      </c>
      <c r="O22" s="26"/>
    </row>
    <row r="23" spans="1:15" ht="16.5" customHeight="1">
      <c r="A23" s="20">
        <v>4</v>
      </c>
      <c r="B23" s="21" t="s">
        <v>353</v>
      </c>
      <c r="C23" s="20" t="s">
        <v>354</v>
      </c>
      <c r="D23" s="26">
        <v>6</v>
      </c>
      <c r="E23" s="20">
        <v>6</v>
      </c>
      <c r="F23" s="26" t="s">
        <v>289</v>
      </c>
      <c r="G23" s="26">
        <v>40</v>
      </c>
      <c r="H23" s="26">
        <v>70</v>
      </c>
      <c r="I23" s="26">
        <f t="shared" si="0"/>
        <v>12</v>
      </c>
      <c r="J23" s="21"/>
      <c r="K23" s="21" t="s">
        <v>355</v>
      </c>
      <c r="L23" s="21" t="s">
        <v>356</v>
      </c>
      <c r="O23" s="26">
        <v>60</v>
      </c>
    </row>
    <row r="24" spans="1:15" ht="16.5" customHeight="1">
      <c r="A24" s="20">
        <v>5</v>
      </c>
      <c r="B24" s="21" t="s">
        <v>357</v>
      </c>
      <c r="C24" s="43" t="s">
        <v>358</v>
      </c>
      <c r="D24" s="26">
        <v>20</v>
      </c>
      <c r="E24" s="20">
        <v>5</v>
      </c>
      <c r="F24" s="26" t="s">
        <v>289</v>
      </c>
      <c r="G24" s="26">
        <v>40</v>
      </c>
      <c r="H24" s="26">
        <v>70</v>
      </c>
      <c r="I24" s="26">
        <f t="shared" si="0"/>
        <v>10.199999999999999</v>
      </c>
      <c r="J24" s="21"/>
      <c r="K24" s="21" t="s">
        <v>359</v>
      </c>
      <c r="L24" s="75" t="s">
        <v>360</v>
      </c>
      <c r="O24" s="26">
        <v>60</v>
      </c>
    </row>
    <row r="25" spans="1:15" ht="16.5" customHeight="1">
      <c r="A25" s="20">
        <v>6</v>
      </c>
      <c r="B25" s="21" t="s">
        <v>361</v>
      </c>
      <c r="C25" s="20" t="s">
        <v>345</v>
      </c>
      <c r="D25" s="26">
        <v>20</v>
      </c>
      <c r="E25" s="20">
        <v>4</v>
      </c>
      <c r="F25" s="26" t="s">
        <v>303</v>
      </c>
      <c r="G25" s="26">
        <v>40</v>
      </c>
      <c r="H25" s="26">
        <v>70</v>
      </c>
      <c r="I25" s="26">
        <f t="shared" si="0"/>
        <v>8.3000000000000007</v>
      </c>
      <c r="J25" s="21"/>
      <c r="K25" s="21" t="s">
        <v>362</v>
      </c>
      <c r="L25" s="21" t="s">
        <v>363</v>
      </c>
      <c r="O25" s="26">
        <v>60</v>
      </c>
    </row>
    <row r="26" spans="1:15" ht="16.5" customHeight="1">
      <c r="D26" s="3" t="s">
        <v>321</v>
      </c>
      <c r="E26" s="27">
        <f>SUM(E20:E25)</f>
        <v>28</v>
      </c>
      <c r="I26">
        <f>ROUND(SUM(I20:I25),0)</f>
        <v>71</v>
      </c>
    </row>
    <row r="27" spans="1:15" ht="16.5" customHeight="1">
      <c r="A27" s="99" t="s">
        <v>245</v>
      </c>
    </row>
    <row r="28" spans="1:15">
      <c r="A28" t="s">
        <v>364</v>
      </c>
    </row>
    <row r="29" spans="1:15">
      <c r="A29" t="s">
        <v>325</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365</v>
      </c>
    </row>
    <row r="2" spans="1:15" ht="16.5" customHeight="1">
      <c r="A2" s="18" t="s">
        <v>366</v>
      </c>
    </row>
    <row r="4" spans="1:15" ht="16.5" customHeight="1">
      <c r="A4" s="3" t="s">
        <v>367</v>
      </c>
    </row>
    <row r="5" spans="1:15" ht="16.5" customHeight="1">
      <c r="A5" s="19" t="s">
        <v>255</v>
      </c>
      <c r="B5" s="19" t="s">
        <v>330</v>
      </c>
      <c r="C5" s="19" t="s">
        <v>148</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368</v>
      </c>
      <c r="C15" s="40" t="s">
        <v>369</v>
      </c>
      <c r="D15" s="41">
        <f>시작중량_설정!$E$7</f>
        <v>75</v>
      </c>
      <c r="E15" s="40">
        <v>5</v>
      </c>
      <c r="F15" s="38" t="s">
        <v>338</v>
      </c>
      <c r="G15" s="38">
        <v>35</v>
      </c>
      <c r="H15" s="38">
        <v>193</v>
      </c>
      <c r="I15" s="38">
        <f t="shared" ref="I15:I21" si="0">IF(E15=0,0,ROUND((E15*(G15+H15)+O15)/60,1))</f>
        <v>19</v>
      </c>
      <c r="J15" s="39" t="s">
        <v>370</v>
      </c>
      <c r="K15" s="39" t="s">
        <v>371</v>
      </c>
      <c r="L15" s="39" t="s">
        <v>372</v>
      </c>
      <c r="M15" s="38" t="s">
        <v>373</v>
      </c>
      <c r="O15" s="38"/>
    </row>
    <row r="16" spans="1:15" ht="16.5" customHeight="1">
      <c r="A16" s="20">
        <v>2</v>
      </c>
      <c r="B16" s="21" t="s">
        <v>374</v>
      </c>
      <c r="C16" s="20" t="s">
        <v>369</v>
      </c>
      <c r="D16" s="26">
        <v>120</v>
      </c>
      <c r="E16" s="20">
        <v>3</v>
      </c>
      <c r="F16" s="26" t="s">
        <v>274</v>
      </c>
      <c r="G16" s="26">
        <v>45</v>
      </c>
      <c r="H16" s="26">
        <v>150</v>
      </c>
      <c r="I16" s="26">
        <f t="shared" si="0"/>
        <v>9.8000000000000007</v>
      </c>
      <c r="J16" s="21" t="s">
        <v>375</v>
      </c>
      <c r="K16" s="21" t="s">
        <v>376</v>
      </c>
      <c r="L16" s="21" t="s">
        <v>377</v>
      </c>
      <c r="O16" s="26"/>
    </row>
    <row r="17" spans="1:15" ht="16.5" customHeight="1">
      <c r="A17" s="20">
        <v>3</v>
      </c>
      <c r="B17" s="21" t="s">
        <v>378</v>
      </c>
      <c r="C17" s="20" t="s">
        <v>375</v>
      </c>
      <c r="D17" s="20" t="s">
        <v>283</v>
      </c>
      <c r="E17" s="20">
        <v>3</v>
      </c>
      <c r="F17" s="26" t="s">
        <v>379</v>
      </c>
      <c r="G17" s="26">
        <v>90</v>
      </c>
      <c r="H17" s="26">
        <v>150</v>
      </c>
      <c r="I17" s="26">
        <f t="shared" si="0"/>
        <v>12</v>
      </c>
      <c r="J17" s="21" t="s">
        <v>380</v>
      </c>
      <c r="K17" s="21" t="s">
        <v>381</v>
      </c>
      <c r="L17" s="21" t="s">
        <v>382</v>
      </c>
      <c r="O17" s="26"/>
    </row>
    <row r="18" spans="1:15" ht="16.5" customHeight="1">
      <c r="A18" s="20">
        <v>4</v>
      </c>
      <c r="B18" s="21" t="s">
        <v>383</v>
      </c>
      <c r="C18" s="20" t="s">
        <v>384</v>
      </c>
      <c r="D18" s="26">
        <v>40</v>
      </c>
      <c r="E18" s="20">
        <v>4</v>
      </c>
      <c r="F18" s="26" t="s">
        <v>350</v>
      </c>
      <c r="G18" s="26">
        <v>40</v>
      </c>
      <c r="H18" s="26">
        <v>120</v>
      </c>
      <c r="I18" s="26">
        <f t="shared" si="0"/>
        <v>11.9</v>
      </c>
      <c r="J18" s="21"/>
      <c r="K18" s="21" t="s">
        <v>385</v>
      </c>
      <c r="L18" s="21" t="s">
        <v>386</v>
      </c>
      <c r="O18" s="26">
        <v>75</v>
      </c>
    </row>
    <row r="19" spans="1:15" ht="16.5" customHeight="1">
      <c r="A19" s="20">
        <v>5</v>
      </c>
      <c r="B19" s="21" t="s">
        <v>387</v>
      </c>
      <c r="C19" s="20" t="s">
        <v>388</v>
      </c>
      <c r="D19" s="26">
        <v>35</v>
      </c>
      <c r="E19" s="20">
        <v>4</v>
      </c>
      <c r="F19" s="26" t="s">
        <v>289</v>
      </c>
      <c r="G19" s="26">
        <v>40</v>
      </c>
      <c r="H19" s="26">
        <v>10</v>
      </c>
      <c r="I19" s="26">
        <f t="shared" si="0"/>
        <v>3.3</v>
      </c>
      <c r="J19" s="21"/>
      <c r="K19" s="21" t="s">
        <v>389</v>
      </c>
      <c r="L19" s="21" t="s">
        <v>390</v>
      </c>
      <c r="N19" t="s">
        <v>391</v>
      </c>
      <c r="O19" s="26"/>
    </row>
    <row r="20" spans="1:15" ht="16.5" customHeight="1">
      <c r="A20" s="20">
        <v>6</v>
      </c>
      <c r="B20" s="21" t="s">
        <v>392</v>
      </c>
      <c r="C20" s="20" t="s">
        <v>393</v>
      </c>
      <c r="D20" s="26" t="s">
        <v>294</v>
      </c>
      <c r="E20" s="20">
        <v>4</v>
      </c>
      <c r="F20" s="26" t="s">
        <v>289</v>
      </c>
      <c r="G20" s="26">
        <v>40</v>
      </c>
      <c r="H20" s="26">
        <v>105</v>
      </c>
      <c r="I20" s="26">
        <f t="shared" si="0"/>
        <v>9.6999999999999993</v>
      </c>
      <c r="J20" s="21"/>
      <c r="K20" s="21" t="s">
        <v>394</v>
      </c>
      <c r="L20" s="21" t="s">
        <v>395</v>
      </c>
      <c r="N20" t="s">
        <v>391</v>
      </c>
      <c r="O20" s="26"/>
    </row>
    <row r="21" spans="1:15" ht="16.5" customHeight="1">
      <c r="A21" s="20">
        <v>7</v>
      </c>
      <c r="B21" s="70" t="s">
        <v>396</v>
      </c>
      <c r="C21" s="20" t="s">
        <v>299</v>
      </c>
      <c r="D21" s="71" t="s">
        <v>283</v>
      </c>
      <c r="E21" s="20">
        <v>3</v>
      </c>
      <c r="F21" s="26">
        <v>10</v>
      </c>
      <c r="G21" s="26">
        <v>40</v>
      </c>
      <c r="H21" s="26">
        <v>60</v>
      </c>
      <c r="I21" s="26">
        <f t="shared" si="0"/>
        <v>5</v>
      </c>
      <c r="J21" s="21"/>
      <c r="K21" s="21" t="s">
        <v>397</v>
      </c>
      <c r="L21" s="21" t="s">
        <v>398</v>
      </c>
      <c r="O21" s="26"/>
    </row>
    <row r="22" spans="1:15" ht="15" customHeight="1">
      <c r="D22" s="3" t="s">
        <v>321</v>
      </c>
      <c r="E22" s="27">
        <f>SUM(E15:E21)</f>
        <v>26</v>
      </c>
      <c r="I22">
        <f>ROUND(SUM(I15:I21),0)</f>
        <v>71</v>
      </c>
    </row>
    <row r="23" spans="1:15" ht="15" customHeight="1">
      <c r="A23" s="99" t="s">
        <v>245</v>
      </c>
    </row>
    <row r="24" spans="1:15">
      <c r="A24" t="s">
        <v>399</v>
      </c>
    </row>
    <row r="25" spans="1:15">
      <c r="A25" t="s">
        <v>325</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400</v>
      </c>
    </row>
    <row r="2" spans="1:15" ht="16.5" customHeight="1">
      <c r="A2" s="18" t="s">
        <v>401</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403</v>
      </c>
      <c r="C6" s="20" t="s">
        <v>354</v>
      </c>
      <c r="D6" s="20">
        <v>10</v>
      </c>
      <c r="E6" s="20">
        <v>3</v>
      </c>
      <c r="F6" s="26" t="s">
        <v>289</v>
      </c>
      <c r="G6" s="26">
        <v>40</v>
      </c>
      <c r="H6" s="26">
        <v>70</v>
      </c>
      <c r="I6" s="26">
        <f t="shared" ref="I6:I16" si="0">IF(E6=0,0,ROUND((E6*(G6+H6)+O6)/60,1))</f>
        <v>6.5</v>
      </c>
      <c r="J6" s="21"/>
      <c r="K6" s="21" t="s">
        <v>404</v>
      </c>
      <c r="L6" s="21" t="s">
        <v>405</v>
      </c>
      <c r="O6" s="26">
        <v>60</v>
      </c>
    </row>
    <row r="7" spans="1:15" ht="16.5" customHeight="1">
      <c r="A7" s="20">
        <v>2</v>
      </c>
      <c r="B7" s="70" t="s">
        <v>406</v>
      </c>
      <c r="C7" s="20" t="s">
        <v>354</v>
      </c>
      <c r="D7" s="20">
        <v>15</v>
      </c>
      <c r="E7" s="20">
        <v>3</v>
      </c>
      <c r="F7" s="26" t="s">
        <v>289</v>
      </c>
      <c r="G7" s="26">
        <v>40</v>
      </c>
      <c r="H7" s="26">
        <v>75</v>
      </c>
      <c r="I7" s="26">
        <f t="shared" si="0"/>
        <v>5.8</v>
      </c>
      <c r="J7" s="21" t="s">
        <v>407</v>
      </c>
      <c r="K7" s="21" t="s">
        <v>408</v>
      </c>
      <c r="L7" s="21" t="s">
        <v>409</v>
      </c>
      <c r="O7" s="26"/>
    </row>
    <row r="8" spans="1:15" ht="16.5" customHeight="1">
      <c r="A8" s="20">
        <v>3</v>
      </c>
      <c r="B8" s="70" t="s">
        <v>410</v>
      </c>
      <c r="C8" s="20" t="s">
        <v>358</v>
      </c>
      <c r="D8" s="20" t="s">
        <v>289</v>
      </c>
      <c r="E8" s="20">
        <v>3</v>
      </c>
      <c r="F8" s="26" t="s">
        <v>289</v>
      </c>
      <c r="G8" s="26">
        <v>40</v>
      </c>
      <c r="H8" s="26">
        <v>70</v>
      </c>
      <c r="I8" s="26">
        <f t="shared" si="0"/>
        <v>5.5</v>
      </c>
      <c r="J8" s="21" t="s">
        <v>411</v>
      </c>
      <c r="K8" s="21" t="s">
        <v>412</v>
      </c>
      <c r="L8" s="21" t="s">
        <v>413</v>
      </c>
      <c r="O8" s="26"/>
    </row>
    <row r="9" spans="1:15" ht="16.5" customHeight="1">
      <c r="A9" s="20">
        <v>4</v>
      </c>
      <c r="B9" s="70" t="s">
        <v>414</v>
      </c>
      <c r="C9" s="20" t="s">
        <v>358</v>
      </c>
      <c r="D9" s="20">
        <v>20</v>
      </c>
      <c r="E9" s="20">
        <v>3</v>
      </c>
      <c r="F9" s="26" t="s">
        <v>289</v>
      </c>
      <c r="G9" s="26">
        <v>40</v>
      </c>
      <c r="H9" s="26">
        <v>80</v>
      </c>
      <c r="I9" s="26">
        <f t="shared" si="0"/>
        <v>6</v>
      </c>
      <c r="J9" s="21" t="s">
        <v>411</v>
      </c>
      <c r="K9" s="21" t="s">
        <v>415</v>
      </c>
      <c r="L9" s="21" t="s">
        <v>416</v>
      </c>
      <c r="O9" s="26"/>
    </row>
    <row r="10" spans="1:15" ht="16.5" customHeight="1">
      <c r="A10" s="20">
        <v>5</v>
      </c>
      <c r="B10" s="78" t="s">
        <v>417</v>
      </c>
      <c r="C10" s="20" t="s">
        <v>418</v>
      </c>
      <c r="D10" s="20" t="s">
        <v>419</v>
      </c>
      <c r="E10" s="20">
        <v>3</v>
      </c>
      <c r="F10" s="26" t="s">
        <v>289</v>
      </c>
      <c r="G10" s="26">
        <v>40</v>
      </c>
      <c r="H10" s="26">
        <v>60</v>
      </c>
      <c r="I10" s="26">
        <f t="shared" si="0"/>
        <v>5</v>
      </c>
      <c r="J10" s="21"/>
      <c r="K10" s="21" t="s">
        <v>420</v>
      </c>
      <c r="L10" s="21" t="s">
        <v>421</v>
      </c>
      <c r="O10" s="26"/>
    </row>
    <row r="11" spans="1:15" ht="16.5" customHeight="1">
      <c r="A11" s="20">
        <v>6</v>
      </c>
      <c r="B11" s="21" t="s">
        <v>422</v>
      </c>
      <c r="C11" s="20" t="s">
        <v>349</v>
      </c>
      <c r="D11" s="42" t="s">
        <v>423</v>
      </c>
      <c r="E11" s="20">
        <v>3</v>
      </c>
      <c r="F11" s="26" t="s">
        <v>274</v>
      </c>
      <c r="G11" s="26">
        <v>40</v>
      </c>
      <c r="H11" s="26">
        <v>150</v>
      </c>
      <c r="I11" s="26">
        <f t="shared" si="0"/>
        <v>9.5</v>
      </c>
      <c r="J11" s="21" t="s">
        <v>424</v>
      </c>
      <c r="K11" s="21" t="s">
        <v>425</v>
      </c>
      <c r="L11" s="36" t="s">
        <v>426</v>
      </c>
      <c r="M11" s="79"/>
      <c r="O11" s="26"/>
    </row>
    <row r="12" spans="1:15" ht="16.5" customHeight="1">
      <c r="A12" s="20">
        <v>7</v>
      </c>
      <c r="B12" s="21" t="s">
        <v>427</v>
      </c>
      <c r="C12" s="20" t="s">
        <v>337</v>
      </c>
      <c r="D12" s="26" t="s">
        <v>428</v>
      </c>
      <c r="E12" s="20">
        <v>3</v>
      </c>
      <c r="F12" s="26" t="s">
        <v>350</v>
      </c>
      <c r="G12" s="26">
        <v>40</v>
      </c>
      <c r="H12" s="26">
        <v>90</v>
      </c>
      <c r="I12" s="26">
        <f t="shared" si="0"/>
        <v>7.5</v>
      </c>
      <c r="J12" s="21" t="s">
        <v>429</v>
      </c>
      <c r="K12" s="21" t="s">
        <v>430</v>
      </c>
      <c r="L12" s="21" t="s">
        <v>431</v>
      </c>
      <c r="O12" s="26">
        <v>60</v>
      </c>
    </row>
    <row r="13" spans="1:15" ht="16.5" customHeight="1">
      <c r="A13" s="20">
        <v>8</v>
      </c>
      <c r="B13" s="21" t="s">
        <v>293</v>
      </c>
      <c r="C13" s="43" t="s">
        <v>269</v>
      </c>
      <c r="D13" s="26" t="s">
        <v>432</v>
      </c>
      <c r="E13" s="20">
        <v>3</v>
      </c>
      <c r="F13" s="26" t="s">
        <v>274</v>
      </c>
      <c r="G13" s="26">
        <v>40</v>
      </c>
      <c r="H13" s="26">
        <v>70</v>
      </c>
      <c r="I13" s="26">
        <f t="shared" si="0"/>
        <v>5.5</v>
      </c>
      <c r="J13" s="21" t="s">
        <v>295</v>
      </c>
      <c r="K13" s="21" t="s">
        <v>433</v>
      </c>
      <c r="L13" s="21" t="s">
        <v>434</v>
      </c>
      <c r="O13" s="26"/>
    </row>
    <row r="14" spans="1:15" ht="16.5" customHeight="1">
      <c r="A14" s="20">
        <v>9</v>
      </c>
      <c r="B14" s="70" t="s">
        <v>435</v>
      </c>
      <c r="C14" s="20" t="s">
        <v>295</v>
      </c>
      <c r="D14" s="20">
        <v>15</v>
      </c>
      <c r="E14" s="20">
        <v>4</v>
      </c>
      <c r="F14" s="26" t="s">
        <v>436</v>
      </c>
      <c r="G14" s="26">
        <v>40</v>
      </c>
      <c r="H14" s="26">
        <v>60</v>
      </c>
      <c r="I14" s="26">
        <f t="shared" si="0"/>
        <v>6.7</v>
      </c>
      <c r="J14" s="21"/>
      <c r="K14" s="21" t="s">
        <v>437</v>
      </c>
      <c r="L14" s="21" t="s">
        <v>438</v>
      </c>
      <c r="O14" s="26"/>
    </row>
    <row r="15" spans="1:15" ht="16.5" customHeight="1">
      <c r="A15" s="20">
        <v>10</v>
      </c>
      <c r="B15" s="70" t="s">
        <v>439</v>
      </c>
      <c r="C15" s="20" t="s">
        <v>295</v>
      </c>
      <c r="D15" s="20">
        <v>15</v>
      </c>
      <c r="E15" s="20">
        <v>4</v>
      </c>
      <c r="F15" s="26" t="s">
        <v>303</v>
      </c>
      <c r="G15" s="26">
        <v>40</v>
      </c>
      <c r="H15" s="26">
        <v>70</v>
      </c>
      <c r="I15" s="26">
        <f t="shared" si="0"/>
        <v>7.3</v>
      </c>
      <c r="J15" s="21" t="s">
        <v>440</v>
      </c>
      <c r="K15" s="21" t="s">
        <v>441</v>
      </c>
      <c r="L15" s="21" t="s">
        <v>442</v>
      </c>
      <c r="O15" s="26"/>
    </row>
    <row r="16" spans="1:15" ht="16.5" customHeight="1">
      <c r="A16" s="20">
        <v>11</v>
      </c>
      <c r="B16" s="21" t="s">
        <v>307</v>
      </c>
      <c r="C16" s="20" t="s">
        <v>308</v>
      </c>
      <c r="D16" s="26">
        <v>10</v>
      </c>
      <c r="E16" s="20">
        <v>4</v>
      </c>
      <c r="F16" s="26" t="s">
        <v>289</v>
      </c>
      <c r="G16" s="26">
        <v>40</v>
      </c>
      <c r="H16" s="26">
        <v>75</v>
      </c>
      <c r="I16" s="26">
        <f t="shared" si="0"/>
        <v>7.7</v>
      </c>
      <c r="J16" s="21"/>
      <c r="K16" s="21" t="s">
        <v>443</v>
      </c>
      <c r="L16" s="21" t="s">
        <v>444</v>
      </c>
      <c r="O16" s="26"/>
    </row>
    <row r="17" spans="1:9" ht="16.5" customHeight="1">
      <c r="D17" s="3" t="s">
        <v>321</v>
      </c>
      <c r="E17" s="27">
        <f>SUM(E6:E16)</f>
        <v>36</v>
      </c>
      <c r="I17">
        <f>ROUND(SUM(I6:I16),0)</f>
        <v>73</v>
      </c>
    </row>
    <row r="18" spans="1:9" ht="16.5" customHeight="1">
      <c r="F18" s="76" t="s">
        <v>445</v>
      </c>
    </row>
    <row r="19" spans="1:9" ht="16.5" customHeight="1">
      <c r="A19" s="95" t="s">
        <v>446</v>
      </c>
    </row>
    <row r="20" spans="1:9" ht="16.5" customHeight="1">
      <c r="A20" s="96" t="s">
        <v>447</v>
      </c>
    </row>
    <row r="21" spans="1:9" ht="16.5" customHeight="1">
      <c r="A21" t="s">
        <v>448</v>
      </c>
    </row>
    <row r="22" spans="1:9" ht="16.5" customHeight="1">
      <c r="A22" s="96" t="s">
        <v>449</v>
      </c>
    </row>
    <row r="23" spans="1:9" ht="16.5" customHeight="1">
      <c r="A23" s="96" t="s">
        <v>450</v>
      </c>
    </row>
    <row r="24" spans="1:9" ht="16.5" customHeight="1">
      <c r="A24" s="96" t="s">
        <v>451</v>
      </c>
    </row>
    <row r="25" spans="1:9" ht="16.5" customHeight="1">
      <c r="A25" s="96" t="s">
        <v>452</v>
      </c>
    </row>
    <row r="26" spans="1:9" ht="16.5" customHeight="1">
      <c r="A26" s="96" t="s">
        <v>453</v>
      </c>
    </row>
    <row r="27" spans="1:9" ht="16.5" customHeight="1">
      <c r="A27" s="95" t="s">
        <v>454</v>
      </c>
    </row>
    <row r="28" spans="1:9" ht="16.5" customHeight="1">
      <c r="A28" s="96" t="s">
        <v>455</v>
      </c>
    </row>
    <row r="29" spans="1:9" ht="16.5" customHeight="1"/>
    <row r="30" spans="1:9" ht="16.5" customHeight="1">
      <c r="A30" t="s">
        <v>456</v>
      </c>
    </row>
    <row r="31" spans="1:9" ht="16.5" customHeight="1">
      <c r="A31" t="s">
        <v>457</v>
      </c>
    </row>
    <row r="32" spans="1:9" ht="16.5" customHeight="1">
      <c r="A32" t="s">
        <v>458</v>
      </c>
    </row>
    <row r="33" spans="1:1" ht="16.5" customHeight="1">
      <c r="A33" t="s">
        <v>459</v>
      </c>
    </row>
    <row r="34" spans="1:1" ht="16.5" customHeight="1"/>
    <row r="35" spans="1:1" ht="16.5" customHeight="1">
      <c r="A35" s="99" t="s">
        <v>245</v>
      </c>
    </row>
    <row r="36" spans="1:1" ht="16.5" customHeight="1">
      <c r="A36" t="s">
        <v>460</v>
      </c>
    </row>
    <row r="37" spans="1:1" ht="16.5" customHeight="1">
      <c r="A37" t="s">
        <v>325</v>
      </c>
    </row>
    <row r="38" spans="1:1" ht="16.5" customHeight="1">
      <c r="A38" t="s">
        <v>461</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462</v>
      </c>
    </row>
    <row r="2" spans="1:15" ht="16.5" customHeight="1">
      <c r="A2" s="18" t="s">
        <v>463</v>
      </c>
    </row>
    <row r="3" spans="1:15">
      <c r="A3" s="33" t="s">
        <v>464</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36" t="s">
        <v>465</v>
      </c>
      <c r="C6" s="20" t="s">
        <v>282</v>
      </c>
      <c r="D6" s="26">
        <v>45</v>
      </c>
      <c r="E6" s="20">
        <v>4</v>
      </c>
      <c r="F6" s="26" t="s">
        <v>284</v>
      </c>
      <c r="G6" s="26">
        <v>40</v>
      </c>
      <c r="H6" s="26">
        <v>150</v>
      </c>
      <c r="I6" s="26">
        <f t="shared" ref="I6:I15" si="0">IF(E6=0,0,ROUND((E6*(G6+H6)+O6)/60,1))</f>
        <v>12.7</v>
      </c>
      <c r="J6" s="21" t="s">
        <v>466</v>
      </c>
      <c r="K6" s="21" t="s">
        <v>467</v>
      </c>
      <c r="L6" s="21" t="s">
        <v>468</v>
      </c>
      <c r="O6" s="26"/>
    </row>
    <row r="7" spans="1:15" ht="16.5" customHeight="1">
      <c r="A7" s="20">
        <v>2</v>
      </c>
      <c r="B7" s="36" t="s">
        <v>469</v>
      </c>
      <c r="C7" s="20" t="s">
        <v>267</v>
      </c>
      <c r="D7" s="26">
        <v>47</v>
      </c>
      <c r="E7" s="20">
        <v>2</v>
      </c>
      <c r="F7" s="26" t="s">
        <v>274</v>
      </c>
      <c r="G7" s="26">
        <v>40</v>
      </c>
      <c r="H7" s="26">
        <v>150</v>
      </c>
      <c r="I7" s="26">
        <f t="shared" si="0"/>
        <v>6.3</v>
      </c>
      <c r="J7" s="21" t="s">
        <v>466</v>
      </c>
      <c r="K7" s="21" t="s">
        <v>470</v>
      </c>
      <c r="L7" s="21" t="s">
        <v>471</v>
      </c>
      <c r="O7" s="26"/>
    </row>
    <row r="8" spans="1:15" ht="16.5" customHeight="1">
      <c r="A8" s="20">
        <v>3</v>
      </c>
      <c r="B8" s="36" t="s">
        <v>472</v>
      </c>
      <c r="C8" s="20" t="s">
        <v>267</v>
      </c>
      <c r="D8" s="26">
        <v>20</v>
      </c>
      <c r="E8" s="20">
        <v>2</v>
      </c>
      <c r="F8" s="26" t="s">
        <v>278</v>
      </c>
      <c r="G8" s="26">
        <v>80</v>
      </c>
      <c r="H8" s="26">
        <v>150</v>
      </c>
      <c r="I8" s="26">
        <f t="shared" si="0"/>
        <v>9.6999999999999993</v>
      </c>
      <c r="J8" s="21" t="s">
        <v>466</v>
      </c>
      <c r="K8" s="21" t="s">
        <v>473</v>
      </c>
      <c r="L8" s="21" t="s">
        <v>474</v>
      </c>
      <c r="O8" s="26">
        <v>120</v>
      </c>
    </row>
    <row r="9" spans="1:15" ht="16.5" customHeight="1">
      <c r="A9" s="20">
        <v>4</v>
      </c>
      <c r="B9" s="36" t="s">
        <v>475</v>
      </c>
      <c r="C9" s="20" t="s">
        <v>282</v>
      </c>
      <c r="D9" s="20">
        <v>32</v>
      </c>
      <c r="E9" s="20">
        <v>4</v>
      </c>
      <c r="F9" s="26" t="s">
        <v>289</v>
      </c>
      <c r="G9" s="26">
        <v>40</v>
      </c>
      <c r="H9" s="26">
        <v>60</v>
      </c>
      <c r="I9" s="26">
        <f t="shared" si="0"/>
        <v>7.7</v>
      </c>
      <c r="J9" s="21" t="s">
        <v>476</v>
      </c>
      <c r="K9" s="21" t="s">
        <v>477</v>
      </c>
      <c r="L9" s="21" t="s">
        <v>478</v>
      </c>
      <c r="O9" s="26">
        <v>60</v>
      </c>
    </row>
    <row r="10" spans="1:15" ht="16.5" customHeight="1">
      <c r="A10" s="20">
        <v>5</v>
      </c>
      <c r="B10" s="21" t="s">
        <v>410</v>
      </c>
      <c r="C10" s="20" t="s">
        <v>358</v>
      </c>
      <c r="D10" s="26" t="s">
        <v>289</v>
      </c>
      <c r="E10" s="20">
        <v>0</v>
      </c>
      <c r="F10" s="26" t="s">
        <v>314</v>
      </c>
      <c r="G10" s="26">
        <v>40</v>
      </c>
      <c r="H10" s="26">
        <v>70</v>
      </c>
      <c r="I10" s="26">
        <f t="shared" si="0"/>
        <v>0</v>
      </c>
      <c r="J10" s="21" t="s">
        <v>411</v>
      </c>
      <c r="K10" s="21" t="s">
        <v>479</v>
      </c>
      <c r="L10" s="21" t="s">
        <v>480</v>
      </c>
      <c r="O10" s="26"/>
    </row>
    <row r="11" spans="1:15" ht="16.5" customHeight="1">
      <c r="A11" s="20">
        <v>6</v>
      </c>
      <c r="B11" s="21" t="s">
        <v>481</v>
      </c>
      <c r="C11" s="20" t="s">
        <v>269</v>
      </c>
      <c r="D11" s="26">
        <v>30</v>
      </c>
      <c r="E11" s="20">
        <v>4</v>
      </c>
      <c r="F11" s="26" t="s">
        <v>274</v>
      </c>
      <c r="G11" s="26">
        <v>40</v>
      </c>
      <c r="H11" s="26">
        <v>70</v>
      </c>
      <c r="I11" s="26">
        <f t="shared" si="0"/>
        <v>8.3000000000000007</v>
      </c>
      <c r="J11" s="21" t="s">
        <v>295</v>
      </c>
      <c r="K11" s="21" t="s">
        <v>482</v>
      </c>
      <c r="L11" s="22" t="s">
        <v>483</v>
      </c>
      <c r="O11" s="26">
        <v>60</v>
      </c>
    </row>
    <row r="12" spans="1:15" ht="16.5" customHeight="1">
      <c r="A12" s="20">
        <v>7</v>
      </c>
      <c r="B12" s="21" t="s">
        <v>484</v>
      </c>
      <c r="C12" s="20" t="s">
        <v>407</v>
      </c>
      <c r="D12" s="20">
        <v>15</v>
      </c>
      <c r="E12" s="20">
        <v>4</v>
      </c>
      <c r="F12" s="26" t="s">
        <v>350</v>
      </c>
      <c r="G12" s="26">
        <v>40</v>
      </c>
      <c r="H12" s="26">
        <v>90</v>
      </c>
      <c r="I12" s="26">
        <f t="shared" si="0"/>
        <v>8.6999999999999993</v>
      </c>
      <c r="J12" s="21" t="s">
        <v>485</v>
      </c>
      <c r="K12" s="21" t="s">
        <v>486</v>
      </c>
      <c r="L12" s="21" t="s">
        <v>487</v>
      </c>
      <c r="O12" s="26"/>
    </row>
    <row r="13" spans="1:15" ht="16.5" customHeight="1">
      <c r="A13" s="20">
        <v>8</v>
      </c>
      <c r="B13" s="70" t="s">
        <v>488</v>
      </c>
      <c r="C13" s="20" t="s">
        <v>308</v>
      </c>
      <c r="D13" s="20" t="s">
        <v>489</v>
      </c>
      <c r="E13" s="20">
        <v>2</v>
      </c>
      <c r="F13" s="26" t="s">
        <v>289</v>
      </c>
      <c r="G13" s="26">
        <v>40</v>
      </c>
      <c r="H13" s="26">
        <v>75</v>
      </c>
      <c r="I13" s="26">
        <f t="shared" si="0"/>
        <v>3.8</v>
      </c>
      <c r="J13" s="21"/>
      <c r="K13" s="21" t="s">
        <v>490</v>
      </c>
      <c r="L13" s="21" t="s">
        <v>491</v>
      </c>
      <c r="O13" s="26"/>
    </row>
    <row r="14" spans="1:15" ht="16.5" customHeight="1">
      <c r="A14" s="20">
        <v>9</v>
      </c>
      <c r="B14" s="21" t="s">
        <v>492</v>
      </c>
      <c r="C14" s="20" t="s">
        <v>393</v>
      </c>
      <c r="D14" s="26">
        <v>10</v>
      </c>
      <c r="E14" s="20">
        <v>3</v>
      </c>
      <c r="F14" s="26" t="s">
        <v>304</v>
      </c>
      <c r="G14" s="26">
        <v>80</v>
      </c>
      <c r="H14" s="26">
        <v>75</v>
      </c>
      <c r="I14" s="26">
        <f t="shared" si="0"/>
        <v>7.8</v>
      </c>
      <c r="J14" s="21"/>
      <c r="K14" s="21" t="s">
        <v>493</v>
      </c>
      <c r="L14" s="21" t="s">
        <v>494</v>
      </c>
      <c r="O14" s="26"/>
    </row>
    <row r="15" spans="1:15" ht="16.5" customHeight="1">
      <c r="A15" s="20">
        <v>10</v>
      </c>
      <c r="B15" s="74" t="s">
        <v>318</v>
      </c>
      <c r="C15" s="20" t="s">
        <v>313</v>
      </c>
      <c r="D15" s="20" t="s">
        <v>283</v>
      </c>
      <c r="E15" s="20">
        <v>3</v>
      </c>
      <c r="F15" s="26" t="s">
        <v>289</v>
      </c>
      <c r="G15" s="26">
        <v>40</v>
      </c>
      <c r="H15" s="26">
        <v>60</v>
      </c>
      <c r="I15" s="26">
        <f t="shared" si="0"/>
        <v>5</v>
      </c>
      <c r="J15" s="21"/>
      <c r="K15" s="21" t="s">
        <v>319</v>
      </c>
      <c r="L15" s="21" t="s">
        <v>320</v>
      </c>
      <c r="O15" s="26"/>
    </row>
    <row r="16" spans="1:15" ht="15" customHeight="1">
      <c r="D16" s="3" t="s">
        <v>321</v>
      </c>
      <c r="E16" s="27">
        <f>SUM(E6:E15)</f>
        <v>28</v>
      </c>
      <c r="I16">
        <f>ROUND(SUM(I6:I15),0)</f>
        <v>70</v>
      </c>
    </row>
    <row r="17" spans="1:2" ht="15" customHeight="1">
      <c r="A17" t="s">
        <v>456</v>
      </c>
    </row>
    <row r="18" spans="1:2">
      <c r="A18" t="s">
        <v>495</v>
      </c>
    </row>
    <row r="19" spans="1:2">
      <c r="A19" t="s">
        <v>496</v>
      </c>
    </row>
    <row r="20" spans="1:2">
      <c r="A20" t="s">
        <v>497</v>
      </c>
    </row>
    <row r="22" spans="1:2">
      <c r="A22" s="99" t="s">
        <v>245</v>
      </c>
      <c r="B22" s="72"/>
    </row>
    <row r="23" spans="1:2">
      <c r="A23" t="s">
        <v>498</v>
      </c>
    </row>
    <row r="24" spans="1:2">
      <c r="A24" t="s">
        <v>325</v>
      </c>
    </row>
    <row r="25" spans="1:2">
      <c r="A25" t="s">
        <v>499</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500</v>
      </c>
    </row>
    <row r="2" spans="1:3" ht="16.5" customHeight="1">
      <c r="A2" s="18" t="s">
        <v>501</v>
      </c>
    </row>
    <row r="4" spans="1:3" ht="16.5" customHeight="1">
      <c r="A4" s="3" t="s">
        <v>502</v>
      </c>
    </row>
    <row r="5" spans="1:3" ht="16.5" customHeight="1">
      <c r="A5" s="19" t="s">
        <v>255</v>
      </c>
      <c r="B5" s="19" t="s">
        <v>330</v>
      </c>
      <c r="C5" s="19" t="s">
        <v>148</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28</v>
      </c>
      <c r="B9" s="20">
        <v>2</v>
      </c>
      <c r="C9" s="20">
        <v>1</v>
      </c>
    </row>
    <row r="10" spans="1:3" ht="15" customHeight="1">
      <c r="A10" s="37">
        <f>시작중량_설정!$E$10</f>
        <v>31</v>
      </c>
      <c r="B10" s="27">
        <v>5</v>
      </c>
      <c r="C10" s="27">
        <v>3</v>
      </c>
    </row>
    <row r="11" spans="1:3" ht="16.5" customHeight="1">
      <c r="A11" s="31" t="s">
        <v>331</v>
      </c>
    </row>
    <row r="13" spans="1:3" ht="16.5" customHeight="1">
      <c r="A13" s="3" t="s">
        <v>332</v>
      </c>
    </row>
    <row r="14" spans="1:3" ht="16.5" customHeight="1">
      <c r="A14" s="31" t="s">
        <v>333</v>
      </c>
    </row>
    <row r="15" spans="1:3" ht="16.5" customHeight="1">
      <c r="A15" s="31" t="s">
        <v>334</v>
      </c>
    </row>
    <row r="16" spans="1:3" ht="16.5" customHeight="1">
      <c r="A16" s="31" t="s">
        <v>335</v>
      </c>
    </row>
    <row r="18" spans="1:15" ht="15" customHeight="1">
      <c r="A18" s="3" t="s">
        <v>252</v>
      </c>
    </row>
    <row r="19" spans="1:15" ht="16.5" customHeight="1">
      <c r="A19" s="34" t="s">
        <v>253</v>
      </c>
      <c r="B19" s="35" t="s">
        <v>76</v>
      </c>
      <c r="C19" s="35" t="s">
        <v>254</v>
      </c>
      <c r="D19" s="35" t="s">
        <v>255</v>
      </c>
      <c r="E19" s="35" t="s">
        <v>148</v>
      </c>
      <c r="F19" s="35" t="s">
        <v>256</v>
      </c>
      <c r="G19" s="35" t="s">
        <v>257</v>
      </c>
      <c r="H19" s="35" t="s">
        <v>258</v>
      </c>
      <c r="I19" s="35" t="s">
        <v>259</v>
      </c>
      <c r="J19" s="35" t="s">
        <v>260</v>
      </c>
      <c r="K19" s="35" t="s">
        <v>261</v>
      </c>
      <c r="L19" s="35" t="s">
        <v>262</v>
      </c>
      <c r="M19" s="35" t="s">
        <v>263</v>
      </c>
      <c r="N19" s="35" t="s">
        <v>264</v>
      </c>
      <c r="O19" s="35" t="s">
        <v>265</v>
      </c>
    </row>
    <row r="20" spans="1:15" ht="16.5" customHeight="1">
      <c r="A20" s="40">
        <v>1</v>
      </c>
      <c r="B20" s="39" t="s">
        <v>503</v>
      </c>
      <c r="C20" s="40" t="s">
        <v>429</v>
      </c>
      <c r="D20" s="41">
        <f>시작중량_설정!$E$10</f>
        <v>31</v>
      </c>
      <c r="E20" s="40">
        <v>3</v>
      </c>
      <c r="F20" s="38" t="s">
        <v>338</v>
      </c>
      <c r="G20" s="38">
        <v>30</v>
      </c>
      <c r="H20" s="38">
        <v>180</v>
      </c>
      <c r="I20" s="38">
        <f t="shared" ref="I20:I29" si="0">IF(E20=0,0,ROUND((E20*(G20+H20)+O20)/60,1))</f>
        <v>10.5</v>
      </c>
      <c r="J20" s="39" t="s">
        <v>504</v>
      </c>
      <c r="K20" s="39" t="s">
        <v>505</v>
      </c>
      <c r="L20" s="39" t="s">
        <v>506</v>
      </c>
      <c r="M20" s="38" t="s">
        <v>507</v>
      </c>
      <c r="O20" s="38"/>
    </row>
    <row r="21" spans="1:15" ht="16.5" customHeight="1">
      <c r="A21" s="20">
        <v>2</v>
      </c>
      <c r="B21" s="21" t="s">
        <v>508</v>
      </c>
      <c r="C21" s="20" t="s">
        <v>429</v>
      </c>
      <c r="D21" s="20">
        <v>25</v>
      </c>
      <c r="E21" s="20">
        <v>3</v>
      </c>
      <c r="F21" s="26" t="s">
        <v>314</v>
      </c>
      <c r="G21" s="26">
        <v>40</v>
      </c>
      <c r="H21" s="26">
        <v>120</v>
      </c>
      <c r="I21" s="26">
        <f t="shared" si="0"/>
        <v>8</v>
      </c>
      <c r="J21" s="21" t="s">
        <v>509</v>
      </c>
      <c r="K21" s="21" t="s">
        <v>510</v>
      </c>
      <c r="L21" s="21" t="s">
        <v>511</v>
      </c>
      <c r="O21" s="26"/>
    </row>
    <row r="22" spans="1:15" ht="16.5" customHeight="1">
      <c r="A22" s="20">
        <v>3</v>
      </c>
      <c r="B22" s="36" t="s">
        <v>417</v>
      </c>
      <c r="C22" s="20" t="s">
        <v>418</v>
      </c>
      <c r="D22" s="20">
        <v>20</v>
      </c>
      <c r="E22" s="20">
        <v>3</v>
      </c>
      <c r="F22" s="26" t="s">
        <v>289</v>
      </c>
      <c r="G22" s="26">
        <v>40</v>
      </c>
      <c r="H22" s="26">
        <v>60</v>
      </c>
      <c r="I22" s="26">
        <f t="shared" si="0"/>
        <v>5</v>
      </c>
      <c r="J22" s="21" t="s">
        <v>285</v>
      </c>
      <c r="K22" s="21" t="s">
        <v>512</v>
      </c>
      <c r="L22" s="21" t="s">
        <v>513</v>
      </c>
      <c r="O22" s="26"/>
    </row>
    <row r="23" spans="1:15" ht="16.5" customHeight="1">
      <c r="A23" s="20">
        <v>4</v>
      </c>
      <c r="B23" s="21" t="s">
        <v>514</v>
      </c>
      <c r="C23" s="20" t="s">
        <v>337</v>
      </c>
      <c r="D23" s="26">
        <v>25</v>
      </c>
      <c r="E23" s="20">
        <v>3</v>
      </c>
      <c r="F23" s="26" t="s">
        <v>274</v>
      </c>
      <c r="G23" s="26">
        <v>40</v>
      </c>
      <c r="H23" s="26">
        <v>150</v>
      </c>
      <c r="I23" s="26">
        <f t="shared" si="0"/>
        <v>9.5</v>
      </c>
      <c r="J23" s="21" t="s">
        <v>345</v>
      </c>
      <c r="K23" s="21" t="s">
        <v>515</v>
      </c>
      <c r="L23" s="21" t="s">
        <v>516</v>
      </c>
      <c r="O23" s="26"/>
    </row>
    <row r="24" spans="1:15" ht="16.5" customHeight="1">
      <c r="A24" s="20">
        <v>5</v>
      </c>
      <c r="B24" s="21" t="s">
        <v>517</v>
      </c>
      <c r="C24" s="20" t="s">
        <v>349</v>
      </c>
      <c r="D24" s="26">
        <v>35</v>
      </c>
      <c r="E24" s="20">
        <v>3</v>
      </c>
      <c r="F24" s="26" t="s">
        <v>284</v>
      </c>
      <c r="G24" s="26">
        <v>40</v>
      </c>
      <c r="H24" s="26">
        <v>150</v>
      </c>
      <c r="I24" s="26">
        <f t="shared" si="0"/>
        <v>9.5</v>
      </c>
      <c r="J24" s="21" t="s">
        <v>339</v>
      </c>
      <c r="K24" s="21" t="s">
        <v>518</v>
      </c>
      <c r="L24" s="21" t="s">
        <v>519</v>
      </c>
      <c r="O24" s="26"/>
    </row>
    <row r="25" spans="1:15" ht="16.5" customHeight="1">
      <c r="A25" s="20">
        <v>6</v>
      </c>
      <c r="B25" s="21" t="s">
        <v>520</v>
      </c>
      <c r="C25" s="43" t="s">
        <v>337</v>
      </c>
      <c r="D25" s="26">
        <v>10</v>
      </c>
      <c r="E25" s="20">
        <v>3</v>
      </c>
      <c r="F25" s="26" t="s">
        <v>274</v>
      </c>
      <c r="G25" s="26">
        <v>40</v>
      </c>
      <c r="H25" s="26">
        <v>90</v>
      </c>
      <c r="I25" s="26">
        <f t="shared" si="0"/>
        <v>7.5</v>
      </c>
      <c r="J25" s="21"/>
      <c r="K25" s="21" t="s">
        <v>521</v>
      </c>
      <c r="L25" s="21" t="s">
        <v>522</v>
      </c>
      <c r="O25" s="26">
        <v>60</v>
      </c>
    </row>
    <row r="26" spans="1:15" ht="16.5" customHeight="1">
      <c r="A26" s="20">
        <v>7</v>
      </c>
      <c r="B26" s="21" t="s">
        <v>523</v>
      </c>
      <c r="C26" s="20" t="s">
        <v>358</v>
      </c>
      <c r="D26" s="26">
        <v>15</v>
      </c>
      <c r="E26" s="20">
        <v>3</v>
      </c>
      <c r="F26" s="26" t="s">
        <v>289</v>
      </c>
      <c r="G26" s="26">
        <v>40</v>
      </c>
      <c r="H26" s="26">
        <v>70</v>
      </c>
      <c r="I26" s="26">
        <f t="shared" si="0"/>
        <v>5.5</v>
      </c>
      <c r="J26" s="21"/>
      <c r="K26" s="21" t="s">
        <v>524</v>
      </c>
      <c r="L26" s="21" t="s">
        <v>525</v>
      </c>
      <c r="O26" s="26"/>
    </row>
    <row r="27" spans="1:15" ht="16.5" customHeight="1">
      <c r="A27" s="20">
        <v>8</v>
      </c>
      <c r="B27" s="21" t="s">
        <v>526</v>
      </c>
      <c r="C27" s="20" t="s">
        <v>354</v>
      </c>
      <c r="D27" s="26">
        <v>5</v>
      </c>
      <c r="E27" s="20">
        <v>3</v>
      </c>
      <c r="F27" s="26" t="s">
        <v>350</v>
      </c>
      <c r="G27" s="26">
        <v>70</v>
      </c>
      <c r="H27" s="26">
        <v>70</v>
      </c>
      <c r="I27" s="26">
        <f t="shared" si="0"/>
        <v>7</v>
      </c>
      <c r="J27" s="21"/>
      <c r="K27" s="21" t="s">
        <v>527</v>
      </c>
      <c r="L27" s="21" t="s">
        <v>528</v>
      </c>
      <c r="O27" s="26"/>
    </row>
    <row r="28" spans="1:15" ht="16.5" customHeight="1">
      <c r="A28" s="20">
        <v>9</v>
      </c>
      <c r="B28" s="21" t="s">
        <v>529</v>
      </c>
      <c r="C28" s="20" t="s">
        <v>418</v>
      </c>
      <c r="D28" s="26" t="s">
        <v>530</v>
      </c>
      <c r="E28" s="20">
        <v>3</v>
      </c>
      <c r="F28" s="26" t="s">
        <v>289</v>
      </c>
      <c r="G28" s="26">
        <v>40</v>
      </c>
      <c r="H28" s="26">
        <v>60</v>
      </c>
      <c r="I28" s="26">
        <f t="shared" si="0"/>
        <v>5</v>
      </c>
      <c r="J28" s="21" t="s">
        <v>476</v>
      </c>
      <c r="K28" s="21" t="s">
        <v>531</v>
      </c>
      <c r="L28" s="21" t="s">
        <v>532</v>
      </c>
      <c r="O28" s="26"/>
    </row>
    <row r="29" spans="1:15" ht="16.5" customHeight="1">
      <c r="A29" s="20">
        <v>10</v>
      </c>
      <c r="B29" s="74" t="s">
        <v>533</v>
      </c>
      <c r="C29" s="20" t="s">
        <v>299</v>
      </c>
      <c r="D29" s="20">
        <v>15</v>
      </c>
      <c r="E29" s="20">
        <v>3</v>
      </c>
      <c r="F29" s="26" t="s">
        <v>314</v>
      </c>
      <c r="G29" s="26">
        <v>40</v>
      </c>
      <c r="H29" s="26">
        <v>60</v>
      </c>
      <c r="I29" s="26">
        <f t="shared" si="0"/>
        <v>5</v>
      </c>
      <c r="J29" s="21"/>
      <c r="K29" s="21" t="s">
        <v>534</v>
      </c>
      <c r="L29" s="21" t="s">
        <v>535</v>
      </c>
      <c r="O29" s="26"/>
    </row>
    <row r="30" spans="1:15" ht="15" customHeight="1">
      <c r="A30" s="20"/>
      <c r="B30" s="21"/>
      <c r="C30" s="20"/>
      <c r="D30" s="26" t="s">
        <v>321</v>
      </c>
      <c r="E30" s="20">
        <f>SUM(E20:E29)</f>
        <v>30</v>
      </c>
      <c r="F30" s="26"/>
      <c r="G30" s="26"/>
      <c r="H30" s="26"/>
      <c r="I30" s="26">
        <f>ROUND(SUM(I20:I29),0)</f>
        <v>73</v>
      </c>
      <c r="J30" s="21"/>
      <c r="K30" s="21"/>
      <c r="L30" s="21"/>
    </row>
    <row r="31" spans="1:15" ht="15" customHeight="1">
      <c r="A31" s="3" t="s">
        <v>536</v>
      </c>
    </row>
    <row r="32" spans="1:15">
      <c r="A32" s="31" t="s">
        <v>537</v>
      </c>
    </row>
    <row r="33" spans="1:1" ht="16.5" customHeight="1">
      <c r="A33" s="31" t="s">
        <v>538</v>
      </c>
    </row>
    <row r="34" spans="1:1" ht="16.5" customHeight="1">
      <c r="A34" s="31" t="s">
        <v>539</v>
      </c>
    </row>
    <row r="35" spans="1:1" ht="16.5" customHeight="1">
      <c r="A35" s="31" t="s">
        <v>540</v>
      </c>
    </row>
    <row r="36" spans="1:1" ht="16.5" customHeight="1">
      <c r="A36" s="31" t="s">
        <v>541</v>
      </c>
    </row>
    <row r="37" spans="1:1" ht="16.5" customHeight="1">
      <c r="A37" s="31" t="s">
        <v>542</v>
      </c>
    </row>
    <row r="38" spans="1:1" ht="16.5" customHeight="1">
      <c r="A38" s="31" t="s">
        <v>543</v>
      </c>
    </row>
    <row r="39" spans="1:1" ht="16.5" customHeight="1"/>
    <row r="40" spans="1:1" ht="16.5" customHeight="1">
      <c r="A40" t="s">
        <v>456</v>
      </c>
    </row>
    <row r="41" spans="1:1">
      <c r="A41" t="s">
        <v>544</v>
      </c>
    </row>
    <row r="42" spans="1:1">
      <c r="A42" t="s">
        <v>545</v>
      </c>
    </row>
    <row r="44" spans="1:1">
      <c r="A44" s="99" t="s">
        <v>245</v>
      </c>
    </row>
    <row r="45" spans="1:1">
      <c r="A45" t="s">
        <v>546</v>
      </c>
    </row>
    <row r="46" spans="1:1">
      <c r="A46" t="s">
        <v>325</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547</v>
      </c>
    </row>
    <row r="2" spans="1:15" ht="16.5" customHeight="1">
      <c r="A2" s="18" t="s">
        <v>548</v>
      </c>
    </row>
    <row r="4" spans="1:15" ht="16.5" customHeight="1">
      <c r="A4" s="3" t="s">
        <v>549</v>
      </c>
    </row>
    <row r="5" spans="1:15" ht="16.5" customHeight="1">
      <c r="A5" s="19" t="s">
        <v>255</v>
      </c>
      <c r="B5" s="19" t="s">
        <v>330</v>
      </c>
      <c r="C5" s="19" t="s">
        <v>148</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331</v>
      </c>
    </row>
    <row r="13" spans="1:15" ht="15" customHeight="1">
      <c r="A13" s="3" t="s">
        <v>252</v>
      </c>
    </row>
    <row r="14" spans="1:15" ht="16.5" customHeight="1">
      <c r="A14" s="34" t="s">
        <v>253</v>
      </c>
      <c r="B14" s="35" t="s">
        <v>76</v>
      </c>
      <c r="C14" s="35" t="s">
        <v>254</v>
      </c>
      <c r="D14" s="35" t="s">
        <v>255</v>
      </c>
      <c r="E14" s="35" t="s">
        <v>148</v>
      </c>
      <c r="F14" s="35" t="s">
        <v>256</v>
      </c>
      <c r="G14" s="35" t="s">
        <v>257</v>
      </c>
      <c r="H14" s="35" t="s">
        <v>258</v>
      </c>
      <c r="I14" s="35" t="s">
        <v>259</v>
      </c>
      <c r="J14" s="35" t="s">
        <v>260</v>
      </c>
      <c r="K14" s="35" t="s">
        <v>261</v>
      </c>
      <c r="L14" s="35" t="s">
        <v>262</v>
      </c>
      <c r="M14" s="35" t="s">
        <v>263</v>
      </c>
      <c r="N14" s="35" t="s">
        <v>264</v>
      </c>
      <c r="O14" s="35" t="s">
        <v>265</v>
      </c>
    </row>
    <row r="15" spans="1:15" ht="16.5" customHeight="1">
      <c r="A15" s="40">
        <v>1</v>
      </c>
      <c r="B15" s="39" t="s">
        <v>550</v>
      </c>
      <c r="C15" s="40" t="s">
        <v>313</v>
      </c>
      <c r="D15" s="41">
        <f>시작중량_설정!$E$8</f>
        <v>80</v>
      </c>
      <c r="E15" s="40">
        <v>1</v>
      </c>
      <c r="F15" s="38" t="s">
        <v>338</v>
      </c>
      <c r="G15" s="38">
        <v>35</v>
      </c>
      <c r="H15" s="38">
        <v>240</v>
      </c>
      <c r="I15" s="38">
        <f t="shared" ref="I15:I22" si="0">IF(E15=0,0,ROUND((E15*(G15+H15)+O15)/60,1))</f>
        <v>4.5999999999999996</v>
      </c>
      <c r="J15" s="39" t="s">
        <v>551</v>
      </c>
      <c r="K15" s="39" t="s">
        <v>552</v>
      </c>
      <c r="L15" s="39" t="s">
        <v>553</v>
      </c>
      <c r="O15" s="38"/>
    </row>
    <row r="16" spans="1:15" ht="16.5" customHeight="1">
      <c r="A16" s="40">
        <v>2</v>
      </c>
      <c r="B16" s="39" t="s">
        <v>554</v>
      </c>
      <c r="C16" s="40" t="s">
        <v>313</v>
      </c>
      <c r="D16" s="41">
        <f>시작중량_설정!$E$8-5</f>
        <v>75</v>
      </c>
      <c r="E16" s="40">
        <v>2</v>
      </c>
      <c r="F16" s="38" t="s">
        <v>338</v>
      </c>
      <c r="G16" s="38">
        <v>35</v>
      </c>
      <c r="H16" s="38">
        <v>180</v>
      </c>
      <c r="I16" s="38">
        <f t="shared" si="0"/>
        <v>7.2</v>
      </c>
      <c r="J16" s="39" t="s">
        <v>551</v>
      </c>
      <c r="K16" s="39" t="s">
        <v>555</v>
      </c>
      <c r="L16" s="39" t="s">
        <v>553</v>
      </c>
      <c r="O16" s="38"/>
    </row>
    <row r="17" spans="1:15" ht="16.5" customHeight="1">
      <c r="A17" s="20">
        <v>3</v>
      </c>
      <c r="B17" s="21" t="s">
        <v>556</v>
      </c>
      <c r="C17" s="20" t="s">
        <v>375</v>
      </c>
      <c r="D17" s="26">
        <v>25</v>
      </c>
      <c r="E17" s="20">
        <v>4</v>
      </c>
      <c r="F17" s="26" t="s">
        <v>274</v>
      </c>
      <c r="G17" s="26">
        <v>45</v>
      </c>
      <c r="H17" s="26">
        <v>150</v>
      </c>
      <c r="I17" s="26">
        <f t="shared" si="0"/>
        <v>13</v>
      </c>
      <c r="J17" s="21" t="s">
        <v>384</v>
      </c>
      <c r="K17" s="21" t="s">
        <v>557</v>
      </c>
      <c r="L17" s="21" t="s">
        <v>558</v>
      </c>
      <c r="O17" s="26"/>
    </row>
    <row r="18" spans="1:15" ht="16.5" customHeight="1">
      <c r="A18" s="20">
        <v>4</v>
      </c>
      <c r="B18" s="21" t="s">
        <v>559</v>
      </c>
      <c r="C18" s="20" t="s">
        <v>384</v>
      </c>
      <c r="D18" s="20">
        <v>35</v>
      </c>
      <c r="E18" s="20">
        <v>3</v>
      </c>
      <c r="F18" s="26" t="s">
        <v>489</v>
      </c>
      <c r="G18" s="26">
        <v>40</v>
      </c>
      <c r="H18" s="26">
        <v>150</v>
      </c>
      <c r="I18" s="26">
        <f t="shared" si="0"/>
        <v>9.5</v>
      </c>
      <c r="J18" s="21" t="s">
        <v>370</v>
      </c>
      <c r="K18" s="21" t="s">
        <v>560</v>
      </c>
      <c r="L18" s="21" t="s">
        <v>561</v>
      </c>
      <c r="O18" s="26"/>
    </row>
    <row r="19" spans="1:15" ht="16.5" customHeight="1">
      <c r="A19" s="20">
        <v>5</v>
      </c>
      <c r="B19" s="21" t="s">
        <v>562</v>
      </c>
      <c r="C19" s="20" t="s">
        <v>384</v>
      </c>
      <c r="D19" s="26">
        <v>15</v>
      </c>
      <c r="E19" s="20">
        <v>3</v>
      </c>
      <c r="F19" s="26" t="s">
        <v>309</v>
      </c>
      <c r="G19" s="26">
        <v>80</v>
      </c>
      <c r="H19" s="26">
        <v>120</v>
      </c>
      <c r="I19" s="26">
        <f t="shared" si="0"/>
        <v>10</v>
      </c>
      <c r="J19" s="21"/>
      <c r="K19" s="21" t="s">
        <v>563</v>
      </c>
      <c r="L19" s="21" t="s">
        <v>564</v>
      </c>
      <c r="O19" s="26"/>
    </row>
    <row r="20" spans="1:15" ht="16.5" customHeight="1">
      <c r="A20" s="20">
        <v>6</v>
      </c>
      <c r="B20" s="21" t="s">
        <v>374</v>
      </c>
      <c r="C20" s="20" t="s">
        <v>369</v>
      </c>
      <c r="D20" s="26">
        <v>120</v>
      </c>
      <c r="E20" s="20">
        <v>3</v>
      </c>
      <c r="F20" s="26" t="s">
        <v>274</v>
      </c>
      <c r="G20" s="26">
        <v>45</v>
      </c>
      <c r="H20" s="26">
        <v>150</v>
      </c>
      <c r="I20" s="26">
        <f t="shared" si="0"/>
        <v>9.8000000000000007</v>
      </c>
      <c r="J20" s="21" t="s">
        <v>375</v>
      </c>
      <c r="K20" s="21" t="s">
        <v>565</v>
      </c>
      <c r="L20" s="21" t="s">
        <v>566</v>
      </c>
      <c r="O20" s="26"/>
    </row>
    <row r="21" spans="1:15" ht="16.5" customHeight="1">
      <c r="A21" s="20">
        <v>7</v>
      </c>
      <c r="B21" s="21" t="s">
        <v>567</v>
      </c>
      <c r="C21" s="20" t="s">
        <v>369</v>
      </c>
      <c r="D21" s="26">
        <v>42</v>
      </c>
      <c r="E21" s="20">
        <v>4</v>
      </c>
      <c r="F21" s="26" t="s">
        <v>350</v>
      </c>
      <c r="G21" s="26">
        <v>40</v>
      </c>
      <c r="H21" s="26">
        <v>120</v>
      </c>
      <c r="I21" s="26">
        <f t="shared" si="0"/>
        <v>11.9</v>
      </c>
      <c r="J21" s="21"/>
      <c r="K21" s="21" t="s">
        <v>568</v>
      </c>
      <c r="L21" s="21" t="s">
        <v>569</v>
      </c>
      <c r="O21" s="26">
        <v>75</v>
      </c>
    </row>
    <row r="22" spans="1:15" ht="16.5" customHeight="1">
      <c r="A22" s="20">
        <v>8</v>
      </c>
      <c r="B22" s="21" t="s">
        <v>488</v>
      </c>
      <c r="C22" s="20" t="s">
        <v>308</v>
      </c>
      <c r="D22" s="26">
        <v>8</v>
      </c>
      <c r="E22" s="20">
        <v>4</v>
      </c>
      <c r="F22" s="26" t="s">
        <v>289</v>
      </c>
      <c r="G22" s="26">
        <v>40</v>
      </c>
      <c r="H22" s="26">
        <v>75</v>
      </c>
      <c r="I22" s="26">
        <f t="shared" si="0"/>
        <v>7.7</v>
      </c>
      <c r="J22" s="21"/>
      <c r="K22" s="21" t="s">
        <v>570</v>
      </c>
      <c r="L22" s="21" t="s">
        <v>571</v>
      </c>
      <c r="O22" s="26"/>
    </row>
    <row r="23" spans="1:15" ht="16.5" customHeight="1">
      <c r="D23" s="3" t="s">
        <v>321</v>
      </c>
      <c r="E23" s="27">
        <f>SUM(E15:E22)</f>
        <v>24</v>
      </c>
      <c r="I23">
        <f>ROUND(SUM(I15:I22),0)</f>
        <v>74</v>
      </c>
    </row>
    <row r="24" spans="1:15" ht="15" customHeight="1">
      <c r="A24" s="99" t="s">
        <v>245</v>
      </c>
    </row>
    <row r="25" spans="1:15">
      <c r="A25" t="s">
        <v>572</v>
      </c>
    </row>
    <row r="26" spans="1:15">
      <c r="A26" t="s">
        <v>325</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573</v>
      </c>
    </row>
    <row r="2" spans="1:15" ht="16.5" customHeight="1">
      <c r="A2" s="18" t="s">
        <v>574</v>
      </c>
    </row>
    <row r="3" spans="1:15" ht="30" customHeight="1">
      <c r="A3" s="33" t="s">
        <v>402</v>
      </c>
    </row>
    <row r="4" spans="1:15" ht="15" customHeight="1">
      <c r="A4" s="3" t="s">
        <v>252</v>
      </c>
    </row>
    <row r="5" spans="1:15" ht="16.5" customHeight="1">
      <c r="A5" s="34" t="s">
        <v>253</v>
      </c>
      <c r="B5" s="35" t="s">
        <v>76</v>
      </c>
      <c r="C5" s="35" t="s">
        <v>254</v>
      </c>
      <c r="D5" s="35" t="s">
        <v>255</v>
      </c>
      <c r="E5" s="35" t="s">
        <v>148</v>
      </c>
      <c r="F5" s="35" t="s">
        <v>256</v>
      </c>
      <c r="G5" s="35" t="s">
        <v>257</v>
      </c>
      <c r="H5" s="35" t="s">
        <v>258</v>
      </c>
      <c r="I5" s="35" t="s">
        <v>259</v>
      </c>
      <c r="J5" s="35" t="s">
        <v>260</v>
      </c>
      <c r="K5" s="35" t="s">
        <v>261</v>
      </c>
      <c r="L5" s="35" t="s">
        <v>262</v>
      </c>
      <c r="M5" s="35" t="s">
        <v>263</v>
      </c>
      <c r="N5" s="35" t="s">
        <v>264</v>
      </c>
      <c r="O5" s="35" t="s">
        <v>265</v>
      </c>
    </row>
    <row r="6" spans="1:15" ht="16.5" customHeight="1">
      <c r="A6" s="20">
        <v>1</v>
      </c>
      <c r="B6" s="70" t="s">
        <v>575</v>
      </c>
      <c r="C6" s="20" t="s">
        <v>354</v>
      </c>
      <c r="D6" s="20">
        <v>5</v>
      </c>
      <c r="E6" s="20">
        <v>3</v>
      </c>
      <c r="F6" s="26" t="s">
        <v>289</v>
      </c>
      <c r="G6" s="26">
        <v>80</v>
      </c>
      <c r="H6" s="26">
        <v>70</v>
      </c>
      <c r="I6" s="26">
        <f t="shared" ref="I6:I15" si="0">IF(E6=0,0,ROUND((E6*(G6+H6)+O6)/60,1))</f>
        <v>7.5</v>
      </c>
      <c r="J6" s="21"/>
      <c r="K6" s="21" t="s">
        <v>576</v>
      </c>
      <c r="L6" s="21" t="s">
        <v>577</v>
      </c>
      <c r="O6" s="26"/>
    </row>
    <row r="7" spans="1:15" ht="16.5" customHeight="1">
      <c r="A7" s="20">
        <v>2</v>
      </c>
      <c r="B7" s="70" t="s">
        <v>578</v>
      </c>
      <c r="C7" s="20" t="s">
        <v>358</v>
      </c>
      <c r="D7" s="20">
        <v>5</v>
      </c>
      <c r="E7" s="20">
        <v>3</v>
      </c>
      <c r="F7" s="26" t="s">
        <v>289</v>
      </c>
      <c r="G7" s="26">
        <v>40</v>
      </c>
      <c r="H7" s="26">
        <v>70</v>
      </c>
      <c r="I7" s="26">
        <f t="shared" si="0"/>
        <v>5.5</v>
      </c>
      <c r="J7" s="21"/>
      <c r="K7" s="21" t="s">
        <v>579</v>
      </c>
      <c r="L7" s="21" t="s">
        <v>580</v>
      </c>
      <c r="O7" s="26"/>
    </row>
    <row r="8" spans="1:15" ht="16.5" customHeight="1">
      <c r="A8" s="20">
        <v>3</v>
      </c>
      <c r="B8" s="70" t="s">
        <v>508</v>
      </c>
      <c r="C8" s="20" t="s">
        <v>429</v>
      </c>
      <c r="D8" s="20" t="s">
        <v>581</v>
      </c>
      <c r="E8" s="20">
        <v>3</v>
      </c>
      <c r="F8" s="26" t="s">
        <v>314</v>
      </c>
      <c r="G8" s="26">
        <v>40</v>
      </c>
      <c r="H8" s="26">
        <v>120</v>
      </c>
      <c r="I8" s="26">
        <f t="shared" si="0"/>
        <v>8</v>
      </c>
      <c r="J8" s="21" t="s">
        <v>504</v>
      </c>
      <c r="K8" s="21" t="s">
        <v>582</v>
      </c>
      <c r="L8" s="21" t="s">
        <v>583</v>
      </c>
      <c r="O8" s="26"/>
    </row>
    <row r="9" spans="1:15" ht="16.5" customHeight="1">
      <c r="A9" s="20">
        <v>4</v>
      </c>
      <c r="B9" s="70" t="s">
        <v>529</v>
      </c>
      <c r="C9" s="20" t="s">
        <v>418</v>
      </c>
      <c r="D9" s="20" t="s">
        <v>530</v>
      </c>
      <c r="E9" s="20">
        <v>3</v>
      </c>
      <c r="F9" s="26" t="s">
        <v>289</v>
      </c>
      <c r="G9" s="26">
        <v>40</v>
      </c>
      <c r="H9" s="26">
        <v>60</v>
      </c>
      <c r="I9" s="26">
        <f t="shared" si="0"/>
        <v>5</v>
      </c>
      <c r="J9" s="21" t="s">
        <v>358</v>
      </c>
      <c r="K9" s="21" t="s">
        <v>584</v>
      </c>
      <c r="L9" s="21" t="s">
        <v>585</v>
      </c>
      <c r="O9" s="26"/>
    </row>
    <row r="10" spans="1:15" ht="16.5" customHeight="1">
      <c r="A10" s="20">
        <v>5</v>
      </c>
      <c r="B10" s="70" t="s">
        <v>586</v>
      </c>
      <c r="C10" s="20" t="s">
        <v>349</v>
      </c>
      <c r="D10" s="20">
        <v>8</v>
      </c>
      <c r="E10" s="20">
        <v>3</v>
      </c>
      <c r="F10" s="26" t="s">
        <v>350</v>
      </c>
      <c r="G10" s="26">
        <v>40</v>
      </c>
      <c r="H10" s="26">
        <v>105</v>
      </c>
      <c r="I10" s="26">
        <f t="shared" si="0"/>
        <v>7.3</v>
      </c>
      <c r="J10" s="21"/>
      <c r="K10" s="21" t="s">
        <v>587</v>
      </c>
      <c r="L10" s="21" t="s">
        <v>352</v>
      </c>
      <c r="O10" s="26"/>
    </row>
    <row r="11" spans="1:15" ht="16.5" customHeight="1">
      <c r="A11" s="20">
        <v>6</v>
      </c>
      <c r="B11" s="21" t="s">
        <v>588</v>
      </c>
      <c r="C11" s="20" t="s">
        <v>345</v>
      </c>
      <c r="D11" s="26">
        <v>15</v>
      </c>
      <c r="E11" s="20">
        <v>4</v>
      </c>
      <c r="F11" s="26" t="s">
        <v>274</v>
      </c>
      <c r="G11" s="26">
        <v>40</v>
      </c>
      <c r="H11" s="26">
        <v>75</v>
      </c>
      <c r="I11" s="26">
        <f t="shared" si="0"/>
        <v>7.7</v>
      </c>
      <c r="J11" s="21"/>
      <c r="K11" s="21" t="s">
        <v>589</v>
      </c>
      <c r="L11" s="21" t="s">
        <v>590</v>
      </c>
      <c r="O11" s="26"/>
    </row>
    <row r="12" spans="1:15" ht="16.5" customHeight="1">
      <c r="A12" s="20">
        <v>7</v>
      </c>
      <c r="B12" s="70" t="s">
        <v>591</v>
      </c>
      <c r="C12" s="20" t="s">
        <v>269</v>
      </c>
      <c r="D12" s="20">
        <v>6</v>
      </c>
      <c r="E12" s="20">
        <v>4</v>
      </c>
      <c r="F12" s="26" t="s">
        <v>274</v>
      </c>
      <c r="G12" s="26">
        <v>40</v>
      </c>
      <c r="H12" s="26">
        <v>70</v>
      </c>
      <c r="I12" s="26">
        <f t="shared" si="0"/>
        <v>7.3</v>
      </c>
      <c r="J12" s="21" t="s">
        <v>295</v>
      </c>
      <c r="K12" s="21" t="s">
        <v>592</v>
      </c>
      <c r="L12" s="21" t="s">
        <v>593</v>
      </c>
      <c r="O12" s="26"/>
    </row>
    <row r="13" spans="1:15" ht="16.5" customHeight="1">
      <c r="A13" s="20">
        <v>8</v>
      </c>
      <c r="B13" s="70" t="s">
        <v>594</v>
      </c>
      <c r="C13" s="20" t="s">
        <v>295</v>
      </c>
      <c r="D13" s="20">
        <v>10</v>
      </c>
      <c r="E13" s="20">
        <v>3</v>
      </c>
      <c r="F13" s="26" t="s">
        <v>436</v>
      </c>
      <c r="G13" s="26">
        <v>40</v>
      </c>
      <c r="H13" s="26">
        <v>60</v>
      </c>
      <c r="I13" s="26">
        <f t="shared" si="0"/>
        <v>5</v>
      </c>
      <c r="J13" s="21"/>
      <c r="K13" s="21" t="s">
        <v>595</v>
      </c>
      <c r="L13" s="21" t="s">
        <v>596</v>
      </c>
      <c r="O13" s="26"/>
    </row>
    <row r="14" spans="1:15" ht="16.5" customHeight="1">
      <c r="A14" s="20">
        <v>9</v>
      </c>
      <c r="B14" s="70" t="s">
        <v>387</v>
      </c>
      <c r="C14" s="20" t="s">
        <v>388</v>
      </c>
      <c r="D14" s="20" t="s">
        <v>597</v>
      </c>
      <c r="E14" s="20">
        <v>5</v>
      </c>
      <c r="F14" s="26" t="s">
        <v>289</v>
      </c>
      <c r="G14" s="26">
        <v>40</v>
      </c>
      <c r="H14" s="26">
        <v>10</v>
      </c>
      <c r="I14" s="26">
        <f t="shared" si="0"/>
        <v>4.2</v>
      </c>
      <c r="J14" s="21"/>
      <c r="K14" s="21" t="s">
        <v>598</v>
      </c>
      <c r="L14" s="21" t="s">
        <v>599</v>
      </c>
      <c r="N14" t="s">
        <v>391</v>
      </c>
      <c r="O14" s="26"/>
    </row>
    <row r="15" spans="1:15" ht="16.5" customHeight="1">
      <c r="A15" s="20">
        <v>10</v>
      </c>
      <c r="B15" s="70" t="s">
        <v>392</v>
      </c>
      <c r="C15" s="20" t="s">
        <v>393</v>
      </c>
      <c r="D15" s="20" t="s">
        <v>294</v>
      </c>
      <c r="E15" s="20">
        <v>5</v>
      </c>
      <c r="F15" s="26" t="s">
        <v>289</v>
      </c>
      <c r="G15" s="26">
        <v>40</v>
      </c>
      <c r="H15" s="26">
        <v>105</v>
      </c>
      <c r="I15" s="26">
        <f t="shared" si="0"/>
        <v>12.1</v>
      </c>
      <c r="J15" s="21"/>
      <c r="K15" s="21" t="s">
        <v>600</v>
      </c>
      <c r="L15" s="21" t="s">
        <v>601</v>
      </c>
      <c r="N15" t="s">
        <v>391</v>
      </c>
      <c r="O15" s="26"/>
    </row>
    <row r="16" spans="1:15" ht="16.5" customHeight="1">
      <c r="D16" s="3" t="s">
        <v>321</v>
      </c>
      <c r="E16" s="27">
        <f>SUM(E6:E15)</f>
        <v>36</v>
      </c>
      <c r="I16">
        <f>ROUND(SUM(I6:I15),0)</f>
        <v>70</v>
      </c>
    </row>
    <row r="17" spans="1:6" ht="16.5" customHeight="1">
      <c r="F17" s="76" t="s">
        <v>602</v>
      </c>
    </row>
    <row r="18" spans="1:6" ht="16.5" customHeight="1">
      <c r="A18" s="95" t="s">
        <v>603</v>
      </c>
    </row>
    <row r="19" spans="1:6" ht="16.5" customHeight="1">
      <c r="A19" t="s">
        <v>604</v>
      </c>
    </row>
    <row r="20" spans="1:6" ht="16.5" customHeight="1">
      <c r="A20" t="s">
        <v>605</v>
      </c>
    </row>
    <row r="21" spans="1:6" ht="16.5" customHeight="1">
      <c r="A21" t="s">
        <v>606</v>
      </c>
    </row>
    <row r="22" spans="1:6" ht="16.5" customHeight="1">
      <c r="A22" t="s">
        <v>607</v>
      </c>
    </row>
    <row r="23" spans="1:6" ht="16.5" customHeight="1"/>
    <row r="24" spans="1:6" ht="16.5" customHeight="1">
      <c r="A24" s="3" t="s">
        <v>608</v>
      </c>
    </row>
    <row r="25" spans="1:6" ht="16.5" customHeight="1">
      <c r="A25" s="31" t="s">
        <v>609</v>
      </c>
    </row>
    <row r="26" spans="1:6" ht="16.5" customHeight="1">
      <c r="A26" s="31" t="s">
        <v>610</v>
      </c>
    </row>
    <row r="27" spans="1:6" ht="16.5" customHeight="1">
      <c r="A27" s="31" t="s">
        <v>611</v>
      </c>
    </row>
    <row r="28" spans="1:6" ht="16.5" customHeight="1">
      <c r="A28" s="31" t="s">
        <v>612</v>
      </c>
    </row>
    <row r="29" spans="1:6" ht="16.5" customHeight="1">
      <c r="A29" s="3" t="s">
        <v>613</v>
      </c>
    </row>
    <row r="30" spans="1:6" ht="16.5" customHeight="1">
      <c r="A30" s="31" t="s">
        <v>614</v>
      </c>
    </row>
    <row r="31" spans="1:6" ht="16.5" customHeight="1">
      <c r="A31" s="31" t="s">
        <v>615</v>
      </c>
    </row>
    <row r="32" spans="1:6" ht="16.5" customHeight="1">
      <c r="A32" s="3" t="s">
        <v>616</v>
      </c>
    </row>
    <row r="33" spans="1:1" ht="16.5" customHeight="1">
      <c r="A33" s="31" t="s">
        <v>617</v>
      </c>
    </row>
    <row r="34" spans="1:1" ht="16.5" customHeight="1">
      <c r="A34" s="31" t="s">
        <v>618</v>
      </c>
    </row>
    <row r="35" spans="1:1" ht="16.5" customHeight="1">
      <c r="A35" s="31" t="s">
        <v>619</v>
      </c>
    </row>
    <row r="36" spans="1:1" ht="16.5" customHeight="1">
      <c r="A36" s="31" t="s">
        <v>620</v>
      </c>
    </row>
    <row r="37" spans="1:1" ht="16.5" customHeight="1">
      <c r="A37" s="3" t="s">
        <v>621</v>
      </c>
    </row>
    <row r="38" spans="1:1" ht="16.5" customHeight="1">
      <c r="A38" s="31" t="s">
        <v>622</v>
      </c>
    </row>
    <row r="39" spans="1:1" ht="16.5" customHeight="1">
      <c r="A39" s="31" t="s">
        <v>623</v>
      </c>
    </row>
    <row r="40" spans="1:1" ht="16.5" customHeight="1">
      <c r="A40" s="31" t="s">
        <v>624</v>
      </c>
    </row>
    <row r="41" spans="1:1">
      <c r="A41" s="31" t="s">
        <v>625</v>
      </c>
    </row>
    <row r="42" spans="1:1">
      <c r="A42" s="3" t="s">
        <v>626</v>
      </c>
    </row>
    <row r="43" spans="1:1">
      <c r="A43" s="31" t="s">
        <v>627</v>
      </c>
    </row>
    <row r="44" spans="1:1">
      <c r="A44" s="31" t="s">
        <v>628</v>
      </c>
    </row>
    <row r="45" spans="1:1">
      <c r="A45" s="31" t="s">
        <v>629</v>
      </c>
    </row>
    <row r="46" spans="1:1">
      <c r="A46" t="s">
        <v>630</v>
      </c>
    </row>
    <row r="47" spans="1:1">
      <c r="A47" t="s">
        <v>631</v>
      </c>
    </row>
    <row r="48" spans="1:1">
      <c r="A48" t="s">
        <v>632</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633</v>
      </c>
    </row>
    <row r="2" spans="1:8" ht="30" customHeight="1">
      <c r="A2" s="148" t="s">
        <v>634</v>
      </c>
      <c r="B2" s="147"/>
      <c r="C2" s="147"/>
      <c r="D2" s="147"/>
      <c r="E2" s="147"/>
      <c r="F2" s="147"/>
      <c r="G2" s="147"/>
      <c r="H2" s="147"/>
    </row>
    <row r="3" spans="1:8">
      <c r="A3" t="s">
        <v>635</v>
      </c>
      <c r="F3">
        <f ca="1">COUNTIF($E$7:$E$80,"?")</f>
        <v>0</v>
      </c>
    </row>
    <row r="4" spans="1:8" ht="39.75" customHeight="1">
      <c r="A4" s="146" t="s">
        <v>636</v>
      </c>
      <c r="B4" s="147"/>
      <c r="C4" s="147"/>
      <c r="D4" s="147"/>
      <c r="E4" s="147"/>
      <c r="F4" s="147"/>
      <c r="G4" s="147"/>
      <c r="H4" s="147"/>
    </row>
    <row r="6" spans="1:8" ht="15" customHeight="1">
      <c r="A6" s="44" t="s">
        <v>637</v>
      </c>
      <c r="B6" s="44" t="s">
        <v>638</v>
      </c>
      <c r="C6" s="44" t="s">
        <v>639</v>
      </c>
      <c r="D6" s="44" t="s">
        <v>640</v>
      </c>
      <c r="E6" s="44" t="s">
        <v>641</v>
      </c>
      <c r="F6" s="44" t="s">
        <v>642</v>
      </c>
      <c r="G6" s="44" t="s">
        <v>643</v>
      </c>
      <c r="H6" s="44" t="s">
        <v>644</v>
      </c>
    </row>
    <row r="7" spans="1:8" ht="15" customHeight="1">
      <c r="A7" s="45" t="s">
        <v>645</v>
      </c>
      <c r="B7" s="45" t="s">
        <v>266</v>
      </c>
      <c r="C7" s="45" t="s">
        <v>269</v>
      </c>
      <c r="D7" s="46">
        <v>0.5</v>
      </c>
      <c r="E7" s="47">
        <f t="shared" ref="E7:E38" ca="1" si="0">IFERROR(INDEX(INDIRECT("'"&amp;$A7&amp;"'!$E$1:$E$45"),MATCH($B7,INDIRECT("'"&amp;$A7&amp;"'!$B$1:$B$45"),0)),"?")</f>
        <v>4</v>
      </c>
      <c r="F7" s="48">
        <f t="shared" ref="F7:F38" ca="1" si="1">IF(ISNUMBER(E7),$D7*E7,0)</f>
        <v>2</v>
      </c>
      <c r="G7" s="49" t="s">
        <v>646</v>
      </c>
      <c r="H7" s="50" t="s">
        <v>647</v>
      </c>
    </row>
    <row r="8" spans="1:8" ht="15" customHeight="1">
      <c r="A8" s="45" t="s">
        <v>645</v>
      </c>
      <c r="B8" s="45" t="s">
        <v>273</v>
      </c>
      <c r="C8" s="45" t="s">
        <v>269</v>
      </c>
      <c r="D8" s="46">
        <v>0.2</v>
      </c>
      <c r="E8" s="47">
        <f t="shared" ca="1" si="0"/>
        <v>3</v>
      </c>
      <c r="F8" s="48">
        <f t="shared" ca="1" si="1"/>
        <v>0.60000000000000009</v>
      </c>
      <c r="G8" s="49" t="s">
        <v>646</v>
      </c>
      <c r="H8" s="50" t="s">
        <v>648</v>
      </c>
    </row>
    <row r="9" spans="1:8" ht="15" customHeight="1">
      <c r="A9" s="45" t="s">
        <v>649</v>
      </c>
      <c r="B9" s="45" t="s">
        <v>465</v>
      </c>
      <c r="C9" s="45" t="s">
        <v>269</v>
      </c>
      <c r="D9" s="46">
        <v>0.2</v>
      </c>
      <c r="E9" s="47">
        <f t="shared" ca="1" si="0"/>
        <v>4</v>
      </c>
      <c r="F9" s="48">
        <f t="shared" ca="1" si="1"/>
        <v>0.8</v>
      </c>
      <c r="G9" s="49" t="s">
        <v>646</v>
      </c>
      <c r="H9" s="50" t="s">
        <v>650</v>
      </c>
    </row>
    <row r="10" spans="1:8" ht="15" customHeight="1">
      <c r="A10" s="45" t="s">
        <v>649</v>
      </c>
      <c r="B10" s="45" t="s">
        <v>469</v>
      </c>
      <c r="C10" s="45" t="s">
        <v>269</v>
      </c>
      <c r="D10" s="46">
        <v>0.33</v>
      </c>
      <c r="E10" s="47">
        <f t="shared" ca="1" si="0"/>
        <v>2</v>
      </c>
      <c r="F10" s="48">
        <f t="shared" ca="1" si="1"/>
        <v>0.66</v>
      </c>
      <c r="G10" s="49" t="s">
        <v>646</v>
      </c>
      <c r="H10" s="50" t="s">
        <v>651</v>
      </c>
    </row>
    <row r="11" spans="1:8" ht="15" customHeight="1">
      <c r="A11" s="45" t="s">
        <v>652</v>
      </c>
      <c r="B11" s="45" t="s">
        <v>336</v>
      </c>
      <c r="C11" s="45" t="s">
        <v>345</v>
      </c>
      <c r="D11" s="46">
        <v>0.33</v>
      </c>
      <c r="E11" s="47">
        <f t="shared" ca="1" si="0"/>
        <v>5</v>
      </c>
      <c r="F11" s="48">
        <f t="shared" ca="1" si="1"/>
        <v>1.6500000000000001</v>
      </c>
      <c r="G11" s="49" t="s">
        <v>646</v>
      </c>
      <c r="H11" s="50" t="s">
        <v>653</v>
      </c>
    </row>
    <row r="12" spans="1:8" ht="15" customHeight="1">
      <c r="A12" s="45" t="s">
        <v>652</v>
      </c>
      <c r="B12" s="45" t="s">
        <v>343</v>
      </c>
      <c r="C12" s="45" t="s">
        <v>345</v>
      </c>
      <c r="D12" s="46">
        <v>0.5</v>
      </c>
      <c r="E12" s="47">
        <f t="shared" ca="1" si="0"/>
        <v>4</v>
      </c>
      <c r="F12" s="48">
        <f t="shared" ca="1" si="1"/>
        <v>2</v>
      </c>
      <c r="G12" s="49" t="s">
        <v>646</v>
      </c>
      <c r="H12" s="50" t="s">
        <v>654</v>
      </c>
    </row>
    <row r="13" spans="1:8" ht="15" customHeight="1">
      <c r="A13" s="45" t="s">
        <v>655</v>
      </c>
      <c r="B13" s="45" t="s">
        <v>503</v>
      </c>
      <c r="C13" s="45" t="s">
        <v>345</v>
      </c>
      <c r="D13" s="46">
        <v>0.33</v>
      </c>
      <c r="E13" s="47">
        <f t="shared" ca="1" si="0"/>
        <v>3</v>
      </c>
      <c r="F13" s="48">
        <f t="shared" ca="1" si="1"/>
        <v>0.99</v>
      </c>
      <c r="G13" s="49" t="s">
        <v>646</v>
      </c>
      <c r="H13" s="50" t="s">
        <v>656</v>
      </c>
    </row>
    <row r="14" spans="1:8" ht="15" customHeight="1">
      <c r="A14" s="45" t="s">
        <v>655</v>
      </c>
      <c r="B14" s="45" t="s">
        <v>517</v>
      </c>
      <c r="C14" s="45" t="s">
        <v>345</v>
      </c>
      <c r="D14" s="46">
        <v>0.5</v>
      </c>
      <c r="E14" s="47">
        <f t="shared" ca="1" si="0"/>
        <v>3</v>
      </c>
      <c r="F14" s="48">
        <f t="shared" ca="1" si="1"/>
        <v>1.5</v>
      </c>
      <c r="G14" s="49" t="s">
        <v>646</v>
      </c>
      <c r="H14" s="50" t="s">
        <v>657</v>
      </c>
    </row>
    <row r="15" spans="1:8" ht="15" customHeight="1">
      <c r="A15" s="45" t="s">
        <v>658</v>
      </c>
      <c r="B15" s="45" t="s">
        <v>422</v>
      </c>
      <c r="C15" s="45" t="s">
        <v>345</v>
      </c>
      <c r="D15" s="46">
        <v>0.5</v>
      </c>
      <c r="E15" s="47">
        <f t="shared" ca="1" si="0"/>
        <v>3</v>
      </c>
      <c r="F15" s="48">
        <f t="shared" ca="1" si="1"/>
        <v>1.5</v>
      </c>
      <c r="G15" s="49" t="s">
        <v>659</v>
      </c>
      <c r="H15" s="50" t="s">
        <v>660</v>
      </c>
    </row>
    <row r="16" spans="1:8" ht="15" customHeight="1">
      <c r="A16" s="45" t="s">
        <v>661</v>
      </c>
      <c r="B16" s="45" t="s">
        <v>591</v>
      </c>
      <c r="C16" s="45" t="s">
        <v>295</v>
      </c>
      <c r="D16" s="46">
        <v>0.33</v>
      </c>
      <c r="E16" s="47">
        <f t="shared" ca="1" si="0"/>
        <v>4</v>
      </c>
      <c r="F16" s="48">
        <f t="shared" ca="1" si="1"/>
        <v>1.32</v>
      </c>
      <c r="G16" s="49" t="s">
        <v>646</v>
      </c>
      <c r="H16" s="50" t="s">
        <v>662</v>
      </c>
    </row>
    <row r="17" spans="1:8" ht="15" customHeight="1">
      <c r="A17" s="45" t="s">
        <v>649</v>
      </c>
      <c r="B17" s="45" t="s">
        <v>481</v>
      </c>
      <c r="C17" s="45" t="s">
        <v>295</v>
      </c>
      <c r="D17" s="46">
        <v>0.33</v>
      </c>
      <c r="E17" s="47">
        <f t="shared" ca="1" si="0"/>
        <v>4</v>
      </c>
      <c r="F17" s="48">
        <f t="shared" ca="1" si="1"/>
        <v>1.32</v>
      </c>
      <c r="G17" s="49" t="s">
        <v>646</v>
      </c>
      <c r="H17" s="50" t="s">
        <v>663</v>
      </c>
    </row>
    <row r="18" spans="1:8" ht="15" customHeight="1">
      <c r="A18" s="45" t="s">
        <v>649</v>
      </c>
      <c r="B18" s="45" t="s">
        <v>484</v>
      </c>
      <c r="C18" s="45" t="s">
        <v>295</v>
      </c>
      <c r="D18" s="46">
        <v>0</v>
      </c>
      <c r="E18" s="47">
        <f t="shared" ca="1" si="0"/>
        <v>4</v>
      </c>
      <c r="F18" s="48">
        <f t="shared" ca="1" si="1"/>
        <v>0</v>
      </c>
      <c r="G18" s="49" t="s">
        <v>646</v>
      </c>
      <c r="H18" s="50" t="s">
        <v>664</v>
      </c>
    </row>
    <row r="19" spans="1:8" ht="15" customHeight="1">
      <c r="A19" s="45" t="s">
        <v>652</v>
      </c>
      <c r="B19" s="45" t="s">
        <v>336</v>
      </c>
      <c r="C19" s="45" t="s">
        <v>429</v>
      </c>
      <c r="D19" s="46">
        <v>0.33</v>
      </c>
      <c r="E19" s="47">
        <f t="shared" ca="1" si="0"/>
        <v>5</v>
      </c>
      <c r="F19" s="48">
        <f t="shared" ca="1" si="1"/>
        <v>1.6500000000000001</v>
      </c>
      <c r="G19" s="49" t="s">
        <v>646</v>
      </c>
      <c r="H19" s="50" t="s">
        <v>665</v>
      </c>
    </row>
    <row r="20" spans="1:8" ht="15" customHeight="1">
      <c r="A20" s="45" t="s">
        <v>658</v>
      </c>
      <c r="B20" s="45" t="s">
        <v>422</v>
      </c>
      <c r="C20" s="45" t="s">
        <v>429</v>
      </c>
      <c r="D20" s="46">
        <v>0.5</v>
      </c>
      <c r="E20" s="47">
        <f t="shared" ca="1" si="0"/>
        <v>3</v>
      </c>
      <c r="F20" s="48">
        <f t="shared" ca="1" si="1"/>
        <v>1.5</v>
      </c>
      <c r="G20" s="49" t="s">
        <v>659</v>
      </c>
      <c r="H20" s="50" t="s">
        <v>666</v>
      </c>
    </row>
    <row r="21" spans="1:8" ht="15" customHeight="1">
      <c r="A21" s="45" t="s">
        <v>655</v>
      </c>
      <c r="B21" s="45" t="s">
        <v>517</v>
      </c>
      <c r="C21" s="45" t="s">
        <v>429</v>
      </c>
      <c r="D21" s="46">
        <v>0.5</v>
      </c>
      <c r="E21" s="47">
        <f t="shared" ca="1" si="0"/>
        <v>3</v>
      </c>
      <c r="F21" s="48">
        <f t="shared" ca="1" si="1"/>
        <v>1.5</v>
      </c>
      <c r="G21" s="49" t="s">
        <v>646</v>
      </c>
      <c r="H21" s="50" t="s">
        <v>667</v>
      </c>
    </row>
    <row r="22" spans="1:8" ht="15" customHeight="1">
      <c r="A22" s="45" t="s">
        <v>655</v>
      </c>
      <c r="B22" s="45" t="s">
        <v>503</v>
      </c>
      <c r="C22" s="45" t="s">
        <v>354</v>
      </c>
      <c r="D22" s="46">
        <v>0.33</v>
      </c>
      <c r="E22" s="47">
        <f t="shared" ca="1" si="0"/>
        <v>3</v>
      </c>
      <c r="F22" s="48">
        <f t="shared" ca="1" si="1"/>
        <v>0.99</v>
      </c>
      <c r="G22" s="49" t="s">
        <v>646</v>
      </c>
      <c r="H22" s="50" t="s">
        <v>668</v>
      </c>
    </row>
    <row r="23" spans="1:8" ht="15" customHeight="1">
      <c r="A23" s="45" t="s">
        <v>655</v>
      </c>
      <c r="B23" s="45" t="s">
        <v>508</v>
      </c>
      <c r="C23" s="45" t="s">
        <v>354</v>
      </c>
      <c r="D23" s="46">
        <v>0.33</v>
      </c>
      <c r="E23" s="47">
        <f t="shared" ca="1" si="0"/>
        <v>3</v>
      </c>
      <c r="F23" s="48">
        <f t="shared" ca="1" si="1"/>
        <v>0.99</v>
      </c>
      <c r="G23" s="52" t="s">
        <v>659</v>
      </c>
      <c r="H23" s="50" t="s">
        <v>669</v>
      </c>
    </row>
    <row r="24" spans="1:8" ht="15" customHeight="1">
      <c r="A24" s="45" t="s">
        <v>661</v>
      </c>
      <c r="B24" s="45" t="s">
        <v>508</v>
      </c>
      <c r="C24" s="45" t="s">
        <v>354</v>
      </c>
      <c r="D24" s="46">
        <v>0.33</v>
      </c>
      <c r="E24" s="47">
        <f t="shared" ca="1" si="0"/>
        <v>3</v>
      </c>
      <c r="F24" s="48">
        <f t="shared" ca="1" si="1"/>
        <v>0.99</v>
      </c>
      <c r="G24" s="52" t="s">
        <v>659</v>
      </c>
      <c r="H24" s="50" t="s">
        <v>670</v>
      </c>
    </row>
    <row r="25" spans="1:8" ht="15" customHeight="1">
      <c r="A25" s="45" t="s">
        <v>645</v>
      </c>
      <c r="B25" s="45" t="s">
        <v>288</v>
      </c>
      <c r="C25" s="45" t="s">
        <v>358</v>
      </c>
      <c r="D25" s="46">
        <v>0.5</v>
      </c>
      <c r="E25" s="47">
        <f t="shared" ca="1" si="0"/>
        <v>3</v>
      </c>
      <c r="F25" s="48">
        <f t="shared" ca="1" si="1"/>
        <v>1.5</v>
      </c>
      <c r="G25" s="49" t="s">
        <v>646</v>
      </c>
      <c r="H25" s="50" t="s">
        <v>671</v>
      </c>
    </row>
    <row r="26" spans="1:8" ht="15" customHeight="1">
      <c r="A26" s="45" t="s">
        <v>661</v>
      </c>
      <c r="B26" s="45" t="s">
        <v>529</v>
      </c>
      <c r="C26" s="45" t="s">
        <v>358</v>
      </c>
      <c r="D26" s="46">
        <v>0.5</v>
      </c>
      <c r="E26" s="47">
        <f t="shared" ca="1" si="0"/>
        <v>3</v>
      </c>
      <c r="F26" s="48">
        <f t="shared" ca="1" si="1"/>
        <v>1.5</v>
      </c>
      <c r="G26" s="52" t="s">
        <v>659</v>
      </c>
      <c r="H26" s="50" t="s">
        <v>672</v>
      </c>
    </row>
    <row r="27" spans="1:8" ht="15" customHeight="1">
      <c r="A27" s="45" t="s">
        <v>655</v>
      </c>
      <c r="B27" s="45" t="s">
        <v>529</v>
      </c>
      <c r="C27" s="45" t="s">
        <v>358</v>
      </c>
      <c r="D27" s="46">
        <v>0.5</v>
      </c>
      <c r="E27" s="47">
        <f t="shared" ca="1" si="0"/>
        <v>3</v>
      </c>
      <c r="F27" s="48">
        <f t="shared" ca="1" si="1"/>
        <v>1.5</v>
      </c>
      <c r="G27" s="49" t="s">
        <v>646</v>
      </c>
      <c r="H27" s="51" t="s">
        <v>673</v>
      </c>
    </row>
    <row r="28" spans="1:8" ht="15" customHeight="1">
      <c r="A28" s="45" t="s">
        <v>649</v>
      </c>
      <c r="B28" s="45" t="s">
        <v>465</v>
      </c>
      <c r="C28" s="45" t="s">
        <v>267</v>
      </c>
      <c r="D28" s="46">
        <v>0.5</v>
      </c>
      <c r="E28" s="47">
        <f t="shared" ca="1" si="0"/>
        <v>4</v>
      </c>
      <c r="F28" s="48">
        <f t="shared" ca="1" si="1"/>
        <v>2</v>
      </c>
      <c r="G28" s="49" t="s">
        <v>646</v>
      </c>
      <c r="H28" s="50" t="s">
        <v>674</v>
      </c>
    </row>
    <row r="29" spans="1:8" ht="15" customHeight="1">
      <c r="A29" s="45" t="s">
        <v>649</v>
      </c>
      <c r="B29" s="45" t="s">
        <v>469</v>
      </c>
      <c r="C29" s="45" t="s">
        <v>282</v>
      </c>
      <c r="D29" s="46">
        <v>0.5</v>
      </c>
      <c r="E29" s="47">
        <f t="shared" ca="1" si="0"/>
        <v>2</v>
      </c>
      <c r="F29" s="48">
        <f t="shared" ca="1" si="1"/>
        <v>1</v>
      </c>
      <c r="G29" s="49" t="s">
        <v>646</v>
      </c>
      <c r="H29" s="50" t="s">
        <v>675</v>
      </c>
    </row>
    <row r="30" spans="1:8" ht="15" customHeight="1">
      <c r="A30" s="45" t="s">
        <v>649</v>
      </c>
      <c r="B30" s="45" t="s">
        <v>410</v>
      </c>
      <c r="C30" s="45" t="s">
        <v>282</v>
      </c>
      <c r="D30" s="46">
        <v>0.5</v>
      </c>
      <c r="E30" s="47">
        <f t="shared" ca="1" si="0"/>
        <v>0</v>
      </c>
      <c r="F30" s="48">
        <f t="shared" ca="1" si="1"/>
        <v>0</v>
      </c>
      <c r="G30" s="49" t="s">
        <v>646</v>
      </c>
      <c r="H30" s="50" t="s">
        <v>675</v>
      </c>
    </row>
    <row r="31" spans="1:8" ht="15" customHeight="1">
      <c r="A31" s="45" t="s">
        <v>676</v>
      </c>
      <c r="B31" s="45" t="s">
        <v>556</v>
      </c>
      <c r="C31" s="45" t="s">
        <v>384</v>
      </c>
      <c r="D31" s="46">
        <v>0.2</v>
      </c>
      <c r="E31" s="47">
        <f t="shared" ca="1" si="0"/>
        <v>4</v>
      </c>
      <c r="F31" s="48">
        <f t="shared" ca="1" si="1"/>
        <v>0.8</v>
      </c>
      <c r="G31" s="49" t="s">
        <v>646</v>
      </c>
      <c r="H31" s="50" t="s">
        <v>677</v>
      </c>
    </row>
    <row r="32" spans="1:8" ht="15" customHeight="1">
      <c r="A32" s="45" t="s">
        <v>676</v>
      </c>
      <c r="B32" s="45" t="s">
        <v>550</v>
      </c>
      <c r="C32" s="45" t="s">
        <v>384</v>
      </c>
      <c r="D32" s="46">
        <v>0.33</v>
      </c>
      <c r="E32" s="47">
        <f t="shared" ca="1" si="0"/>
        <v>1</v>
      </c>
      <c r="F32" s="48">
        <f t="shared" ca="1" si="1"/>
        <v>0.33</v>
      </c>
      <c r="G32" s="49" t="s">
        <v>646</v>
      </c>
      <c r="H32" s="50" t="s">
        <v>678</v>
      </c>
    </row>
    <row r="33" spans="1:8" ht="15" customHeight="1">
      <c r="A33" s="45" t="s">
        <v>645</v>
      </c>
      <c r="B33" s="45" t="s">
        <v>312</v>
      </c>
      <c r="C33" s="45" t="s">
        <v>384</v>
      </c>
      <c r="D33" s="46">
        <v>0.5</v>
      </c>
      <c r="E33" s="47">
        <f t="shared" ca="1" si="0"/>
        <v>3</v>
      </c>
      <c r="F33" s="48">
        <f t="shared" ca="1" si="1"/>
        <v>1.5</v>
      </c>
      <c r="G33" s="49" t="s">
        <v>646</v>
      </c>
      <c r="H33" s="50" t="s">
        <v>679</v>
      </c>
    </row>
    <row r="34" spans="1:8" ht="15" customHeight="1">
      <c r="A34" s="45" t="s">
        <v>680</v>
      </c>
      <c r="B34" s="45" t="s">
        <v>368</v>
      </c>
      <c r="C34" s="45" t="s">
        <v>375</v>
      </c>
      <c r="D34" s="46">
        <v>0.5</v>
      </c>
      <c r="E34" s="47">
        <f t="shared" ca="1" si="0"/>
        <v>5</v>
      </c>
      <c r="F34" s="48">
        <f t="shared" ca="1" si="1"/>
        <v>2.5</v>
      </c>
      <c r="G34" s="49" t="s">
        <v>646</v>
      </c>
      <c r="H34" s="50" t="s">
        <v>681</v>
      </c>
    </row>
    <row r="35" spans="1:8" ht="15" customHeight="1">
      <c r="A35" s="45" t="s">
        <v>680</v>
      </c>
      <c r="B35" s="45" t="s">
        <v>374</v>
      </c>
      <c r="C35" s="45" t="s">
        <v>375</v>
      </c>
      <c r="D35" s="46">
        <v>0.33</v>
      </c>
      <c r="E35" s="47">
        <f t="shared" ca="1" si="0"/>
        <v>3</v>
      </c>
      <c r="F35" s="48">
        <f t="shared" ca="1" si="1"/>
        <v>0.99</v>
      </c>
      <c r="G35" s="49" t="s">
        <v>646</v>
      </c>
      <c r="H35" s="50" t="s">
        <v>682</v>
      </c>
    </row>
    <row r="36" spans="1:8" ht="15" customHeight="1">
      <c r="A36" s="45" t="s">
        <v>676</v>
      </c>
      <c r="B36" s="45" t="s">
        <v>550</v>
      </c>
      <c r="C36" s="45" t="s">
        <v>375</v>
      </c>
      <c r="D36" s="46">
        <v>0.5</v>
      </c>
      <c r="E36" s="47">
        <f t="shared" ca="1" si="0"/>
        <v>1</v>
      </c>
      <c r="F36" s="48">
        <f t="shared" ca="1" si="1"/>
        <v>0.5</v>
      </c>
      <c r="G36" s="49" t="s">
        <v>646</v>
      </c>
      <c r="H36" s="50" t="s">
        <v>683</v>
      </c>
    </row>
    <row r="37" spans="1:8" ht="15" customHeight="1">
      <c r="A37" s="45" t="s">
        <v>676</v>
      </c>
      <c r="B37" s="45" t="s">
        <v>559</v>
      </c>
      <c r="C37" s="45" t="s">
        <v>375</v>
      </c>
      <c r="D37" s="46">
        <v>0.5</v>
      </c>
      <c r="E37" s="47">
        <f t="shared" ca="1" si="0"/>
        <v>3</v>
      </c>
      <c r="F37" s="48">
        <f t="shared" ca="1" si="1"/>
        <v>1.5</v>
      </c>
      <c r="G37" s="49" t="s">
        <v>646</v>
      </c>
      <c r="H37" s="50" t="s">
        <v>684</v>
      </c>
    </row>
    <row r="38" spans="1:8" ht="15" customHeight="1">
      <c r="A38" s="45" t="s">
        <v>645</v>
      </c>
      <c r="B38" s="45" t="s">
        <v>312</v>
      </c>
      <c r="C38" s="45" t="s">
        <v>375</v>
      </c>
      <c r="D38" s="46">
        <v>0.5</v>
      </c>
      <c r="E38" s="47">
        <f t="shared" ca="1" si="0"/>
        <v>3</v>
      </c>
      <c r="F38" s="48">
        <f t="shared" ca="1" si="1"/>
        <v>1.5</v>
      </c>
      <c r="G38" s="49" t="s">
        <v>646</v>
      </c>
      <c r="H38" s="50" t="s">
        <v>685</v>
      </c>
    </row>
    <row r="39" spans="1:8" ht="15" customHeight="1">
      <c r="A39" s="45" t="s">
        <v>680</v>
      </c>
      <c r="B39" s="45" t="s">
        <v>368</v>
      </c>
      <c r="C39" s="45" t="s">
        <v>313</v>
      </c>
      <c r="D39" s="46">
        <v>0</v>
      </c>
      <c r="E39" s="47">
        <f t="shared" ref="E39:E75" ca="1" si="2">IFERROR(INDEX(INDIRECT("'"&amp;$A39&amp;"'!$E$1:$E$45"),MATCH($B39,INDIRECT("'"&amp;$A39&amp;"'!$B$1:$B$45"),0)),"?")</f>
        <v>5</v>
      </c>
      <c r="F39" s="48">
        <f t="shared" ref="F39:F70" ca="1" si="3">IF(ISNUMBER(E39),$D39*E39,0)</f>
        <v>0</v>
      </c>
      <c r="G39" s="49" t="s">
        <v>646</v>
      </c>
      <c r="H39" s="50" t="s">
        <v>686</v>
      </c>
    </row>
    <row r="40" spans="1:8" ht="15" customHeight="1">
      <c r="A40" s="45" t="s">
        <v>649</v>
      </c>
      <c r="B40" s="45" t="s">
        <v>484</v>
      </c>
      <c r="C40" s="45" t="s">
        <v>313</v>
      </c>
      <c r="D40" s="46">
        <v>0</v>
      </c>
      <c r="E40" s="47">
        <f t="shared" ca="1" si="2"/>
        <v>4</v>
      </c>
      <c r="F40" s="48">
        <f t="shared" ca="1" si="3"/>
        <v>0</v>
      </c>
      <c r="G40" s="49" t="s">
        <v>646</v>
      </c>
      <c r="H40" s="50" t="s">
        <v>687</v>
      </c>
    </row>
    <row r="41" spans="1:8" ht="15" customHeight="1">
      <c r="A41" s="45" t="s">
        <v>676</v>
      </c>
      <c r="B41" s="45" t="s">
        <v>559</v>
      </c>
      <c r="C41" s="45" t="s">
        <v>313</v>
      </c>
      <c r="D41" s="46">
        <v>0.5</v>
      </c>
      <c r="E41" s="47">
        <f t="shared" ca="1" si="2"/>
        <v>3</v>
      </c>
      <c r="F41" s="48">
        <f t="shared" ca="1" si="3"/>
        <v>1.5</v>
      </c>
      <c r="G41" s="49" t="s">
        <v>646</v>
      </c>
      <c r="H41" s="51" t="s">
        <v>688</v>
      </c>
    </row>
    <row r="42" spans="1:8" ht="15" customHeight="1">
      <c r="A42" s="45" t="s">
        <v>680</v>
      </c>
      <c r="B42" s="45" t="s">
        <v>378</v>
      </c>
      <c r="C42" s="45" t="s">
        <v>369</v>
      </c>
      <c r="D42" s="46">
        <v>0.5</v>
      </c>
      <c r="E42" s="47">
        <f t="shared" ca="1" si="2"/>
        <v>3</v>
      </c>
      <c r="F42" s="48">
        <f t="shared" ca="1" si="3"/>
        <v>1.5</v>
      </c>
      <c r="G42" s="49" t="s">
        <v>646</v>
      </c>
      <c r="H42" s="50" t="s">
        <v>689</v>
      </c>
    </row>
    <row r="43" spans="1:8" ht="15" customHeight="1">
      <c r="A43" s="45" t="s">
        <v>680</v>
      </c>
      <c r="B43" s="45" t="s">
        <v>378</v>
      </c>
      <c r="C43" s="45" t="s">
        <v>393</v>
      </c>
      <c r="D43" s="46">
        <v>0.33</v>
      </c>
      <c r="E43" s="47">
        <f t="shared" ca="1" si="2"/>
        <v>3</v>
      </c>
      <c r="F43" s="48">
        <f t="shared" ca="1" si="3"/>
        <v>0.99</v>
      </c>
      <c r="G43" s="49" t="s">
        <v>646</v>
      </c>
      <c r="H43" s="50" t="s">
        <v>690</v>
      </c>
    </row>
    <row r="44" spans="1:8" ht="15" customHeight="1">
      <c r="A44" s="45" t="s">
        <v>676</v>
      </c>
      <c r="B44" s="45" t="s">
        <v>550</v>
      </c>
      <c r="C44" s="45" t="s">
        <v>267</v>
      </c>
      <c r="D44" s="46">
        <v>0</v>
      </c>
      <c r="E44" s="47">
        <f t="shared" ca="1" si="2"/>
        <v>1</v>
      </c>
      <c r="F44" s="48">
        <f t="shared" ca="1" si="3"/>
        <v>0</v>
      </c>
      <c r="G44" s="52" t="s">
        <v>659</v>
      </c>
      <c r="H44" s="50" t="s">
        <v>691</v>
      </c>
    </row>
    <row r="45" spans="1:8" ht="15" customHeight="1">
      <c r="A45" s="45" t="s">
        <v>680</v>
      </c>
      <c r="B45" s="45" t="s">
        <v>368</v>
      </c>
      <c r="C45" s="45" t="s">
        <v>388</v>
      </c>
      <c r="D45" s="46">
        <v>0.33</v>
      </c>
      <c r="E45" s="47">
        <f t="shared" ca="1" si="2"/>
        <v>5</v>
      </c>
      <c r="F45" s="48">
        <f t="shared" ca="1" si="3"/>
        <v>1.6500000000000001</v>
      </c>
      <c r="G45" s="52" t="s">
        <v>659</v>
      </c>
      <c r="H45" s="50" t="s">
        <v>692</v>
      </c>
    </row>
    <row r="46" spans="1:8" ht="15" customHeight="1">
      <c r="A46" s="45" t="s">
        <v>680</v>
      </c>
      <c r="B46" s="45" t="s">
        <v>374</v>
      </c>
      <c r="C46" s="45" t="s">
        <v>388</v>
      </c>
      <c r="D46" s="46">
        <v>0.33</v>
      </c>
      <c r="E46" s="47">
        <f t="shared" ca="1" si="2"/>
        <v>3</v>
      </c>
      <c r="F46" s="48">
        <f t="shared" ca="1" si="3"/>
        <v>0.99</v>
      </c>
      <c r="G46" s="52" t="s">
        <v>659</v>
      </c>
      <c r="H46" s="50" t="s">
        <v>693</v>
      </c>
    </row>
    <row r="47" spans="1:8" ht="15" customHeight="1">
      <c r="A47" s="45" t="s">
        <v>680</v>
      </c>
      <c r="B47" s="45" t="s">
        <v>378</v>
      </c>
      <c r="C47" s="45" t="s">
        <v>388</v>
      </c>
      <c r="D47" s="46">
        <v>0.33</v>
      </c>
      <c r="E47" s="47">
        <f t="shared" ca="1" si="2"/>
        <v>3</v>
      </c>
      <c r="F47" s="48">
        <f t="shared" ca="1" si="3"/>
        <v>0.99</v>
      </c>
      <c r="G47" s="52" t="s">
        <v>659</v>
      </c>
      <c r="H47" s="50" t="s">
        <v>694</v>
      </c>
    </row>
    <row r="48" spans="1:8" ht="15" customHeight="1">
      <c r="A48" s="45" t="s">
        <v>652</v>
      </c>
      <c r="B48" s="45" t="s">
        <v>336</v>
      </c>
      <c r="C48" s="45" t="s">
        <v>349</v>
      </c>
      <c r="D48" s="46">
        <v>0</v>
      </c>
      <c r="E48" s="47">
        <f t="shared" ca="1" si="2"/>
        <v>5</v>
      </c>
      <c r="F48" s="48">
        <f t="shared" ca="1" si="3"/>
        <v>0</v>
      </c>
      <c r="G48" s="52" t="s">
        <v>659</v>
      </c>
      <c r="H48" s="50" t="s">
        <v>695</v>
      </c>
    </row>
    <row r="49" spans="1:8" ht="15" customHeight="1">
      <c r="A49" s="45" t="s">
        <v>655</v>
      </c>
      <c r="B49" s="45" t="s">
        <v>517</v>
      </c>
      <c r="C49" s="45" t="s">
        <v>337</v>
      </c>
      <c r="D49" s="46">
        <v>0</v>
      </c>
      <c r="E49" s="47">
        <f t="shared" ca="1" si="2"/>
        <v>3</v>
      </c>
      <c r="F49" s="48">
        <f t="shared" ca="1" si="3"/>
        <v>0</v>
      </c>
      <c r="G49" s="52" t="s">
        <v>659</v>
      </c>
      <c r="H49" s="50" t="s">
        <v>696</v>
      </c>
    </row>
    <row r="50" spans="1:8" ht="15" customHeight="1">
      <c r="A50" s="45" t="s">
        <v>649</v>
      </c>
      <c r="B50" s="45" t="s">
        <v>465</v>
      </c>
      <c r="C50" s="45" t="s">
        <v>407</v>
      </c>
      <c r="D50" s="46">
        <v>0</v>
      </c>
      <c r="E50" s="47">
        <f t="shared" ca="1" si="2"/>
        <v>4</v>
      </c>
      <c r="F50" s="48">
        <f t="shared" ca="1" si="3"/>
        <v>0</v>
      </c>
      <c r="G50" s="52" t="s">
        <v>659</v>
      </c>
      <c r="H50" s="50" t="s">
        <v>697</v>
      </c>
    </row>
    <row r="51" spans="1:8" ht="15" customHeight="1">
      <c r="A51" s="45" t="s">
        <v>655</v>
      </c>
      <c r="B51" s="45" t="s">
        <v>503</v>
      </c>
      <c r="C51" s="45" t="s">
        <v>407</v>
      </c>
      <c r="D51" s="46">
        <v>0.2</v>
      </c>
      <c r="E51" s="47">
        <f t="shared" ca="1" si="2"/>
        <v>3</v>
      </c>
      <c r="F51" s="48">
        <f t="shared" ca="1" si="3"/>
        <v>0.60000000000000009</v>
      </c>
      <c r="G51" s="52" t="s">
        <v>659</v>
      </c>
      <c r="H51" s="50" t="s">
        <v>698</v>
      </c>
    </row>
    <row r="52" spans="1:8" ht="15" customHeight="1">
      <c r="A52" s="45" t="s">
        <v>676</v>
      </c>
      <c r="B52" s="45" t="s">
        <v>550</v>
      </c>
      <c r="C52" s="45" t="s">
        <v>407</v>
      </c>
      <c r="D52" s="46">
        <v>0</v>
      </c>
      <c r="E52" s="47">
        <f t="shared" ca="1" si="2"/>
        <v>1</v>
      </c>
      <c r="F52" s="48">
        <f t="shared" ca="1" si="3"/>
        <v>0</v>
      </c>
      <c r="G52" s="52" t="s">
        <v>659</v>
      </c>
      <c r="H52" s="50" t="s">
        <v>699</v>
      </c>
    </row>
    <row r="53" spans="1:8" ht="15" customHeight="1">
      <c r="A53" s="45" t="s">
        <v>645</v>
      </c>
      <c r="B53" s="45" t="s">
        <v>266</v>
      </c>
      <c r="C53" s="45" t="s">
        <v>418</v>
      </c>
      <c r="D53" s="46">
        <v>0.2</v>
      </c>
      <c r="E53" s="47">
        <f t="shared" ca="1" si="2"/>
        <v>4</v>
      </c>
      <c r="F53" s="48">
        <f t="shared" ca="1" si="3"/>
        <v>0.8</v>
      </c>
      <c r="G53" s="52" t="s">
        <v>659</v>
      </c>
      <c r="H53" s="50" t="s">
        <v>700</v>
      </c>
    </row>
    <row r="54" spans="1:8" ht="15" customHeight="1">
      <c r="A54" s="45" t="s">
        <v>649</v>
      </c>
      <c r="B54" s="45" t="s">
        <v>465</v>
      </c>
      <c r="C54" s="45" t="s">
        <v>418</v>
      </c>
      <c r="D54" s="46">
        <v>0.2</v>
      </c>
      <c r="E54" s="47">
        <f t="shared" ca="1" si="2"/>
        <v>4</v>
      </c>
      <c r="F54" s="48">
        <f t="shared" ca="1" si="3"/>
        <v>0.8</v>
      </c>
      <c r="G54" s="52" t="s">
        <v>659</v>
      </c>
      <c r="H54" s="50" t="s">
        <v>701</v>
      </c>
    </row>
    <row r="55" spans="1:8" ht="15" customHeight="1">
      <c r="A55" s="45" t="s">
        <v>652</v>
      </c>
      <c r="B55" s="45" t="s">
        <v>357</v>
      </c>
      <c r="C55" s="45" t="s">
        <v>282</v>
      </c>
      <c r="D55" s="46">
        <v>0.33</v>
      </c>
      <c r="E55" s="47">
        <f t="shared" ca="1" si="2"/>
        <v>5</v>
      </c>
      <c r="F55" s="48">
        <f t="shared" ca="1" si="3"/>
        <v>1.6500000000000001</v>
      </c>
      <c r="G55" s="52" t="s">
        <v>659</v>
      </c>
      <c r="H55" s="50" t="s">
        <v>702</v>
      </c>
    </row>
    <row r="56" spans="1:8" ht="15" customHeight="1">
      <c r="A56" s="45" t="s">
        <v>676</v>
      </c>
      <c r="B56" s="45" t="s">
        <v>374</v>
      </c>
      <c r="C56" s="45" t="s">
        <v>375</v>
      </c>
      <c r="D56" s="46">
        <v>0.33</v>
      </c>
      <c r="E56" s="47">
        <f t="shared" ca="1" si="2"/>
        <v>3</v>
      </c>
      <c r="F56" s="48">
        <f t="shared" ca="1" si="3"/>
        <v>0.99</v>
      </c>
      <c r="G56" s="52" t="s">
        <v>646</v>
      </c>
      <c r="H56" s="50" t="s">
        <v>703</v>
      </c>
    </row>
    <row r="57" spans="1:8" ht="15" customHeight="1">
      <c r="A57" s="45" t="s">
        <v>676</v>
      </c>
      <c r="B57" s="45" t="s">
        <v>374</v>
      </c>
      <c r="C57" s="45" t="s">
        <v>388</v>
      </c>
      <c r="D57" s="46">
        <v>0.33</v>
      </c>
      <c r="E57" s="47">
        <f t="shared" ca="1" si="2"/>
        <v>3</v>
      </c>
      <c r="F57" s="48">
        <f t="shared" ca="1" si="3"/>
        <v>0.99</v>
      </c>
      <c r="G57" s="52" t="s">
        <v>659</v>
      </c>
      <c r="H57" s="50" t="s">
        <v>704</v>
      </c>
    </row>
    <row r="58" spans="1:8" ht="15" customHeight="1">
      <c r="A58" s="45" t="s">
        <v>655</v>
      </c>
      <c r="B58" s="45" t="s">
        <v>508</v>
      </c>
      <c r="C58" s="45" t="s">
        <v>345</v>
      </c>
      <c r="D58" s="46">
        <v>0.5</v>
      </c>
      <c r="E58" s="47">
        <f t="shared" ca="1" si="2"/>
        <v>3</v>
      </c>
      <c r="F58" s="48">
        <f t="shared" ca="1" si="3"/>
        <v>1.5</v>
      </c>
      <c r="G58" s="52" t="s">
        <v>659</v>
      </c>
      <c r="H58" s="50" t="s">
        <v>705</v>
      </c>
    </row>
    <row r="59" spans="1:8" ht="15" customHeight="1">
      <c r="A59" s="45" t="s">
        <v>661</v>
      </c>
      <c r="B59" s="45" t="s">
        <v>508</v>
      </c>
      <c r="C59" s="45" t="s">
        <v>345</v>
      </c>
      <c r="D59" s="46">
        <v>0.5</v>
      </c>
      <c r="E59" s="47">
        <f t="shared" ca="1" si="2"/>
        <v>3</v>
      </c>
      <c r="F59" s="48">
        <f t="shared" ca="1" si="3"/>
        <v>1.5</v>
      </c>
      <c r="G59" s="52" t="s">
        <v>659</v>
      </c>
      <c r="H59" s="50" t="s">
        <v>706</v>
      </c>
    </row>
    <row r="60" spans="1:8" ht="15" customHeight="1">
      <c r="A60" s="45" t="s">
        <v>655</v>
      </c>
      <c r="B60" s="45" t="s">
        <v>514</v>
      </c>
      <c r="C60" s="45" t="s">
        <v>345</v>
      </c>
      <c r="D60" s="46">
        <v>0.5</v>
      </c>
      <c r="E60" s="47">
        <f t="shared" ca="1" si="2"/>
        <v>3</v>
      </c>
      <c r="F60" s="48">
        <f t="shared" ca="1" si="3"/>
        <v>1.5</v>
      </c>
      <c r="G60" s="52" t="s">
        <v>659</v>
      </c>
      <c r="H60" s="50" t="s">
        <v>707</v>
      </c>
    </row>
    <row r="61" spans="1:8" ht="15" customHeight="1">
      <c r="A61" s="45" t="s">
        <v>652</v>
      </c>
      <c r="B61" s="45" t="s">
        <v>343</v>
      </c>
      <c r="C61" s="45" t="s">
        <v>429</v>
      </c>
      <c r="D61" s="46">
        <v>0.2</v>
      </c>
      <c r="E61" s="47">
        <f t="shared" ca="1" si="2"/>
        <v>4</v>
      </c>
      <c r="F61" s="48">
        <f t="shared" ca="1" si="3"/>
        <v>0.8</v>
      </c>
      <c r="G61" s="52" t="s">
        <v>659</v>
      </c>
      <c r="H61" s="50" t="s">
        <v>708</v>
      </c>
    </row>
    <row r="62" spans="1:8" ht="15" customHeight="1">
      <c r="A62" s="45" t="s">
        <v>655</v>
      </c>
      <c r="B62" s="45" t="s">
        <v>514</v>
      </c>
      <c r="C62" s="45" t="s">
        <v>429</v>
      </c>
      <c r="D62" s="46">
        <v>0.33</v>
      </c>
      <c r="E62" s="47">
        <f t="shared" ca="1" si="2"/>
        <v>3</v>
      </c>
      <c r="F62" s="48">
        <f t="shared" ca="1" si="3"/>
        <v>0.99</v>
      </c>
      <c r="G62" s="52" t="s">
        <v>659</v>
      </c>
      <c r="H62" s="50" t="s">
        <v>709</v>
      </c>
    </row>
    <row r="63" spans="1:8" ht="15" customHeight="1">
      <c r="A63" s="45" t="s">
        <v>658</v>
      </c>
      <c r="B63" s="45" t="s">
        <v>439</v>
      </c>
      <c r="C63" s="45" t="s">
        <v>269</v>
      </c>
      <c r="D63" s="46">
        <v>0.2</v>
      </c>
      <c r="E63" s="47">
        <f t="shared" ca="1" si="2"/>
        <v>4</v>
      </c>
      <c r="F63" s="48">
        <f t="shared" ca="1" si="3"/>
        <v>0.8</v>
      </c>
      <c r="G63" s="52" t="s">
        <v>659</v>
      </c>
      <c r="H63" s="50" t="s">
        <v>710</v>
      </c>
    </row>
    <row r="64" spans="1:8" ht="15" customHeight="1">
      <c r="A64" s="45" t="s">
        <v>658</v>
      </c>
      <c r="B64" s="45" t="s">
        <v>410</v>
      </c>
      <c r="C64" s="45" t="s">
        <v>282</v>
      </c>
      <c r="D64" s="46">
        <v>0.33</v>
      </c>
      <c r="E64" s="47">
        <f t="shared" ca="1" si="2"/>
        <v>3</v>
      </c>
      <c r="F64" s="48">
        <f t="shared" ca="1" si="3"/>
        <v>0.99</v>
      </c>
      <c r="G64" s="52" t="s">
        <v>659</v>
      </c>
      <c r="H64" s="50" t="s">
        <v>711</v>
      </c>
    </row>
    <row r="65" spans="1:8" ht="15" customHeight="1">
      <c r="A65" s="45" t="s">
        <v>658</v>
      </c>
      <c r="B65" s="45" t="s">
        <v>406</v>
      </c>
      <c r="C65" s="45" t="s">
        <v>407</v>
      </c>
      <c r="D65" s="46">
        <v>0.33</v>
      </c>
      <c r="E65" s="47">
        <f t="shared" ca="1" si="2"/>
        <v>3</v>
      </c>
      <c r="F65" s="48">
        <f t="shared" ca="1" si="3"/>
        <v>0.99</v>
      </c>
      <c r="G65" s="52" t="s">
        <v>659</v>
      </c>
      <c r="H65" s="50" t="s">
        <v>712</v>
      </c>
    </row>
    <row r="66" spans="1:8" ht="15" customHeight="1">
      <c r="A66" s="45" t="s">
        <v>658</v>
      </c>
      <c r="B66" s="45" t="s">
        <v>414</v>
      </c>
      <c r="C66" s="45" t="s">
        <v>282</v>
      </c>
      <c r="D66" s="46">
        <v>0.33</v>
      </c>
      <c r="E66" s="47">
        <f t="shared" ca="1" si="2"/>
        <v>3</v>
      </c>
      <c r="F66" s="48">
        <f t="shared" ca="1" si="3"/>
        <v>0.99</v>
      </c>
      <c r="G66" s="52" t="s">
        <v>659</v>
      </c>
      <c r="H66" s="50" t="s">
        <v>713</v>
      </c>
    </row>
    <row r="67" spans="1:8" ht="15" customHeight="1">
      <c r="A67" s="45" t="s">
        <v>658</v>
      </c>
      <c r="B67" s="45" t="s">
        <v>293</v>
      </c>
      <c r="C67" s="45" t="s">
        <v>295</v>
      </c>
      <c r="D67" s="46">
        <v>0.33</v>
      </c>
      <c r="E67" s="47">
        <f t="shared" ca="1" si="2"/>
        <v>3</v>
      </c>
      <c r="F67" s="48">
        <f t="shared" ca="1" si="3"/>
        <v>0.99</v>
      </c>
      <c r="G67" s="52" t="s">
        <v>659</v>
      </c>
      <c r="H67" s="50" t="s">
        <v>714</v>
      </c>
    </row>
    <row r="68" spans="1:8" ht="15" customHeight="1">
      <c r="A68" s="45" t="s">
        <v>676</v>
      </c>
      <c r="B68" s="45" t="s">
        <v>554</v>
      </c>
      <c r="C68" s="45" t="s">
        <v>384</v>
      </c>
      <c r="D68" s="46">
        <v>0.33</v>
      </c>
      <c r="E68" s="47">
        <f t="shared" ca="1" si="2"/>
        <v>2</v>
      </c>
      <c r="F68" s="48">
        <f t="shared" ca="1" si="3"/>
        <v>0.66</v>
      </c>
      <c r="G68" s="49" t="s">
        <v>646</v>
      </c>
      <c r="H68" s="50" t="s">
        <v>715</v>
      </c>
    </row>
    <row r="69" spans="1:8">
      <c r="A69" s="45" t="s">
        <v>676</v>
      </c>
      <c r="B69" s="45" t="s">
        <v>554</v>
      </c>
      <c r="C69" s="45" t="s">
        <v>375</v>
      </c>
      <c r="D69" s="46">
        <v>0.5</v>
      </c>
      <c r="E69" s="47">
        <f t="shared" ca="1" si="2"/>
        <v>2</v>
      </c>
      <c r="F69" s="48">
        <f t="shared" ca="1" si="3"/>
        <v>1</v>
      </c>
      <c r="G69" s="49" t="s">
        <v>646</v>
      </c>
      <c r="H69" s="50" t="s">
        <v>716</v>
      </c>
    </row>
    <row r="70" spans="1:8">
      <c r="A70" s="45" t="s">
        <v>676</v>
      </c>
      <c r="B70" s="45" t="s">
        <v>554</v>
      </c>
      <c r="C70" s="45" t="s">
        <v>407</v>
      </c>
      <c r="D70" s="46">
        <v>0</v>
      </c>
      <c r="E70" s="47">
        <f t="shared" ca="1" si="2"/>
        <v>2</v>
      </c>
      <c r="F70" s="48">
        <f t="shared" ca="1" si="3"/>
        <v>0</v>
      </c>
      <c r="G70" s="49" t="s">
        <v>659</v>
      </c>
      <c r="H70" s="50" t="s">
        <v>717</v>
      </c>
    </row>
    <row r="71" spans="1:8">
      <c r="A71" t="s">
        <v>645</v>
      </c>
      <c r="B71" t="s">
        <v>281</v>
      </c>
      <c r="C71" t="s">
        <v>267</v>
      </c>
      <c r="D71">
        <v>0.5</v>
      </c>
      <c r="E71">
        <f t="shared" ca="1" si="2"/>
        <v>4</v>
      </c>
      <c r="F71">
        <f t="shared" ref="F71:F75" ca="1" si="4">IF(ISNUMBER(E71),$D71*E71,0)</f>
        <v>2</v>
      </c>
      <c r="G71" t="s">
        <v>659</v>
      </c>
      <c r="H71" t="s">
        <v>718</v>
      </c>
    </row>
    <row r="72" spans="1:8">
      <c r="A72" t="s">
        <v>645</v>
      </c>
      <c r="B72" t="s">
        <v>281</v>
      </c>
      <c r="C72" t="s">
        <v>269</v>
      </c>
      <c r="D72">
        <v>0.2</v>
      </c>
      <c r="E72">
        <f t="shared" ca="1" si="2"/>
        <v>4</v>
      </c>
      <c r="F72">
        <f t="shared" ca="1" si="4"/>
        <v>0.8</v>
      </c>
      <c r="G72" t="s">
        <v>659</v>
      </c>
      <c r="H72" t="s">
        <v>719</v>
      </c>
    </row>
    <row r="73" spans="1:8">
      <c r="A73" t="s">
        <v>645</v>
      </c>
      <c r="B73" t="s">
        <v>277</v>
      </c>
      <c r="C73" t="s">
        <v>269</v>
      </c>
      <c r="D73">
        <v>0.33</v>
      </c>
      <c r="E73">
        <f t="shared" ca="1" si="2"/>
        <v>2</v>
      </c>
      <c r="F73">
        <f t="shared" ca="1" si="4"/>
        <v>0.66</v>
      </c>
      <c r="G73" t="s">
        <v>646</v>
      </c>
      <c r="H73" t="s">
        <v>720</v>
      </c>
    </row>
    <row r="74" spans="1:8">
      <c r="A74" t="s">
        <v>649</v>
      </c>
      <c r="B74" t="s">
        <v>472</v>
      </c>
      <c r="C74" t="s">
        <v>269</v>
      </c>
      <c r="D74">
        <v>0.33</v>
      </c>
      <c r="E74">
        <f t="shared" ca="1" si="2"/>
        <v>2</v>
      </c>
      <c r="F74">
        <f t="shared" ca="1" si="4"/>
        <v>0.66</v>
      </c>
      <c r="G74" t="s">
        <v>646</v>
      </c>
      <c r="H74" t="s">
        <v>721</v>
      </c>
    </row>
    <row r="75" spans="1:8">
      <c r="A75" t="s">
        <v>649</v>
      </c>
      <c r="B75" t="s">
        <v>472</v>
      </c>
      <c r="C75" t="s">
        <v>282</v>
      </c>
      <c r="D75">
        <v>0.5</v>
      </c>
      <c r="E75">
        <f t="shared" ca="1" si="2"/>
        <v>2</v>
      </c>
      <c r="F75">
        <f t="shared" ca="1" si="4"/>
        <v>1</v>
      </c>
      <c r="G75" t="s">
        <v>646</v>
      </c>
      <c r="H75" t="s">
        <v>722</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723</v>
      </c>
      <c r="G1" s="80" t="s">
        <v>724</v>
      </c>
    </row>
    <row r="2" spans="1:12" ht="15" customHeight="1">
      <c r="A2" s="2" t="s">
        <v>725</v>
      </c>
      <c r="G2" s="81" t="s">
        <v>726</v>
      </c>
      <c r="H2" s="82">
        <v>10</v>
      </c>
      <c r="I2" s="81" t="s">
        <v>727</v>
      </c>
      <c r="J2" s="82">
        <v>244</v>
      </c>
      <c r="K2" s="81" t="s">
        <v>728</v>
      </c>
      <c r="L2" s="83">
        <f>B25</f>
        <v>240</v>
      </c>
    </row>
    <row r="3" spans="1:12">
      <c r="A3" s="84" t="str">
        <f>IF($H$3&lt;0,"⚠ 총량 상한 "&amp;ABS($H$3)&amp;"세트 초과 — 다른 종목에서 그만큼 빼기 전에는 추가 금지. 상한을 올리려면 아래 '상한 변경 이력'에 한 줄 남길 것.","")</f>
        <v/>
      </c>
      <c r="G3" s="81" t="s">
        <v>729</v>
      </c>
      <c r="H3" s="85">
        <f>$J$2-$L$2</f>
        <v>4</v>
      </c>
      <c r="I3" s="81" t="s">
        <v>730</v>
      </c>
      <c r="J3" s="85">
        <f>ROUND($L$2*7/$H$2,1)</f>
        <v>168</v>
      </c>
      <c r="K3" s="81" t="s">
        <v>731</v>
      </c>
      <c r="L3" s="85" t="str">
        <f>IF($H$3&lt;0,"INVALID","VALID")</f>
        <v>VALID</v>
      </c>
    </row>
    <row r="4" spans="1:12" ht="15" customHeight="1">
      <c r="A4" s="5" t="s">
        <v>254</v>
      </c>
      <c r="B4" s="5" t="s">
        <v>732</v>
      </c>
      <c r="C4" s="5" t="s">
        <v>733</v>
      </c>
      <c r="D4" s="5" t="s">
        <v>734</v>
      </c>
      <c r="E4" s="5" t="s">
        <v>735</v>
      </c>
      <c r="F4" s="5" t="s">
        <v>736</v>
      </c>
      <c r="J4" s="86" t="str">
        <f>"주당 환산 (×7/"&amp;$H$2&amp;")"</f>
        <v>주당 환산 (×7/10)</v>
      </c>
    </row>
    <row r="5" spans="1:12" ht="15" customHeight="1">
      <c r="A5" s="53" t="s">
        <v>349</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737</v>
      </c>
      <c r="G5" s="149" t="s">
        <v>738</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337</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739</v>
      </c>
      <c r="G6" s="150"/>
      <c r="J6" s="55">
        <f t="shared" ca="1" si="2"/>
        <v>12.6</v>
      </c>
      <c r="L6" s="55">
        <f t="shared" si="3"/>
        <v>12.6</v>
      </c>
    </row>
    <row r="7" spans="1:12" ht="15" customHeight="1">
      <c r="A7" s="53" t="s">
        <v>267</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740</v>
      </c>
      <c r="G7" s="149" t="s">
        <v>741</v>
      </c>
      <c r="H7" s="56">
        <f ca="1">SUM(D7:D10)</f>
        <v>56.5</v>
      </c>
      <c r="J7" s="55">
        <f t="shared" ca="1" si="2"/>
        <v>11.9</v>
      </c>
      <c r="L7" s="55">
        <f t="shared" si="3"/>
        <v>9.1</v>
      </c>
    </row>
    <row r="8" spans="1:12" ht="15" customHeight="1">
      <c r="A8" s="53" t="s">
        <v>407</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742</v>
      </c>
      <c r="G8" s="150"/>
      <c r="J8" s="55">
        <f t="shared" ca="1" si="2"/>
        <v>3.9</v>
      </c>
      <c r="L8" s="55">
        <f t="shared" si="3"/>
        <v>2.8</v>
      </c>
    </row>
    <row r="9" spans="1:12" ht="15" customHeight="1">
      <c r="A9" s="53" t="s">
        <v>418</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743</v>
      </c>
      <c r="G9" s="150"/>
      <c r="J9" s="55">
        <f t="shared" ca="1" si="2"/>
        <v>9.5</v>
      </c>
      <c r="L9" s="55">
        <f t="shared" si="3"/>
        <v>8.4</v>
      </c>
    </row>
    <row r="10" spans="1:12" ht="15" customHeight="1">
      <c r="A10" s="53" t="s">
        <v>282</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744</v>
      </c>
      <c r="G10" s="150"/>
      <c r="J10" s="55">
        <f t="shared" ca="1" si="2"/>
        <v>14.4</v>
      </c>
      <c r="L10" s="55">
        <f t="shared" si="3"/>
        <v>10.5</v>
      </c>
    </row>
    <row r="11" spans="1:12" ht="15" customHeight="1">
      <c r="A11" s="53" t="s">
        <v>313</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745</v>
      </c>
      <c r="G11" s="57"/>
      <c r="J11" s="55">
        <f t="shared" ca="1" si="2"/>
        <v>9.5</v>
      </c>
      <c r="L11" s="55">
        <f t="shared" si="3"/>
        <v>8.4</v>
      </c>
    </row>
    <row r="12" spans="1:12" ht="15" customHeight="1">
      <c r="A12" s="53" t="s">
        <v>429</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746</v>
      </c>
      <c r="G12" s="57"/>
      <c r="J12" s="55">
        <f t="shared" ca="1" si="2"/>
        <v>10.9</v>
      </c>
      <c r="L12" s="55">
        <f t="shared" si="3"/>
        <v>6.3</v>
      </c>
    </row>
    <row r="13" spans="1:12" ht="15" customHeight="1">
      <c r="A13" s="53" t="s">
        <v>354</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747</v>
      </c>
      <c r="G13" s="57"/>
      <c r="J13" s="55">
        <f t="shared" ca="1" si="2"/>
        <v>14.7</v>
      </c>
      <c r="L13" s="55">
        <f t="shared" si="3"/>
        <v>12.6</v>
      </c>
    </row>
    <row r="14" spans="1:12" ht="15" customHeight="1">
      <c r="A14" s="53" t="s">
        <v>358</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748</v>
      </c>
      <c r="G14" s="57"/>
      <c r="H14" s="56"/>
      <c r="J14" s="55">
        <f t="shared" ca="1" si="2"/>
        <v>15.1</v>
      </c>
      <c r="L14" s="55">
        <f t="shared" si="3"/>
        <v>11.9</v>
      </c>
    </row>
    <row r="15" spans="1:12" ht="15" customHeight="1">
      <c r="A15" s="53" t="s">
        <v>369</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378</v>
      </c>
      <c r="G15" s="58" t="s">
        <v>749</v>
      </c>
      <c r="H15" s="56">
        <f ca="1">SUM(D15:D16,D19)</f>
        <v>43</v>
      </c>
      <c r="J15" s="55">
        <f t="shared" ca="1" si="2"/>
        <v>11.6</v>
      </c>
      <c r="L15" s="55">
        <f t="shared" si="3"/>
        <v>10.5</v>
      </c>
    </row>
    <row r="16" spans="1:12" ht="15" customHeight="1">
      <c r="A16" s="53" t="s">
        <v>384</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750</v>
      </c>
      <c r="G16" s="57"/>
      <c r="J16" s="55">
        <f t="shared" ca="1" si="2"/>
        <v>9.5</v>
      </c>
      <c r="L16" s="55">
        <f t="shared" si="3"/>
        <v>7</v>
      </c>
    </row>
    <row r="17" spans="1:12" ht="15" customHeight="1">
      <c r="A17" s="53" t="s">
        <v>375</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751</v>
      </c>
      <c r="G17" s="149" t="s">
        <v>375</v>
      </c>
      <c r="H17" s="56">
        <f ca="1">SUM(D17:D18)</f>
        <v>29</v>
      </c>
      <c r="J17" s="55">
        <f t="shared" ca="1" si="2"/>
        <v>11.2</v>
      </c>
      <c r="L17" s="55">
        <f t="shared" si="3"/>
        <v>4.9000000000000004</v>
      </c>
    </row>
    <row r="18" spans="1:12" ht="15" customHeight="1">
      <c r="A18" s="53" t="s">
        <v>393</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752</v>
      </c>
      <c r="G18" s="150"/>
      <c r="J18" s="55">
        <f t="shared" ca="1" si="2"/>
        <v>9.1</v>
      </c>
      <c r="L18" s="55">
        <f t="shared" si="3"/>
        <v>8.4</v>
      </c>
    </row>
    <row r="19" spans="1:12" ht="15" customHeight="1">
      <c r="A19" s="53" t="s">
        <v>308</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753</v>
      </c>
      <c r="G19" s="57"/>
      <c r="J19" s="55">
        <f t="shared" si="2"/>
        <v>9.1</v>
      </c>
      <c r="L19" s="55">
        <f t="shared" si="3"/>
        <v>9.1</v>
      </c>
    </row>
    <row r="20" spans="1:12" ht="15" customHeight="1">
      <c r="A20" s="53" t="s">
        <v>269</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754</v>
      </c>
      <c r="G20" s="57"/>
      <c r="J20" s="55">
        <f t="shared" ca="1" si="2"/>
        <v>12.6</v>
      </c>
      <c r="L20" s="55">
        <f t="shared" si="3"/>
        <v>7.7</v>
      </c>
    </row>
    <row r="21" spans="1:12" ht="15" customHeight="1">
      <c r="A21" s="53" t="s">
        <v>345</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755</v>
      </c>
      <c r="G21" s="57"/>
      <c r="J21" s="55">
        <f t="shared" ca="1" si="2"/>
        <v>14</v>
      </c>
      <c r="L21" s="55">
        <f t="shared" si="3"/>
        <v>5.6</v>
      </c>
    </row>
    <row r="22" spans="1:12" ht="16.5" customHeight="1">
      <c r="A22" s="53" t="s">
        <v>295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756</v>
      </c>
      <c r="G22" s="57"/>
      <c r="J22" s="55">
        <f t="shared" ca="1" si="2"/>
        <v>10.199999999999999</v>
      </c>
      <c r="L22" s="55">
        <f t="shared" si="3"/>
        <v>7.7</v>
      </c>
    </row>
    <row r="23" spans="1:12" ht="24" customHeight="1">
      <c r="A23" s="53" t="s">
        <v>299</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757</v>
      </c>
      <c r="G23" s="57"/>
      <c r="J23" s="55">
        <f t="shared" si="2"/>
        <v>9.1</v>
      </c>
      <c r="L23" s="55">
        <f t="shared" si="3"/>
        <v>9.1</v>
      </c>
    </row>
    <row r="24" spans="1:12" ht="15" customHeight="1">
      <c r="A24" s="53" t="s">
        <v>388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758</v>
      </c>
      <c r="G24" s="57"/>
      <c r="J24" s="55">
        <f t="shared" ca="1" si="2"/>
        <v>9.5</v>
      </c>
      <c r="L24" s="55">
        <f t="shared" si="3"/>
        <v>6.3</v>
      </c>
    </row>
    <row r="25" spans="1:12" ht="36" customHeight="1">
      <c r="A25" s="60" t="s">
        <v>759</v>
      </c>
      <c r="B25" s="15">
        <f>SUM(B5:B24)</f>
        <v>240</v>
      </c>
      <c r="C25" s="61"/>
      <c r="D25" s="62">
        <f ca="1">SUM(D5:D24)</f>
        <v>310</v>
      </c>
      <c r="E25" s="61"/>
      <c r="F25" s="61"/>
      <c r="J25" s="62">
        <f t="shared" ca="1" si="2"/>
        <v>217</v>
      </c>
      <c r="L25" s="62">
        <f t="shared" si="3"/>
        <v>168</v>
      </c>
    </row>
    <row r="26" spans="1:12" ht="15" customHeight="1">
      <c r="A26" s="13" t="s">
        <v>760</v>
      </c>
    </row>
    <row r="27" spans="1:12" ht="16.5" customHeight="1">
      <c r="A27" s="11" t="s">
        <v>761</v>
      </c>
    </row>
    <row r="28" spans="1:12" ht="36" customHeight="1">
      <c r="A28" s="11" t="s">
        <v>762</v>
      </c>
    </row>
    <row r="29" spans="1:12" ht="48" customHeight="1">
      <c r="A29" s="11" t="s">
        <v>763</v>
      </c>
    </row>
    <row r="30" spans="1:12" ht="48" customHeight="1">
      <c r="A30" s="63"/>
    </row>
    <row r="31" spans="1:12" ht="15" customHeight="1">
      <c r="A31" s="13" t="s">
        <v>764</v>
      </c>
    </row>
    <row r="32" spans="1:12" ht="16.5" customHeight="1">
      <c r="A32" s="11" t="s">
        <v>765</v>
      </c>
    </row>
    <row r="33" spans="1:1" ht="48" customHeight="1">
      <c r="A33" s="11" t="s">
        <v>766</v>
      </c>
    </row>
    <row r="34" spans="1:1" ht="48" customHeight="1">
      <c r="A34" s="11" t="s">
        <v>767</v>
      </c>
    </row>
    <row r="35" spans="1:1" ht="15" customHeight="1">
      <c r="A35" s="63"/>
    </row>
    <row r="36" spans="1:1" ht="48" customHeight="1">
      <c r="A36" s="13" t="s">
        <v>768</v>
      </c>
    </row>
    <row r="37" spans="1:1" ht="77.25" customHeight="1">
      <c r="A37" s="11" t="s">
        <v>769</v>
      </c>
    </row>
    <row r="38" spans="1:1" ht="48" customHeight="1">
      <c r="A38" s="11" t="s">
        <v>770</v>
      </c>
    </row>
    <row r="39" spans="1:1" ht="39" customHeight="1">
      <c r="A39" s="63" t="s">
        <v>771</v>
      </c>
    </row>
    <row r="40" spans="1:1" ht="45" customHeight="1">
      <c r="A40" s="11" t="s">
        <v>772</v>
      </c>
    </row>
    <row r="41" spans="1:1" ht="48" customHeight="1">
      <c r="A41" s="11" t="s">
        <v>773</v>
      </c>
    </row>
    <row r="42" spans="1:1" ht="48" customHeight="1">
      <c r="A42" s="11" t="s">
        <v>774</v>
      </c>
    </row>
    <row r="43" spans="1:1" ht="48" customHeight="1">
      <c r="A43" s="11" t="s">
        <v>775</v>
      </c>
    </row>
    <row r="44" spans="1:1" ht="48" customHeight="1">
      <c r="A44" s="77" t="s">
        <v>776</v>
      </c>
    </row>
    <row r="45" spans="1:1" ht="51.75" customHeight="1">
      <c r="A45" t="s">
        <v>777</v>
      </c>
    </row>
    <row r="46" spans="1:1" ht="90" customHeight="1">
      <c r="A46" s="11" t="s">
        <v>778</v>
      </c>
    </row>
    <row r="47" spans="1:1" ht="51.75" customHeight="1">
      <c r="A47" s="11" t="s">
        <v>779</v>
      </c>
    </row>
    <row r="48" spans="1:1" ht="48" customHeight="1">
      <c r="A48" s="11" t="s">
        <v>780</v>
      </c>
    </row>
    <row r="49" spans="1:5" ht="48" customHeight="1">
      <c r="A49" s="11" t="s">
        <v>781</v>
      </c>
    </row>
    <row r="50" spans="1:5" ht="48" customHeight="1">
      <c r="A50" s="11" t="s">
        <v>782</v>
      </c>
    </row>
    <row r="51" spans="1:5">
      <c r="A51" t="s">
        <v>783</v>
      </c>
    </row>
    <row r="52" spans="1:5">
      <c r="A52" t="s">
        <v>784</v>
      </c>
    </row>
    <row r="53" spans="1:5">
      <c r="A53" t="s">
        <v>785</v>
      </c>
    </row>
    <row r="54" spans="1:5">
      <c r="A54" t="s">
        <v>786</v>
      </c>
    </row>
    <row r="55" spans="1:5">
      <c r="A55" t="s">
        <v>787</v>
      </c>
    </row>
    <row r="57" spans="1:5">
      <c r="A57" s="80" t="s">
        <v>788</v>
      </c>
    </row>
    <row r="58" spans="1:5">
      <c r="A58" s="87" t="s">
        <v>789</v>
      </c>
      <c r="B58" s="87" t="s">
        <v>790</v>
      </c>
      <c r="C58" s="87" t="s">
        <v>791</v>
      </c>
      <c r="D58" s="87" t="s">
        <v>792</v>
      </c>
      <c r="E58" s="87" t="s">
        <v>793</v>
      </c>
    </row>
    <row r="59" spans="1:5">
      <c r="A59" s="88">
        <v>46269</v>
      </c>
      <c r="B59" s="89" t="s">
        <v>27</v>
      </c>
      <c r="C59" s="89">
        <v>239</v>
      </c>
      <c r="D59" s="89" t="s">
        <v>794</v>
      </c>
      <c r="E59" s="89" t="s">
        <v>27</v>
      </c>
    </row>
    <row r="60" spans="1:5">
      <c r="A60" s="93">
        <v>46269</v>
      </c>
      <c r="B60" s="94">
        <v>239</v>
      </c>
      <c r="C60" s="94">
        <v>239</v>
      </c>
      <c r="D60" s="94" t="s">
        <v>795</v>
      </c>
      <c r="E60" s="94" t="s">
        <v>796</v>
      </c>
    </row>
    <row r="61" spans="1:5">
      <c r="A61" s="97">
        <v>46270</v>
      </c>
      <c r="B61" s="98">
        <v>239</v>
      </c>
      <c r="C61" s="98">
        <v>244</v>
      </c>
      <c r="D61" s="98" t="s">
        <v>797</v>
      </c>
      <c r="E61" s="98" t="s">
        <v>28</v>
      </c>
    </row>
    <row r="62" spans="1:5">
      <c r="A62" s="91" t="s">
        <v>798</v>
      </c>
    </row>
    <row r="63" spans="1:5">
      <c r="A63" t="s">
        <v>799</v>
      </c>
    </row>
    <row r="64" spans="1:5">
      <c r="A64" t="s">
        <v>800</v>
      </c>
    </row>
    <row r="65" spans="1:1">
      <c r="A65" t="s">
        <v>801</v>
      </c>
    </row>
    <row r="66" spans="1:1">
      <c r="A66" t="s">
        <v>802</v>
      </c>
    </row>
    <row r="67" spans="1:1">
      <c r="A67" t="s">
        <v>803</v>
      </c>
    </row>
    <row r="68" spans="1:1">
      <c r="A68" t="s">
        <v>804</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K66"/>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 min="14" max="37" width="13" customWidth="1"/>
  </cols>
  <sheetData>
    <row r="1" spans="1:8" ht="18" customHeight="1">
      <c r="A1" s="1" t="s">
        <v>805</v>
      </c>
    </row>
    <row r="2" spans="1:8" ht="15" customHeight="1">
      <c r="A2" s="2" t="s">
        <v>806</v>
      </c>
    </row>
    <row r="4" spans="1:8" ht="15" customHeight="1">
      <c r="A4" s="3" t="s">
        <v>807</v>
      </c>
      <c r="E4" t="s">
        <v>808</v>
      </c>
      <c r="F4" t="s">
        <v>1552</v>
      </c>
    </row>
    <row r="5" spans="1:8" ht="15" customHeight="1">
      <c r="A5" s="64" t="s">
        <v>809</v>
      </c>
      <c r="C5" s="4">
        <v>2</v>
      </c>
      <c r="D5" s="63" t="s">
        <v>810</v>
      </c>
      <c r="E5">
        <v>1</v>
      </c>
    </row>
    <row r="6" spans="1:8" ht="15" customHeight="1">
      <c r="A6" s="64" t="s">
        <v>811</v>
      </c>
      <c r="C6" s="4">
        <v>2</v>
      </c>
      <c r="D6" s="63" t="s">
        <v>812</v>
      </c>
      <c r="E6">
        <v>1</v>
      </c>
    </row>
    <row r="7" spans="1:8" ht="15" customHeight="1">
      <c r="A7" s="64" t="s">
        <v>813</v>
      </c>
      <c r="C7" s="4">
        <v>1</v>
      </c>
      <c r="D7" s="63" t="s">
        <v>814</v>
      </c>
      <c r="E7">
        <v>1</v>
      </c>
      <c r="H7">
        <f>SUM(D7:D22)</f>
        <v>0</v>
      </c>
    </row>
    <row r="8" spans="1:8" ht="84" customHeight="1">
      <c r="A8" s="64" t="s">
        <v>815</v>
      </c>
      <c r="C8" s="4">
        <v>1</v>
      </c>
      <c r="D8" s="63" t="s">
        <v>816</v>
      </c>
      <c r="E8">
        <v>2</v>
      </c>
    </row>
    <row r="9" spans="1:8" ht="84" customHeight="1">
      <c r="A9" s="64" t="s">
        <v>1553</v>
      </c>
      <c r="C9" s="143">
        <v>1</v>
      </c>
      <c r="D9" s="63" t="s">
        <v>1554</v>
      </c>
      <c r="E9">
        <v>1</v>
      </c>
      <c r="F9">
        <v>13</v>
      </c>
    </row>
    <row r="10" spans="1:8" ht="84" customHeight="1">
      <c r="A10" s="64" t="s">
        <v>1555</v>
      </c>
      <c r="C10" s="143">
        <v>1</v>
      </c>
      <c r="D10" s="63" t="s">
        <v>1556</v>
      </c>
      <c r="E10">
        <v>1</v>
      </c>
      <c r="F10">
        <v>13</v>
      </c>
    </row>
    <row r="11" spans="1:8" ht="84" customHeight="1">
      <c r="A11" s="64" t="s">
        <v>1569</v>
      </c>
      <c r="C11" s="143">
        <v>2</v>
      </c>
      <c r="D11" s="63" t="s">
        <v>1570</v>
      </c>
      <c r="E11">
        <v>1</v>
      </c>
      <c r="F11">
        <v>13</v>
      </c>
    </row>
    <row r="12" spans="1:8" ht="84" customHeight="1">
      <c r="A12" s="64" t="s">
        <v>1573</v>
      </c>
      <c r="C12" s="143">
        <v>2</v>
      </c>
      <c r="D12" s="63" t="s">
        <v>1574</v>
      </c>
      <c r="E12">
        <v>2</v>
      </c>
      <c r="F12">
        <v>13</v>
      </c>
    </row>
    <row r="13" spans="1:8" ht="84" customHeight="1">
      <c r="A13" s="64" t="s">
        <v>1577</v>
      </c>
      <c r="C13" s="143">
        <v>1</v>
      </c>
      <c r="D13" s="63" t="s">
        <v>1578</v>
      </c>
      <c r="E13">
        <v>2</v>
      </c>
      <c r="F13">
        <v>13</v>
      </c>
    </row>
    <row r="14" spans="1:8" ht="84" customHeight="1">
      <c r="A14" s="64" t="s">
        <v>1582</v>
      </c>
      <c r="C14" s="143">
        <v>1</v>
      </c>
      <c r="D14" s="63" t="s">
        <v>1583</v>
      </c>
      <c r="E14">
        <v>2</v>
      </c>
      <c r="F14">
        <v>13</v>
      </c>
    </row>
    <row r="15" spans="1:8" ht="84" customHeight="1">
      <c r="A15" s="64" t="s">
        <v>1587</v>
      </c>
      <c r="C15" s="143">
        <v>1</v>
      </c>
      <c r="D15" s="63" t="s">
        <v>1588</v>
      </c>
      <c r="E15">
        <v>3</v>
      </c>
      <c r="F15">
        <v>13</v>
      </c>
    </row>
    <row r="16" spans="1:8" ht="84" customHeight="1">
      <c r="A16" s="64" t="s">
        <v>1592</v>
      </c>
      <c r="C16" s="143">
        <v>1</v>
      </c>
      <c r="D16" s="63" t="s">
        <v>1593</v>
      </c>
      <c r="E16">
        <v>2</v>
      </c>
      <c r="F16">
        <v>13</v>
      </c>
    </row>
    <row r="17" spans="1:37" ht="84" customHeight="1">
      <c r="A17" s="64" t="s">
        <v>1597</v>
      </c>
      <c r="C17" s="143">
        <v>1</v>
      </c>
      <c r="D17" s="63" t="s">
        <v>1654</v>
      </c>
      <c r="E17">
        <v>2</v>
      </c>
      <c r="F17">
        <v>13</v>
      </c>
    </row>
    <row r="18" spans="1:37" ht="84" customHeight="1">
      <c r="A18" s="64" t="s">
        <v>1600</v>
      </c>
      <c r="C18" s="143">
        <v>1</v>
      </c>
      <c r="D18" s="63" t="s">
        <v>1601</v>
      </c>
      <c r="E18">
        <v>3</v>
      </c>
      <c r="F18">
        <v>13</v>
      </c>
    </row>
    <row r="19" spans="1:37" ht="84" customHeight="1">
      <c r="A19" s="64" t="s">
        <v>1605</v>
      </c>
      <c r="C19" s="143">
        <v>1</v>
      </c>
      <c r="D19" s="63" t="s">
        <v>1601</v>
      </c>
      <c r="E19">
        <v>3</v>
      </c>
      <c r="F19">
        <v>13</v>
      </c>
    </row>
    <row r="20" spans="1:37" ht="84" customHeight="1">
      <c r="A20" s="64" t="s">
        <v>1610</v>
      </c>
      <c r="C20" s="143">
        <v>1</v>
      </c>
      <c r="D20" s="63" t="s">
        <v>1611</v>
      </c>
      <c r="E20">
        <v>1</v>
      </c>
      <c r="F20">
        <v>13</v>
      </c>
    </row>
    <row r="21" spans="1:37" ht="15" customHeight="1">
      <c r="A21" s="5" t="s">
        <v>114</v>
      </c>
      <c r="B21" s="5" t="s">
        <v>1242</v>
      </c>
      <c r="C21" s="5" t="s">
        <v>817</v>
      </c>
      <c r="D21" s="5" t="s">
        <v>818</v>
      </c>
      <c r="E21" s="5" t="s">
        <v>819</v>
      </c>
      <c r="F21" s="5" t="s">
        <v>818</v>
      </c>
      <c r="G21" s="5" t="s">
        <v>820</v>
      </c>
      <c r="H21" s="5" t="s">
        <v>818</v>
      </c>
      <c r="I21" s="5" t="s">
        <v>821</v>
      </c>
      <c r="J21" s="5" t="s">
        <v>818</v>
      </c>
      <c r="K21" s="5" t="s">
        <v>261</v>
      </c>
      <c r="L21" s="87" t="s">
        <v>822</v>
      </c>
      <c r="M21" s="87" t="s">
        <v>823</v>
      </c>
      <c r="N21" s="5" t="s">
        <v>1557</v>
      </c>
      <c r="O21" s="5" t="s">
        <v>1558</v>
      </c>
      <c r="P21" s="5" t="s">
        <v>1559</v>
      </c>
      <c r="Q21" s="5" t="s">
        <v>1558</v>
      </c>
      <c r="R21" s="5" t="s">
        <v>1571</v>
      </c>
      <c r="S21" s="5" t="s">
        <v>1558</v>
      </c>
      <c r="T21" s="5" t="s">
        <v>1575</v>
      </c>
      <c r="U21" s="5" t="s">
        <v>1558</v>
      </c>
      <c r="V21" s="5" t="s">
        <v>1579</v>
      </c>
      <c r="W21" s="5" t="s">
        <v>1558</v>
      </c>
      <c r="X21" s="5" t="s">
        <v>1584</v>
      </c>
      <c r="Y21" s="5" t="s">
        <v>1558</v>
      </c>
      <c r="Z21" s="5" t="s">
        <v>1589</v>
      </c>
      <c r="AA21" s="5" t="s">
        <v>1558</v>
      </c>
      <c r="AB21" s="5" t="s">
        <v>1594</v>
      </c>
      <c r="AC21" s="5" t="s">
        <v>1558</v>
      </c>
      <c r="AD21" s="5" t="s">
        <v>1598</v>
      </c>
      <c r="AE21" s="5" t="s">
        <v>1558</v>
      </c>
      <c r="AF21" s="5" t="s">
        <v>1602</v>
      </c>
      <c r="AG21" s="5" t="s">
        <v>1558</v>
      </c>
      <c r="AH21" s="5" t="s">
        <v>1606</v>
      </c>
      <c r="AI21" s="5" t="s">
        <v>1558</v>
      </c>
      <c r="AJ21" s="5" t="s">
        <v>1612</v>
      </c>
      <c r="AK21" s="5" t="s">
        <v>1558</v>
      </c>
    </row>
    <row r="22" spans="1:37" ht="15" customHeight="1">
      <c r="A22" s="8" t="s">
        <v>115</v>
      </c>
      <c r="B22" s="73">
        <v>46263</v>
      </c>
      <c r="C22" s="16">
        <f>시작중량_설정!$D$7</f>
        <v>62</v>
      </c>
      <c r="D22" s="4"/>
      <c r="E22" s="16">
        <f>시작중량_설정!$D$8</f>
        <v>67</v>
      </c>
      <c r="F22" s="4"/>
      <c r="G22" s="16">
        <f>시작중량_설정!$D$9</f>
        <v>35</v>
      </c>
      <c r="H22" s="4"/>
      <c r="I22" s="16">
        <f>시작중량_설정!$D$10</f>
        <v>28</v>
      </c>
      <c r="J22" s="4"/>
      <c r="K22" s="65" t="s">
        <v>824</v>
      </c>
      <c r="L22" s="90"/>
      <c r="M22" s="90"/>
      <c r="N22" s="16" t="s">
        <v>27</v>
      </c>
      <c r="O22" s="4"/>
      <c r="P22" s="16" t="s">
        <v>27</v>
      </c>
      <c r="Q22" s="4"/>
      <c r="R22" s="16" t="s">
        <v>27</v>
      </c>
      <c r="S22" s="4"/>
      <c r="T22" s="16" t="s">
        <v>27</v>
      </c>
      <c r="U22" s="4"/>
      <c r="V22" s="16" t="s">
        <v>27</v>
      </c>
      <c r="W22" s="4"/>
      <c r="X22" s="16" t="s">
        <v>27</v>
      </c>
      <c r="Y22" s="4"/>
      <c r="Z22" s="16" t="s">
        <v>27</v>
      </c>
      <c r="AA22" s="4"/>
      <c r="AB22" s="16" t="s">
        <v>27</v>
      </c>
      <c r="AC22" s="4"/>
      <c r="AD22" s="16" t="s">
        <v>27</v>
      </c>
      <c r="AE22" s="4"/>
      <c r="AF22" s="16" t="s">
        <v>27</v>
      </c>
      <c r="AG22" s="4"/>
      <c r="AH22" s="16" t="s">
        <v>27</v>
      </c>
      <c r="AI22" s="4"/>
      <c r="AJ22" s="16" t="s">
        <v>27</v>
      </c>
      <c r="AK22" s="4"/>
    </row>
    <row r="23" spans="1:37" ht="15" customHeight="1">
      <c r="A23" s="8" t="s">
        <v>116</v>
      </c>
      <c r="B23" s="73">
        <v>46270</v>
      </c>
      <c r="C23" s="16">
        <f t="shared" ref="C23:C51" si="0">IF(OR(D22="",D22="O"),IF(MOD(ROW()-22,$E$6)=0,C22+$C$6+(MOD(C22+$C$6,5)=4),C22),C22)</f>
        <v>65</v>
      </c>
      <c r="D23" s="4"/>
      <c r="E23" s="16">
        <f t="shared" ref="E23:E51" si="1">IF(OR(F22="",F22="O"),IF(MOD(ROW()-22,$E$5)=0,E22+$C$5+(MOD(E22+$C$5,5)=4),E22),E22)</f>
        <v>70</v>
      </c>
      <c r="F23" s="4"/>
      <c r="G23" s="16">
        <f t="shared" ref="G23:G51" si="2">IF(OR(H22="",H22="O"),IF(MOD(ROW()-22,$E$7)=0,G22+$C$7+(MOD(G22+$C$7,5)=4),G22),G22)</f>
        <v>36</v>
      </c>
      <c r="H23" s="4"/>
      <c r="I23" s="16">
        <f t="shared" ref="I23:I51" si="3">IF(OR(J22="",J22="O"),IF(MOD(ROW()-22,$E$8)=0,I22+$C$8+(MOD(I22+$C$8,5)=4),I22),I22)</f>
        <v>28</v>
      </c>
      <c r="J23" s="4"/>
      <c r="K23" s="65"/>
      <c r="L23" s="90"/>
      <c r="M23" s="90"/>
      <c r="N23" s="16" t="s">
        <v>27</v>
      </c>
      <c r="O23" s="4"/>
      <c r="P23" s="16" t="s">
        <v>27</v>
      </c>
      <c r="Q23" s="4"/>
      <c r="R23" s="16" t="s">
        <v>27</v>
      </c>
      <c r="S23" s="4"/>
      <c r="T23" s="16" t="s">
        <v>27</v>
      </c>
      <c r="U23" s="4"/>
      <c r="V23" s="16" t="s">
        <v>27</v>
      </c>
      <c r="W23" s="4"/>
      <c r="X23" s="16" t="s">
        <v>27</v>
      </c>
      <c r="Y23" s="4"/>
      <c r="Z23" s="16" t="s">
        <v>27</v>
      </c>
      <c r="AA23" s="4"/>
      <c r="AB23" s="16" t="s">
        <v>27</v>
      </c>
      <c r="AC23" s="4"/>
      <c r="AD23" s="16" t="s">
        <v>27</v>
      </c>
      <c r="AE23" s="4"/>
      <c r="AF23" s="16" t="s">
        <v>27</v>
      </c>
      <c r="AG23" s="4"/>
      <c r="AH23" s="16" t="s">
        <v>27</v>
      </c>
      <c r="AI23" s="4"/>
      <c r="AJ23" s="16" t="s">
        <v>27</v>
      </c>
      <c r="AK23" s="4"/>
    </row>
    <row r="24" spans="1:37" ht="15" customHeight="1">
      <c r="A24" s="8" t="s">
        <v>117</v>
      </c>
      <c r="B24" s="73">
        <v>46277</v>
      </c>
      <c r="C24" s="16">
        <f t="shared" si="0"/>
        <v>67</v>
      </c>
      <c r="D24" s="4"/>
      <c r="E24" s="16">
        <f t="shared" si="1"/>
        <v>72</v>
      </c>
      <c r="F24" s="4"/>
      <c r="G24" s="16">
        <f t="shared" si="2"/>
        <v>37</v>
      </c>
      <c r="H24" s="4"/>
      <c r="I24" s="16">
        <f t="shared" si="3"/>
        <v>30</v>
      </c>
      <c r="J24" s="4"/>
      <c r="K24" s="65"/>
      <c r="L24" s="90"/>
      <c r="M24" s="90"/>
      <c r="N24" s="16" t="s">
        <v>27</v>
      </c>
      <c r="O24" s="4"/>
      <c r="P24" s="16" t="s">
        <v>27</v>
      </c>
      <c r="Q24" s="4"/>
      <c r="R24" s="16" t="s">
        <v>27</v>
      </c>
      <c r="S24" s="4"/>
      <c r="T24" s="16" t="s">
        <v>27</v>
      </c>
      <c r="U24" s="4"/>
      <c r="V24" s="16" t="s">
        <v>27</v>
      </c>
      <c r="W24" s="4"/>
      <c r="X24" s="16" t="s">
        <v>27</v>
      </c>
      <c r="Y24" s="4"/>
      <c r="Z24" s="16" t="s">
        <v>27</v>
      </c>
      <c r="AA24" s="4"/>
      <c r="AB24" s="16" t="s">
        <v>27</v>
      </c>
      <c r="AC24" s="4"/>
      <c r="AD24" s="16" t="s">
        <v>27</v>
      </c>
      <c r="AE24" s="4"/>
      <c r="AF24" s="16" t="s">
        <v>27</v>
      </c>
      <c r="AG24" s="4"/>
      <c r="AH24" s="16" t="s">
        <v>27</v>
      </c>
      <c r="AI24" s="4"/>
      <c r="AJ24" s="16" t="s">
        <v>27</v>
      </c>
      <c r="AK24" s="4"/>
    </row>
    <row r="25" spans="1:37" ht="15" customHeight="1">
      <c r="A25" s="8" t="s">
        <v>118</v>
      </c>
      <c r="B25" s="73">
        <v>46284</v>
      </c>
      <c r="C25" s="16">
        <f t="shared" si="0"/>
        <v>70</v>
      </c>
      <c r="D25" s="4"/>
      <c r="E25" s="16">
        <f t="shared" si="1"/>
        <v>75</v>
      </c>
      <c r="F25" s="4"/>
      <c r="G25" s="16">
        <f t="shared" si="2"/>
        <v>38</v>
      </c>
      <c r="H25" s="4"/>
      <c r="I25" s="16">
        <f t="shared" si="3"/>
        <v>30</v>
      </c>
      <c r="J25" s="4"/>
      <c r="K25" s="65"/>
      <c r="L25" s="90"/>
      <c r="M25" s="90"/>
      <c r="N25" s="16" t="s">
        <v>27</v>
      </c>
      <c r="O25" s="4"/>
      <c r="P25" s="16" t="s">
        <v>27</v>
      </c>
      <c r="Q25" s="4"/>
      <c r="R25" s="16" t="s">
        <v>27</v>
      </c>
      <c r="S25" s="4"/>
      <c r="T25" s="16" t="s">
        <v>27</v>
      </c>
      <c r="U25" s="4"/>
      <c r="V25" s="16" t="s">
        <v>27</v>
      </c>
      <c r="W25" s="4"/>
      <c r="X25" s="16" t="s">
        <v>27</v>
      </c>
      <c r="Y25" s="4"/>
      <c r="Z25" s="16" t="s">
        <v>27</v>
      </c>
      <c r="AA25" s="4"/>
      <c r="AB25" s="16" t="s">
        <v>27</v>
      </c>
      <c r="AC25" s="4"/>
      <c r="AD25" s="16" t="s">
        <v>27</v>
      </c>
      <c r="AE25" s="4"/>
      <c r="AF25" s="16" t="s">
        <v>27</v>
      </c>
      <c r="AG25" s="4"/>
      <c r="AH25" s="16" t="s">
        <v>27</v>
      </c>
      <c r="AI25" s="4"/>
      <c r="AJ25" s="16" t="s">
        <v>27</v>
      </c>
      <c r="AK25" s="4"/>
    </row>
    <row r="26" spans="1:37" ht="15" customHeight="1">
      <c r="A26" s="8" t="s">
        <v>119</v>
      </c>
      <c r="B26" s="73">
        <v>46291</v>
      </c>
      <c r="C26" s="16">
        <f t="shared" si="0"/>
        <v>72</v>
      </c>
      <c r="D26" s="4"/>
      <c r="E26" s="16">
        <f t="shared" si="1"/>
        <v>77</v>
      </c>
      <c r="F26" s="4"/>
      <c r="G26" s="16">
        <f t="shared" si="2"/>
        <v>40</v>
      </c>
      <c r="H26" s="4"/>
      <c r="I26" s="16">
        <f t="shared" si="3"/>
        <v>31</v>
      </c>
      <c r="J26" s="4"/>
      <c r="K26" s="65"/>
      <c r="L26" s="90"/>
      <c r="M26" s="90"/>
      <c r="N26" s="16" t="s">
        <v>27</v>
      </c>
      <c r="O26" s="4"/>
      <c r="P26" s="16" t="s">
        <v>27</v>
      </c>
      <c r="Q26" s="4"/>
      <c r="R26" s="16" t="s">
        <v>27</v>
      </c>
      <c r="S26" s="4"/>
      <c r="T26" s="16" t="s">
        <v>27</v>
      </c>
      <c r="U26" s="4"/>
      <c r="V26" s="16" t="s">
        <v>27</v>
      </c>
      <c r="W26" s="4"/>
      <c r="X26" s="16" t="s">
        <v>27</v>
      </c>
      <c r="Y26" s="4"/>
      <c r="Z26" s="16" t="s">
        <v>27</v>
      </c>
      <c r="AA26" s="4"/>
      <c r="AB26" s="16" t="s">
        <v>27</v>
      </c>
      <c r="AC26" s="4"/>
      <c r="AD26" s="16" t="s">
        <v>27</v>
      </c>
      <c r="AE26" s="4"/>
      <c r="AF26" s="16" t="s">
        <v>27</v>
      </c>
      <c r="AG26" s="4"/>
      <c r="AH26" s="16" t="s">
        <v>27</v>
      </c>
      <c r="AI26" s="4"/>
      <c r="AJ26" s="16" t="s">
        <v>27</v>
      </c>
      <c r="AK26" s="4"/>
    </row>
    <row r="27" spans="1:37" ht="15" customHeight="1">
      <c r="A27" s="8" t="s">
        <v>120</v>
      </c>
      <c r="B27" s="73">
        <v>46298</v>
      </c>
      <c r="C27" s="16">
        <f t="shared" si="0"/>
        <v>75</v>
      </c>
      <c r="D27" s="4"/>
      <c r="E27" s="16">
        <f t="shared" si="1"/>
        <v>80</v>
      </c>
      <c r="F27" s="4"/>
      <c r="G27" s="16">
        <f t="shared" si="2"/>
        <v>41</v>
      </c>
      <c r="H27" s="4"/>
      <c r="I27" s="16">
        <f t="shared" si="3"/>
        <v>31</v>
      </c>
      <c r="J27" s="4"/>
      <c r="K27" s="65"/>
      <c r="L27" s="90"/>
      <c r="M27" s="90"/>
      <c r="N27" s="16" t="s">
        <v>27</v>
      </c>
      <c r="O27" s="4"/>
      <c r="P27" s="16" t="s">
        <v>27</v>
      </c>
      <c r="Q27" s="4"/>
      <c r="R27" s="16" t="s">
        <v>27</v>
      </c>
      <c r="S27" s="4"/>
      <c r="T27" s="16" t="s">
        <v>27</v>
      </c>
      <c r="U27" s="4"/>
      <c r="V27" s="16" t="s">
        <v>27</v>
      </c>
      <c r="W27" s="4"/>
      <c r="X27" s="16" t="s">
        <v>27</v>
      </c>
      <c r="Y27" s="4"/>
      <c r="Z27" s="16" t="s">
        <v>27</v>
      </c>
      <c r="AA27" s="4"/>
      <c r="AB27" s="16" t="s">
        <v>27</v>
      </c>
      <c r="AC27" s="4"/>
      <c r="AD27" s="16" t="s">
        <v>27</v>
      </c>
      <c r="AE27" s="4"/>
      <c r="AF27" s="16" t="s">
        <v>27</v>
      </c>
      <c r="AG27" s="4"/>
      <c r="AH27" s="16" t="s">
        <v>27</v>
      </c>
      <c r="AI27" s="4"/>
      <c r="AJ27" s="16" t="s">
        <v>27</v>
      </c>
      <c r="AK27" s="4"/>
    </row>
    <row r="28" spans="1:37" ht="15" customHeight="1">
      <c r="A28" s="8" t="s">
        <v>121</v>
      </c>
      <c r="B28" s="73">
        <v>46305</v>
      </c>
      <c r="C28" s="16">
        <f t="shared" si="0"/>
        <v>77</v>
      </c>
      <c r="D28" s="4"/>
      <c r="E28" s="16">
        <f t="shared" si="1"/>
        <v>82</v>
      </c>
      <c r="F28" s="4"/>
      <c r="G28" s="16">
        <f t="shared" si="2"/>
        <v>42</v>
      </c>
      <c r="H28" s="4"/>
      <c r="I28" s="16">
        <f t="shared" si="3"/>
        <v>32</v>
      </c>
      <c r="J28" s="4"/>
      <c r="K28" s="65"/>
      <c r="L28" s="90"/>
      <c r="M28" s="90"/>
      <c r="N28" s="16" t="s">
        <v>27</v>
      </c>
      <c r="O28" s="4"/>
      <c r="P28" s="16" t="s">
        <v>27</v>
      </c>
      <c r="Q28" s="4"/>
      <c r="R28" s="16" t="s">
        <v>27</v>
      </c>
      <c r="S28" s="4"/>
      <c r="T28" s="16" t="s">
        <v>27</v>
      </c>
      <c r="U28" s="4"/>
      <c r="V28" s="16" t="s">
        <v>27</v>
      </c>
      <c r="W28" s="4"/>
      <c r="X28" s="16" t="s">
        <v>27</v>
      </c>
      <c r="Y28" s="4"/>
      <c r="Z28" s="16" t="s">
        <v>27</v>
      </c>
      <c r="AA28" s="4"/>
      <c r="AB28" s="16" t="s">
        <v>27</v>
      </c>
      <c r="AC28" s="4"/>
      <c r="AD28" s="16" t="s">
        <v>27</v>
      </c>
      <c r="AE28" s="4"/>
      <c r="AF28" s="16" t="s">
        <v>27</v>
      </c>
      <c r="AG28" s="4"/>
      <c r="AH28" s="16" t="s">
        <v>27</v>
      </c>
      <c r="AI28" s="4"/>
      <c r="AJ28" s="16" t="s">
        <v>27</v>
      </c>
      <c r="AK28" s="4"/>
    </row>
    <row r="29" spans="1:37" ht="15" customHeight="1">
      <c r="A29" s="8" t="s">
        <v>122</v>
      </c>
      <c r="B29" s="73">
        <v>46312</v>
      </c>
      <c r="C29" s="16">
        <f t="shared" si="0"/>
        <v>80</v>
      </c>
      <c r="D29" s="4"/>
      <c r="E29" s="16">
        <f t="shared" si="1"/>
        <v>85</v>
      </c>
      <c r="F29" s="4"/>
      <c r="G29" s="16">
        <f t="shared" si="2"/>
        <v>43</v>
      </c>
      <c r="H29" s="4"/>
      <c r="I29" s="16">
        <f t="shared" si="3"/>
        <v>32</v>
      </c>
      <c r="J29" s="4"/>
      <c r="K29" s="65"/>
      <c r="L29" s="90"/>
      <c r="M29" s="90"/>
      <c r="N29" s="16">
        <f>시작중량_설정!$D$11</f>
        <v>60</v>
      </c>
      <c r="O29" s="4"/>
      <c r="P29" s="16">
        <f>시작중량_설정!$D$12</f>
        <v>42</v>
      </c>
      <c r="Q29" s="4"/>
      <c r="R29" s="16">
        <f>시작중량_설정!$D$13</f>
        <v>160</v>
      </c>
      <c r="S29" s="4"/>
      <c r="T29" s="16">
        <f>시작중량_설정!$D$14</f>
        <v>140</v>
      </c>
      <c r="U29" s="4"/>
      <c r="V29" s="16">
        <f>시작중량_설정!$D$15</f>
        <v>50</v>
      </c>
      <c r="W29" s="4"/>
      <c r="X29" s="16">
        <f>시작중량_설정!$D$16</f>
        <v>25</v>
      </c>
      <c r="Y29" s="4"/>
      <c r="Z29" s="16">
        <f>시작중량_설정!$D$17</f>
        <v>25</v>
      </c>
      <c r="AA29" s="4"/>
      <c r="AB29" s="16">
        <f>시작중량_설정!$D$18</f>
        <v>50</v>
      </c>
      <c r="AC29" s="4"/>
      <c r="AD29" s="16">
        <f>시작중량_설정!$D$19</f>
        <v>0</v>
      </c>
      <c r="AE29" s="4"/>
      <c r="AF29" s="16">
        <f>시작중량_설정!$D$20</f>
        <v>15</v>
      </c>
      <c r="AG29" s="4"/>
      <c r="AH29" s="16">
        <f>시작중량_설정!$D$21</f>
        <v>15</v>
      </c>
      <c r="AI29" s="4"/>
      <c r="AJ29" s="16">
        <f>시작중량_설정!$D$22</f>
        <v>40</v>
      </c>
      <c r="AK29" s="4"/>
    </row>
    <row r="30" spans="1:37" ht="15" customHeight="1">
      <c r="A30" s="8" t="s">
        <v>123</v>
      </c>
      <c r="B30" s="73">
        <v>46319</v>
      </c>
      <c r="C30" s="16">
        <f t="shared" si="0"/>
        <v>82</v>
      </c>
      <c r="D30" s="4"/>
      <c r="E30" s="16">
        <f t="shared" si="1"/>
        <v>87</v>
      </c>
      <c r="F30" s="4"/>
      <c r="G30" s="16">
        <f t="shared" si="2"/>
        <v>45</v>
      </c>
      <c r="H30" s="4"/>
      <c r="I30" s="16">
        <f t="shared" si="3"/>
        <v>33</v>
      </c>
      <c r="J30" s="4"/>
      <c r="K30" s="65"/>
      <c r="L30" s="90"/>
      <c r="M30" s="90"/>
      <c r="N30" s="16">
        <f t="shared" ref="N30:N51" si="4">IF(OR(O29="",O29="O"),IF(MOD(ROW()-29,$E$9)=0,N29+$C$9+(MOD(N29+$C$9,5)=4),N29),N29)</f>
        <v>61</v>
      </c>
      <c r="O30" s="4"/>
      <c r="P30" s="16">
        <f t="shared" ref="P30:P51" si="5">IF(OR(Q29="",Q29="O"),IF(MOD(ROW()-29,$E$10)=0,P29+$C$10+(MOD(P29+$C$10,5)=4),P29),P29)</f>
        <v>43</v>
      </c>
      <c r="Q30" s="4"/>
      <c r="R30" s="16">
        <f t="shared" ref="R30:R51" si="6">IF(OR(S29="",S29="O"),IF(MOD(ROW()-29,$E$11)=0,R29+$C$11+(MOD(R29+$C$11,5)=4),R29),R29)</f>
        <v>162</v>
      </c>
      <c r="S30" s="4"/>
      <c r="T30" s="16">
        <f t="shared" ref="T30:T51" si="7">IF(OR(U29="",U29="O"),IF(MOD(ROW()-29,$E$12)=0,T29+$C$12+(MOD(T29+$C$12,5)=4),T29),T29)</f>
        <v>140</v>
      </c>
      <c r="U30" s="4"/>
      <c r="V30" s="16">
        <f t="shared" ref="V30:V51" si="8">IF(OR(W29="",W29="O"),IF(MOD(ROW()-29,$E$13)=0,V29+$C$13+(MOD(V29+$C$13,5)=4),V29),V29)</f>
        <v>50</v>
      </c>
      <c r="W30" s="4"/>
      <c r="X30" s="16">
        <f t="shared" ref="X30:X51" si="9">IF(OR(Y29="",Y29="O"),IF(MOD(ROW()-29,$E$14)=0,X29+$C$14+(MOD(X29+$C$14,5)=4),X29),X29)</f>
        <v>25</v>
      </c>
      <c r="Y30" s="4"/>
      <c r="Z30" s="16">
        <f t="shared" ref="Z30:Z51" si="10">IF(OR(AA29="",AA29="O"),IF(MOD(ROW()-29,$E$15)=0,Z29+$C$15+(MOD(Z29+$C$15,5)=4),Z29),Z29)</f>
        <v>25</v>
      </c>
      <c r="AA30" s="4"/>
      <c r="AB30" s="16">
        <f t="shared" ref="AB30:AB51" si="11">IF(OR(AC29="",AC29="O"),IF(MOD(ROW()-29,$E$16)=0,AB29+$C$16+(MOD(AB29+$C$16,5)=4),AB29),AB29)</f>
        <v>50</v>
      </c>
      <c r="AC30" s="4"/>
      <c r="AD30" s="16">
        <f t="shared" ref="AD30:AD51" si="12">IF(OR(AE29="",AE29="O"),IF(MOD(ROW()-29,$E$17)=0,AD29+$C$17+(MOD(AD29+$C$17,5)=4),AD29),AD29)</f>
        <v>0</v>
      </c>
      <c r="AE30" s="4"/>
      <c r="AF30" s="16">
        <f>IF(OR(AG29="",AG29="O"),IF(MOD(ROW()-29,$E$18)=0,AF29+$C$18+(MOD(AF29+$C$18,5)=4),AF29),AF29)</f>
        <v>15</v>
      </c>
      <c r="AG30" s="4"/>
      <c r="AH30" s="16">
        <f>IF(OR(AI29="",AI29="O"),IF(MOD(ROW()-29,$E$19)=0,AH29+$C$19+(MOD(AH29+$C$19,5)=4),AH29),AH29)</f>
        <v>15</v>
      </c>
      <c r="AI30" s="4"/>
      <c r="AJ30" s="16">
        <f>IF(OR(AK29="",AK29="O"),IF(MOD(ROW()-29,$E$20)=0,AJ29+$C$20+(MOD(AJ29+$C$20,5)=4),AJ29),AJ29)</f>
        <v>41</v>
      </c>
      <c r="AK30" s="4"/>
    </row>
    <row r="31" spans="1:37" ht="15" customHeight="1">
      <c r="A31" s="8" t="s">
        <v>124</v>
      </c>
      <c r="B31" s="73">
        <v>46326</v>
      </c>
      <c r="C31" s="16">
        <f t="shared" si="0"/>
        <v>85</v>
      </c>
      <c r="D31" s="4"/>
      <c r="E31" s="16">
        <f t="shared" si="1"/>
        <v>90</v>
      </c>
      <c r="F31" s="4"/>
      <c r="G31" s="16">
        <f t="shared" si="2"/>
        <v>46</v>
      </c>
      <c r="H31" s="4"/>
      <c r="I31" s="16">
        <f t="shared" si="3"/>
        <v>33</v>
      </c>
      <c r="J31" s="4"/>
      <c r="K31" s="65"/>
      <c r="L31" s="90"/>
      <c r="M31" s="90"/>
      <c r="N31" s="16">
        <f t="shared" si="4"/>
        <v>62</v>
      </c>
      <c r="O31" s="4"/>
      <c r="P31" s="16">
        <f t="shared" si="5"/>
        <v>45</v>
      </c>
      <c r="Q31" s="4"/>
      <c r="R31" s="16">
        <f t="shared" si="6"/>
        <v>165</v>
      </c>
      <c r="S31" s="4"/>
      <c r="T31" s="16">
        <f t="shared" si="7"/>
        <v>142</v>
      </c>
      <c r="U31" s="4"/>
      <c r="V31" s="16">
        <f t="shared" si="8"/>
        <v>51</v>
      </c>
      <c r="W31" s="4"/>
      <c r="X31" s="16">
        <f t="shared" si="9"/>
        <v>26</v>
      </c>
      <c r="Y31" s="4"/>
      <c r="Z31" s="16">
        <f t="shared" si="10"/>
        <v>25</v>
      </c>
      <c r="AA31" s="4"/>
      <c r="AB31" s="16">
        <f t="shared" si="11"/>
        <v>51</v>
      </c>
      <c r="AC31" s="4"/>
      <c r="AD31" s="16">
        <f t="shared" si="12"/>
        <v>1</v>
      </c>
      <c r="AE31" s="4"/>
      <c r="AF31" s="16">
        <f t="shared" ref="AF31:AF51" si="13">IF(OR(AG30="",AG30="O"),IF(MOD(ROW()-29,$E$18)=0,AF30+$C$18+(MOD(AF30+$C$18,5)=4),AF30),AF30)</f>
        <v>15</v>
      </c>
      <c r="AG31" s="4"/>
      <c r="AH31" s="16">
        <f t="shared" ref="AH31:AH51" si="14">IF(OR(AI30="",AI30="O"),IF(MOD(ROW()-29,$E$19)=0,AH30+$C$19+(MOD(AH30+$C$19,5)=4),AH30),AH30)</f>
        <v>15</v>
      </c>
      <c r="AI31" s="4"/>
      <c r="AJ31" s="16">
        <f t="shared" ref="AJ31:AJ51" si="15">IF(OR(AK30="",AK30="O"),IF(MOD(ROW()-29,$E$20)=0,AJ30+$C$20+(MOD(AJ30+$C$20,5)=4),AJ30),AJ30)</f>
        <v>42</v>
      </c>
      <c r="AK31" s="4"/>
    </row>
    <row r="32" spans="1:37" ht="15" customHeight="1">
      <c r="A32" s="8" t="s">
        <v>125</v>
      </c>
      <c r="B32" s="73">
        <v>46333</v>
      </c>
      <c r="C32" s="16">
        <f t="shared" si="0"/>
        <v>87</v>
      </c>
      <c r="D32" s="4"/>
      <c r="E32" s="16">
        <f t="shared" si="1"/>
        <v>92</v>
      </c>
      <c r="F32" s="4"/>
      <c r="G32" s="16">
        <f t="shared" si="2"/>
        <v>47</v>
      </c>
      <c r="H32" s="4"/>
      <c r="I32" s="16">
        <f t="shared" si="3"/>
        <v>35</v>
      </c>
      <c r="J32" s="4"/>
      <c r="K32" s="65"/>
      <c r="L32" s="90"/>
      <c r="M32" s="90"/>
      <c r="N32" s="16">
        <f t="shared" si="4"/>
        <v>63</v>
      </c>
      <c r="O32" s="4"/>
      <c r="P32" s="16">
        <f t="shared" si="5"/>
        <v>46</v>
      </c>
      <c r="Q32" s="4"/>
      <c r="R32" s="16">
        <f t="shared" si="6"/>
        <v>167</v>
      </c>
      <c r="S32" s="4"/>
      <c r="T32" s="16">
        <f t="shared" si="7"/>
        <v>142</v>
      </c>
      <c r="U32" s="4"/>
      <c r="V32" s="16">
        <f t="shared" si="8"/>
        <v>51</v>
      </c>
      <c r="W32" s="4"/>
      <c r="X32" s="16">
        <f t="shared" si="9"/>
        <v>26</v>
      </c>
      <c r="Y32" s="4"/>
      <c r="Z32" s="16">
        <f t="shared" si="10"/>
        <v>26</v>
      </c>
      <c r="AA32" s="4"/>
      <c r="AB32" s="16">
        <f t="shared" si="11"/>
        <v>51</v>
      </c>
      <c r="AC32" s="4"/>
      <c r="AD32" s="16">
        <f t="shared" si="12"/>
        <v>1</v>
      </c>
      <c r="AE32" s="4"/>
      <c r="AF32" s="16">
        <f t="shared" si="13"/>
        <v>16</v>
      </c>
      <c r="AG32" s="4"/>
      <c r="AH32" s="16">
        <f t="shared" si="14"/>
        <v>16</v>
      </c>
      <c r="AI32" s="4"/>
      <c r="AJ32" s="16">
        <f t="shared" si="15"/>
        <v>43</v>
      </c>
      <c r="AK32" s="4"/>
    </row>
    <row r="33" spans="1:37" ht="15" customHeight="1">
      <c r="A33" s="8" t="s">
        <v>126</v>
      </c>
      <c r="B33" s="73">
        <v>46340</v>
      </c>
      <c r="C33" s="16">
        <f t="shared" si="0"/>
        <v>90</v>
      </c>
      <c r="D33" s="4"/>
      <c r="E33" s="16">
        <f t="shared" si="1"/>
        <v>95</v>
      </c>
      <c r="F33" s="4"/>
      <c r="G33" s="16">
        <f t="shared" si="2"/>
        <v>48</v>
      </c>
      <c r="H33" s="4"/>
      <c r="I33" s="16">
        <f t="shared" si="3"/>
        <v>35</v>
      </c>
      <c r="J33" s="4"/>
      <c r="K33" s="65"/>
      <c r="L33" s="90"/>
      <c r="M33" s="90"/>
      <c r="N33" s="16">
        <f t="shared" si="4"/>
        <v>65</v>
      </c>
      <c r="O33" s="4"/>
      <c r="P33" s="16">
        <f t="shared" si="5"/>
        <v>47</v>
      </c>
      <c r="Q33" s="4"/>
      <c r="R33" s="16">
        <f t="shared" si="6"/>
        <v>170</v>
      </c>
      <c r="S33" s="4"/>
      <c r="T33" s="16">
        <f t="shared" si="7"/>
        <v>145</v>
      </c>
      <c r="U33" s="4"/>
      <c r="V33" s="16">
        <f t="shared" si="8"/>
        <v>52</v>
      </c>
      <c r="W33" s="4"/>
      <c r="X33" s="16">
        <f t="shared" si="9"/>
        <v>27</v>
      </c>
      <c r="Y33" s="4"/>
      <c r="Z33" s="16">
        <f t="shared" si="10"/>
        <v>26</v>
      </c>
      <c r="AA33" s="4"/>
      <c r="AB33" s="16">
        <f t="shared" si="11"/>
        <v>52</v>
      </c>
      <c r="AC33" s="4"/>
      <c r="AD33" s="16">
        <f t="shared" si="12"/>
        <v>2</v>
      </c>
      <c r="AE33" s="4"/>
      <c r="AF33" s="16">
        <f t="shared" si="13"/>
        <v>16</v>
      </c>
      <c r="AG33" s="4"/>
      <c r="AH33" s="16">
        <f t="shared" si="14"/>
        <v>16</v>
      </c>
      <c r="AI33" s="4"/>
      <c r="AJ33" s="16">
        <f t="shared" si="15"/>
        <v>45</v>
      </c>
      <c r="AK33" s="4"/>
    </row>
    <row r="34" spans="1:37" ht="15" customHeight="1">
      <c r="A34" s="101" t="s">
        <v>825</v>
      </c>
      <c r="B34" s="105">
        <v>46347</v>
      </c>
      <c r="C34" s="103">
        <f t="shared" si="0"/>
        <v>92</v>
      </c>
      <c r="D34" s="102"/>
      <c r="E34" s="103">
        <f t="shared" si="1"/>
        <v>97</v>
      </c>
      <c r="F34" s="102"/>
      <c r="G34" s="103">
        <f t="shared" si="2"/>
        <v>50</v>
      </c>
      <c r="H34" s="102"/>
      <c r="I34" s="103">
        <f t="shared" si="3"/>
        <v>36</v>
      </c>
      <c r="J34" s="102"/>
      <c r="K34" s="104"/>
      <c r="L34" s="90"/>
      <c r="M34" s="90"/>
      <c r="N34" s="16">
        <f t="shared" si="4"/>
        <v>66</v>
      </c>
      <c r="O34" s="102"/>
      <c r="P34" s="16">
        <f t="shared" si="5"/>
        <v>48</v>
      </c>
      <c r="Q34" s="102"/>
      <c r="R34" s="16">
        <f t="shared" si="6"/>
        <v>172</v>
      </c>
      <c r="S34" s="102"/>
      <c r="T34" s="16">
        <f t="shared" si="7"/>
        <v>145</v>
      </c>
      <c r="U34" s="102"/>
      <c r="V34" s="16">
        <f t="shared" si="8"/>
        <v>52</v>
      </c>
      <c r="W34" s="102"/>
      <c r="X34" s="16">
        <f t="shared" si="9"/>
        <v>27</v>
      </c>
      <c r="Y34" s="102"/>
      <c r="Z34" s="16">
        <f t="shared" si="10"/>
        <v>26</v>
      </c>
      <c r="AA34" s="102"/>
      <c r="AB34" s="16">
        <f t="shared" si="11"/>
        <v>52</v>
      </c>
      <c r="AC34" s="102"/>
      <c r="AD34" s="16">
        <f t="shared" si="12"/>
        <v>2</v>
      </c>
      <c r="AE34" s="102"/>
      <c r="AF34" s="16">
        <f t="shared" si="13"/>
        <v>16</v>
      </c>
      <c r="AG34" s="102"/>
      <c r="AH34" s="16">
        <f t="shared" si="14"/>
        <v>16</v>
      </c>
      <c r="AI34" s="102"/>
      <c r="AJ34" s="16">
        <f t="shared" si="15"/>
        <v>46</v>
      </c>
      <c r="AK34" s="102"/>
    </row>
    <row r="35" spans="1:37" ht="15" customHeight="1">
      <c r="A35" s="101" t="s">
        <v>826</v>
      </c>
      <c r="B35" s="105">
        <v>46354</v>
      </c>
      <c r="C35" s="103">
        <f t="shared" si="0"/>
        <v>95</v>
      </c>
      <c r="D35" s="102"/>
      <c r="E35" s="103">
        <f t="shared" si="1"/>
        <v>100</v>
      </c>
      <c r="F35" s="102"/>
      <c r="G35" s="103">
        <f t="shared" si="2"/>
        <v>51</v>
      </c>
      <c r="H35" s="102"/>
      <c r="I35" s="103">
        <f t="shared" si="3"/>
        <v>36</v>
      </c>
      <c r="J35" s="102"/>
      <c r="K35" s="104"/>
      <c r="L35" s="90"/>
      <c r="M35" s="90"/>
      <c r="N35" s="16">
        <f t="shared" si="4"/>
        <v>67</v>
      </c>
      <c r="O35" s="102"/>
      <c r="P35" s="16">
        <f t="shared" si="5"/>
        <v>50</v>
      </c>
      <c r="Q35" s="102"/>
      <c r="R35" s="16">
        <f t="shared" si="6"/>
        <v>175</v>
      </c>
      <c r="S35" s="102"/>
      <c r="T35" s="16">
        <f t="shared" si="7"/>
        <v>147</v>
      </c>
      <c r="U35" s="102"/>
      <c r="V35" s="16">
        <f t="shared" si="8"/>
        <v>53</v>
      </c>
      <c r="W35" s="102"/>
      <c r="X35" s="16">
        <f t="shared" si="9"/>
        <v>28</v>
      </c>
      <c r="Y35" s="102"/>
      <c r="Z35" s="16">
        <f t="shared" si="10"/>
        <v>27</v>
      </c>
      <c r="AA35" s="102"/>
      <c r="AB35" s="16">
        <f t="shared" si="11"/>
        <v>53</v>
      </c>
      <c r="AC35" s="102"/>
      <c r="AD35" s="16">
        <f t="shared" si="12"/>
        <v>3</v>
      </c>
      <c r="AE35" s="102"/>
      <c r="AF35" s="16">
        <f t="shared" si="13"/>
        <v>17</v>
      </c>
      <c r="AG35" s="102"/>
      <c r="AH35" s="16">
        <f t="shared" si="14"/>
        <v>17</v>
      </c>
      <c r="AI35" s="102"/>
      <c r="AJ35" s="16">
        <f t="shared" si="15"/>
        <v>47</v>
      </c>
      <c r="AK35" s="102"/>
    </row>
    <row r="36" spans="1:37" ht="15" customHeight="1">
      <c r="A36" s="101" t="s">
        <v>827</v>
      </c>
      <c r="B36" s="105">
        <v>46361</v>
      </c>
      <c r="C36" s="103">
        <f t="shared" si="0"/>
        <v>97</v>
      </c>
      <c r="D36" s="102"/>
      <c r="E36" s="103">
        <f t="shared" si="1"/>
        <v>102</v>
      </c>
      <c r="F36" s="102"/>
      <c r="G36" s="103">
        <f t="shared" si="2"/>
        <v>52</v>
      </c>
      <c r="H36" s="102"/>
      <c r="I36" s="103">
        <f t="shared" si="3"/>
        <v>37</v>
      </c>
      <c r="J36" s="102"/>
      <c r="K36" s="104"/>
      <c r="L36" s="90"/>
      <c r="M36" s="90"/>
      <c r="N36" s="16">
        <f t="shared" si="4"/>
        <v>68</v>
      </c>
      <c r="O36" s="102"/>
      <c r="P36" s="16">
        <f t="shared" si="5"/>
        <v>51</v>
      </c>
      <c r="Q36" s="102"/>
      <c r="R36" s="16">
        <f t="shared" si="6"/>
        <v>177</v>
      </c>
      <c r="S36" s="102"/>
      <c r="T36" s="16">
        <f t="shared" si="7"/>
        <v>147</v>
      </c>
      <c r="U36" s="102"/>
      <c r="V36" s="16">
        <f t="shared" si="8"/>
        <v>53</v>
      </c>
      <c r="W36" s="102"/>
      <c r="X36" s="16">
        <f t="shared" si="9"/>
        <v>28</v>
      </c>
      <c r="Y36" s="102"/>
      <c r="Z36" s="16">
        <f t="shared" si="10"/>
        <v>27</v>
      </c>
      <c r="AA36" s="102"/>
      <c r="AB36" s="16">
        <f t="shared" si="11"/>
        <v>53</v>
      </c>
      <c r="AC36" s="102"/>
      <c r="AD36" s="16">
        <f t="shared" si="12"/>
        <v>3</v>
      </c>
      <c r="AE36" s="102"/>
      <c r="AF36" s="16">
        <f t="shared" si="13"/>
        <v>17</v>
      </c>
      <c r="AG36" s="102"/>
      <c r="AH36" s="16">
        <f t="shared" si="14"/>
        <v>17</v>
      </c>
      <c r="AI36" s="102"/>
      <c r="AJ36" s="16">
        <f t="shared" si="15"/>
        <v>48</v>
      </c>
      <c r="AK36" s="102"/>
    </row>
    <row r="37" spans="1:37" ht="15" customHeight="1">
      <c r="A37" s="101" t="s">
        <v>828</v>
      </c>
      <c r="B37" s="105">
        <v>46368</v>
      </c>
      <c r="C37" s="103">
        <f t="shared" si="0"/>
        <v>100</v>
      </c>
      <c r="D37" s="102"/>
      <c r="E37" s="103">
        <f t="shared" si="1"/>
        <v>105</v>
      </c>
      <c r="F37" s="102"/>
      <c r="G37" s="103">
        <f t="shared" si="2"/>
        <v>53</v>
      </c>
      <c r="H37" s="102"/>
      <c r="I37" s="103">
        <f t="shared" si="3"/>
        <v>37</v>
      </c>
      <c r="J37" s="102"/>
      <c r="K37" s="104"/>
      <c r="L37" s="90"/>
      <c r="M37" s="90"/>
      <c r="N37" s="16">
        <f t="shared" si="4"/>
        <v>70</v>
      </c>
      <c r="O37" s="102"/>
      <c r="P37" s="16">
        <f t="shared" si="5"/>
        <v>52</v>
      </c>
      <c r="Q37" s="102"/>
      <c r="R37" s="16">
        <f t="shared" si="6"/>
        <v>180</v>
      </c>
      <c r="S37" s="102"/>
      <c r="T37" s="16">
        <f t="shared" si="7"/>
        <v>150</v>
      </c>
      <c r="U37" s="102"/>
      <c r="V37" s="16">
        <f t="shared" si="8"/>
        <v>55</v>
      </c>
      <c r="W37" s="102"/>
      <c r="X37" s="16">
        <f t="shared" si="9"/>
        <v>30</v>
      </c>
      <c r="Y37" s="102"/>
      <c r="Z37" s="16">
        <f t="shared" si="10"/>
        <v>27</v>
      </c>
      <c r="AA37" s="102"/>
      <c r="AB37" s="16">
        <f t="shared" si="11"/>
        <v>55</v>
      </c>
      <c r="AC37" s="102"/>
      <c r="AD37" s="16">
        <f t="shared" si="12"/>
        <v>5</v>
      </c>
      <c r="AE37" s="102"/>
      <c r="AF37" s="16">
        <f t="shared" si="13"/>
        <v>17</v>
      </c>
      <c r="AG37" s="102"/>
      <c r="AH37" s="16">
        <f t="shared" si="14"/>
        <v>17</v>
      </c>
      <c r="AI37" s="102"/>
      <c r="AJ37" s="16">
        <f t="shared" si="15"/>
        <v>50</v>
      </c>
      <c r="AK37" s="102"/>
    </row>
    <row r="38" spans="1:37" ht="15" customHeight="1">
      <c r="A38" s="101" t="s">
        <v>829</v>
      </c>
      <c r="B38" s="105">
        <v>46375</v>
      </c>
      <c r="C38" s="103">
        <f t="shared" si="0"/>
        <v>102</v>
      </c>
      <c r="D38" s="102"/>
      <c r="E38" s="103">
        <f t="shared" si="1"/>
        <v>107</v>
      </c>
      <c r="F38" s="102"/>
      <c r="G38" s="103">
        <f t="shared" si="2"/>
        <v>55</v>
      </c>
      <c r="H38" s="102"/>
      <c r="I38" s="103">
        <f t="shared" si="3"/>
        <v>38</v>
      </c>
      <c r="J38" s="102"/>
      <c r="K38" s="104"/>
      <c r="L38" s="90"/>
      <c r="M38" s="90"/>
      <c r="N38" s="16">
        <f t="shared" si="4"/>
        <v>71</v>
      </c>
      <c r="O38" s="102"/>
      <c r="P38" s="16">
        <f t="shared" si="5"/>
        <v>53</v>
      </c>
      <c r="Q38" s="102"/>
      <c r="R38" s="16">
        <f t="shared" si="6"/>
        <v>182</v>
      </c>
      <c r="S38" s="102"/>
      <c r="T38" s="16">
        <f t="shared" si="7"/>
        <v>150</v>
      </c>
      <c r="U38" s="102"/>
      <c r="V38" s="16">
        <f t="shared" si="8"/>
        <v>55</v>
      </c>
      <c r="W38" s="102"/>
      <c r="X38" s="16">
        <f t="shared" si="9"/>
        <v>30</v>
      </c>
      <c r="Y38" s="102"/>
      <c r="Z38" s="16">
        <f t="shared" si="10"/>
        <v>28</v>
      </c>
      <c r="AA38" s="102"/>
      <c r="AB38" s="16">
        <f t="shared" si="11"/>
        <v>55</v>
      </c>
      <c r="AC38" s="102"/>
      <c r="AD38" s="16">
        <f t="shared" si="12"/>
        <v>5</v>
      </c>
      <c r="AE38" s="102"/>
      <c r="AF38" s="16">
        <f t="shared" si="13"/>
        <v>18</v>
      </c>
      <c r="AG38" s="102"/>
      <c r="AH38" s="16">
        <f t="shared" si="14"/>
        <v>18</v>
      </c>
      <c r="AI38" s="102"/>
      <c r="AJ38" s="16">
        <f t="shared" si="15"/>
        <v>51</v>
      </c>
      <c r="AK38" s="102"/>
    </row>
    <row r="39" spans="1:37" ht="15" customHeight="1">
      <c r="A39" s="101" t="s">
        <v>830</v>
      </c>
      <c r="B39" s="105">
        <v>46382</v>
      </c>
      <c r="C39" s="103">
        <f t="shared" si="0"/>
        <v>105</v>
      </c>
      <c r="D39" s="102"/>
      <c r="E39" s="103">
        <f t="shared" si="1"/>
        <v>110</v>
      </c>
      <c r="F39" s="102"/>
      <c r="G39" s="103">
        <f t="shared" si="2"/>
        <v>56</v>
      </c>
      <c r="H39" s="102"/>
      <c r="I39" s="103">
        <f t="shared" si="3"/>
        <v>38</v>
      </c>
      <c r="J39" s="102"/>
      <c r="K39" s="104"/>
      <c r="L39" s="90"/>
      <c r="M39" s="90"/>
      <c r="N39" s="16">
        <f t="shared" si="4"/>
        <v>72</v>
      </c>
      <c r="O39" s="102"/>
      <c r="P39" s="16">
        <f t="shared" si="5"/>
        <v>55</v>
      </c>
      <c r="Q39" s="102"/>
      <c r="R39" s="16">
        <f t="shared" si="6"/>
        <v>185</v>
      </c>
      <c r="S39" s="102"/>
      <c r="T39" s="16">
        <f t="shared" si="7"/>
        <v>152</v>
      </c>
      <c r="U39" s="102"/>
      <c r="V39" s="16">
        <f t="shared" si="8"/>
        <v>56</v>
      </c>
      <c r="W39" s="102"/>
      <c r="X39" s="16">
        <f t="shared" si="9"/>
        <v>31</v>
      </c>
      <c r="Y39" s="102"/>
      <c r="Z39" s="16">
        <f t="shared" si="10"/>
        <v>28</v>
      </c>
      <c r="AA39" s="102"/>
      <c r="AB39" s="16">
        <f t="shared" si="11"/>
        <v>56</v>
      </c>
      <c r="AC39" s="102"/>
      <c r="AD39" s="16">
        <f t="shared" si="12"/>
        <v>6</v>
      </c>
      <c r="AE39" s="102"/>
      <c r="AF39" s="16">
        <f t="shared" si="13"/>
        <v>18</v>
      </c>
      <c r="AG39" s="102"/>
      <c r="AH39" s="16">
        <f t="shared" si="14"/>
        <v>18</v>
      </c>
      <c r="AI39" s="102"/>
      <c r="AJ39" s="16">
        <f t="shared" si="15"/>
        <v>52</v>
      </c>
      <c r="AK39" s="102"/>
    </row>
    <row r="40" spans="1:37" ht="15" customHeight="1">
      <c r="A40" s="101" t="s">
        <v>831</v>
      </c>
      <c r="B40" s="105">
        <v>46389</v>
      </c>
      <c r="C40" s="103">
        <f t="shared" si="0"/>
        <v>107</v>
      </c>
      <c r="D40" s="102"/>
      <c r="E40" s="103">
        <f t="shared" si="1"/>
        <v>112</v>
      </c>
      <c r="F40" s="102"/>
      <c r="G40" s="103">
        <f t="shared" si="2"/>
        <v>57</v>
      </c>
      <c r="H40" s="102"/>
      <c r="I40" s="103">
        <f t="shared" si="3"/>
        <v>40</v>
      </c>
      <c r="J40" s="102"/>
      <c r="K40" s="104"/>
      <c r="L40" s="90"/>
      <c r="M40" s="90"/>
      <c r="N40" s="16">
        <f t="shared" si="4"/>
        <v>73</v>
      </c>
      <c r="O40" s="102"/>
      <c r="P40" s="16">
        <f t="shared" si="5"/>
        <v>56</v>
      </c>
      <c r="Q40" s="102"/>
      <c r="R40" s="16">
        <f t="shared" si="6"/>
        <v>187</v>
      </c>
      <c r="S40" s="102"/>
      <c r="T40" s="16">
        <f t="shared" si="7"/>
        <v>152</v>
      </c>
      <c r="U40" s="102"/>
      <c r="V40" s="16">
        <f t="shared" si="8"/>
        <v>56</v>
      </c>
      <c r="W40" s="102"/>
      <c r="X40" s="16">
        <f t="shared" si="9"/>
        <v>31</v>
      </c>
      <c r="Y40" s="102"/>
      <c r="Z40" s="16">
        <f t="shared" si="10"/>
        <v>28</v>
      </c>
      <c r="AA40" s="102"/>
      <c r="AB40" s="16">
        <f t="shared" si="11"/>
        <v>56</v>
      </c>
      <c r="AC40" s="102"/>
      <c r="AD40" s="16">
        <f t="shared" si="12"/>
        <v>6</v>
      </c>
      <c r="AE40" s="102"/>
      <c r="AF40" s="16">
        <f t="shared" si="13"/>
        <v>18</v>
      </c>
      <c r="AG40" s="102"/>
      <c r="AH40" s="16">
        <f t="shared" si="14"/>
        <v>18</v>
      </c>
      <c r="AI40" s="102"/>
      <c r="AJ40" s="16">
        <f t="shared" si="15"/>
        <v>53</v>
      </c>
      <c r="AK40" s="102"/>
    </row>
    <row r="41" spans="1:37" ht="15" customHeight="1">
      <c r="A41" s="101" t="s">
        <v>832</v>
      </c>
      <c r="B41" s="105">
        <v>46396</v>
      </c>
      <c r="C41" s="103">
        <f t="shared" si="0"/>
        <v>110</v>
      </c>
      <c r="D41" s="102"/>
      <c r="E41" s="103">
        <f t="shared" si="1"/>
        <v>115</v>
      </c>
      <c r="F41" s="102"/>
      <c r="G41" s="103">
        <f t="shared" si="2"/>
        <v>58</v>
      </c>
      <c r="H41" s="102"/>
      <c r="I41" s="103">
        <f t="shared" si="3"/>
        <v>40</v>
      </c>
      <c r="J41" s="102"/>
      <c r="K41" s="104"/>
      <c r="L41" s="90"/>
      <c r="M41" s="90"/>
      <c r="N41" s="16">
        <f t="shared" si="4"/>
        <v>75</v>
      </c>
      <c r="O41" s="102"/>
      <c r="P41" s="16">
        <f t="shared" si="5"/>
        <v>57</v>
      </c>
      <c r="Q41" s="102"/>
      <c r="R41" s="16">
        <f t="shared" si="6"/>
        <v>190</v>
      </c>
      <c r="S41" s="102"/>
      <c r="T41" s="16">
        <f t="shared" si="7"/>
        <v>155</v>
      </c>
      <c r="U41" s="102"/>
      <c r="V41" s="16">
        <f t="shared" si="8"/>
        <v>57</v>
      </c>
      <c r="W41" s="102"/>
      <c r="X41" s="16">
        <f t="shared" si="9"/>
        <v>32</v>
      </c>
      <c r="Y41" s="102"/>
      <c r="Z41" s="16">
        <f t="shared" si="10"/>
        <v>30</v>
      </c>
      <c r="AA41" s="102"/>
      <c r="AB41" s="16">
        <f t="shared" si="11"/>
        <v>57</v>
      </c>
      <c r="AC41" s="102"/>
      <c r="AD41" s="16">
        <f t="shared" si="12"/>
        <v>7</v>
      </c>
      <c r="AE41" s="102"/>
      <c r="AF41" s="16">
        <f t="shared" si="13"/>
        <v>20</v>
      </c>
      <c r="AG41" s="102"/>
      <c r="AH41" s="16">
        <f t="shared" si="14"/>
        <v>20</v>
      </c>
      <c r="AI41" s="102"/>
      <c r="AJ41" s="16">
        <f t="shared" si="15"/>
        <v>55</v>
      </c>
      <c r="AK41" s="102"/>
    </row>
    <row r="42" spans="1:37" ht="15" customHeight="1">
      <c r="A42" s="101" t="s">
        <v>833</v>
      </c>
      <c r="B42" s="105">
        <v>46403</v>
      </c>
      <c r="C42" s="103">
        <f t="shared" si="0"/>
        <v>112</v>
      </c>
      <c r="D42" s="102"/>
      <c r="E42" s="103">
        <f t="shared" si="1"/>
        <v>117</v>
      </c>
      <c r="F42" s="102"/>
      <c r="G42" s="103">
        <f t="shared" si="2"/>
        <v>60</v>
      </c>
      <c r="H42" s="102"/>
      <c r="I42" s="103">
        <f t="shared" si="3"/>
        <v>41</v>
      </c>
      <c r="J42" s="102"/>
      <c r="K42" s="104"/>
      <c r="L42" s="90"/>
      <c r="M42" s="90"/>
      <c r="N42" s="16">
        <f t="shared" si="4"/>
        <v>76</v>
      </c>
      <c r="O42" s="102"/>
      <c r="P42" s="16">
        <f t="shared" si="5"/>
        <v>58</v>
      </c>
      <c r="Q42" s="102"/>
      <c r="R42" s="16">
        <f t="shared" si="6"/>
        <v>192</v>
      </c>
      <c r="S42" s="102"/>
      <c r="T42" s="16">
        <f t="shared" si="7"/>
        <v>155</v>
      </c>
      <c r="U42" s="102"/>
      <c r="V42" s="16">
        <f t="shared" si="8"/>
        <v>57</v>
      </c>
      <c r="W42" s="102"/>
      <c r="X42" s="16">
        <f t="shared" si="9"/>
        <v>32</v>
      </c>
      <c r="Y42" s="102"/>
      <c r="Z42" s="16">
        <f t="shared" si="10"/>
        <v>30</v>
      </c>
      <c r="AA42" s="102"/>
      <c r="AB42" s="16">
        <f t="shared" si="11"/>
        <v>57</v>
      </c>
      <c r="AC42" s="102"/>
      <c r="AD42" s="16">
        <f t="shared" si="12"/>
        <v>7</v>
      </c>
      <c r="AE42" s="102"/>
      <c r="AF42" s="16">
        <f t="shared" si="13"/>
        <v>20</v>
      </c>
      <c r="AG42" s="102"/>
      <c r="AH42" s="16">
        <f t="shared" si="14"/>
        <v>20</v>
      </c>
      <c r="AI42" s="102"/>
      <c r="AJ42" s="16">
        <f t="shared" si="15"/>
        <v>56</v>
      </c>
      <c r="AK42" s="102"/>
    </row>
    <row r="43" spans="1:37" ht="15" customHeight="1">
      <c r="A43" s="101" t="s">
        <v>834</v>
      </c>
      <c r="B43" s="105">
        <v>46410</v>
      </c>
      <c r="C43" s="103">
        <f t="shared" si="0"/>
        <v>115</v>
      </c>
      <c r="D43" s="102"/>
      <c r="E43" s="103">
        <f t="shared" si="1"/>
        <v>120</v>
      </c>
      <c r="F43" s="102"/>
      <c r="G43" s="103">
        <f t="shared" si="2"/>
        <v>61</v>
      </c>
      <c r="H43" s="102"/>
      <c r="I43" s="103">
        <f t="shared" si="3"/>
        <v>41</v>
      </c>
      <c r="J43" s="102"/>
      <c r="K43" s="104"/>
      <c r="L43" s="90"/>
      <c r="M43" s="90"/>
      <c r="N43" s="16">
        <f t="shared" si="4"/>
        <v>77</v>
      </c>
      <c r="O43" s="102"/>
      <c r="P43" s="16">
        <f t="shared" si="5"/>
        <v>60</v>
      </c>
      <c r="Q43" s="102"/>
      <c r="R43" s="16">
        <f t="shared" si="6"/>
        <v>195</v>
      </c>
      <c r="S43" s="102"/>
      <c r="T43" s="16">
        <f t="shared" si="7"/>
        <v>157</v>
      </c>
      <c r="U43" s="102"/>
      <c r="V43" s="16">
        <f t="shared" si="8"/>
        <v>58</v>
      </c>
      <c r="W43" s="102"/>
      <c r="X43" s="16">
        <f t="shared" si="9"/>
        <v>33</v>
      </c>
      <c r="Y43" s="102"/>
      <c r="Z43" s="16">
        <f t="shared" si="10"/>
        <v>30</v>
      </c>
      <c r="AA43" s="102"/>
      <c r="AB43" s="16">
        <f t="shared" si="11"/>
        <v>58</v>
      </c>
      <c r="AC43" s="102"/>
      <c r="AD43" s="16">
        <f t="shared" si="12"/>
        <v>8</v>
      </c>
      <c r="AE43" s="102"/>
      <c r="AF43" s="16">
        <f t="shared" si="13"/>
        <v>20</v>
      </c>
      <c r="AG43" s="102"/>
      <c r="AH43" s="16">
        <f t="shared" si="14"/>
        <v>20</v>
      </c>
      <c r="AI43" s="102"/>
      <c r="AJ43" s="16">
        <f t="shared" si="15"/>
        <v>57</v>
      </c>
      <c r="AK43" s="102"/>
    </row>
    <row r="44" spans="1:37" ht="15" customHeight="1">
      <c r="A44" s="101" t="s">
        <v>835</v>
      </c>
      <c r="B44" s="105">
        <v>46417</v>
      </c>
      <c r="C44" s="103">
        <f t="shared" si="0"/>
        <v>117</v>
      </c>
      <c r="D44" s="102"/>
      <c r="E44" s="103">
        <f t="shared" si="1"/>
        <v>122</v>
      </c>
      <c r="F44" s="102"/>
      <c r="G44" s="103">
        <f t="shared" si="2"/>
        <v>62</v>
      </c>
      <c r="H44" s="102"/>
      <c r="I44" s="103">
        <f t="shared" si="3"/>
        <v>42</v>
      </c>
      <c r="J44" s="102"/>
      <c r="K44" s="104"/>
      <c r="L44" s="90"/>
      <c r="M44" s="90"/>
      <c r="N44" s="16">
        <f t="shared" si="4"/>
        <v>78</v>
      </c>
      <c r="O44" s="102"/>
      <c r="P44" s="16">
        <f t="shared" si="5"/>
        <v>61</v>
      </c>
      <c r="Q44" s="102"/>
      <c r="R44" s="16">
        <f t="shared" si="6"/>
        <v>197</v>
      </c>
      <c r="S44" s="102"/>
      <c r="T44" s="16">
        <f t="shared" si="7"/>
        <v>157</v>
      </c>
      <c r="U44" s="102"/>
      <c r="V44" s="16">
        <f t="shared" si="8"/>
        <v>58</v>
      </c>
      <c r="W44" s="102"/>
      <c r="X44" s="16">
        <f t="shared" si="9"/>
        <v>33</v>
      </c>
      <c r="Y44" s="102"/>
      <c r="Z44" s="16">
        <f t="shared" si="10"/>
        <v>31</v>
      </c>
      <c r="AA44" s="102"/>
      <c r="AB44" s="16">
        <f t="shared" si="11"/>
        <v>58</v>
      </c>
      <c r="AC44" s="102"/>
      <c r="AD44" s="16">
        <f t="shared" si="12"/>
        <v>8</v>
      </c>
      <c r="AE44" s="102"/>
      <c r="AF44" s="16">
        <f t="shared" si="13"/>
        <v>21</v>
      </c>
      <c r="AG44" s="102"/>
      <c r="AH44" s="16">
        <f t="shared" si="14"/>
        <v>21</v>
      </c>
      <c r="AI44" s="102"/>
      <c r="AJ44" s="16">
        <f t="shared" si="15"/>
        <v>58</v>
      </c>
      <c r="AK44" s="102"/>
    </row>
    <row r="45" spans="1:37" ht="15" customHeight="1">
      <c r="A45" s="101" t="s">
        <v>836</v>
      </c>
      <c r="B45" s="105">
        <v>46424</v>
      </c>
      <c r="C45" s="103">
        <f t="shared" si="0"/>
        <v>120</v>
      </c>
      <c r="D45" s="102"/>
      <c r="E45" s="103">
        <f t="shared" si="1"/>
        <v>125</v>
      </c>
      <c r="F45" s="102"/>
      <c r="G45" s="103">
        <f t="shared" si="2"/>
        <v>63</v>
      </c>
      <c r="H45" s="102"/>
      <c r="I45" s="103">
        <f t="shared" si="3"/>
        <v>42</v>
      </c>
      <c r="J45" s="102"/>
      <c r="K45" s="104"/>
      <c r="L45" s="90"/>
      <c r="M45" s="90"/>
      <c r="N45" s="16">
        <f t="shared" si="4"/>
        <v>80</v>
      </c>
      <c r="O45" s="102"/>
      <c r="P45" s="16">
        <f t="shared" si="5"/>
        <v>62</v>
      </c>
      <c r="Q45" s="102"/>
      <c r="R45" s="16">
        <f t="shared" si="6"/>
        <v>200</v>
      </c>
      <c r="S45" s="102"/>
      <c r="T45" s="16">
        <f t="shared" si="7"/>
        <v>160</v>
      </c>
      <c r="U45" s="102"/>
      <c r="V45" s="16">
        <f t="shared" si="8"/>
        <v>60</v>
      </c>
      <c r="W45" s="102"/>
      <c r="X45" s="16">
        <f t="shared" si="9"/>
        <v>35</v>
      </c>
      <c r="Y45" s="102"/>
      <c r="Z45" s="16">
        <f t="shared" si="10"/>
        <v>31</v>
      </c>
      <c r="AA45" s="102"/>
      <c r="AB45" s="16">
        <f t="shared" si="11"/>
        <v>60</v>
      </c>
      <c r="AC45" s="102"/>
      <c r="AD45" s="16">
        <f t="shared" si="12"/>
        <v>10</v>
      </c>
      <c r="AE45" s="102"/>
      <c r="AF45" s="16">
        <f t="shared" si="13"/>
        <v>21</v>
      </c>
      <c r="AG45" s="102"/>
      <c r="AH45" s="16">
        <f t="shared" si="14"/>
        <v>21</v>
      </c>
      <c r="AI45" s="102"/>
      <c r="AJ45" s="16">
        <f t="shared" si="15"/>
        <v>60</v>
      </c>
      <c r="AK45" s="102"/>
    </row>
    <row r="46" spans="1:37" ht="15" customHeight="1">
      <c r="A46" s="101" t="s">
        <v>837</v>
      </c>
      <c r="B46" s="105">
        <v>46431</v>
      </c>
      <c r="C46" s="103">
        <f t="shared" si="0"/>
        <v>122</v>
      </c>
      <c r="D46" s="102"/>
      <c r="E46" s="103">
        <f t="shared" si="1"/>
        <v>127</v>
      </c>
      <c r="F46" s="102"/>
      <c r="G46" s="103">
        <f t="shared" si="2"/>
        <v>65</v>
      </c>
      <c r="H46" s="102"/>
      <c r="I46" s="103">
        <f t="shared" si="3"/>
        <v>43</v>
      </c>
      <c r="J46" s="102"/>
      <c r="K46" s="104"/>
      <c r="L46" s="90"/>
      <c r="M46" s="90"/>
      <c r="N46" s="16">
        <f t="shared" si="4"/>
        <v>81</v>
      </c>
      <c r="O46" s="102"/>
      <c r="P46" s="16">
        <f t="shared" si="5"/>
        <v>63</v>
      </c>
      <c r="Q46" s="102"/>
      <c r="R46" s="16">
        <f t="shared" si="6"/>
        <v>202</v>
      </c>
      <c r="S46" s="102"/>
      <c r="T46" s="16">
        <f t="shared" si="7"/>
        <v>160</v>
      </c>
      <c r="U46" s="102"/>
      <c r="V46" s="16">
        <f t="shared" si="8"/>
        <v>60</v>
      </c>
      <c r="W46" s="102"/>
      <c r="X46" s="16">
        <f t="shared" si="9"/>
        <v>35</v>
      </c>
      <c r="Y46" s="102"/>
      <c r="Z46" s="16">
        <f t="shared" si="10"/>
        <v>31</v>
      </c>
      <c r="AA46" s="102"/>
      <c r="AB46" s="16">
        <f t="shared" si="11"/>
        <v>60</v>
      </c>
      <c r="AC46" s="102"/>
      <c r="AD46" s="16">
        <f t="shared" si="12"/>
        <v>10</v>
      </c>
      <c r="AE46" s="102"/>
      <c r="AF46" s="16">
        <f t="shared" si="13"/>
        <v>21</v>
      </c>
      <c r="AG46" s="102"/>
      <c r="AH46" s="16">
        <f t="shared" si="14"/>
        <v>21</v>
      </c>
      <c r="AI46" s="102"/>
      <c r="AJ46" s="16">
        <f t="shared" si="15"/>
        <v>61</v>
      </c>
      <c r="AK46" s="102"/>
    </row>
    <row r="47" spans="1:37" ht="15" customHeight="1">
      <c r="A47" s="101" t="s">
        <v>838</v>
      </c>
      <c r="B47" s="105">
        <v>46438</v>
      </c>
      <c r="C47" s="103">
        <f t="shared" si="0"/>
        <v>125</v>
      </c>
      <c r="D47" s="102"/>
      <c r="E47" s="103">
        <f t="shared" si="1"/>
        <v>130</v>
      </c>
      <c r="F47" s="102"/>
      <c r="G47" s="103">
        <f t="shared" si="2"/>
        <v>66</v>
      </c>
      <c r="H47" s="102"/>
      <c r="I47" s="103">
        <f t="shared" si="3"/>
        <v>43</v>
      </c>
      <c r="J47" s="102"/>
      <c r="K47" s="104"/>
      <c r="L47" s="90"/>
      <c r="M47" s="90"/>
      <c r="N47" s="16">
        <f t="shared" si="4"/>
        <v>82</v>
      </c>
      <c r="O47" s="102"/>
      <c r="P47" s="16">
        <f t="shared" si="5"/>
        <v>65</v>
      </c>
      <c r="Q47" s="102"/>
      <c r="R47" s="16">
        <f t="shared" si="6"/>
        <v>205</v>
      </c>
      <c r="S47" s="102"/>
      <c r="T47" s="16">
        <f t="shared" si="7"/>
        <v>162</v>
      </c>
      <c r="U47" s="102"/>
      <c r="V47" s="16">
        <f t="shared" si="8"/>
        <v>61</v>
      </c>
      <c r="W47" s="102"/>
      <c r="X47" s="16">
        <f t="shared" si="9"/>
        <v>36</v>
      </c>
      <c r="Y47" s="102"/>
      <c r="Z47" s="16">
        <f t="shared" si="10"/>
        <v>32</v>
      </c>
      <c r="AA47" s="102"/>
      <c r="AB47" s="16">
        <f t="shared" si="11"/>
        <v>61</v>
      </c>
      <c r="AC47" s="102"/>
      <c r="AD47" s="16">
        <f t="shared" si="12"/>
        <v>11</v>
      </c>
      <c r="AE47" s="102"/>
      <c r="AF47" s="16">
        <f t="shared" si="13"/>
        <v>22</v>
      </c>
      <c r="AG47" s="102"/>
      <c r="AH47" s="16">
        <f t="shared" si="14"/>
        <v>22</v>
      </c>
      <c r="AI47" s="102"/>
      <c r="AJ47" s="16">
        <f t="shared" si="15"/>
        <v>62</v>
      </c>
      <c r="AK47" s="102"/>
    </row>
    <row r="48" spans="1:37" ht="15" customHeight="1">
      <c r="A48" s="101" t="s">
        <v>839</v>
      </c>
      <c r="B48" s="105">
        <v>46445</v>
      </c>
      <c r="C48" s="103">
        <f t="shared" si="0"/>
        <v>127</v>
      </c>
      <c r="D48" s="102"/>
      <c r="E48" s="103">
        <f t="shared" si="1"/>
        <v>132</v>
      </c>
      <c r="F48" s="102"/>
      <c r="G48" s="103">
        <f t="shared" si="2"/>
        <v>67</v>
      </c>
      <c r="H48" s="102"/>
      <c r="I48" s="103">
        <f t="shared" si="3"/>
        <v>45</v>
      </c>
      <c r="J48" s="102"/>
      <c r="K48" s="104"/>
      <c r="L48" s="90"/>
      <c r="M48" s="90"/>
      <c r="N48" s="16">
        <f t="shared" si="4"/>
        <v>83</v>
      </c>
      <c r="O48" s="102"/>
      <c r="P48" s="16">
        <f t="shared" si="5"/>
        <v>66</v>
      </c>
      <c r="Q48" s="102"/>
      <c r="R48" s="16">
        <f t="shared" si="6"/>
        <v>207</v>
      </c>
      <c r="S48" s="102"/>
      <c r="T48" s="16">
        <f t="shared" si="7"/>
        <v>162</v>
      </c>
      <c r="U48" s="102"/>
      <c r="V48" s="16">
        <f t="shared" si="8"/>
        <v>61</v>
      </c>
      <c r="W48" s="102"/>
      <c r="X48" s="16">
        <f t="shared" si="9"/>
        <v>36</v>
      </c>
      <c r="Y48" s="102"/>
      <c r="Z48" s="16">
        <f t="shared" si="10"/>
        <v>32</v>
      </c>
      <c r="AA48" s="102"/>
      <c r="AB48" s="16">
        <f t="shared" si="11"/>
        <v>61</v>
      </c>
      <c r="AC48" s="102"/>
      <c r="AD48" s="16">
        <f t="shared" si="12"/>
        <v>11</v>
      </c>
      <c r="AE48" s="102"/>
      <c r="AF48" s="16">
        <f t="shared" si="13"/>
        <v>22</v>
      </c>
      <c r="AG48" s="102"/>
      <c r="AH48" s="16">
        <f t="shared" si="14"/>
        <v>22</v>
      </c>
      <c r="AI48" s="102"/>
      <c r="AJ48" s="16">
        <f t="shared" si="15"/>
        <v>63</v>
      </c>
      <c r="AK48" s="102"/>
    </row>
    <row r="49" spans="1:37" ht="15" customHeight="1">
      <c r="A49" s="101" t="s">
        <v>840</v>
      </c>
      <c r="B49" s="105">
        <v>46452</v>
      </c>
      <c r="C49" s="103">
        <f t="shared" si="0"/>
        <v>130</v>
      </c>
      <c r="D49" s="102"/>
      <c r="E49" s="103">
        <f t="shared" si="1"/>
        <v>135</v>
      </c>
      <c r="F49" s="102"/>
      <c r="G49" s="103">
        <f t="shared" si="2"/>
        <v>68</v>
      </c>
      <c r="H49" s="102"/>
      <c r="I49" s="103">
        <f t="shared" si="3"/>
        <v>45</v>
      </c>
      <c r="J49" s="102"/>
      <c r="K49" s="104"/>
      <c r="L49" s="90"/>
      <c r="M49" s="90"/>
      <c r="N49" s="16">
        <f t="shared" si="4"/>
        <v>85</v>
      </c>
      <c r="O49" s="102"/>
      <c r="P49" s="16">
        <f t="shared" si="5"/>
        <v>67</v>
      </c>
      <c r="Q49" s="102"/>
      <c r="R49" s="16">
        <f t="shared" si="6"/>
        <v>210</v>
      </c>
      <c r="S49" s="102"/>
      <c r="T49" s="16">
        <f t="shared" si="7"/>
        <v>165</v>
      </c>
      <c r="U49" s="102"/>
      <c r="V49" s="16">
        <f t="shared" si="8"/>
        <v>62</v>
      </c>
      <c r="W49" s="102"/>
      <c r="X49" s="16">
        <f t="shared" si="9"/>
        <v>37</v>
      </c>
      <c r="Y49" s="102"/>
      <c r="Z49" s="16">
        <f t="shared" si="10"/>
        <v>32</v>
      </c>
      <c r="AA49" s="102"/>
      <c r="AB49" s="16">
        <f t="shared" si="11"/>
        <v>62</v>
      </c>
      <c r="AC49" s="102"/>
      <c r="AD49" s="16">
        <f t="shared" si="12"/>
        <v>12</v>
      </c>
      <c r="AE49" s="102"/>
      <c r="AF49" s="16">
        <f t="shared" si="13"/>
        <v>22</v>
      </c>
      <c r="AG49" s="102"/>
      <c r="AH49" s="16">
        <f t="shared" si="14"/>
        <v>22</v>
      </c>
      <c r="AI49" s="102"/>
      <c r="AJ49" s="16">
        <f t="shared" si="15"/>
        <v>65</v>
      </c>
      <c r="AK49" s="102"/>
    </row>
    <row r="50" spans="1:37" ht="15" customHeight="1">
      <c r="A50" s="101" t="s">
        <v>841</v>
      </c>
      <c r="B50" s="105">
        <v>46459</v>
      </c>
      <c r="C50" s="103">
        <f t="shared" si="0"/>
        <v>132</v>
      </c>
      <c r="D50" s="102"/>
      <c r="E50" s="103">
        <f t="shared" si="1"/>
        <v>137</v>
      </c>
      <c r="F50" s="102"/>
      <c r="G50" s="103">
        <f t="shared" si="2"/>
        <v>70</v>
      </c>
      <c r="H50" s="102"/>
      <c r="I50" s="103">
        <f t="shared" si="3"/>
        <v>46</v>
      </c>
      <c r="J50" s="102"/>
      <c r="K50" s="104"/>
      <c r="L50" s="90"/>
      <c r="M50" s="90"/>
      <c r="N50" s="16">
        <f t="shared" si="4"/>
        <v>86</v>
      </c>
      <c r="O50" s="102"/>
      <c r="P50" s="16">
        <f t="shared" si="5"/>
        <v>68</v>
      </c>
      <c r="Q50" s="102"/>
      <c r="R50" s="16">
        <f t="shared" si="6"/>
        <v>212</v>
      </c>
      <c r="S50" s="102"/>
      <c r="T50" s="16">
        <f t="shared" si="7"/>
        <v>165</v>
      </c>
      <c r="U50" s="102"/>
      <c r="V50" s="16">
        <f t="shared" si="8"/>
        <v>62</v>
      </c>
      <c r="W50" s="102"/>
      <c r="X50" s="16">
        <f t="shared" si="9"/>
        <v>37</v>
      </c>
      <c r="Y50" s="102"/>
      <c r="Z50" s="16">
        <f t="shared" si="10"/>
        <v>33</v>
      </c>
      <c r="AA50" s="102"/>
      <c r="AB50" s="16">
        <f t="shared" si="11"/>
        <v>62</v>
      </c>
      <c r="AC50" s="102"/>
      <c r="AD50" s="16">
        <f t="shared" si="12"/>
        <v>12</v>
      </c>
      <c r="AE50" s="102"/>
      <c r="AF50" s="16">
        <f t="shared" si="13"/>
        <v>23</v>
      </c>
      <c r="AG50" s="102"/>
      <c r="AH50" s="16">
        <f t="shared" si="14"/>
        <v>23</v>
      </c>
      <c r="AI50" s="102"/>
      <c r="AJ50" s="16">
        <f t="shared" si="15"/>
        <v>66</v>
      </c>
      <c r="AK50" s="102"/>
    </row>
    <row r="51" spans="1:37" ht="15" customHeight="1">
      <c r="A51" s="101" t="s">
        <v>842</v>
      </c>
      <c r="B51" s="105">
        <v>46466</v>
      </c>
      <c r="C51" s="103">
        <f t="shared" si="0"/>
        <v>135</v>
      </c>
      <c r="D51" s="102"/>
      <c r="E51" s="103">
        <f t="shared" si="1"/>
        <v>140</v>
      </c>
      <c r="F51" s="102"/>
      <c r="G51" s="103">
        <f t="shared" si="2"/>
        <v>71</v>
      </c>
      <c r="H51" s="102"/>
      <c r="I51" s="103">
        <f t="shared" si="3"/>
        <v>46</v>
      </c>
      <c r="J51" s="102"/>
      <c r="K51" s="104"/>
      <c r="L51" s="90"/>
      <c r="M51" s="90"/>
      <c r="N51" s="16">
        <f t="shared" si="4"/>
        <v>87</v>
      </c>
      <c r="O51" s="102"/>
      <c r="P51" s="16">
        <f t="shared" si="5"/>
        <v>70</v>
      </c>
      <c r="Q51" s="102"/>
      <c r="R51" s="16">
        <f t="shared" si="6"/>
        <v>215</v>
      </c>
      <c r="S51" s="102"/>
      <c r="T51" s="16">
        <f t="shared" si="7"/>
        <v>167</v>
      </c>
      <c r="U51" s="102"/>
      <c r="V51" s="16">
        <f t="shared" si="8"/>
        <v>63</v>
      </c>
      <c r="W51" s="102"/>
      <c r="X51" s="16">
        <f t="shared" si="9"/>
        <v>38</v>
      </c>
      <c r="Y51" s="102"/>
      <c r="Z51" s="16">
        <f t="shared" si="10"/>
        <v>33</v>
      </c>
      <c r="AA51" s="102"/>
      <c r="AB51" s="16">
        <f t="shared" si="11"/>
        <v>63</v>
      </c>
      <c r="AC51" s="102"/>
      <c r="AD51" s="16">
        <f t="shared" si="12"/>
        <v>13</v>
      </c>
      <c r="AE51" s="102"/>
      <c r="AF51" s="16">
        <f t="shared" si="13"/>
        <v>23</v>
      </c>
      <c r="AG51" s="102"/>
      <c r="AH51" s="16">
        <f t="shared" si="14"/>
        <v>23</v>
      </c>
      <c r="AI51" s="102"/>
      <c r="AJ51" s="16">
        <f t="shared" si="15"/>
        <v>67</v>
      </c>
      <c r="AK51" s="102"/>
    </row>
    <row r="53" spans="1:37" ht="108" customHeight="1">
      <c r="A53" s="11" t="s">
        <v>843</v>
      </c>
    </row>
    <row r="54" spans="1:37" ht="84" customHeight="1">
      <c r="A54" s="11" t="s">
        <v>844</v>
      </c>
    </row>
    <row r="55" spans="1:37" ht="84" customHeight="1">
      <c r="A55" s="11" t="s">
        <v>845</v>
      </c>
    </row>
    <row r="56" spans="1:37" ht="120" customHeight="1">
      <c r="A56" s="11"/>
    </row>
    <row r="57" spans="1:37" ht="96" customHeight="1">
      <c r="A57" s="11" t="s">
        <v>846</v>
      </c>
    </row>
    <row r="58" spans="1:37" ht="108" customHeight="1">
      <c r="A58" s="11" t="s">
        <v>847</v>
      </c>
    </row>
    <row r="59" spans="1:37" ht="108" customHeight="1">
      <c r="A59" s="11" t="s">
        <v>848</v>
      </c>
    </row>
    <row r="60" spans="1:37" ht="156" customHeight="1">
      <c r="A60" s="11" t="s">
        <v>849</v>
      </c>
    </row>
    <row r="61" spans="1:37" ht="96" customHeight="1">
      <c r="A61" s="11" t="s">
        <v>850</v>
      </c>
    </row>
    <row r="62" spans="1:37">
      <c r="A62" t="s">
        <v>851</v>
      </c>
    </row>
    <row r="63" spans="1:37">
      <c r="A63" t="s">
        <v>852</v>
      </c>
    </row>
    <row r="64" spans="1:37">
      <c r="A64" t="s">
        <v>853</v>
      </c>
    </row>
    <row r="65" spans="1:1">
      <c r="A65" t="s">
        <v>854</v>
      </c>
    </row>
    <row r="66" spans="1:1">
      <c r="A66" t="s">
        <v>855</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856</v>
      </c>
    </row>
    <row r="2" spans="1:3" ht="15" customHeight="1">
      <c r="A2" s="2" t="s">
        <v>857</v>
      </c>
    </row>
    <row r="4" spans="1:3" ht="15" customHeight="1">
      <c r="A4" s="5" t="s">
        <v>858</v>
      </c>
      <c r="B4" s="5" t="s">
        <v>859</v>
      </c>
      <c r="C4" s="5" t="s">
        <v>5</v>
      </c>
    </row>
    <row r="5" spans="1:3" ht="15" customHeight="1">
      <c r="A5" s="7" t="s">
        <v>741</v>
      </c>
      <c r="B5" s="7" t="s">
        <v>860</v>
      </c>
      <c r="C5" s="53" t="s">
        <v>861</v>
      </c>
    </row>
    <row r="6" spans="1:3" ht="15" customHeight="1">
      <c r="A6" s="7" t="s">
        <v>862</v>
      </c>
      <c r="B6" s="7" t="s">
        <v>860</v>
      </c>
      <c r="C6" s="53" t="s">
        <v>863</v>
      </c>
    </row>
    <row r="7" spans="1:3" ht="15" customHeight="1">
      <c r="A7" s="7" t="s">
        <v>313</v>
      </c>
      <c r="B7" s="7" t="s">
        <v>864</v>
      </c>
      <c r="C7" s="53" t="s">
        <v>865</v>
      </c>
    </row>
    <row r="8" spans="1:3" ht="15" customHeight="1">
      <c r="A8" s="67" t="s">
        <v>866</v>
      </c>
      <c r="B8" s="67" t="s">
        <v>867</v>
      </c>
      <c r="C8" s="68" t="s">
        <v>868</v>
      </c>
    </row>
    <row r="9" spans="1:3" ht="15" customHeight="1">
      <c r="A9" s="67" t="s">
        <v>869</v>
      </c>
      <c r="B9" s="67" t="s">
        <v>867</v>
      </c>
      <c r="C9" s="68" t="s">
        <v>870</v>
      </c>
    </row>
    <row r="10" spans="1:3" ht="15" customHeight="1">
      <c r="A10" s="7" t="s">
        <v>9</v>
      </c>
      <c r="B10" s="7" t="s">
        <v>871</v>
      </c>
      <c r="C10" s="69" t="s">
        <v>872</v>
      </c>
    </row>
    <row r="11" spans="1:3" ht="15" customHeight="1">
      <c r="A11" s="7" t="s">
        <v>873</v>
      </c>
      <c r="B11" s="8" t="s">
        <v>874</v>
      </c>
      <c r="C11" s="53" t="s">
        <v>875</v>
      </c>
    </row>
    <row r="12" spans="1:3" ht="15" customHeight="1">
      <c r="A12" s="7" t="s">
        <v>876</v>
      </c>
      <c r="B12" s="7" t="s">
        <v>877</v>
      </c>
      <c r="C12" s="53" t="s">
        <v>878</v>
      </c>
    </row>
    <row r="15" spans="1:3" ht="24" customHeight="1">
      <c r="A15" s="11" t="s">
        <v>879</v>
      </c>
    </row>
    <row r="16" spans="1:3" ht="24" customHeight="1">
      <c r="A16" s="11" t="s">
        <v>880</v>
      </c>
    </row>
    <row r="17" spans="1:1" ht="36" customHeight="1">
      <c r="A17" s="11" t="s">
        <v>881</v>
      </c>
    </row>
    <row r="18" spans="1:1" ht="15" customHeight="1">
      <c r="A18" s="63"/>
    </row>
    <row r="19" spans="1:1" ht="36" customHeight="1">
      <c r="A19" s="11" t="s">
        <v>882</v>
      </c>
    </row>
    <row r="20" spans="1:1" ht="36" customHeight="1">
      <c r="A20" s="11" t="s">
        <v>883</v>
      </c>
    </row>
    <row r="22" spans="1:1" ht="48" customHeight="1">
      <c r="A22" s="13" t="s">
        <v>884</v>
      </c>
    </row>
    <row r="24" spans="1:1" ht="16.5" customHeight="1">
      <c r="A24" s="14" t="s">
        <v>885</v>
      </c>
    </row>
    <row r="25" spans="1:1" ht="16.5" customHeight="1">
      <c r="A25" t="s">
        <v>886</v>
      </c>
    </row>
    <row r="26" spans="1:1" ht="16.5" customHeight="1">
      <c r="A26" t="s">
        <v>887</v>
      </c>
    </row>
    <row r="27" spans="1:1" ht="16.5" customHeight="1">
      <c r="A27" t="s">
        <v>888</v>
      </c>
    </row>
    <row r="28" spans="1:1" ht="16.5" customHeight="1">
      <c r="A28" t="s">
        <v>889</v>
      </c>
    </row>
    <row r="30" spans="1:1" ht="16.5" customHeight="1">
      <c r="A30" t="s">
        <v>890</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08"/>
  <sheetViews>
    <sheetView topLeftCell="A25" workbookViewId="0">
      <selection activeCell="M42" sqref="M42"/>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891</v>
      </c>
    </row>
    <row r="2" spans="1:7">
      <c r="A2" s="119" t="s">
        <v>892</v>
      </c>
    </row>
    <row r="3" spans="1:7">
      <c r="A3" s="119" t="s">
        <v>893</v>
      </c>
    </row>
    <row r="5" spans="1:7">
      <c r="A5" s="111" t="s">
        <v>894</v>
      </c>
      <c r="B5" s="111" t="s">
        <v>895</v>
      </c>
      <c r="C5" s="111" t="s">
        <v>896</v>
      </c>
      <c r="D5" s="111" t="s">
        <v>897</v>
      </c>
      <c r="E5" s="111" t="s">
        <v>148</v>
      </c>
      <c r="F5" s="111" t="s">
        <v>149</v>
      </c>
      <c r="G5" s="111" t="s">
        <v>898</v>
      </c>
    </row>
    <row r="6" spans="1:7" ht="30" customHeight="1">
      <c r="A6" s="114" t="s">
        <v>899</v>
      </c>
      <c r="B6" s="120" t="s">
        <v>900</v>
      </c>
      <c r="C6" s="114" t="s">
        <v>896</v>
      </c>
      <c r="D6" s="115" t="s">
        <v>901</v>
      </c>
      <c r="E6" s="121">
        <f>복귀_토_하체전면!$E$31</f>
        <v>47</v>
      </c>
      <c r="F6" s="114" t="s">
        <v>1647</v>
      </c>
      <c r="G6" s="115" t="s">
        <v>1380</v>
      </c>
    </row>
    <row r="7" spans="1:7" ht="30" customHeight="1">
      <c r="A7" s="114" t="s">
        <v>902</v>
      </c>
      <c r="B7" s="120" t="s">
        <v>903</v>
      </c>
      <c r="C7" s="114" t="s">
        <v>896</v>
      </c>
      <c r="D7" s="115" t="s">
        <v>904</v>
      </c>
      <c r="E7" s="121">
        <f>복귀_일_수평당기기!$E$23</f>
        <v>39</v>
      </c>
      <c r="F7" s="114" t="s">
        <v>1548</v>
      </c>
      <c r="G7" s="115" t="s">
        <v>1633</v>
      </c>
    </row>
    <row r="8" spans="1:7" ht="30" customHeight="1">
      <c r="A8" s="114" t="s">
        <v>905</v>
      </c>
      <c r="B8" s="120" t="s">
        <v>906</v>
      </c>
      <c r="C8" s="114" t="s">
        <v>896</v>
      </c>
      <c r="D8" s="115" t="s">
        <v>1464</v>
      </c>
      <c r="E8" s="121">
        <f>복귀_월_가슴!$E$29</f>
        <v>37</v>
      </c>
      <c r="F8" s="114" t="s">
        <v>1547</v>
      </c>
      <c r="G8" s="115" t="s">
        <v>1465</v>
      </c>
    </row>
    <row r="9" spans="1:7" ht="30" customHeight="1">
      <c r="A9" s="114" t="s">
        <v>907</v>
      </c>
      <c r="B9" s="120" t="s">
        <v>908</v>
      </c>
      <c r="C9" s="114" t="s">
        <v>896</v>
      </c>
      <c r="D9" s="115" t="s">
        <v>1466</v>
      </c>
      <c r="E9" s="121">
        <f>복귀_화_팔!$E$24</f>
        <v>43</v>
      </c>
      <c r="F9" s="114" t="s">
        <v>1650</v>
      </c>
      <c r="G9" s="115" t="s">
        <v>1467</v>
      </c>
    </row>
    <row r="10" spans="1:7" ht="30" customHeight="1">
      <c r="A10" s="114" t="s">
        <v>909</v>
      </c>
      <c r="B10" s="120" t="s">
        <v>910</v>
      </c>
      <c r="C10" s="114" t="s">
        <v>896</v>
      </c>
      <c r="D10" s="115" t="s">
        <v>911</v>
      </c>
      <c r="E10" s="121">
        <f>복귀_수_하체후면!$E$39</f>
        <v>34</v>
      </c>
      <c r="F10" s="114" t="s">
        <v>1548</v>
      </c>
      <c r="G10" s="115" t="s">
        <v>1430</v>
      </c>
    </row>
    <row r="11" spans="1:7" ht="30" customHeight="1">
      <c r="A11" s="114" t="s">
        <v>912</v>
      </c>
      <c r="B11" s="120" t="s">
        <v>913</v>
      </c>
      <c r="C11" s="114" t="s">
        <v>896</v>
      </c>
      <c r="D11" s="115" t="s">
        <v>914</v>
      </c>
      <c r="E11" s="121">
        <f>복귀_목_수직당기기!$E$25</f>
        <v>42</v>
      </c>
      <c r="F11" s="114" t="s">
        <v>1447</v>
      </c>
      <c r="G11" s="115" t="s">
        <v>1566</v>
      </c>
    </row>
    <row r="12" spans="1:7" ht="30" customHeight="1">
      <c r="A12" s="114" t="s">
        <v>915</v>
      </c>
      <c r="B12" s="120" t="s">
        <v>160</v>
      </c>
      <c r="C12" s="114" t="s">
        <v>896</v>
      </c>
      <c r="D12" s="115" t="s">
        <v>160</v>
      </c>
      <c r="E12" s="121">
        <v>0</v>
      </c>
      <c r="F12" s="114" t="s">
        <v>27</v>
      </c>
      <c r="G12" s="115" t="s">
        <v>916</v>
      </c>
    </row>
    <row r="13" spans="1:7">
      <c r="A13" s="116" t="s">
        <v>171</v>
      </c>
      <c r="B13" s="122"/>
      <c r="C13" s="122"/>
      <c r="D13" s="122"/>
      <c r="E13" s="116">
        <f>SUM(E6:E12)</f>
        <v>242</v>
      </c>
      <c r="F13" s="116" t="s">
        <v>1648</v>
      </c>
      <c r="G13" s="119"/>
    </row>
    <row r="15" spans="1:7">
      <c r="A15" s="107" t="s">
        <v>917</v>
      </c>
    </row>
    <row r="16" spans="1:7">
      <c r="A16" s="123" t="s">
        <v>918</v>
      </c>
    </row>
    <row r="17" spans="1:1">
      <c r="A17" s="123" t="s">
        <v>919</v>
      </c>
    </row>
    <row r="18" spans="1:1">
      <c r="A18" s="123" t="s">
        <v>920</v>
      </c>
    </row>
    <row r="19" spans="1:1">
      <c r="A19" s="123" t="s">
        <v>921</v>
      </c>
    </row>
    <row r="20" spans="1:1">
      <c r="A20" s="123" t="s">
        <v>922</v>
      </c>
    </row>
    <row r="21" spans="1:1">
      <c r="A21" s="123" t="s">
        <v>923</v>
      </c>
    </row>
    <row r="22" spans="1:1">
      <c r="A22" s="123" t="s">
        <v>924</v>
      </c>
    </row>
    <row r="23" spans="1:1">
      <c r="A23" s="123" t="s">
        <v>925</v>
      </c>
    </row>
    <row r="24" spans="1:1">
      <c r="A24" s="123" t="s">
        <v>1487</v>
      </c>
    </row>
    <row r="25" spans="1:1">
      <c r="A25" s="123" t="s">
        <v>926</v>
      </c>
    </row>
    <row r="26" spans="1:1">
      <c r="A26" s="123" t="s">
        <v>927</v>
      </c>
    </row>
    <row r="27" spans="1:1">
      <c r="A27" s="123" t="s">
        <v>928</v>
      </c>
    </row>
    <row r="29" spans="1:1">
      <c r="A29" s="107" t="s">
        <v>929</v>
      </c>
    </row>
    <row r="30" spans="1:1">
      <c r="A30" s="123" t="s">
        <v>930</v>
      </c>
    </row>
    <row r="31" spans="1:1">
      <c r="A31" s="123" t="s">
        <v>931</v>
      </c>
    </row>
    <row r="32" spans="1:1">
      <c r="A32" s="123" t="s">
        <v>932</v>
      </c>
    </row>
    <row r="33" spans="1:1">
      <c r="A33" s="123" t="s">
        <v>933</v>
      </c>
    </row>
    <row r="34" spans="1:1">
      <c r="A34" s="123" t="s">
        <v>934</v>
      </c>
    </row>
    <row r="35" spans="1:1">
      <c r="A35" s="123" t="s">
        <v>935</v>
      </c>
    </row>
    <row r="36" spans="1:1">
      <c r="A36" s="123" t="s">
        <v>936</v>
      </c>
    </row>
    <row r="37" spans="1:1">
      <c r="A37" s="123" t="s">
        <v>937</v>
      </c>
    </row>
    <row r="38" spans="1:1">
      <c r="A38" s="123" t="s">
        <v>938</v>
      </c>
    </row>
    <row r="39" spans="1:1">
      <c r="A39" s="123" t="s">
        <v>939</v>
      </c>
    </row>
    <row r="40" spans="1:1">
      <c r="A40" s="123" t="s">
        <v>940</v>
      </c>
    </row>
    <row r="41" spans="1:1">
      <c r="A41" s="123" t="s">
        <v>941</v>
      </c>
    </row>
    <row r="42" spans="1:1">
      <c r="A42" s="123" t="s">
        <v>942</v>
      </c>
    </row>
    <row r="43" spans="1:1">
      <c r="A43" s="126" t="s">
        <v>1238</v>
      </c>
    </row>
    <row r="44" spans="1:1">
      <c r="A44" s="126" t="s">
        <v>1252</v>
      </c>
    </row>
    <row r="45" spans="1:1">
      <c r="A45" s="126" t="s">
        <v>1284</v>
      </c>
    </row>
    <row r="46" spans="1:1">
      <c r="A46" s="126" t="s">
        <v>1287</v>
      </c>
    </row>
    <row r="47" spans="1:1">
      <c r="A47" s="126" t="s">
        <v>1303</v>
      </c>
    </row>
    <row r="48" spans="1:1">
      <c r="A48" s="126" t="s">
        <v>1314</v>
      </c>
    </row>
    <row r="49" spans="1:1">
      <c r="A49" s="126" t="s">
        <v>1324</v>
      </c>
    </row>
    <row r="50" spans="1:1">
      <c r="A50" s="126" t="s">
        <v>1332</v>
      </c>
    </row>
    <row r="51" spans="1:1">
      <c r="A51" s="126" t="s">
        <v>1342</v>
      </c>
    </row>
    <row r="52" spans="1:1">
      <c r="A52" s="126" t="s">
        <v>1349</v>
      </c>
    </row>
    <row r="53" spans="1:1">
      <c r="A53" s="126" t="s">
        <v>1351</v>
      </c>
    </row>
    <row r="54" spans="1:1">
      <c r="A54" s="126" t="s">
        <v>1373</v>
      </c>
    </row>
    <row r="55" spans="1:1">
      <c r="A55" s="126" t="s">
        <v>1374</v>
      </c>
    </row>
    <row r="56" spans="1:1">
      <c r="A56" s="126" t="s">
        <v>1381</v>
      </c>
    </row>
    <row r="57" spans="1:1">
      <c r="A57" s="126" t="s">
        <v>1383</v>
      </c>
    </row>
    <row r="58" spans="1:1">
      <c r="A58" s="126" t="s">
        <v>1390</v>
      </c>
    </row>
    <row r="59" spans="1:1">
      <c r="A59" s="126" t="s">
        <v>1419</v>
      </c>
    </row>
    <row r="60" spans="1:1">
      <c r="A60" s="126" t="s">
        <v>1423</v>
      </c>
    </row>
    <row r="61" spans="1:1">
      <c r="A61" s="126" t="s">
        <v>1431</v>
      </c>
    </row>
    <row r="62" spans="1:1">
      <c r="A62" s="126" t="s">
        <v>1436</v>
      </c>
    </row>
    <row r="63" spans="1:1">
      <c r="A63" s="126" t="s">
        <v>1442</v>
      </c>
    </row>
    <row r="64" spans="1:1">
      <c r="A64" s="126" t="s">
        <v>1443</v>
      </c>
    </row>
    <row r="65" spans="1:1">
      <c r="A65" s="126" t="s">
        <v>1448</v>
      </c>
    </row>
    <row r="66" spans="1:1">
      <c r="A66" s="126" t="s">
        <v>1454</v>
      </c>
    </row>
    <row r="67" spans="1:1">
      <c r="A67" s="126" t="s">
        <v>1472</v>
      </c>
    </row>
    <row r="68" spans="1:1">
      <c r="A68" s="126" t="s">
        <v>1477</v>
      </c>
    </row>
    <row r="69" spans="1:1">
      <c r="A69" s="126" t="s">
        <v>1489</v>
      </c>
    </row>
    <row r="70" spans="1:1">
      <c r="A70" s="126" t="s">
        <v>1496</v>
      </c>
    </row>
    <row r="71" spans="1:1">
      <c r="A71" s="126" t="s">
        <v>1501</v>
      </c>
    </row>
    <row r="72" spans="1:1">
      <c r="A72" s="126" t="s">
        <v>1503</v>
      </c>
    </row>
    <row r="73" spans="1:1">
      <c r="A73" s="126" t="s">
        <v>1509</v>
      </c>
    </row>
    <row r="74" spans="1:1">
      <c r="A74" s="126" t="s">
        <v>1536</v>
      </c>
    </row>
    <row r="75" spans="1:1">
      <c r="A75" s="126" t="s">
        <v>1549</v>
      </c>
    </row>
    <row r="76" spans="1:1">
      <c r="A76" s="126" t="s">
        <v>1634</v>
      </c>
    </row>
    <row r="77" spans="1:1">
      <c r="A77" s="126" t="s">
        <v>1649</v>
      </c>
    </row>
    <row r="78" spans="1:1">
      <c r="A78" s="126" t="s">
        <v>1656</v>
      </c>
    </row>
    <row r="79" spans="1:1">
      <c r="A79" s="126" t="s">
        <v>1659</v>
      </c>
    </row>
    <row r="80" spans="1:1">
      <c r="A80" s="126" t="s">
        <v>1667</v>
      </c>
    </row>
    <row r="81" spans="1:1">
      <c r="A81" s="126" t="s">
        <v>1672</v>
      </c>
    </row>
    <row r="82" spans="1:1">
      <c r="A82" s="126" t="s">
        <v>1674</v>
      </c>
    </row>
    <row r="83" spans="1:1">
      <c r="A83" s="107" t="s">
        <v>943</v>
      </c>
    </row>
    <row r="84" spans="1:1">
      <c r="A84" s="123" t="s">
        <v>944</v>
      </c>
    </row>
    <row r="85" spans="1:1">
      <c r="A85" s="123" t="s">
        <v>945</v>
      </c>
    </row>
    <row r="86" spans="1:1">
      <c r="A86" s="123" t="s">
        <v>946</v>
      </c>
    </row>
    <row r="87" spans="1:1">
      <c r="A87" s="123" t="s">
        <v>947</v>
      </c>
    </row>
    <row r="89" spans="1:1">
      <c r="A89" s="107" t="s">
        <v>948</v>
      </c>
    </row>
    <row r="90" spans="1:1">
      <c r="A90" s="123" t="s">
        <v>949</v>
      </c>
    </row>
    <row r="91" spans="1:1">
      <c r="A91" s="123" t="s">
        <v>950</v>
      </c>
    </row>
    <row r="92" spans="1:1">
      <c r="A92" s="123" t="s">
        <v>951</v>
      </c>
    </row>
    <row r="93" spans="1:1">
      <c r="A93" s="123" t="s">
        <v>952</v>
      </c>
    </row>
    <row r="94" spans="1:1">
      <c r="A94" s="123" t="s">
        <v>953</v>
      </c>
    </row>
    <row r="96" spans="1:1">
      <c r="A96" s="107" t="s">
        <v>954</v>
      </c>
    </row>
    <row r="97" spans="1:1">
      <c r="A97" s="123" t="s">
        <v>1651</v>
      </c>
    </row>
    <row r="98" spans="1:1">
      <c r="A98" s="123" t="s">
        <v>1468</v>
      </c>
    </row>
    <row r="99" spans="1:1">
      <c r="A99" s="123" t="s">
        <v>955</v>
      </c>
    </row>
    <row r="100" spans="1:1">
      <c r="A100" s="123" t="s">
        <v>1435</v>
      </c>
    </row>
    <row r="101" spans="1:1">
      <c r="A101" s="123" t="s">
        <v>1313</v>
      </c>
    </row>
    <row r="102" spans="1:1">
      <c r="A102" s="123" t="s">
        <v>1407</v>
      </c>
    </row>
    <row r="104" spans="1:1">
      <c r="A104" s="107" t="s">
        <v>956</v>
      </c>
    </row>
    <row r="105" spans="1:1">
      <c r="A105" s="123" t="s">
        <v>1408</v>
      </c>
    </row>
    <row r="106" spans="1:1">
      <c r="A106" s="123" t="s">
        <v>957</v>
      </c>
    </row>
    <row r="107" spans="1:1">
      <c r="A107" s="123" t="s">
        <v>958</v>
      </c>
    </row>
    <row r="108" spans="1:1">
      <c r="A108" s="123" t="s">
        <v>959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tabSelected="1" workbookViewId="0">
      <selection activeCell="K5" sqref="K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960</v>
      </c>
    </row>
    <row r="4" spans="1:3">
      <c r="A4" s="107" t="s">
        <v>367</v>
      </c>
    </row>
    <row r="5" spans="1:3">
      <c r="A5" s="108" t="s">
        <v>255</v>
      </c>
      <c r="B5" s="108" t="s">
        <v>330</v>
      </c>
      <c r="C5" s="108" t="s">
        <v>148</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961</v>
      </c>
    </row>
    <row r="13" spans="1:3">
      <c r="A13" s="110" t="s">
        <v>962</v>
      </c>
    </row>
    <row r="14" spans="1:3">
      <c r="A14" s="110" t="s">
        <v>963</v>
      </c>
    </row>
    <row r="15" spans="1:3">
      <c r="A15" s="110" t="s">
        <v>964</v>
      </c>
    </row>
    <row r="16" spans="1:3">
      <c r="A16" s="110" t="s">
        <v>335</v>
      </c>
    </row>
    <row r="18" spans="1:14">
      <c r="A18" s="107" t="s">
        <v>252</v>
      </c>
    </row>
    <row r="19" spans="1:14" ht="15" customHeight="1">
      <c r="A19" s="111" t="s">
        <v>253</v>
      </c>
      <c r="B19" s="111" t="s">
        <v>76</v>
      </c>
      <c r="C19" s="111" t="s">
        <v>254</v>
      </c>
      <c r="D19" s="111" t="s">
        <v>255</v>
      </c>
      <c r="E19" s="111" t="s">
        <v>148</v>
      </c>
      <c r="F19" s="111" t="s">
        <v>256</v>
      </c>
      <c r="G19" s="111" t="s">
        <v>257</v>
      </c>
      <c r="H19" s="111" t="s">
        <v>258</v>
      </c>
      <c r="I19" s="111" t="s">
        <v>259</v>
      </c>
      <c r="J19" s="111" t="s">
        <v>261</v>
      </c>
      <c r="K19" s="111" t="s">
        <v>262</v>
      </c>
      <c r="L19" s="111" t="s">
        <v>263</v>
      </c>
      <c r="M19" s="111" t="s">
        <v>264</v>
      </c>
      <c r="N19" s="111" t="s">
        <v>265</v>
      </c>
    </row>
    <row r="20" spans="1:14" ht="30" customHeight="1">
      <c r="A20" s="112">
        <v>1</v>
      </c>
      <c r="B20" s="113" t="s">
        <v>82</v>
      </c>
      <c r="C20" s="112" t="s">
        <v>369</v>
      </c>
      <c r="D20" s="112">
        <f>시작중량_설정!$E$7</f>
        <v>75</v>
      </c>
      <c r="E20" s="112">
        <v>5</v>
      </c>
      <c r="F20" s="112">
        <v>5</v>
      </c>
      <c r="G20" s="112">
        <v>30</v>
      </c>
      <c r="H20" s="112">
        <v>180</v>
      </c>
      <c r="I20" s="112">
        <f t="shared" ref="I20:I30" si="0">IF(E20=0,0,ROUND((E20*(G20+H20)+N20)/60,1))</f>
        <v>17.5</v>
      </c>
      <c r="J20" s="113" t="s">
        <v>965</v>
      </c>
      <c r="K20" s="113" t="s">
        <v>966</v>
      </c>
      <c r="L20" s="112" t="s">
        <v>342</v>
      </c>
      <c r="M20" s="112"/>
      <c r="N20" s="112"/>
    </row>
    <row r="21" spans="1:14" ht="30" customHeight="1">
      <c r="A21" s="114">
        <v>2</v>
      </c>
      <c r="B21" s="115" t="s">
        <v>374</v>
      </c>
      <c r="C21" s="114" t="s">
        <v>369</v>
      </c>
      <c r="D21" s="144">
        <f>시작중량_설정!$E$13</f>
        <v>160</v>
      </c>
      <c r="E21" s="114">
        <v>4</v>
      </c>
      <c r="F21" s="114">
        <v>10</v>
      </c>
      <c r="G21" s="114">
        <v>45</v>
      </c>
      <c r="H21" s="114">
        <v>150</v>
      </c>
      <c r="I21" s="114">
        <f t="shared" si="0"/>
        <v>13</v>
      </c>
      <c r="J21" s="115" t="s">
        <v>1572</v>
      </c>
      <c r="K21" s="115" t="s">
        <v>967</v>
      </c>
      <c r="L21" s="114"/>
      <c r="M21" s="114"/>
      <c r="N21" s="114"/>
    </row>
    <row r="22" spans="1:14" ht="30" customHeight="1">
      <c r="A22" s="114">
        <v>3</v>
      </c>
      <c r="B22" s="115" t="s">
        <v>508</v>
      </c>
      <c r="C22" s="114" t="s">
        <v>429</v>
      </c>
      <c r="D22" s="114">
        <v>30</v>
      </c>
      <c r="E22" s="114">
        <v>4</v>
      </c>
      <c r="F22" s="114" t="s">
        <v>274</v>
      </c>
      <c r="G22" s="114">
        <v>40</v>
      </c>
      <c r="H22" s="114">
        <v>120</v>
      </c>
      <c r="I22" s="114">
        <f t="shared" si="0"/>
        <v>10.7</v>
      </c>
      <c r="J22" s="115" t="s">
        <v>1429</v>
      </c>
      <c r="K22" s="115" t="s">
        <v>583</v>
      </c>
      <c r="L22" s="114"/>
      <c r="M22" s="114"/>
      <c r="N22" s="114"/>
    </row>
    <row r="23" spans="1:14" ht="30" customHeight="1">
      <c r="A23" s="114">
        <v>4</v>
      </c>
      <c r="B23" s="115" t="s">
        <v>1375</v>
      </c>
      <c r="C23" s="114" t="s">
        <v>354</v>
      </c>
      <c r="D23" s="114">
        <v>20</v>
      </c>
      <c r="E23" s="114">
        <v>3</v>
      </c>
      <c r="F23" s="114" t="s">
        <v>350</v>
      </c>
      <c r="G23" s="114">
        <v>40</v>
      </c>
      <c r="H23" s="114">
        <v>90</v>
      </c>
      <c r="I23" s="114">
        <f t="shared" si="0"/>
        <v>6.5</v>
      </c>
      <c r="J23" s="115" t="s">
        <v>1424</v>
      </c>
      <c r="K23" s="115" t="s">
        <v>1376</v>
      </c>
      <c r="L23" s="114"/>
      <c r="M23" s="114"/>
      <c r="N23" s="114"/>
    </row>
    <row r="24" spans="1:14" ht="30" customHeight="1">
      <c r="A24" s="114">
        <v>5</v>
      </c>
      <c r="B24" s="135" t="s">
        <v>1433</v>
      </c>
      <c r="C24" s="114" t="s">
        <v>354</v>
      </c>
      <c r="D24" s="114">
        <v>8</v>
      </c>
      <c r="E24" s="114">
        <v>3</v>
      </c>
      <c r="F24" s="114" t="s">
        <v>289</v>
      </c>
      <c r="G24" s="114">
        <v>40</v>
      </c>
      <c r="H24" s="114">
        <v>60</v>
      </c>
      <c r="I24" s="114">
        <f t="shared" si="0"/>
        <v>6</v>
      </c>
      <c r="J24" s="115" t="s">
        <v>1377</v>
      </c>
      <c r="K24" s="115" t="s">
        <v>969</v>
      </c>
      <c r="L24" s="114"/>
      <c r="M24" s="114"/>
      <c r="N24" s="114">
        <v>60</v>
      </c>
    </row>
    <row r="25" spans="1:14" ht="30" customHeight="1">
      <c r="A25" s="114">
        <v>6</v>
      </c>
      <c r="B25" s="115" t="s">
        <v>970</v>
      </c>
      <c r="C25" s="114" t="s">
        <v>358</v>
      </c>
      <c r="D25" s="114">
        <v>30</v>
      </c>
      <c r="E25" s="114">
        <v>6</v>
      </c>
      <c r="F25" s="114" t="s">
        <v>289</v>
      </c>
      <c r="G25" s="114">
        <v>40</v>
      </c>
      <c r="H25" s="114">
        <v>60</v>
      </c>
      <c r="I25" s="114">
        <f t="shared" si="0"/>
        <v>11</v>
      </c>
      <c r="J25" s="115" t="s">
        <v>1382</v>
      </c>
      <c r="K25" s="115" t="s">
        <v>971</v>
      </c>
      <c r="L25" s="114"/>
      <c r="M25" s="114"/>
      <c r="N25" s="114">
        <v>60</v>
      </c>
    </row>
    <row r="26" spans="1:14" ht="30" customHeight="1">
      <c r="A26" s="114">
        <v>7</v>
      </c>
      <c r="B26" s="115" t="s">
        <v>1621</v>
      </c>
      <c r="C26" s="114" t="s">
        <v>285</v>
      </c>
      <c r="D26" s="114" t="s">
        <v>27</v>
      </c>
      <c r="E26" s="114">
        <v>2</v>
      </c>
      <c r="F26" s="145" t="s">
        <v>1494</v>
      </c>
      <c r="G26" s="114">
        <v>40</v>
      </c>
      <c r="H26" s="114">
        <v>60</v>
      </c>
      <c r="I26" s="114">
        <f>IF(E26=0,0,ROUND((E26*(G26+H26)+N26)/60,1))</f>
        <v>3.3</v>
      </c>
      <c r="J26" s="115" t="s">
        <v>1660</v>
      </c>
      <c r="K26" s="115" t="s">
        <v>1622</v>
      </c>
      <c r="L26" s="114"/>
      <c r="M26" s="114"/>
      <c r="N26" s="114"/>
    </row>
    <row r="27" spans="1:14" ht="30" customHeight="1">
      <c r="A27" s="114">
        <v>8</v>
      </c>
      <c r="B27" s="115" t="s">
        <v>1668</v>
      </c>
      <c r="C27" s="114" t="s">
        <v>384</v>
      </c>
      <c r="D27" s="114">
        <v>50</v>
      </c>
      <c r="E27" s="114">
        <v>6</v>
      </c>
      <c r="F27" s="114" t="s">
        <v>350</v>
      </c>
      <c r="G27" s="114">
        <v>40</v>
      </c>
      <c r="H27" s="114">
        <v>120</v>
      </c>
      <c r="I27" s="114">
        <f>IF(E27=0,0,ROUND((E27*(G27+H27)+N27)/60,1))</f>
        <v>17.3</v>
      </c>
      <c r="J27" s="115" t="s">
        <v>1673</v>
      </c>
      <c r="K27" s="115" t="s">
        <v>1669</v>
      </c>
      <c r="L27" s="114"/>
      <c r="M27" s="114"/>
      <c r="N27" s="114">
        <v>75</v>
      </c>
    </row>
    <row r="28" spans="1:14" ht="30" customHeight="1">
      <c r="A28" s="114">
        <v>9</v>
      </c>
      <c r="B28" s="115" t="s">
        <v>387</v>
      </c>
      <c r="C28" s="114" t="s">
        <v>388</v>
      </c>
      <c r="D28" s="114">
        <v>41</v>
      </c>
      <c r="E28" s="114">
        <v>4</v>
      </c>
      <c r="F28" s="114" t="s">
        <v>289</v>
      </c>
      <c r="G28" s="114">
        <v>40</v>
      </c>
      <c r="H28" s="114">
        <v>10</v>
      </c>
      <c r="I28" s="114">
        <f t="shared" si="0"/>
        <v>3.3</v>
      </c>
      <c r="J28" s="115" t="s">
        <v>972</v>
      </c>
      <c r="K28" s="115" t="s">
        <v>973</v>
      </c>
      <c r="L28" s="114"/>
      <c r="M28" s="114" t="s">
        <v>391</v>
      </c>
      <c r="N28" s="114"/>
    </row>
    <row r="29" spans="1:14" ht="30" customHeight="1">
      <c r="A29" s="114">
        <v>10</v>
      </c>
      <c r="B29" s="115" t="s">
        <v>392</v>
      </c>
      <c r="C29" s="114" t="s">
        <v>393</v>
      </c>
      <c r="D29" s="114">
        <v>59</v>
      </c>
      <c r="E29" s="114">
        <v>4</v>
      </c>
      <c r="F29" s="114" t="s">
        <v>289</v>
      </c>
      <c r="G29" s="114">
        <v>40</v>
      </c>
      <c r="H29" s="114">
        <v>120</v>
      </c>
      <c r="I29" s="114">
        <f t="shared" si="0"/>
        <v>10.7</v>
      </c>
      <c r="J29" s="115" t="s">
        <v>974</v>
      </c>
      <c r="K29" s="115" t="s">
        <v>975</v>
      </c>
      <c r="L29" s="114"/>
      <c r="M29" s="114" t="s">
        <v>391</v>
      </c>
      <c r="N29" s="114"/>
    </row>
    <row r="30" spans="1:14" ht="30" customHeight="1">
      <c r="A30" s="114">
        <v>11</v>
      </c>
      <c r="B30" s="115" t="s">
        <v>488</v>
      </c>
      <c r="C30" s="114" t="s">
        <v>308</v>
      </c>
      <c r="D30" s="114">
        <v>16</v>
      </c>
      <c r="E30" s="114">
        <v>6</v>
      </c>
      <c r="F30" s="114" t="s">
        <v>289</v>
      </c>
      <c r="G30" s="114">
        <v>40</v>
      </c>
      <c r="H30" s="114">
        <v>75</v>
      </c>
      <c r="I30" s="114">
        <f t="shared" si="0"/>
        <v>11.5</v>
      </c>
      <c r="J30" s="115" t="s">
        <v>976</v>
      </c>
      <c r="K30" s="115" t="s">
        <v>977</v>
      </c>
      <c r="L30" s="114"/>
      <c r="M30" s="114"/>
      <c r="N30" s="114"/>
    </row>
    <row r="31" spans="1:14">
      <c r="A31" s="116"/>
      <c r="B31" s="116"/>
      <c r="C31" s="116"/>
      <c r="D31" s="116" t="s">
        <v>321</v>
      </c>
      <c r="E31" s="116">
        <f>SUM(E20:E30)</f>
        <v>47</v>
      </c>
      <c r="F31" s="116"/>
      <c r="G31" s="116"/>
      <c r="H31" s="116"/>
      <c r="I31" s="116">
        <f>ROUND(SUM(I20:I30),0)</f>
        <v>111</v>
      </c>
    </row>
    <row r="33" spans="1:1">
      <c r="A33" s="107" t="s">
        <v>978</v>
      </c>
    </row>
    <row r="34" spans="1:1">
      <c r="A34" s="117" t="s">
        <v>979</v>
      </c>
    </row>
    <row r="35" spans="1:1">
      <c r="A35" s="117" t="s">
        <v>1449</v>
      </c>
    </row>
    <row r="36" spans="1:1">
      <c r="A36" s="117" t="s">
        <v>1379</v>
      </c>
    </row>
    <row r="37" spans="1:1">
      <c r="A37" s="117" t="s">
        <v>980</v>
      </c>
    </row>
    <row r="38" spans="1:1">
      <c r="A38" s="117" t="s">
        <v>981</v>
      </c>
    </row>
    <row r="39" spans="1:1">
      <c r="A39" s="117" t="s">
        <v>982</v>
      </c>
    </row>
    <row r="41" spans="1:1">
      <c r="A41" s="107" t="s">
        <v>954</v>
      </c>
    </row>
    <row r="42" spans="1:1">
      <c r="A42" s="117" t="s">
        <v>1450</v>
      </c>
    </row>
    <row r="43" spans="1:1">
      <c r="A43" s="117" t="s">
        <v>983</v>
      </c>
    </row>
    <row r="44" spans="1:1">
      <c r="A44" s="117" t="s">
        <v>984</v>
      </c>
    </row>
    <row r="46" spans="1:1">
      <c r="A46" s="107" t="s">
        <v>985</v>
      </c>
    </row>
    <row r="47" spans="1:1">
      <c r="A47" s="117" t="s">
        <v>1451</v>
      </c>
    </row>
    <row r="48" spans="1:1">
      <c r="A48" s="117" t="s">
        <v>986</v>
      </c>
    </row>
    <row r="49" spans="1:3">
      <c r="A49" s="117" t="s">
        <v>987</v>
      </c>
    </row>
    <row r="51" spans="1:3">
      <c r="C51" s="118" t="s">
        <v>988</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workbookViewId="0">
      <selection activeCell="D11" sqref="D1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989</v>
      </c>
    </row>
    <row r="4" spans="1:14">
      <c r="A4" s="107" t="s">
        <v>990</v>
      </c>
    </row>
    <row r="5" spans="1:14">
      <c r="A5" s="110" t="s">
        <v>1497</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1310</v>
      </c>
      <c r="C11" s="114" t="s">
        <v>1490</v>
      </c>
      <c r="D11" s="144">
        <f>시작중량_설정!$E$11</f>
        <v>60</v>
      </c>
      <c r="E11" s="114">
        <v>4</v>
      </c>
      <c r="F11" s="114">
        <v>8</v>
      </c>
      <c r="G11" s="114">
        <v>40</v>
      </c>
      <c r="H11" s="114">
        <v>150</v>
      </c>
      <c r="I11" s="114">
        <f t="shared" ref="I11:I22" si="0">IF(E11=0,0,ROUND((E11*(G11+H11)+N11)/60,1))</f>
        <v>12.7</v>
      </c>
      <c r="J11" s="115" t="s">
        <v>1561</v>
      </c>
      <c r="K11" s="115" t="s">
        <v>1491</v>
      </c>
      <c r="L11" s="114" t="s">
        <v>1493</v>
      </c>
      <c r="M11" s="114"/>
      <c r="N11" s="114"/>
    </row>
    <row r="12" spans="1:14" ht="30" customHeight="1">
      <c r="A12" s="114">
        <v>2</v>
      </c>
      <c r="B12" s="115" t="s">
        <v>1478</v>
      </c>
      <c r="C12" s="114" t="s">
        <v>1490</v>
      </c>
      <c r="D12" s="114">
        <v>18</v>
      </c>
      <c r="E12" s="114">
        <v>3</v>
      </c>
      <c r="F12" s="114" t="s">
        <v>1494</v>
      </c>
      <c r="G12" s="114">
        <v>40</v>
      </c>
      <c r="H12" s="114">
        <v>150</v>
      </c>
      <c r="I12" s="114">
        <f t="shared" si="0"/>
        <v>9.5</v>
      </c>
      <c r="J12" s="134" t="s">
        <v>1495</v>
      </c>
      <c r="K12" s="115" t="s">
        <v>1479</v>
      </c>
      <c r="L12" s="114" t="s">
        <v>1492</v>
      </c>
      <c r="M12" s="114"/>
      <c r="N12" s="114"/>
    </row>
    <row r="13" spans="1:14" ht="30" customHeight="1">
      <c r="A13" s="114">
        <v>3</v>
      </c>
      <c r="B13" s="115" t="s">
        <v>1244</v>
      </c>
      <c r="C13" s="114" t="s">
        <v>1245</v>
      </c>
      <c r="D13" s="114">
        <v>55</v>
      </c>
      <c r="E13" s="114">
        <v>2</v>
      </c>
      <c r="F13" s="114" t="s">
        <v>1246</v>
      </c>
      <c r="G13" s="114">
        <v>40</v>
      </c>
      <c r="H13" s="114">
        <v>120</v>
      </c>
      <c r="I13" s="114">
        <f t="shared" ref="I13" si="1">IF(E13=0,0,ROUND((E13*(G13+H13)+N13)/60,1))</f>
        <v>5.3</v>
      </c>
      <c r="J13" s="115" t="s">
        <v>1507</v>
      </c>
      <c r="K13" s="115" t="s">
        <v>1247</v>
      </c>
      <c r="L13" s="114"/>
      <c r="M13" s="114"/>
      <c r="N13" s="114"/>
    </row>
    <row r="14" spans="1:14" ht="30" customHeight="1">
      <c r="A14" s="114">
        <v>4</v>
      </c>
      <c r="B14" s="115" t="s">
        <v>472</v>
      </c>
      <c r="C14" s="114" t="s">
        <v>267</v>
      </c>
      <c r="D14" s="114">
        <v>32</v>
      </c>
      <c r="E14" s="114">
        <v>4</v>
      </c>
      <c r="F14" s="114" t="s">
        <v>278</v>
      </c>
      <c r="G14" s="114">
        <v>60</v>
      </c>
      <c r="H14" s="114">
        <v>120</v>
      </c>
      <c r="I14" s="114">
        <f t="shared" si="0"/>
        <v>12</v>
      </c>
      <c r="J14" s="115" t="s">
        <v>1434</v>
      </c>
      <c r="K14" s="115" t="s">
        <v>993</v>
      </c>
      <c r="L14" s="114"/>
      <c r="M14" s="114"/>
      <c r="N14" s="114"/>
    </row>
    <row r="15" spans="1:14" ht="30" customHeight="1">
      <c r="A15" s="114">
        <v>5</v>
      </c>
      <c r="B15" s="115" t="s">
        <v>1505</v>
      </c>
      <c r="C15" s="114" t="s">
        <v>282</v>
      </c>
      <c r="D15" s="144">
        <f>시작중량_설정!$E$18</f>
        <v>50</v>
      </c>
      <c r="E15" s="114">
        <v>3</v>
      </c>
      <c r="F15" s="114">
        <v>15</v>
      </c>
      <c r="G15" s="114">
        <v>40</v>
      </c>
      <c r="H15" s="114">
        <v>75</v>
      </c>
      <c r="I15" s="114">
        <f t="shared" si="0"/>
        <v>6.8</v>
      </c>
      <c r="J15" s="115" t="s">
        <v>1595</v>
      </c>
      <c r="K15" s="115" t="s">
        <v>1506</v>
      </c>
      <c r="L15" s="114"/>
      <c r="M15" s="114"/>
      <c r="N15" s="114">
        <v>60</v>
      </c>
    </row>
    <row r="16" spans="1:14" ht="30" customHeight="1">
      <c r="A16" s="114">
        <v>6</v>
      </c>
      <c r="B16" s="115" t="s">
        <v>1623</v>
      </c>
      <c r="C16" s="114" t="s">
        <v>267</v>
      </c>
      <c r="D16" s="144">
        <v>60</v>
      </c>
      <c r="E16" s="114">
        <v>3</v>
      </c>
      <c r="F16" s="114" t="s">
        <v>289</v>
      </c>
      <c r="G16" s="114">
        <v>40</v>
      </c>
      <c r="H16" s="114">
        <v>90</v>
      </c>
      <c r="I16" s="114">
        <f>IF(E16=0,0,ROUND((E16*(G16+H16)+N16)/60,1))</f>
        <v>6.5</v>
      </c>
      <c r="J16" s="115" t="s">
        <v>1624</v>
      </c>
      <c r="K16" s="115" t="s">
        <v>1625</v>
      </c>
      <c r="L16" s="114"/>
      <c r="M16" s="114"/>
      <c r="N16" s="114"/>
    </row>
    <row r="17" spans="1:14" ht="30" customHeight="1">
      <c r="A17" s="114">
        <v>7</v>
      </c>
      <c r="B17" s="115" t="s">
        <v>484</v>
      </c>
      <c r="C17" s="114" t="s">
        <v>407</v>
      </c>
      <c r="D17" s="114">
        <v>20</v>
      </c>
      <c r="E17" s="114">
        <v>3</v>
      </c>
      <c r="F17" s="114" t="s">
        <v>350</v>
      </c>
      <c r="G17" s="114">
        <v>40</v>
      </c>
      <c r="H17" s="114">
        <v>90</v>
      </c>
      <c r="I17" s="114">
        <f t="shared" si="0"/>
        <v>6.5</v>
      </c>
      <c r="J17" s="115" t="s">
        <v>994</v>
      </c>
      <c r="K17" s="115" t="s">
        <v>995</v>
      </c>
      <c r="L17" s="114"/>
      <c r="M17" s="114"/>
      <c r="N17" s="114"/>
    </row>
    <row r="18" spans="1:14" ht="30" customHeight="1">
      <c r="A18" s="114">
        <v>8</v>
      </c>
      <c r="B18" s="115" t="s">
        <v>1438</v>
      </c>
      <c r="C18" s="114" t="s">
        <v>345</v>
      </c>
      <c r="D18" s="114">
        <v>20</v>
      </c>
      <c r="E18" s="114">
        <v>5</v>
      </c>
      <c r="F18" s="114" t="s">
        <v>274</v>
      </c>
      <c r="G18" s="114">
        <v>40</v>
      </c>
      <c r="H18" s="114">
        <v>75</v>
      </c>
      <c r="I18" s="114">
        <f t="shared" si="0"/>
        <v>10.6</v>
      </c>
      <c r="J18" s="115" t="s">
        <v>1543</v>
      </c>
      <c r="K18" s="115" t="s">
        <v>1439</v>
      </c>
      <c r="L18" s="114"/>
      <c r="M18" s="114"/>
      <c r="N18" s="114">
        <v>60</v>
      </c>
    </row>
    <row r="19" spans="1:14" ht="30" customHeight="1">
      <c r="A19" s="114">
        <v>9</v>
      </c>
      <c r="B19" s="115" t="s">
        <v>481</v>
      </c>
      <c r="C19" s="114" t="s">
        <v>269</v>
      </c>
      <c r="D19" s="114">
        <v>30</v>
      </c>
      <c r="E19" s="114">
        <v>3</v>
      </c>
      <c r="F19" s="114" t="s">
        <v>274</v>
      </c>
      <c r="G19" s="114">
        <v>40</v>
      </c>
      <c r="H19" s="114">
        <v>75</v>
      </c>
      <c r="I19" s="114">
        <f t="shared" si="0"/>
        <v>6.8</v>
      </c>
      <c r="J19" s="115" t="s">
        <v>996</v>
      </c>
      <c r="K19" s="115" t="s">
        <v>997</v>
      </c>
      <c r="L19" s="114"/>
      <c r="M19" s="114"/>
      <c r="N19" s="114">
        <v>60</v>
      </c>
    </row>
    <row r="20" spans="1:14" ht="30" customHeight="1">
      <c r="A20" s="114">
        <v>10</v>
      </c>
      <c r="B20" s="115" t="s">
        <v>998</v>
      </c>
      <c r="C20" s="114" t="s">
        <v>295</v>
      </c>
      <c r="D20" s="114">
        <v>15</v>
      </c>
      <c r="E20" s="114">
        <v>3</v>
      </c>
      <c r="F20" s="145" t="s">
        <v>1615</v>
      </c>
      <c r="G20" s="114">
        <v>40</v>
      </c>
      <c r="H20" s="114">
        <v>10</v>
      </c>
      <c r="I20" s="114">
        <f t="shared" si="0"/>
        <v>2.5</v>
      </c>
      <c r="J20" s="115" t="s">
        <v>1616</v>
      </c>
      <c r="K20" s="115" t="s">
        <v>999</v>
      </c>
      <c r="L20" s="114"/>
      <c r="M20" s="114" t="s">
        <v>391</v>
      </c>
      <c r="N20" s="114"/>
    </row>
    <row r="21" spans="1:14" ht="30" customHeight="1">
      <c r="A21" s="114">
        <v>11</v>
      </c>
      <c r="B21" s="115" t="s">
        <v>594</v>
      </c>
      <c r="C21" s="114" t="s">
        <v>295</v>
      </c>
      <c r="D21" s="114">
        <v>15</v>
      </c>
      <c r="E21" s="114">
        <v>3</v>
      </c>
      <c r="F21" s="145" t="s">
        <v>1615</v>
      </c>
      <c r="G21" s="114">
        <v>40</v>
      </c>
      <c r="H21" s="114">
        <v>60</v>
      </c>
      <c r="I21" s="114">
        <f t="shared" si="0"/>
        <v>5</v>
      </c>
      <c r="J21" s="115" t="s">
        <v>1617</v>
      </c>
      <c r="K21" s="115" t="s">
        <v>1000</v>
      </c>
      <c r="L21" s="114"/>
      <c r="M21" s="114" t="s">
        <v>391</v>
      </c>
      <c r="N21" s="114"/>
    </row>
    <row r="22" spans="1:14" ht="30" customHeight="1">
      <c r="A22" s="114">
        <v>12</v>
      </c>
      <c r="B22" s="115" t="s">
        <v>318</v>
      </c>
      <c r="C22" s="114" t="s">
        <v>313</v>
      </c>
      <c r="D22" s="114">
        <v>20</v>
      </c>
      <c r="E22" s="114">
        <v>3</v>
      </c>
      <c r="F22" s="114" t="s">
        <v>289</v>
      </c>
      <c r="G22" s="114">
        <v>40</v>
      </c>
      <c r="H22" s="114">
        <v>60</v>
      </c>
      <c r="I22" s="114">
        <f t="shared" si="0"/>
        <v>5</v>
      </c>
      <c r="J22" s="115" t="s">
        <v>1481</v>
      </c>
      <c r="K22" s="115" t="s">
        <v>1001</v>
      </c>
      <c r="L22" s="114"/>
      <c r="M22" s="114"/>
      <c r="N22" s="114"/>
    </row>
    <row r="23" spans="1:14">
      <c r="A23" s="116"/>
      <c r="B23" s="116"/>
      <c r="C23" s="116"/>
      <c r="D23" s="116" t="s">
        <v>321</v>
      </c>
      <c r="E23" s="116">
        <f>SUM(E11:E22)</f>
        <v>39</v>
      </c>
      <c r="F23" s="116"/>
      <c r="G23" s="116"/>
      <c r="H23" s="116"/>
      <c r="I23" s="116">
        <f>ROUND(SUM(I11:I22),0)</f>
        <v>89</v>
      </c>
    </row>
    <row r="25" spans="1:14">
      <c r="A25" s="107" t="s">
        <v>1002</v>
      </c>
    </row>
    <row r="26" spans="1:14">
      <c r="A26" s="117" t="s">
        <v>1003</v>
      </c>
    </row>
    <row r="27" spans="1:14">
      <c r="A27" s="117" t="s">
        <v>1004</v>
      </c>
    </row>
    <row r="28" spans="1:14">
      <c r="A28" s="117" t="s">
        <v>1005</v>
      </c>
    </row>
    <row r="29" spans="1:14">
      <c r="A29" s="117" t="s">
        <v>1499</v>
      </c>
    </row>
    <row r="30" spans="1:14">
      <c r="A30" s="117" t="s">
        <v>1006</v>
      </c>
    </row>
    <row r="32" spans="1:14">
      <c r="A32" s="107" t="s">
        <v>1007</v>
      </c>
    </row>
    <row r="33" spans="1:1">
      <c r="A33" s="117" t="s">
        <v>1008</v>
      </c>
    </row>
    <row r="34" spans="1:1">
      <c r="A34" s="117" t="s">
        <v>1248</v>
      </c>
    </row>
    <row r="35" spans="1:1">
      <c r="A35" s="117" t="s">
        <v>1009</v>
      </c>
    </row>
    <row r="37" spans="1:1">
      <c r="A37" s="107" t="s">
        <v>954</v>
      </c>
    </row>
    <row r="38" spans="1:1">
      <c r="A38" s="117" t="s">
        <v>1635</v>
      </c>
    </row>
    <row r="39" spans="1:1">
      <c r="A39" s="117" t="s">
        <v>1010</v>
      </c>
    </row>
    <row r="40" spans="1:1">
      <c r="A40" s="117" t="s">
        <v>1636</v>
      </c>
    </row>
    <row r="42" spans="1:1">
      <c r="A42" s="107" t="s">
        <v>985</v>
      </c>
    </row>
    <row r="43" spans="1:1">
      <c r="A43" s="117" t="s">
        <v>1508</v>
      </c>
    </row>
    <row r="44" spans="1:1">
      <c r="A44" s="117" t="s">
        <v>1011</v>
      </c>
    </row>
    <row r="45" spans="1:1">
      <c r="A45" s="117" t="s">
        <v>1480</v>
      </c>
    </row>
    <row r="46" spans="1:1">
      <c r="A46" s="117" t="s">
        <v>1249</v>
      </c>
    </row>
    <row r="47" spans="1:1">
      <c r="A47" s="117" t="s">
        <v>1012</v>
      </c>
    </row>
    <row r="48" spans="1:1">
      <c r="A48" s="117" t="s">
        <v>987</v>
      </c>
    </row>
    <row r="50" spans="3:3">
      <c r="C50" s="118" t="s">
        <v>1013</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1371</v>
      </c>
    </row>
    <row r="2" spans="1:5">
      <c r="A2" t="s">
        <v>1352</v>
      </c>
    </row>
    <row r="4" spans="1:5">
      <c r="A4" s="99" t="s">
        <v>1372</v>
      </c>
    </row>
    <row r="5" spans="1:5">
      <c r="A5" s="140" t="s">
        <v>1353</v>
      </c>
      <c r="B5" s="140" t="s">
        <v>1354</v>
      </c>
      <c r="C5" s="140" t="s">
        <v>1355</v>
      </c>
      <c r="D5" s="140" t="s">
        <v>1356</v>
      </c>
      <c r="E5" s="140" t="s">
        <v>1259</v>
      </c>
    </row>
    <row r="6" spans="1:5">
      <c r="A6" s="139">
        <v>46301</v>
      </c>
      <c r="B6" t="s">
        <v>1357</v>
      </c>
      <c r="C6" t="s">
        <v>1358</v>
      </c>
      <c r="D6" t="s">
        <v>28</v>
      </c>
      <c r="E6" t="s">
        <v>1359</v>
      </c>
    </row>
    <row r="7" spans="1:5">
      <c r="A7" s="139">
        <v>46307</v>
      </c>
      <c r="B7" t="s">
        <v>1360</v>
      </c>
      <c r="C7" t="s">
        <v>1358</v>
      </c>
      <c r="D7" t="s">
        <v>28</v>
      </c>
      <c r="E7" t="s">
        <v>1359</v>
      </c>
    </row>
    <row r="8" spans="1:5">
      <c r="A8" s="139">
        <v>46319</v>
      </c>
      <c r="B8" t="s">
        <v>1360</v>
      </c>
      <c r="C8" t="s">
        <v>1358</v>
      </c>
      <c r="D8" t="s">
        <v>1361</v>
      </c>
      <c r="E8" t="s">
        <v>1359</v>
      </c>
    </row>
    <row r="10" spans="1:5">
      <c r="A10" s="99" t="s">
        <v>1254</v>
      </c>
    </row>
    <row r="11" spans="1:5">
      <c r="A11" t="s">
        <v>1362</v>
      </c>
    </row>
    <row r="12" spans="1:5">
      <c r="A12" t="s">
        <v>1363</v>
      </c>
    </row>
    <row r="13" spans="1:5">
      <c r="A13" t="s">
        <v>1364</v>
      </c>
    </row>
    <row r="14" spans="1:5">
      <c r="A14" t="s">
        <v>1365</v>
      </c>
    </row>
    <row r="15" spans="1:5">
      <c r="A15" t="s">
        <v>1366</v>
      </c>
    </row>
    <row r="16" spans="1:5">
      <c r="A16" t="s">
        <v>1367</v>
      </c>
    </row>
    <row r="17" spans="1:1">
      <c r="A17" t="s">
        <v>1368</v>
      </c>
    </row>
    <row r="18" spans="1:1">
      <c r="A18" t="s">
        <v>1369</v>
      </c>
    </row>
    <row r="19" spans="1:1">
      <c r="A19" t="s">
        <v>1370</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50"/>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1457</v>
      </c>
    </row>
    <row r="4" spans="1:3">
      <c r="A4" s="107" t="s">
        <v>329</v>
      </c>
    </row>
    <row r="5" spans="1:3">
      <c r="A5" s="108" t="s">
        <v>255</v>
      </c>
      <c r="B5" s="108" t="s">
        <v>330</v>
      </c>
      <c r="C5" s="108" t="s">
        <v>148</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332</v>
      </c>
    </row>
    <row r="13" spans="1:3">
      <c r="A13" s="110" t="s">
        <v>963</v>
      </c>
    </row>
    <row r="14" spans="1:3">
      <c r="A14" s="110" t="s">
        <v>335</v>
      </c>
    </row>
    <row r="16" spans="1:3">
      <c r="A16" s="107" t="s">
        <v>252</v>
      </c>
    </row>
    <row r="17" spans="1:14" ht="15" customHeight="1">
      <c r="A17" s="111" t="s">
        <v>253</v>
      </c>
      <c r="B17" s="111" t="s">
        <v>76</v>
      </c>
      <c r="C17" s="111" t="s">
        <v>254</v>
      </c>
      <c r="D17" s="111" t="s">
        <v>255</v>
      </c>
      <c r="E17" s="111" t="s">
        <v>148</v>
      </c>
      <c r="F17" s="111" t="s">
        <v>256</v>
      </c>
      <c r="G17" s="111" t="s">
        <v>257</v>
      </c>
      <c r="H17" s="111" t="s">
        <v>258</v>
      </c>
      <c r="I17" s="111" t="s">
        <v>259</v>
      </c>
      <c r="J17" s="111" t="s">
        <v>261</v>
      </c>
      <c r="K17" s="111" t="s">
        <v>262</v>
      </c>
      <c r="L17" s="111" t="s">
        <v>263</v>
      </c>
      <c r="M17" s="111" t="s">
        <v>264</v>
      </c>
      <c r="N17" s="111" t="s">
        <v>265</v>
      </c>
    </row>
    <row r="18" spans="1:14" ht="30" customHeight="1">
      <c r="A18" s="112">
        <v>1</v>
      </c>
      <c r="B18" s="113" t="s">
        <v>86</v>
      </c>
      <c r="C18" s="112" t="s">
        <v>337</v>
      </c>
      <c r="D18" s="112">
        <f>시작중량_설정!$E$9</f>
        <v>41</v>
      </c>
      <c r="E18" s="112">
        <v>4</v>
      </c>
      <c r="F18" s="112">
        <v>8</v>
      </c>
      <c r="G18" s="112">
        <v>50</v>
      </c>
      <c r="H18" s="112">
        <v>180</v>
      </c>
      <c r="I18" s="112">
        <f t="shared" ref="I18:I22" si="0">IF(E18=0,0,ROUND((E18*(G18+H18)+N18)/60,1))</f>
        <v>15.3</v>
      </c>
      <c r="J18" s="113" t="s">
        <v>1525</v>
      </c>
      <c r="K18" s="113" t="s">
        <v>1014</v>
      </c>
      <c r="L18" s="112" t="s">
        <v>1015</v>
      </c>
      <c r="M18" s="112"/>
      <c r="N18" s="112"/>
    </row>
    <row r="19" spans="1:14" ht="30" customHeight="1">
      <c r="A19" s="114">
        <v>2</v>
      </c>
      <c r="B19" s="115" t="s">
        <v>517</v>
      </c>
      <c r="C19" s="114" t="s">
        <v>349</v>
      </c>
      <c r="D19" s="144">
        <f>시작중량_설정!$E$12</f>
        <v>42</v>
      </c>
      <c r="E19" s="114">
        <v>3</v>
      </c>
      <c r="F19" s="114">
        <v>10</v>
      </c>
      <c r="G19" s="114">
        <v>40</v>
      </c>
      <c r="H19" s="114">
        <v>150</v>
      </c>
      <c r="I19" s="114">
        <f t="shared" si="0"/>
        <v>9.5</v>
      </c>
      <c r="J19" s="115" t="s">
        <v>1562</v>
      </c>
      <c r="K19" s="115" t="s">
        <v>1016</v>
      </c>
      <c r="L19" s="114"/>
      <c r="M19" s="114"/>
      <c r="N19" s="114"/>
    </row>
    <row r="20" spans="1:14" ht="30" customHeight="1">
      <c r="A20" s="114">
        <v>3</v>
      </c>
      <c r="B20" s="115" t="s">
        <v>1662</v>
      </c>
      <c r="C20" s="114" t="s">
        <v>349</v>
      </c>
      <c r="D20" s="114" t="s">
        <v>27</v>
      </c>
      <c r="E20" s="114">
        <v>3</v>
      </c>
      <c r="F20" s="114" t="s">
        <v>350</v>
      </c>
      <c r="G20" s="114">
        <v>40</v>
      </c>
      <c r="H20" s="114">
        <v>105</v>
      </c>
      <c r="I20" s="114">
        <f t="shared" si="0"/>
        <v>7.3</v>
      </c>
      <c r="J20" s="115" t="s">
        <v>1663</v>
      </c>
      <c r="K20" s="115" t="s">
        <v>1664</v>
      </c>
      <c r="L20" s="114"/>
      <c r="M20" s="114"/>
      <c r="N20" s="114"/>
    </row>
    <row r="21" spans="1:14" ht="30" customHeight="1">
      <c r="A21" s="114">
        <v>4</v>
      </c>
      <c r="B21" s="115" t="s">
        <v>343</v>
      </c>
      <c r="C21" s="114" t="s">
        <v>337</v>
      </c>
      <c r="D21" s="114">
        <v>55</v>
      </c>
      <c r="E21" s="114">
        <v>3</v>
      </c>
      <c r="F21" s="114" t="s">
        <v>274</v>
      </c>
      <c r="G21" s="114">
        <v>40</v>
      </c>
      <c r="H21" s="114">
        <v>120</v>
      </c>
      <c r="I21" s="114">
        <f t="shared" si="0"/>
        <v>8</v>
      </c>
      <c r="J21" s="115" t="s">
        <v>1017</v>
      </c>
      <c r="K21" s="115" t="s">
        <v>1018</v>
      </c>
      <c r="L21" s="114" t="s">
        <v>1019</v>
      </c>
      <c r="M21" s="114"/>
      <c r="N21" s="114"/>
    </row>
    <row r="22" spans="1:14" ht="30" customHeight="1">
      <c r="A22" s="114">
        <v>5</v>
      </c>
      <c r="B22" s="115" t="s">
        <v>1020</v>
      </c>
      <c r="C22" s="114" t="s">
        <v>354</v>
      </c>
      <c r="D22" s="114">
        <v>5</v>
      </c>
      <c r="E22" s="114">
        <v>4</v>
      </c>
      <c r="F22" s="114" t="s">
        <v>304</v>
      </c>
      <c r="G22" s="114">
        <v>60</v>
      </c>
      <c r="H22" s="114">
        <v>60</v>
      </c>
      <c r="I22" s="114">
        <f t="shared" si="0"/>
        <v>8</v>
      </c>
      <c r="J22" s="115" t="s">
        <v>1221</v>
      </c>
      <c r="K22" s="115" t="s">
        <v>1021</v>
      </c>
      <c r="L22" s="114"/>
      <c r="M22" s="114"/>
      <c r="N22" s="114"/>
    </row>
    <row r="23" spans="1:14" ht="30" customHeight="1">
      <c r="A23" s="114">
        <v>6</v>
      </c>
      <c r="B23" s="115" t="s">
        <v>1226</v>
      </c>
      <c r="C23" s="114" t="s">
        <v>1231</v>
      </c>
      <c r="D23" s="114">
        <v>10</v>
      </c>
      <c r="E23" s="114">
        <v>3</v>
      </c>
      <c r="F23" s="114" t="s">
        <v>1227</v>
      </c>
      <c r="G23" s="114">
        <v>60</v>
      </c>
      <c r="H23" s="114">
        <v>60</v>
      </c>
      <c r="I23" s="114">
        <f>IF(E23=0,0,ROUND((E23*(G23+H23)+N23)/60,1))</f>
        <v>6</v>
      </c>
      <c r="J23" s="115" t="s">
        <v>1228</v>
      </c>
      <c r="K23" s="115" t="s">
        <v>1232</v>
      </c>
      <c r="L23" s="114"/>
      <c r="M23" s="114"/>
      <c r="N23" s="114"/>
    </row>
    <row r="24" spans="1:14" ht="30" customHeight="1">
      <c r="A24" s="114">
        <v>7</v>
      </c>
      <c r="B24" s="135" t="s">
        <v>1325</v>
      </c>
      <c r="C24" s="114" t="s">
        <v>1222</v>
      </c>
      <c r="D24" s="114">
        <v>8</v>
      </c>
      <c r="E24" s="114">
        <v>3</v>
      </c>
      <c r="F24" s="114" t="s">
        <v>1223</v>
      </c>
      <c r="G24" s="114">
        <v>40</v>
      </c>
      <c r="H24" s="114">
        <v>60</v>
      </c>
      <c r="I24" s="114">
        <f>IF(E24=0,0,ROUND((E24*(G24+H24)+N24)/60,1))</f>
        <v>6</v>
      </c>
      <c r="J24" s="115" t="s">
        <v>1224</v>
      </c>
      <c r="K24" s="115" t="s">
        <v>1225</v>
      </c>
      <c r="L24" s="114"/>
      <c r="M24" s="114"/>
      <c r="N24" s="114">
        <v>60</v>
      </c>
    </row>
    <row r="25" spans="1:14" ht="30" customHeight="1">
      <c r="A25" s="114">
        <v>8</v>
      </c>
      <c r="B25" s="115" t="s">
        <v>1233</v>
      </c>
      <c r="C25" s="114" t="s">
        <v>1231</v>
      </c>
      <c r="D25" s="114">
        <v>35</v>
      </c>
      <c r="E25" s="114">
        <v>4</v>
      </c>
      <c r="F25" s="114" t="s">
        <v>1223</v>
      </c>
      <c r="G25" s="114">
        <v>40</v>
      </c>
      <c r="H25" s="114">
        <v>60</v>
      </c>
      <c r="I25" s="114">
        <f>IF(E25=0,0,ROUND((E25*(G25+H25)+N25)/60,1))</f>
        <v>6.7</v>
      </c>
      <c r="J25" s="115" t="s">
        <v>1311</v>
      </c>
      <c r="K25" s="115" t="s">
        <v>1234</v>
      </c>
      <c r="L25" s="114"/>
      <c r="M25" s="114"/>
      <c r="N25" s="114"/>
    </row>
    <row r="26" spans="1:14" ht="30" customHeight="1">
      <c r="A26" s="114">
        <v>9</v>
      </c>
      <c r="B26" s="115" t="s">
        <v>1621</v>
      </c>
      <c r="C26" s="114" t="s">
        <v>285</v>
      </c>
      <c r="D26" s="144" t="s">
        <v>27</v>
      </c>
      <c r="E26" s="114">
        <v>4</v>
      </c>
      <c r="F26" s="114" t="s">
        <v>289</v>
      </c>
      <c r="G26" s="114">
        <v>40</v>
      </c>
      <c r="H26" s="114">
        <v>60</v>
      </c>
      <c r="I26" s="114">
        <f>IF(E26=0,0,ROUND((E26*(G26+H26)+N26)/60,1))</f>
        <v>6.7</v>
      </c>
      <c r="J26" s="115" t="s">
        <v>1661</v>
      </c>
      <c r="K26" s="115" t="s">
        <v>1652</v>
      </c>
      <c r="L26" s="114"/>
      <c r="M26" s="114"/>
      <c r="N26" s="114"/>
    </row>
    <row r="27" spans="1:14" ht="30" customHeight="1">
      <c r="A27" s="114">
        <v>10</v>
      </c>
      <c r="B27" s="115" t="s">
        <v>533</v>
      </c>
      <c r="C27" s="114" t="s">
        <v>299</v>
      </c>
      <c r="D27" s="114">
        <v>20</v>
      </c>
      <c r="E27" s="114">
        <v>3</v>
      </c>
      <c r="F27" s="114">
        <v>12</v>
      </c>
      <c r="G27" s="114">
        <v>40</v>
      </c>
      <c r="H27" s="114">
        <v>60</v>
      </c>
      <c r="I27" s="114">
        <f t="shared" ref="I27:I28" si="1">IF(E27=0,0,ROUND((E27*(G27+H27)+N27)/60,1))</f>
        <v>5</v>
      </c>
      <c r="J27" s="115" t="s">
        <v>1455</v>
      </c>
      <c r="K27" s="115" t="s">
        <v>1039</v>
      </c>
      <c r="L27" s="114"/>
      <c r="M27" s="114"/>
      <c r="N27" s="114"/>
    </row>
    <row r="28" spans="1:14" ht="30" customHeight="1">
      <c r="A28" s="114">
        <v>11</v>
      </c>
      <c r="B28" s="115" t="s">
        <v>298</v>
      </c>
      <c r="C28" s="114" t="s">
        <v>299</v>
      </c>
      <c r="D28" s="114" t="s">
        <v>283</v>
      </c>
      <c r="E28" s="114">
        <v>3</v>
      </c>
      <c r="F28" s="114" t="s">
        <v>289</v>
      </c>
      <c r="G28" s="114">
        <v>40</v>
      </c>
      <c r="H28" s="114">
        <v>60</v>
      </c>
      <c r="I28" s="114">
        <f t="shared" si="1"/>
        <v>5</v>
      </c>
      <c r="J28" s="115" t="s">
        <v>1456</v>
      </c>
      <c r="K28" s="115" t="s">
        <v>1040</v>
      </c>
      <c r="L28" s="114"/>
      <c r="M28" s="114"/>
      <c r="N28" s="114"/>
    </row>
    <row r="29" spans="1:14">
      <c r="A29" s="116"/>
      <c r="B29" s="116"/>
      <c r="C29" s="116"/>
      <c r="D29" s="116" t="s">
        <v>321</v>
      </c>
      <c r="E29" s="116">
        <f>SUM(E18:E28)</f>
        <v>37</v>
      </c>
      <c r="F29" s="116"/>
      <c r="G29" s="116"/>
      <c r="H29" s="116"/>
      <c r="I29" s="116">
        <f>ROUND(SUM(I18:I28),0)</f>
        <v>84</v>
      </c>
    </row>
    <row r="31" spans="1:14">
      <c r="A31" s="107" t="s">
        <v>1022</v>
      </c>
    </row>
    <row r="32" spans="1:14">
      <c r="A32" s="117" t="s">
        <v>979</v>
      </c>
    </row>
    <row r="33" spans="1:1">
      <c r="A33" s="117" t="s">
        <v>1023</v>
      </c>
    </row>
    <row r="34" spans="1:1">
      <c r="A34" s="117" t="s">
        <v>1024</v>
      </c>
    </row>
    <row r="35" spans="1:1">
      <c r="A35" s="117" t="s">
        <v>1025</v>
      </c>
    </row>
    <row r="37" spans="1:1">
      <c r="A37" s="107" t="s">
        <v>1026</v>
      </c>
    </row>
    <row r="38" spans="1:1">
      <c r="A38" s="117" t="s">
        <v>1027</v>
      </c>
    </row>
    <row r="39" spans="1:1">
      <c r="A39" s="117" t="s">
        <v>1028</v>
      </c>
    </row>
    <row r="41" spans="1:1">
      <c r="A41" s="107" t="s">
        <v>954</v>
      </c>
    </row>
    <row r="42" spans="1:1">
      <c r="A42" s="117" t="s">
        <v>1471</v>
      </c>
    </row>
    <row r="43" spans="1:1">
      <c r="A43" s="117" t="s">
        <v>1029</v>
      </c>
    </row>
    <row r="44" spans="1:1">
      <c r="A44" s="117" t="s">
        <v>1458</v>
      </c>
    </row>
    <row r="46" spans="1:1">
      <c r="A46" s="107" t="s">
        <v>1229</v>
      </c>
    </row>
    <row r="47" spans="1:1">
      <c r="A47" s="117" t="s">
        <v>1230</v>
      </c>
    </row>
    <row r="48" spans="1:1">
      <c r="A48" s="117" t="s">
        <v>1030</v>
      </c>
    </row>
    <row r="50" spans="3:3">
      <c r="C50" s="118" t="s">
        <v>1235</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1459</v>
      </c>
    </row>
    <row r="4" spans="1:14">
      <c r="A4" s="107" t="s">
        <v>990</v>
      </c>
    </row>
    <row r="5" spans="1:14">
      <c r="A5" s="110" t="s">
        <v>1414</v>
      </c>
    </row>
    <row r="6" spans="1:14">
      <c r="A6" s="110" t="s">
        <v>1415</v>
      </c>
    </row>
    <row r="7" spans="1:14">
      <c r="A7" s="110" t="s">
        <v>335</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556</v>
      </c>
      <c r="C11" s="114" t="s">
        <v>375</v>
      </c>
      <c r="D11" s="144">
        <f>시작중량_설정!$E$16</f>
        <v>25</v>
      </c>
      <c r="E11" s="114">
        <v>4</v>
      </c>
      <c r="F11" s="114">
        <v>12</v>
      </c>
      <c r="G11" s="114">
        <v>40</v>
      </c>
      <c r="H11" s="114">
        <v>120</v>
      </c>
      <c r="I11" s="114">
        <f>IF(E11=0,0,ROUND((E11*(G11+H11)+N11)/60,1))</f>
        <v>10.7</v>
      </c>
      <c r="J11" s="115" t="s">
        <v>1585</v>
      </c>
      <c r="K11" s="115" t="s">
        <v>1069</v>
      </c>
      <c r="L11" s="114"/>
      <c r="M11" s="114"/>
      <c r="N11" s="114"/>
    </row>
    <row r="12" spans="1:14" ht="30" customHeight="1">
      <c r="A12" s="114">
        <v>2</v>
      </c>
      <c r="B12" s="115" t="s">
        <v>492</v>
      </c>
      <c r="C12" s="114" t="s">
        <v>393</v>
      </c>
      <c r="D12" s="114">
        <v>15</v>
      </c>
      <c r="E12" s="114">
        <v>3</v>
      </c>
      <c r="F12" s="114" t="s">
        <v>304</v>
      </c>
      <c r="G12" s="114">
        <v>60</v>
      </c>
      <c r="H12" s="114">
        <v>75</v>
      </c>
      <c r="I12" s="114">
        <f>IF(E12=0,0,ROUND((E12*(G12+H12)+N12)/60,1))</f>
        <v>6.8</v>
      </c>
      <c r="J12" s="115" t="s">
        <v>1394</v>
      </c>
      <c r="K12" s="115" t="s">
        <v>1070</v>
      </c>
      <c r="L12" s="114"/>
      <c r="M12" s="114"/>
      <c r="N12" s="114"/>
    </row>
    <row r="13" spans="1:14" ht="30" customHeight="1">
      <c r="A13" s="114">
        <v>3</v>
      </c>
      <c r="B13" s="115" t="s">
        <v>387</v>
      </c>
      <c r="C13" s="114" t="s">
        <v>388</v>
      </c>
      <c r="D13" s="114">
        <v>40</v>
      </c>
      <c r="E13" s="114">
        <v>4</v>
      </c>
      <c r="F13" s="114" t="s">
        <v>289</v>
      </c>
      <c r="G13" s="114">
        <v>40</v>
      </c>
      <c r="H13" s="114">
        <v>10</v>
      </c>
      <c r="I13" s="114">
        <f>IF(E13=0,0,ROUND((E13*(G13+H13)+N13)/60,1))</f>
        <v>3.3</v>
      </c>
      <c r="J13" s="115" t="s">
        <v>1395</v>
      </c>
      <c r="K13" s="115" t="s">
        <v>973</v>
      </c>
      <c r="L13" s="114"/>
      <c r="M13" s="114" t="s">
        <v>391</v>
      </c>
      <c r="N13" s="114"/>
    </row>
    <row r="14" spans="1:14" ht="30" customHeight="1">
      <c r="A14" s="114">
        <v>4</v>
      </c>
      <c r="B14" s="115" t="s">
        <v>392</v>
      </c>
      <c r="C14" s="114" t="s">
        <v>393</v>
      </c>
      <c r="D14" s="114">
        <v>60</v>
      </c>
      <c r="E14" s="114">
        <v>4</v>
      </c>
      <c r="F14" s="114" t="s">
        <v>289</v>
      </c>
      <c r="G14" s="114">
        <v>40</v>
      </c>
      <c r="H14" s="114">
        <v>120</v>
      </c>
      <c r="I14" s="114">
        <f>IF(E14=0,0,ROUND((E14*(G14+H14)+N14)/60,1))</f>
        <v>10.7</v>
      </c>
      <c r="J14" s="115" t="s">
        <v>1413</v>
      </c>
      <c r="K14" s="115" t="s">
        <v>975</v>
      </c>
      <c r="L14" s="114"/>
      <c r="M14" s="114" t="s">
        <v>391</v>
      </c>
      <c r="N14" s="114"/>
    </row>
    <row r="15" spans="1:14" ht="30" customHeight="1">
      <c r="A15" s="114">
        <v>5</v>
      </c>
      <c r="B15" s="115" t="s">
        <v>567</v>
      </c>
      <c r="C15" s="114" t="s">
        <v>369</v>
      </c>
      <c r="D15" s="114">
        <v>47</v>
      </c>
      <c r="E15" s="114">
        <v>5</v>
      </c>
      <c r="F15" s="114" t="s">
        <v>350</v>
      </c>
      <c r="G15" s="114">
        <v>40</v>
      </c>
      <c r="H15" s="114">
        <v>120</v>
      </c>
      <c r="I15" s="114">
        <f t="shared" ref="I15" si="0">IF(E15=0,0,ROUND((E15*(G15+H15)+N15)/60,1))</f>
        <v>13.3</v>
      </c>
      <c r="J15" s="115" t="s">
        <v>1645</v>
      </c>
      <c r="K15" s="115" t="s">
        <v>968</v>
      </c>
      <c r="L15" s="114"/>
      <c r="M15" s="114"/>
      <c r="N15" s="114"/>
    </row>
    <row r="16" spans="1:14" ht="30" customHeight="1">
      <c r="A16" s="114">
        <v>6</v>
      </c>
      <c r="B16" s="115" t="s">
        <v>588</v>
      </c>
      <c r="C16" s="114" t="s">
        <v>345</v>
      </c>
      <c r="D16" s="144">
        <f>시작중량_설정!$E$20</f>
        <v>15</v>
      </c>
      <c r="E16" s="114">
        <v>4</v>
      </c>
      <c r="F16" s="114">
        <v>10</v>
      </c>
      <c r="G16" s="114">
        <v>40</v>
      </c>
      <c r="H16" s="114">
        <v>75</v>
      </c>
      <c r="I16" s="114">
        <f t="shared" ref="I16:I23" si="1">IF(E16=0,0,ROUND((E16*(G16+H16)+N16)/60,1))</f>
        <v>8.6999999999999993</v>
      </c>
      <c r="J16" s="115" t="s">
        <v>1603</v>
      </c>
      <c r="K16" s="115" t="s">
        <v>1444</v>
      </c>
      <c r="L16" s="114"/>
      <c r="M16" s="114"/>
      <c r="N16" s="114">
        <v>60</v>
      </c>
    </row>
    <row r="17" spans="1:14" ht="30" customHeight="1">
      <c r="A17" s="114">
        <v>7</v>
      </c>
      <c r="B17" s="115" t="s">
        <v>591</v>
      </c>
      <c r="C17" s="114" t="s">
        <v>269</v>
      </c>
      <c r="D17" s="114">
        <v>6</v>
      </c>
      <c r="E17" s="114">
        <v>4</v>
      </c>
      <c r="F17" s="114" t="s">
        <v>274</v>
      </c>
      <c r="G17" s="114">
        <v>40</v>
      </c>
      <c r="H17" s="114">
        <v>75</v>
      </c>
      <c r="I17" s="114">
        <f t="shared" si="1"/>
        <v>7.7</v>
      </c>
      <c r="J17" s="115" t="s">
        <v>1312</v>
      </c>
      <c r="K17" s="115" t="s">
        <v>1031</v>
      </c>
      <c r="L17" s="114"/>
      <c r="M17" s="114"/>
      <c r="N17" s="114"/>
    </row>
    <row r="18" spans="1:14" ht="30" customHeight="1">
      <c r="A18" s="114">
        <v>8</v>
      </c>
      <c r="B18" s="115" t="s">
        <v>1386</v>
      </c>
      <c r="C18" s="114" t="s">
        <v>269</v>
      </c>
      <c r="D18" s="114">
        <v>8</v>
      </c>
      <c r="E18" s="114">
        <v>3</v>
      </c>
      <c r="F18" s="114" t="s">
        <v>274</v>
      </c>
      <c r="G18" s="114">
        <v>40</v>
      </c>
      <c r="H18" s="114">
        <v>75</v>
      </c>
      <c r="I18" s="114">
        <f t="shared" si="1"/>
        <v>5.8</v>
      </c>
      <c r="J18" s="115" t="s">
        <v>1388</v>
      </c>
      <c r="K18" s="115" t="s">
        <v>1387</v>
      </c>
      <c r="L18" s="114"/>
      <c r="M18" s="114"/>
      <c r="N18" s="114"/>
    </row>
    <row r="19" spans="1:14" ht="30" customHeight="1">
      <c r="A19" s="114">
        <v>9</v>
      </c>
      <c r="B19" s="115" t="s">
        <v>439</v>
      </c>
      <c r="C19" s="114" t="s">
        <v>295</v>
      </c>
      <c r="D19" s="144">
        <f>시작중량_설정!$E$21</f>
        <v>15</v>
      </c>
      <c r="E19" s="114">
        <v>3</v>
      </c>
      <c r="F19" s="114">
        <v>12</v>
      </c>
      <c r="G19" s="114">
        <v>40</v>
      </c>
      <c r="H19" s="114">
        <v>70</v>
      </c>
      <c r="I19" s="114">
        <f t="shared" si="1"/>
        <v>5.5</v>
      </c>
      <c r="J19" s="115" t="s">
        <v>1607</v>
      </c>
      <c r="K19" s="115" t="s">
        <v>1032</v>
      </c>
      <c r="L19" s="114"/>
      <c r="M19" s="114"/>
      <c r="N19" s="114"/>
    </row>
    <row r="20" spans="1:14" ht="30" customHeight="1">
      <c r="A20" s="114">
        <v>10</v>
      </c>
      <c r="B20" s="115" t="s">
        <v>998</v>
      </c>
      <c r="C20" s="114" t="s">
        <v>295</v>
      </c>
      <c r="D20" s="114">
        <v>10</v>
      </c>
      <c r="E20" s="114">
        <v>0</v>
      </c>
      <c r="F20" s="145" t="s">
        <v>1615</v>
      </c>
      <c r="G20" s="114">
        <v>40</v>
      </c>
      <c r="H20" s="114">
        <v>10</v>
      </c>
      <c r="I20" s="114">
        <f t="shared" si="1"/>
        <v>0</v>
      </c>
      <c r="J20" s="115" t="s">
        <v>1618</v>
      </c>
      <c r="K20" s="115" t="s">
        <v>999</v>
      </c>
      <c r="L20" s="114"/>
      <c r="M20" s="114" t="s">
        <v>391</v>
      </c>
      <c r="N20" s="114"/>
    </row>
    <row r="21" spans="1:14" ht="30" customHeight="1">
      <c r="A21" s="114">
        <v>11</v>
      </c>
      <c r="B21" s="115" t="s">
        <v>594</v>
      </c>
      <c r="C21" s="114" t="s">
        <v>295</v>
      </c>
      <c r="D21" s="114">
        <v>7.5</v>
      </c>
      <c r="E21" s="114">
        <v>3</v>
      </c>
      <c r="F21" s="145" t="s">
        <v>1615</v>
      </c>
      <c r="G21" s="114">
        <v>40</v>
      </c>
      <c r="H21" s="114">
        <v>60</v>
      </c>
      <c r="I21" s="114">
        <f t="shared" si="1"/>
        <v>5</v>
      </c>
      <c r="J21" s="115" t="s">
        <v>1619</v>
      </c>
      <c r="K21" s="115" t="s">
        <v>1000</v>
      </c>
      <c r="L21" s="114"/>
      <c r="M21" s="114" t="s">
        <v>391</v>
      </c>
      <c r="N21" s="114"/>
    </row>
    <row r="22" spans="1:14" ht="30" customHeight="1">
      <c r="A22" s="114">
        <v>12</v>
      </c>
      <c r="B22" s="115" t="s">
        <v>1033</v>
      </c>
      <c r="C22" s="114" t="s">
        <v>912</v>
      </c>
      <c r="D22" s="114">
        <v>2.5</v>
      </c>
      <c r="E22" s="114">
        <v>3</v>
      </c>
      <c r="F22" s="114" t="s">
        <v>289</v>
      </c>
      <c r="G22" s="114">
        <v>40</v>
      </c>
      <c r="H22" s="114">
        <v>60</v>
      </c>
      <c r="I22" s="114">
        <f t="shared" si="1"/>
        <v>5</v>
      </c>
      <c r="J22" s="115" t="s">
        <v>1034</v>
      </c>
      <c r="K22" s="115" t="s">
        <v>1035</v>
      </c>
      <c r="L22" s="114"/>
      <c r="M22" s="114"/>
      <c r="N22" s="114"/>
    </row>
    <row r="23" spans="1:14" ht="30" customHeight="1">
      <c r="A23" s="114">
        <v>13</v>
      </c>
      <c r="B23" s="115" t="s">
        <v>1036</v>
      </c>
      <c r="C23" s="114" t="s">
        <v>912</v>
      </c>
      <c r="D23" s="114">
        <v>2.5</v>
      </c>
      <c r="E23" s="114">
        <v>3</v>
      </c>
      <c r="F23" s="114" t="s">
        <v>289</v>
      </c>
      <c r="G23" s="114">
        <v>40</v>
      </c>
      <c r="H23" s="114">
        <v>60</v>
      </c>
      <c r="I23" s="114">
        <f t="shared" si="1"/>
        <v>5</v>
      </c>
      <c r="J23" s="115" t="s">
        <v>1037</v>
      </c>
      <c r="K23" s="115" t="s">
        <v>1038</v>
      </c>
      <c r="L23" s="114"/>
      <c r="M23" s="114"/>
      <c r="N23" s="114"/>
    </row>
    <row r="24" spans="1:14">
      <c r="A24" s="116"/>
      <c r="B24" s="116"/>
      <c r="C24" s="116"/>
      <c r="D24" s="116" t="s">
        <v>321</v>
      </c>
      <c r="E24" s="116">
        <f>SUM(E11:E23)</f>
        <v>43</v>
      </c>
      <c r="F24" s="116"/>
      <c r="G24" s="116"/>
      <c r="H24" s="116"/>
      <c r="I24" s="116">
        <f>ROUND(SUM(I11:I23),0)</f>
        <v>88</v>
      </c>
    </row>
    <row r="26" spans="1:14">
      <c r="A26" s="107" t="s">
        <v>1397</v>
      </c>
    </row>
    <row r="27" spans="1:14">
      <c r="A27" s="117" t="s">
        <v>1460</v>
      </c>
    </row>
    <row r="28" spans="1:14">
      <c r="A28" s="117" t="s">
        <v>1041</v>
      </c>
    </row>
    <row r="29" spans="1:14">
      <c r="A29" s="117" t="s">
        <v>1042</v>
      </c>
    </row>
    <row r="31" spans="1:14">
      <c r="A31" s="107" t="s">
        <v>1461</v>
      </c>
    </row>
    <row r="32" spans="1:14">
      <c r="A32" s="117" t="s">
        <v>1043</v>
      </c>
    </row>
    <row r="33" spans="1:1">
      <c r="A33" s="117" t="s">
        <v>1044</v>
      </c>
    </row>
    <row r="34" spans="1:1">
      <c r="A34" s="117" t="s">
        <v>1045</v>
      </c>
    </row>
    <row r="35" spans="1:1">
      <c r="A35" s="117" t="s">
        <v>1046</v>
      </c>
    </row>
    <row r="36" spans="1:1">
      <c r="A36" s="117" t="s">
        <v>1047</v>
      </c>
    </row>
    <row r="38" spans="1:1">
      <c r="A38" s="107" t="s">
        <v>954</v>
      </c>
    </row>
    <row r="39" spans="1:1">
      <c r="A39" s="117" t="s">
        <v>1462</v>
      </c>
    </row>
    <row r="40" spans="1:1">
      <c r="A40" s="117" t="s">
        <v>1463</v>
      </c>
    </row>
    <row r="42" spans="1:1">
      <c r="A42" s="107" t="s">
        <v>1048</v>
      </c>
    </row>
    <row r="43" spans="1:1">
      <c r="A43" s="117" t="s">
        <v>1416</v>
      </c>
    </row>
    <row r="44" spans="1:1">
      <c r="A44" s="117" t="s">
        <v>1049</v>
      </c>
    </row>
    <row r="45" spans="1:1">
      <c r="A45" s="117" t="s">
        <v>1050</v>
      </c>
    </row>
    <row r="47" spans="1:1">
      <c r="A47" s="107" t="s">
        <v>985</v>
      </c>
    </row>
    <row r="48" spans="1:1">
      <c r="A48" s="117" t="s">
        <v>1051</v>
      </c>
    </row>
    <row r="49" spans="1:3">
      <c r="A49" s="117" t="s">
        <v>1052</v>
      </c>
    </row>
    <row r="50" spans="1:3">
      <c r="A50" s="117" t="s">
        <v>1053</v>
      </c>
    </row>
    <row r="51" spans="1:3">
      <c r="A51" s="117" t="s">
        <v>1054</v>
      </c>
    </row>
    <row r="52" spans="1:3">
      <c r="A52" s="117" t="s">
        <v>987</v>
      </c>
    </row>
    <row r="54" spans="1:3">
      <c r="C54" s="118" t="s">
        <v>1055</v>
      </c>
    </row>
    <row r="56" spans="1:3">
      <c r="A56" s="131" t="s">
        <v>1401</v>
      </c>
    </row>
    <row r="57" spans="1:3">
      <c r="A57" t="s">
        <v>1420</v>
      </c>
    </row>
    <row r="58" spans="1:3">
      <c r="A58" t="s">
        <v>1398</v>
      </c>
    </row>
    <row r="59" spans="1:3">
      <c r="A59" t="s">
        <v>1399</v>
      </c>
    </row>
    <row r="60" spans="1:3">
      <c r="A60" t="s">
        <v>1417</v>
      </c>
    </row>
    <row r="61" spans="1:3">
      <c r="A61" t="s">
        <v>1418</v>
      </c>
    </row>
    <row r="62" spans="1:3">
      <c r="A62" t="s">
        <v>1421</v>
      </c>
    </row>
    <row r="63" spans="1:3">
      <c r="A63" t="s">
        <v>1452</v>
      </c>
    </row>
    <row r="64" spans="1:3">
      <c r="C64" t="s">
        <v>1400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9"/>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1056</v>
      </c>
    </row>
    <row r="4" spans="1:3">
      <c r="A4" s="107" t="s">
        <v>549</v>
      </c>
    </row>
    <row r="5" spans="1:3">
      <c r="A5" s="108" t="s">
        <v>255</v>
      </c>
      <c r="B5" s="108" t="s">
        <v>330</v>
      </c>
      <c r="C5" s="108" t="s">
        <v>148</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1425</v>
      </c>
    </row>
    <row r="13" spans="1:3">
      <c r="A13" s="108" t="s">
        <v>255</v>
      </c>
      <c r="B13" s="108" t="s">
        <v>330</v>
      </c>
      <c r="C13" s="108" t="s">
        <v>148</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28</v>
      </c>
      <c r="B17" s="109">
        <v>2</v>
      </c>
      <c r="C17" s="109">
        <v>1</v>
      </c>
    </row>
    <row r="18" spans="1:14">
      <c r="A18" s="109">
        <f>시작중량_설정!$E$10</f>
        <v>31</v>
      </c>
      <c r="B18" s="109">
        <v>8</v>
      </c>
      <c r="C18" s="109">
        <v>3</v>
      </c>
    </row>
    <row r="20" spans="1:14">
      <c r="A20" s="107" t="s">
        <v>1057</v>
      </c>
    </row>
    <row r="21" spans="1:14">
      <c r="A21" s="110" t="s">
        <v>1058</v>
      </c>
    </row>
    <row r="22" spans="1:14">
      <c r="A22" s="110" t="s">
        <v>963</v>
      </c>
    </row>
    <row r="23" spans="1:14">
      <c r="A23" s="110" t="s">
        <v>1059</v>
      </c>
    </row>
    <row r="24" spans="1:14">
      <c r="A24" s="110" t="s">
        <v>335</v>
      </c>
    </row>
    <row r="26" spans="1:14">
      <c r="A26" s="107" t="s">
        <v>252</v>
      </c>
    </row>
    <row r="27" spans="1:14" ht="15" customHeight="1">
      <c r="A27" s="111" t="s">
        <v>253</v>
      </c>
      <c r="B27" s="111" t="s">
        <v>76</v>
      </c>
      <c r="C27" s="111" t="s">
        <v>254</v>
      </c>
      <c r="D27" s="111" t="s">
        <v>255</v>
      </c>
      <c r="E27" s="111" t="s">
        <v>148</v>
      </c>
      <c r="F27" s="111" t="s">
        <v>256</v>
      </c>
      <c r="G27" s="111" t="s">
        <v>257</v>
      </c>
      <c r="H27" s="111" t="s">
        <v>258</v>
      </c>
      <c r="I27" s="111" t="s">
        <v>259</v>
      </c>
      <c r="J27" s="111" t="s">
        <v>261</v>
      </c>
      <c r="K27" s="111" t="s">
        <v>262</v>
      </c>
      <c r="L27" s="111" t="s">
        <v>263</v>
      </c>
      <c r="M27" s="111" t="s">
        <v>264</v>
      </c>
      <c r="N27" s="111" t="s">
        <v>265</v>
      </c>
    </row>
    <row r="28" spans="1:14" ht="30" customHeight="1">
      <c r="A28" s="112">
        <v>1</v>
      </c>
      <c r="B28" s="113" t="s">
        <v>84</v>
      </c>
      <c r="C28" s="112" t="s">
        <v>313</v>
      </c>
      <c r="D28" s="112">
        <f>시작중량_설정!$E$8</f>
        <v>80</v>
      </c>
      <c r="E28" s="112">
        <v>1</v>
      </c>
      <c r="F28" s="112">
        <v>5</v>
      </c>
      <c r="G28" s="112">
        <v>30</v>
      </c>
      <c r="H28" s="112">
        <v>180</v>
      </c>
      <c r="I28" s="112">
        <f t="shared" ref="I28:I38" si="0">IF(E28=0,0,ROUND((E28*(G28+H28)+N28)/60,1))</f>
        <v>3.5</v>
      </c>
      <c r="J28" s="113" t="s">
        <v>1060</v>
      </c>
      <c r="K28" s="113" t="s">
        <v>1061</v>
      </c>
      <c r="L28" s="112"/>
      <c r="M28" s="112"/>
      <c r="N28" s="112"/>
    </row>
    <row r="29" spans="1:14" ht="30" customHeight="1">
      <c r="A29" s="114">
        <v>2</v>
      </c>
      <c r="B29" s="115" t="s">
        <v>1062</v>
      </c>
      <c r="C29" s="114" t="s">
        <v>313</v>
      </c>
      <c r="D29" s="114">
        <f>MAX(20,MROUND(시작중량_설정!$E$8*0.82,1))</f>
        <v>66</v>
      </c>
      <c r="E29" s="114">
        <v>2</v>
      </c>
      <c r="F29" s="114">
        <v>5</v>
      </c>
      <c r="G29" s="114">
        <v>30</v>
      </c>
      <c r="H29" s="114">
        <v>180</v>
      </c>
      <c r="I29" s="114">
        <f t="shared" si="0"/>
        <v>7</v>
      </c>
      <c r="J29" s="115" t="s">
        <v>1504</v>
      </c>
      <c r="K29" s="115" t="s">
        <v>1063</v>
      </c>
      <c r="L29" s="114"/>
      <c r="M29" s="114"/>
      <c r="N29" s="114"/>
    </row>
    <row r="30" spans="1:14" ht="30" customHeight="1">
      <c r="A30" s="114">
        <v>3</v>
      </c>
      <c r="B30" s="115" t="s">
        <v>559</v>
      </c>
      <c r="C30" s="114" t="s">
        <v>384</v>
      </c>
      <c r="D30" s="144">
        <f>시작중량_설정!$E$15</f>
        <v>50</v>
      </c>
      <c r="E30" s="114">
        <v>3</v>
      </c>
      <c r="F30" s="114">
        <v>10</v>
      </c>
      <c r="G30" s="114">
        <v>45</v>
      </c>
      <c r="H30" s="114">
        <v>150</v>
      </c>
      <c r="I30" s="114">
        <f t="shared" si="0"/>
        <v>9.8000000000000007</v>
      </c>
      <c r="J30" s="115" t="s">
        <v>1580</v>
      </c>
      <c r="K30" s="115" t="s">
        <v>1064</v>
      </c>
      <c r="L30" s="114"/>
      <c r="M30" s="114"/>
      <c r="N30" s="114"/>
    </row>
    <row r="31" spans="1:14" ht="30" customHeight="1">
      <c r="A31" s="114">
        <v>4</v>
      </c>
      <c r="B31" s="115" t="s">
        <v>1065</v>
      </c>
      <c r="C31" s="114" t="s">
        <v>375</v>
      </c>
      <c r="D31" s="144">
        <f>시작중량_설정!$E$14</f>
        <v>140</v>
      </c>
      <c r="E31" s="114">
        <v>4</v>
      </c>
      <c r="F31" s="114">
        <v>10</v>
      </c>
      <c r="G31" s="114">
        <v>45</v>
      </c>
      <c r="H31" s="114">
        <v>150</v>
      </c>
      <c r="I31" s="114">
        <f t="shared" si="0"/>
        <v>13</v>
      </c>
      <c r="J31" s="115" t="s">
        <v>1576</v>
      </c>
      <c r="K31" s="115" t="s">
        <v>1066</v>
      </c>
      <c r="L31" s="114"/>
      <c r="M31" s="114"/>
      <c r="N31" s="114"/>
    </row>
    <row r="32" spans="1:14" ht="30" customHeight="1">
      <c r="A32" s="114">
        <v>5</v>
      </c>
      <c r="B32" s="115" t="s">
        <v>1657</v>
      </c>
      <c r="C32" s="114" t="s">
        <v>384</v>
      </c>
      <c r="D32" s="114">
        <v>30</v>
      </c>
      <c r="E32" s="114">
        <v>3</v>
      </c>
      <c r="F32" s="145" t="s">
        <v>350</v>
      </c>
      <c r="G32" s="114">
        <v>60</v>
      </c>
      <c r="H32" s="114">
        <v>120</v>
      </c>
      <c r="I32" s="114">
        <f t="shared" si="0"/>
        <v>9</v>
      </c>
      <c r="J32" s="115" t="s">
        <v>1670</v>
      </c>
      <c r="K32" s="115" t="s">
        <v>1658</v>
      </c>
      <c r="L32" s="114"/>
      <c r="M32" s="114"/>
      <c r="N32" s="114"/>
    </row>
    <row r="33" spans="1:14" ht="30" customHeight="1">
      <c r="A33" s="112">
        <v>6</v>
      </c>
      <c r="B33" s="113" t="s">
        <v>1426</v>
      </c>
      <c r="C33" s="112" t="s">
        <v>429</v>
      </c>
      <c r="D33" s="112">
        <f>시작중량_설정!$E$10</f>
        <v>31</v>
      </c>
      <c r="E33" s="112">
        <v>3</v>
      </c>
      <c r="F33" s="112">
        <v>8</v>
      </c>
      <c r="G33" s="112">
        <v>50</v>
      </c>
      <c r="H33" s="112">
        <v>180</v>
      </c>
      <c r="I33" s="112">
        <f t="shared" si="0"/>
        <v>11.5</v>
      </c>
      <c r="J33" s="113" t="s">
        <v>1510</v>
      </c>
      <c r="K33" s="113" t="s">
        <v>1511</v>
      </c>
      <c r="L33" s="112" t="s">
        <v>507</v>
      </c>
      <c r="M33" s="112"/>
      <c r="N33" s="112"/>
    </row>
    <row r="34" spans="1:14" ht="30" customHeight="1">
      <c r="A34" s="114">
        <v>7</v>
      </c>
      <c r="B34" s="135" t="s">
        <v>1515</v>
      </c>
      <c r="C34" s="114" t="s">
        <v>1516</v>
      </c>
      <c r="D34" s="114">
        <v>14</v>
      </c>
      <c r="E34" s="114">
        <v>3</v>
      </c>
      <c r="F34" s="114" t="s">
        <v>1494</v>
      </c>
      <c r="G34" s="114">
        <v>40</v>
      </c>
      <c r="H34" s="114">
        <v>120</v>
      </c>
      <c r="I34" s="114">
        <f t="shared" si="0"/>
        <v>8</v>
      </c>
      <c r="J34" s="115" t="s">
        <v>1675</v>
      </c>
      <c r="K34" s="115" t="s">
        <v>1517</v>
      </c>
      <c r="L34" s="114"/>
      <c r="M34" s="114"/>
      <c r="N34" s="114"/>
    </row>
    <row r="35" spans="1:14" ht="30" customHeight="1">
      <c r="A35" s="114">
        <v>8</v>
      </c>
      <c r="B35" s="115" t="s">
        <v>1512</v>
      </c>
      <c r="C35" s="114" t="s">
        <v>1222</v>
      </c>
      <c r="D35" s="114">
        <v>8</v>
      </c>
      <c r="E35" s="114">
        <v>3</v>
      </c>
      <c r="F35" s="114" t="s">
        <v>1223</v>
      </c>
      <c r="G35" s="114">
        <v>40</v>
      </c>
      <c r="H35" s="114">
        <v>60</v>
      </c>
      <c r="I35" s="114">
        <f t="shared" si="0"/>
        <v>6</v>
      </c>
      <c r="J35" s="115" t="s">
        <v>1513</v>
      </c>
      <c r="K35" s="115" t="s">
        <v>1514</v>
      </c>
      <c r="L35" s="114"/>
      <c r="M35" s="114"/>
      <c r="N35" s="114">
        <v>60</v>
      </c>
    </row>
    <row r="36" spans="1:14" ht="30" customHeight="1">
      <c r="A36" s="114">
        <v>9</v>
      </c>
      <c r="B36" s="115" t="s">
        <v>523</v>
      </c>
      <c r="C36" s="114" t="s">
        <v>358</v>
      </c>
      <c r="D36" s="114">
        <v>15</v>
      </c>
      <c r="E36" s="114">
        <v>3</v>
      </c>
      <c r="F36" s="114" t="s">
        <v>289</v>
      </c>
      <c r="G36" s="114">
        <v>40</v>
      </c>
      <c r="H36" s="114">
        <v>60</v>
      </c>
      <c r="I36" s="114">
        <f t="shared" si="0"/>
        <v>5</v>
      </c>
      <c r="J36" s="115" t="s">
        <v>1067</v>
      </c>
      <c r="K36" s="115" t="s">
        <v>1068</v>
      </c>
      <c r="L36" s="114"/>
      <c r="M36" s="114"/>
      <c r="N36" s="114"/>
    </row>
    <row r="37" spans="1:14" ht="30" customHeight="1">
      <c r="A37" s="114">
        <v>10</v>
      </c>
      <c r="B37" s="115" t="s">
        <v>1544</v>
      </c>
      <c r="C37" s="114" t="s">
        <v>285</v>
      </c>
      <c r="D37" s="114">
        <v>10</v>
      </c>
      <c r="E37" s="114">
        <v>3</v>
      </c>
      <c r="F37" s="114" t="s">
        <v>303</v>
      </c>
      <c r="G37" s="114">
        <v>40</v>
      </c>
      <c r="H37" s="114">
        <v>60</v>
      </c>
      <c r="I37" s="114">
        <f>IF(E37=0,0,ROUND((E37*(G37+H37)+N37)/60,1))</f>
        <v>5</v>
      </c>
      <c r="J37" s="115" t="s">
        <v>1545</v>
      </c>
      <c r="K37" s="115" t="s">
        <v>1546</v>
      </c>
      <c r="L37" s="114"/>
      <c r="M37" s="114"/>
      <c r="N37" s="114"/>
    </row>
    <row r="38" spans="1:14" ht="30" customHeight="1">
      <c r="A38" s="114">
        <v>11</v>
      </c>
      <c r="B38" s="115" t="s">
        <v>307</v>
      </c>
      <c r="C38" s="114" t="s">
        <v>308</v>
      </c>
      <c r="D38" s="114">
        <v>16</v>
      </c>
      <c r="E38" s="114">
        <v>6</v>
      </c>
      <c r="F38" s="114" t="s">
        <v>289</v>
      </c>
      <c r="G38" s="114">
        <v>40</v>
      </c>
      <c r="H38" s="114">
        <v>75</v>
      </c>
      <c r="I38" s="114">
        <f t="shared" si="0"/>
        <v>11.5</v>
      </c>
      <c r="J38" s="115" t="s">
        <v>1071</v>
      </c>
      <c r="K38" s="115" t="s">
        <v>1072</v>
      </c>
      <c r="L38" s="114"/>
      <c r="M38" s="114"/>
      <c r="N38" s="114"/>
    </row>
    <row r="39" spans="1:14">
      <c r="A39" s="116"/>
      <c r="B39" s="116"/>
      <c r="C39" s="116"/>
      <c r="D39" s="116" t="s">
        <v>321</v>
      </c>
      <c r="E39" s="116">
        <f>SUM(E28:E38)</f>
        <v>34</v>
      </c>
      <c r="F39" s="116"/>
      <c r="G39" s="116"/>
      <c r="H39" s="116"/>
      <c r="I39" s="116">
        <f>ROUND(SUM(I28:I38),0)</f>
        <v>89</v>
      </c>
    </row>
    <row r="41" spans="1:14">
      <c r="A41" s="107" t="s">
        <v>1073</v>
      </c>
    </row>
    <row r="42" spans="1:14">
      <c r="A42" s="117" t="s">
        <v>1074</v>
      </c>
    </row>
    <row r="43" spans="1:14">
      <c r="A43" s="117" t="s">
        <v>1075</v>
      </c>
    </row>
    <row r="44" spans="1:14">
      <c r="A44" s="117" t="s">
        <v>1076</v>
      </c>
    </row>
    <row r="45" spans="1:14">
      <c r="A45" s="117" t="s">
        <v>1427</v>
      </c>
    </row>
    <row r="46" spans="1:14">
      <c r="A46" s="117" t="s">
        <v>1428</v>
      </c>
    </row>
    <row r="47" spans="1:14">
      <c r="A47" s="117" t="s">
        <v>1402</v>
      </c>
    </row>
    <row r="49" spans="1:1">
      <c r="A49" s="107" t="s">
        <v>1077</v>
      </c>
    </row>
    <row r="50" spans="1:1">
      <c r="A50" s="117" t="s">
        <v>1078</v>
      </c>
    </row>
    <row r="51" spans="1:1">
      <c r="A51" s="117" t="s">
        <v>1403</v>
      </c>
    </row>
    <row r="52" spans="1:1">
      <c r="A52" s="117" t="s">
        <v>1079</v>
      </c>
    </row>
    <row r="53" spans="1:1">
      <c r="A53" s="117" t="s">
        <v>1404</v>
      </c>
    </row>
    <row r="54" spans="1:1">
      <c r="A54" s="117" t="s">
        <v>1405</v>
      </c>
    </row>
    <row r="56" spans="1:1">
      <c r="A56" s="107" t="s">
        <v>1080</v>
      </c>
    </row>
    <row r="57" spans="1:1">
      <c r="A57" s="117" t="s">
        <v>1081</v>
      </c>
    </row>
    <row r="58" spans="1:1">
      <c r="A58" s="117" t="s">
        <v>1082</v>
      </c>
    </row>
    <row r="59" spans="1:1">
      <c r="A59" s="117" t="s">
        <v>1083</v>
      </c>
    </row>
    <row r="60" spans="1:1">
      <c r="A60" s="117" t="s">
        <v>1084</v>
      </c>
    </row>
    <row r="61" spans="1:1">
      <c r="A61" s="117" t="s">
        <v>1453</v>
      </c>
    </row>
    <row r="63" spans="1:1">
      <c r="A63" s="107" t="s">
        <v>1085</v>
      </c>
    </row>
    <row r="64" spans="1:1">
      <c r="A64" s="117" t="s">
        <v>1086</v>
      </c>
    </row>
    <row r="65" spans="1:3">
      <c r="A65" s="117" t="s">
        <v>1087</v>
      </c>
    </row>
    <row r="66" spans="1:3">
      <c r="A66" s="117" t="s">
        <v>1088</v>
      </c>
    </row>
    <row r="68" spans="1:3">
      <c r="A68" s="107" t="s">
        <v>954</v>
      </c>
    </row>
    <row r="69" spans="1:3">
      <c r="A69" s="117" t="s">
        <v>1519</v>
      </c>
    </row>
    <row r="70" spans="1:3">
      <c r="A70" s="117" t="s">
        <v>1520</v>
      </c>
    </row>
    <row r="72" spans="1:3">
      <c r="A72" s="107" t="s">
        <v>985</v>
      </c>
    </row>
    <row r="73" spans="1:3">
      <c r="A73" s="117" t="s">
        <v>1518</v>
      </c>
    </row>
    <row r="74" spans="1:3">
      <c r="A74" s="117" t="s">
        <v>1089</v>
      </c>
    </row>
    <row r="75" spans="1:3">
      <c r="A75" s="117" t="s">
        <v>1090</v>
      </c>
    </row>
    <row r="76" spans="1:3">
      <c r="A76" s="117" t="s">
        <v>1406</v>
      </c>
    </row>
    <row r="77" spans="1:3">
      <c r="A77" s="117" t="s">
        <v>987</v>
      </c>
    </row>
    <row r="79" spans="1:3">
      <c r="C79" s="118" t="s">
        <v>1091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1092</v>
      </c>
    </row>
    <row r="4" spans="1:14">
      <c r="A4" s="107" t="s">
        <v>990</v>
      </c>
    </row>
    <row r="5" spans="1:14">
      <c r="A5" s="110" t="s">
        <v>1093</v>
      </c>
    </row>
    <row r="6" spans="1:14">
      <c r="A6" s="110" t="s">
        <v>963</v>
      </c>
    </row>
    <row r="7" spans="1:14">
      <c r="A7" s="110" t="s">
        <v>991</v>
      </c>
    </row>
    <row r="9" spans="1:14">
      <c r="A9" s="107" t="s">
        <v>252</v>
      </c>
    </row>
    <row r="10" spans="1:14" ht="15" customHeight="1">
      <c r="A10" s="111" t="s">
        <v>253</v>
      </c>
      <c r="B10" s="111" t="s">
        <v>76</v>
      </c>
      <c r="C10" s="111" t="s">
        <v>254</v>
      </c>
      <c r="D10" s="111" t="s">
        <v>255</v>
      </c>
      <c r="E10" s="111" t="s">
        <v>148</v>
      </c>
      <c r="F10" s="111" t="s">
        <v>256</v>
      </c>
      <c r="G10" s="111" t="s">
        <v>257</v>
      </c>
      <c r="H10" s="111" t="s">
        <v>258</v>
      </c>
      <c r="I10" s="111" t="s">
        <v>259</v>
      </c>
      <c r="J10" s="111" t="s">
        <v>261</v>
      </c>
      <c r="K10" s="111" t="s">
        <v>262</v>
      </c>
      <c r="L10" s="111" t="s">
        <v>263</v>
      </c>
      <c r="M10" s="111" t="s">
        <v>264</v>
      </c>
      <c r="N10" s="111" t="s">
        <v>265</v>
      </c>
    </row>
    <row r="11" spans="1:14" ht="30" customHeight="1">
      <c r="A11" s="114">
        <v>1</v>
      </c>
      <c r="B11" s="115" t="s">
        <v>266</v>
      </c>
      <c r="C11" s="114" t="s">
        <v>267</v>
      </c>
      <c r="D11" s="114">
        <v>45</v>
      </c>
      <c r="E11" s="114">
        <v>4</v>
      </c>
      <c r="F11" s="114" t="s">
        <v>268</v>
      </c>
      <c r="G11" s="114">
        <v>35</v>
      </c>
      <c r="H11" s="114">
        <v>150</v>
      </c>
      <c r="I11" s="114">
        <f t="shared" ref="I11:I24" si="0">IF(E11=0,0,ROUND((E11*(G11+H11)+N11)/60,1))</f>
        <v>12.3</v>
      </c>
      <c r="J11" s="115" t="s">
        <v>1094</v>
      </c>
      <c r="K11" s="115" t="s">
        <v>1095</v>
      </c>
      <c r="L11" s="114" t="s">
        <v>992</v>
      </c>
      <c r="M11" s="114"/>
      <c r="N11" s="114"/>
    </row>
    <row r="12" spans="1:14" ht="30" customHeight="1">
      <c r="A12" s="114">
        <v>2</v>
      </c>
      <c r="B12" s="115" t="s">
        <v>1563</v>
      </c>
      <c r="C12" s="114" t="s">
        <v>349</v>
      </c>
      <c r="D12" s="144">
        <f>시작중량_설정!$E$22</f>
        <v>40</v>
      </c>
      <c r="E12" s="114">
        <v>3</v>
      </c>
      <c r="F12" s="114">
        <v>8</v>
      </c>
      <c r="G12" s="114">
        <v>40</v>
      </c>
      <c r="H12" s="114">
        <v>150</v>
      </c>
      <c r="I12" s="114">
        <f>IF(E12=0,0,ROUND((E12*(G12+H12)+N12)/60,1))</f>
        <v>9.5</v>
      </c>
      <c r="J12" s="115" t="s">
        <v>1613</v>
      </c>
      <c r="K12" s="115" t="s">
        <v>1564</v>
      </c>
      <c r="L12" s="114"/>
      <c r="M12" s="114"/>
      <c r="N12" s="114"/>
    </row>
    <row r="13" spans="1:14" ht="30" customHeight="1">
      <c r="A13" s="114">
        <v>3</v>
      </c>
      <c r="B13" s="115" t="s">
        <v>1096</v>
      </c>
      <c r="C13" s="114" t="s">
        <v>267</v>
      </c>
      <c r="D13" s="114">
        <v>40</v>
      </c>
      <c r="E13" s="114">
        <v>3</v>
      </c>
      <c r="F13" s="114" t="s">
        <v>274</v>
      </c>
      <c r="G13" s="114">
        <v>40</v>
      </c>
      <c r="H13" s="114">
        <v>120</v>
      </c>
      <c r="I13" s="114">
        <f t="shared" si="0"/>
        <v>8</v>
      </c>
      <c r="J13" s="115" t="s">
        <v>1498</v>
      </c>
      <c r="K13" s="115" t="s">
        <v>1097</v>
      </c>
      <c r="L13" s="114"/>
      <c r="M13" s="114"/>
      <c r="N13" s="114"/>
    </row>
    <row r="14" spans="1:14" ht="30" customHeight="1">
      <c r="A14" s="114">
        <v>4</v>
      </c>
      <c r="B14" s="115" t="s">
        <v>427</v>
      </c>
      <c r="C14" s="114" t="s">
        <v>337</v>
      </c>
      <c r="D14" s="114">
        <v>35</v>
      </c>
      <c r="E14" s="114">
        <v>4</v>
      </c>
      <c r="F14" s="114" t="s">
        <v>289</v>
      </c>
      <c r="G14" s="114">
        <v>40</v>
      </c>
      <c r="H14" s="114">
        <v>105</v>
      </c>
      <c r="I14" s="114">
        <f>IF(E14=0,0,ROUND((E14*(G14+H14)+N14)/60,1))</f>
        <v>9.6999999999999993</v>
      </c>
      <c r="J14" s="115" t="s">
        <v>1473</v>
      </c>
      <c r="K14" s="115" t="s">
        <v>1103</v>
      </c>
      <c r="L14" s="114"/>
      <c r="M14" s="114"/>
      <c r="N14" s="114"/>
    </row>
    <row r="15" spans="1:14" ht="30" customHeight="1">
      <c r="A15" s="114">
        <v>5</v>
      </c>
      <c r="B15" s="115" t="s">
        <v>1098</v>
      </c>
      <c r="C15" s="114" t="s">
        <v>267</v>
      </c>
      <c r="D15" s="114">
        <v>55</v>
      </c>
      <c r="E15" s="114">
        <v>3</v>
      </c>
      <c r="F15" s="114" t="s">
        <v>274</v>
      </c>
      <c r="G15" s="114">
        <v>40</v>
      </c>
      <c r="H15" s="114">
        <v>120</v>
      </c>
      <c r="I15" s="114">
        <f t="shared" si="0"/>
        <v>9</v>
      </c>
      <c r="J15" s="115" t="s">
        <v>1296</v>
      </c>
      <c r="K15" s="115" t="s">
        <v>1099</v>
      </c>
      <c r="L15" s="114"/>
      <c r="M15" s="114"/>
      <c r="N15" s="114">
        <v>60</v>
      </c>
    </row>
    <row r="16" spans="1:14" ht="30" customHeight="1">
      <c r="A16" s="114">
        <v>6</v>
      </c>
      <c r="B16" s="115" t="s">
        <v>520</v>
      </c>
      <c r="C16" s="114" t="s">
        <v>337</v>
      </c>
      <c r="D16" s="114">
        <v>10</v>
      </c>
      <c r="E16" s="114">
        <v>3</v>
      </c>
      <c r="F16" s="114" t="s">
        <v>289</v>
      </c>
      <c r="G16" s="114">
        <v>40</v>
      </c>
      <c r="H16" s="114">
        <v>105</v>
      </c>
      <c r="I16" s="114">
        <f>IF(E16=0,0,ROUND((E16*(G16+H16)+N16)/60,1))</f>
        <v>8.3000000000000007</v>
      </c>
      <c r="J16" s="115" t="s">
        <v>1474</v>
      </c>
      <c r="K16" s="115" t="s">
        <v>1104</v>
      </c>
      <c r="L16" s="114"/>
      <c r="M16" s="114"/>
      <c r="N16" s="114">
        <v>60</v>
      </c>
    </row>
    <row r="17" spans="1:14" ht="30" customHeight="1">
      <c r="A17" s="114">
        <v>7</v>
      </c>
      <c r="B17" s="115" t="s">
        <v>1297</v>
      </c>
      <c r="C17" s="114" t="s">
        <v>1245</v>
      </c>
      <c r="D17" s="114">
        <v>20</v>
      </c>
      <c r="E17" s="114">
        <v>2</v>
      </c>
      <c r="F17" s="114" t="s">
        <v>1223</v>
      </c>
      <c r="G17" s="114">
        <v>40</v>
      </c>
      <c r="H17" s="114">
        <v>75</v>
      </c>
      <c r="I17" s="114">
        <f t="shared" ref="I17" si="1">IF(E17=0,0,ROUND((E17*(G17+H17)+N17)/60,1))</f>
        <v>3.8</v>
      </c>
      <c r="J17" s="115" t="s">
        <v>1298</v>
      </c>
      <c r="K17" s="115" t="s">
        <v>1299</v>
      </c>
      <c r="L17" s="114"/>
      <c r="M17" s="114"/>
      <c r="N17" s="114"/>
    </row>
    <row r="18" spans="1:14" ht="30" customHeight="1">
      <c r="A18" s="114">
        <v>8</v>
      </c>
      <c r="B18" s="115" t="s">
        <v>417</v>
      </c>
      <c r="C18" s="114" t="s">
        <v>418</v>
      </c>
      <c r="D18" s="144">
        <f>시작중량_설정!$E$17</f>
        <v>25</v>
      </c>
      <c r="E18" s="114">
        <v>3</v>
      </c>
      <c r="F18" s="114">
        <v>15</v>
      </c>
      <c r="G18" s="114">
        <v>40</v>
      </c>
      <c r="H18" s="114">
        <v>75</v>
      </c>
      <c r="I18" s="114">
        <f t="shared" si="0"/>
        <v>5.8</v>
      </c>
      <c r="J18" s="115" t="s">
        <v>1590</v>
      </c>
      <c r="K18" s="115" t="s">
        <v>1100</v>
      </c>
      <c r="L18" s="114"/>
      <c r="M18" s="114"/>
      <c r="N18" s="114"/>
    </row>
    <row r="19" spans="1:14" ht="30" customHeight="1">
      <c r="A19" s="114">
        <v>9</v>
      </c>
      <c r="B19" s="115" t="s">
        <v>288</v>
      </c>
      <c r="C19" s="114" t="s">
        <v>282</v>
      </c>
      <c r="D19" s="114">
        <v>25</v>
      </c>
      <c r="E19" s="114">
        <v>3</v>
      </c>
      <c r="F19" s="114" t="s">
        <v>289</v>
      </c>
      <c r="G19" s="114">
        <v>45</v>
      </c>
      <c r="H19" s="114">
        <v>60</v>
      </c>
      <c r="I19" s="114">
        <f t="shared" si="0"/>
        <v>5.3</v>
      </c>
      <c r="J19" s="115" t="s">
        <v>1101</v>
      </c>
      <c r="K19" s="115" t="s">
        <v>1102</v>
      </c>
      <c r="L19" s="114"/>
      <c r="M19" s="114"/>
      <c r="N19" s="114"/>
    </row>
    <row r="20" spans="1:14" ht="30" customHeight="1">
      <c r="A20" s="114">
        <v>10</v>
      </c>
      <c r="B20" s="115" t="s">
        <v>1538</v>
      </c>
      <c r="C20" s="114" t="s">
        <v>345</v>
      </c>
      <c r="D20" s="114">
        <v>25</v>
      </c>
      <c r="E20" s="114">
        <v>3</v>
      </c>
      <c r="F20" s="114" t="s">
        <v>303</v>
      </c>
      <c r="G20" s="114">
        <v>40</v>
      </c>
      <c r="H20" s="114">
        <v>70</v>
      </c>
      <c r="I20" s="114">
        <f t="shared" si="0"/>
        <v>5.5</v>
      </c>
      <c r="J20" s="115" t="s">
        <v>1540</v>
      </c>
      <c r="K20" s="115" t="s">
        <v>1105</v>
      </c>
      <c r="L20" s="114"/>
      <c r="M20" s="114"/>
      <c r="N20" s="114"/>
    </row>
    <row r="21" spans="1:14" ht="30" customHeight="1">
      <c r="A21" s="114">
        <v>11</v>
      </c>
      <c r="B21" s="115" t="s">
        <v>1106</v>
      </c>
      <c r="C21" s="114" t="s">
        <v>269</v>
      </c>
      <c r="D21" s="114">
        <v>25</v>
      </c>
      <c r="E21" s="114">
        <v>3</v>
      </c>
      <c r="F21" s="114" t="s">
        <v>274</v>
      </c>
      <c r="G21" s="114">
        <v>40</v>
      </c>
      <c r="H21" s="114">
        <v>75</v>
      </c>
      <c r="I21" s="114">
        <f t="shared" si="0"/>
        <v>5.8</v>
      </c>
      <c r="J21" s="75" t="s">
        <v>1253</v>
      </c>
      <c r="K21" s="115" t="s">
        <v>1107</v>
      </c>
      <c r="L21" s="114"/>
      <c r="M21" s="114"/>
      <c r="N21" s="114"/>
    </row>
    <row r="22" spans="1:14" ht="30" customHeight="1">
      <c r="A22" s="114">
        <v>12</v>
      </c>
      <c r="B22" s="115" t="s">
        <v>998</v>
      </c>
      <c r="C22" s="114" t="s">
        <v>295</v>
      </c>
      <c r="D22" s="114">
        <v>20</v>
      </c>
      <c r="E22" s="114">
        <v>2</v>
      </c>
      <c r="F22" s="145" t="s">
        <v>1615</v>
      </c>
      <c r="G22" s="114">
        <v>40</v>
      </c>
      <c r="H22" s="114">
        <v>10</v>
      </c>
      <c r="I22" s="114">
        <f t="shared" si="0"/>
        <v>1.7</v>
      </c>
      <c r="J22" s="115" t="s">
        <v>1620</v>
      </c>
      <c r="K22" s="115" t="s">
        <v>999</v>
      </c>
      <c r="L22" s="114"/>
      <c r="M22" s="114" t="s">
        <v>391</v>
      </c>
      <c r="N22" s="114"/>
    </row>
    <row r="23" spans="1:14" ht="30" customHeight="1">
      <c r="A23" s="114">
        <v>13</v>
      </c>
      <c r="B23" s="115" t="s">
        <v>594</v>
      </c>
      <c r="C23" s="114" t="s">
        <v>295</v>
      </c>
      <c r="D23" s="114">
        <v>15</v>
      </c>
      <c r="E23" s="114">
        <v>3</v>
      </c>
      <c r="F23" s="145" t="s">
        <v>1615</v>
      </c>
      <c r="G23" s="114">
        <v>40</v>
      </c>
      <c r="H23" s="114">
        <v>60</v>
      </c>
      <c r="I23" s="114">
        <f t="shared" si="0"/>
        <v>5</v>
      </c>
      <c r="J23" s="115" t="s">
        <v>1617</v>
      </c>
      <c r="K23" s="115" t="s">
        <v>1000</v>
      </c>
      <c r="L23" s="114"/>
      <c r="M23" s="114" t="s">
        <v>391</v>
      </c>
      <c r="N23" s="114"/>
    </row>
    <row r="24" spans="1:14" ht="30" customHeight="1">
      <c r="A24" s="114">
        <v>14</v>
      </c>
      <c r="B24" s="115" t="s">
        <v>318</v>
      </c>
      <c r="C24" s="114" t="s">
        <v>313</v>
      </c>
      <c r="D24" s="114">
        <v>12</v>
      </c>
      <c r="E24" s="114">
        <v>3</v>
      </c>
      <c r="F24" s="114" t="s">
        <v>289</v>
      </c>
      <c r="G24" s="114">
        <v>40</v>
      </c>
      <c r="H24" s="114">
        <v>60</v>
      </c>
      <c r="I24" s="114">
        <f t="shared" si="0"/>
        <v>5</v>
      </c>
      <c r="J24" s="115" t="s">
        <v>1108</v>
      </c>
      <c r="K24" s="115" t="s">
        <v>1109</v>
      </c>
      <c r="L24" s="114"/>
      <c r="M24" s="114"/>
      <c r="N24" s="114"/>
    </row>
    <row r="25" spans="1:14">
      <c r="A25" s="116"/>
      <c r="B25" s="116"/>
      <c r="C25" s="116"/>
      <c r="D25" s="116" t="s">
        <v>321</v>
      </c>
      <c r="E25" s="116">
        <f>SUM(E11:E24)</f>
        <v>42</v>
      </c>
      <c r="F25" s="116"/>
      <c r="G25" s="116"/>
      <c r="H25" s="116"/>
      <c r="I25" s="116">
        <f>ROUND(SUM(I11:I24),0)</f>
        <v>95</v>
      </c>
    </row>
    <row r="27" spans="1:14">
      <c r="A27" s="107" t="s">
        <v>1110</v>
      </c>
    </row>
    <row r="28" spans="1:14">
      <c r="A28" s="117" t="s">
        <v>1111</v>
      </c>
    </row>
    <row r="29" spans="1:14">
      <c r="A29" s="117" t="s">
        <v>1112</v>
      </c>
    </row>
    <row r="30" spans="1:14">
      <c r="A30" s="117" t="s">
        <v>1113</v>
      </c>
    </row>
    <row r="31" spans="1:14">
      <c r="A31" s="117" t="s">
        <v>1488</v>
      </c>
    </row>
    <row r="32" spans="1:14">
      <c r="A32" s="117" t="s">
        <v>1114</v>
      </c>
    </row>
    <row r="34" spans="1:1">
      <c r="A34" s="107" t="s">
        <v>1115</v>
      </c>
    </row>
    <row r="35" spans="1:1">
      <c r="A35" s="117" t="s">
        <v>1475</v>
      </c>
    </row>
    <row r="36" spans="1:1">
      <c r="A36" s="117" t="s">
        <v>1116</v>
      </c>
    </row>
    <row r="37" spans="1:1">
      <c r="A37" s="117" t="s">
        <v>1565</v>
      </c>
    </row>
    <row r="38" spans="1:1">
      <c r="A38" s="117" t="s">
        <v>1539</v>
      </c>
    </row>
    <row r="40" spans="1:1">
      <c r="A40" s="107" t="s">
        <v>954</v>
      </c>
    </row>
    <row r="41" spans="1:1">
      <c r="A41" s="117" t="s">
        <v>1445</v>
      </c>
    </row>
    <row r="42" spans="1:1">
      <c r="A42" s="117" t="s">
        <v>1304</v>
      </c>
    </row>
    <row r="43" spans="1:1">
      <c r="A43" s="117" t="s">
        <v>1305</v>
      </c>
    </row>
    <row r="45" spans="1:1">
      <c r="A45" s="107" t="s">
        <v>985</v>
      </c>
    </row>
    <row r="46" spans="1:1">
      <c r="A46" s="117" t="s">
        <v>1117</v>
      </c>
    </row>
    <row r="47" spans="1:1">
      <c r="A47" s="117" t="s">
        <v>1118</v>
      </c>
    </row>
    <row r="48" spans="1:1">
      <c r="A48" s="117" t="s">
        <v>1119</v>
      </c>
    </row>
    <row r="49" spans="1:3">
      <c r="A49" s="117" t="s">
        <v>1476</v>
      </c>
    </row>
    <row r="50" spans="1:3">
      <c r="A50" s="117" t="s">
        <v>1120</v>
      </c>
    </row>
    <row r="51" spans="1:3">
      <c r="A51" s="117" t="s">
        <v>1121</v>
      </c>
    </row>
    <row r="52" spans="1:3">
      <c r="A52" s="117" t="s">
        <v>987</v>
      </c>
    </row>
    <row r="54" spans="1:3">
      <c r="C54" s="118" t="s">
        <v>1300</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G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1326</v>
      </c>
    </row>
    <row r="2" spans="1:6">
      <c r="A2" s="127" t="s">
        <v>1639</v>
      </c>
    </row>
    <row r="4" spans="1:6" ht="15">
      <c r="A4" s="99" t="s">
        <v>1254</v>
      </c>
    </row>
    <row r="5" spans="1:6">
      <c r="A5" s="129" t="s">
        <v>2</v>
      </c>
      <c r="B5" s="129" t="s">
        <v>145</v>
      </c>
      <c r="C5" s="130"/>
      <c r="D5" s="130"/>
      <c r="E5" s="130"/>
      <c r="F5" s="129" t="s">
        <v>5</v>
      </c>
    </row>
    <row r="6" spans="1:6">
      <c r="A6" s="127" t="s">
        <v>894</v>
      </c>
      <c r="B6" s="151" t="s">
        <v>1255</v>
      </c>
      <c r="C6" s="151"/>
      <c r="D6" s="151"/>
      <c r="E6" s="151"/>
      <c r="F6" s="127" t="s">
        <v>1256</v>
      </c>
    </row>
    <row r="7" spans="1:6">
      <c r="A7" s="127" t="s">
        <v>76</v>
      </c>
      <c r="B7" s="151" t="s">
        <v>1257</v>
      </c>
      <c r="C7" s="151"/>
      <c r="D7" s="151"/>
      <c r="E7" s="151"/>
      <c r="F7" s="127" t="s">
        <v>1258</v>
      </c>
    </row>
    <row r="8" spans="1:6">
      <c r="A8" s="127" t="s">
        <v>1259</v>
      </c>
      <c r="B8" s="151" t="s">
        <v>1640</v>
      </c>
      <c r="C8" s="151"/>
      <c r="D8" s="151"/>
      <c r="E8" s="151"/>
      <c r="F8" s="127" t="s">
        <v>1260</v>
      </c>
    </row>
    <row r="9" spans="1:6">
      <c r="A9" s="127" t="s">
        <v>1261</v>
      </c>
      <c r="B9" s="151" t="s">
        <v>1262</v>
      </c>
      <c r="C9" s="151"/>
      <c r="D9" s="151"/>
      <c r="E9" s="151"/>
      <c r="F9" s="127" t="s">
        <v>1263</v>
      </c>
    </row>
    <row r="10" spans="1:6">
      <c r="A10" s="127" t="s">
        <v>1264</v>
      </c>
      <c r="B10" s="151" t="s">
        <v>1644</v>
      </c>
      <c r="C10" s="151"/>
      <c r="D10" s="151"/>
      <c r="E10" s="151"/>
      <c r="F10" s="127" t="s">
        <v>1327</v>
      </c>
    </row>
    <row r="11" spans="1:6">
      <c r="A11" s="127" t="s">
        <v>1265</v>
      </c>
      <c r="B11" s="151" t="s">
        <v>1266</v>
      </c>
      <c r="C11" s="151"/>
      <c r="D11" s="151"/>
      <c r="E11" s="151"/>
      <c r="F11" s="127" t="s">
        <v>1321</v>
      </c>
    </row>
    <row r="12" spans="1:6">
      <c r="A12" s="127" t="s">
        <v>9</v>
      </c>
      <c r="B12" s="151" t="s">
        <v>1267</v>
      </c>
      <c r="C12" s="151"/>
      <c r="D12" s="151"/>
      <c r="E12" s="151"/>
      <c r="F12" s="127" t="s">
        <v>1322</v>
      </c>
    </row>
    <row r="13" spans="1:6">
      <c r="A13" s="127" t="s">
        <v>1268</v>
      </c>
      <c r="B13" s="151" t="s">
        <v>1328</v>
      </c>
      <c r="C13" s="151"/>
      <c r="D13" s="151"/>
      <c r="E13" s="151"/>
      <c r="F13" s="127" t="s">
        <v>1288</v>
      </c>
    </row>
    <row r="14" spans="1:6">
      <c r="A14" s="127" t="s">
        <v>1269</v>
      </c>
      <c r="B14" s="151" t="s">
        <v>1323</v>
      </c>
      <c r="C14" s="151"/>
      <c r="D14" s="151"/>
      <c r="E14" s="151"/>
      <c r="F14" s="127" t="s">
        <v>1270</v>
      </c>
    </row>
    <row r="16" spans="1:6" ht="15">
      <c r="A16" s="131" t="s">
        <v>1329</v>
      </c>
    </row>
    <row r="17" spans="1:7">
      <c r="A17" s="129" t="s">
        <v>1330</v>
      </c>
      <c r="B17" s="129" t="s">
        <v>1331</v>
      </c>
      <c r="C17" s="129" t="s">
        <v>1271</v>
      </c>
      <c r="D17" s="129" t="s">
        <v>1272</v>
      </c>
      <c r="E17" s="129" t="s">
        <v>1273</v>
      </c>
      <c r="F17" s="129" t="s">
        <v>1274</v>
      </c>
      <c r="G17" s="129" t="s">
        <v>1637</v>
      </c>
    </row>
    <row r="18" spans="1:7">
      <c r="A18" s="132">
        <v>1</v>
      </c>
      <c r="B18" s="136">
        <v>46298</v>
      </c>
      <c r="C18" s="132">
        <v>24</v>
      </c>
      <c r="D18" s="132">
        <f t="shared" ref="D18:D35" si="0">C18*2</f>
        <v>48</v>
      </c>
      <c r="E18" s="132"/>
      <c r="G18" s="127">
        <v>40</v>
      </c>
    </row>
    <row r="19" spans="1:7">
      <c r="A19" s="132">
        <v>2</v>
      </c>
      <c r="B19" s="136">
        <v>46302</v>
      </c>
      <c r="C19" s="132">
        <v>26</v>
      </c>
      <c r="D19" s="132">
        <f t="shared" si="0"/>
        <v>52</v>
      </c>
      <c r="E19" s="132"/>
      <c r="G19" s="127">
        <v>40</v>
      </c>
    </row>
    <row r="20" spans="1:7">
      <c r="A20" s="132">
        <v>3</v>
      </c>
      <c r="B20" s="136">
        <v>46305</v>
      </c>
      <c r="C20" s="132">
        <v>28</v>
      </c>
      <c r="D20" s="132">
        <f t="shared" si="0"/>
        <v>56</v>
      </c>
      <c r="E20" s="132"/>
      <c r="G20" s="127">
        <v>40</v>
      </c>
    </row>
    <row r="21" spans="1:7">
      <c r="A21" s="132">
        <v>4</v>
      </c>
      <c r="B21" s="136">
        <v>46309</v>
      </c>
      <c r="C21" s="132">
        <v>30</v>
      </c>
      <c r="D21" s="132">
        <f t="shared" si="0"/>
        <v>60</v>
      </c>
      <c r="E21" s="132"/>
      <c r="G21" s="127">
        <v>40</v>
      </c>
    </row>
    <row r="22" spans="1:7">
      <c r="A22" s="132">
        <v>5</v>
      </c>
      <c r="B22" s="136">
        <v>46312</v>
      </c>
      <c r="C22" s="132">
        <v>30</v>
      </c>
      <c r="D22" s="132">
        <f t="shared" si="0"/>
        <v>60</v>
      </c>
      <c r="E22" s="132"/>
      <c r="G22" s="127">
        <v>40</v>
      </c>
    </row>
    <row r="23" spans="1:7">
      <c r="A23" s="132">
        <v>6</v>
      </c>
      <c r="B23" s="136">
        <v>46316</v>
      </c>
      <c r="C23" s="132">
        <v>30</v>
      </c>
      <c r="D23" s="132">
        <f t="shared" si="0"/>
        <v>60</v>
      </c>
      <c r="E23" s="132"/>
      <c r="G23" s="127">
        <v>40</v>
      </c>
    </row>
    <row r="24" spans="1:7">
      <c r="A24" s="132">
        <v>7</v>
      </c>
      <c r="B24" s="136">
        <v>46319</v>
      </c>
      <c r="C24" s="132">
        <v>30</v>
      </c>
      <c r="D24" s="132">
        <f t="shared" si="0"/>
        <v>60</v>
      </c>
      <c r="E24" s="132">
        <v>30</v>
      </c>
      <c r="F24" s="127" t="s">
        <v>1638</v>
      </c>
      <c r="G24" s="127">
        <v>40</v>
      </c>
    </row>
    <row r="25" spans="1:7">
      <c r="A25" s="132">
        <v>8</v>
      </c>
      <c r="B25" s="136">
        <v>46323</v>
      </c>
      <c r="C25" s="132">
        <v>30</v>
      </c>
      <c r="D25" s="132">
        <f t="shared" si="0"/>
        <v>60</v>
      </c>
      <c r="E25" s="132"/>
      <c r="G25" s="127">
        <v>50</v>
      </c>
    </row>
    <row r="26" spans="1:7">
      <c r="A26" s="132">
        <v>9</v>
      </c>
      <c r="B26" s="136">
        <v>46326</v>
      </c>
      <c r="C26" s="132">
        <v>30</v>
      </c>
      <c r="D26" s="132">
        <f t="shared" si="0"/>
        <v>60</v>
      </c>
      <c r="E26" s="132"/>
      <c r="G26" s="127">
        <v>60</v>
      </c>
    </row>
    <row r="27" spans="1:7">
      <c r="A27" s="132">
        <v>10</v>
      </c>
      <c r="B27" s="136">
        <v>46330</v>
      </c>
      <c r="C27" s="132">
        <v>35</v>
      </c>
      <c r="D27" s="132">
        <f t="shared" si="0"/>
        <v>70</v>
      </c>
      <c r="E27" s="132"/>
      <c r="G27" s="127">
        <v>20</v>
      </c>
    </row>
    <row r="28" spans="1:7">
      <c r="A28" s="132">
        <v>11</v>
      </c>
      <c r="B28" s="136">
        <v>46333</v>
      </c>
      <c r="C28" s="132">
        <v>35</v>
      </c>
      <c r="D28" s="132">
        <f t="shared" si="0"/>
        <v>70</v>
      </c>
      <c r="E28" s="132"/>
      <c r="G28" s="127">
        <v>30</v>
      </c>
    </row>
    <row r="29" spans="1:7">
      <c r="A29" s="132">
        <v>12</v>
      </c>
      <c r="B29" s="136">
        <v>46337</v>
      </c>
      <c r="C29" s="132">
        <v>35</v>
      </c>
      <c r="D29" s="132">
        <f t="shared" si="0"/>
        <v>70</v>
      </c>
      <c r="E29" s="132"/>
      <c r="G29" s="127">
        <v>40</v>
      </c>
    </row>
    <row r="30" spans="1:7">
      <c r="A30" s="132">
        <v>13</v>
      </c>
      <c r="B30" s="136">
        <v>46340</v>
      </c>
      <c r="C30" s="132">
        <v>35</v>
      </c>
      <c r="D30" s="132">
        <f t="shared" si="0"/>
        <v>70</v>
      </c>
      <c r="E30" s="132"/>
      <c r="G30" s="127">
        <v>40</v>
      </c>
    </row>
    <row r="31" spans="1:7">
      <c r="A31" s="132">
        <v>14</v>
      </c>
      <c r="B31" s="136">
        <v>46344</v>
      </c>
      <c r="C31" s="132">
        <v>35</v>
      </c>
      <c r="D31" s="132">
        <f t="shared" si="0"/>
        <v>70</v>
      </c>
      <c r="E31" s="132"/>
      <c r="G31" s="127">
        <v>40</v>
      </c>
    </row>
    <row r="32" spans="1:7">
      <c r="A32" s="132">
        <v>15</v>
      </c>
      <c r="B32" s="136">
        <v>46347</v>
      </c>
      <c r="C32" s="132">
        <v>35</v>
      </c>
      <c r="D32" s="132">
        <f t="shared" si="0"/>
        <v>70</v>
      </c>
      <c r="E32" s="132"/>
      <c r="G32" s="127">
        <v>40</v>
      </c>
    </row>
    <row r="33" spans="1:7">
      <c r="A33" s="132">
        <v>16</v>
      </c>
      <c r="B33" s="136">
        <v>46351</v>
      </c>
      <c r="C33" s="132">
        <v>35</v>
      </c>
      <c r="D33" s="132">
        <f t="shared" si="0"/>
        <v>70</v>
      </c>
      <c r="E33" s="132"/>
      <c r="G33" s="127">
        <v>40</v>
      </c>
    </row>
    <row r="34" spans="1:7">
      <c r="A34" s="132">
        <v>17</v>
      </c>
      <c r="B34" s="136">
        <v>46354</v>
      </c>
      <c r="C34" s="132">
        <v>35</v>
      </c>
      <c r="D34" s="132">
        <f t="shared" si="0"/>
        <v>70</v>
      </c>
      <c r="E34" s="132"/>
      <c r="G34" s="127">
        <v>40</v>
      </c>
    </row>
    <row r="35" spans="1:7">
      <c r="A35" s="132">
        <v>18</v>
      </c>
      <c r="B35" s="136">
        <v>46358</v>
      </c>
      <c r="C35" s="132">
        <v>35</v>
      </c>
      <c r="D35" s="132">
        <f t="shared" si="0"/>
        <v>70</v>
      </c>
      <c r="E35" s="132"/>
      <c r="G35" s="127">
        <v>40</v>
      </c>
    </row>
    <row r="36" spans="1:7">
      <c r="A36" s="127" t="s">
        <v>1643</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1343</v>
      </c>
    </row>
    <row r="2" spans="1:10">
      <c r="A2" s="127" t="s">
        <v>1642</v>
      </c>
    </row>
    <row r="4" spans="1:10" ht="15">
      <c r="A4" s="99" t="s">
        <v>894</v>
      </c>
    </row>
    <row r="5" spans="1:10">
      <c r="A5" s="129" t="s">
        <v>894</v>
      </c>
      <c r="B5" s="129" t="s">
        <v>1275</v>
      </c>
      <c r="C5" s="130"/>
      <c r="D5" s="130"/>
      <c r="E5" s="130"/>
      <c r="F5" s="130"/>
      <c r="G5" s="130"/>
      <c r="H5" s="130"/>
      <c r="I5" s="129" t="s">
        <v>5</v>
      </c>
    </row>
    <row r="6" spans="1:10">
      <c r="A6" s="127" t="s">
        <v>899</v>
      </c>
      <c r="B6" s="151" t="s">
        <v>1276</v>
      </c>
      <c r="C6" s="151"/>
      <c r="D6" s="151"/>
      <c r="E6" s="151"/>
      <c r="F6" s="151"/>
      <c r="G6" s="151"/>
      <c r="H6" s="151"/>
      <c r="I6" s="127" t="s">
        <v>1277</v>
      </c>
    </row>
    <row r="7" spans="1:10">
      <c r="A7" s="127" t="s">
        <v>902</v>
      </c>
      <c r="B7" s="151" t="s">
        <v>1278</v>
      </c>
      <c r="C7" s="151"/>
      <c r="D7" s="151"/>
      <c r="E7" s="151"/>
      <c r="F7" s="151"/>
      <c r="G7" s="151"/>
      <c r="H7" s="151"/>
      <c r="I7" s="127" t="s">
        <v>1279</v>
      </c>
    </row>
    <row r="8" spans="1:10">
      <c r="A8" s="127" t="s">
        <v>905</v>
      </c>
      <c r="B8" s="151" t="s">
        <v>1278</v>
      </c>
      <c r="C8" s="151"/>
      <c r="D8" s="151"/>
      <c r="E8" s="151"/>
      <c r="F8" s="151"/>
      <c r="G8" s="151"/>
      <c r="H8" s="151"/>
      <c r="I8" s="127" t="s">
        <v>1279</v>
      </c>
    </row>
    <row r="9" spans="1:10">
      <c r="A9" s="127" t="s">
        <v>907</v>
      </c>
      <c r="B9" s="151" t="s">
        <v>28</v>
      </c>
      <c r="C9" s="151"/>
      <c r="D9" s="151"/>
      <c r="E9" s="151"/>
      <c r="F9" s="151"/>
      <c r="G9" s="151"/>
      <c r="H9" s="151"/>
      <c r="I9" s="127" t="s">
        <v>1280</v>
      </c>
    </row>
    <row r="10" spans="1:10">
      <c r="A10" s="127" t="s">
        <v>909</v>
      </c>
      <c r="B10" s="151" t="s">
        <v>1276</v>
      </c>
      <c r="C10" s="151"/>
      <c r="D10" s="151"/>
      <c r="E10" s="151"/>
      <c r="F10" s="151"/>
      <c r="G10" s="151"/>
      <c r="H10" s="151"/>
      <c r="I10" s="127" t="s">
        <v>1281</v>
      </c>
    </row>
    <row r="11" spans="1:10">
      <c r="A11" s="127" t="s">
        <v>912</v>
      </c>
      <c r="B11" s="151" t="s">
        <v>1278</v>
      </c>
      <c r="C11" s="151"/>
      <c r="D11" s="151"/>
      <c r="E11" s="151"/>
      <c r="F11" s="151"/>
      <c r="G11" s="151"/>
      <c r="H11" s="151"/>
      <c r="I11" s="127" t="s">
        <v>1279</v>
      </c>
    </row>
    <row r="12" spans="1:10">
      <c r="A12" s="127" t="s">
        <v>915</v>
      </c>
      <c r="B12" s="151" t="s">
        <v>1282</v>
      </c>
      <c r="C12" s="151"/>
      <c r="D12" s="151"/>
      <c r="E12" s="151"/>
      <c r="F12" s="151"/>
      <c r="G12" s="151"/>
      <c r="H12" s="151"/>
      <c r="I12" s="127" t="s">
        <v>1283</v>
      </c>
    </row>
    <row r="14" spans="1:10" ht="15">
      <c r="A14" s="131" t="s">
        <v>1333</v>
      </c>
    </row>
    <row r="15" spans="1:10">
      <c r="A15" s="129" t="s">
        <v>1334</v>
      </c>
      <c r="B15" s="129" t="s">
        <v>789</v>
      </c>
      <c r="C15" s="129" t="s">
        <v>1335</v>
      </c>
      <c r="D15" s="129" t="s">
        <v>1336</v>
      </c>
      <c r="E15" s="129" t="s">
        <v>1337</v>
      </c>
      <c r="F15" s="129" t="s">
        <v>1338</v>
      </c>
      <c r="G15" s="129" t="s">
        <v>1339</v>
      </c>
      <c r="H15" s="129" t="s">
        <v>1340</v>
      </c>
      <c r="I15" s="129" t="s">
        <v>1344</v>
      </c>
    </row>
    <row r="16" spans="1:10" ht="15">
      <c r="A16" s="137">
        <v>1</v>
      </c>
      <c r="B16" s="138">
        <v>46302</v>
      </c>
      <c r="C16" s="137">
        <v>16</v>
      </c>
      <c r="D16" s="137">
        <v>2</v>
      </c>
      <c r="E16" s="137">
        <v>2</v>
      </c>
      <c r="F16" s="137">
        <v>16</v>
      </c>
      <c r="G16" s="137">
        <v>3</v>
      </c>
      <c r="H16" s="137">
        <v>2</v>
      </c>
      <c r="I16" s="137" t="s">
        <v>1265</v>
      </c>
      <c r="J16"/>
    </row>
    <row r="17" spans="1:10" ht="15">
      <c r="A17" s="137">
        <v>2</v>
      </c>
      <c r="B17" s="138">
        <v>46305</v>
      </c>
      <c r="C17" s="137">
        <v>18</v>
      </c>
      <c r="D17" s="137">
        <v>2</v>
      </c>
      <c r="E17" s="137">
        <v>2</v>
      </c>
      <c r="F17" s="137">
        <v>18</v>
      </c>
      <c r="G17" s="137">
        <v>3</v>
      </c>
      <c r="H17" s="137">
        <v>2</v>
      </c>
      <c r="I17" s="137" t="s">
        <v>1265</v>
      </c>
      <c r="J17"/>
    </row>
    <row r="18" spans="1:10" ht="15">
      <c r="A18" s="137">
        <v>3</v>
      </c>
      <c r="B18" s="138">
        <v>46309</v>
      </c>
      <c r="C18" s="137">
        <v>20</v>
      </c>
      <c r="D18" s="137">
        <v>2</v>
      </c>
      <c r="E18" s="137">
        <v>2</v>
      </c>
      <c r="F18" s="137">
        <v>20</v>
      </c>
      <c r="G18" s="137">
        <v>3</v>
      </c>
      <c r="H18" s="137">
        <v>2</v>
      </c>
      <c r="I18" s="137" t="s">
        <v>1265</v>
      </c>
      <c r="J18"/>
    </row>
    <row r="19" spans="1:10" ht="15">
      <c r="A19" s="137">
        <v>4</v>
      </c>
      <c r="B19" s="138">
        <v>46312</v>
      </c>
      <c r="C19" s="137">
        <v>20</v>
      </c>
      <c r="D19" s="137">
        <v>2</v>
      </c>
      <c r="E19" s="137">
        <v>2</v>
      </c>
      <c r="F19" s="137">
        <v>20</v>
      </c>
      <c r="G19" s="137">
        <v>3</v>
      </c>
      <c r="H19" s="137">
        <v>2</v>
      </c>
      <c r="I19" s="137" t="s">
        <v>1265</v>
      </c>
      <c r="J19"/>
    </row>
    <row r="20" spans="1:10" ht="15">
      <c r="A20" s="137">
        <v>5</v>
      </c>
      <c r="B20" s="138">
        <v>46316</v>
      </c>
      <c r="C20" s="137">
        <v>20</v>
      </c>
      <c r="D20" s="137">
        <v>2</v>
      </c>
      <c r="E20" s="137">
        <v>2</v>
      </c>
      <c r="F20" s="137">
        <v>20</v>
      </c>
      <c r="G20" s="137">
        <v>3</v>
      </c>
      <c r="H20" s="137">
        <v>2</v>
      </c>
      <c r="I20" s="137" t="s">
        <v>1265</v>
      </c>
      <c r="J20"/>
    </row>
    <row r="21" spans="1:10" ht="15">
      <c r="A21" s="137">
        <v>6</v>
      </c>
      <c r="B21" s="138">
        <v>46319</v>
      </c>
      <c r="C21" s="137">
        <v>22</v>
      </c>
      <c r="D21" s="137">
        <v>2</v>
      </c>
      <c r="E21" s="137">
        <v>2</v>
      </c>
      <c r="F21" s="137">
        <v>22</v>
      </c>
      <c r="G21" s="137">
        <v>4</v>
      </c>
      <c r="H21" s="137">
        <v>2</v>
      </c>
      <c r="I21" s="137" t="s">
        <v>1265</v>
      </c>
      <c r="J21"/>
    </row>
    <row r="22" spans="1:10" ht="15">
      <c r="A22" s="137">
        <v>7</v>
      </c>
      <c r="B22" s="138">
        <v>46323</v>
      </c>
      <c r="C22" s="137">
        <v>24</v>
      </c>
      <c r="D22" s="137">
        <v>2</v>
      </c>
      <c r="E22" s="137">
        <v>2</v>
      </c>
      <c r="F22" s="137">
        <v>24</v>
      </c>
      <c r="G22" s="137">
        <v>4</v>
      </c>
      <c r="H22" s="137">
        <v>2</v>
      </c>
      <c r="I22" s="137" t="s">
        <v>1265</v>
      </c>
      <c r="J22"/>
    </row>
    <row r="23" spans="1:10" ht="15">
      <c r="A23" s="137">
        <v>8</v>
      </c>
      <c r="B23" s="138">
        <v>46326</v>
      </c>
      <c r="C23" s="137">
        <v>26</v>
      </c>
      <c r="D23" s="137">
        <v>2</v>
      </c>
      <c r="E23" s="137">
        <v>2</v>
      </c>
      <c r="F23" s="137">
        <v>26</v>
      </c>
      <c r="G23" s="137">
        <v>5</v>
      </c>
      <c r="H23" s="137">
        <v>2</v>
      </c>
      <c r="I23" s="137" t="s">
        <v>1265</v>
      </c>
      <c r="J23"/>
    </row>
    <row r="24" spans="1:10" ht="15">
      <c r="A24" s="137">
        <v>9</v>
      </c>
      <c r="B24" s="138">
        <v>46330</v>
      </c>
      <c r="C24" s="137">
        <v>28</v>
      </c>
      <c r="D24" s="137">
        <v>2</v>
      </c>
      <c r="E24" s="137">
        <v>2</v>
      </c>
      <c r="F24" s="137">
        <v>28</v>
      </c>
      <c r="G24" s="137">
        <v>5</v>
      </c>
      <c r="H24" s="137">
        <v>2</v>
      </c>
      <c r="I24" s="137" t="s">
        <v>1265</v>
      </c>
      <c r="J24"/>
    </row>
    <row r="25" spans="1:10" ht="15">
      <c r="A25" s="137">
        <v>10</v>
      </c>
      <c r="B25" s="138">
        <v>46333</v>
      </c>
      <c r="C25" s="137">
        <v>30</v>
      </c>
      <c r="D25" s="137">
        <v>2</v>
      </c>
      <c r="E25" s="137">
        <v>2</v>
      </c>
      <c r="F25" s="137">
        <v>30</v>
      </c>
      <c r="G25" s="137">
        <v>5</v>
      </c>
      <c r="H25" s="137">
        <v>2</v>
      </c>
      <c r="I25" s="137" t="s">
        <v>1265</v>
      </c>
      <c r="J25"/>
    </row>
    <row r="26" spans="1:10" ht="15">
      <c r="A26" s="137">
        <v>11</v>
      </c>
      <c r="B26" s="138">
        <v>46337</v>
      </c>
      <c r="C26" s="137">
        <v>35</v>
      </c>
      <c r="D26" s="137">
        <v>1</v>
      </c>
      <c r="E26" s="137">
        <v>2</v>
      </c>
      <c r="F26" s="137">
        <v>30</v>
      </c>
      <c r="G26" s="137">
        <v>5</v>
      </c>
      <c r="H26" s="137">
        <v>2</v>
      </c>
      <c r="I26" s="137" t="s">
        <v>1265</v>
      </c>
      <c r="J26"/>
    </row>
    <row r="27" spans="1:10" ht="15">
      <c r="A27" s="137">
        <v>12</v>
      </c>
      <c r="B27" s="138">
        <v>46340</v>
      </c>
      <c r="C27" s="137">
        <v>35</v>
      </c>
      <c r="D27" s="137">
        <v>1.5</v>
      </c>
      <c r="E27" s="137">
        <v>2</v>
      </c>
      <c r="F27" s="137">
        <v>35</v>
      </c>
      <c r="G27" s="137">
        <v>5</v>
      </c>
      <c r="H27" s="137">
        <v>2</v>
      </c>
      <c r="I27" s="137" t="s">
        <v>1265</v>
      </c>
      <c r="J27"/>
    </row>
    <row r="28" spans="1:10" ht="15">
      <c r="A28" s="137">
        <v>13</v>
      </c>
      <c r="B28" s="138">
        <v>46344</v>
      </c>
      <c r="C28" s="137">
        <v>35</v>
      </c>
      <c r="D28" s="137">
        <v>2</v>
      </c>
      <c r="E28" s="137">
        <v>2</v>
      </c>
      <c r="F28" s="137">
        <v>35</v>
      </c>
      <c r="G28" s="137">
        <v>5</v>
      </c>
      <c r="H28" s="137">
        <v>2</v>
      </c>
      <c r="I28" s="137" t="s">
        <v>1265</v>
      </c>
      <c r="J28"/>
    </row>
    <row r="29" spans="1:10" ht="15">
      <c r="A29" s="137">
        <v>14</v>
      </c>
      <c r="B29" s="138">
        <v>46347</v>
      </c>
      <c r="C29" s="137">
        <v>35</v>
      </c>
      <c r="D29" s="137">
        <v>3</v>
      </c>
      <c r="E29" s="137">
        <v>2</v>
      </c>
      <c r="F29" s="137">
        <v>35</v>
      </c>
      <c r="G29" s="137">
        <v>5</v>
      </c>
      <c r="H29" s="137">
        <v>2</v>
      </c>
      <c r="I29" s="137" t="s">
        <v>1265</v>
      </c>
      <c r="J29"/>
    </row>
    <row r="30" spans="1:10" ht="15">
      <c r="A30" s="137">
        <v>15</v>
      </c>
      <c r="B30" s="138">
        <v>46351</v>
      </c>
      <c r="C30" s="137">
        <v>35</v>
      </c>
      <c r="D30" s="137">
        <v>4</v>
      </c>
      <c r="E30" s="137">
        <v>2</v>
      </c>
      <c r="F30" s="137">
        <v>35</v>
      </c>
      <c r="G30" s="137">
        <v>5</v>
      </c>
      <c r="H30" s="137">
        <v>2</v>
      </c>
      <c r="I30" s="137" t="s">
        <v>1265</v>
      </c>
      <c r="J30"/>
    </row>
    <row r="31" spans="1:10" ht="15">
      <c r="A31" s="137">
        <v>16</v>
      </c>
      <c r="B31" s="138">
        <v>46354</v>
      </c>
      <c r="C31" s="137">
        <v>35</v>
      </c>
      <c r="D31" s="137">
        <v>5</v>
      </c>
      <c r="E31" s="137">
        <v>2</v>
      </c>
      <c r="F31" s="137">
        <v>35</v>
      </c>
      <c r="G31" s="137">
        <v>5</v>
      </c>
      <c r="H31" s="137">
        <v>2</v>
      </c>
      <c r="I31" s="137" t="s">
        <v>1265</v>
      </c>
      <c r="J31"/>
    </row>
    <row r="32" spans="1:10" ht="15">
      <c r="A32" s="137">
        <v>17</v>
      </c>
      <c r="B32" s="138">
        <v>46358</v>
      </c>
      <c r="C32" s="137">
        <v>35</v>
      </c>
      <c r="D32" s="137">
        <v>5</v>
      </c>
      <c r="E32" s="137">
        <v>2</v>
      </c>
      <c r="F32" s="137">
        <v>35</v>
      </c>
      <c r="G32" s="137">
        <v>5</v>
      </c>
      <c r="H32" s="137">
        <v>2</v>
      </c>
      <c r="I32" s="137" t="s">
        <v>1265</v>
      </c>
      <c r="J32"/>
    </row>
    <row r="33" spans="1:10" ht="15">
      <c r="A33" t="s">
        <v>1641</v>
      </c>
      <c r="B33"/>
      <c r="C33"/>
      <c r="D33"/>
      <c r="E33"/>
      <c r="F33"/>
      <c r="G33"/>
      <c r="H33"/>
      <c r="I33"/>
      <c r="J33"/>
    </row>
    <row r="34" spans="1:10" ht="15">
      <c r="A34"/>
      <c r="B34"/>
      <c r="C34"/>
      <c r="D34"/>
      <c r="E34"/>
      <c r="F34"/>
      <c r="G34"/>
      <c r="H34"/>
      <c r="I34"/>
      <c r="J34"/>
    </row>
    <row r="35" spans="1:10" ht="15">
      <c r="A35" t="s">
        <v>1254</v>
      </c>
      <c r="B35"/>
      <c r="C35"/>
      <c r="D35"/>
      <c r="E35"/>
      <c r="F35"/>
      <c r="G35"/>
      <c r="H35"/>
      <c r="I35"/>
      <c r="J35"/>
    </row>
    <row r="36" spans="1:10" ht="15">
      <c r="A36" t="s">
        <v>1345</v>
      </c>
      <c r="B36"/>
      <c r="C36"/>
      <c r="D36"/>
      <c r="E36"/>
      <c r="F36"/>
      <c r="G36"/>
      <c r="H36"/>
      <c r="I36"/>
      <c r="J36"/>
    </row>
    <row r="37" spans="1:10" ht="15">
      <c r="A37" t="s">
        <v>1350</v>
      </c>
      <c r="B37"/>
      <c r="C37"/>
      <c r="D37"/>
      <c r="E37"/>
      <c r="F37"/>
      <c r="G37"/>
      <c r="H37"/>
      <c r="I37"/>
      <c r="J37"/>
    </row>
    <row r="38" spans="1:10" ht="15">
      <c r="A38" t="s">
        <v>1346</v>
      </c>
      <c r="B38"/>
      <c r="C38"/>
      <c r="D38"/>
      <c r="E38"/>
      <c r="F38"/>
      <c r="G38"/>
      <c r="H38"/>
      <c r="I38"/>
      <c r="J38"/>
    </row>
    <row r="39" spans="1:10" ht="15">
      <c r="A39" t="s">
        <v>1347</v>
      </c>
      <c r="B39"/>
      <c r="C39"/>
      <c r="D39"/>
      <c r="E39"/>
      <c r="F39"/>
      <c r="G39"/>
      <c r="H39"/>
      <c r="I39"/>
      <c r="J39"/>
    </row>
    <row r="40" spans="1:10" ht="15">
      <c r="A40" t="s">
        <v>1316</v>
      </c>
      <c r="B40"/>
      <c r="C40"/>
      <c r="D40"/>
      <c r="E40"/>
      <c r="F40"/>
      <c r="G40"/>
      <c r="H40"/>
      <c r="I40"/>
      <c r="J40"/>
    </row>
    <row r="41" spans="1:10" ht="15">
      <c r="A41" t="s">
        <v>1317</v>
      </c>
      <c r="B41"/>
      <c r="C41"/>
      <c r="D41"/>
      <c r="E41"/>
      <c r="F41"/>
      <c r="G41"/>
      <c r="H41"/>
      <c r="I41"/>
      <c r="J41"/>
    </row>
    <row r="42" spans="1:10" ht="15">
      <c r="A42" t="s">
        <v>1318</v>
      </c>
      <c r="B42"/>
      <c r="C42"/>
      <c r="D42"/>
      <c r="E42"/>
      <c r="F42"/>
      <c r="G42"/>
      <c r="H42"/>
      <c r="I42"/>
      <c r="J42"/>
    </row>
    <row r="43" spans="1:10" ht="15">
      <c r="A43" t="s">
        <v>1319</v>
      </c>
      <c r="B43"/>
      <c r="C43"/>
      <c r="D43"/>
      <c r="E43"/>
      <c r="F43"/>
      <c r="G43"/>
      <c r="H43"/>
      <c r="I43"/>
      <c r="J43"/>
    </row>
    <row r="44" spans="1:10" ht="15">
      <c r="A44" t="s">
        <v>1320</v>
      </c>
      <c r="B44"/>
      <c r="C44"/>
      <c r="D44"/>
      <c r="E44"/>
      <c r="F44"/>
      <c r="G44"/>
      <c r="H44"/>
      <c r="I44"/>
      <c r="J44"/>
    </row>
    <row r="45" spans="1:10" ht="15">
      <c r="A45" t="s">
        <v>1348</v>
      </c>
      <c r="B45"/>
      <c r="C45"/>
      <c r="D45"/>
      <c r="E45"/>
      <c r="F45"/>
      <c r="G45"/>
      <c r="H45"/>
      <c r="I45"/>
      <c r="J45"/>
    </row>
    <row r="46" spans="1:10" ht="15">
      <c r="A46" t="s">
        <v>1341</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1392</v>
      </c>
      <c r="D7" s="115" t="s">
        <v>1393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1523</v>
      </c>
      <c r="D10" s="115" t="s">
        <v>25</v>
      </c>
    </row>
    <row r="11" spans="1:4" ht="30" customHeight="1">
      <c r="A11" s="114" t="s">
        <v>26</v>
      </c>
      <c r="B11" s="120" t="s">
        <v>27</v>
      </c>
      <c r="C11" s="115" t="s">
        <v>28</v>
      </c>
      <c r="D11" s="115" t="s">
        <v>29</v>
      </c>
    </row>
    <row r="12" spans="1:4" ht="30" customHeight="1">
      <c r="A12" s="114" t="s">
        <v>30</v>
      </c>
      <c r="B12" s="120" t="s">
        <v>31</v>
      </c>
      <c r="C12" s="115" t="s">
        <v>31</v>
      </c>
      <c r="D12" s="115" t="s">
        <v>32</v>
      </c>
    </row>
    <row r="13" spans="1:4" ht="30" customHeight="1">
      <c r="A13" s="114" t="s">
        <v>33</v>
      </c>
      <c r="B13" s="120" t="s">
        <v>34</v>
      </c>
      <c r="C13" s="115" t="s">
        <v>1285</v>
      </c>
      <c r="D13" s="115" t="s">
        <v>1470</v>
      </c>
    </row>
    <row r="14" spans="1:4" ht="30" customHeight="1">
      <c r="A14" s="114" t="s">
        <v>35</v>
      </c>
      <c r="B14" s="120" t="s">
        <v>36</v>
      </c>
      <c r="C14" s="115" t="s">
        <v>37</v>
      </c>
      <c r="D14" s="115" t="s">
        <v>1486</v>
      </c>
    </row>
    <row r="17" spans="1:1">
      <c r="A17" s="107" t="s">
        <v>38</v>
      </c>
    </row>
    <row r="18" spans="1:1">
      <c r="A18" s="123" t="s">
        <v>39</v>
      </c>
    </row>
    <row r="19" spans="1:1">
      <c r="A19" s="123" t="s">
        <v>40</v>
      </c>
    </row>
    <row r="20" spans="1:1">
      <c r="A20" s="123" t="s">
        <v>41</v>
      </c>
    </row>
    <row r="21" spans="1:1">
      <c r="A21" s="123" t="s">
        <v>42</v>
      </c>
    </row>
    <row r="22" spans="1:1">
      <c r="A22" s="123" t="s">
        <v>43</v>
      </c>
    </row>
    <row r="24" spans="1:1">
      <c r="A24" s="107" t="s">
        <v>44</v>
      </c>
    </row>
    <row r="25" spans="1:1">
      <c r="A25" s="123" t="s">
        <v>45</v>
      </c>
    </row>
    <row r="26" spans="1:1">
      <c r="A26" s="123" t="s">
        <v>46</v>
      </c>
    </row>
    <row r="27" spans="1:1">
      <c r="A27" s="123" t="s">
        <v>47</v>
      </c>
    </row>
    <row r="29" spans="1:1">
      <c r="A29" s="107" t="s">
        <v>48</v>
      </c>
    </row>
    <row r="30" spans="1:1">
      <c r="A30" s="123" t="s">
        <v>49</v>
      </c>
    </row>
    <row r="31" spans="1:1">
      <c r="A31" s="123" t="s">
        <v>50</v>
      </c>
    </row>
    <row r="32" spans="1:1">
      <c r="A32" s="123" t="s">
        <v>51</v>
      </c>
    </row>
    <row r="33" spans="1:1">
      <c r="A33" s="123" t="s">
        <v>52</v>
      </c>
    </row>
    <row r="35" spans="1:1">
      <c r="A35" s="107" t="s">
        <v>53</v>
      </c>
    </row>
    <row r="36" spans="1:1">
      <c r="A36" s="123" t="s">
        <v>54</v>
      </c>
    </row>
    <row r="37" spans="1:1">
      <c r="A37" s="123" t="s">
        <v>55</v>
      </c>
    </row>
    <row r="38" spans="1:1">
      <c r="A38" s="123" t="s">
        <v>1412</v>
      </c>
    </row>
    <row r="39" spans="1:1">
      <c r="A39" s="123" t="s">
        <v>56</v>
      </c>
    </row>
    <row r="40" spans="1:1">
      <c r="A40" s="123" t="s">
        <v>57</v>
      </c>
    </row>
    <row r="42" spans="1:1">
      <c r="A42" s="107" t="s">
        <v>58</v>
      </c>
    </row>
    <row r="43" spans="1:1">
      <c r="A43" s="123" t="s">
        <v>59</v>
      </c>
    </row>
    <row r="44" spans="1:1">
      <c r="A44" s="123" t="s">
        <v>1524</v>
      </c>
    </row>
    <row r="45" spans="1:1">
      <c r="A45" s="123" t="s">
        <v>60</v>
      </c>
    </row>
    <row r="46" spans="1:1">
      <c r="A46" s="123" t="s">
        <v>1295</v>
      </c>
    </row>
    <row r="47" spans="1:1">
      <c r="A47" s="123" t="s">
        <v>1291</v>
      </c>
    </row>
    <row r="48" spans="1:1">
      <c r="A48" s="123" t="s">
        <v>61</v>
      </c>
    </row>
    <row r="49" spans="1:1">
      <c r="A49" s="123" t="s">
        <v>62</v>
      </c>
    </row>
    <row r="50" spans="1:1">
      <c r="A50" s="123" t="s">
        <v>63</v>
      </c>
    </row>
    <row r="52" spans="1:1">
      <c r="A52" s="107" t="s">
        <v>64</v>
      </c>
    </row>
    <row r="53" spans="1:1">
      <c r="A53" s="123" t="s">
        <v>65</v>
      </c>
    </row>
    <row r="54" spans="1:1">
      <c r="A54" s="123" t="s">
        <v>66</v>
      </c>
    </row>
    <row r="55" spans="1:1">
      <c r="A55" s="123" t="s">
        <v>1485</v>
      </c>
    </row>
    <row r="56" spans="1:1">
      <c r="A56" s="123" t="s">
        <v>67</v>
      </c>
    </row>
    <row r="58" spans="1:1">
      <c r="A58" s="107" t="s">
        <v>68</v>
      </c>
    </row>
    <row r="59" spans="1:1">
      <c r="A59" s="123" t="s">
        <v>69</v>
      </c>
    </row>
    <row r="60" spans="1:1">
      <c r="A60" s="123" t="s">
        <v>70</v>
      </c>
    </row>
    <row r="61" spans="1:1">
      <c r="A61" s="123" t="s">
        <v>71</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83"/>
  <sheetViews>
    <sheetView workbookViewId="0">
      <selection activeCell="M14" sqref="M14"/>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1122</v>
      </c>
    </row>
    <row r="2" spans="1:8">
      <c r="A2" s="119" t="s">
        <v>1123</v>
      </c>
    </row>
    <row r="3" spans="1:8">
      <c r="A3" s="119" t="s">
        <v>635</v>
      </c>
      <c r="F3" s="107">
        <f ca="1">COUNTIF($E$7:$E$100,"?")</f>
        <v>0</v>
      </c>
    </row>
    <row r="4" spans="1:8">
      <c r="A4" s="119" t="s">
        <v>1124</v>
      </c>
    </row>
    <row r="6" spans="1:8">
      <c r="A6" s="111" t="s">
        <v>1125</v>
      </c>
      <c r="B6" s="111" t="s">
        <v>638</v>
      </c>
      <c r="C6" s="111" t="s">
        <v>639</v>
      </c>
      <c r="D6" s="111" t="s">
        <v>640</v>
      </c>
      <c r="E6" s="111" t="s">
        <v>641</v>
      </c>
      <c r="F6" s="111" t="s">
        <v>642</v>
      </c>
      <c r="G6" s="111" t="s">
        <v>643</v>
      </c>
      <c r="H6" s="111" t="s">
        <v>644</v>
      </c>
    </row>
    <row r="7" spans="1:8" ht="51">
      <c r="A7" s="114" t="s">
        <v>1126</v>
      </c>
      <c r="B7" s="115" t="s">
        <v>86</v>
      </c>
      <c r="C7" s="114" t="s">
        <v>345</v>
      </c>
      <c r="D7" s="114">
        <v>0.5</v>
      </c>
      <c r="E7" s="114">
        <f t="shared" ref="E7:E45" ca="1" si="0">IFERROR(INDEX(INDIRECT("'"&amp;$A7&amp;"'!$E$1:$E$60"),MATCH($B7,INDIRECT("'"&amp;$A7&amp;"'!$B$1:$B$60"),0)),"?")</f>
        <v>4</v>
      </c>
      <c r="F7" s="114">
        <f t="shared" ref="F7:F44" ca="1" si="1">IF(ISNUMBER(E7),$D7*E7,0)</f>
        <v>2</v>
      </c>
      <c r="G7" s="114" t="s">
        <v>659</v>
      </c>
      <c r="H7" s="115" t="s">
        <v>1440</v>
      </c>
    </row>
    <row r="8" spans="1:8">
      <c r="A8" s="114" t="s">
        <v>1126</v>
      </c>
      <c r="B8" s="115" t="s">
        <v>517</v>
      </c>
      <c r="C8" s="114" t="s">
        <v>345</v>
      </c>
      <c r="D8" s="114">
        <v>0.5</v>
      </c>
      <c r="E8" s="114">
        <f t="shared" ca="1" si="0"/>
        <v>3</v>
      </c>
      <c r="F8" s="114">
        <f t="shared" ca="1" si="1"/>
        <v>1.5</v>
      </c>
      <c r="G8" s="114" t="s">
        <v>659</v>
      </c>
      <c r="H8" s="115" t="s">
        <v>1127</v>
      </c>
    </row>
    <row r="9" spans="1:8">
      <c r="A9" s="114" t="s">
        <v>1126</v>
      </c>
      <c r="B9" s="115" t="s">
        <v>343</v>
      </c>
      <c r="C9" s="114" t="s">
        <v>345</v>
      </c>
      <c r="D9" s="114">
        <v>0.5</v>
      </c>
      <c r="E9" s="114">
        <f t="shared" ca="1" si="0"/>
        <v>3</v>
      </c>
      <c r="F9" s="114">
        <f t="shared" ca="1" si="1"/>
        <v>1.5</v>
      </c>
      <c r="G9" s="114" t="s">
        <v>659</v>
      </c>
      <c r="H9" s="115" t="s">
        <v>1128</v>
      </c>
    </row>
    <row r="10" spans="1:8" ht="51">
      <c r="A10" s="114" t="s">
        <v>1129</v>
      </c>
      <c r="B10" s="115" t="s">
        <v>508</v>
      </c>
      <c r="C10" s="114" t="s">
        <v>345</v>
      </c>
      <c r="D10" s="114">
        <v>0.2</v>
      </c>
      <c r="E10" s="114">
        <f t="shared" ca="1" si="0"/>
        <v>4</v>
      </c>
      <c r="F10" s="114">
        <f t="shared" ca="1" si="1"/>
        <v>0.8</v>
      </c>
      <c r="G10" s="114" t="s">
        <v>659</v>
      </c>
      <c r="H10" s="115" t="s">
        <v>1537</v>
      </c>
    </row>
    <row r="11" spans="1:8" ht="63.75">
      <c r="A11" s="114" t="s">
        <v>1130</v>
      </c>
      <c r="B11" s="115" t="s">
        <v>1426</v>
      </c>
      <c r="C11" s="114" t="s">
        <v>345</v>
      </c>
      <c r="D11" s="114">
        <v>0.2</v>
      </c>
      <c r="E11" s="114">
        <f t="shared" ca="1" si="0"/>
        <v>3</v>
      </c>
      <c r="F11" s="114">
        <f t="shared" ca="1" si="1"/>
        <v>0.60000000000000009</v>
      </c>
      <c r="G11" s="114" t="s">
        <v>659</v>
      </c>
      <c r="H11" s="115" t="s">
        <v>1541</v>
      </c>
    </row>
    <row r="12" spans="1:8" ht="25.5">
      <c r="A12" s="114" t="s">
        <v>1131</v>
      </c>
      <c r="B12" s="115" t="s">
        <v>266</v>
      </c>
      <c r="C12" s="114" t="s">
        <v>269</v>
      </c>
      <c r="D12" s="114">
        <v>0.5</v>
      </c>
      <c r="E12" s="114">
        <f t="shared" ca="1" si="0"/>
        <v>4</v>
      </c>
      <c r="F12" s="114">
        <f t="shared" ca="1" si="1"/>
        <v>2</v>
      </c>
      <c r="G12" s="114" t="s">
        <v>659</v>
      </c>
      <c r="H12" s="115" t="s">
        <v>1132</v>
      </c>
    </row>
    <row r="13" spans="1:8" ht="25.5">
      <c r="A13" s="114" t="s">
        <v>1131</v>
      </c>
      <c r="B13" s="115" t="s">
        <v>1098</v>
      </c>
      <c r="C13" s="114" t="s">
        <v>269</v>
      </c>
      <c r="D13" s="114">
        <v>0.5</v>
      </c>
      <c r="E13" s="114">
        <f t="shared" ca="1" si="0"/>
        <v>3</v>
      </c>
      <c r="F13" s="114">
        <f t="shared" ca="1" si="1"/>
        <v>1.5</v>
      </c>
      <c r="G13" s="114" t="s">
        <v>659</v>
      </c>
      <c r="H13" s="115" t="s">
        <v>1133</v>
      </c>
    </row>
    <row r="14" spans="1:8" ht="25.5">
      <c r="A14" s="114" t="s">
        <v>1131</v>
      </c>
      <c r="B14" s="115" t="s">
        <v>1096</v>
      </c>
      <c r="C14" s="114" t="s">
        <v>269</v>
      </c>
      <c r="D14" s="114">
        <v>0.2</v>
      </c>
      <c r="E14" s="114">
        <f t="shared" ca="1" si="0"/>
        <v>3</v>
      </c>
      <c r="F14" s="114">
        <f t="shared" ca="1" si="1"/>
        <v>0.60000000000000009</v>
      </c>
      <c r="G14" s="114" t="s">
        <v>659</v>
      </c>
      <c r="H14" s="115" t="s">
        <v>1134</v>
      </c>
    </row>
    <row r="15" spans="1:8" ht="25.5">
      <c r="A15" s="114" t="s">
        <v>1135</v>
      </c>
      <c r="B15" s="115" t="s">
        <v>472</v>
      </c>
      <c r="C15" s="114" t="s">
        <v>269</v>
      </c>
      <c r="D15" s="114">
        <v>0.33</v>
      </c>
      <c r="E15" s="114">
        <f t="shared" ca="1" si="0"/>
        <v>4</v>
      </c>
      <c r="F15" s="114">
        <f t="shared" ca="1" si="1"/>
        <v>1.32</v>
      </c>
      <c r="G15" s="114" t="s">
        <v>659</v>
      </c>
      <c r="H15" s="115" t="s">
        <v>1136</v>
      </c>
    </row>
    <row r="16" spans="1:8" ht="51">
      <c r="A16" s="114" t="s">
        <v>1135</v>
      </c>
      <c r="B16" s="115" t="s">
        <v>1244</v>
      </c>
      <c r="C16" s="114" t="s">
        <v>269</v>
      </c>
      <c r="D16" s="114">
        <v>0.33</v>
      </c>
      <c r="E16" s="114">
        <f t="shared" ca="1" si="0"/>
        <v>2</v>
      </c>
      <c r="F16" s="114">
        <f t="shared" ref="F16" ca="1" si="2">IF(ISNUMBER(E16),$D16*E16,0)</f>
        <v>0.66</v>
      </c>
      <c r="G16" s="114" t="s">
        <v>659</v>
      </c>
      <c r="H16" s="115" t="s">
        <v>1250</v>
      </c>
    </row>
    <row r="17" spans="1:8" ht="25.5">
      <c r="A17" s="114" t="s">
        <v>1135</v>
      </c>
      <c r="B17" s="115" t="s">
        <v>1478</v>
      </c>
      <c r="C17" s="114" t="s">
        <v>269</v>
      </c>
      <c r="D17" s="114">
        <v>0.2</v>
      </c>
      <c r="E17" s="114">
        <f t="shared" ca="1" si="0"/>
        <v>3</v>
      </c>
      <c r="F17" s="114">
        <f t="shared" ca="1" si="1"/>
        <v>0.60000000000000009</v>
      </c>
      <c r="G17" s="114" t="s">
        <v>659</v>
      </c>
      <c r="H17" s="115" t="s">
        <v>1137</v>
      </c>
    </row>
    <row r="18" spans="1:8" ht="38.25">
      <c r="A18" s="114" t="s">
        <v>1135</v>
      </c>
      <c r="B18" s="115" t="s">
        <v>465</v>
      </c>
      <c r="C18" s="114" t="s">
        <v>269</v>
      </c>
      <c r="D18" s="114">
        <v>0.2</v>
      </c>
      <c r="E18" s="114">
        <f t="shared" ca="1" si="0"/>
        <v>4</v>
      </c>
      <c r="F18" s="114">
        <f t="shared" ca="1" si="1"/>
        <v>0.8</v>
      </c>
      <c r="G18" s="114" t="s">
        <v>659</v>
      </c>
      <c r="H18" s="115" t="s">
        <v>1138</v>
      </c>
    </row>
    <row r="19" spans="1:8" ht="38.25">
      <c r="A19" s="114" t="s">
        <v>1308</v>
      </c>
      <c r="B19" s="115" t="s">
        <v>1626</v>
      </c>
      <c r="C19" s="114" t="s">
        <v>1627</v>
      </c>
      <c r="D19" s="114">
        <v>0.5</v>
      </c>
      <c r="E19" s="114">
        <f t="shared" ca="1" si="0"/>
        <v>3</v>
      </c>
      <c r="F19" s="114">
        <f t="shared" ref="F19" ca="1" si="3">IF(ISNUMBER(E19),$D19*E19,0)</f>
        <v>1.5</v>
      </c>
      <c r="G19" s="114" t="s">
        <v>659</v>
      </c>
      <c r="H19" s="115" t="s">
        <v>1628</v>
      </c>
    </row>
    <row r="20" spans="1:8" ht="25.5">
      <c r="A20" s="114" t="s">
        <v>1139</v>
      </c>
      <c r="B20" s="115" t="s">
        <v>439</v>
      </c>
      <c r="C20" s="114" t="s">
        <v>269</v>
      </c>
      <c r="D20" s="114">
        <v>0.2</v>
      </c>
      <c r="E20" s="114">
        <f t="shared" ca="1" si="0"/>
        <v>3</v>
      </c>
      <c r="F20" s="114">
        <f t="shared" ca="1" si="1"/>
        <v>0.60000000000000009</v>
      </c>
      <c r="G20" s="114" t="s">
        <v>659</v>
      </c>
      <c r="H20" s="115" t="s">
        <v>1140</v>
      </c>
    </row>
    <row r="21" spans="1:8" ht="38.25">
      <c r="A21" s="114" t="s">
        <v>1139</v>
      </c>
      <c r="B21" s="115" t="s">
        <v>1386</v>
      </c>
      <c r="C21" s="114" t="s">
        <v>295</v>
      </c>
      <c r="D21" s="114">
        <v>0.5</v>
      </c>
      <c r="E21" s="114">
        <f t="shared" ca="1" si="0"/>
        <v>3</v>
      </c>
      <c r="F21" s="114">
        <f t="shared" ca="1" si="1"/>
        <v>1.5</v>
      </c>
      <c r="G21" s="114" t="s">
        <v>659</v>
      </c>
      <c r="H21" s="115" t="s">
        <v>1389</v>
      </c>
    </row>
    <row r="22" spans="1:8" ht="25.5">
      <c r="A22" s="114" t="s">
        <v>1126</v>
      </c>
      <c r="B22" s="115" t="s">
        <v>86</v>
      </c>
      <c r="C22" s="114" t="s">
        <v>429</v>
      </c>
      <c r="D22" s="114">
        <v>0.33</v>
      </c>
      <c r="E22" s="114">
        <f t="shared" ca="1" si="0"/>
        <v>4</v>
      </c>
      <c r="F22" s="114">
        <f t="shared" ca="1" si="1"/>
        <v>1.32</v>
      </c>
      <c r="G22" s="114" t="s">
        <v>659</v>
      </c>
      <c r="H22" s="115" t="s">
        <v>1141</v>
      </c>
    </row>
    <row r="23" spans="1:8">
      <c r="A23" s="114" t="s">
        <v>1126</v>
      </c>
      <c r="B23" s="115" t="s">
        <v>517</v>
      </c>
      <c r="C23" s="114" t="s">
        <v>429</v>
      </c>
      <c r="D23" s="114">
        <v>0.5</v>
      </c>
      <c r="E23" s="114">
        <f t="shared" ca="1" si="0"/>
        <v>3</v>
      </c>
      <c r="F23" s="114">
        <f t="shared" ca="1" si="1"/>
        <v>1.5</v>
      </c>
      <c r="G23" s="114" t="s">
        <v>659</v>
      </c>
      <c r="H23" s="115" t="s">
        <v>1142</v>
      </c>
    </row>
    <row r="24" spans="1:8">
      <c r="A24" s="114" t="s">
        <v>1126</v>
      </c>
      <c r="B24" s="115" t="s">
        <v>343</v>
      </c>
      <c r="C24" s="114" t="s">
        <v>429</v>
      </c>
      <c r="D24" s="114">
        <v>0.2</v>
      </c>
      <c r="E24" s="114">
        <f t="shared" ca="1" si="0"/>
        <v>3</v>
      </c>
      <c r="F24" s="114">
        <f t="shared" ca="1" si="1"/>
        <v>0.60000000000000009</v>
      </c>
      <c r="G24" s="114" t="s">
        <v>659</v>
      </c>
      <c r="H24" s="115" t="s">
        <v>1143</v>
      </c>
    </row>
    <row r="25" spans="1:8">
      <c r="A25" s="114" t="s">
        <v>1126</v>
      </c>
      <c r="B25" s="115" t="s">
        <v>1662</v>
      </c>
      <c r="C25" s="114" t="s">
        <v>429</v>
      </c>
      <c r="D25" s="114">
        <v>0.2</v>
      </c>
      <c r="E25" s="114">
        <f t="shared" ca="1" si="0"/>
        <v>3</v>
      </c>
      <c r="F25" s="114">
        <f t="shared" ca="1" si="1"/>
        <v>0.60000000000000009</v>
      </c>
      <c r="G25" s="114" t="s">
        <v>659</v>
      </c>
      <c r="H25" s="115" t="s">
        <v>1144</v>
      </c>
    </row>
    <row r="26" spans="1:8">
      <c r="A26" s="114" t="s">
        <v>1131</v>
      </c>
      <c r="B26" s="115" t="s">
        <v>427</v>
      </c>
      <c r="C26" s="114" t="s">
        <v>429</v>
      </c>
      <c r="D26" s="114">
        <v>0.2</v>
      </c>
      <c r="E26" s="114">
        <f t="shared" ca="1" si="0"/>
        <v>4</v>
      </c>
      <c r="F26" s="114">
        <f t="shared" ca="1" si="1"/>
        <v>0.8</v>
      </c>
      <c r="G26" s="114" t="s">
        <v>659</v>
      </c>
      <c r="H26" s="115" t="s">
        <v>1665</v>
      </c>
    </row>
    <row r="27" spans="1:8" ht="25.5">
      <c r="A27" s="114" t="s">
        <v>1131</v>
      </c>
      <c r="B27" s="115" t="s">
        <v>1563</v>
      </c>
      <c r="C27" s="114" t="s">
        <v>429</v>
      </c>
      <c r="D27" s="114">
        <v>0.5</v>
      </c>
      <c r="E27" s="114">
        <f t="shared" ca="1" si="0"/>
        <v>3</v>
      </c>
      <c r="F27" s="114">
        <f t="shared" ca="1" si="1"/>
        <v>1.5</v>
      </c>
      <c r="G27" s="114" t="s">
        <v>659</v>
      </c>
      <c r="H27" s="115" t="s">
        <v>1145</v>
      </c>
    </row>
    <row r="28" spans="1:8" ht="25.5">
      <c r="A28" s="114" t="s">
        <v>1131</v>
      </c>
      <c r="B28" s="115" t="s">
        <v>1563</v>
      </c>
      <c r="C28" s="114" t="s">
        <v>345</v>
      </c>
      <c r="D28" s="114">
        <v>0.5</v>
      </c>
      <c r="E28" s="114">
        <f t="shared" ca="1" si="0"/>
        <v>3</v>
      </c>
      <c r="F28" s="114">
        <f t="shared" ca="1" si="1"/>
        <v>1.5</v>
      </c>
      <c r="G28" s="114" t="s">
        <v>659</v>
      </c>
      <c r="H28" s="115" t="s">
        <v>1146</v>
      </c>
    </row>
    <row r="29" spans="1:8" ht="25.5">
      <c r="A29" s="114" t="s">
        <v>1131</v>
      </c>
      <c r="B29" s="115" t="s">
        <v>288</v>
      </c>
      <c r="C29" s="114" t="s">
        <v>358</v>
      </c>
      <c r="D29" s="114">
        <v>0.5</v>
      </c>
      <c r="E29" s="114">
        <f t="shared" ca="1" si="0"/>
        <v>3</v>
      </c>
      <c r="F29" s="114">
        <f t="shared" ca="1" si="1"/>
        <v>1.5</v>
      </c>
      <c r="G29" s="114" t="s">
        <v>659</v>
      </c>
      <c r="H29" s="115" t="s">
        <v>1147</v>
      </c>
    </row>
    <row r="30" spans="1:8" ht="51">
      <c r="A30" s="114" t="s">
        <v>1308</v>
      </c>
      <c r="B30" s="115" t="s">
        <v>1478</v>
      </c>
      <c r="C30" s="114" t="s">
        <v>358</v>
      </c>
      <c r="D30" s="114">
        <v>0.33</v>
      </c>
      <c r="E30" s="114">
        <f t="shared" ca="1" si="0"/>
        <v>3</v>
      </c>
      <c r="F30" s="114">
        <f t="shared" ref="F30:F31" ca="1" si="4">IF(ISNUMBER(E30),$D30*E30,0)</f>
        <v>0.99</v>
      </c>
      <c r="G30" s="114" t="s">
        <v>659</v>
      </c>
      <c r="H30" s="115" t="s">
        <v>1309</v>
      </c>
    </row>
    <row r="31" spans="1:8" ht="25.5">
      <c r="A31" s="114" t="s">
        <v>1308</v>
      </c>
      <c r="B31" s="115" t="s">
        <v>1310</v>
      </c>
      <c r="C31" s="114" t="s">
        <v>358</v>
      </c>
      <c r="D31" s="114">
        <v>0.33</v>
      </c>
      <c r="E31" s="114">
        <f t="shared" ca="1" si="0"/>
        <v>4</v>
      </c>
      <c r="F31" s="114">
        <f t="shared" ca="1" si="4"/>
        <v>1.32</v>
      </c>
      <c r="G31" s="114" t="s">
        <v>659</v>
      </c>
      <c r="H31" s="115" t="s">
        <v>1483</v>
      </c>
    </row>
    <row r="32" spans="1:8" ht="51">
      <c r="A32" s="114" t="s">
        <v>1130</v>
      </c>
      <c r="B32" s="115" t="s">
        <v>1426</v>
      </c>
      <c r="C32" s="114" t="s">
        <v>354</v>
      </c>
      <c r="D32" s="114">
        <v>0.5</v>
      </c>
      <c r="E32" s="114">
        <f t="shared" ca="1" si="0"/>
        <v>3</v>
      </c>
      <c r="F32" s="114">
        <f t="shared" ca="1" si="1"/>
        <v>1.5</v>
      </c>
      <c r="G32" s="114" t="s">
        <v>659</v>
      </c>
      <c r="H32" s="115" t="s">
        <v>1526</v>
      </c>
    </row>
    <row r="33" spans="1:8" ht="38.25">
      <c r="A33" s="114" t="s">
        <v>1129</v>
      </c>
      <c r="B33" s="115" t="s">
        <v>508</v>
      </c>
      <c r="C33" s="114" t="s">
        <v>354</v>
      </c>
      <c r="D33" s="114">
        <v>0.33</v>
      </c>
      <c r="E33" s="114">
        <f t="shared" ca="1" si="0"/>
        <v>4</v>
      </c>
      <c r="F33" s="114">
        <f t="shared" ca="1" si="1"/>
        <v>1.32</v>
      </c>
      <c r="G33" s="114" t="s">
        <v>659</v>
      </c>
      <c r="H33" s="115" t="s">
        <v>1148</v>
      </c>
    </row>
    <row r="34" spans="1:8" ht="38.25">
      <c r="A34" s="114" t="s">
        <v>1129</v>
      </c>
      <c r="B34" s="115" t="s">
        <v>1375</v>
      </c>
      <c r="C34" s="114" t="s">
        <v>407</v>
      </c>
      <c r="D34" s="114">
        <v>0.33</v>
      </c>
      <c r="E34" s="114">
        <f t="shared" ca="1" si="0"/>
        <v>3</v>
      </c>
      <c r="F34" s="114">
        <f t="shared" ca="1" si="1"/>
        <v>0.99</v>
      </c>
      <c r="G34" s="114" t="s">
        <v>659</v>
      </c>
      <c r="H34" s="115" t="s">
        <v>1378</v>
      </c>
    </row>
    <row r="35" spans="1:8" ht="25.5">
      <c r="A35" s="114" t="s">
        <v>1130</v>
      </c>
      <c r="B35" s="115" t="s">
        <v>1065</v>
      </c>
      <c r="C35" s="114" t="s">
        <v>369</v>
      </c>
      <c r="D35" s="114">
        <v>0.33</v>
      </c>
      <c r="E35" s="114">
        <f t="shared" ca="1" si="0"/>
        <v>4</v>
      </c>
      <c r="F35" s="114">
        <f t="shared" ca="1" si="1"/>
        <v>1.32</v>
      </c>
      <c r="G35" s="114" t="s">
        <v>659</v>
      </c>
      <c r="H35" s="115" t="s">
        <v>1149</v>
      </c>
    </row>
    <row r="36" spans="1:8" ht="25.5">
      <c r="A36" s="114" t="s">
        <v>1135</v>
      </c>
      <c r="B36" s="115" t="s">
        <v>1478</v>
      </c>
      <c r="C36" s="114" t="s">
        <v>267</v>
      </c>
      <c r="D36" s="114">
        <v>0.5</v>
      </c>
      <c r="E36" s="114">
        <f t="shared" ca="1" si="0"/>
        <v>3</v>
      </c>
      <c r="F36" s="114">
        <f t="shared" ca="1" si="1"/>
        <v>1.5</v>
      </c>
      <c r="G36" s="114" t="s">
        <v>659</v>
      </c>
      <c r="H36" s="115" t="s">
        <v>1150</v>
      </c>
    </row>
    <row r="37" spans="1:8" ht="25.5">
      <c r="A37" s="114" t="s">
        <v>1135</v>
      </c>
      <c r="B37" s="115" t="s">
        <v>465</v>
      </c>
      <c r="C37" s="114" t="s">
        <v>267</v>
      </c>
      <c r="D37" s="114">
        <v>0.5</v>
      </c>
      <c r="E37" s="114">
        <f t="shared" ca="1" si="0"/>
        <v>4</v>
      </c>
      <c r="F37" s="114">
        <f t="shared" ca="1" si="1"/>
        <v>2</v>
      </c>
      <c r="G37" s="114" t="s">
        <v>659</v>
      </c>
      <c r="H37" s="115" t="s">
        <v>1150</v>
      </c>
    </row>
    <row r="38" spans="1:8" ht="38.25">
      <c r="A38" s="114" t="s">
        <v>1130</v>
      </c>
      <c r="B38" s="115" t="s">
        <v>84</v>
      </c>
      <c r="C38" s="114" t="s">
        <v>267</v>
      </c>
      <c r="D38" s="114">
        <v>0</v>
      </c>
      <c r="E38" s="114">
        <f t="shared" ca="1" si="0"/>
        <v>1</v>
      </c>
      <c r="F38" s="114">
        <f t="shared" ca="1" si="1"/>
        <v>0</v>
      </c>
      <c r="G38" s="114" t="s">
        <v>659</v>
      </c>
      <c r="H38" s="115" t="s">
        <v>1307</v>
      </c>
    </row>
    <row r="39" spans="1:8">
      <c r="A39" s="114" t="s">
        <v>1130</v>
      </c>
      <c r="B39" s="115" t="s">
        <v>1426</v>
      </c>
      <c r="C39" s="114" t="s">
        <v>407</v>
      </c>
      <c r="D39" s="114">
        <v>0.2</v>
      </c>
      <c r="E39" s="114">
        <f t="shared" ca="1" si="0"/>
        <v>3</v>
      </c>
      <c r="F39" s="114">
        <f t="shared" ca="1" si="1"/>
        <v>0.60000000000000009</v>
      </c>
      <c r="G39" s="114" t="s">
        <v>659</v>
      </c>
      <c r="H39" s="115" t="s">
        <v>1151</v>
      </c>
    </row>
    <row r="40" spans="1:8">
      <c r="A40" s="114" t="s">
        <v>1135</v>
      </c>
      <c r="B40" s="115" t="s">
        <v>1478</v>
      </c>
      <c r="C40" s="114" t="s">
        <v>407</v>
      </c>
      <c r="D40" s="114">
        <v>0.2</v>
      </c>
      <c r="E40" s="114">
        <f t="shared" ca="1" si="0"/>
        <v>3</v>
      </c>
      <c r="F40" s="114">
        <f t="shared" ca="1" si="1"/>
        <v>0.60000000000000009</v>
      </c>
      <c r="G40" s="114" t="s">
        <v>659</v>
      </c>
      <c r="H40" s="115" t="s">
        <v>1152</v>
      </c>
    </row>
    <row r="41" spans="1:8" ht="25.5">
      <c r="A41" s="114" t="s">
        <v>1130</v>
      </c>
      <c r="B41" s="115" t="s">
        <v>84</v>
      </c>
      <c r="C41" s="114" t="s">
        <v>407</v>
      </c>
      <c r="D41" s="114">
        <v>0</v>
      </c>
      <c r="E41" s="114">
        <f t="shared" ca="1" si="0"/>
        <v>1</v>
      </c>
      <c r="F41" s="114">
        <f t="shared" ca="1" si="1"/>
        <v>0</v>
      </c>
      <c r="G41" s="114" t="s">
        <v>659</v>
      </c>
      <c r="H41" s="115" t="s">
        <v>1153</v>
      </c>
    </row>
    <row r="42" spans="1:8">
      <c r="A42" s="114" t="s">
        <v>1131</v>
      </c>
      <c r="B42" s="115" t="s">
        <v>266</v>
      </c>
      <c r="C42" s="114" t="s">
        <v>418</v>
      </c>
      <c r="D42" s="114">
        <v>0.2</v>
      </c>
      <c r="E42" s="114">
        <f t="shared" ca="1" si="0"/>
        <v>4</v>
      </c>
      <c r="F42" s="114">
        <f t="shared" ca="1" si="1"/>
        <v>0.8</v>
      </c>
      <c r="G42" s="114" t="s">
        <v>659</v>
      </c>
      <c r="H42" s="115" t="s">
        <v>1154</v>
      </c>
    </row>
    <row r="43" spans="1:8">
      <c r="A43" s="114" t="s">
        <v>1131</v>
      </c>
      <c r="B43" s="115" t="s">
        <v>1098</v>
      </c>
      <c r="C43" s="114" t="s">
        <v>418</v>
      </c>
      <c r="D43" s="114">
        <v>0.2</v>
      </c>
      <c r="E43" s="114">
        <f t="shared" ca="1" si="0"/>
        <v>3</v>
      </c>
      <c r="F43" s="114">
        <f t="shared" ca="1" si="1"/>
        <v>0.60000000000000009</v>
      </c>
      <c r="G43" s="114" t="s">
        <v>659</v>
      </c>
      <c r="H43" s="115" t="s">
        <v>1155</v>
      </c>
    </row>
    <row r="44" spans="1:8">
      <c r="A44" s="114" t="s">
        <v>1131</v>
      </c>
      <c r="B44" s="115" t="s">
        <v>1096</v>
      </c>
      <c r="C44" s="114" t="s">
        <v>418</v>
      </c>
      <c r="D44" s="114">
        <v>0.2</v>
      </c>
      <c r="E44" s="114">
        <f t="shared" ca="1" si="0"/>
        <v>3</v>
      </c>
      <c r="F44" s="114">
        <f t="shared" ca="1" si="1"/>
        <v>0.60000000000000009</v>
      </c>
      <c r="G44" s="114" t="s">
        <v>659</v>
      </c>
      <c r="H44" s="115" t="s">
        <v>1156</v>
      </c>
    </row>
    <row r="45" spans="1:8" ht="25.5">
      <c r="A45" s="114" t="s">
        <v>1131</v>
      </c>
      <c r="B45" s="115" t="s">
        <v>1297</v>
      </c>
      <c r="C45" s="114" t="s">
        <v>418</v>
      </c>
      <c r="D45" s="114">
        <v>0.2</v>
      </c>
      <c r="E45" s="114">
        <f t="shared" ca="1" si="0"/>
        <v>2</v>
      </c>
      <c r="F45" s="114">
        <f t="shared" ref="F45" ca="1" si="5">IF(ISNUMBER(E45),$D45*E45,0)</f>
        <v>0.4</v>
      </c>
      <c r="G45" s="114" t="s">
        <v>659</v>
      </c>
      <c r="H45" s="115" t="s">
        <v>1301</v>
      </c>
    </row>
    <row r="46" spans="1:8" ht="25.5">
      <c r="A46" s="114" t="s">
        <v>1135</v>
      </c>
      <c r="B46" s="115" t="s">
        <v>465</v>
      </c>
      <c r="C46" s="114" t="s">
        <v>418</v>
      </c>
      <c r="D46" s="114">
        <v>0.2</v>
      </c>
      <c r="E46" s="114">
        <f t="shared" ref="E46:E83" ca="1" si="6">IFERROR(INDEX(INDIRECT("'"&amp;$A46&amp;"'!$E$1:$E$60"),MATCH($B46,INDIRECT("'"&amp;$A46&amp;"'!$B$1:$B$60"),0)),"?")</f>
        <v>4</v>
      </c>
      <c r="F46" s="114">
        <f t="shared" ref="F46:F80" ca="1" si="7">IF(ISNUMBER(E46),$D46*E46,0)</f>
        <v>0.8</v>
      </c>
      <c r="G46" s="114" t="s">
        <v>659</v>
      </c>
      <c r="H46" s="115" t="s">
        <v>1157</v>
      </c>
    </row>
    <row r="47" spans="1:8" ht="25.5">
      <c r="A47" s="114" t="s">
        <v>1308</v>
      </c>
      <c r="B47" s="115" t="s">
        <v>1626</v>
      </c>
      <c r="C47" s="114" t="s">
        <v>1629</v>
      </c>
      <c r="D47" s="114">
        <v>0.2</v>
      </c>
      <c r="E47" s="114">
        <f t="shared" ca="1" si="6"/>
        <v>3</v>
      </c>
      <c r="F47" s="114">
        <f t="shared" ref="F47" ca="1" si="8">IF(ISNUMBER(E47),$D47*E47,0)</f>
        <v>0.60000000000000009</v>
      </c>
      <c r="G47" s="114" t="s">
        <v>659</v>
      </c>
      <c r="H47" s="115" t="s">
        <v>1630</v>
      </c>
    </row>
    <row r="48" spans="1:8" ht="38.25">
      <c r="A48" s="114" t="s">
        <v>1126</v>
      </c>
      <c r="B48" s="115" t="s">
        <v>1226</v>
      </c>
      <c r="C48" s="114" t="s">
        <v>282</v>
      </c>
      <c r="D48" s="114">
        <v>0.33</v>
      </c>
      <c r="E48" s="114">
        <f t="shared" ca="1" si="6"/>
        <v>3</v>
      </c>
      <c r="F48" s="114">
        <f t="shared" ca="1" si="7"/>
        <v>0.99</v>
      </c>
      <c r="G48" s="114" t="s">
        <v>659</v>
      </c>
      <c r="H48" s="115" t="s">
        <v>1158</v>
      </c>
    </row>
    <row r="49" spans="1:8">
      <c r="A49" s="114" t="s">
        <v>1130</v>
      </c>
      <c r="B49" s="115" t="s">
        <v>523</v>
      </c>
      <c r="C49" s="114" t="s">
        <v>282</v>
      </c>
      <c r="D49" s="114">
        <v>0.33</v>
      </c>
      <c r="E49" s="114">
        <f t="shared" ca="1" si="6"/>
        <v>3</v>
      </c>
      <c r="F49" s="114">
        <f t="shared" ca="1" si="7"/>
        <v>0.99</v>
      </c>
      <c r="G49" s="114" t="s">
        <v>659</v>
      </c>
      <c r="H49" s="115" t="s">
        <v>1159</v>
      </c>
    </row>
    <row r="50" spans="1:8">
      <c r="A50" s="114" t="s">
        <v>1129</v>
      </c>
      <c r="B50" s="115" t="s">
        <v>970</v>
      </c>
      <c r="C50" s="114" t="s">
        <v>282</v>
      </c>
      <c r="D50" s="114">
        <v>0.33</v>
      </c>
      <c r="E50" s="114">
        <f t="shared" ca="1" si="6"/>
        <v>6</v>
      </c>
      <c r="F50" s="114">
        <f t="shared" ca="1" si="7"/>
        <v>1.98</v>
      </c>
      <c r="G50" s="114" t="s">
        <v>659</v>
      </c>
      <c r="H50" s="115" t="s">
        <v>1159</v>
      </c>
    </row>
    <row r="51" spans="1:8" ht="25.5">
      <c r="A51" s="114" t="s">
        <v>1236</v>
      </c>
      <c r="B51" s="115" t="s">
        <v>970</v>
      </c>
      <c r="C51" s="114" t="s">
        <v>282</v>
      </c>
      <c r="D51" s="114">
        <v>0.33</v>
      </c>
      <c r="E51" s="114">
        <f t="shared" ca="1" si="6"/>
        <v>4</v>
      </c>
      <c r="F51" s="114">
        <f t="shared" ref="F51" ca="1" si="9">IF(ISNUMBER(E51),$D51*E51,0)</f>
        <v>1.32</v>
      </c>
      <c r="G51" s="114" t="s">
        <v>659</v>
      </c>
      <c r="H51" s="115" t="s">
        <v>1237</v>
      </c>
    </row>
    <row r="52" spans="1:8">
      <c r="A52" s="114" t="s">
        <v>1135</v>
      </c>
      <c r="B52" s="115" t="s">
        <v>472</v>
      </c>
      <c r="C52" s="114" t="s">
        <v>282</v>
      </c>
      <c r="D52" s="114">
        <v>0.5</v>
      </c>
      <c r="E52" s="114">
        <f t="shared" ca="1" si="6"/>
        <v>4</v>
      </c>
      <c r="F52" s="114">
        <f t="shared" ca="1" si="7"/>
        <v>2</v>
      </c>
      <c r="G52" s="114" t="s">
        <v>659</v>
      </c>
      <c r="H52" s="115" t="s">
        <v>1160</v>
      </c>
    </row>
    <row r="53" spans="1:8" ht="25.5">
      <c r="A53" s="114" t="s">
        <v>1135</v>
      </c>
      <c r="B53" s="115" t="s">
        <v>1244</v>
      </c>
      <c r="C53" s="114" t="s">
        <v>282</v>
      </c>
      <c r="D53" s="114">
        <v>0.5</v>
      </c>
      <c r="E53" s="114">
        <f t="shared" ca="1" si="6"/>
        <v>2</v>
      </c>
      <c r="F53" s="114">
        <f t="shared" ref="F53" ca="1" si="10">IF(ISNUMBER(E53),$D53*E53,0)</f>
        <v>1</v>
      </c>
      <c r="G53" s="114" t="s">
        <v>659</v>
      </c>
      <c r="H53" s="115" t="s">
        <v>1251</v>
      </c>
    </row>
    <row r="54" spans="1:8" ht="38.25">
      <c r="A54" s="114" t="s">
        <v>1129</v>
      </c>
      <c r="B54" s="115" t="s">
        <v>82</v>
      </c>
      <c r="C54" s="114" t="s">
        <v>313</v>
      </c>
      <c r="D54" s="114">
        <v>0</v>
      </c>
      <c r="E54" s="114">
        <f t="shared" ca="1" si="6"/>
        <v>5</v>
      </c>
      <c r="F54" s="114">
        <f t="shared" ca="1" si="7"/>
        <v>0</v>
      </c>
      <c r="G54" s="114" t="s">
        <v>659</v>
      </c>
      <c r="H54" s="115" t="s">
        <v>1161</v>
      </c>
    </row>
    <row r="55" spans="1:8" ht="38.25">
      <c r="A55" s="114" t="s">
        <v>1135</v>
      </c>
      <c r="B55" s="115" t="s">
        <v>1478</v>
      </c>
      <c r="C55" s="114" t="s">
        <v>313</v>
      </c>
      <c r="D55" s="114">
        <v>0</v>
      </c>
      <c r="E55" s="114">
        <f t="shared" ca="1" si="6"/>
        <v>3</v>
      </c>
      <c r="F55" s="114">
        <f t="shared" ca="1" si="7"/>
        <v>0</v>
      </c>
      <c r="G55" s="114" t="s">
        <v>659</v>
      </c>
      <c r="H55" s="115" t="s">
        <v>1482</v>
      </c>
    </row>
    <row r="56" spans="1:8" ht="25.5">
      <c r="A56" s="114" t="s">
        <v>1131</v>
      </c>
      <c r="B56" s="115" t="s">
        <v>417</v>
      </c>
      <c r="C56" s="114" t="s">
        <v>313</v>
      </c>
      <c r="D56" s="114">
        <v>0</v>
      </c>
      <c r="E56" s="114">
        <f t="shared" ca="1" si="6"/>
        <v>3</v>
      </c>
      <c r="F56" s="114">
        <f t="shared" ca="1" si="7"/>
        <v>0</v>
      </c>
      <c r="G56" s="114" t="s">
        <v>659</v>
      </c>
      <c r="H56" s="115" t="s">
        <v>1306</v>
      </c>
    </row>
    <row r="57" spans="1:8" ht="51">
      <c r="A57" s="114" t="s">
        <v>1130</v>
      </c>
      <c r="B57" s="115" t="s">
        <v>559</v>
      </c>
      <c r="C57" s="114" t="s">
        <v>313</v>
      </c>
      <c r="D57" s="114">
        <v>0.5</v>
      </c>
      <c r="E57" s="114">
        <f t="shared" ca="1" si="6"/>
        <v>3</v>
      </c>
      <c r="F57" s="114">
        <f t="shared" ca="1" si="7"/>
        <v>1.5</v>
      </c>
      <c r="G57" s="114" t="s">
        <v>659</v>
      </c>
      <c r="H57" s="115" t="s">
        <v>1162</v>
      </c>
    </row>
    <row r="58" spans="1:8" ht="25.5">
      <c r="A58" s="114" t="s">
        <v>1135</v>
      </c>
      <c r="B58" s="115" t="s">
        <v>484</v>
      </c>
      <c r="C58" s="114" t="s">
        <v>313</v>
      </c>
      <c r="D58" s="114">
        <v>0</v>
      </c>
      <c r="E58" s="114">
        <f t="shared" ca="1" si="6"/>
        <v>3</v>
      </c>
      <c r="F58" s="114">
        <f t="shared" ca="1" si="7"/>
        <v>0</v>
      </c>
      <c r="G58" s="114" t="s">
        <v>659</v>
      </c>
      <c r="H58" s="115" t="s">
        <v>1163</v>
      </c>
    </row>
    <row r="59" spans="1:8">
      <c r="A59" s="114" t="s">
        <v>1129</v>
      </c>
      <c r="B59" s="115" t="s">
        <v>82</v>
      </c>
      <c r="C59" s="114" t="s">
        <v>375</v>
      </c>
      <c r="D59" s="114">
        <v>0.5</v>
      </c>
      <c r="E59" s="114">
        <f t="shared" ca="1" si="6"/>
        <v>5</v>
      </c>
      <c r="F59" s="114">
        <f t="shared" ca="1" si="7"/>
        <v>2.5</v>
      </c>
      <c r="G59" s="114" t="s">
        <v>659</v>
      </c>
      <c r="H59" s="115" t="s">
        <v>681</v>
      </c>
    </row>
    <row r="60" spans="1:8">
      <c r="A60" s="114" t="s">
        <v>1130</v>
      </c>
      <c r="B60" s="115" t="s">
        <v>84</v>
      </c>
      <c r="C60" s="114" t="s">
        <v>375</v>
      </c>
      <c r="D60" s="114">
        <v>0.5</v>
      </c>
      <c r="E60" s="114">
        <f t="shared" ca="1" si="6"/>
        <v>1</v>
      </c>
      <c r="F60" s="114">
        <f t="shared" ca="1" si="7"/>
        <v>0.5</v>
      </c>
      <c r="G60" s="114" t="s">
        <v>659</v>
      </c>
      <c r="H60" s="115" t="s">
        <v>1164</v>
      </c>
    </row>
    <row r="61" spans="1:8" ht="25.5">
      <c r="A61" s="114" t="s">
        <v>1130</v>
      </c>
      <c r="B61" s="115" t="s">
        <v>1062</v>
      </c>
      <c r="C61" s="114" t="s">
        <v>375</v>
      </c>
      <c r="D61" s="114">
        <v>0.5</v>
      </c>
      <c r="E61" s="114">
        <f t="shared" ca="1" si="6"/>
        <v>2</v>
      </c>
      <c r="F61" s="114">
        <f t="shared" ca="1" si="7"/>
        <v>1</v>
      </c>
      <c r="G61" s="114" t="s">
        <v>659</v>
      </c>
      <c r="H61" s="115" t="s">
        <v>1502</v>
      </c>
    </row>
    <row r="62" spans="1:8">
      <c r="A62" s="114" t="s">
        <v>1129</v>
      </c>
      <c r="B62" s="115" t="s">
        <v>374</v>
      </c>
      <c r="C62" s="114" t="s">
        <v>375</v>
      </c>
      <c r="D62" s="114">
        <v>0.33</v>
      </c>
      <c r="E62" s="114">
        <f t="shared" ca="1" si="6"/>
        <v>4</v>
      </c>
      <c r="F62" s="114">
        <f t="shared" ca="1" si="7"/>
        <v>1.32</v>
      </c>
      <c r="G62" s="114" t="s">
        <v>659</v>
      </c>
      <c r="H62" s="115" t="s">
        <v>682</v>
      </c>
    </row>
    <row r="63" spans="1:8">
      <c r="A63" s="114" t="s">
        <v>1130</v>
      </c>
      <c r="B63" s="115" t="s">
        <v>559</v>
      </c>
      <c r="C63" s="114" t="s">
        <v>375</v>
      </c>
      <c r="D63" s="114">
        <v>0.5</v>
      </c>
      <c r="E63" s="114">
        <f t="shared" ca="1" si="6"/>
        <v>3</v>
      </c>
      <c r="F63" s="114">
        <f t="shared" ca="1" si="7"/>
        <v>1.5</v>
      </c>
      <c r="G63" s="114" t="s">
        <v>659</v>
      </c>
      <c r="H63" s="115" t="s">
        <v>1165</v>
      </c>
    </row>
    <row r="64" spans="1:8" ht="38.25">
      <c r="A64" s="114" t="s">
        <v>1396</v>
      </c>
      <c r="B64" s="115" t="s">
        <v>556</v>
      </c>
      <c r="C64" s="114" t="s">
        <v>384</v>
      </c>
      <c r="D64" s="114">
        <v>0.2</v>
      </c>
      <c r="E64" s="114">
        <f t="shared" ca="1" si="6"/>
        <v>4</v>
      </c>
      <c r="F64" s="114">
        <f t="shared" ca="1" si="7"/>
        <v>0.8</v>
      </c>
      <c r="G64" s="114" t="s">
        <v>659</v>
      </c>
      <c r="H64" s="115" t="s">
        <v>1166</v>
      </c>
    </row>
    <row r="65" spans="1:8" ht="38.25">
      <c r="A65" s="114" t="s">
        <v>1130</v>
      </c>
      <c r="B65" s="115" t="s">
        <v>84</v>
      </c>
      <c r="C65" s="114" t="s">
        <v>384</v>
      </c>
      <c r="D65" s="114">
        <v>0.33</v>
      </c>
      <c r="E65" s="114">
        <f t="shared" ca="1" si="6"/>
        <v>1</v>
      </c>
      <c r="F65" s="114">
        <f t="shared" ca="1" si="7"/>
        <v>0.33</v>
      </c>
      <c r="G65" s="114" t="s">
        <v>659</v>
      </c>
      <c r="H65" s="115" t="s">
        <v>1167</v>
      </c>
    </row>
    <row r="66" spans="1:8" ht="25.5">
      <c r="A66" s="114" t="s">
        <v>1130</v>
      </c>
      <c r="B66" s="115" t="s">
        <v>1062</v>
      </c>
      <c r="C66" s="114" t="s">
        <v>384</v>
      </c>
      <c r="D66" s="114">
        <v>0.33</v>
      </c>
      <c r="E66" s="114">
        <f t="shared" ca="1" si="6"/>
        <v>2</v>
      </c>
      <c r="F66" s="114">
        <f t="shared" ca="1" si="7"/>
        <v>0.66</v>
      </c>
      <c r="G66" s="114" t="s">
        <v>659</v>
      </c>
      <c r="H66" s="115" t="s">
        <v>1168</v>
      </c>
    </row>
    <row r="67" spans="1:8" ht="51">
      <c r="A67" s="114" t="s">
        <v>1130</v>
      </c>
      <c r="B67" s="115" t="s">
        <v>1065</v>
      </c>
      <c r="C67" s="114" t="s">
        <v>384</v>
      </c>
      <c r="D67" s="114">
        <v>0.2</v>
      </c>
      <c r="E67" s="114">
        <f t="shared" ca="1" si="6"/>
        <v>4</v>
      </c>
      <c r="F67" s="114">
        <f t="shared" ca="1" si="7"/>
        <v>0.8</v>
      </c>
      <c r="G67" s="114" t="s">
        <v>659</v>
      </c>
      <c r="H67" s="115" t="s">
        <v>1169</v>
      </c>
    </row>
    <row r="68" spans="1:8" ht="38.25">
      <c r="A68" s="114" t="s">
        <v>1129</v>
      </c>
      <c r="B68" s="115" t="s">
        <v>82</v>
      </c>
      <c r="C68" s="114" t="s">
        <v>388</v>
      </c>
      <c r="D68" s="114">
        <v>0.33</v>
      </c>
      <c r="E68" s="114">
        <f t="shared" ca="1" si="6"/>
        <v>5</v>
      </c>
      <c r="F68" s="114">
        <f t="shared" ca="1" si="7"/>
        <v>1.6500000000000001</v>
      </c>
      <c r="G68" s="114" t="s">
        <v>659</v>
      </c>
      <c r="H68" s="115" t="s">
        <v>1170</v>
      </c>
    </row>
    <row r="69" spans="1:8" ht="25.5">
      <c r="A69" s="114" t="s">
        <v>1129</v>
      </c>
      <c r="B69" s="115" t="s">
        <v>374</v>
      </c>
      <c r="C69" s="114" t="s">
        <v>388</v>
      </c>
      <c r="D69" s="114">
        <v>0.33</v>
      </c>
      <c r="E69" s="114">
        <f t="shared" ca="1" si="6"/>
        <v>4</v>
      </c>
      <c r="F69" s="114">
        <f t="shared" ca="1" si="7"/>
        <v>1.32</v>
      </c>
      <c r="G69" s="114" t="s">
        <v>659</v>
      </c>
      <c r="H69" s="115" t="s">
        <v>1171</v>
      </c>
    </row>
    <row r="70" spans="1:8" ht="25.5">
      <c r="A70" s="114" t="s">
        <v>1130</v>
      </c>
      <c r="B70" s="115" t="s">
        <v>1065</v>
      </c>
      <c r="C70" s="114" t="s">
        <v>388</v>
      </c>
      <c r="D70" s="114">
        <v>0.33</v>
      </c>
      <c r="E70" s="114">
        <f t="shared" ca="1" si="6"/>
        <v>4</v>
      </c>
      <c r="F70" s="114">
        <f t="shared" ca="1" si="7"/>
        <v>1.32</v>
      </c>
      <c r="G70" s="114" t="s">
        <v>659</v>
      </c>
      <c r="H70" s="115" t="s">
        <v>1172</v>
      </c>
    </row>
    <row r="71" spans="1:8">
      <c r="A71" s="114" t="s">
        <v>1135</v>
      </c>
      <c r="B71" s="115" t="s">
        <v>481</v>
      </c>
      <c r="C71" s="114" t="s">
        <v>295</v>
      </c>
      <c r="D71" s="114">
        <v>0.33</v>
      </c>
      <c r="E71" s="114">
        <f t="shared" ca="1" si="6"/>
        <v>3</v>
      </c>
      <c r="F71" s="114">
        <f t="shared" ca="1" si="7"/>
        <v>0.99</v>
      </c>
      <c r="G71" s="114" t="s">
        <v>659</v>
      </c>
      <c r="H71" s="115" t="s">
        <v>662</v>
      </c>
    </row>
    <row r="72" spans="1:8">
      <c r="A72" s="114" t="s">
        <v>1139</v>
      </c>
      <c r="B72" s="115" t="s">
        <v>591</v>
      </c>
      <c r="C72" s="114" t="s">
        <v>295</v>
      </c>
      <c r="D72" s="114">
        <v>0.33</v>
      </c>
      <c r="E72" s="114">
        <f t="shared" ca="1" si="6"/>
        <v>4</v>
      </c>
      <c r="F72" s="114">
        <f t="shared" ca="1" si="7"/>
        <v>1.32</v>
      </c>
      <c r="G72" s="114" t="s">
        <v>659</v>
      </c>
      <c r="H72" s="115" t="s">
        <v>662</v>
      </c>
    </row>
    <row r="73" spans="1:8">
      <c r="A73" s="114" t="s">
        <v>1131</v>
      </c>
      <c r="B73" s="115" t="s">
        <v>1106</v>
      </c>
      <c r="C73" s="114" t="s">
        <v>295</v>
      </c>
      <c r="D73" s="114">
        <v>0.33</v>
      </c>
      <c r="E73" s="114">
        <f t="shared" ca="1" si="6"/>
        <v>3</v>
      </c>
      <c r="F73" s="114">
        <f t="shared" ca="1" si="7"/>
        <v>0.99</v>
      </c>
      <c r="G73" s="114" t="s">
        <v>659</v>
      </c>
      <c r="H73" s="115" t="s">
        <v>1173</v>
      </c>
    </row>
    <row r="74" spans="1:8" ht="38.25">
      <c r="A74" s="114" t="s">
        <v>1126</v>
      </c>
      <c r="B74" s="115" t="s">
        <v>86</v>
      </c>
      <c r="C74" s="114" t="s">
        <v>349</v>
      </c>
      <c r="D74" s="114">
        <v>0</v>
      </c>
      <c r="E74" s="114">
        <f t="shared" ca="1" si="6"/>
        <v>4</v>
      </c>
      <c r="F74" s="114">
        <f t="shared" ca="1" si="7"/>
        <v>0</v>
      </c>
      <c r="G74" s="114" t="s">
        <v>659</v>
      </c>
      <c r="H74" s="115" t="s">
        <v>1174</v>
      </c>
    </row>
    <row r="75" spans="1:8" ht="25.5">
      <c r="A75" s="114" t="s">
        <v>1131</v>
      </c>
      <c r="B75" s="115" t="s">
        <v>427</v>
      </c>
      <c r="C75" s="114" t="s">
        <v>349</v>
      </c>
      <c r="D75" s="114">
        <v>0</v>
      </c>
      <c r="E75" s="114">
        <f t="shared" ca="1" si="6"/>
        <v>4</v>
      </c>
      <c r="F75" s="114">
        <f t="shared" ca="1" si="7"/>
        <v>0</v>
      </c>
      <c r="G75" s="114" t="s">
        <v>659</v>
      </c>
      <c r="H75" s="115" t="s">
        <v>1175</v>
      </c>
    </row>
    <row r="76" spans="1:8" ht="25.5">
      <c r="A76" s="114" t="s">
        <v>1126</v>
      </c>
      <c r="B76" s="115" t="s">
        <v>517</v>
      </c>
      <c r="C76" s="114" t="s">
        <v>337</v>
      </c>
      <c r="D76" s="114">
        <v>0</v>
      </c>
      <c r="E76" s="114">
        <f t="shared" ca="1" si="6"/>
        <v>3</v>
      </c>
      <c r="F76" s="114">
        <f t="shared" ca="1" si="7"/>
        <v>0</v>
      </c>
      <c r="G76" s="114" t="s">
        <v>659</v>
      </c>
      <c r="H76" s="115" t="s">
        <v>1176</v>
      </c>
    </row>
    <row r="77" spans="1:8">
      <c r="A77" s="114" t="s">
        <v>1126</v>
      </c>
      <c r="B77" s="115" t="s">
        <v>1662</v>
      </c>
      <c r="C77" s="114" t="s">
        <v>337</v>
      </c>
      <c r="D77" s="114">
        <v>0.2</v>
      </c>
      <c r="E77" s="114">
        <f t="shared" ca="1" si="6"/>
        <v>3</v>
      </c>
      <c r="F77" s="114">
        <f t="shared" ca="1" si="7"/>
        <v>0.60000000000000009</v>
      </c>
      <c r="G77" s="114" t="s">
        <v>659</v>
      </c>
      <c r="H77" s="115" t="s">
        <v>1177</v>
      </c>
    </row>
    <row r="78" spans="1:8">
      <c r="A78" s="114" t="s">
        <v>1129</v>
      </c>
      <c r="B78" s="115" t="s">
        <v>82</v>
      </c>
      <c r="C78" s="114" t="s">
        <v>299</v>
      </c>
      <c r="D78" s="114">
        <v>0</v>
      </c>
      <c r="E78" s="114">
        <f t="shared" ca="1" si="6"/>
        <v>5</v>
      </c>
      <c r="F78" s="114">
        <f t="shared" ca="1" si="7"/>
        <v>0</v>
      </c>
      <c r="G78" s="114" t="s">
        <v>659</v>
      </c>
      <c r="H78" s="115" t="s">
        <v>1178</v>
      </c>
    </row>
    <row r="79" spans="1:8">
      <c r="A79" s="114" t="s">
        <v>1129</v>
      </c>
      <c r="B79" s="115" t="s">
        <v>488</v>
      </c>
      <c r="C79" s="114" t="s">
        <v>308</v>
      </c>
      <c r="D79" s="114">
        <v>0</v>
      </c>
      <c r="E79" s="114">
        <f t="shared" ca="1" si="6"/>
        <v>6</v>
      </c>
      <c r="F79" s="114">
        <f t="shared" ca="1" si="7"/>
        <v>0</v>
      </c>
      <c r="G79" s="114" t="s">
        <v>659</v>
      </c>
      <c r="H79" s="115" t="s">
        <v>1179</v>
      </c>
    </row>
    <row r="80" spans="1:8" ht="25.5">
      <c r="A80" s="114" t="s">
        <v>1139</v>
      </c>
      <c r="B80" s="115" t="s">
        <v>1033</v>
      </c>
      <c r="C80" s="114" t="s">
        <v>912</v>
      </c>
      <c r="D80" s="114">
        <v>0</v>
      </c>
      <c r="E80" s="114">
        <f t="shared" ca="1" si="6"/>
        <v>3</v>
      </c>
      <c r="F80" s="114">
        <f t="shared" ca="1" si="7"/>
        <v>0</v>
      </c>
      <c r="G80" s="114" t="s">
        <v>659</v>
      </c>
      <c r="H80" s="115" t="s">
        <v>1180</v>
      </c>
    </row>
    <row r="81" spans="1:8" ht="25.5">
      <c r="A81" s="114" t="s">
        <v>1527</v>
      </c>
      <c r="B81" s="115" t="s">
        <v>1515</v>
      </c>
      <c r="C81" s="114" t="s">
        <v>1528</v>
      </c>
      <c r="D81" s="114">
        <v>0.5</v>
      </c>
      <c r="E81" s="114">
        <f t="shared" ca="1" si="6"/>
        <v>3</v>
      </c>
      <c r="F81" s="114">
        <f t="shared" ref="F81:F83" ca="1" si="11">IF(ISNUMBER(E81),$D81*E81,0)</f>
        <v>1.5</v>
      </c>
      <c r="G81" s="114" t="s">
        <v>1529</v>
      </c>
      <c r="H81" s="115" t="s">
        <v>1530</v>
      </c>
    </row>
    <row r="82" spans="1:8" ht="38.25">
      <c r="A82" s="114" t="s">
        <v>1527</v>
      </c>
      <c r="B82" s="115" t="s">
        <v>1515</v>
      </c>
      <c r="C82" s="114" t="s">
        <v>1222</v>
      </c>
      <c r="D82" s="114">
        <v>0.5</v>
      </c>
      <c r="E82" s="114">
        <f t="shared" ca="1" si="6"/>
        <v>3</v>
      </c>
      <c r="F82" s="114">
        <f t="shared" ca="1" si="11"/>
        <v>1.5</v>
      </c>
      <c r="G82" s="114" t="s">
        <v>1529</v>
      </c>
      <c r="H82" s="115" t="s">
        <v>1531</v>
      </c>
    </row>
    <row r="83" spans="1:8" ht="25.5">
      <c r="A83" s="114" t="s">
        <v>1527</v>
      </c>
      <c r="B83" s="115" t="s">
        <v>1515</v>
      </c>
      <c r="C83" s="114" t="s">
        <v>1532</v>
      </c>
      <c r="D83" s="114">
        <v>0.2</v>
      </c>
      <c r="E83" s="114">
        <f t="shared" ca="1" si="6"/>
        <v>3</v>
      </c>
      <c r="F83" s="114">
        <f t="shared" ca="1" si="11"/>
        <v>0.60000000000000009</v>
      </c>
      <c r="G83" s="114" t="s">
        <v>1529</v>
      </c>
      <c r="H83" s="115" t="s">
        <v>1533</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2"/>
  <sheetViews>
    <sheetView topLeftCell="A22"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1181</v>
      </c>
    </row>
    <row r="2" spans="1:9">
      <c r="A2" s="119" t="s">
        <v>1182</v>
      </c>
    </row>
    <row r="4" spans="1:9">
      <c r="A4" s="111" t="s">
        <v>254</v>
      </c>
      <c r="B4" s="111" t="s">
        <v>732</v>
      </c>
      <c r="C4" s="111" t="s">
        <v>733</v>
      </c>
      <c r="D4" s="111" t="s">
        <v>734</v>
      </c>
      <c r="E4" s="111" t="s">
        <v>735</v>
      </c>
      <c r="F4" s="111" t="s">
        <v>736</v>
      </c>
    </row>
    <row r="5" spans="1:9" ht="30" customHeight="1">
      <c r="A5" s="114" t="s">
        <v>349</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MROUND(SUMIFS(복귀_간접계수맵!$F$7:$F$100,복귀_간접계수맵!$C$7:$C$100,$A5),0.5)</f>
        <v>0</v>
      </c>
      <c r="D5" s="114">
        <f t="shared" ref="D5:D26" ca="1" si="0">B5+C5</f>
        <v>9</v>
      </c>
      <c r="E5" s="114" t="str">
        <f t="shared" ref="E5:E26" ca="1" si="1">IF(D5&gt;20,"과다 점검",IF(D5&gt;=10,"충분",IF(D5&gt;=8,"하한",IF(D5&gt;=1,"보완 필요","미배치"))))</f>
        <v>하한</v>
      </c>
      <c r="F5" s="115" t="s">
        <v>1567</v>
      </c>
      <c r="H5" s="124" t="s">
        <v>738</v>
      </c>
      <c r="I5" s="125">
        <f ca="1">SUM(D5:D6)</f>
        <v>23.5</v>
      </c>
    </row>
    <row r="6" spans="1:9" ht="30" customHeight="1">
      <c r="A6" s="114" t="s">
        <v>337</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MROUND(SUMIFS(복귀_간접계수맵!$F$7:$F$100,복귀_간접계수맵!$C$7:$C$100,$A6),0.5)</f>
        <v>0.5</v>
      </c>
      <c r="D6" s="114">
        <f t="shared" ca="1" si="0"/>
        <v>14.5</v>
      </c>
      <c r="E6" s="114" t="str">
        <f t="shared" ca="1" si="1"/>
        <v>충분</v>
      </c>
      <c r="F6" s="115" t="s">
        <v>1666</v>
      </c>
    </row>
    <row r="7" spans="1:9" ht="30" customHeight="1">
      <c r="A7" s="114" t="s">
        <v>267</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21</v>
      </c>
      <c r="C7" s="114">
        <f ca="1">MROUND(SUMIFS(복귀_간접계수맵!$F$7:$F$100,복귀_간접계수맵!$C$7:$C$100,$A7),0.5)</f>
        <v>3.5</v>
      </c>
      <c r="D7" s="114">
        <f t="shared" ca="1" si="0"/>
        <v>24.5</v>
      </c>
      <c r="E7" s="114" t="str">
        <f t="shared" ca="1" si="1"/>
        <v>과다 점검</v>
      </c>
      <c r="F7" s="115" t="s">
        <v>1631</v>
      </c>
      <c r="H7" s="124" t="s">
        <v>1183</v>
      </c>
      <c r="I7" s="125">
        <f ca="1">SUM(D7:D10)</f>
        <v>59</v>
      </c>
    </row>
    <row r="8" spans="1:9" ht="30" customHeight="1">
      <c r="A8" s="114" t="s">
        <v>407</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MROUND(SUMIFS(복귀_간접계수맵!$F$7:$F$100,복귀_간접계수맵!$C$7:$C$100,$A8),0.5)</f>
        <v>3</v>
      </c>
      <c r="D8" s="114">
        <f t="shared" ca="1" si="0"/>
        <v>6</v>
      </c>
      <c r="E8" s="114" t="str">
        <f t="shared" ca="1" si="1"/>
        <v>보완 필요</v>
      </c>
      <c r="F8" s="115" t="s">
        <v>1484</v>
      </c>
      <c r="H8" s="124" t="s">
        <v>1184</v>
      </c>
      <c r="I8" s="125">
        <f>SUM(복귀_일_수평당기기!E11:E15,복귀_목_수직당기기!E11,복귀_목_수직당기기!E13,복귀_목_수직당기기!E15,복귀_목_수직당기기!E17)</f>
        <v>28</v>
      </c>
    </row>
    <row r="9" spans="1:9" ht="30" customHeight="1">
      <c r="A9" s="114" t="s">
        <v>418</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MROUND(SUMIFS(복귀_간접계수맵!$F$7:$F$100,복귀_간접계수맵!$C$7:$C$100,$A9),0.5)</f>
        <v>4</v>
      </c>
      <c r="D9" s="114">
        <f t="shared" ca="1" si="0"/>
        <v>7</v>
      </c>
      <c r="E9" s="114" t="str">
        <f t="shared" ca="1" si="1"/>
        <v>보완 필요</v>
      </c>
      <c r="F9" s="115" t="s">
        <v>1302</v>
      </c>
    </row>
    <row r="10" spans="1:9" ht="30" customHeight="1">
      <c r="A10" s="114" t="s">
        <v>282</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MROUND(SUMIFS(복귀_간접계수맵!$F$7:$F$100,복귀_간접계수맵!$C$7:$C$100,$A10),0.5)</f>
        <v>8.5</v>
      </c>
      <c r="D10" s="114">
        <f t="shared" ca="1" si="0"/>
        <v>21.5</v>
      </c>
      <c r="E10" s="114" t="str">
        <f t="shared" ca="1" si="1"/>
        <v>과다 점검</v>
      </c>
      <c r="F10" s="115" t="s">
        <v>1500</v>
      </c>
    </row>
    <row r="11" spans="1:9" ht="30" customHeight="1">
      <c r="A11" s="114" t="s">
        <v>313</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MROUND(SUMIFS(복귀_간접계수맵!$F$7:$F$100,복귀_간접계수맵!$C$7:$C$100,$A11),0.5)</f>
        <v>1.5</v>
      </c>
      <c r="D11" s="114">
        <f t="shared" ca="1" si="0"/>
        <v>10.5</v>
      </c>
      <c r="E11" s="114" t="str">
        <f t="shared" ca="1" si="1"/>
        <v>충분</v>
      </c>
      <c r="F11" s="115" t="s">
        <v>1446</v>
      </c>
    </row>
    <row r="12" spans="1:9" ht="30" customHeight="1">
      <c r="A12" s="114" t="s">
        <v>429</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10</v>
      </c>
      <c r="C12" s="114">
        <f ca="1">MROUND(SUMIFS(복귀_간접계수맵!$F$7:$F$100,복귀_간접계수맵!$C$7:$C$100,$A12),0.5)</f>
        <v>6.5</v>
      </c>
      <c r="D12" s="114">
        <f t="shared" ca="1" si="0"/>
        <v>16.5</v>
      </c>
      <c r="E12" s="114" t="str">
        <f t="shared" ca="1" si="1"/>
        <v>충분</v>
      </c>
      <c r="F12" s="115" t="s">
        <v>1534</v>
      </c>
    </row>
    <row r="13" spans="1:9" ht="30" customHeight="1">
      <c r="A13" s="114" t="s">
        <v>354</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16</v>
      </c>
      <c r="C13" s="114">
        <f ca="1">MROUND(SUMIFS(복귀_간접계수맵!$F$7:$F$100,복귀_간접계수맵!$C$7:$C$100,$A13),0.5)</f>
        <v>4.5</v>
      </c>
      <c r="D13" s="114">
        <f t="shared" ca="1" si="0"/>
        <v>20.5</v>
      </c>
      <c r="E13" s="114" t="str">
        <f t="shared" ca="1" si="1"/>
        <v>과다 점검</v>
      </c>
      <c r="F13" s="115" t="s">
        <v>1535</v>
      </c>
    </row>
    <row r="14" spans="1:9" ht="30" customHeight="1">
      <c r="A14" s="114" t="s">
        <v>358</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MROUND(SUMIFS(복귀_간접계수맵!$F$7:$F$100,복귀_간접계수맵!$C$7:$C$100,$A14),0.5)</f>
        <v>4</v>
      </c>
      <c r="D14" s="114">
        <f t="shared" ca="1" si="0"/>
        <v>20</v>
      </c>
      <c r="E14" s="114" t="str">
        <f t="shared" ca="1" si="1"/>
        <v>충분</v>
      </c>
      <c r="F14" s="115" t="s">
        <v>1384</v>
      </c>
    </row>
    <row r="15" spans="1:9" ht="30" customHeight="1">
      <c r="A15" s="114" t="s">
        <v>285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9</v>
      </c>
      <c r="C15" s="114">
        <f>MROUND(SUMIFS(복귀_간접계수맵!$F$7:$F$100,복귀_간접계수맵!$C$7:$C$100,$A15),0.5)</f>
        <v>0</v>
      </c>
      <c r="D15" s="114">
        <f t="shared" ref="D15" si="2">B15+C15</f>
        <v>9</v>
      </c>
      <c r="E15" s="114" t="str">
        <f t="shared" ref="E15" si="3">IF(D15&gt;20,"과다 점검",IF(D15&gt;=10,"충분",IF(D15&gt;=8,"하한",IF(D15&gt;=1,"보완 필요","미배치"))))</f>
        <v>하한</v>
      </c>
      <c r="F15" s="115" t="s">
        <v>1655</v>
      </c>
    </row>
    <row r="16" spans="1:9" ht="30" customHeight="1">
      <c r="A16" s="114" t="s">
        <v>369</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14</v>
      </c>
      <c r="C16" s="114">
        <f ca="1">MROUND(SUMIFS(복귀_간접계수맵!$F$7:$F$100,복귀_간접계수맵!$C$7:$C$100,$A16),0.5)</f>
        <v>1.5</v>
      </c>
      <c r="D16" s="114">
        <f t="shared" ca="1" si="0"/>
        <v>15.5</v>
      </c>
      <c r="E16" s="114" t="str">
        <f t="shared" ca="1" si="1"/>
        <v>충분</v>
      </c>
      <c r="F16" s="115" t="s">
        <v>1646</v>
      </c>
      <c r="H16" s="124" t="s">
        <v>1185</v>
      </c>
      <c r="I16" s="125">
        <f ca="1">SUM(D16:D17,D20)</f>
        <v>42</v>
      </c>
    </row>
    <row r="17" spans="1:6" ht="30" customHeight="1">
      <c r="A17" s="114" t="s">
        <v>384</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12</v>
      </c>
      <c r="C17" s="114">
        <f ca="1">MROUND(SUMIFS(복귀_간접계수맵!$F$7:$F$100,복귀_간접계수맵!$C$7:$C$100,$A17),0.5)</f>
        <v>2.5</v>
      </c>
      <c r="D17" s="114">
        <f t="shared" ca="1" si="0"/>
        <v>14.5</v>
      </c>
      <c r="E17" s="114" t="str">
        <f t="shared" ca="1" si="1"/>
        <v>충분</v>
      </c>
      <c r="F17" s="115" t="s">
        <v>1671</v>
      </c>
    </row>
    <row r="18" spans="1:6" ht="30" customHeight="1">
      <c r="A18" s="114" t="s">
        <v>375</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8</v>
      </c>
      <c r="C18" s="114">
        <f ca="1">MROUND(SUMIFS(복귀_간접계수맵!$F$7:$F$100,복귀_간접계수맵!$C$7:$C$100,$A18),0.5)</f>
        <v>7</v>
      </c>
      <c r="D18" s="114">
        <f t="shared" ca="1" si="0"/>
        <v>15</v>
      </c>
      <c r="E18" s="114" t="str">
        <f t="shared" ca="1" si="1"/>
        <v>충분</v>
      </c>
      <c r="F18" s="115" t="s">
        <v>1422</v>
      </c>
    </row>
    <row r="19" spans="1:6" ht="30" customHeight="1">
      <c r="A19" s="114" t="s">
        <v>393</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11</v>
      </c>
      <c r="C19" s="114">
        <f>MROUND(SUMIFS(복귀_간접계수맵!$F$7:$F$100,복귀_간접계수맵!$C$7:$C$100,$A19),0.5)</f>
        <v>0</v>
      </c>
      <c r="D19" s="114">
        <f t="shared" si="0"/>
        <v>11</v>
      </c>
      <c r="E19" s="114" t="str">
        <f t="shared" si="1"/>
        <v>충분</v>
      </c>
      <c r="F19" s="115" t="s">
        <v>1409</v>
      </c>
    </row>
    <row r="20" spans="1:6" ht="30" customHeight="1">
      <c r="A20" s="114" t="s">
        <v>308</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12</v>
      </c>
      <c r="C20" s="114">
        <f ca="1">MROUND(SUMIFS(복귀_간접계수맵!$F$7:$F$100,복귀_간접계수맵!$C$7:$C$100,$A20),0.5)</f>
        <v>0</v>
      </c>
      <c r="D20" s="114">
        <f t="shared" ca="1" si="0"/>
        <v>12</v>
      </c>
      <c r="E20" s="114" t="str">
        <f t="shared" ca="1" si="1"/>
        <v>충분</v>
      </c>
      <c r="F20" s="115" t="s">
        <v>1186</v>
      </c>
    </row>
    <row r="21" spans="1:6" ht="30" customHeight="1">
      <c r="A21" s="114" t="s">
        <v>269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13</v>
      </c>
      <c r="C21" s="114">
        <f ca="1">MROUND(SUMIFS(복귀_간접계수맵!$F$7:$F$100,복귀_간접계수맵!$C$7:$C$100,$A21),0.5)</f>
        <v>9.5</v>
      </c>
      <c r="D21" s="114">
        <f t="shared" ca="1" si="0"/>
        <v>22.5</v>
      </c>
      <c r="E21" s="114" t="str">
        <f t="shared" ca="1" si="1"/>
        <v>과다 점검</v>
      </c>
      <c r="F21" s="115" t="s">
        <v>1632</v>
      </c>
    </row>
    <row r="22" spans="1:6" ht="30" customHeight="1">
      <c r="A22" s="114" t="s">
        <v>345</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12</v>
      </c>
      <c r="C22" s="114">
        <f ca="1">MROUND(SUMIFS(복귀_간접계수맵!$F$7:$F$100,복귀_간접계수맵!$C$7:$C$100,$A22),0.5)</f>
        <v>9.5</v>
      </c>
      <c r="D22" s="114">
        <f t="shared" ca="1" si="0"/>
        <v>21.5</v>
      </c>
      <c r="E22" s="114" t="str">
        <f t="shared" ca="1" si="1"/>
        <v>과다 점검</v>
      </c>
      <c r="F22" s="115" t="s">
        <v>1542</v>
      </c>
    </row>
    <row r="23" spans="1:6" ht="30" customHeight="1">
      <c r="A23" s="114" t="s">
        <v>295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17</v>
      </c>
      <c r="C23" s="114">
        <f ca="1">MROUND(SUMIFS(복귀_간접계수맵!$F$7:$F$100,복귀_간접계수맵!$C$7:$C$100,$A23),0.5)</f>
        <v>5</v>
      </c>
      <c r="D23" s="114">
        <f t="shared" ca="1" si="0"/>
        <v>22</v>
      </c>
      <c r="E23" s="114" t="str">
        <f t="shared" ca="1" si="1"/>
        <v>과다 점검</v>
      </c>
      <c r="F23" s="115" t="s">
        <v>1391</v>
      </c>
    </row>
    <row r="24" spans="1:6" ht="30" customHeight="1">
      <c r="A24" s="114" t="s">
        <v>299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6</v>
      </c>
      <c r="C24" s="114">
        <f ca="1">MROUND(SUMIFS(복귀_간접계수맵!$F$7:$F$100,복귀_간접계수맵!$C$7:$C$100,$A24),0.5)</f>
        <v>0</v>
      </c>
      <c r="D24" s="114">
        <f t="shared" ca="1" si="0"/>
        <v>6</v>
      </c>
      <c r="E24" s="114" t="str">
        <f t="shared" ca="1" si="1"/>
        <v>보완 필요</v>
      </c>
      <c r="F24" s="115" t="s">
        <v>1469</v>
      </c>
    </row>
    <row r="25" spans="1:6" ht="30" customHeight="1">
      <c r="A25" s="114" t="s">
        <v>388</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8</v>
      </c>
      <c r="C25" s="114">
        <f ca="1">MROUND(SUMIFS(복귀_간접계수맵!$F$7:$F$100,복귀_간접계수맵!$C$7:$C$100,$A25),0.5)</f>
        <v>4.5</v>
      </c>
      <c r="D25" s="114">
        <f t="shared" ca="1" si="0"/>
        <v>12.5</v>
      </c>
      <c r="E25" s="114" t="str">
        <f t="shared" ca="1" si="1"/>
        <v>충분</v>
      </c>
      <c r="F25" s="115" t="s">
        <v>1410</v>
      </c>
    </row>
    <row r="26" spans="1:6" ht="30" customHeight="1">
      <c r="A26" s="114" t="s">
        <v>912</v>
      </c>
      <c r="B26" s="114">
        <f>SUMIFS(복귀_토_하체전면!$E:$E,복귀_토_하체전면!$C:$C,$A26)+SUMIFS(복귀_일_수평당기기!$E:$E,복귀_일_수평당기기!$C:$C,$A26)+SUMIFS(복귀_월_가슴!$E:$E,복귀_월_가슴!$C:$C,$A26)+SUMIFS(복귀_화_팔!$E:$E,복귀_화_팔!$C:$C,$A26)+SUMIFS(복귀_수_하체후면!$E:$E,복귀_수_하체후면!$C:$C,$A26)+SUMIFS(복귀_목_수직당기기!$E:$E,복귀_목_수직당기기!$C:$C,$A26)</f>
        <v>6</v>
      </c>
      <c r="C26" s="114">
        <f ca="1">MROUND(SUMIFS(복귀_간접계수맵!$F$7:$F$100,복귀_간접계수맵!$C$7:$C$100,$A26),0.5)</f>
        <v>0</v>
      </c>
      <c r="D26" s="114">
        <f t="shared" ca="1" si="0"/>
        <v>6</v>
      </c>
      <c r="E26" s="114" t="str">
        <f t="shared" ca="1" si="1"/>
        <v>보완 필요</v>
      </c>
      <c r="F26" s="115" t="s">
        <v>1187</v>
      </c>
    </row>
    <row r="27" spans="1:6">
      <c r="A27" s="107" t="s">
        <v>759</v>
      </c>
      <c r="B27" s="116">
        <f>SUM(B5:B26)</f>
        <v>242</v>
      </c>
      <c r="D27" s="116">
        <f ca="1">SUM(D5:D26)</f>
        <v>317.5</v>
      </c>
    </row>
    <row r="29" spans="1:6">
      <c r="A29" s="107" t="s">
        <v>760</v>
      </c>
    </row>
    <row r="30" spans="1:6">
      <c r="A30" s="123" t="s">
        <v>1188</v>
      </c>
    </row>
    <row r="31" spans="1:6">
      <c r="A31" s="123" t="s">
        <v>1189</v>
      </c>
    </row>
    <row r="32" spans="1:6">
      <c r="A32" s="123" t="s">
        <v>1190</v>
      </c>
    </row>
    <row r="33" spans="1:1">
      <c r="A33" s="123" t="s">
        <v>1191</v>
      </c>
    </row>
    <row r="35" spans="1:1">
      <c r="A35" s="107" t="s">
        <v>1192</v>
      </c>
    </row>
    <row r="36" spans="1:1">
      <c r="A36" s="123" t="s">
        <v>1193</v>
      </c>
    </row>
    <row r="37" spans="1:1">
      <c r="A37" s="123" t="s">
        <v>1194</v>
      </c>
    </row>
    <row r="38" spans="1:1">
      <c r="A38" s="123" t="s">
        <v>1195</v>
      </c>
    </row>
    <row r="39" spans="1:1">
      <c r="A39" s="123" t="s">
        <v>1196</v>
      </c>
    </row>
    <row r="40" spans="1:1">
      <c r="A40" s="123" t="s">
        <v>1197</v>
      </c>
    </row>
    <row r="41" spans="1:1">
      <c r="A41" s="123" t="s">
        <v>1198</v>
      </c>
    </row>
    <row r="42" spans="1:1">
      <c r="A42" s="123" t="s">
        <v>1199</v>
      </c>
    </row>
    <row r="43" spans="1:1">
      <c r="A43" s="123" t="s">
        <v>1200</v>
      </c>
    </row>
    <row r="44" spans="1:1">
      <c r="A44" s="123" t="s">
        <v>1201</v>
      </c>
    </row>
    <row r="45" spans="1:1">
      <c r="A45" s="123" t="s">
        <v>1315</v>
      </c>
    </row>
    <row r="47" spans="1:1">
      <c r="A47" s="107" t="s">
        <v>1202</v>
      </c>
    </row>
    <row r="48" spans="1:1">
      <c r="A48" s="123" t="s">
        <v>1203</v>
      </c>
    </row>
    <row r="49" spans="1:1">
      <c r="A49" s="123" t="s">
        <v>1204</v>
      </c>
    </row>
    <row r="50" spans="1:1">
      <c r="A50" s="123" t="s">
        <v>1205</v>
      </c>
    </row>
    <row r="51" spans="1:1">
      <c r="A51" s="123" t="s">
        <v>1206</v>
      </c>
    </row>
    <row r="53" spans="1:1">
      <c r="A53" s="107" t="s">
        <v>1207</v>
      </c>
    </row>
    <row r="54" spans="1:1">
      <c r="A54" s="123" t="s">
        <v>1208</v>
      </c>
    </row>
    <row r="55" spans="1:1">
      <c r="A55" s="123" t="s">
        <v>1441</v>
      </c>
    </row>
    <row r="56" spans="1:1">
      <c r="A56" s="123" t="s">
        <v>1209</v>
      </c>
    </row>
    <row r="57" spans="1:1">
      <c r="A57" s="123" t="s">
        <v>1210</v>
      </c>
    </row>
    <row r="58" spans="1:1">
      <c r="A58" s="123" t="s">
        <v>1211</v>
      </c>
    </row>
    <row r="59" spans="1:1">
      <c r="A59" s="123" t="s">
        <v>1212</v>
      </c>
    </row>
    <row r="60" spans="1:1">
      <c r="A60" s="123" t="s">
        <v>1286</v>
      </c>
    </row>
    <row r="61" spans="1:1">
      <c r="A61" s="123" t="s">
        <v>1213</v>
      </c>
    </row>
    <row r="62" spans="1:1">
      <c r="A62" s="123" t="s">
        <v>1385</v>
      </c>
    </row>
    <row r="63" spans="1:1">
      <c r="A63" s="123" t="s">
        <v>1437</v>
      </c>
    </row>
    <row r="65" spans="1:1">
      <c r="A65" s="107" t="s">
        <v>1214</v>
      </c>
    </row>
    <row r="66" spans="1:1">
      <c r="A66" s="123" t="s">
        <v>1215</v>
      </c>
    </row>
    <row r="67" spans="1:1">
      <c r="A67" s="123" t="s">
        <v>1216</v>
      </c>
    </row>
    <row r="68" spans="1:1">
      <c r="A68" s="123" t="s">
        <v>1217</v>
      </c>
    </row>
    <row r="69" spans="1:1">
      <c r="A69" s="123" t="s">
        <v>1218</v>
      </c>
    </row>
    <row r="70" spans="1:1">
      <c r="A70" s="123" t="s">
        <v>1219</v>
      </c>
    </row>
    <row r="71" spans="1:1">
      <c r="A71" s="123" t="s">
        <v>1411</v>
      </c>
    </row>
    <row r="72" spans="1:1">
      <c r="A72" s="123" t="s">
        <v>1220</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2026-10-27T08:20:25Z</dcterms:modified>
  <dc:language>en-US</dc:language>
</cp:coreProperties>
</file>