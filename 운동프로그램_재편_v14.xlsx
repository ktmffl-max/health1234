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2bc197408547891/Desktop/운동/"/>
    </mc:Choice>
  </mc:AlternateContent>
  <xr:revisionPtr revIDLastSave="36" documentId="11_148EEDE9F63BFAE9F2A31C48984BBC82CDA4EADC" xr6:coauthVersionLast="47" xr6:coauthVersionMax="47" xr10:uidLastSave="{7666FE3B-6206-4665-BCFE-A7EFF6ED7B32}"/>
  <bookViews>
    <workbookView xWindow="-120" yWindow="-120" windowWidth="38640" windowHeight="21120" tabRatio="500" activeTab="6" xr2:uid="{00000000-000D-0000-FFFF-FFFF00000000}"/>
  </bookViews>
  <sheets>
    <sheet name="시작중량_설정" sheetId="1" r:id="rId1"/>
    <sheet name="주간계획" sheetId="2" r:id="rId2"/>
    <sheet name="월_가슴" sheetId="3" r:id="rId3"/>
    <sheet name="화_어깨" sheetId="4" r:id="rId4"/>
    <sheet name="수_등" sheetId="5" r:id="rId5"/>
    <sheet name="금_하체" sheetId="6" r:id="rId6"/>
    <sheet name="토_둔근팔복부" sheetId="7" r:id="rId7"/>
    <sheet name="세트검산" sheetId="8" r:id="rId8"/>
    <sheet name="증량기록" sheetId="9" r:id="rId9"/>
    <sheet name="9월이후조정" sheetId="10" r:id="rId10"/>
    <sheet name="복귀_주간계획" sheetId="11" r:id="rId11"/>
    <sheet name="복귀_화_상체밀기" sheetId="12" r:id="rId12"/>
    <sheet name="복귀_토_하체" sheetId="13" r:id="rId13"/>
    <sheet name="복귀_일_등" sheetId="14" r:id="rId14"/>
    <sheet name="복귀_증량원칙" sheetId="15" r:id="rId1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1" i="7" l="1"/>
  <c r="E10" i="14"/>
  <c r="E12" i="11" s="1"/>
  <c r="E10" i="13"/>
  <c r="E10" i="12"/>
  <c r="E11" i="11"/>
  <c r="E13" i="11" s="1"/>
  <c r="E7" i="11"/>
  <c r="G11" i="9"/>
  <c r="D41" i="1" s="1"/>
  <c r="I10" i="9"/>
  <c r="E40" i="1" s="1"/>
  <c r="G10" i="9"/>
  <c r="E10" i="9"/>
  <c r="E11" i="9" s="1"/>
  <c r="C10" i="9"/>
  <c r="C11" i="9" s="1"/>
  <c r="B22" i="8"/>
  <c r="D22" i="8" s="1"/>
  <c r="E22" i="8" s="1"/>
  <c r="B21" i="8"/>
  <c r="D21" i="8" s="1"/>
  <c r="E21" i="8" s="1"/>
  <c r="B20" i="8"/>
  <c r="D20" i="8" s="1"/>
  <c r="E20" i="8" s="1"/>
  <c r="B19" i="8"/>
  <c r="D19" i="8" s="1"/>
  <c r="E19" i="8" s="1"/>
  <c r="B18" i="8"/>
  <c r="D18" i="8" s="1"/>
  <c r="E18" i="8" s="1"/>
  <c r="B17" i="8"/>
  <c r="D17" i="8" s="1"/>
  <c r="E17" i="8" s="1"/>
  <c r="B16" i="8"/>
  <c r="D16" i="8" s="1"/>
  <c r="E16" i="8" s="1"/>
  <c r="B15" i="8"/>
  <c r="D15" i="8" s="1"/>
  <c r="E15" i="8" s="1"/>
  <c r="B14" i="8"/>
  <c r="D14" i="8" s="1"/>
  <c r="E14" i="8" s="1"/>
  <c r="B13" i="8"/>
  <c r="D13" i="8" s="1"/>
  <c r="E13" i="8" s="1"/>
  <c r="B12" i="8"/>
  <c r="D12" i="8" s="1"/>
  <c r="E12" i="8" s="1"/>
  <c r="B11" i="8"/>
  <c r="D11" i="8" s="1"/>
  <c r="E11" i="8" s="1"/>
  <c r="B10" i="8"/>
  <c r="D10" i="8" s="1"/>
  <c r="E10" i="8" s="1"/>
  <c r="B9" i="8"/>
  <c r="D9" i="8" s="1"/>
  <c r="E9" i="8" s="1"/>
  <c r="B8" i="8"/>
  <c r="D8" i="8" s="1"/>
  <c r="E8" i="8" s="1"/>
  <c r="B7" i="8"/>
  <c r="D7" i="8" s="1"/>
  <c r="E7" i="8" s="1"/>
  <c r="B6" i="8"/>
  <c r="D6" i="8" s="1"/>
  <c r="E6" i="8" s="1"/>
  <c r="B5" i="8"/>
  <c r="D10" i="2"/>
  <c r="E19" i="6"/>
  <c r="D9" i="2" s="1"/>
  <c r="E27" i="4"/>
  <c r="D6" i="2" s="1"/>
  <c r="E25" i="3"/>
  <c r="D5" i="2" s="1"/>
  <c r="A6" i="3"/>
  <c r="D40" i="1"/>
  <c r="B40" i="1"/>
  <c r="E10" i="1"/>
  <c r="A7" i="4" s="1"/>
  <c r="C10" i="1"/>
  <c r="E9" i="1"/>
  <c r="D20" i="3" s="1"/>
  <c r="C9" i="1"/>
  <c r="E8" i="1"/>
  <c r="D13" i="5" s="1"/>
  <c r="C8" i="1"/>
  <c r="E7" i="1"/>
  <c r="A8" i="6" s="1"/>
  <c r="C7" i="1"/>
  <c r="E20" i="5"/>
  <c r="D7" i="2" s="1"/>
  <c r="A8" i="4" l="1"/>
  <c r="A6" i="6"/>
  <c r="A7" i="6"/>
  <c r="A9" i="6"/>
  <c r="A5" i="6"/>
  <c r="D13" i="6"/>
  <c r="A7" i="3"/>
  <c r="G12" i="9"/>
  <c r="A9" i="3"/>
  <c r="A5" i="4"/>
  <c r="B23" i="8"/>
  <c r="D12" i="2"/>
  <c r="B41" i="1"/>
  <c r="C12" i="9"/>
  <c r="E12" i="9"/>
  <c r="C41" i="1"/>
  <c r="A9" i="4"/>
  <c r="D5" i="8"/>
  <c r="E5" i="8" s="1"/>
  <c r="A5" i="3"/>
  <c r="D20" i="4"/>
  <c r="I11" i="9"/>
  <c r="A5" i="5"/>
  <c r="A8" i="3"/>
  <c r="A7" i="5"/>
  <c r="A6" i="5"/>
  <c r="A8" i="5"/>
  <c r="A9" i="5"/>
  <c r="C40" i="1"/>
  <c r="A6" i="4"/>
  <c r="G13" i="9" l="1"/>
  <c r="D42" i="1"/>
  <c r="E13" i="9"/>
  <c r="C42" i="1"/>
  <c r="I12" i="9"/>
  <c r="E41" i="1"/>
  <c r="C13" i="9"/>
  <c r="B42" i="1"/>
  <c r="D43" i="1" l="1"/>
  <c r="G14" i="9"/>
  <c r="C14" i="9"/>
  <c r="B43" i="1"/>
  <c r="I13" i="9"/>
  <c r="E42" i="1"/>
  <c r="E14" i="9"/>
  <c r="C43" i="1"/>
  <c r="G15" i="9" l="1"/>
  <c r="D44" i="1"/>
  <c r="E43" i="1"/>
  <c r="I14" i="9"/>
  <c r="E15" i="9"/>
  <c r="C44" i="1"/>
  <c r="B44" i="1"/>
  <c r="C15" i="9"/>
  <c r="G16" i="9" l="1"/>
  <c r="D45" i="1"/>
  <c r="E16" i="9"/>
  <c r="C45" i="1"/>
  <c r="C16" i="9"/>
  <c r="B45" i="1"/>
  <c r="I15" i="9"/>
  <c r="E44" i="1"/>
  <c r="G17" i="9" l="1"/>
  <c r="D46" i="1"/>
  <c r="I16" i="9"/>
  <c r="E45" i="1"/>
  <c r="C17" i="9"/>
  <c r="B46" i="1"/>
  <c r="E17" i="9"/>
  <c r="C46" i="1"/>
  <c r="G18" i="9" l="1"/>
  <c r="D47" i="1"/>
  <c r="E18" i="9"/>
  <c r="C47" i="1"/>
  <c r="C18" i="9"/>
  <c r="B47" i="1"/>
  <c r="E46" i="1"/>
  <c r="I17" i="9"/>
  <c r="D48" i="1" l="1"/>
  <c r="G19" i="9"/>
  <c r="I18" i="9"/>
  <c r="E47" i="1"/>
  <c r="C19" i="9"/>
  <c r="B48" i="1"/>
  <c r="E19" i="9"/>
  <c r="C48" i="1"/>
  <c r="G20" i="9" l="1"/>
  <c r="D49" i="1"/>
  <c r="E20" i="9"/>
  <c r="C49" i="1"/>
  <c r="C20" i="9"/>
  <c r="B49" i="1"/>
  <c r="I19" i="9"/>
  <c r="E48" i="1"/>
  <c r="G21" i="9" l="1"/>
  <c r="D51" i="1" s="1"/>
  <c r="D50" i="1"/>
  <c r="E49" i="1"/>
  <c r="I20" i="9"/>
  <c r="B50" i="1"/>
  <c r="C21" i="9"/>
  <c r="B51" i="1" s="1"/>
  <c r="E21" i="9"/>
  <c r="C51" i="1" s="1"/>
  <c r="C50" i="1"/>
  <c r="I21" i="9" l="1"/>
  <c r="E51" i="1" s="1"/>
  <c r="E50" i="1"/>
</calcChain>
</file>

<file path=xl/sharedStrings.xml><?xml version="1.0" encoding="utf-8"?>
<sst xmlns="http://schemas.openxmlformats.org/spreadsheetml/2006/main" count="886" uniqueCount="576">
  <si>
    <t>시작 중량 설정 — 5년 공백 후 복귀</t>
  </si>
  <si>
    <t>노란 칸 두 곳만 채우면 각 요일 시트의 웜업 램프와 본세트 중량이 전부 자동 계산됩니다.</t>
  </si>
  <si>
    <t>현재 주차</t>
  </si>
  <si>
    <t>← 매주 이 숫자만 바꾸면 요일 시트 중량이 그 주에 맞게 갱신됩니다 (1~12)</t>
  </si>
  <si>
    <t>종목</t>
  </si>
  <si>
    <r>
      <rPr>
        <b/>
        <sz val="10"/>
        <color rgb="FFFFFFFF"/>
        <rFont val="Arial"/>
        <family val="2"/>
        <charset val="1"/>
      </rPr>
      <t>5</t>
    </r>
    <r>
      <rPr>
        <b/>
        <sz val="10"/>
        <color rgb="FFFFFFFF"/>
        <rFont val="Noto Sans CJK SC"/>
        <family val="2"/>
      </rPr>
      <t>년 전 중량</t>
    </r>
  </si>
  <si>
    <t>권장 시작 (40%)</t>
  </si>
  <si>
    <t>시작 중량 ★입력★</t>
  </si>
  <si>
    <t>현재 작업중량</t>
  </si>
  <si>
    <t>본세트</t>
  </si>
  <si>
    <t>스쿼트</t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</si>
  <si>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  <charset val="1"/>
      </rPr>
      <t>× 5</t>
    </r>
    <r>
      <rPr>
        <sz val="10"/>
        <rFont val="Noto Sans CJK SC"/>
        <family val="2"/>
      </rPr>
      <t>세트</t>
    </r>
  </si>
  <si>
    <t>데드리프트</t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</si>
  <si>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  <charset val="1"/>
      </rPr>
      <t>× 1</t>
    </r>
    <r>
      <rPr>
        <sz val="10"/>
        <rFont val="Noto Sans CJK SC"/>
        <family val="2"/>
      </rPr>
      <t>세트</t>
    </r>
  </si>
  <si>
    <t>벤치프레스</t>
  </si>
  <si>
    <t>밀리터리 프레스</t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</si>
  <si>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  <charset val="1"/>
      </rPr>
      <t>× 3</t>
    </r>
    <r>
      <rPr>
        <sz val="10"/>
        <rFont val="Noto Sans CJK SC"/>
        <family val="2"/>
      </rPr>
      <t>세트</t>
    </r>
  </si>
  <si>
    <t>↑ 여기에 숫자를 직접 입력</t>
  </si>
  <si>
    <r>
      <rPr>
        <b/>
        <sz val="11"/>
        <rFont val="Arial"/>
        <family val="2"/>
        <charset val="1"/>
      </rPr>
      <t>D</t>
    </r>
    <r>
      <rPr>
        <b/>
        <sz val="11"/>
        <rFont val="Noto Sans CJK SC"/>
        <family val="2"/>
      </rPr>
      <t>열</t>
    </r>
    <r>
      <rPr>
        <b/>
        <sz val="11"/>
        <rFont val="Arial"/>
        <family val="2"/>
        <charset val="1"/>
      </rPr>
      <t>(</t>
    </r>
    <r>
      <rPr>
        <b/>
        <sz val="11"/>
        <rFont val="Noto Sans CJK SC"/>
        <family val="2"/>
      </rPr>
      <t>시작 중량</t>
    </r>
    <r>
      <rPr>
        <b/>
        <sz val="11"/>
        <rFont val="Arial"/>
        <family val="2"/>
        <charset val="1"/>
      </rPr>
      <t>)</t>
    </r>
    <r>
      <rPr>
        <b/>
        <sz val="11"/>
        <rFont val="Noto Sans CJK SC"/>
        <family val="2"/>
      </rPr>
      <t>을 바꾸는 법</t>
    </r>
  </si>
  <si>
    <r>
      <rPr>
        <i/>
        <sz val="9"/>
        <color rgb="FF595959"/>
        <rFont val="Arial"/>
        <family val="2"/>
        <charset val="1"/>
      </rPr>
      <t xml:space="preserve">· D7~D10 </t>
    </r>
    <r>
      <rPr>
        <i/>
        <sz val="9"/>
        <color rgb="FF595959"/>
        <rFont val="Noto Sans CJK SC"/>
        <family val="2"/>
      </rPr>
      <t>노란 칸에 원하는 숫자를 그냥 입력하면 됩니다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수식이 아니라 일반 숫자입니다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</si>
  <si>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예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스쿼트를 </t>
    </r>
    <r>
      <rPr>
        <i/>
        <sz val="9"/>
        <color rgb="FF595959"/>
        <rFont val="Arial"/>
        <family val="2"/>
        <charset val="1"/>
      </rPr>
      <t>30kg</t>
    </r>
    <r>
      <rPr>
        <i/>
        <sz val="9"/>
        <color rgb="FF595959"/>
        <rFont val="Noto Sans CJK SC"/>
        <family val="2"/>
      </rPr>
      <t xml:space="preserve">으로 시작하고 싶으면 </t>
    </r>
    <r>
      <rPr>
        <i/>
        <sz val="9"/>
        <color rgb="FF595959"/>
        <rFont val="Arial"/>
        <family val="2"/>
        <charset val="1"/>
      </rPr>
      <t>D7</t>
    </r>
    <r>
      <rPr>
        <i/>
        <sz val="9"/>
        <color rgb="FF595959"/>
        <rFont val="Noto Sans CJK SC"/>
        <family val="2"/>
      </rPr>
      <t xml:space="preserve">에 </t>
    </r>
    <r>
      <rPr>
        <i/>
        <sz val="9"/>
        <color rgb="FF595959"/>
        <rFont val="Arial"/>
        <family val="2"/>
        <charset val="1"/>
      </rPr>
      <t>30</t>
    </r>
    <r>
      <rPr>
        <i/>
        <sz val="9"/>
        <color rgb="FF595959"/>
        <rFont val="Noto Sans CJK SC"/>
        <family val="2"/>
      </rPr>
      <t>을 입력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나머지는 전부 자동으로 따라옵니다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</si>
  <si>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C</t>
    </r>
    <r>
      <rPr>
        <i/>
        <sz val="9"/>
        <color rgb="FF595959"/>
        <rFont val="Noto Sans CJK SC"/>
        <family val="2"/>
      </rPr>
      <t>열은 참고용 계산값이므로 건드리지 않아도 됩니다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</si>
  <si>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그리고 </t>
    </r>
    <r>
      <rPr>
        <i/>
        <sz val="9"/>
        <color rgb="FF595959"/>
        <rFont val="Arial"/>
        <family val="2"/>
        <charset val="1"/>
      </rPr>
      <t>C4</t>
    </r>
    <r>
      <rPr>
        <i/>
        <sz val="9"/>
        <color rgb="FF595959"/>
        <rFont val="Noto Sans CJK SC"/>
        <family val="2"/>
      </rPr>
      <t xml:space="preserve">의 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현재 주차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 xml:space="preserve">는 매주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>씩 올려주는 칸입니다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 두 곳 외에는 손댈 필요가 없습니다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</si>
  <si>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1"/>
        <rFont val="Arial"/>
        <family val="2"/>
        <charset val="1"/>
      </rPr>
      <t>5</t>
    </r>
    <r>
      <rPr>
        <b/>
        <sz val="11"/>
        <rFont val="Noto Sans CJK SC"/>
        <family val="2"/>
      </rPr>
      <t>년 공백 후 시작 중량 잡는 법</t>
    </r>
  </si>
  <si>
    <r>
      <rPr>
        <i/>
        <sz val="9"/>
        <color rgb="FF595959"/>
        <rFont val="Arial"/>
        <family val="2"/>
        <charset val="1"/>
      </rPr>
      <t>· 5</t>
    </r>
    <r>
      <rPr>
        <i/>
        <sz val="9"/>
        <color rgb="FF595959"/>
        <rFont val="Noto Sans CJK SC"/>
        <family val="2"/>
      </rPr>
      <t xml:space="preserve">년 쉬었으면 근력보다 관절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인대와 폼 감각이 먼저 무너져 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근육은 빨리 돌아오지만 이쪽은 느리다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</si>
  <si>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벤치와 프레스는 빈 봉</t>
    </r>
    <r>
      <rPr>
        <i/>
        <sz val="9"/>
        <color rgb="FF595959"/>
        <rFont val="Arial"/>
        <family val="2"/>
        <charset val="1"/>
      </rPr>
      <t>(20kg)</t>
    </r>
    <r>
      <rPr>
        <i/>
        <sz val="9"/>
        <color rgb="FF595959"/>
        <rFont val="Noto Sans CJK SC"/>
        <family val="2"/>
      </rPr>
      <t>에서 시작하는 것이 맞다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이것이 과한 것이 아니라 정상이다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</si>
  <si>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기준</t>
    </r>
    <r>
      <rPr>
        <i/>
        <sz val="9"/>
        <color rgb="FF595959"/>
        <rFont val="Arial"/>
        <family val="2"/>
        <charset val="1"/>
      </rPr>
      <t>: 10</t>
    </r>
    <r>
      <rPr>
        <i/>
        <sz val="9"/>
        <color rgb="FF595959"/>
        <rFont val="Noto Sans CJK SC"/>
        <family val="2"/>
      </rPr>
      <t xml:space="preserve">회는 할 수 있을 것 같은 무게로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>회만 하는 것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여유가 크게 느껴져야 맞다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</si>
  <si>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첫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주는 훈련이 아니라 재적응 기간으로 본다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가볍다고 느껴도 그대로 간다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</si>
  <si>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너무 가볍게 시작해서 잃는 것은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주뿐이다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너무 무겁게 시작하면 몇 달을 잃는다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</si>
  <si>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5</t>
    </r>
    <r>
      <rPr>
        <i/>
        <sz val="9"/>
        <color rgb="FF595959"/>
        <rFont val="Noto Sans CJK SC"/>
        <family val="2"/>
      </rPr>
      <t>년 전 중량은 참고치일 뿐 목표가 아니다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다만 한 번 만들어본 근력은 처음 만들 때보다 빠르게 돌아온다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</si>
  <si>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주당 </t>
    </r>
    <r>
      <rPr>
        <i/>
        <sz val="9"/>
        <color rgb="FF595959"/>
        <rFont val="Arial"/>
        <family val="2"/>
        <charset val="1"/>
      </rPr>
      <t>2.5kg</t>
    </r>
    <r>
      <rPr>
        <i/>
        <sz val="9"/>
        <color rgb="FF595959"/>
        <rFont val="Noto Sans CJK SC"/>
        <family val="2"/>
      </rPr>
      <t xml:space="preserve">씩만 올라가도 </t>
    </r>
    <r>
      <rPr>
        <i/>
        <sz val="9"/>
        <color rgb="FF595959"/>
        <rFont val="Arial"/>
        <family val="2"/>
        <charset val="1"/>
      </rPr>
      <t>20</t>
    </r>
    <r>
      <rPr>
        <i/>
        <sz val="9"/>
        <color rgb="FF595959"/>
        <rFont val="Noto Sans CJK SC"/>
        <family val="2"/>
      </rPr>
      <t>주면 스쿼트가 예전 중량에 닿는다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조급해할 이유가 없다</t>
    </r>
    <r>
      <rPr>
        <i/>
        <sz val="9"/>
        <color rgb="FF595959"/>
        <rFont val="Arial"/>
        <family val="2"/>
        <charset val="1"/>
      </rPr>
      <t>.</t>
    </r>
  </si>
  <si>
    <t>사용법</t>
  </si>
  <si>
    <r>
      <rPr>
        <i/>
        <sz val="9"/>
        <color rgb="FF595959"/>
        <rFont val="Arial"/>
        <family val="2"/>
        <charset val="1"/>
      </rPr>
      <t>· 1</t>
    </r>
    <r>
      <rPr>
        <i/>
        <sz val="9"/>
        <color rgb="FF595959"/>
        <rFont val="Noto Sans CJK SC"/>
        <family val="2"/>
      </rPr>
      <t>단계</t>
    </r>
    <r>
      <rPr>
        <i/>
        <sz val="9"/>
        <color rgb="FF595959"/>
        <rFont val="Arial"/>
        <family val="2"/>
        <charset val="1"/>
      </rPr>
      <t>: D7~D10</t>
    </r>
    <r>
      <rPr>
        <i/>
        <sz val="9"/>
        <color rgb="FF595959"/>
        <rFont val="Noto Sans CJK SC"/>
        <family val="2"/>
      </rPr>
      <t xml:space="preserve">에 시작 중량을 입력한다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기본값은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 xml:space="preserve">년 전 중량의 </t>
    </r>
    <r>
      <rPr>
        <i/>
        <sz val="9"/>
        <color rgb="FF595959"/>
        <rFont val="Arial"/>
        <family val="2"/>
        <charset val="1"/>
      </rPr>
      <t>40%).</t>
    </r>
  </si>
  <si>
    <r>
      <rPr>
        <i/>
        <sz val="9"/>
        <color rgb="FF595959"/>
        <rFont val="Arial"/>
        <family val="2"/>
        <charset val="1"/>
      </rPr>
      <t>· 2</t>
    </r>
    <r>
      <rPr>
        <i/>
        <sz val="9"/>
        <color rgb="FF595959"/>
        <rFont val="Noto Sans CJK SC"/>
        <family val="2"/>
      </rPr>
      <t>단계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증량기록 시트에서 매주 달성 여부에 </t>
    </r>
    <r>
      <rPr>
        <i/>
        <sz val="9"/>
        <color rgb="FF595959"/>
        <rFont val="Arial"/>
        <family val="2"/>
        <charset val="1"/>
      </rPr>
      <t>O / X</t>
    </r>
    <r>
      <rPr>
        <i/>
        <sz val="9"/>
        <color rgb="FF595959"/>
        <rFont val="Noto Sans CJK SC"/>
        <family val="2"/>
      </rPr>
      <t>를 입력한다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</si>
  <si>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3</t>
    </r>
    <r>
      <rPr>
        <i/>
        <sz val="9"/>
        <color rgb="FF595959"/>
        <rFont val="Noto Sans CJK SC"/>
        <family val="2"/>
      </rPr>
      <t>단계</t>
    </r>
    <r>
      <rPr>
        <i/>
        <sz val="9"/>
        <color rgb="FF595959"/>
        <rFont val="Arial"/>
        <family val="2"/>
        <charset val="1"/>
      </rPr>
      <t>: C4</t>
    </r>
    <r>
      <rPr>
        <i/>
        <sz val="9"/>
        <color rgb="FF595959"/>
        <rFont val="Noto Sans CJK SC"/>
        <family val="2"/>
      </rPr>
      <t>의 현재 주차를 바꾸면 요일 시트의 웜업과 본세트 중량이 자동으로 따라온다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</si>
  <si>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웜업은 작업중량의 </t>
    </r>
    <r>
      <rPr>
        <i/>
        <sz val="9"/>
        <color rgb="FF595959"/>
        <rFont val="Arial"/>
        <family val="2"/>
        <charset val="1"/>
      </rPr>
      <t>40 / 60 / 75 / 90%</t>
    </r>
    <r>
      <rPr>
        <i/>
        <sz val="9"/>
        <color rgb="FF595959"/>
        <rFont val="Noto Sans CJK SC"/>
        <family val="2"/>
      </rPr>
      <t xml:space="preserve">로 자동 계산되며 </t>
    </r>
    <r>
      <rPr>
        <i/>
        <sz val="9"/>
        <color rgb="FF595959"/>
        <rFont val="Arial"/>
        <family val="2"/>
        <charset val="1"/>
      </rPr>
      <t xml:space="preserve">2.5kg </t>
    </r>
    <r>
      <rPr>
        <i/>
        <sz val="9"/>
        <color rgb="FF595959"/>
        <rFont val="Noto Sans CJK SC"/>
        <family val="2"/>
      </rPr>
      <t>단위로 반올림된다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</si>
  <si>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중량이 낮아 앞 세트와 겹치는 웜업은 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생략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으로 자동 표시된다 — 웜업 세트 수가 스스로 조정된다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</si>
  <si>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20</t>
    </r>
    <r>
      <rPr>
        <i/>
        <sz val="9"/>
        <color rgb="FF595959"/>
        <rFont val="Noto Sans CJK SC"/>
        <family val="2"/>
      </rPr>
      <t>으로 표시되면 빈 봉이라는 뜻이다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</si>
  <si>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1"/>
        <rFont val="Arial"/>
        <family val="2"/>
        <charset val="1"/>
      </rPr>
      <t>12</t>
    </r>
    <r>
      <rPr>
        <b/>
        <sz val="11"/>
        <rFont val="Noto Sans CJK SC"/>
        <family val="2"/>
      </rPr>
      <t xml:space="preserve">주 예상 진행 </t>
    </r>
    <r>
      <rPr>
        <b/>
        <sz val="11"/>
        <rFont val="Arial"/>
        <family val="2"/>
        <charset val="1"/>
      </rPr>
      <t xml:space="preserve">(X </t>
    </r>
    <r>
      <rPr>
        <b/>
        <sz val="11"/>
        <rFont val="Noto Sans CJK SC"/>
        <family val="2"/>
      </rPr>
      <t>입력이 없을 때</t>
    </r>
    <r>
      <rPr>
        <b/>
        <sz val="11"/>
        <rFont val="Arial"/>
        <family val="2"/>
        <charset val="1"/>
      </rPr>
      <t>)</t>
    </r>
  </si>
  <si>
    <t>주차</t>
  </si>
  <si>
    <r>
      <rPr>
        <b/>
        <sz val="10"/>
        <rFont val="Arial"/>
        <family val="2"/>
        <charset val="1"/>
      </rPr>
      <t>1</t>
    </r>
    <r>
      <rPr>
        <b/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</si>
  <si>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2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</si>
  <si>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3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</si>
  <si>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4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</si>
  <si>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</si>
  <si>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6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</si>
  <si>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7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</si>
  <si>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8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</si>
  <si>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9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</si>
  <si>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10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</si>
  <si>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11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</si>
  <si>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주차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</si>
  <si>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위 표는 </t>
    </r>
    <r>
      <rPr>
        <i/>
        <sz val="9"/>
        <color rgb="FF595959"/>
        <rFont val="Arial"/>
        <family val="2"/>
        <charset val="1"/>
      </rPr>
      <t xml:space="preserve">X </t>
    </r>
    <r>
      <rPr>
        <i/>
        <sz val="9"/>
        <color rgb="FF595959"/>
        <rFont val="Noto Sans CJK SC"/>
        <family val="2"/>
      </rPr>
      <t>입력이 없다고 가정한 계획선이다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실제 진행은 증량기록 시트가 결정한다</t>
    </r>
    <r>
      <rPr>
        <i/>
        <sz val="9"/>
        <color rgb="FF595959"/>
        <rFont val="Arial"/>
        <family val="2"/>
        <charset val="1"/>
      </rPr>
      <t>.</t>
    </r>
  </si>
  <si>
    <t>운동 프로그램 (재편판)</t>
  </si>
  <si>
    <t>적용 시기: 재택 근무 기간 (~9월)  |  주 5회 / 1일 1세션 / 회당 55~70분</t>
  </si>
  <si>
    <t>요일</t>
  </si>
  <si>
    <t>내용</t>
  </si>
  <si>
    <t>주요 근육군</t>
  </si>
  <si>
    <t>예상 세트</t>
  </si>
  <si>
    <t>예상 시간</t>
  </si>
  <si>
    <t>월</t>
  </si>
  <si>
    <t>가슴</t>
  </si>
  <si>
    <t>흉근 (상부·중하부)</t>
  </si>
  <si>
    <t>약 55분</t>
  </si>
  <si>
    <t>화</t>
  </si>
  <si>
    <t>어깨</t>
  </si>
  <si>
    <t>삼각근 (전·측·후면)</t>
  </si>
  <si>
    <t>약 60분</t>
  </si>
  <si>
    <t>수</t>
  </si>
  <si>
    <t>등</t>
  </si>
  <si>
    <t>광배 · 기립근</t>
  </si>
  <si>
    <t>목</t>
  </si>
  <si>
    <t>휴식</t>
  </si>
  <si>
    <t>—</t>
  </si>
  <si>
    <t>금</t>
  </si>
  <si>
    <t>하체</t>
  </si>
  <si>
    <t>대퇴사두 · 햄스트링 · 종아리</t>
  </si>
  <si>
    <t>약 70분</t>
  </si>
  <si>
    <t>토</t>
  </si>
  <si>
    <t>둔근 · 팔 · 복부</t>
  </si>
  <si>
    <t>일</t>
  </si>
  <si>
    <t>합계</t>
  </si>
  <si>
    <t>배치 논리</t>
  </si>
  <si>
    <r>
      <rPr>
        <sz val="10"/>
        <rFont val="Arial"/>
        <family val="2"/>
        <charset val="1"/>
      </rPr>
      <t xml:space="preserve">· </t>
    </r>
    <r>
      <rPr>
        <sz val="10"/>
        <rFont val="Noto Sans CJK SC"/>
        <family val="2"/>
      </rPr>
      <t>월</t>
    </r>
    <r>
      <rPr>
        <sz val="10"/>
        <rFont val="Arial"/>
        <family val="2"/>
        <charset val="1"/>
      </rPr>
      <t>·</t>
    </r>
    <r>
      <rPr>
        <sz val="10"/>
        <rFont val="Noto Sans CJK SC"/>
        <family val="2"/>
      </rPr>
      <t>화</t>
    </r>
    <r>
      <rPr>
        <sz val="10"/>
        <rFont val="Arial"/>
        <family val="2"/>
        <charset val="1"/>
      </rPr>
      <t>·</t>
    </r>
    <r>
      <rPr>
        <sz val="10"/>
        <rFont val="Noto Sans CJK SC"/>
        <family val="2"/>
      </rPr>
      <t>수 상체 연속 블록 — 삼두는 월</t>
    </r>
    <r>
      <rPr>
        <sz val="10"/>
        <rFont val="Arial"/>
        <family val="2"/>
        <charset val="1"/>
      </rPr>
      <t>·</t>
    </r>
    <r>
      <rPr>
        <sz val="10"/>
        <rFont val="Noto Sans CJK SC"/>
        <family val="2"/>
      </rPr>
      <t>화에서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</rPr>
      <t>이두는 수에서 예열되어 토요일에 마무리</t>
    </r>
  </si>
  <si>
    <r>
      <rPr>
        <sz val="10"/>
        <rFont val="Arial"/>
        <family val="2"/>
        <charset val="1"/>
      </rPr>
      <t xml:space="preserve">· </t>
    </r>
    <r>
      <rPr>
        <sz val="10"/>
        <rFont val="Noto Sans CJK SC"/>
        <family val="2"/>
      </rPr>
      <t>데드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수</t>
    </r>
    <r>
      <rPr>
        <sz val="10"/>
        <rFont val="Arial"/>
        <family val="2"/>
        <charset val="1"/>
      </rPr>
      <t>)</t>
    </r>
    <r>
      <rPr>
        <sz val="10"/>
        <rFont val="Noto Sans CJK SC"/>
        <family val="2"/>
      </rPr>
      <t>와 스쿼트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금</t>
    </r>
    <r>
      <rPr>
        <sz val="10"/>
        <rFont val="Arial"/>
        <family val="2"/>
        <charset val="1"/>
      </rPr>
      <t>)</t>
    </r>
    <r>
      <rPr>
        <sz val="10"/>
        <rFont val="Noto Sans CJK SC"/>
        <family val="2"/>
      </rPr>
      <t>는 목요일 휴식으로 분리 — 기립근 중복 방지</t>
    </r>
  </si>
  <si>
    <r>
      <rPr>
        <sz val="10"/>
        <rFont val="Arial"/>
        <family val="2"/>
        <charset val="1"/>
      </rPr>
      <t xml:space="preserve">· </t>
    </r>
    <r>
      <rPr>
        <sz val="10"/>
        <rFont val="Noto Sans CJK SC"/>
        <family val="2"/>
      </rPr>
      <t>하체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금</t>
    </r>
    <r>
      <rPr>
        <sz val="10"/>
        <rFont val="Arial"/>
        <family val="2"/>
        <charset val="1"/>
      </rPr>
      <t xml:space="preserve">) </t>
    </r>
    <r>
      <rPr>
        <sz val="10"/>
        <rFont val="Noto Sans CJK SC"/>
        <family val="2"/>
      </rPr>
      <t>바로 다음날 둔근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토</t>
    </r>
    <r>
      <rPr>
        <sz val="10"/>
        <rFont val="Arial"/>
        <family val="2"/>
        <charset val="1"/>
      </rPr>
      <t xml:space="preserve">) </t>
    </r>
    <r>
      <rPr>
        <sz val="10"/>
        <rFont val="Noto Sans CJK SC"/>
        <family val="2"/>
      </rPr>
      <t>연결</t>
    </r>
  </si>
  <si>
    <r>
      <rPr>
        <sz val="10"/>
        <rFont val="Arial"/>
        <family val="2"/>
        <charset val="1"/>
      </rPr>
      <t xml:space="preserve">· </t>
    </r>
    <r>
      <rPr>
        <sz val="10"/>
        <rFont val="Noto Sans CJK SC"/>
        <family val="2"/>
      </rPr>
      <t>화요일 프레스는 전날 벤치 여파로 무게가 덜 나옴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이어가기 배치의 대가이며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</rPr>
      <t>우선순위는 월요일 벤치</t>
    </r>
  </si>
  <si>
    <t>범례</t>
  </si>
  <si>
    <t>파란 글씨 = 직접 입력하는 값 (중량·달성 여부)</t>
  </si>
  <si>
    <t>검은 글씨 = 수식 (건드리지 말 것)</t>
  </si>
  <si>
    <t>노란 칸 = 매주 채워 넣는 칸</t>
  </si>
  <si>
    <t>기구 선택 원리 — 각 시트 I열의 대체 종목 활용법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</si>
  <si>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바벨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가장 무겁게 칠 수 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메인 리프트는 바벨을 기본으로 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</si>
  <si>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덤벨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가동범위가 넓고 좌우가 독립적이다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약한 쪽이 강한 쪽에 묻히지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</si>
  <si>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머신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궤도가 고정돼 안정근이 덜 필요하다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목표 근육을 한계까지 밀어붙이기 좋고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보조자 없이 안전하다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</si>
  <si>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케이블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전 가동범위에 장력이 일정하다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덤벨이 저항을 못 거는 구간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예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레터럴 레이즈의 아래쪽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을 메운다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</si>
  <si>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대체는 자유롭게 하되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근육군 열은 바꾸지 말 것 — 검산 시트가 그 열을 기준으로 세트를 집계한다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</si>
  <si>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종목을 바꿔도 세트 수를 유지하면 검산 결과는 그대로다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</si>
  <si>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기구가 비어 있거나 몸 상태가 다를 때 쓰라고 만든 열이다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매주 바꿀 필요는 없다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</si>
  <si>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같은 종목을 최소 </t>
    </r>
    <r>
      <rPr>
        <i/>
        <sz val="9"/>
        <color rgb="FF595959"/>
        <rFont val="Arial"/>
        <family val="2"/>
        <charset val="1"/>
      </rPr>
      <t>4~6</t>
    </r>
    <r>
      <rPr>
        <i/>
        <sz val="9"/>
        <color rgb="FF595959"/>
        <rFont val="Noto Sans CJK SC"/>
        <family val="2"/>
      </rPr>
      <t>주는 유지해야 증량 추이를 읽을 수 있다</t>
    </r>
    <r>
      <rPr>
        <i/>
        <sz val="9"/>
        <color rgb="FF595959"/>
        <rFont val="Arial"/>
        <family val="2"/>
        <charset val="1"/>
      </rPr>
      <t>.</t>
    </r>
  </si>
  <si>
    <t>월요일 — 가슴</t>
  </si>
  <si>
    <t>메인: 벤치프레스</t>
  </si>
  <si>
    <t>중량(Kg)</t>
  </si>
  <si>
    <t>반복</t>
  </si>
  <si>
    <t>세트</t>
  </si>
  <si>
    <r>
      <rPr>
        <i/>
        <sz val="9"/>
        <color rgb="FF595959"/>
        <rFont val="Arial"/>
        <family val="2"/>
        <charset val="1"/>
      </rPr>
      <t>↑ '</t>
    </r>
    <r>
      <rPr>
        <i/>
        <sz val="9"/>
        <color rgb="FF595959"/>
        <rFont val="Noto Sans CJK SC"/>
        <family val="2"/>
      </rPr>
      <t>시작중량</t>
    </r>
    <r>
      <rPr>
        <i/>
        <sz val="9"/>
        <color rgb="FF595959"/>
        <rFont val="Arial"/>
        <family val="2"/>
        <charset val="1"/>
      </rPr>
      <t>_</t>
    </r>
    <r>
      <rPr>
        <i/>
        <sz val="9"/>
        <color rgb="FF595959"/>
        <rFont val="Noto Sans CJK SC"/>
        <family val="2"/>
      </rPr>
      <t>설정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과 자동 연동</t>
    </r>
    <r>
      <rPr>
        <i/>
        <sz val="9"/>
        <color rgb="FF595959"/>
        <rFont val="Arial"/>
        <family val="2"/>
        <charset val="1"/>
      </rPr>
      <t xml:space="preserve">. 20 = </t>
    </r>
    <r>
      <rPr>
        <i/>
        <sz val="9"/>
        <color rgb="FF595959"/>
        <rFont val="Noto Sans CJK SC"/>
        <family val="2"/>
      </rPr>
      <t>빈 봉</t>
    </r>
    <r>
      <rPr>
        <i/>
        <sz val="9"/>
        <color rgb="FF595959"/>
        <rFont val="Arial"/>
        <family val="2"/>
        <charset val="1"/>
      </rPr>
      <t>. '</t>
    </r>
    <r>
      <rPr>
        <i/>
        <sz val="9"/>
        <color rgb="FF595959"/>
        <rFont val="Noto Sans CJK SC"/>
        <family val="2"/>
      </rPr>
      <t>생략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은 앞 세트와 중량이 겹쳐 불필요하다는 뜻</t>
    </r>
    <r>
      <rPr>
        <i/>
        <sz val="9"/>
        <color rgb="FF595959"/>
        <rFont val="Arial"/>
        <family val="2"/>
        <charset val="1"/>
      </rPr>
      <t>.</t>
    </r>
  </si>
  <si>
    <t>웜업 — 회전근개 (세트 카운트 제외)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</si>
  <si>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케이블 외회전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>× 12~15</t>
    </r>
    <r>
      <rPr>
        <i/>
        <sz val="9"/>
        <color rgb="FF595959"/>
        <rFont val="Noto Sans CJK SC"/>
        <family val="2"/>
      </rPr>
      <t>회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팔꿈치 </t>
    </r>
    <r>
      <rPr>
        <i/>
        <sz val="9"/>
        <color rgb="FF595959"/>
        <rFont val="Arial"/>
        <family val="2"/>
        <charset val="1"/>
      </rPr>
      <t>90</t>
    </r>
    <r>
      <rPr>
        <i/>
        <sz val="9"/>
        <color rgb="FF595959"/>
        <rFont val="Noto Sans CJK SC"/>
        <family val="2"/>
      </rPr>
      <t>도로 접어 옆구리에 붙이고 바깥으로만 회전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</si>
  <si>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매우 가볍게 — </t>
    </r>
    <r>
      <rPr>
        <i/>
        <sz val="9"/>
        <color rgb="FF595959"/>
        <rFont val="Arial"/>
        <family val="2"/>
        <charset val="1"/>
      </rPr>
      <t xml:space="preserve">2.5~5kg. </t>
    </r>
    <r>
      <rPr>
        <i/>
        <sz val="9"/>
        <color rgb="FF595959"/>
        <rFont val="Noto Sans CJK SC"/>
        <family val="2"/>
      </rPr>
      <t>무거우면 광배와 후면 삼각근이 대신 일하며 목적을 잃는다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</si>
  <si>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벤트오버 레터럴은 수평 외전이지 외회전이 아니다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후면 삼각근은 자라도 극하근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소원근은 거의 안 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</si>
  <si>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대체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페이스풀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마지막에 외회전 추가</t>
    </r>
    <r>
      <rPr>
        <i/>
        <sz val="9"/>
        <color rgb="FF595959"/>
        <rFont val="Arial"/>
        <family val="2"/>
        <charset val="1"/>
      </rPr>
      <t xml:space="preserve">) / </t>
    </r>
    <r>
      <rPr>
        <i/>
        <sz val="9"/>
        <color rgb="FF595959"/>
        <rFont val="Noto Sans CJK SC"/>
        <family val="2"/>
      </rPr>
      <t xml:space="preserve">밴드 외회전 </t>
    </r>
    <r>
      <rPr>
        <i/>
        <sz val="9"/>
        <color rgb="FF595959"/>
        <rFont val="Arial"/>
        <family val="2"/>
        <charset val="1"/>
      </rPr>
      <t xml:space="preserve">/ </t>
    </r>
    <r>
      <rPr>
        <i/>
        <sz val="9"/>
        <color rgb="FF595959"/>
        <rFont val="Noto Sans CJK SC"/>
        <family val="2"/>
      </rPr>
      <t>사이드 라잉 덤벨 외회전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</si>
  <si>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근비대 항목이 아니라 관절 준비 항목이므로 세트 합계에 넣지 않는다</t>
    </r>
    <r>
      <rPr>
        <i/>
        <sz val="9"/>
        <color rgb="FF595959"/>
        <rFont val="Arial"/>
        <family val="2"/>
        <charset val="1"/>
      </rPr>
      <t>.</t>
    </r>
  </si>
  <si>
    <t>운동 구성</t>
  </si>
  <si>
    <t>#</t>
  </si>
  <si>
    <t>근육군</t>
  </si>
  <si>
    <t>횟수</t>
  </si>
  <si>
    <t>간접 자극</t>
  </si>
  <si>
    <t>메모</t>
  </si>
  <si>
    <t>대체 종목</t>
  </si>
  <si>
    <t>벤치프레스 (본세트)</t>
  </si>
  <si>
    <t>흉근(중하부)</t>
  </si>
  <si>
    <t>5</t>
  </si>
  <si>
    <t>삼두·전면삼각</t>
  </si>
  <si>
    <t>현재 최우선 종목. 주당 1.25~2.25kg 마이크로로딩</t>
  </si>
  <si>
    <t>스미스 벤치프레스 (궤도 고정 — 보조자 없이 한계까지) / 체스트 프레스 머신 (같은 이유) / 플로어 프레스 (어깨가 아플 때, 하강 깊이 제한)</t>
  </si>
  <si>
    <t>덤벨 프레스</t>
  </si>
  <si>
    <t>20~24</t>
  </si>
  <si>
    <t>8~12</t>
  </si>
  <si>
    <t>삼두</t>
  </si>
  <si>
    <t>바벨이 못 쓰는 구간 — 가슴 아래까지 내려가고 좌우 독립. 벤치 직접 보조</t>
  </si>
  <si>
    <t>해머스트렝스 체스트 프레스 (좌우 독립 + 궤도 고정) / 케이블 체스트 프레스 (전 구간 장력) / 스미스 벤치는 대체 불가 — 좌우 독립이 사라짐</t>
  </si>
  <si>
    <t>인클라인 벤치프레스</t>
  </si>
  <si>
    <t>흉근(상부)</t>
  </si>
  <si>
    <t>40~45</t>
  </si>
  <si>
    <t>8~10</t>
  </si>
  <si>
    <t>인클라인 스미스 프레스 / 인클라인 덤벨 프레스 (가동범위 ↑) / 인클라인 체스트 프레스 머신</t>
  </si>
  <si>
    <t>인클라인 덤벨 플라이</t>
  </si>
  <si>
    <t>12~15</t>
  </si>
  <si>
    <t>10~12</t>
  </si>
  <si>
    <t>플랫 플라이에서 변경 — 세트 수 그대로 상부로 비중 이동</t>
  </si>
  <si>
    <t>케이블 크로스오버 (아래→위 방향, 전 구간 장력) / 펙덱 플라이 (등받이를 눕혀 인클라인 각으로) / 인클라인 머신 플라이</t>
  </si>
  <si>
    <t>딥스</t>
  </si>
  <si>
    <t>맨몸</t>
  </si>
  <si>
    <t>상체 앞으로 기울여 흉근 비중 확보</t>
  </si>
  <si>
    <t>어시스트 딥스 머신 (개수가 안 나올 때) / 디클라인 덤벨 프레스 / 딥스가 쉬워지면 벨트로 중량 추가</t>
  </si>
  <si>
    <t>세트 합계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</si>
  <si>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스쿼트 대비 벤치 비율이 약 </t>
    </r>
    <r>
      <rPr>
        <i/>
        <sz val="9"/>
        <color rgb="FF595959"/>
        <rFont val="Arial"/>
        <family val="2"/>
        <charset val="1"/>
      </rPr>
      <t>2:1 (</t>
    </r>
    <r>
      <rPr>
        <i/>
        <sz val="9"/>
        <color rgb="FF595959"/>
        <rFont val="Noto Sans CJK SC"/>
        <family val="2"/>
      </rPr>
      <t xml:space="preserve">통상 </t>
    </r>
    <r>
      <rPr>
        <i/>
        <sz val="9"/>
        <color rgb="FF595959"/>
        <rFont val="Arial"/>
        <family val="2"/>
        <charset val="1"/>
      </rPr>
      <t xml:space="preserve">1.3:1). </t>
    </r>
    <r>
      <rPr>
        <i/>
        <sz val="9"/>
        <color rgb="FF595959"/>
        <rFont val="Noto Sans CJK SC"/>
        <family val="2"/>
      </rPr>
      <t>프레스는 정상 범위이므로 수평 프레싱이 특정적으로 약함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</si>
  <si>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흉근 상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중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하를 각각 독립 근육군으로 취급하지 않는다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하나의 근육이며 프레스마다 전체가 함께 수축한다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</si>
  <si>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원본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 xml:space="preserve">종목 </t>
    </r>
    <r>
      <rPr>
        <i/>
        <sz val="9"/>
        <color rgb="FF595959"/>
        <rFont val="Arial"/>
        <family val="2"/>
        <charset val="1"/>
      </rPr>
      <t>24</t>
    </r>
    <r>
      <rPr>
        <i/>
        <sz val="9"/>
        <color rgb="FF595959"/>
        <rFont val="Noto Sans CJK SC"/>
        <family val="2"/>
      </rPr>
      <t>세트가 부푼 원인이 이 과잉 분할이었다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상부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쇄골지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만 따로 챙기면 충분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</si>
  <si>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실질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흉근 중하부 </t>
    </r>
    <r>
      <rPr>
        <i/>
        <sz val="9"/>
        <color rgb="FF595959"/>
        <rFont val="Arial"/>
        <family val="2"/>
        <charset val="1"/>
      </rPr>
      <t>8~9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/ </t>
    </r>
    <r>
      <rPr>
        <i/>
        <sz val="9"/>
        <color rgb="FF595959"/>
        <rFont val="Noto Sans CJK SC"/>
        <family val="2"/>
      </rPr>
      <t xml:space="preserve">흉근 상부 </t>
    </r>
    <r>
      <rPr>
        <i/>
        <sz val="9"/>
        <color rgb="FF595959"/>
        <rFont val="Arial"/>
        <family val="2"/>
        <charset val="1"/>
      </rPr>
      <t>9~10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플랫 벤치가 상부에도 일부 기여</t>
    </r>
    <r>
      <rPr>
        <i/>
        <sz val="9"/>
        <color rgb="FF595959"/>
        <rFont val="Arial"/>
        <family val="2"/>
        <charset val="1"/>
      </rPr>
      <t>)</t>
    </r>
  </si>
  <si>
    <t>덤벨 프레스 추가 (2025 재편)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</si>
  <si>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세트 수 때문이 아니라 궤도 때문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기존 </t>
    </r>
    <r>
      <rPr>
        <i/>
        <sz val="9"/>
        <color rgb="FF595959"/>
        <rFont val="Arial"/>
        <family val="2"/>
        <charset val="1"/>
      </rPr>
      <t>4</t>
    </r>
    <r>
      <rPr>
        <i/>
        <sz val="9"/>
        <color rgb="FF595959"/>
        <rFont val="Noto Sans CJK SC"/>
        <family val="2"/>
      </rPr>
      <t>종목은 벤치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인클라인벤치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딥스 모두 손 위치가 고정된 궤도였다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</si>
  <si>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덤벨은 봉이 가슴에 닿는 지점보다 아래까지 내려가 늘어난 구간의 가동범위가 더 나온다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</si>
  <si>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좌우 독립이라 약한 쪽이 강한 쪽에 묻히지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</si>
  <si>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벤치가 스쿼트 대비 </t>
    </r>
    <r>
      <rPr>
        <i/>
        <sz val="9"/>
        <color rgb="FF595959"/>
        <rFont val="Arial"/>
        <family val="2"/>
        <charset val="1"/>
      </rPr>
      <t>2:1</t>
    </r>
    <r>
      <rPr>
        <i/>
        <sz val="9"/>
        <color rgb="FF595959"/>
        <rFont val="Noto Sans CJK SC"/>
        <family val="2"/>
      </rPr>
      <t>로 처진 현 상태에서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약점 종목에 자원을 더 배분하는 성격의 추가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</si>
  <si>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덤벨 플라이 추가는 보류 — 인클라인 플라이 </t>
    </r>
    <r>
      <rPr>
        <i/>
        <sz val="9"/>
        <color rgb="FF595959"/>
        <rFont val="Arial"/>
        <family val="2"/>
        <charset val="1"/>
      </rPr>
      <t>4</t>
    </r>
    <r>
      <rPr>
        <i/>
        <sz val="9"/>
        <color rgb="FF595959"/>
        <rFont val="Noto Sans CJK SC"/>
        <family val="2"/>
      </rPr>
      <t>세트로 이미 충분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플랫 각도가 아쉬우면 몇 주 단위로 번갈아 할 것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</si>
  <si>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점검 기준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벤치 </t>
    </r>
    <r>
      <rPr>
        <i/>
        <sz val="9"/>
        <color rgb="FF595959"/>
        <rFont val="Arial"/>
        <family val="2"/>
        <charset val="1"/>
      </rPr>
      <t>5×5</t>
    </r>
    <r>
      <rPr>
        <i/>
        <sz val="9"/>
        <color rgb="FF595959"/>
        <rFont val="Noto Sans CJK SC"/>
        <family val="2"/>
      </rPr>
      <t>가 계속 채워지면 유지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무너지기 시작하면 덤벨 프레스를 </t>
    </r>
    <r>
      <rPr>
        <i/>
        <sz val="9"/>
        <color rgb="FF595959"/>
        <rFont val="Arial"/>
        <family val="2"/>
        <charset val="1"/>
      </rPr>
      <t>3→2</t>
    </r>
    <r>
      <rPr>
        <i/>
        <sz val="9"/>
        <color rgb="FF595959"/>
        <rFont val="Noto Sans CJK SC"/>
        <family val="2"/>
      </rPr>
      <t>세트로 내리거나 인클라인 벤치와 격주 운용</t>
    </r>
    <r>
      <rPr>
        <i/>
        <sz val="9"/>
        <color rgb="FF595959"/>
        <rFont val="Arial"/>
        <family val="2"/>
        <charset val="1"/>
      </rPr>
      <t>.</t>
    </r>
  </si>
  <si>
    <t>화요일 — 어깨</t>
  </si>
  <si>
    <t>메인: 밀리터리 프레스</t>
  </si>
  <si>
    <t>밀리터리 프레스 (본세트)</t>
  </si>
  <si>
    <t>삼각근(전면)</t>
  </si>
  <si>
    <t>팔꿈치 다 내리지 말 것 (부상 유발)</t>
  </si>
  <si>
    <t>스미스 오버헤드 프레스 / 숄더 프레스 머신 / 덤벨 숄더 프레스 (가동범위 ↑, 좌우 독립) / 아놀드 프레스</t>
  </si>
  <si>
    <t>레터럴 레이즈</t>
  </si>
  <si>
    <t>삼각근(측면)</t>
  </si>
  <si>
    <t>케이블 레터럴 레이즈 (전 구간 장력 — 덤벨의 아래 구간 무저항 문제 해결) / 레터럴 레이즈 머신 / 인클라인 벤치에 옆으로 누워서 하는 라잉 레터럴</t>
  </si>
  <si>
    <t>벤트오버 레터럴 레이즈</t>
  </si>
  <si>
    <t>삼각근(후면)</t>
  </si>
  <si>
    <t>리버스 펙덱 (자세 유지가 쉬워 후면에 집중됨 — 사실상 상위 호환) / 케이블 리버스 플라이 / 인클라인 벤치에 엎드려 덤벨 리어델트 레이즈</t>
  </si>
  <si>
    <t>업라이트 로우 (스미스)</t>
  </si>
  <si>
    <t>12</t>
  </si>
  <si>
    <t>승모</t>
  </si>
  <si>
    <t>그립 넓게 — 좁으면 승모 운동이 되고 어깨 충돌 위험</t>
  </si>
  <si>
    <t>케이블 업라이트 로우 / 덤벨 업라이트 로우 / EZ바 업라이트 로우 (손목이 편함). 어느 쪽이든 그립은 넓게</t>
  </si>
  <si>
    <r>
      <rPr>
        <sz val="10"/>
        <rFont val="Arial"/>
        <family val="2"/>
        <charset val="1"/>
      </rPr>
      <t>30</t>
    </r>
    <r>
      <rPr>
        <sz val="10"/>
        <rFont val="Noto Sans CJK SC"/>
        <family val="2"/>
      </rPr>
      <t>도 인클라인 로우</t>
    </r>
  </si>
  <si>
    <t>광배</t>
  </si>
  <si>
    <t>시티드 케이블 로우 (와이드 그립, 높은 위치로 당기기) / 리버스 펙덱 / 페이스풀</t>
  </si>
  <si>
    <t>원암 사이드 레터럴 레이즈</t>
  </si>
  <si>
    <t>케이블 우선. 없으면 랙 잡고 몸을 반대로 기울여 덤벨로</t>
  </si>
  <si>
    <t>케이블 원암 레터럴 레이즈 (최우선 — 이 종목의 목적에 가장 부합) / 원암 레터럴 레이즈 머신</t>
  </si>
  <si>
    <t>프론 Y 레이즈</t>
  </si>
  <si>
    <t>승모(하부)</t>
  </si>
  <si>
    <t>2~5</t>
  </si>
  <si>
    <t>후면 삼각근</t>
  </si>
  <si>
    <t>벤트오버 레터럴과 같은 인클라인 벤치 — 세팅 그대로 이어서. 수요일과 나눠 주 2회</t>
  </si>
  <si>
    <t>케이블 Y 레이즈 / 페이스풀 (마지막에 견갑골 하강) / 프론 스윔. 무게는 어느 쪽이든 매우 가볍게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</si>
  <si>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원본 </t>
    </r>
    <r>
      <rPr>
        <i/>
        <sz val="9"/>
        <color rgb="FF595959"/>
        <rFont val="Arial"/>
        <family val="2"/>
        <charset val="1"/>
      </rPr>
      <t>9</t>
    </r>
    <r>
      <rPr>
        <i/>
        <sz val="9"/>
        <color rgb="FF595959"/>
        <rFont val="Noto Sans CJK SC"/>
        <family val="2"/>
      </rPr>
      <t>종목의 전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측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 xml:space="preserve">후면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>분할 구조 자체는 타당했다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종목 수만 줄이고 구조는 유지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</si>
  <si>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후면 삼각근은 프레스로 자라지 않는 부위 — 반드시 별도로 센다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</si>
  <si>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전면 삼각근은 프레스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 xml:space="preserve">벤치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>딥스 간접으로 충분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프론트 레이즈 불필요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</si>
  <si>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전날 벤치 여파로 프레스 무게가 덜 나올 수 있음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보수적으로 잡고 벤치에 우선순위를 둘 것</t>
    </r>
    <r>
      <rPr>
        <i/>
        <sz val="9"/>
        <color rgb="FF595959"/>
        <rFont val="Arial"/>
        <family val="2"/>
        <charset val="1"/>
      </rPr>
      <t>.</t>
    </r>
  </si>
  <si>
    <t>측면 삼각근 보강 (7 → 10세트)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</si>
  <si>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덤벨 레터럴 레이즈는 팔이 내려간 구간에서 모멘트 암이 거의 </t>
    </r>
    <r>
      <rPr>
        <i/>
        <sz val="9"/>
        <color rgb="FF595959"/>
        <rFont val="Arial"/>
        <family val="2"/>
        <charset val="1"/>
      </rPr>
      <t xml:space="preserve">0 — </t>
    </r>
    <r>
      <rPr>
        <i/>
        <sz val="9"/>
        <color rgb="FF595959"/>
        <rFont val="Noto Sans CJK SC"/>
        <family val="2"/>
      </rPr>
      <t>아래 구간에 저항이 안 걸린다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</si>
  <si>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원암은 몸을 반대로 기울일 수 있어 늘어난 위치부터 부하가 걸린다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같은 운동이 아니므로 중복이 아님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</si>
  <si>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세트를 더 붙이는 것보다 각도를 하나 더 넣는 쪽이 유효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원본 어깨 파일에 있던 종목을 복원한 것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</si>
  <si>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측면 삼각근은 간접 자극이 </t>
    </r>
    <r>
      <rPr>
        <i/>
        <sz val="9"/>
        <color rgb="FF595959"/>
        <rFont val="Arial"/>
        <family val="2"/>
        <charset val="1"/>
      </rPr>
      <t>0</t>
    </r>
    <r>
      <rPr>
        <i/>
        <sz val="9"/>
        <color rgb="FF595959"/>
        <rFont val="Noto Sans CJK SC"/>
        <family val="2"/>
      </rPr>
      <t>인 부위 — 프레스는 전면만 키운다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직접 세트로만 채워야 함</t>
    </r>
    <r>
      <rPr>
        <i/>
        <sz val="9"/>
        <color rgb="FF595959"/>
        <rFont val="Arial"/>
        <family val="2"/>
        <charset val="1"/>
      </rPr>
      <t>.</t>
    </r>
  </si>
  <si>
    <t>수요일 — 등</t>
  </si>
  <si>
    <t>메인: 데드리프트</t>
  </si>
  <si>
    <t>데드리프트 (본세트)</t>
  </si>
  <si>
    <t>기립근</t>
  </si>
  <si>
    <t>광배·햄스트링·둔근</t>
  </si>
  <si>
    <t>주 1회. 다음 목표 107.25</t>
  </si>
  <si>
    <t>트랩바 데드리프트 (요추 전단력 ↓ — 허리가 부담될 때) / 랙풀 (무릎 위에서 시작, 가동범위 축소) / 스모 데드리프트</t>
  </si>
  <si>
    <t>바벨 로우 (그립 번갈아)</t>
  </si>
  <si>
    <t>50~60</t>
  </si>
  <si>
    <t>중부승모·이두</t>
  </si>
  <si>
    <t>수평 당기기. 광배 아래쪽 섬유 + 중부 승모. 매 세트 좁게·넓게 번갈아</t>
  </si>
  <si>
    <t>체스트 서포티드 로우 · 티바 로우 (가슴을 받쳐 허리 부담 제거 — 데드 다음 종목으로 이상적) / 시티드 케이블 로우 / 덤벨 로우 (좌우 독립, 집중) / 펜들레이 로우 (매 회 바닥에서 재시작)</t>
  </si>
  <si>
    <t>스캡 풀업</t>
  </si>
  <si>
    <t>전거근</t>
  </si>
  <si>
    <t>친업 직전 배치. 팔은 편 채 견갑골만 아래로 — 순수 견갑골 하강이라 광배에 묻히지 않음</t>
  </si>
  <si>
    <t>스캡 랫풀다운 (매달리기가 힘들 때, 같은 동작을 앉아서) / 어시스트 풀업 머신에서 스캡 풀업 / 링 또는 바에 매달려 정지 3초</t>
  </si>
  <si>
    <t>친업 (어시스트 가능)</t>
  </si>
  <si>
    <t>6~8</t>
  </si>
  <si>
    <t>이두</t>
  </si>
  <si>
    <t>수직 당기기. 광배 위쪽 섬유 비중이 큼</t>
  </si>
  <si>
    <t>어시스트 풀업 머신 (개수가 안 나올 때) / 뉴트럴 그립 친업 (팔꿈치가 편함) / 랫풀다운으로 대체 시 수직 세트가 한쪽에 몰리니 주의</t>
  </si>
  <si>
    <t>랫풀다운</t>
  </si>
  <si>
    <t>덤벨 로우에서 교체 — 수직 당기기 보강. 친업이 힘든 날의 무게 조절 수단도 됨</t>
  </si>
  <si>
    <t>원암 랫풀다운 (좌우 독립) / 뉴트럴 그립 랫풀다운 / 케이블 풀오버 (이두 개입 최소, 광배 고립)</t>
  </si>
  <si>
    <t>백 익스텐션</t>
  </si>
  <si>
    <t>둔근·햄스트링</t>
  </si>
  <si>
    <r>
      <rPr>
        <sz val="10"/>
        <rFont val="Arial"/>
        <family val="2"/>
        <charset val="1"/>
      </rPr>
      <t>45</t>
    </r>
    <r>
      <rPr>
        <sz val="10"/>
        <rFont val="Noto Sans CJK SC"/>
        <family val="2"/>
      </rPr>
      <t xml:space="preserve">도 하이퍼익스텐션 벤치 </t>
    </r>
    <r>
      <rPr>
        <sz val="10"/>
        <rFont val="Arial"/>
        <family val="2"/>
        <charset val="1"/>
      </rPr>
      <t xml:space="preserve">/ </t>
    </r>
    <r>
      <rPr>
        <sz val="10"/>
        <rFont val="Noto Sans CJK SC"/>
        <family val="2"/>
      </rPr>
      <t xml:space="preserve">리버스 하이퍼 </t>
    </r>
    <r>
      <rPr>
        <sz val="10"/>
        <rFont val="Arial"/>
        <family val="2"/>
        <charset val="1"/>
      </rPr>
      <t xml:space="preserve">/ </t>
    </r>
    <r>
      <rPr>
        <sz val="10"/>
        <rFont val="Noto Sans CJK SC"/>
        <family val="2"/>
      </rPr>
      <t xml:space="preserve">굿모닝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중량 가능하나 허리 부담 ↑</t>
    </r>
    <r>
      <rPr>
        <sz val="10"/>
        <rFont val="Arial"/>
        <family val="2"/>
        <charset val="1"/>
      </rPr>
      <t>)</t>
    </r>
  </si>
  <si>
    <t>인클라인 벤치에 엎드려 Y자로. 화요일에 2세트 더 — 주 2회로 나눠 배치. 매우 가볍게</t>
  </si>
  <si>
    <t>케이블 Y 레이즈 / 페이스풀 (높은 위치에서 얼굴로, 마지막에 견갑골 하강) / 프론 스윔. 무게는 어느 쪽이든 매우 가볍게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</si>
  <si>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루마니안 데드리프트를 하체날로 이동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원본에 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등 전체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로 분류돼 있었으나 실제로는 햄스트링 운동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</si>
  <si>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옮기면서 등날 척추 부하도 함께 감소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</si>
  <si>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펜들레이 데드 삭제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데드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>바벨로우와 중복</t>
    </r>
    <r>
      <rPr>
        <i/>
        <sz val="9"/>
        <color rgb="FF595959"/>
        <rFont val="Arial"/>
        <family val="2"/>
        <charset val="1"/>
      </rPr>
      <t xml:space="preserve">). </t>
    </r>
    <r>
      <rPr>
        <i/>
        <sz val="9"/>
        <color rgb="FF595959"/>
        <rFont val="Noto Sans CJK SC"/>
        <family val="2"/>
      </rPr>
      <t xml:space="preserve">덤벨 시러그 삭제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로우가 승모를 커버</t>
    </r>
    <r>
      <rPr>
        <i/>
        <sz val="9"/>
        <color rgb="FF595959"/>
        <rFont val="Arial"/>
        <family val="2"/>
        <charset val="1"/>
      </rPr>
      <t>).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</si>
  <si>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원본은 등 </t>
    </r>
    <r>
      <rPr>
        <i/>
        <sz val="9"/>
        <color rgb="FF595959"/>
        <rFont val="Arial"/>
        <family val="2"/>
        <charset val="1"/>
      </rPr>
      <t>9</t>
    </r>
    <r>
      <rPr>
        <i/>
        <sz val="9"/>
        <color rgb="FF595959"/>
        <rFont val="Noto Sans CJK SC"/>
        <family val="2"/>
      </rPr>
      <t xml:space="preserve">종목 </t>
    </r>
    <r>
      <rPr>
        <i/>
        <sz val="9"/>
        <color rgb="FF595959"/>
        <rFont val="Arial"/>
        <family val="2"/>
        <charset val="1"/>
      </rPr>
      <t>36</t>
    </r>
    <r>
      <rPr>
        <i/>
        <sz val="9"/>
        <color rgb="FF595959"/>
        <rFont val="Noto Sans CJK SC"/>
        <family val="2"/>
      </rPr>
      <t>세트였다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척추 부하가 한 세션에 과도하게 몰려 있었음</t>
    </r>
    <r>
      <rPr>
        <i/>
        <sz val="9"/>
        <color rgb="FF595959"/>
        <rFont val="Arial"/>
        <family val="2"/>
        <charset val="1"/>
      </rPr>
      <t>.</t>
    </r>
  </si>
  <si>
    <t>하부 승모 보강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</si>
  <si>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승모근은 상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중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하부가 서로 다른 방향으로 견갑골을 움직인다 — 광배 상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하와 달리 실제로 갈라 봐야 하는 근육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</si>
  <si>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상부는 올리고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시러그</t>
    </r>
    <r>
      <rPr>
        <i/>
        <sz val="9"/>
        <color rgb="FF595959"/>
        <rFont val="Arial"/>
        <family val="2"/>
        <charset val="1"/>
      </rPr>
      <t xml:space="preserve">), </t>
    </r>
    <r>
      <rPr>
        <i/>
        <sz val="9"/>
        <color rgb="FF595959"/>
        <rFont val="Noto Sans CJK SC"/>
        <family val="2"/>
      </rPr>
      <t>중부는 모으고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로우</t>
    </r>
    <r>
      <rPr>
        <i/>
        <sz val="9"/>
        <color rgb="FF595959"/>
        <rFont val="Arial"/>
        <family val="2"/>
        <charset val="1"/>
      </rPr>
      <t xml:space="preserve">), </t>
    </r>
    <r>
      <rPr>
        <i/>
        <sz val="9"/>
        <color rgb="FF595959"/>
        <rFont val="Noto Sans CJK SC"/>
        <family val="2"/>
      </rPr>
      <t>하부는 내린다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견갑골 하강</t>
    </r>
    <r>
      <rPr>
        <i/>
        <sz val="9"/>
        <color rgb="FF595959"/>
        <rFont val="Arial"/>
        <family val="2"/>
        <charset val="1"/>
      </rPr>
      <t>).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</si>
  <si>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기존 프로그램에 견갑골을 아래로 내리는 동작이 전무했다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</si>
  <si>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프론 </t>
    </r>
    <r>
      <rPr>
        <i/>
        <sz val="9"/>
        <color rgb="FF595959"/>
        <rFont val="Arial"/>
        <family val="2"/>
        <charset val="1"/>
      </rPr>
      <t xml:space="preserve">Y </t>
    </r>
    <r>
      <rPr>
        <i/>
        <sz val="9"/>
        <color rgb="FF595959"/>
        <rFont val="Noto Sans CJK SC"/>
        <family val="2"/>
      </rPr>
      <t xml:space="preserve">레이즈는 매우 가볍게 — </t>
    </r>
    <r>
      <rPr>
        <i/>
        <sz val="9"/>
        <color rgb="FF595959"/>
        <rFont val="Arial"/>
        <family val="2"/>
        <charset val="1"/>
      </rPr>
      <t xml:space="preserve">2~5kg. </t>
    </r>
    <r>
      <rPr>
        <i/>
        <sz val="9"/>
        <color rgb="FF595959"/>
        <rFont val="Noto Sans CJK SC"/>
        <family val="2"/>
      </rPr>
      <t>무게를 올리면 상부 승모가 대신 일하며 목적을 잃는다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</si>
  <si>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하루 종일 앉아 있으면 견갑골이 올라가고 앞으로 말린다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 동작은 그 자세의 정확한 반대편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</si>
  <si>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교체 전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수직 </t>
    </r>
    <r>
      <rPr>
        <i/>
        <sz val="9"/>
        <color rgb="FF595959"/>
        <rFont val="Arial"/>
        <family val="2"/>
        <charset val="1"/>
      </rPr>
      <t>4(</t>
    </r>
    <r>
      <rPr>
        <i/>
        <sz val="9"/>
        <color rgb="FF595959"/>
        <rFont val="Noto Sans CJK SC"/>
        <family val="2"/>
      </rPr>
      <t>친업</t>
    </r>
    <r>
      <rPr>
        <i/>
        <sz val="9"/>
        <color rgb="FF595959"/>
        <rFont val="Arial"/>
        <family val="2"/>
        <charset val="1"/>
      </rPr>
      <t xml:space="preserve">) : </t>
    </r>
    <r>
      <rPr>
        <i/>
        <sz val="9"/>
        <color rgb="FF595959"/>
        <rFont val="Noto Sans CJK SC"/>
        <family val="2"/>
      </rPr>
      <t xml:space="preserve">수평 </t>
    </r>
    <r>
      <rPr>
        <i/>
        <sz val="9"/>
        <color rgb="FF595959"/>
        <rFont val="Arial"/>
        <family val="2"/>
        <charset val="1"/>
      </rPr>
      <t>7(</t>
    </r>
    <r>
      <rPr>
        <i/>
        <sz val="9"/>
        <color rgb="FF595959"/>
        <rFont val="Noto Sans CJK SC"/>
        <family val="2"/>
      </rPr>
      <t>바벨로우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덤벨로우</t>
    </r>
    <r>
      <rPr>
        <i/>
        <sz val="9"/>
        <color rgb="FF595959"/>
        <rFont val="Arial"/>
        <family val="2"/>
        <charset val="1"/>
      </rPr>
      <t xml:space="preserve">) — </t>
    </r>
    <r>
      <rPr>
        <i/>
        <sz val="9"/>
        <color rgb="FF595959"/>
        <rFont val="Noto Sans CJK SC"/>
        <family val="2"/>
      </rPr>
      <t>수평으로 기울어 있었음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</si>
  <si>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교체 후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수직 </t>
    </r>
    <r>
      <rPr>
        <i/>
        <sz val="9"/>
        <color rgb="FF595959"/>
        <rFont val="Arial"/>
        <family val="2"/>
        <charset val="1"/>
      </rPr>
      <t>7(</t>
    </r>
    <r>
      <rPr>
        <i/>
        <sz val="9"/>
        <color rgb="FF595959"/>
        <rFont val="Noto Sans CJK SC"/>
        <family val="2"/>
      </rPr>
      <t>친업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랫풀다운</t>
    </r>
    <r>
      <rPr>
        <i/>
        <sz val="9"/>
        <color rgb="FF595959"/>
        <rFont val="Arial"/>
        <family val="2"/>
        <charset val="1"/>
      </rPr>
      <t xml:space="preserve">) : </t>
    </r>
    <r>
      <rPr>
        <i/>
        <sz val="9"/>
        <color rgb="FF595959"/>
        <rFont val="Noto Sans CJK SC"/>
        <family val="2"/>
      </rPr>
      <t xml:space="preserve">수평 </t>
    </r>
    <r>
      <rPr>
        <i/>
        <sz val="9"/>
        <color rgb="FF595959"/>
        <rFont val="Arial"/>
        <family val="2"/>
        <charset val="1"/>
      </rPr>
      <t>4(</t>
    </r>
    <r>
      <rPr>
        <i/>
        <sz val="9"/>
        <color rgb="FF595959"/>
        <rFont val="Noto Sans CJK SC"/>
        <family val="2"/>
      </rPr>
      <t>바벨로우</t>
    </r>
    <r>
      <rPr>
        <i/>
        <sz val="9"/>
        <color rgb="FF595959"/>
        <rFont val="Arial"/>
        <family val="2"/>
        <charset val="1"/>
      </rPr>
      <t xml:space="preserve">) — </t>
    </r>
    <r>
      <rPr>
        <i/>
        <sz val="9"/>
        <color rgb="FF595959"/>
        <rFont val="Noto Sans CJK SC"/>
        <family val="2"/>
      </rPr>
      <t xml:space="preserve">세트 총량은 </t>
    </r>
    <r>
      <rPr>
        <i/>
        <sz val="9"/>
        <color rgb="FF595959"/>
        <rFont val="Arial"/>
        <family val="2"/>
        <charset val="1"/>
      </rPr>
      <t>11</t>
    </r>
    <r>
      <rPr>
        <i/>
        <sz val="9"/>
        <color rgb="FF595959"/>
        <rFont val="Noto Sans CJK SC"/>
        <family val="2"/>
      </rPr>
      <t>로 동일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</si>
  <si>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등에서 실제로 갈라 봐야 하는 것은 광배 상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하가 아니라 승모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 xml:space="preserve">능형근이다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견갑골 동작이라 광배가 대신 못 함</t>
    </r>
    <r>
      <rPr>
        <i/>
        <sz val="9"/>
        <color rgb="FF595959"/>
        <rFont val="Arial"/>
        <family val="2"/>
        <charset val="1"/>
      </rPr>
      <t>).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</si>
  <si>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중부 승모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능형근은 바벨 로우가 어느 정도 커버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하부 승모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견갑골 하강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는 여전히 비어 있음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</si>
  <si>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보강 완료 </t>
    </r>
    <r>
      <rPr>
        <i/>
        <sz val="9"/>
        <color rgb="FF595959"/>
        <rFont val="Arial"/>
        <family val="2"/>
        <charset val="1"/>
      </rPr>
      <t xml:space="preserve">(v13): </t>
    </r>
    <r>
      <rPr>
        <i/>
        <sz val="9"/>
        <color rgb="FF595959"/>
        <rFont val="Noto Sans CJK SC"/>
        <family val="2"/>
      </rPr>
      <t xml:space="preserve">스캡 풀업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세트 추가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 xml:space="preserve">프론 </t>
    </r>
    <r>
      <rPr>
        <i/>
        <sz val="9"/>
        <color rgb="FF595959"/>
        <rFont val="Arial"/>
        <family val="2"/>
        <charset val="1"/>
      </rPr>
      <t xml:space="preserve">Y </t>
    </r>
    <r>
      <rPr>
        <i/>
        <sz val="9"/>
        <color rgb="FF595959"/>
        <rFont val="Noto Sans CJK SC"/>
        <family val="2"/>
      </rPr>
      <t xml:space="preserve">레이즈를 화요일과 나눠 주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회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직접 </t>
    </r>
    <r>
      <rPr>
        <i/>
        <sz val="9"/>
        <color rgb="FF595959"/>
        <rFont val="Arial"/>
        <family val="2"/>
        <charset val="1"/>
      </rPr>
      <t>3 → 8</t>
    </r>
    <r>
      <rPr>
        <i/>
        <sz val="9"/>
        <color rgb="FF595959"/>
        <rFont val="Noto Sans CJK SC"/>
        <family val="2"/>
      </rPr>
      <t>세트</t>
    </r>
    <r>
      <rPr>
        <i/>
        <sz val="9"/>
        <color rgb="FF595959"/>
        <rFont val="Arial"/>
        <family val="2"/>
        <charset val="1"/>
      </rPr>
      <t>.</t>
    </r>
  </si>
  <si>
    <t>스캡 풀업을 넣은 이유 (v13)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</si>
  <si>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하부 승모는 팔이 높이 올라간 각도에서만 제대로 동원된다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로우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풀다운 자세에서는 그 각도가 안 나온다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</si>
  <si>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친업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랫풀다운의 견갑골 하강은 동작 개시에만 잠깐 쓰이고 이후 부하는 광배가 가져간다 — 간접 추정을 </t>
    </r>
    <r>
      <rPr>
        <i/>
        <sz val="9"/>
        <color rgb="FF595959"/>
        <rFont val="Arial"/>
        <family val="2"/>
        <charset val="1"/>
      </rPr>
      <t>5 → 3</t>
    </r>
    <r>
      <rPr>
        <i/>
        <sz val="9"/>
        <color rgb="FF595959"/>
        <rFont val="Noto Sans CJK SC"/>
        <family val="2"/>
      </rPr>
      <t>으로 하향한 이유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</si>
  <si>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스캡 풀업은 팔을 편 채 견갑골만 내리는 동작이라 광배가 개입할 여지가 없다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친업 직전에 붙이면 기구 이동도 없다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</si>
  <si>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부수 효과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매달린 상태에서 견갑골이 올라간 채 당기기 시작하면 어깨 충돌 위험이 있는데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그 앞 단계를 따로 연습하게 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</si>
  <si>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무게로 밀어붙일 수 없는 부위다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과부하는 정지 </t>
    </r>
    <r>
      <rPr>
        <i/>
        <sz val="9"/>
        <color rgb="FF595959"/>
        <rFont val="Arial"/>
        <family val="2"/>
        <charset val="1"/>
      </rPr>
      <t>2~3</t>
    </r>
    <r>
      <rPr>
        <i/>
        <sz val="9"/>
        <color rgb="FF595959"/>
        <rFont val="Noto Sans CJK SC"/>
        <family val="2"/>
      </rPr>
      <t xml:space="preserve">초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하강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초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반복 수 확장으로 준다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</si>
  <si>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자세 유지 근육이라 회복이 빠르다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한 날 몰아넣는 것보다 화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수로 나누는 쪽이 낫다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</si>
  <si>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전거근이 약하면 하부 승모를 키워도 견갑골이 제 위치로 안 간다 — 신경 쓰이면 웜업에 푸시업 플러스나 벽 슬라이드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세트</t>
    </r>
    <r>
      <rPr>
        <i/>
        <sz val="9"/>
        <color rgb="FF595959"/>
        <rFont val="Arial"/>
        <family val="2"/>
        <charset val="1"/>
      </rPr>
      <t>.</t>
    </r>
  </si>
  <si>
    <t>금요일 — 하체</t>
  </si>
  <si>
    <t>메인: 스쿼트</t>
  </si>
  <si>
    <t>스쿼트 (본세트)</t>
  </si>
  <si>
    <t>대퇴사두</t>
  </si>
  <si>
    <t>둔근·기립근</t>
  </si>
  <si>
    <t>다음 목표 95. 점핑 스쿼트 2세트를 웜업 앞에 배치 가능</t>
  </si>
  <si>
    <t>스미스 스쿼트 (궤도 고정) / 핵 스쿼트 (대퇴사두 집중) / 프론트 스쿼트 / 벨트 스쿼트 (척추 부하 없음 — 9월 이후 유용)</t>
  </si>
  <si>
    <t>루마니안 데드리프트</t>
  </si>
  <si>
    <t>햄스트링</t>
  </si>
  <si>
    <t>8</t>
  </si>
  <si>
    <t>등날에서 이동. 3→4세트 증량</t>
  </si>
  <si>
    <t>덤벨 RDL (좌우 독립) / 스티프 레그드 데드리프트 / 케이블 풀스루 (허리 부담 최소) / 굿모닝</t>
  </si>
  <si>
    <t>레그 프레스</t>
  </si>
  <si>
    <t>둔근</t>
  </si>
  <si>
    <t>프론트 스쿼트에서 교체. 궤도 고정이라 대퇴사두가 확실히 한계까지 간다. 발판 위치는 중간 — 낮으면 무릎, 높으면 둔근·햄 비중</t>
  </si>
  <si>
    <t>핵 스쿼트 (대퇴사두에 더 집중) / 레그 익스텐션 (완전 고립 — 무릎 부담은 더 큼) / 프론트 스쿼트로 되돌리기</t>
  </si>
  <si>
    <t>레그 컬</t>
  </si>
  <si>
    <r>
      <rPr>
        <sz val="10"/>
        <rFont val="Arial"/>
        <family val="2"/>
        <charset val="1"/>
      </rPr>
      <t>3→4</t>
    </r>
    <r>
      <rPr>
        <sz val="10"/>
        <rFont val="Noto Sans CJK SC"/>
        <family val="2"/>
      </rPr>
      <t>세트 증량</t>
    </r>
  </si>
  <si>
    <t>라잉 레그 컬 · 시티드 레그 컬 (시티드가 늘어난 구간을 더 씀) / 노르딕 햄 컬 (맨몸, 매우 어려움) / 스위스볼 레그 컬</t>
  </si>
  <si>
    <t>글룻 햄 라이즈</t>
  </si>
  <si>
    <t>10</t>
  </si>
  <si>
    <t>신규 추가. 원본에 '대퇴근'으로 오분류돼 있던 종목</t>
  </si>
  <si>
    <t>노르딕 햄 컬 / 백 익스텐션에서 무릎을 편 채 햄스트링 강조 / 케이블 풀스루</t>
  </si>
  <si>
    <t>카프 레이즈</t>
  </si>
  <si>
    <t>종아리</t>
  </si>
  <si>
    <t>스탠딩 카프 레이즈 머신 (무릎 편 상태 — 비복근) / 시티드 카프 레이즈 (무릎 굽힘 — 가자미근) / 레그 프레스 발판 끝에서 카프 레이즈 / 스미스 카프 레이즈</t>
  </si>
  <si>
    <t>삭제한 종목과 이유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</si>
  <si>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쉬림프 스쿼트 — 스쿼트 변형 중복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</si>
  <si>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파워 스쿼트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스모</t>
    </r>
    <r>
      <rPr>
        <i/>
        <sz val="9"/>
        <color rgb="FF595959"/>
        <rFont val="Arial"/>
        <family val="2"/>
        <charset val="1"/>
      </rPr>
      <t xml:space="preserve">) — </t>
    </r>
    <r>
      <rPr>
        <i/>
        <sz val="9"/>
        <color rgb="FF595959"/>
        <rFont val="Noto Sans CJK SC"/>
        <family val="2"/>
      </rPr>
      <t>스쿼트 변형 중복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</si>
  <si>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덤벨 런지 → 토요일 둔근날로 이동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</si>
  <si>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힙 쓰러스트 → 토요일 둔근날로 이동</t>
    </r>
  </si>
  <si>
    <t>레그 프레스 교체 (프론트 스쿼트 → 레그 프레스)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</si>
  <si>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프론트 스쿼트는 상부 등과 코어 요구가 커서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대퇴사두가 한계에 가기 전에 다른 부위가 먼저 나가는 경우가 많다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</si>
  <si>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목적이 대퇴사두를 확실히 태우는 것이라면 궤도가 고정된 레그 프레스가 유효하다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세트 수는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>세트로 동일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</si>
  <si>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스쿼트가 이미 자유 궤도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코어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안정근을 전부 담당하므로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보조에서까지 같은 요구를 반복할 이유가 적다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</si>
  <si>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대신 잃는 것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프론트 스쿼트의 상부 등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코어 자극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스쿼트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>세트와 데드로 충분히 커버된다고 판단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</si>
  <si>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9</t>
    </r>
    <r>
      <rPr>
        <i/>
        <sz val="9"/>
        <color rgb="FF595959"/>
        <rFont val="Noto Sans CJK SC"/>
        <family val="2"/>
      </rPr>
      <t>월 이후 활용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현장 복귀 시 허리에 이미 하루치 부하가 깔린다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그때는 바벨 스쿼트 세트를 줄이고</t>
    </r>
  </si>
  <si>
    <t xml:space="preserve">  레그 프레스 비중을 늘려, 척추 축방향 부하 없이 하체 볼륨을 유지하는 것이 맞다.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</si>
  <si>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무릎을 끝까지 펴서 잠그지 말 것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등과 골반은 시트에 붙인 채로 — 하강 시 골반이 말리면 요추가 굽는다</t>
    </r>
    <r>
      <rPr>
        <i/>
        <sz val="9"/>
        <color rgb="FF595959"/>
        <rFont val="Arial"/>
        <family val="2"/>
        <charset val="1"/>
      </rPr>
      <t>.</t>
    </r>
  </si>
  <si>
    <t>토요일 — 둔근 · 팔 · 복부</t>
  </si>
  <si>
    <t>힙 쓰러스트</t>
  </si>
  <si>
    <t>이 날의 메인. 무겁게</t>
  </si>
  <si>
    <t>힙 쓰러스트 머신 / 스미스 힙 쓰러스트 (바 고정으로 세팅이 쉬움) / 글룻 브릿지 (벤치 없이)</t>
  </si>
  <si>
    <t>불가리안 스플릿 스쿼트</t>
  </si>
  <si>
    <r>
      <rPr>
        <sz val="10"/>
        <rFont val="Arial"/>
        <family val="2"/>
        <charset val="1"/>
      </rPr>
      <t>10 (</t>
    </r>
    <r>
      <rPr>
        <sz val="10"/>
        <rFont val="Noto Sans CJK SC"/>
        <family val="2"/>
      </rPr>
      <t>좌우</t>
    </r>
    <r>
      <rPr>
        <sz val="10"/>
        <rFont val="Arial"/>
        <family val="2"/>
        <charset val="1"/>
      </rPr>
      <t>)</t>
    </r>
  </si>
  <si>
    <t>덤벨 런지로 대체 가능</t>
  </si>
  <si>
    <t>덤벨 런지 / 워킹 런지 / 스텝업 (박스 높이로 강도 조절) / 리버스 런지 (무릎 부담 ↓)</t>
  </si>
  <si>
    <t>케이블 힙 외전</t>
  </si>
  <si>
    <t>중둔근</t>
  </si>
  <si>
    <r>
      <rPr>
        <sz val="10"/>
        <rFont val="Arial"/>
        <family val="2"/>
        <charset val="1"/>
      </rPr>
      <t>12~15 (</t>
    </r>
    <r>
      <rPr>
        <sz val="10"/>
        <rFont val="Noto Sans CJK SC"/>
        <family val="2"/>
      </rPr>
      <t>좌우</t>
    </r>
    <r>
      <rPr>
        <sz val="10"/>
        <rFont val="Arial"/>
        <family val="2"/>
        <charset val="1"/>
      </rPr>
      <t>)</t>
    </r>
  </si>
  <si>
    <t>킥백(신전)에서 교체 — 둔근 8세트가 전부 신전이라 관상면 외전이 0이었음. 앉아 있으면 대둔근보다 중둔근이 먼저 잠든다</t>
  </si>
  <si>
    <t>밴드 몬스터 워크 / 사이드 라잉 힙 외전 (맨몸, 가장 쉬움) / 힙 어브덕션 머신 / 스탠딩 케이블 외전. 상체를 기울여 반동 쓰지 말 것</t>
  </si>
  <si>
    <t>팔</t>
  </si>
  <si>
    <t>바벨 컬 (또는 해머 컬)</t>
  </si>
  <si>
    <t>30~35</t>
  </si>
  <si>
    <t>전완</t>
  </si>
  <si>
    <t>이두 3세트가 상한</t>
  </si>
  <si>
    <r>
      <rPr>
        <sz val="10"/>
        <rFont val="Arial"/>
        <family val="2"/>
        <charset val="1"/>
      </rPr>
      <t>EZ</t>
    </r>
    <r>
      <rPr>
        <sz val="10"/>
        <rFont val="Noto Sans CJK SC"/>
        <family val="2"/>
      </rPr>
      <t xml:space="preserve">바 컬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손목이 편함</t>
    </r>
    <r>
      <rPr>
        <sz val="10"/>
        <rFont val="Arial"/>
        <family val="2"/>
        <charset val="1"/>
      </rPr>
      <t xml:space="preserve">) / </t>
    </r>
    <r>
      <rPr>
        <sz val="10"/>
        <rFont val="Noto Sans CJK SC"/>
        <family val="2"/>
      </rPr>
      <t xml:space="preserve">케이블 컬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전 구간 장력</t>
    </r>
    <r>
      <rPr>
        <sz val="10"/>
        <rFont val="Arial"/>
        <family val="2"/>
        <charset val="1"/>
      </rPr>
      <t xml:space="preserve">) / </t>
    </r>
    <r>
      <rPr>
        <sz val="10"/>
        <rFont val="Noto Sans CJK SC"/>
        <family val="2"/>
      </rPr>
      <t xml:space="preserve">인클라인 덤벨 컬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 xml:space="preserve">늘어난 구간을 씀 — 이두 보강 시 </t>
    </r>
    <r>
      <rPr>
        <sz val="10"/>
        <rFont val="Arial"/>
        <family val="2"/>
        <charset val="1"/>
      </rPr>
      <t>1</t>
    </r>
    <r>
      <rPr>
        <sz val="10"/>
        <rFont val="Noto Sans CJK SC"/>
        <family val="2"/>
      </rPr>
      <t>순위</t>
    </r>
    <r>
      <rPr>
        <sz val="10"/>
        <rFont val="Arial"/>
        <family val="2"/>
        <charset val="1"/>
      </rPr>
      <t xml:space="preserve">) / </t>
    </r>
    <r>
      <rPr>
        <sz val="10"/>
        <rFont val="Noto Sans CJK SC"/>
        <family val="2"/>
      </rPr>
      <t xml:space="preserve">프리처 컬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반동 차단</t>
    </r>
    <r>
      <rPr>
        <sz val="10"/>
        <rFont val="Arial"/>
        <family val="2"/>
        <charset val="1"/>
      </rPr>
      <t xml:space="preserve">) / </t>
    </r>
    <r>
      <rPr>
        <sz val="10"/>
        <rFont val="Noto Sans CJK SC"/>
        <family val="2"/>
      </rPr>
      <t xml:space="preserve">해머 컬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전완 상완요골근 동시</t>
    </r>
    <r>
      <rPr>
        <sz val="10"/>
        <rFont val="Arial"/>
        <family val="2"/>
        <charset val="1"/>
      </rPr>
      <t>)</t>
    </r>
  </si>
  <si>
    <t>라잉 트라이셉스 익스텐션</t>
  </si>
  <si>
    <t>삼두 3세트가 상한</t>
  </si>
  <si>
    <t>케이블 푸시다운 (가장 무난) / 오버헤드 케이블 익스텐션 (늘어난 구간을 씀) / 클로즈그립 벤치프레스 (중량 가능) / 딥스 머신</t>
  </si>
  <si>
    <t>리버스 리스트 컬</t>
  </si>
  <si>
    <t>15</t>
  </si>
  <si>
    <t>손목 신근. 타이핑으로 약해지는 쪽이라 비중을 더 준다</t>
  </si>
  <si>
    <t>케이블 리버스 리스트 컬 / 리버스 EZ바 컬 (상완요골근까지) / 덤벨로 한 손씩</t>
  </si>
  <si>
    <t>리스트 컬</t>
  </si>
  <si>
    <t>손목 굴근. 원본 슈퍼세트 파일의 대항쌍 복원</t>
  </si>
  <si>
    <t>덤벨 리스트 컬 (한 손씩) / 케이블 리스트 컬 / 바를 등 뒤로 잡고 비하인드백 리스트 컬</t>
  </si>
  <si>
    <t>복부</t>
  </si>
  <si>
    <t>행잉 레그 레이즈</t>
  </si>
  <si>
    <t>10~15</t>
  </si>
  <si>
    <t>캡틴 체어 레그 레이즈 (그립이 먼저 지칠 때) / 인클라인 벤치 리버스 크런치 / 라잉 레그 레이즈 (가장 쉬움)</t>
  </si>
  <si>
    <t>중량 크런치</t>
  </si>
  <si>
    <t>케이블 크런치 (중량 조절이 쉬워 점진적 과부하에 최적 — 1순위) / 압도미널 크런치 머신 / 30도 인클라인 벤치 싯업</t>
  </si>
  <si>
    <t>플랭크</t>
  </si>
  <si>
    <r>
      <rPr>
        <sz val="10"/>
        <rFont val="Arial"/>
        <family val="2"/>
        <charset val="1"/>
      </rPr>
      <t>30</t>
    </r>
    <r>
      <rPr>
        <sz val="10"/>
        <rFont val="Noto Sans CJK SC"/>
        <family val="2"/>
      </rPr>
      <t>초</t>
    </r>
  </si>
  <si>
    <t>사이드 밴드로 대체 가능</t>
  </si>
  <si>
    <t>애브 롤아웃 (휠 또는 바벨) / 사이드 플랭크 (측면 추가) / 팔로프 프레스 (항회전)</t>
  </si>
  <si>
    <t>트렁크 로테이션</t>
  </si>
  <si>
    <r>
      <rPr>
        <sz val="10"/>
        <rFont val="Arial"/>
        <family val="2"/>
        <charset val="1"/>
      </rPr>
      <t>8~10 (</t>
    </r>
    <r>
      <rPr>
        <sz val="10"/>
        <rFont val="Noto Sans CJK SC"/>
        <family val="2"/>
      </rPr>
      <t>좌우</t>
    </r>
    <r>
      <rPr>
        <sz val="10"/>
        <rFont val="Arial"/>
        <family val="2"/>
        <charset val="1"/>
      </rPr>
      <t>)</t>
    </r>
  </si>
  <si>
    <t>복사근·회전. 원본 슈퍼세트 파일에 있던 종목. 케이블 우드촙으로 대체 가능</t>
  </si>
  <si>
    <t>케이블 우드촙 (위→아래 / 아래→위) / 러시안 트위스트 / 팔로프 프레스 / 덤벨 사이드 밴드 (측굴 — 허리 측면 부담 있음)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</si>
  <si>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이두 </t>
    </r>
    <r>
      <rPr>
        <i/>
        <sz val="9"/>
        <color rgb="FF595959"/>
        <rFont val="Arial"/>
        <family val="2"/>
        <charset val="1"/>
      </rPr>
      <t xml:space="preserve">3 / </t>
    </r>
    <r>
      <rPr>
        <i/>
        <sz val="9"/>
        <color rgb="FF595959"/>
        <rFont val="Noto Sans CJK SC"/>
        <family val="2"/>
      </rPr>
      <t xml:space="preserve">삼두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>이 상한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벤치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프레스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로우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친업에서 간접 세트가 계속 들어옴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</si>
  <si>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전용 날을 만들면 종목이 불어나기 쉬운데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26~28</t>
    </r>
    <r>
      <rPr>
        <i/>
        <sz val="9"/>
        <color rgb="FF595959"/>
        <rFont val="Noto Sans CJK SC"/>
        <family val="2"/>
      </rPr>
      <t xml:space="preserve">세트 → </t>
    </r>
    <r>
      <rPr>
        <i/>
        <sz val="9"/>
        <color rgb="FF595959"/>
        <rFont val="Arial"/>
        <family val="2"/>
        <charset val="1"/>
      </rPr>
      <t>6~8</t>
    </r>
    <r>
      <rPr>
        <i/>
        <sz val="9"/>
        <color rgb="FF595959"/>
        <rFont val="Noto Sans CJK SC"/>
        <family val="2"/>
      </rPr>
      <t>세트가 이번 정리의 핵심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</si>
  <si>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둔근은 하루 종일 앉아 있으면 가장 먼저 잠드는 근육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몸매가 아니라 앉은 시간 상쇄 목적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</si>
  <si>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하체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금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>다음날 배치 — 데드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수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>다음날은 피할 것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둔근이 이미 소모된 상태라 힙 쓰러스트가 안 나옴</t>
    </r>
    <r>
      <rPr>
        <i/>
        <sz val="9"/>
        <color rgb="FF595959"/>
        <rFont val="Arial"/>
        <family val="2"/>
        <charset val="1"/>
      </rPr>
      <t>.</t>
    </r>
  </si>
  <si>
    <t>전완 · 복부 보강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</si>
  <si>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전완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리스트 컬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>리버스 리스트 컬은 손목 굴근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신근 대항쌍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원본 슈퍼세트 파일에 한 쌍으로 있던 구성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</si>
  <si>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타이핑을 종일 하면 굴근은 짧아지고 신근만 약해진다 — 그래서 리버스 </t>
    </r>
    <r>
      <rPr>
        <i/>
        <sz val="9"/>
        <color rgb="FF595959"/>
        <rFont val="Arial"/>
        <family val="2"/>
        <charset val="1"/>
      </rPr>
      <t xml:space="preserve">3 / </t>
    </r>
    <r>
      <rPr>
        <i/>
        <sz val="9"/>
        <color rgb="FF595959"/>
        <rFont val="Noto Sans CJK SC"/>
        <family val="2"/>
      </rPr>
      <t xml:space="preserve">리스트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로 비대칭 배분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</si>
  <si>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복부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기존 구성은 굴곡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레그레이즈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크런치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과 항신전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플랭크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뿐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회전이 통째로 비어 있었다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</si>
  <si>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트렁크 로테이션은 세트 수보다 빠진 움직임 패턴을 메우는 것이 목적</t>
    </r>
    <r>
      <rPr>
        <i/>
        <sz val="9"/>
        <color rgb="FF595959"/>
        <rFont val="Arial"/>
        <family val="2"/>
        <charset val="1"/>
      </rPr>
      <t>.</t>
    </r>
  </si>
  <si>
    <t>근육군별 주간 세트 — 검산</t>
  </si>
  <si>
    <t>세트는 근육군 단위로 센다. '하체 20세트'는 의미 없는 숫자 — 대퇴 18 / 햄스트링 2여도 하체 20이 된다.</t>
  </si>
  <si>
    <t>직접 세트</t>
  </si>
  <si>
    <t>간접 추정</t>
  </si>
  <si>
    <t>실질</t>
  </si>
  <si>
    <t>판정</t>
  </si>
  <si>
    <t>간접 출처 / 비고</t>
  </si>
  <si>
    <t>플랫 벤치 5세트가 쇄골지에도 일부 기여</t>
  </si>
  <si>
    <t>인클라인 6세트가 흉늑지에도 일부 기여</t>
  </si>
  <si>
    <t>데드리프트 간접</t>
  </si>
  <si>
    <t>친업 · 랫풀다운의 견갑골 하강 — 동작 개시에만 관여하므로 하향 (5 → 3)</t>
  </si>
  <si>
    <t>승모(중부)·능형근</t>
  </si>
  <si>
    <t>바벨 로우 4 · 30도 인클라인 로우 3 · 벤트오버 레터럴 4 — 전부 견갑골 후인. 직접 종목은 없으므로 로우를 빼면 이 칸도 함께 내릴 것</t>
  </si>
  <si>
    <t>스쿼트 · RDL · 바벨로우</t>
  </si>
  <si>
    <t>벤치 · 인클라인 · 딥스</t>
  </si>
  <si>
    <t>바벨 로우 · 인클라인 로우</t>
  </si>
  <si>
    <t>데드리프트 · 힙 쓰러스트</t>
  </si>
  <si>
    <t>스쿼트 · RDL · 데드</t>
  </si>
  <si>
    <t>불가리안 스플릿 스쿼트 · 스쿼트 · 런지의 관상면 안정화 (한 다리 지지 구간)</t>
  </si>
  <si>
    <t>친업 · 바벨로우 · 덤벨로우</t>
  </si>
  <si>
    <t>벤치 · 프레스 · 딥스</t>
  </si>
  <si>
    <t>데드 105kg · 로우 · 친업 그립</t>
  </si>
  <si>
    <t>스쿼트 · 데드 코어 안정화</t>
  </si>
  <si>
    <t>직접 세트 총계</t>
  </si>
  <si>
    <t>기준선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</si>
  <si>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10~20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>성장 구간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</si>
  <si>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>유지 하한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</si>
  <si>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실패지점 </t>
    </r>
    <r>
      <rPr>
        <i/>
        <sz val="9"/>
        <color rgb="FF595959"/>
        <rFont val="Arial"/>
        <family val="2"/>
        <charset val="1"/>
      </rPr>
      <t>2~3</t>
    </r>
    <r>
      <rPr>
        <i/>
        <sz val="9"/>
        <color rgb="FF595959"/>
        <rFont val="Noto Sans CJK SC"/>
        <family val="2"/>
      </rPr>
      <t xml:space="preserve">회 이내 세트만 카운트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웜업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여유 세트 제외</t>
    </r>
    <r>
      <rPr>
        <i/>
        <sz val="9"/>
        <color rgb="FF595959"/>
        <rFont val="Arial"/>
        <family val="2"/>
        <charset val="1"/>
      </rPr>
      <t>)</t>
    </r>
  </si>
  <si>
    <t>따로 세야 하는 경우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</si>
  <si>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판단 기준은 하나 — 다른 종목이 그 부위를 대신 키워주는가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</si>
  <si>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안 키워주면 따로 센다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햄스트링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스쿼트로 안 자람</t>
    </r>
    <r>
      <rPr>
        <i/>
        <sz val="9"/>
        <color rgb="FF595959"/>
        <rFont val="Arial"/>
        <family val="2"/>
        <charset val="1"/>
      </rPr>
      <t xml:space="preserve">), </t>
    </r>
    <r>
      <rPr>
        <i/>
        <sz val="9"/>
        <color rgb="FF595959"/>
        <rFont val="Noto Sans CJK SC"/>
        <family val="2"/>
      </rPr>
      <t>후면 삼각근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프레스로 안 자람</t>
    </r>
    <r>
      <rPr>
        <i/>
        <sz val="9"/>
        <color rgb="FF595959"/>
        <rFont val="Arial"/>
        <family val="2"/>
        <charset val="1"/>
      </rPr>
      <t xml:space="preserve">), </t>
    </r>
    <r>
      <rPr>
        <i/>
        <sz val="9"/>
        <color rgb="FF595959"/>
        <rFont val="Noto Sans CJK SC"/>
        <family val="2"/>
      </rPr>
      <t>종아리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</si>
  <si>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키워주면 합쳐 센다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흉근 상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하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광배 상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하 — 하나의 근육이며 함께 수축한다</t>
    </r>
  </si>
  <si>
    <t>현재 보완 필요 항목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</si>
  <si>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삼각근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측면</t>
    </r>
    <r>
      <rPr>
        <i/>
        <sz val="9"/>
        <color rgb="FF595959"/>
        <rFont val="Arial"/>
        <family val="2"/>
        <charset val="1"/>
      </rPr>
      <t>) 7</t>
    </r>
    <r>
      <rPr>
        <i/>
        <sz val="9"/>
        <color rgb="FF595959"/>
        <rFont val="Noto Sans CJK SC"/>
        <family val="2"/>
      </rPr>
      <t>세트 — 하한 근처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어깨 발달이 정체되면 레터럴 레이즈 </t>
    </r>
    <r>
      <rPr>
        <i/>
        <sz val="9"/>
        <color rgb="FF595959"/>
        <rFont val="Arial"/>
        <family val="2"/>
        <charset val="1"/>
      </rPr>
      <t>1~2</t>
    </r>
    <r>
      <rPr>
        <i/>
        <sz val="9"/>
        <color rgb="FF595959"/>
        <rFont val="Noto Sans CJK SC"/>
        <family val="2"/>
      </rPr>
      <t>세트 추가</t>
    </r>
  </si>
  <si>
    <r>
      <rPr>
        <i/>
        <sz val="9"/>
        <color rgb="FF595959"/>
        <rFont val="Arial"/>
        <family val="2"/>
        <charset val="1"/>
      </rPr>
      <t>· C</t>
    </r>
    <r>
      <rPr>
        <i/>
        <sz val="9"/>
        <color rgb="FF595959"/>
        <rFont val="Noto Sans CJK SC"/>
        <family val="2"/>
      </rPr>
      <t>열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간접 추정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은 직접 조정 가능한 입력값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종목을 바꾸면 여기도 함께 손볼 것</t>
    </r>
    <r>
      <rPr>
        <i/>
        <sz val="9"/>
        <color rgb="FF595959"/>
        <rFont val="Arial"/>
        <family val="2"/>
        <charset val="1"/>
      </rPr>
      <t>.</t>
    </r>
  </si>
  <si>
    <t>웜업 · 관절 준비 항목 (세트 카운트 제외)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</si>
  <si>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회전근개 외회전 — 월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화 프레싱 날 웜업에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세트씩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케이블 외회전 또는 페이스풀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</si>
  <si>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근육군 표에 넣지 않는 이유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실패지점 근처까지 가지 않는 웜업 세트는 카운트 대상이 아니다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</si>
  <si>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벤트오버 레터럴 </t>
    </r>
    <r>
      <rPr>
        <i/>
        <sz val="9"/>
        <color rgb="FF595959"/>
        <rFont val="Arial"/>
        <family val="2"/>
        <charset val="1"/>
      </rPr>
      <t>4</t>
    </r>
    <r>
      <rPr>
        <i/>
        <sz val="9"/>
        <color rgb="FF595959"/>
        <rFont val="Noto Sans CJK SC"/>
        <family val="2"/>
      </rPr>
      <t xml:space="preserve">세트와 리버스 펙덱은 수평 외전이라 외회전을 대신하지 못한다 — 직접 </t>
    </r>
    <r>
      <rPr>
        <i/>
        <sz val="9"/>
        <color rgb="FF595959"/>
        <rFont val="Arial"/>
        <family val="2"/>
        <charset val="1"/>
      </rPr>
      <t>0</t>
    </r>
    <r>
      <rPr>
        <i/>
        <sz val="9"/>
        <color rgb="FF595959"/>
        <rFont val="Noto Sans CJK SC"/>
        <family val="2"/>
      </rPr>
      <t>세트였던 부위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</si>
  <si>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벤치 </t>
    </r>
    <r>
      <rPr>
        <i/>
        <sz val="9"/>
        <color rgb="FF595959"/>
        <rFont val="Arial"/>
        <family val="2"/>
        <charset val="1"/>
      </rPr>
      <t>5×5</t>
    </r>
    <r>
      <rPr>
        <i/>
        <sz val="9"/>
        <color rgb="FF595959"/>
        <rFont val="Noto Sans CJK SC"/>
        <family val="2"/>
      </rPr>
      <t xml:space="preserve">가 최우선 종목이고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주간 계속 오른다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근비대가 아니라 어깨 관절 유지 목적</t>
    </r>
    <r>
      <rPr>
        <i/>
        <sz val="9"/>
        <color rgb="FF595959"/>
        <rFont val="Arial"/>
        <family val="2"/>
        <charset val="1"/>
      </rPr>
      <t>.</t>
    </r>
  </si>
  <si>
    <t>메인 리프트 증량 기록</t>
  </si>
  <si>
    <t>기본은 계획대로 증량. 목표 반복을 못 채운 주에만 해당 칸에 X를 입력하면 그 중량이 유지됩니다.</t>
  </si>
  <si>
    <t>증량 설정 — 종목별</t>
  </si>
  <si>
    <t>데드리프트 주당 증량 (kg)</t>
  </si>
  <si>
    <t>가장 큰 근육군 · 회복 여력 최대</t>
  </si>
  <si>
    <t>스쿼트 주당 증량 (kg)</t>
  </si>
  <si>
    <t>하체 — 복귀 구간에서는 빠르게 오른다</t>
  </si>
  <si>
    <t>벤치프레스 주당 증량 (kg)</t>
  </si>
  <si>
    <t>마이크로플레이트 1.125kg × 2</t>
  </si>
  <si>
    <t>밀리터리 프레스 주당 증량 (kg)</t>
  </si>
  <si>
    <t>가장 작은 근육군 — 절대값이 작아 2.25kg은 과함</t>
  </si>
  <si>
    <t>날짜</t>
  </si>
  <si>
    <t>스쿼트 목표</t>
  </si>
  <si>
    <t>미달 시 X</t>
  </si>
  <si>
    <t>데드 목표</t>
  </si>
  <si>
    <t>벤치 목표</t>
  </si>
  <si>
    <t>프레스 목표</t>
  </si>
  <si>
    <r>
      <rPr>
        <sz val="10"/>
        <rFont val="Arial"/>
        <family val="2"/>
        <charset val="1"/>
      </rPr>
      <t>1</t>
    </r>
    <r>
      <rPr>
        <sz val="10"/>
        <rFont val="Noto Sans CJK SC"/>
        <family val="2"/>
      </rPr>
      <t>주차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</si>
  <si>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공란 또는 </t>
    </r>
    <r>
      <rPr>
        <i/>
        <sz val="9"/>
        <color rgb="FF595959"/>
        <rFont val="Arial"/>
        <family val="2"/>
        <charset val="1"/>
      </rPr>
      <t xml:space="preserve">O = </t>
    </r>
    <r>
      <rPr>
        <i/>
        <sz val="9"/>
        <color rgb="FF595959"/>
        <rFont val="Noto Sans CJK SC"/>
        <family val="2"/>
      </rPr>
      <t>계획대로 증량</t>
    </r>
    <r>
      <rPr>
        <i/>
        <sz val="9"/>
        <color rgb="FF595959"/>
        <rFont val="Arial"/>
        <family val="2"/>
        <charset val="1"/>
      </rPr>
      <t xml:space="preserve">. X = </t>
    </r>
    <r>
      <rPr>
        <i/>
        <sz val="9"/>
        <color rgb="FF595959"/>
        <rFont val="Noto Sans CJK SC"/>
        <family val="2"/>
      </rPr>
      <t>그 중량을 다음 주에도 유지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</si>
  <si>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1</t>
    </r>
    <r>
      <rPr>
        <i/>
        <sz val="9"/>
        <color rgb="FF595959"/>
        <rFont val="Noto Sans CJK SC"/>
        <family val="2"/>
      </rPr>
      <t xml:space="preserve">주차 중량은 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시작중량</t>
    </r>
    <r>
      <rPr>
        <i/>
        <sz val="9"/>
        <color rgb="FF595959"/>
        <rFont val="Arial"/>
        <family val="2"/>
        <charset val="1"/>
      </rPr>
      <t>_</t>
    </r>
    <r>
      <rPr>
        <i/>
        <sz val="9"/>
        <color rgb="FF595959"/>
        <rFont val="Noto Sans CJK SC"/>
        <family val="2"/>
      </rPr>
      <t>설정</t>
    </r>
    <r>
      <rPr>
        <i/>
        <sz val="9"/>
        <color rgb="FF595959"/>
        <rFont val="Arial"/>
        <family val="2"/>
        <charset val="1"/>
      </rPr>
      <t xml:space="preserve">' </t>
    </r>
    <r>
      <rPr>
        <i/>
        <sz val="9"/>
        <color rgb="FF595959"/>
        <rFont val="Noto Sans CJK SC"/>
        <family val="2"/>
      </rPr>
      <t xml:space="preserve">시트 </t>
    </r>
    <r>
      <rPr>
        <i/>
        <sz val="9"/>
        <color rgb="FF595959"/>
        <rFont val="Arial"/>
        <family val="2"/>
        <charset val="1"/>
      </rPr>
      <t>D</t>
    </r>
    <r>
      <rPr>
        <i/>
        <sz val="9"/>
        <color rgb="FF595959"/>
        <rFont val="Noto Sans CJK SC"/>
        <family val="2"/>
      </rPr>
      <t>열과 연동됨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여기서 직접 수정하지 말 것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</si>
  <si>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같은 종목에 </t>
    </r>
    <r>
      <rPr>
        <i/>
        <sz val="9"/>
        <color rgb="FF595959"/>
        <rFont val="Arial"/>
        <family val="2"/>
        <charset val="1"/>
      </rPr>
      <t>X</t>
    </r>
    <r>
      <rPr>
        <i/>
        <sz val="9"/>
        <color rgb="FF595959"/>
        <rFont val="Noto Sans CJK SC"/>
        <family val="2"/>
      </rPr>
      <t xml:space="preserve">가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주 연속이면 그 종목만 </t>
    </r>
    <r>
      <rPr>
        <i/>
        <sz val="9"/>
        <color rgb="FF595959"/>
        <rFont val="Arial"/>
        <family val="2"/>
        <charset val="1"/>
      </rPr>
      <t xml:space="preserve">10% </t>
    </r>
    <r>
      <rPr>
        <i/>
        <sz val="9"/>
        <color rgb="FF595959"/>
        <rFont val="Noto Sans CJK SC"/>
        <family val="2"/>
      </rPr>
      <t>디로드 후 재상승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</si>
  <si>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증량폭을 종목별로 나눈 이유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절대값이 같아도 부담이 전혀 다르다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</si>
  <si>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20kg </t>
    </r>
    <r>
      <rPr>
        <i/>
        <sz val="9"/>
        <color rgb="FF595959"/>
        <rFont val="Noto Sans CJK SC"/>
        <family val="2"/>
      </rPr>
      <t xml:space="preserve">프레스에 </t>
    </r>
    <r>
      <rPr>
        <i/>
        <sz val="9"/>
        <color rgb="FF595959"/>
        <rFont val="Arial"/>
        <family val="2"/>
        <charset val="1"/>
      </rPr>
      <t>2.25kg</t>
    </r>
    <r>
      <rPr>
        <i/>
        <sz val="9"/>
        <color rgb="FF595959"/>
        <rFont val="Noto Sans CJK SC"/>
        <family val="2"/>
      </rPr>
      <t xml:space="preserve">은 </t>
    </r>
    <r>
      <rPr>
        <i/>
        <sz val="9"/>
        <color rgb="FF595959"/>
        <rFont val="Arial"/>
        <family val="2"/>
        <charset val="1"/>
      </rPr>
      <t xml:space="preserve">11% </t>
    </r>
    <r>
      <rPr>
        <i/>
        <sz val="9"/>
        <color rgb="FF595959"/>
        <rFont val="Noto Sans CJK SC"/>
        <family val="2"/>
      </rPr>
      <t>증가지만</t>
    </r>
    <r>
      <rPr>
        <i/>
        <sz val="9"/>
        <color rgb="FF595959"/>
        <rFont val="Arial"/>
        <family val="2"/>
        <charset val="1"/>
      </rPr>
      <t xml:space="preserve">, 105kg </t>
    </r>
    <r>
      <rPr>
        <i/>
        <sz val="9"/>
        <color rgb="FF595959"/>
        <rFont val="Noto Sans CJK SC"/>
        <family val="2"/>
      </rPr>
      <t xml:space="preserve">데드에 </t>
    </r>
    <r>
      <rPr>
        <i/>
        <sz val="9"/>
        <color rgb="FF595959"/>
        <rFont val="Arial"/>
        <family val="2"/>
        <charset val="1"/>
      </rPr>
      <t>2.5kg</t>
    </r>
    <r>
      <rPr>
        <i/>
        <sz val="9"/>
        <color rgb="FF595959"/>
        <rFont val="Noto Sans CJK SC"/>
        <family val="2"/>
      </rPr>
      <t xml:space="preserve">은 </t>
    </r>
    <r>
      <rPr>
        <i/>
        <sz val="9"/>
        <color rgb="FF595959"/>
        <rFont val="Arial"/>
        <family val="2"/>
        <charset val="1"/>
      </rPr>
      <t>2.4%</t>
    </r>
    <r>
      <rPr>
        <i/>
        <sz val="9"/>
        <color rgb="FF595959"/>
        <rFont val="Noto Sans CJK SC"/>
        <family val="2"/>
      </rPr>
      <t>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</si>
  <si>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균일 증량을 쓰면 작은 종목만 비현실적으로 빨리 오르고 큰 종목은 제자리에 머문다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</si>
  <si>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하체 </t>
    </r>
    <r>
      <rPr>
        <i/>
        <sz val="9"/>
        <color rgb="FF595959"/>
        <rFont val="Arial"/>
        <family val="2"/>
        <charset val="1"/>
      </rPr>
      <t>5kg</t>
    </r>
    <r>
      <rPr>
        <i/>
        <sz val="9"/>
        <color rgb="FF595959"/>
        <rFont val="Noto Sans CJK SC"/>
        <family val="2"/>
      </rPr>
      <t>이 커 보이지만 복귀 구간 첫 두세 달은 정상 범위다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근력을 새로 만드는 것이 아니라 되찾는 구간이기 때문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</si>
  <si>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이 속도가 버거워지면</t>
    </r>
    <r>
      <rPr>
        <i/>
        <sz val="9"/>
        <color rgb="FF595959"/>
        <rFont val="Arial"/>
        <family val="2"/>
        <charset val="1"/>
      </rPr>
      <t>(X</t>
    </r>
    <r>
      <rPr>
        <i/>
        <sz val="9"/>
        <color rgb="FF595959"/>
        <rFont val="Noto Sans CJK SC"/>
        <family val="2"/>
      </rPr>
      <t>가 반복되면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>해당 칸 숫자를 절반으로 내린다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</si>
  <si>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4"/>
        <rFont val="Arial"/>
        <family val="2"/>
        <charset val="1"/>
      </rPr>
      <t>9</t>
    </r>
    <r>
      <rPr>
        <b/>
        <sz val="14"/>
        <rFont val="Noto Sans CJK SC"/>
        <family val="2"/>
      </rPr>
      <t>월 이후 — 현장 복귀 시 조정</t>
    </r>
  </si>
  <si>
    <t>이 프로그램은 재택 = 생활 부하 0 전제. 현장 복귀 시 그대로 쓰면 과부하.</t>
  </si>
  <si>
    <t>부위 / 항목</t>
  </si>
  <si>
    <t>조정</t>
  </si>
  <si>
    <t>이유</t>
  </si>
  <si>
    <t>감축</t>
  </si>
  <si>
    <t>일이 하루 종일 채움 — 들고 · 당기고 · 버티는 동작 전부</t>
  </si>
  <si>
    <t>서 있기 · 걷기로 이미 볼륨 누적</t>
  </si>
  <si>
    <t>대폭 감축</t>
  </si>
  <si>
    <t>데드 주 1회 유지가 상한. 현장 일이 허리를 이미 소모시킴</t>
  </si>
  <si>
    <t>프레싱 (벤치 · 프레스)</t>
  </si>
  <si>
    <t>유지</t>
  </si>
  <si>
    <t>현장 일이 채워주지 않는 유일한 영역</t>
  </si>
  <si>
    <t>후면 삼각근 · 코어</t>
  </si>
  <si>
    <t>당기고 버티는 동작만으로는 안 채워짐</t>
  </si>
  <si>
    <t>빈도</t>
  </si>
  <si>
    <t>주 5회 → 주 3회</t>
  </si>
  <si>
    <r>
      <rPr>
        <sz val="10"/>
        <rFont val="Arial"/>
        <family val="2"/>
        <charset val="1"/>
      </rPr>
      <t>8</t>
    </r>
    <r>
      <rPr>
        <sz val="10"/>
        <rFont val="Noto Sans CJK SC"/>
        <family val="2"/>
      </rPr>
      <t>시간 근무 기준</t>
    </r>
    <r>
      <rPr>
        <sz val="10"/>
        <rFont val="Arial"/>
        <family val="2"/>
        <charset val="1"/>
      </rPr>
      <t>. 12</t>
    </r>
    <r>
      <rPr>
        <sz val="10"/>
        <rFont val="Noto Sans CJK SC"/>
        <family val="2"/>
      </rPr>
      <t>시간 근무일과 그 다음날은 회피</t>
    </r>
  </si>
  <si>
    <t>메인 리프트 배치</t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</si>
  <si>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 근무일 회피</t>
    </r>
  </si>
  <si>
    <t>허리가 안 돌아온 상태에서 치는 것이 가장 위험</t>
  </si>
  <si>
    <t>판단 기준</t>
  </si>
  <si>
    <t>다음 근무일 아침 허리 상태</t>
  </si>
  <si>
    <t>뻐근하면 그 주 무게가 과했던 것. 어떤 프로그램 표보다 정확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</si>
  <si>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같은 프로그램이라도 생활 부하에 따라 적정선이 움직인다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</si>
  <si>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지금은 쌓는 시기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복귀 후는 지키는 시기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</si>
  <si>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재택 기간에 근력 베이스를 만들어두면 복귀 후에는 유지 모드로만 가도 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</si>
  <si>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헬스보다 중요한 것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일하는 중간의 움직임</t>
    </r>
    <r>
      <rPr>
        <i/>
        <sz val="9"/>
        <color rgb="FF595959"/>
        <rFont val="Arial"/>
        <family val="2"/>
        <charset val="1"/>
      </rPr>
      <t>. 50</t>
    </r>
    <r>
      <rPr>
        <i/>
        <sz val="9"/>
        <color rgb="FF595959"/>
        <rFont val="Noto Sans CJK SC"/>
        <family val="2"/>
      </rPr>
      <t xml:space="preserve">분 앉으면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>분 일어나기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 xml:space="preserve">하루 </t>
    </r>
    <r>
      <rPr>
        <i/>
        <sz val="9"/>
        <color rgb="FF595959"/>
        <rFont val="Arial"/>
        <family val="2"/>
        <charset val="1"/>
      </rPr>
      <t>30</t>
    </r>
    <r>
      <rPr>
        <i/>
        <sz val="9"/>
        <color rgb="FF595959"/>
        <rFont val="Noto Sans CJK SC"/>
        <family val="2"/>
      </rPr>
      <t>분 걷기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</si>
  <si>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헬스는 하루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 xml:space="preserve">시간이고 앉아 있는 건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>시간 — 총량으로 보면 앉은 시간이 이긴다</t>
    </r>
    <r>
      <rPr>
        <i/>
        <sz val="9"/>
        <color rgb="FF595959"/>
        <rFont val="Arial"/>
        <family val="2"/>
        <charset val="1"/>
      </rPr>
      <t>.</t>
    </r>
  </si>
  <si>
    <t>→ 실제 요일 배치와 종목표는 '복귀_주간계획' 이하 4개 탭에 작성됨.</t>
  </si>
  <si>
    <t>현장 복귀 버전 — 주간 계획</t>
  </si>
  <si>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 xml:space="preserve">시간 근무 주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또는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</t>
    </r>
    <r>
      <rPr>
        <i/>
        <sz val="9"/>
        <color rgb="FF595959"/>
        <rFont val="Arial"/>
        <family val="2"/>
        <charset val="1"/>
      </rPr>
      <t xml:space="preserve">) · </t>
    </r>
    <r>
      <rPr>
        <i/>
        <sz val="9"/>
        <color rgb="FF595959"/>
        <rFont val="Noto Sans CJK SC"/>
        <family val="2"/>
      </rPr>
      <t xml:space="preserve">나머지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 xml:space="preserve">시간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토요일 오전 근무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일요일 휴무</t>
    </r>
  </si>
  <si>
    <t>훈련 주 3회 — 화 · 토 · 일</t>
  </si>
  <si>
    <t>근무 (패턴 A: 수·목)</t>
  </si>
  <si>
    <t>근무 (패턴 B: 목·금)</t>
  </si>
  <si>
    <t>훈련</t>
  </si>
  <si>
    <t>비고</t>
  </si>
  <si>
    <r>
      <rPr>
        <sz val="10"/>
        <rFont val="Arial"/>
        <family val="2"/>
        <charset val="1"/>
      </rPr>
      <t>8</t>
    </r>
    <r>
      <rPr>
        <sz val="10"/>
        <rFont val="Noto Sans CJK SC"/>
        <family val="2"/>
      </rPr>
      <t>시간</t>
    </r>
  </si>
  <si>
    <t>주말 이틀 연속 훈련 뒤 회복일</t>
  </si>
  <si>
    <t>상체 밀기</t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</si>
  <si>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 근무 구간 직전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프레싱은 현장 일과 회복 경쟁 없음</t>
    </r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</si>
  <si>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</t>
    </r>
  </si>
  <si>
    <t>패턴에 따라 12시간 — 양쪽 다 안전한 날이 아님</t>
  </si>
  <si>
    <t>양 패턴 공통 12시간</t>
  </si>
  <si>
    <t>패턴 A라도 전날이 12시간이라 회복 미완</t>
  </si>
  <si>
    <t>오전</t>
  </si>
  <si>
    <t>오전 근무 후. 다음날 완충 있음</t>
  </si>
  <si>
    <t>휴무</t>
  </si>
  <si>
    <t>완전 휴무일 — 데드리프트를 여기에 배치</t>
  </si>
  <si>
    <t>요일 선정 논리</t>
  </si>
  <si>
    <r>
      <rPr>
        <i/>
        <sz val="9"/>
        <color rgb="FF595959"/>
        <rFont val="Arial"/>
        <family val="2"/>
        <charset val="1"/>
      </rPr>
      <t>· 12</t>
    </r>
    <r>
      <rPr>
        <i/>
        <sz val="9"/>
        <color rgb="FF595959"/>
        <rFont val="Noto Sans CJK SC"/>
        <family val="2"/>
      </rPr>
      <t>시간 근무가 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또는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금으로 걸리므로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양 패턴 모두 안전한 날은 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일뿐이다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</si>
  <si>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금요일은 패턴 </t>
    </r>
    <r>
      <rPr>
        <i/>
        <sz val="9"/>
        <color rgb="FF595959"/>
        <rFont val="Arial"/>
        <family val="2"/>
        <charset val="1"/>
      </rPr>
      <t>A</t>
    </r>
    <r>
      <rPr>
        <i/>
        <sz val="9"/>
        <color rgb="FF595959"/>
        <rFont val="Noto Sans CJK SC"/>
        <family val="2"/>
      </rPr>
      <t xml:space="preserve">에서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 xml:space="preserve">시간이지만 전날이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시간이라 회복이 안 된 상태 — 제외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</si>
  <si>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월요일은 일요일 훈련 직후라 회복일로 비운다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</si>
  <si>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패턴이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금으로 바뀌어도 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일은 영향받지 않는다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이것이 이 조합을 고른 이유</t>
    </r>
    <r>
      <rPr>
        <i/>
        <sz val="9"/>
        <color rgb="FF595959"/>
        <rFont val="Arial"/>
        <family val="2"/>
        <charset val="1"/>
      </rPr>
      <t>.</t>
    </r>
  </si>
  <si>
    <t>종목 배치 논리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</si>
  <si>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화요일에 상체 밀기 — 다음이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 근무 구간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프레싱은 현장 일이 쓰지 않는 영역이라 겹치지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</si>
  <si>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여기에 등이나 하체를 두면 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근무를 망친다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</si>
  <si>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토요일에 하체 — 오전 근무 후이나 다음날 일요일이 완충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</si>
  <si>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일요일에 등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>데드 — 완전 휴무일이라 전날 밤 회복 후 시작하고 하루가 통째로 남는다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</si>
  <si>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스쿼트</t>
    </r>
    <r>
      <rPr>
        <i/>
        <sz val="9"/>
        <color rgb="FF595959"/>
        <rFont val="Arial"/>
        <family val="2"/>
        <charset val="1"/>
      </rPr>
      <t xml:space="preserve">) → </t>
    </r>
    <r>
      <rPr>
        <i/>
        <sz val="9"/>
        <color rgb="FF595959"/>
        <rFont val="Noto Sans CJK SC"/>
        <family val="2"/>
      </rPr>
      <t>일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데드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>순서가 그 반대보다 낫다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데드 다음날 스쿼트는 허리가 안 받쳐준다</t>
    </r>
    <r>
      <rPr>
        <i/>
        <sz val="9"/>
        <color rgb="FF595959"/>
        <rFont val="Arial"/>
        <family val="2"/>
        <charset val="1"/>
      </rPr>
      <t>.</t>
    </r>
  </si>
  <si>
    <t>재택 버전과의 차이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</si>
  <si>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108</t>
    </r>
    <r>
      <rPr>
        <i/>
        <sz val="9"/>
        <color rgb="FF595959"/>
        <rFont val="Noto Sans CJK SC"/>
        <family val="2"/>
      </rPr>
      <t xml:space="preserve">세트 → 주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47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(56% </t>
    </r>
    <r>
      <rPr>
        <i/>
        <sz val="9"/>
        <color rgb="FF595959"/>
        <rFont val="Noto Sans CJK SC"/>
        <family val="2"/>
      </rPr>
      <t>감축</t>
    </r>
    <r>
      <rPr>
        <i/>
        <sz val="9"/>
        <color rgb="FF595959"/>
        <rFont val="Arial"/>
        <family val="2"/>
        <charset val="1"/>
      </rPr>
      <t>)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</si>
  <si>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등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하체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기립근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전완 감축 — 현장 일이 하루 종일 채우는 부위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</si>
  <si>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프레싱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어깨 후면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코어 유지 — 현장 일이 채우지 않는 부위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</si>
  <si>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팔 전용 종목 삭제 — 그립은 현장에서 온종일 쓰고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이두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삼두는 프레싱 간접으로 충분</t>
    </r>
  </si>
  <si>
    <t>화요일 — 상체 밀기 (8시간 근무 후)</t>
  </si>
  <si>
    <t>현장 일이 채워주지 않는 유일한 영역. 감축의 예외 — 재택 버전과 거의 동일하게 유지한다.</t>
  </si>
  <si>
    <t>복귀 시 재설정</t>
  </si>
  <si>
    <t>최우선 종목. 현장 복귀 후에도 유지</t>
  </si>
  <si>
    <t>스미스 벤치 / 체스트 프레스 머신</t>
  </si>
  <si>
    <t>좌우 독립 + 가동범위</t>
  </si>
  <si>
    <t>해머스트렝스 체스트 프레스</t>
  </si>
  <si>
    <t>인클라인 스미스 / 인클라인 덤벨 프레스</t>
  </si>
  <si>
    <t>간접 자극이 0인 부위 — 직접 세트로만 채워짐</t>
  </si>
  <si>
    <t>케이블 레터럴 레이즈</t>
  </si>
  <si>
    <t>현장 자세가 앞으로 말리므로 오히려 더 필요해짐</t>
  </si>
  <si>
    <t>리버스 펙덱</t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</si>
  <si>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배치 이유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</si>
  <si>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다음이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 근무 구간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또는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인데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프레싱은 현장 일이 쓰지 않는 영역이라 겹치지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</si>
  <si>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여기에 등이나 하체를 두면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 근무일을 망친다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 자리는 상체 밀기 전용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</si>
  <si>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실패지점은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회 남기고 종료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재택 버전</t>
    </r>
    <r>
      <rPr>
        <i/>
        <sz val="9"/>
        <color rgb="FF595959"/>
        <rFont val="Arial"/>
        <family val="2"/>
        <charset val="1"/>
      </rPr>
      <t>(2~3</t>
    </r>
    <r>
      <rPr>
        <i/>
        <sz val="9"/>
        <color rgb="FF595959"/>
        <rFont val="Noto Sans CJK SC"/>
        <family val="2"/>
      </rPr>
      <t>회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보다 한 단계 더 보수적으로</t>
    </r>
    <r>
      <rPr>
        <i/>
        <sz val="9"/>
        <color rgb="FF595959"/>
        <rFont val="Arial"/>
        <family val="2"/>
        <charset val="1"/>
      </rPr>
      <t>.</t>
    </r>
  </si>
  <si>
    <t>토요일 — 하체 (오전 근무 후)</t>
  </si>
  <si>
    <t>다음날 일요일이 완충. 다만 일요일에 데드가 있으므로 기립근 부하를 의도적으로 낮춘다.</t>
  </si>
  <si>
    <t>재택 5×5 → 3×5로 감축. 서 있기·걷기로 하체 볼륨이 이미 누적됨</t>
  </si>
  <si>
    <t>레그 프레스 (허리 부담 시 1순위) / 스미스 스쿼트</t>
  </si>
  <si>
    <t>다음날 데드가 있으므로 무게는 보수적으로</t>
  </si>
  <si>
    <t>케이블 풀스루 (허리 부담 최소)</t>
  </si>
  <si>
    <t>척추 부하 없음</t>
  </si>
  <si>
    <t>라잉 / 시티드 레그 컬</t>
  </si>
  <si>
    <t>스탠딩 / 시티드 카프 레이즈 머신</t>
  </si>
  <si>
    <t>수직 프레싱 — 현장 일이 채우지 않는 영역</t>
  </si>
  <si>
    <t>숄더 프레스 머신 / 덤벨 숄더 프레스</t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</si>
  <si>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허리가 부담되면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</si>
  <si>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스쿼트를 레그 프레스로 교체하면 기립근이 완전히 빠져 다음날 데드가 온전히 나온다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</si>
  <si>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 연속은 이상적이지 않으나 이 근무 스케줄에서는 다른 선택지가 없다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스쿼트를 </t>
    </r>
    <r>
      <rPr>
        <i/>
        <sz val="9"/>
        <color rgb="FF595959"/>
        <rFont val="Arial"/>
        <family val="2"/>
        <charset val="1"/>
      </rPr>
      <t>3×5</t>
    </r>
    <r>
      <rPr>
        <i/>
        <sz val="9"/>
        <color rgb="FF595959"/>
        <rFont val="Noto Sans CJK SC"/>
        <family val="2"/>
      </rPr>
      <t>로 낮춘 것이 그 보정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</si>
  <si>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스쿼트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 xml:space="preserve">) → </t>
    </r>
    <r>
      <rPr>
        <i/>
        <sz val="9"/>
        <color rgb="FF595959"/>
        <rFont val="Noto Sans CJK SC"/>
        <family val="2"/>
      </rPr>
      <t>데드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일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>순서가 그 반대보다 낫다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데드 다음날 스쿼트는 허리가 받쳐주지 않는다</t>
    </r>
    <r>
      <rPr>
        <i/>
        <sz val="9"/>
        <color rgb="FF595959"/>
        <rFont val="Arial"/>
        <family val="2"/>
        <charset val="1"/>
      </rPr>
      <t>.</t>
    </r>
  </si>
  <si>
    <t>일요일 — 등 (완전 휴무일)</t>
  </si>
  <si>
    <t>완전 휴무일이라 회복된 상태에서 시작하고 하루가 통째로 남는다. 데드리프트는 반드시 이 날.</t>
  </si>
  <si>
    <r>
      <rPr>
        <sz val="10"/>
        <rFont val="Arial"/>
        <family val="2"/>
        <charset val="1"/>
      </rPr>
      <t>90~95</t>
    </r>
    <r>
      <rPr>
        <sz val="10"/>
        <rFont val="Noto Sans CJK SC"/>
        <family val="2"/>
      </rPr>
      <t>에서 재시작</t>
    </r>
  </si>
  <si>
    <t>재택 105kg에서 하향. 복귀 첫 몇 주는 적응 기간 — 여기서 무리하면 확실히 탈이 난다</t>
  </si>
  <si>
    <t>트랩바 데드 (요추 전단력 ↓) / 랙풀</t>
  </si>
  <si>
    <t>바벨 로우</t>
  </si>
  <si>
    <t>재택 4세트 → 3세트</t>
  </si>
  <si>
    <t>체스트 서포티드 로우 · 티바 로우 (허리 부담 제거)</t>
  </si>
  <si>
    <t>친업</t>
  </si>
  <si>
    <t>어시스트 풀업 머신 / 랫풀다운</t>
  </si>
  <si>
    <t>수직 당기기 유지</t>
  </si>
  <si>
    <t>원암 랫풀다운 / 케이블 풀오버</t>
  </si>
  <si>
    <t>현장 자세가 견갑골을 올리고 앞으로 말므로 유지</t>
  </si>
  <si>
    <t>케이블 Y 레이즈 / 페이스풀</t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</si>
  <si>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데드리프트 운용 규칙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</si>
  <si>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무게는 재택 </t>
    </r>
    <r>
      <rPr>
        <i/>
        <sz val="9"/>
        <color rgb="FF595959"/>
        <rFont val="Arial"/>
        <family val="2"/>
        <charset val="1"/>
      </rPr>
      <t>105kg</t>
    </r>
    <r>
      <rPr>
        <i/>
        <sz val="9"/>
        <color rgb="FF595959"/>
        <rFont val="Noto Sans CJK SC"/>
        <family val="2"/>
      </rPr>
      <t>을 그대로 이어가지 말 것</t>
    </r>
    <r>
      <rPr>
        <i/>
        <sz val="9"/>
        <color rgb="FF595959"/>
        <rFont val="Arial"/>
        <family val="2"/>
        <charset val="1"/>
      </rPr>
      <t>. 90~95kg</t>
    </r>
    <r>
      <rPr>
        <i/>
        <sz val="9"/>
        <color rgb="FF595959"/>
        <rFont val="Noto Sans CJK SC"/>
        <family val="2"/>
      </rPr>
      <t>에서 재시작해 다시 올린다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</si>
  <si>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다음날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월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 xml:space="preserve">이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>시간 근무라 완충이 하루뿐이다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>회</t>
    </r>
    <r>
      <rPr>
        <i/>
        <sz val="9"/>
        <color rgb="FF595959"/>
        <rFont val="Arial"/>
        <family val="2"/>
        <charset val="1"/>
      </rPr>
      <t>, 1</t>
    </r>
    <r>
      <rPr>
        <i/>
        <sz val="9"/>
        <color rgb="FF595959"/>
        <rFont val="Noto Sans CJK SC"/>
        <family val="2"/>
      </rPr>
      <t>세트를 넘기지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</si>
  <si>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허리가 무거운 주에는 트랩바로 바꾸거나 건너뛴다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건너뛰는 것이 규율이지 나태가 아니다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</si>
  <si>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등 볼륨을 유지한 이유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</si>
  <si>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>· 8</t>
    </r>
    <r>
      <rPr>
        <i/>
        <sz val="9"/>
        <color rgb="FF595959"/>
        <rFont val="Noto Sans CJK SC"/>
        <family val="2"/>
      </rPr>
      <t>시간 근무일 저녁이라면 등은 잘라야 하지만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완전 휴무일이면 얘기가 다르다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</si>
  <si>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광배 </t>
    </r>
    <r>
      <rPr>
        <i/>
        <sz val="9"/>
        <color rgb="FF595959"/>
        <rFont val="Arial"/>
        <family val="2"/>
        <charset val="1"/>
      </rPr>
      <t>9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 xml:space="preserve">현장 일의 상시 부하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>실질은 충분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재택 버전 </t>
    </r>
    <r>
      <rPr>
        <i/>
        <sz val="9"/>
        <color rgb="FF595959"/>
        <rFont val="Arial"/>
        <family val="2"/>
        <charset val="1"/>
      </rPr>
      <t>11</t>
    </r>
    <r>
      <rPr>
        <i/>
        <sz val="9"/>
        <color rgb="FF595959"/>
        <rFont val="Noto Sans CJK SC"/>
        <family val="2"/>
      </rPr>
      <t>세트에서 소폭만 감축했다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</si>
  <si>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단</t>
    </r>
    <r>
      <rPr>
        <i/>
        <sz val="9"/>
        <color rgb="FF595959"/>
        <rFont val="Arial"/>
        <family val="2"/>
        <charset val="1"/>
      </rPr>
      <t>, 12</t>
    </r>
    <r>
      <rPr>
        <i/>
        <sz val="9"/>
        <color rgb="FF595959"/>
        <rFont val="Noto Sans CJK SC"/>
        <family val="2"/>
      </rPr>
      <t>시간 근무일 바로 다음날이 일요일이 되는 주에는 데드를 빼거나 트랩바로 대체할 것</t>
    </r>
    <r>
      <rPr>
        <i/>
        <sz val="9"/>
        <color rgb="FF595959"/>
        <rFont val="Arial"/>
        <family val="2"/>
        <charset val="1"/>
      </rPr>
      <t>.</t>
    </r>
  </si>
  <si>
    <t>현장 복귀 버전 — 증량 및 판단 기준</t>
  </si>
  <si>
    <t>재택 버전의 주 2.5kg 선형 증량은 현장 일과 병행할 수 없다.</t>
  </si>
  <si>
    <t>항목</t>
  </si>
  <si>
    <t>재택 버전</t>
  </si>
  <si>
    <t>복귀 버전</t>
  </si>
  <si>
    <t>주 5회</t>
  </si>
  <si>
    <t>주 3회 (화·토·일)</t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</si>
  <si>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 근무일과 그 다음날을 피하면 남는 날이 화</t>
    </r>
    <r>
      <rPr>
        <sz val="10"/>
        <rFont val="Arial"/>
        <family val="2"/>
        <charset val="1"/>
      </rPr>
      <t>·</t>
    </r>
    <r>
      <rPr>
        <sz val="10"/>
        <rFont val="Noto Sans CJK SC"/>
        <family val="2"/>
      </rPr>
      <t>토</t>
    </r>
    <r>
      <rPr>
        <sz val="10"/>
        <rFont val="Arial"/>
        <family val="2"/>
        <charset val="1"/>
      </rPr>
      <t>·</t>
    </r>
    <r>
      <rPr>
        <sz val="10"/>
        <rFont val="Noto Sans CJK SC"/>
        <family val="2"/>
      </rPr>
      <t>일뿐</t>
    </r>
  </si>
  <si>
    <t>총 세트</t>
  </si>
  <si>
    <r>
      <rPr>
        <sz val="10"/>
        <rFont val="Arial"/>
        <family val="2"/>
        <charset val="1"/>
      </rPr>
      <t>108</t>
    </r>
    <r>
      <rPr>
        <sz val="10"/>
        <rFont val="Noto Sans CJK SC"/>
        <family val="2"/>
      </rPr>
      <t>세트</t>
    </r>
  </si>
  <si>
    <t>약 47세트</t>
  </si>
  <si>
    <t>현장 일이 등·하체·기립근·전완에 하루치를 얹는다</t>
  </si>
  <si>
    <t>증량 주기</t>
  </si>
  <si>
    <t>매주</t>
  </si>
  <si>
    <r>
      <rPr>
        <sz val="10"/>
        <rFont val="Arial"/>
        <family val="2"/>
        <charset val="1"/>
      </rPr>
      <t>2</t>
    </r>
    <r>
      <rPr>
        <sz val="10"/>
        <rFont val="Noto Sans CJK SC"/>
        <family val="2"/>
      </rPr>
      <t xml:space="preserve">주에 </t>
    </r>
    <r>
      <rPr>
        <sz val="10"/>
        <rFont val="Arial"/>
        <family val="2"/>
        <charset val="1"/>
      </rPr>
      <t>1</t>
    </r>
    <r>
      <rPr>
        <sz val="10"/>
        <rFont val="Noto Sans CJK SC"/>
        <family val="2"/>
      </rPr>
      <t>회</t>
    </r>
  </si>
  <si>
    <t>매주 증량은 회복이 따라오지 못한다</t>
  </si>
  <si>
    <t>증량 폭</t>
  </si>
  <si>
    <t>하체 2.5 / 상체 2.25</t>
  </si>
  <si>
    <t>1.25kg</t>
  </si>
  <si>
    <t>마이크로플레이트 활용</t>
  </si>
  <si>
    <t>실패지점</t>
  </si>
  <si>
    <r>
      <rPr>
        <sz val="10"/>
        <rFont val="Arial"/>
        <family val="2"/>
        <charset val="1"/>
      </rPr>
      <t>2~3</t>
    </r>
    <r>
      <rPr>
        <sz val="10"/>
        <rFont val="Noto Sans CJK SC"/>
        <family val="2"/>
      </rPr>
      <t>회 남기고</t>
    </r>
  </si>
  <si>
    <r>
      <rPr>
        <sz val="10"/>
        <rFont val="Arial"/>
        <family val="2"/>
        <charset val="1"/>
      </rPr>
      <t>3~4</t>
    </r>
    <r>
      <rPr>
        <sz val="10"/>
        <rFont val="Noto Sans CJK SC"/>
        <family val="2"/>
      </rPr>
      <t>회 남기고</t>
    </r>
  </si>
  <si>
    <t>다음날 현장에서 청구서로 돌아온다</t>
  </si>
  <si>
    <t>105kg 1×5</t>
  </si>
  <si>
    <t>90~95kg 1×5</t>
  </si>
  <si>
    <t>복귀 첫 몇 주는 적응 기간</t>
  </si>
  <si>
    <t>5×5</t>
  </si>
  <si>
    <t>3×5</t>
  </si>
  <si>
    <t>서 있기·걷기로 하체 볼륨이 이미 누적</t>
  </si>
  <si>
    <t>팔 전용 종목</t>
  </si>
  <si>
    <r>
      <rPr>
        <sz val="10"/>
        <rFont val="Arial"/>
        <family val="2"/>
        <charset val="1"/>
      </rPr>
      <t>6</t>
    </r>
    <r>
      <rPr>
        <sz val="10"/>
        <rFont val="Noto Sans CJK SC"/>
        <family val="2"/>
      </rPr>
      <t>세트</t>
    </r>
  </si>
  <si>
    <r>
      <rPr>
        <sz val="10"/>
        <rFont val="Arial"/>
        <family val="2"/>
        <charset val="1"/>
      </rPr>
      <t>0</t>
    </r>
    <r>
      <rPr>
        <sz val="10"/>
        <rFont val="Noto Sans CJK SC"/>
        <family val="2"/>
      </rPr>
      <t>세트</t>
    </r>
  </si>
  <si>
    <t>그립은 현장에서 온종일 사용. 이두·삼두는 프레싱 간접으로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</si>
  <si>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유일한 지표는 다음 근무일 아침의 허리 상태다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</si>
  <si>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뻐근하면 그 주 무게가 과했던 것 — 다음 주에 내린다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어떤 프로그램 표보다 정확하다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</si>
  <si>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몸 상태가 안 좋은 날은 건너뛴다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회 중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회만 가는 주가 있어도 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</si>
  <si>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그것은 의지박약이 아니라 그 상황에서의 규율이다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</si>
  <si>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12</t>
    </r>
    <r>
      <rPr>
        <i/>
        <sz val="9"/>
        <color rgb="FF595959"/>
        <rFont val="Noto Sans CJK SC"/>
        <family val="2"/>
      </rPr>
      <t>시간 근무일이 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목인지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금인지에 관계없이 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 배치는 유효하다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</si>
  <si>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다만 근무 패턴이 이 두 가지에서 벗어나면 요일부터 다시 짜야 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</si>
  <si>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복귀 후의 목표는 성장이 아니라 유지다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재택 기간에 쌓은 근력 베이스를 지키는 것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</si>
  <si>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쌓는 시기와 지키는 시기는 다르게 설계해야 한다</t>
    </r>
    <r>
      <rPr>
        <i/>
        <sz val="9"/>
        <color rgb="FF595959"/>
        <rFont val="Arial"/>
        <family val="2"/>
        <charset val="1"/>
      </rPr>
      <t>.</t>
    </r>
  </si>
  <si>
    <t>원본에 종아리 종목이 전무했음. 3→4세트 증량 (RP MEV 대조) — 무릎 편 스탠딩 계열로, 토요일 시티드와 구분</t>
    <phoneticPr fontId="20" type="noConversion"/>
  </si>
  <si>
    <t>서로 회복 경쟁이 없는 조합. 그 주 가장 가벼운 세션. 순서: 둔근 → 팔 → 복부 → 종아리</t>
    <phoneticPr fontId="20" type="noConversion"/>
  </si>
  <si>
    <t>시티드 카프 레이즈</t>
  </si>
  <si>
    <t>신규 추가 (RP 볼륨 대조 — 주 3세트는 MEV 미달). 무릎을 굽히면 비복근이 느슨해져 가자미근이 주도 — 금요일 스탠딩과 역할이 다름. 금 4세트와 합쳐 주 8세트</t>
  </si>
  <si>
    <t>시티드 카프 레이즈 머신 (1순위) / 레그 프레스에서 무릎 굽힌 채 발끝으로 밀기 / 덤벨을 무릎에 올리고 발뒤꿈치 들기 (집에서) / 머신이 없으면 스탠딩으로 하되 금요일과 각도를 다르게</t>
  </si>
  <si>
    <t>종아리 추가 (2026-08 · RP 볼륨 대조)</t>
    <phoneticPr fontId="20" type="noConversion"/>
  </si>
  <si>
    <t>· 주 3세트는 유지 하한(8세트) 미달 — 검산표에서 유일한 실질 미달 부위였다. 금 카프 4 + 토 시티드 4 = 주 8세트.</t>
  </si>
  <si>
    <t>· 스탠딩(무릎 폄)은 비복근, 시티드(무릎 굽힘)는 가자미근 주도 — 둘을 나눠야 종아리 전체가 커버된다.</t>
  </si>
  <si>
    <t>금 스탠딩 4 · 토 시티드 4 — 무릎 각도로 비복근/가자미근 분담 (2026-08 보강)</t>
    <phoneticPr fontId="20" type="noConversion"/>
  </si>
  <si>
    <t>· 종아리 보강 완료 (2026-08): 금 카프 4 + 토 시티드 카프 4 = 주 8세트 — 유지 하한 충족. 더 키우려면 10세트부터.</t>
    <phoneticPr fontId="20" type="noConversion"/>
  </si>
  <si>
    <t>둔근 · 이두 · 삼두 · 복부 · 종아리</t>
    <phoneticPr fontId="20" type="noConversion"/>
  </si>
  <si>
    <t>약 60분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</si>
</sst>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1"/>
    </font>
    <font>
      <b/>
      <sz val="14"/>
      <name val="Noto Sans CJK SC"/>
      <family val="2"/>
      <charset val="1"/>
    </font>
    <font>
      <i/>
      <sz val="9"/>
      <color rgb="FF595959"/>
      <name val="Noto Sans CJK SC"/>
      <family val="2"/>
      <charset val="1"/>
    </font>
    <font>
      <b/>
      <sz val="11"/>
      <name val="Noto Sans CJK SC"/>
      <family val="2"/>
      <charset val="1"/>
    </font>
    <font>
      <sz val="10"/>
      <color rgb="FF0000FF"/>
      <name val="Arial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FFFFFF"/>
      <name val="Noto Sans CJK SC"/>
      <family val="2"/>
    </font>
    <font>
      <sz val="10"/>
      <name val="Noto Sans CJK SC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Noto Sans CJK SC"/>
      <family val="2"/>
    </font>
    <font>
      <i/>
      <sz val="9"/>
      <color rgb="FF595959"/>
      <name val="Arial"/>
      <family val="2"/>
      <charset val="1"/>
    </font>
    <font>
      <b/>
      <sz val="11"/>
      <name val="Arial"/>
      <family val="2"/>
      <charset val="1"/>
    </font>
    <font>
      <b/>
      <sz val="11"/>
      <name val="Noto Sans CJK SC"/>
      <family val="2"/>
    </font>
    <font>
      <i/>
      <sz val="9"/>
      <color rgb="FF595959"/>
      <name val="Noto Sans CJK SC"/>
      <family val="2"/>
    </font>
    <font>
      <b/>
      <sz val="10"/>
      <name val="Noto Sans CJK SC"/>
      <family val="2"/>
    </font>
    <font>
      <b/>
      <sz val="10"/>
      <name val="Noto Sans CJK SC"/>
      <family val="2"/>
      <charset val="1"/>
    </font>
    <font>
      <b/>
      <sz val="14"/>
      <name val="Arial"/>
      <family val="2"/>
      <charset val="1"/>
    </font>
    <font>
      <b/>
      <sz val="14"/>
      <name val="Noto Sans CJK SC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33300"/>
      </patternFill>
    </fill>
    <fill>
      <patternFill patternType="solid">
        <fgColor rgb="FFE2EFDA"/>
        <bgColor rgb="FFD9D9D9"/>
      </patternFill>
    </fill>
    <fill>
      <patternFill patternType="solid">
        <fgColor rgb="FFD9D9D9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3" fillId="0" borderId="0" xfId="0" applyFont="1"/>
    <xf numFmtId="0" fontId="10" fillId="4" borderId="1" xfId="0" applyFont="1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2" fontId="9" fillId="2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0" fontId="17" fillId="0" borderId="0" xfId="0" applyFont="1"/>
    <xf numFmtId="0" fontId="2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7" fillId="5" borderId="1" xfId="0" applyFont="1" applyFill="1" applyBorder="1"/>
    <xf numFmtId="0" fontId="0" fillId="5" borderId="1" xfId="0" applyFill="1" applyBorder="1"/>
    <xf numFmtId="0" fontId="10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8" fillId="0" borderId="0" xfId="0" applyFont="1"/>
    <xf numFmtId="0" fontId="4" fillId="0" borderId="1" xfId="0" applyFont="1" applyBorder="1" applyAlignment="1">
      <alignment horizontal="left" vertical="center" wrapText="1"/>
    </xf>
    <xf numFmtId="0" fontId="18" fillId="0" borderId="0" xfId="0" applyFont="1"/>
    <xf numFmtId="0" fontId="12" fillId="0" borderId="0" xfId="0" applyFont="1"/>
    <xf numFmtId="0" fontId="8" fillId="5" borderId="1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zoomScaleNormal="100" workbookViewId="0">
      <selection activeCell="C5" sqref="C5"/>
    </sheetView>
  </sheetViews>
  <sheetFormatPr defaultColWidth="8.7109375" defaultRowHeight="15"/>
  <cols>
    <col min="1" max="1" width="18" customWidth="1"/>
    <col min="2" max="2" width="14" customWidth="1"/>
    <col min="3" max="6" width="16" customWidth="1"/>
  </cols>
  <sheetData>
    <row r="1" spans="1:6" ht="21" customHeight="1">
      <c r="A1" s="1" t="s">
        <v>0</v>
      </c>
    </row>
    <row r="2" spans="1:6" ht="15" customHeight="1">
      <c r="A2" s="2" t="s">
        <v>1</v>
      </c>
    </row>
    <row r="4" spans="1:6" ht="15" customHeight="1">
      <c r="A4" s="3" t="s">
        <v>2</v>
      </c>
      <c r="C4" s="4">
        <v>1</v>
      </c>
      <c r="D4" s="2" t="s">
        <v>3</v>
      </c>
    </row>
    <row r="6" spans="1:6" ht="15" customHeight="1">
      <c r="A6" s="5" t="s">
        <v>4</v>
      </c>
      <c r="B6" s="6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spans="1:6" ht="15" customHeight="1">
      <c r="A7" s="7" t="s">
        <v>10</v>
      </c>
      <c r="B7" s="7">
        <v>92.5</v>
      </c>
      <c r="C7" s="8">
        <f>MAX(20,MROUND(B7*0.4,2.5))</f>
        <v>37.5</v>
      </c>
      <c r="D7" s="4">
        <v>37.5</v>
      </c>
      <c r="E7" s="9">
        <f>INDEX(증량기록!$C$10:$C$21,$C$4)</f>
        <v>37.5</v>
      </c>
      <c r="F7" s="8" t="s">
        <v>11</v>
      </c>
    </row>
    <row r="8" spans="1:6" ht="15" customHeight="1">
      <c r="A8" s="7" t="s">
        <v>12</v>
      </c>
      <c r="B8" s="7">
        <v>105</v>
      </c>
      <c r="C8" s="8">
        <f>MAX(20,MROUND(B8*0.4,2.5))</f>
        <v>42.5</v>
      </c>
      <c r="D8" s="4">
        <v>42.5</v>
      </c>
      <c r="E8" s="9">
        <f>INDEX(증량기록!$E$10:$E$21,$C$4)</f>
        <v>42.5</v>
      </c>
      <c r="F8" s="8" t="s">
        <v>13</v>
      </c>
    </row>
    <row r="9" spans="1:6" ht="15" customHeight="1">
      <c r="A9" s="7" t="s">
        <v>14</v>
      </c>
      <c r="B9" s="7">
        <v>47.25</v>
      </c>
      <c r="C9" s="8">
        <f>MAX(20,MROUND(B9*0.4,2.5))</f>
        <v>20</v>
      </c>
      <c r="D9" s="4">
        <v>20</v>
      </c>
      <c r="E9" s="9">
        <f>INDEX(증량기록!$G$10:$G$21,$C$4)</f>
        <v>20</v>
      </c>
      <c r="F9" s="8" t="s">
        <v>11</v>
      </c>
    </row>
    <row r="10" spans="1:6" ht="15" customHeight="1">
      <c r="A10" s="7" t="s">
        <v>15</v>
      </c>
      <c r="B10" s="7">
        <v>40</v>
      </c>
      <c r="C10" s="8">
        <f>MAX(20,MROUND(B10*0.4,2.5))</f>
        <v>20</v>
      </c>
      <c r="D10" s="4">
        <v>20</v>
      </c>
      <c r="E10" s="9">
        <f>INDEX(증량기록!$I$10:$I$21,$C$4)</f>
        <v>20</v>
      </c>
      <c r="F10" s="8" t="s">
        <v>16</v>
      </c>
    </row>
    <row r="11" spans="1:6" ht="15" customHeight="1">
      <c r="D11" s="10" t="s">
        <v>17</v>
      </c>
    </row>
    <row r="12" spans="1:6" ht="15" customHeight="1">
      <c r="A12" s="11"/>
    </row>
    <row r="13" spans="1:6" ht="32.25" customHeight="1">
      <c r="A13" s="12" t="s">
        <v>18</v>
      </c>
    </row>
    <row r="14" spans="1:6" ht="51.75" customHeight="1">
      <c r="A14" s="11" t="s">
        <v>19</v>
      </c>
    </row>
    <row r="15" spans="1:6" ht="51.75" customHeight="1">
      <c r="A15" s="11" t="s">
        <v>20</v>
      </c>
    </row>
    <row r="16" spans="1:6" ht="64.5" customHeight="1">
      <c r="A16" s="11" t="s">
        <v>21</v>
      </c>
    </row>
    <row r="17" spans="1:1" ht="51.75" customHeight="1">
      <c r="A17" s="11" t="s">
        <v>22</v>
      </c>
    </row>
    <row r="18" spans="1:1" ht="51.75" customHeight="1">
      <c r="A18" s="11"/>
    </row>
    <row r="19" spans="1:1" ht="15" customHeight="1">
      <c r="A19" s="12" t="s">
        <v>23</v>
      </c>
    </row>
    <row r="20" spans="1:1" ht="77.25" customHeight="1">
      <c r="A20" s="11" t="s">
        <v>24</v>
      </c>
    </row>
    <row r="21" spans="1:1" ht="51.75" customHeight="1">
      <c r="A21" s="11" t="s">
        <v>25</v>
      </c>
    </row>
    <row r="22" spans="1:1" ht="15" customHeight="1">
      <c r="A22" s="11" t="s">
        <v>26</v>
      </c>
    </row>
    <row r="23" spans="1:1" ht="16.5" customHeight="1">
      <c r="A23" s="11" t="s">
        <v>27</v>
      </c>
    </row>
    <row r="24" spans="1:1" ht="51.75" customHeight="1">
      <c r="A24" s="11" t="s">
        <v>28</v>
      </c>
    </row>
    <row r="25" spans="1:1" ht="39" customHeight="1">
      <c r="A25" s="11"/>
    </row>
    <row r="26" spans="1:1" ht="64.5" customHeight="1">
      <c r="A26" s="11" t="s">
        <v>29</v>
      </c>
    </row>
    <row r="27" spans="1:1" ht="15" customHeight="1">
      <c r="A27" s="11" t="s">
        <v>30</v>
      </c>
    </row>
    <row r="28" spans="1:1" ht="60" customHeight="1">
      <c r="A28" s="11"/>
    </row>
    <row r="29" spans="1:1" ht="51.75" customHeight="1">
      <c r="A29" s="13" t="s">
        <v>31</v>
      </c>
    </row>
    <row r="30" spans="1:1" ht="51.75" customHeight="1">
      <c r="A30" s="11" t="s">
        <v>32</v>
      </c>
    </row>
    <row r="31" spans="1:1" ht="64.5" customHeight="1">
      <c r="A31" s="11" t="s">
        <v>33</v>
      </c>
    </row>
    <row r="32" spans="1:1" ht="64.5" customHeight="1">
      <c r="A32" s="11" t="s">
        <v>34</v>
      </c>
    </row>
    <row r="33" spans="1:5" ht="15" customHeight="1">
      <c r="A33" s="11"/>
    </row>
    <row r="34" spans="1:5" ht="51.75" customHeight="1">
      <c r="A34" s="11" t="s">
        <v>35</v>
      </c>
    </row>
    <row r="35" spans="1:5" ht="64.5" customHeight="1">
      <c r="A35" s="11" t="s">
        <v>36</v>
      </c>
    </row>
    <row r="36" spans="1:5" ht="26.25" customHeight="1">
      <c r="A36" s="11" t="s">
        <v>37</v>
      </c>
    </row>
    <row r="38" spans="1:5" ht="16.5" customHeight="1">
      <c r="A38" s="14" t="s">
        <v>38</v>
      </c>
    </row>
    <row r="39" spans="1:5" ht="15" customHeight="1">
      <c r="A39" s="5" t="s">
        <v>39</v>
      </c>
      <c r="B39" s="5" t="s">
        <v>10</v>
      </c>
      <c r="C39" s="5" t="s">
        <v>12</v>
      </c>
      <c r="D39" s="5" t="s">
        <v>14</v>
      </c>
      <c r="E39" s="5" t="s">
        <v>15</v>
      </c>
    </row>
    <row r="40" spans="1:5" ht="15" customHeight="1">
      <c r="A40" s="15" t="s">
        <v>40</v>
      </c>
      <c r="B40" s="9">
        <f>증량기록!C10</f>
        <v>37.5</v>
      </c>
      <c r="C40" s="9">
        <f>증량기록!E10</f>
        <v>42.5</v>
      </c>
      <c r="D40" s="9">
        <f>증량기록!G10</f>
        <v>20</v>
      </c>
      <c r="E40" s="9">
        <f>증량기록!I10</f>
        <v>20</v>
      </c>
    </row>
    <row r="41" spans="1:5" ht="15" customHeight="1">
      <c r="A41" s="8" t="s">
        <v>41</v>
      </c>
      <c r="B41" s="16">
        <f>증량기록!C11</f>
        <v>42.5</v>
      </c>
      <c r="C41" s="16">
        <f>증량기록!E11</f>
        <v>47.5</v>
      </c>
      <c r="D41" s="16">
        <f>증량기록!G11</f>
        <v>22.25</v>
      </c>
      <c r="E41" s="16">
        <f>증량기록!I11</f>
        <v>21.25</v>
      </c>
    </row>
    <row r="42" spans="1:5" ht="15" customHeight="1">
      <c r="A42" s="8" t="s">
        <v>42</v>
      </c>
      <c r="B42" s="16">
        <f>증량기록!C12</f>
        <v>47.5</v>
      </c>
      <c r="C42" s="16">
        <f>증량기록!E12</f>
        <v>52.5</v>
      </c>
      <c r="D42" s="16">
        <f>증량기록!G12</f>
        <v>24.5</v>
      </c>
      <c r="E42" s="16">
        <f>증량기록!I12</f>
        <v>22.5</v>
      </c>
    </row>
    <row r="43" spans="1:5" ht="15" customHeight="1">
      <c r="A43" s="8" t="s">
        <v>43</v>
      </c>
      <c r="B43" s="16">
        <f>증량기록!C13</f>
        <v>52.5</v>
      </c>
      <c r="C43" s="16">
        <f>증량기록!E13</f>
        <v>57.5</v>
      </c>
      <c r="D43" s="16">
        <f>증량기록!G13</f>
        <v>26.75</v>
      </c>
      <c r="E43" s="16">
        <f>증량기록!I13</f>
        <v>23.75</v>
      </c>
    </row>
    <row r="44" spans="1:5" ht="15" customHeight="1">
      <c r="A44" s="8" t="s">
        <v>44</v>
      </c>
      <c r="B44" s="16">
        <f>증량기록!C14</f>
        <v>57.5</v>
      </c>
      <c r="C44" s="16">
        <f>증량기록!E14</f>
        <v>62.5</v>
      </c>
      <c r="D44" s="16">
        <f>증량기록!G14</f>
        <v>29</v>
      </c>
      <c r="E44" s="16">
        <f>증량기록!I14</f>
        <v>25</v>
      </c>
    </row>
    <row r="45" spans="1:5" ht="15" customHeight="1">
      <c r="A45" s="8" t="s">
        <v>45</v>
      </c>
      <c r="B45" s="16">
        <f>증량기록!C15</f>
        <v>62.5</v>
      </c>
      <c r="C45" s="16">
        <f>증량기록!E15</f>
        <v>67.5</v>
      </c>
      <c r="D45" s="16">
        <f>증량기록!G15</f>
        <v>31.25</v>
      </c>
      <c r="E45" s="16">
        <f>증량기록!I15</f>
        <v>26.25</v>
      </c>
    </row>
    <row r="46" spans="1:5" ht="15" customHeight="1">
      <c r="A46" s="8" t="s">
        <v>46</v>
      </c>
      <c r="B46" s="16">
        <f>증량기록!C16</f>
        <v>67.5</v>
      </c>
      <c r="C46" s="16">
        <f>증량기록!E16</f>
        <v>72.5</v>
      </c>
      <c r="D46" s="16">
        <f>증량기록!G16</f>
        <v>33.5</v>
      </c>
      <c r="E46" s="16">
        <f>증량기록!I16</f>
        <v>27.5</v>
      </c>
    </row>
    <row r="47" spans="1:5" ht="15" customHeight="1">
      <c r="A47" s="8" t="s">
        <v>47</v>
      </c>
      <c r="B47" s="16">
        <f>증량기록!C17</f>
        <v>72.5</v>
      </c>
      <c r="C47" s="16">
        <f>증량기록!E17</f>
        <v>77.5</v>
      </c>
      <c r="D47" s="16">
        <f>증량기록!G17</f>
        <v>35.75</v>
      </c>
      <c r="E47" s="16">
        <f>증량기록!I17</f>
        <v>28.75</v>
      </c>
    </row>
    <row r="48" spans="1:5" ht="15" customHeight="1">
      <c r="A48" s="8" t="s">
        <v>48</v>
      </c>
      <c r="B48" s="16">
        <f>증량기록!C18</f>
        <v>77.5</v>
      </c>
      <c r="C48" s="16">
        <f>증량기록!E18</f>
        <v>82.5</v>
      </c>
      <c r="D48" s="16">
        <f>증량기록!G18</f>
        <v>38</v>
      </c>
      <c r="E48" s="16">
        <f>증량기록!I18</f>
        <v>30</v>
      </c>
    </row>
    <row r="49" spans="1:5" ht="15" customHeight="1">
      <c r="A49" s="8" t="s">
        <v>49</v>
      </c>
      <c r="B49" s="16">
        <f>증량기록!C19</f>
        <v>82.5</v>
      </c>
      <c r="C49" s="16">
        <f>증량기록!E19</f>
        <v>87.5</v>
      </c>
      <c r="D49" s="16">
        <f>증량기록!G19</f>
        <v>40.25</v>
      </c>
      <c r="E49" s="16">
        <f>증량기록!I19</f>
        <v>31.25</v>
      </c>
    </row>
    <row r="50" spans="1:5" ht="15" customHeight="1">
      <c r="A50" s="8" t="s">
        <v>50</v>
      </c>
      <c r="B50" s="16">
        <f>증량기록!C20</f>
        <v>87.5</v>
      </c>
      <c r="C50" s="16">
        <f>증량기록!E20</f>
        <v>92.5</v>
      </c>
      <c r="D50" s="16">
        <f>증량기록!G20</f>
        <v>42.5</v>
      </c>
      <c r="E50" s="16">
        <f>증량기록!I20</f>
        <v>32.5</v>
      </c>
    </row>
    <row r="51" spans="1:5" ht="15" customHeight="1">
      <c r="A51" s="8" t="s">
        <v>51</v>
      </c>
      <c r="B51" s="16">
        <f>증량기록!C21</f>
        <v>92.5</v>
      </c>
      <c r="C51" s="16">
        <f>증량기록!E21</f>
        <v>97.5</v>
      </c>
      <c r="D51" s="16">
        <f>증량기록!G21</f>
        <v>44.75</v>
      </c>
      <c r="E51" s="16">
        <f>증량기록!I21</f>
        <v>33.75</v>
      </c>
    </row>
    <row r="53" spans="1:5" ht="51.75" customHeight="1">
      <c r="A53" s="11" t="s">
        <v>52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zoomScaleNormal="100" workbookViewId="0"/>
  </sheetViews>
  <sheetFormatPr defaultColWidth="8.7109375" defaultRowHeight="15"/>
  <cols>
    <col min="1" max="1" width="12" customWidth="1"/>
    <col min="2" max="2" width="22" customWidth="1"/>
    <col min="3" max="3" width="30" customWidth="1"/>
    <col min="4" max="5" width="12" customWidth="1"/>
  </cols>
  <sheetData>
    <row r="1" spans="1:5" ht="18" customHeight="1">
      <c r="A1" s="1" t="s">
        <v>53</v>
      </c>
    </row>
    <row r="2" spans="1:5" ht="15" customHeight="1">
      <c r="A2" s="2" t="s">
        <v>54</v>
      </c>
    </row>
    <row r="4" spans="1:5" ht="15" customHeight="1">
      <c r="A4" s="5" t="s">
        <v>55</v>
      </c>
      <c r="B4" s="5" t="s">
        <v>56</v>
      </c>
      <c r="C4" s="17" t="s">
        <v>57</v>
      </c>
      <c r="D4" s="5" t="s">
        <v>58</v>
      </c>
      <c r="E4" s="5" t="s">
        <v>59</v>
      </c>
    </row>
    <row r="5" spans="1:5" ht="15" customHeight="1">
      <c r="A5" s="7" t="s">
        <v>60</v>
      </c>
      <c r="B5" s="7" t="s">
        <v>61</v>
      </c>
      <c r="C5" s="18" t="s">
        <v>62</v>
      </c>
      <c r="D5" s="7">
        <f>월_가슴!$E$25</f>
        <v>18</v>
      </c>
      <c r="E5" s="7" t="s">
        <v>63</v>
      </c>
    </row>
    <row r="6" spans="1:5" ht="15" customHeight="1">
      <c r="A6" s="7" t="s">
        <v>64</v>
      </c>
      <c r="B6" s="7" t="s">
        <v>65</v>
      </c>
      <c r="C6" s="18" t="s">
        <v>66</v>
      </c>
      <c r="D6" s="7">
        <f>화_어깨!$E$27</f>
        <v>22</v>
      </c>
      <c r="E6" s="7" t="s">
        <v>67</v>
      </c>
    </row>
    <row r="7" spans="1:5" ht="15" customHeight="1">
      <c r="A7" s="7" t="s">
        <v>68</v>
      </c>
      <c r="B7" s="7" t="s">
        <v>69</v>
      </c>
      <c r="C7" s="18" t="s">
        <v>70</v>
      </c>
      <c r="D7" s="7">
        <f>수_등!$E$20</f>
        <v>21</v>
      </c>
      <c r="E7" s="7" t="s">
        <v>67</v>
      </c>
    </row>
    <row r="8" spans="1:5" ht="15" customHeight="1">
      <c r="A8" s="19" t="s">
        <v>71</v>
      </c>
      <c r="B8" s="19" t="s">
        <v>72</v>
      </c>
      <c r="C8" s="20" t="s">
        <v>73</v>
      </c>
      <c r="D8" s="19">
        <v>0</v>
      </c>
      <c r="E8" s="21" t="s">
        <v>73</v>
      </c>
    </row>
    <row r="9" spans="1:5" ht="15" customHeight="1">
      <c r="A9" s="7" t="s">
        <v>74</v>
      </c>
      <c r="B9" s="7" t="s">
        <v>75</v>
      </c>
      <c r="C9" s="18" t="s">
        <v>76</v>
      </c>
      <c r="D9" s="7">
        <f>금_하체!$E$19</f>
        <v>23</v>
      </c>
      <c r="E9" s="7" t="s">
        <v>77</v>
      </c>
    </row>
    <row r="10" spans="1:5" ht="15" customHeight="1">
      <c r="A10" s="7" t="s">
        <v>78</v>
      </c>
      <c r="B10" s="7" t="s">
        <v>79</v>
      </c>
      <c r="C10" s="18" t="s">
        <v>574</v>
      </c>
      <c r="D10" s="7">
        <f>토_둔근팔복부!$E$21</f>
        <v>35</v>
      </c>
      <c r="E10" s="7" t="s">
        <v>575</v>
      </c>
    </row>
    <row r="11" spans="1:5" ht="15" customHeight="1">
      <c r="A11" s="19" t="s">
        <v>80</v>
      </c>
      <c r="B11" s="19" t="s">
        <v>72</v>
      </c>
      <c r="C11" s="20" t="s">
        <v>73</v>
      </c>
      <c r="D11" s="19">
        <v>0</v>
      </c>
      <c r="E11" s="21" t="s">
        <v>73</v>
      </c>
    </row>
    <row r="12" spans="1:5" ht="15" customHeight="1">
      <c r="A12" s="22" t="s">
        <v>81</v>
      </c>
      <c r="B12" s="22"/>
      <c r="C12" s="23"/>
      <c r="D12" s="22">
        <f>SUM(D5:D11)</f>
        <v>119</v>
      </c>
      <c r="E12" s="22"/>
    </row>
    <row r="14" spans="1:5" ht="16.5" customHeight="1">
      <c r="A14" s="13" t="s">
        <v>82</v>
      </c>
    </row>
    <row r="15" spans="1:5" ht="89.25" customHeight="1">
      <c r="A15" s="24" t="s">
        <v>83</v>
      </c>
    </row>
    <row r="16" spans="1:5" ht="76.5" customHeight="1">
      <c r="A16" s="24" t="s">
        <v>84</v>
      </c>
    </row>
    <row r="17" spans="1:1" ht="38.25" customHeight="1">
      <c r="A17" s="24" t="s">
        <v>85</v>
      </c>
    </row>
    <row r="18" spans="1:1" ht="114.75" customHeight="1">
      <c r="A18" s="24" t="s">
        <v>86</v>
      </c>
    </row>
    <row r="21" spans="1:1" ht="15" customHeight="1">
      <c r="A21" s="3" t="s">
        <v>87</v>
      </c>
    </row>
    <row r="22" spans="1:1" ht="15" customHeight="1">
      <c r="A22" s="2" t="s">
        <v>88</v>
      </c>
    </row>
    <row r="23" spans="1:1" ht="15" customHeight="1">
      <c r="A23" s="2" t="s">
        <v>89</v>
      </c>
    </row>
    <row r="24" spans="1:1" ht="15" customHeight="1">
      <c r="A24" s="2" t="s">
        <v>90</v>
      </c>
    </row>
    <row r="28" spans="1:1" ht="79.5" customHeight="1">
      <c r="A28" s="13" t="s">
        <v>91</v>
      </c>
    </row>
    <row r="29" spans="1:1" ht="64.5" customHeight="1">
      <c r="A29" s="11" t="s">
        <v>92</v>
      </c>
    </row>
    <row r="30" spans="1:1" ht="90" customHeight="1">
      <c r="A30" s="11" t="s">
        <v>93</v>
      </c>
    </row>
    <row r="31" spans="1:1" ht="102.75" customHeight="1">
      <c r="A31" s="11" t="s">
        <v>94</v>
      </c>
    </row>
    <row r="32" spans="1:1" ht="100.5" customHeight="1">
      <c r="A32" s="11" t="s">
        <v>95</v>
      </c>
    </row>
    <row r="33" spans="1:1" ht="15" customHeight="1">
      <c r="A33" s="11"/>
    </row>
    <row r="34" spans="1:1" ht="90" customHeight="1">
      <c r="A34" s="11" t="s">
        <v>96</v>
      </c>
    </row>
    <row r="35" spans="1:1" ht="51.75" customHeight="1">
      <c r="A35" s="11" t="s">
        <v>97</v>
      </c>
    </row>
    <row r="36" spans="1:1" ht="77.25" customHeight="1">
      <c r="A36" s="11" t="s">
        <v>98</v>
      </c>
    </row>
    <row r="37" spans="1:1" ht="64.5" customHeight="1">
      <c r="A37" s="11" t="s">
        <v>99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"/>
  <sheetViews>
    <sheetView topLeftCell="A14" zoomScaleNormal="100" workbookViewId="0">
      <selection activeCell="H25" sqref="H25"/>
    </sheetView>
  </sheetViews>
  <sheetFormatPr defaultColWidth="8.7109375" defaultRowHeight="15"/>
  <cols>
    <col min="1" max="1" width="8.140625" customWidth="1"/>
    <col min="2" max="2" width="30" customWidth="1"/>
    <col min="3" max="3" width="18" customWidth="1"/>
    <col min="4" max="4" width="12" customWidth="1"/>
    <col min="5" max="5" width="8" customWidth="1"/>
    <col min="6" max="6" width="12" customWidth="1"/>
    <col min="7" max="7" width="18" customWidth="1"/>
    <col min="8" max="8" width="42" customWidth="1"/>
    <col min="9" max="9" width="72" customWidth="1"/>
  </cols>
  <sheetData>
    <row r="1" spans="1:3" ht="18" customHeight="1">
      <c r="A1" s="1" t="s">
        <v>100</v>
      </c>
    </row>
    <row r="3" spans="1:3" ht="16.5" customHeight="1">
      <c r="A3" s="3" t="s">
        <v>101</v>
      </c>
    </row>
    <row r="4" spans="1:3" ht="15" customHeight="1">
      <c r="A4" s="5" t="s">
        <v>102</v>
      </c>
      <c r="B4" s="5" t="s">
        <v>103</v>
      </c>
      <c r="C4" s="5" t="s">
        <v>104</v>
      </c>
    </row>
    <row r="5" spans="1:3" ht="15" customHeight="1">
      <c r="A5" s="8">
        <f>MAX(20,MROUND(시작중량_설정!$E$9*0.4,2.5))</f>
        <v>20</v>
      </c>
      <c r="B5" s="7">
        <v>5</v>
      </c>
      <c r="C5" s="7">
        <v>2</v>
      </c>
    </row>
    <row r="6" spans="1:3" ht="15" customHeight="1">
      <c r="A6" s="8" t="str">
        <f>IF(MAX(20,MROUND(시작중량_설정!$E$9*0.6,2.5))&lt;=MAX(20,MROUND(시작중량_설정!$E$9*0.4,2.5)),"생략",MAX(20,MROUND(시작중량_설정!$E$9*0.6,2.5)))</f>
        <v>생략</v>
      </c>
      <c r="B6" s="7">
        <v>5</v>
      </c>
      <c r="C6" s="7">
        <v>1</v>
      </c>
    </row>
    <row r="7" spans="1:3" ht="15" customHeight="1">
      <c r="A7" s="8" t="str">
        <f>IF(MAX(20,MROUND(시작중량_설정!$E$9*0.75,2.5))&lt;=MAX(20,MROUND(시작중량_설정!$E$9*0.6,2.5)),"생략",MAX(20,MROUND(시작중량_설정!$E$9*0.75,2.5)))</f>
        <v>생략</v>
      </c>
      <c r="B7" s="7">
        <v>3</v>
      </c>
      <c r="C7" s="7">
        <v>1</v>
      </c>
    </row>
    <row r="8" spans="1:3" ht="15" customHeight="1">
      <c r="A8" s="8" t="str">
        <f>IF(MAX(20,MROUND(시작중량_설정!$E$9*0.9,2.5))&lt;=MAX(20,MROUND(시작중량_설정!$E$9*0.75,2.5)),"생략",MAX(20,MROUND(시작중량_설정!$E$9*0.9,2.5)))</f>
        <v>생략</v>
      </c>
      <c r="B8" s="7">
        <v>2</v>
      </c>
      <c r="C8" s="7">
        <v>1</v>
      </c>
    </row>
    <row r="9" spans="1:3" ht="15" customHeight="1">
      <c r="A9" s="25">
        <f>시작중량_설정!$E$9</f>
        <v>20</v>
      </c>
      <c r="B9" s="4">
        <v>5</v>
      </c>
      <c r="C9" s="4">
        <v>5</v>
      </c>
    </row>
    <row r="10" spans="1:3" ht="252.75" customHeight="1">
      <c r="A10" s="11" t="s">
        <v>105</v>
      </c>
    </row>
    <row r="11" spans="1:3" ht="15" customHeight="1">
      <c r="A11" s="3" t="s">
        <v>106</v>
      </c>
    </row>
    <row r="12" spans="1:3" ht="15" customHeight="1">
      <c r="A12" s="11" t="s">
        <v>107</v>
      </c>
    </row>
    <row r="13" spans="1:3" ht="25.5" customHeight="1">
      <c r="A13" s="11" t="s">
        <v>108</v>
      </c>
    </row>
    <row r="14" spans="1:3" ht="15" customHeight="1">
      <c r="A14" s="11" t="s">
        <v>109</v>
      </c>
    </row>
    <row r="15" spans="1:3" ht="25.5" customHeight="1">
      <c r="A15" s="11" t="s">
        <v>110</v>
      </c>
    </row>
    <row r="16" spans="1:3" ht="15" customHeight="1">
      <c r="A16" s="11" t="s">
        <v>111</v>
      </c>
    </row>
    <row r="17" spans="1:9" ht="15" customHeight="1"/>
    <row r="18" spans="1:9" ht="15" customHeight="1">
      <c r="A18" s="3" t="s">
        <v>112</v>
      </c>
    </row>
    <row r="19" spans="1:9" ht="77.25" customHeight="1">
      <c r="A19" s="6" t="s">
        <v>113</v>
      </c>
      <c r="B19" s="5" t="s">
        <v>4</v>
      </c>
      <c r="C19" s="5" t="s">
        <v>114</v>
      </c>
      <c r="D19" s="5" t="s">
        <v>102</v>
      </c>
      <c r="E19" s="5" t="s">
        <v>104</v>
      </c>
      <c r="F19" s="5" t="s">
        <v>115</v>
      </c>
      <c r="G19" s="5" t="s">
        <v>116</v>
      </c>
      <c r="H19" s="5" t="s">
        <v>117</v>
      </c>
      <c r="I19" s="5" t="s">
        <v>118</v>
      </c>
    </row>
    <row r="20" spans="1:9" ht="48" customHeight="1">
      <c r="A20" s="26">
        <v>1</v>
      </c>
      <c r="B20" s="27" t="s">
        <v>119</v>
      </c>
      <c r="C20" s="28" t="s">
        <v>120</v>
      </c>
      <c r="D20" s="29">
        <f>시작중량_설정!$E$9</f>
        <v>20</v>
      </c>
      <c r="E20" s="28">
        <v>5</v>
      </c>
      <c r="F20" s="26" t="s">
        <v>121</v>
      </c>
      <c r="G20" s="27" t="s">
        <v>122</v>
      </c>
      <c r="H20" s="27" t="s">
        <v>123</v>
      </c>
      <c r="I20" s="18" t="s">
        <v>124</v>
      </c>
    </row>
    <row r="21" spans="1:9" ht="43.5" customHeight="1">
      <c r="A21" s="7">
        <v>2</v>
      </c>
      <c r="B21" s="18" t="s">
        <v>125</v>
      </c>
      <c r="C21" s="7" t="s">
        <v>120</v>
      </c>
      <c r="D21" s="8" t="s">
        <v>126</v>
      </c>
      <c r="E21" s="7">
        <v>3</v>
      </c>
      <c r="F21" s="8" t="s">
        <v>127</v>
      </c>
      <c r="G21" s="18" t="s">
        <v>128</v>
      </c>
      <c r="H21" s="18" t="s">
        <v>129</v>
      </c>
      <c r="I21" s="18" t="s">
        <v>130</v>
      </c>
    </row>
    <row r="22" spans="1:9" ht="48.75" customHeight="1">
      <c r="A22" s="7">
        <v>3</v>
      </c>
      <c r="B22" s="18" t="s">
        <v>131</v>
      </c>
      <c r="C22" s="7" t="s">
        <v>132</v>
      </c>
      <c r="D22" s="8" t="s">
        <v>133</v>
      </c>
      <c r="E22" s="7">
        <v>3</v>
      </c>
      <c r="F22" s="8" t="s">
        <v>134</v>
      </c>
      <c r="G22" s="18" t="s">
        <v>128</v>
      </c>
      <c r="H22" s="18"/>
      <c r="I22" s="18" t="s">
        <v>135</v>
      </c>
    </row>
    <row r="23" spans="1:9" ht="33.75" customHeight="1">
      <c r="A23" s="7">
        <v>4</v>
      </c>
      <c r="B23" s="18" t="s">
        <v>136</v>
      </c>
      <c r="C23" s="7" t="s">
        <v>132</v>
      </c>
      <c r="D23" s="8" t="s">
        <v>137</v>
      </c>
      <c r="E23" s="7">
        <v>4</v>
      </c>
      <c r="F23" s="8" t="s">
        <v>138</v>
      </c>
      <c r="G23" s="18"/>
      <c r="H23" s="18" t="s">
        <v>139</v>
      </c>
      <c r="I23" s="18" t="s">
        <v>140</v>
      </c>
    </row>
    <row r="24" spans="1:9" ht="15" customHeight="1">
      <c r="A24" s="7">
        <v>5</v>
      </c>
      <c r="B24" s="18" t="s">
        <v>141</v>
      </c>
      <c r="C24" s="7" t="s">
        <v>120</v>
      </c>
      <c r="D24" s="7" t="s">
        <v>142</v>
      </c>
      <c r="E24" s="7">
        <v>3</v>
      </c>
      <c r="F24" s="8" t="s">
        <v>134</v>
      </c>
      <c r="G24" s="18" t="s">
        <v>128</v>
      </c>
      <c r="H24" s="18" t="s">
        <v>143</v>
      </c>
      <c r="I24" s="18" t="s">
        <v>144</v>
      </c>
    </row>
    <row r="25" spans="1:9" ht="38.25" customHeight="1">
      <c r="D25" s="30" t="s">
        <v>145</v>
      </c>
      <c r="E25" s="22">
        <f>SUM(E20:E24)</f>
        <v>18</v>
      </c>
    </row>
    <row r="26" spans="1:9" ht="305.25" customHeight="1"/>
    <row r="27" spans="1:9" ht="278.25" customHeight="1">
      <c r="A27" s="11" t="s">
        <v>146</v>
      </c>
    </row>
    <row r="28" spans="1:9" ht="141" customHeight="1">
      <c r="A28" s="11" t="s">
        <v>147</v>
      </c>
    </row>
    <row r="29" spans="1:9" ht="265.5" customHeight="1">
      <c r="A29" s="11" t="s">
        <v>148</v>
      </c>
    </row>
    <row r="30" spans="1:9" ht="330.75" customHeight="1">
      <c r="A30" s="11" t="s">
        <v>149</v>
      </c>
    </row>
    <row r="31" spans="1:9" ht="15" customHeight="1">
      <c r="A31" s="31"/>
    </row>
    <row r="32" spans="1:9" ht="328.5" customHeight="1">
      <c r="A32" s="13" t="s">
        <v>150</v>
      </c>
    </row>
    <row r="33" spans="1:1" ht="168">
      <c r="A33" s="11" t="s">
        <v>151</v>
      </c>
    </row>
    <row r="34" spans="1:1" ht="144">
      <c r="A34" s="11" t="s">
        <v>152</v>
      </c>
    </row>
    <row r="35" spans="1:1" ht="84">
      <c r="A35" s="11" t="s">
        <v>153</v>
      </c>
    </row>
    <row r="36" spans="1:1" ht="144">
      <c r="A36" s="11" t="s">
        <v>154</v>
      </c>
    </row>
    <row r="37" spans="1:1" ht="180">
      <c r="A37" s="11" t="s">
        <v>155</v>
      </c>
    </row>
    <row r="38" spans="1:1">
      <c r="A38" s="31"/>
    </row>
    <row r="39" spans="1:1" ht="204">
      <c r="A39" s="11" t="s">
        <v>156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8"/>
  <sheetViews>
    <sheetView topLeftCell="A14" zoomScaleNormal="100" workbookViewId="0">
      <selection activeCell="I28" sqref="I28"/>
    </sheetView>
  </sheetViews>
  <sheetFormatPr defaultColWidth="8.7109375" defaultRowHeight="15"/>
  <cols>
    <col min="1" max="1" width="7.42578125" customWidth="1"/>
    <col min="2" max="2" width="30" customWidth="1"/>
    <col min="3" max="3" width="18" customWidth="1"/>
    <col min="4" max="4" width="12" customWidth="1"/>
    <col min="5" max="5" width="8" customWidth="1"/>
    <col min="6" max="6" width="12" customWidth="1"/>
    <col min="7" max="7" width="18" customWidth="1"/>
    <col min="8" max="8" width="42" customWidth="1"/>
    <col min="9" max="9" width="72" customWidth="1"/>
  </cols>
  <sheetData>
    <row r="1" spans="1:3" ht="18" customHeight="1">
      <c r="A1" s="1" t="s">
        <v>157</v>
      </c>
    </row>
    <row r="3" spans="1:3" ht="16.5" customHeight="1">
      <c r="A3" s="3" t="s">
        <v>158</v>
      </c>
    </row>
    <row r="4" spans="1:3" ht="15" customHeight="1">
      <c r="A4" s="5" t="s">
        <v>102</v>
      </c>
      <c r="B4" s="5" t="s">
        <v>103</v>
      </c>
      <c r="C4" s="5" t="s">
        <v>104</v>
      </c>
    </row>
    <row r="5" spans="1:3" ht="15" customHeight="1">
      <c r="A5" s="8">
        <f>MAX(20,MROUND(시작중량_설정!$E$10*0.4,2.5))</f>
        <v>20</v>
      </c>
      <c r="B5" s="7">
        <v>5</v>
      </c>
      <c r="C5" s="7">
        <v>2</v>
      </c>
    </row>
    <row r="6" spans="1:3" ht="15" customHeight="1">
      <c r="A6" s="8" t="str">
        <f>IF(MAX(20,MROUND(시작중량_설정!$E$10*0.6,2.5))&lt;=MAX(20,MROUND(시작중량_설정!$E$10*0.4,2.5)),"생략",MAX(20,MROUND(시작중량_설정!$E$10*0.6,2.5)))</f>
        <v>생략</v>
      </c>
      <c r="B6" s="7">
        <v>5</v>
      </c>
      <c r="C6" s="7">
        <v>1</v>
      </c>
    </row>
    <row r="7" spans="1:3" ht="15" customHeight="1">
      <c r="A7" s="8" t="str">
        <f>IF(MAX(20,MROUND(시작중량_설정!$E$10*0.75,2.5))&lt;=MAX(20,MROUND(시작중량_설정!$E$10*0.6,2.5)),"생략",MAX(20,MROUND(시작중량_설정!$E$10*0.75,2.5)))</f>
        <v>생략</v>
      </c>
      <c r="B7" s="7">
        <v>3</v>
      </c>
      <c r="C7" s="7">
        <v>1</v>
      </c>
    </row>
    <row r="8" spans="1:3" ht="15" customHeight="1">
      <c r="A8" s="8" t="str">
        <f>IF(MAX(20,MROUND(시작중량_설정!$E$10*0.9,2.5))&lt;=MAX(20,MROUND(시작중량_설정!$E$10*0.75,2.5)),"생략",MAX(20,MROUND(시작중량_설정!$E$10*0.9,2.5)))</f>
        <v>생략</v>
      </c>
      <c r="B8" s="7">
        <v>2</v>
      </c>
      <c r="C8" s="7">
        <v>1</v>
      </c>
    </row>
    <row r="9" spans="1:3" ht="15" customHeight="1">
      <c r="A9" s="25">
        <f>시작중량_설정!$E$10</f>
        <v>20</v>
      </c>
      <c r="B9" s="4">
        <v>5</v>
      </c>
      <c r="C9" s="4">
        <v>3</v>
      </c>
    </row>
    <row r="10" spans="1:3" ht="252.75" customHeight="1">
      <c r="A10" s="11" t="s">
        <v>105</v>
      </c>
    </row>
    <row r="11" spans="1:3" ht="15" customHeight="1">
      <c r="A11" s="3" t="s">
        <v>106</v>
      </c>
    </row>
    <row r="12" spans="1:3" ht="15" customHeight="1">
      <c r="A12" s="11" t="s">
        <v>107</v>
      </c>
    </row>
    <row r="13" spans="1:3" ht="15" customHeight="1">
      <c r="A13" s="11" t="s">
        <v>108</v>
      </c>
    </row>
    <row r="14" spans="1:3" ht="15" customHeight="1">
      <c r="A14" s="11" t="s">
        <v>109</v>
      </c>
    </row>
    <row r="15" spans="1:3" ht="15" customHeight="1">
      <c r="A15" s="11" t="s">
        <v>110</v>
      </c>
    </row>
    <row r="16" spans="1:3" ht="25.5" customHeight="1">
      <c r="A16" s="11" t="s">
        <v>111</v>
      </c>
    </row>
    <row r="17" spans="1:9" ht="15" customHeight="1"/>
    <row r="18" spans="1:9" ht="25.5" customHeight="1">
      <c r="A18" s="3" t="s">
        <v>112</v>
      </c>
    </row>
    <row r="19" spans="1:9" ht="25.5" customHeight="1">
      <c r="A19" s="6" t="s">
        <v>113</v>
      </c>
      <c r="B19" s="5" t="s">
        <v>4</v>
      </c>
      <c r="C19" s="5" t="s">
        <v>114</v>
      </c>
      <c r="D19" s="5" t="s">
        <v>102</v>
      </c>
      <c r="E19" s="5" t="s">
        <v>104</v>
      </c>
      <c r="F19" s="5" t="s">
        <v>115</v>
      </c>
      <c r="G19" s="5" t="s">
        <v>116</v>
      </c>
      <c r="H19" s="5" t="s">
        <v>117</v>
      </c>
      <c r="I19" s="5" t="s">
        <v>118</v>
      </c>
    </row>
    <row r="20" spans="1:9" ht="33.75" customHeight="1">
      <c r="A20" s="28">
        <v>1</v>
      </c>
      <c r="B20" s="27" t="s">
        <v>159</v>
      </c>
      <c r="C20" s="28" t="s">
        <v>160</v>
      </c>
      <c r="D20" s="29">
        <f>시작중량_설정!$E$10</f>
        <v>20</v>
      </c>
      <c r="E20" s="28">
        <v>3</v>
      </c>
      <c r="F20" s="26" t="s">
        <v>121</v>
      </c>
      <c r="G20" s="27" t="s">
        <v>128</v>
      </c>
      <c r="H20" s="27" t="s">
        <v>161</v>
      </c>
      <c r="I20" s="18" t="s">
        <v>162</v>
      </c>
    </row>
    <row r="21" spans="1:9" ht="51" customHeight="1">
      <c r="A21" s="7">
        <v>2</v>
      </c>
      <c r="B21" s="18" t="s">
        <v>163</v>
      </c>
      <c r="C21" s="7" t="s">
        <v>164</v>
      </c>
      <c r="D21" s="8" t="s">
        <v>134</v>
      </c>
      <c r="E21" s="7">
        <v>4</v>
      </c>
      <c r="F21" s="8" t="s">
        <v>137</v>
      </c>
      <c r="G21" s="18"/>
      <c r="H21" s="18"/>
      <c r="I21" s="18" t="s">
        <v>165</v>
      </c>
    </row>
    <row r="22" spans="1:9" ht="60" customHeight="1">
      <c r="A22" s="7">
        <v>3</v>
      </c>
      <c r="B22" s="18" t="s">
        <v>166</v>
      </c>
      <c r="C22" s="7" t="s">
        <v>167</v>
      </c>
      <c r="D22" s="8" t="s">
        <v>134</v>
      </c>
      <c r="E22" s="7">
        <v>4</v>
      </c>
      <c r="F22" s="8" t="s">
        <v>137</v>
      </c>
      <c r="G22" s="18"/>
      <c r="H22" s="18"/>
      <c r="I22" s="18" t="s">
        <v>168</v>
      </c>
    </row>
    <row r="23" spans="1:9" ht="46.5" customHeight="1">
      <c r="A23" s="7">
        <v>4</v>
      </c>
      <c r="B23" s="18" t="s">
        <v>169</v>
      </c>
      <c r="C23" s="7" t="s">
        <v>164</v>
      </c>
      <c r="D23" s="7">
        <v>15</v>
      </c>
      <c r="E23" s="7">
        <v>3</v>
      </c>
      <c r="F23" s="8" t="s">
        <v>170</v>
      </c>
      <c r="G23" s="18" t="s">
        <v>171</v>
      </c>
      <c r="H23" s="18" t="s">
        <v>172</v>
      </c>
      <c r="I23" s="18" t="s">
        <v>173</v>
      </c>
    </row>
    <row r="24" spans="1:9" ht="48" customHeight="1">
      <c r="A24" s="7">
        <v>5</v>
      </c>
      <c r="B24" s="32" t="s">
        <v>174</v>
      </c>
      <c r="C24" s="7" t="s">
        <v>167</v>
      </c>
      <c r="D24" s="8" t="s">
        <v>137</v>
      </c>
      <c r="E24" s="7">
        <v>3</v>
      </c>
      <c r="F24" s="8" t="s">
        <v>170</v>
      </c>
      <c r="G24" s="18" t="s">
        <v>175</v>
      </c>
      <c r="H24" s="18"/>
      <c r="I24" s="18" t="s">
        <v>176</v>
      </c>
    </row>
    <row r="25" spans="1:9" ht="15" customHeight="1">
      <c r="A25" s="7">
        <v>6</v>
      </c>
      <c r="B25" s="18" t="s">
        <v>177</v>
      </c>
      <c r="C25" s="7" t="s">
        <v>164</v>
      </c>
      <c r="D25" s="8" t="s">
        <v>134</v>
      </c>
      <c r="E25" s="7">
        <v>3</v>
      </c>
      <c r="F25" s="8" t="s">
        <v>138</v>
      </c>
      <c r="G25" s="18"/>
      <c r="H25" s="18" t="s">
        <v>178</v>
      </c>
      <c r="I25" s="18" t="s">
        <v>179</v>
      </c>
    </row>
    <row r="26" spans="1:9" ht="42" customHeight="1">
      <c r="A26" s="7">
        <v>7</v>
      </c>
      <c r="B26" s="18" t="s">
        <v>180</v>
      </c>
      <c r="C26" s="7" t="s">
        <v>181</v>
      </c>
      <c r="D26" s="8" t="s">
        <v>182</v>
      </c>
      <c r="E26" s="7">
        <v>2</v>
      </c>
      <c r="F26" s="8" t="s">
        <v>137</v>
      </c>
      <c r="G26" s="18" t="s">
        <v>183</v>
      </c>
      <c r="H26" s="18" t="s">
        <v>184</v>
      </c>
      <c r="I26" s="18" t="s">
        <v>185</v>
      </c>
    </row>
    <row r="27" spans="1:9" ht="57.75" customHeight="1">
      <c r="D27" s="30" t="s">
        <v>145</v>
      </c>
      <c r="E27" s="22">
        <f>SUM(E20:E26)</f>
        <v>22</v>
      </c>
    </row>
    <row r="28" spans="1:9" ht="276" customHeight="1"/>
    <row r="29" spans="1:9" ht="252" customHeight="1">
      <c r="A29" s="11" t="s">
        <v>186</v>
      </c>
    </row>
    <row r="30" spans="1:9" ht="240" customHeight="1">
      <c r="A30" s="11" t="s">
        <v>187</v>
      </c>
    </row>
    <row r="31" spans="1:9" ht="153" customHeight="1">
      <c r="A31" s="11" t="s">
        <v>188</v>
      </c>
    </row>
    <row r="32" spans="1:9" ht="156">
      <c r="A32" s="11" t="s">
        <v>189</v>
      </c>
    </row>
    <row r="33" spans="1:1">
      <c r="A33" s="11"/>
    </row>
    <row r="34" spans="1:1" ht="48">
      <c r="A34" s="31" t="s">
        <v>190</v>
      </c>
    </row>
    <row r="35" spans="1:1" ht="168">
      <c r="A35" s="11" t="s">
        <v>191</v>
      </c>
    </row>
    <row r="36" spans="1:1" ht="168">
      <c r="A36" s="11" t="s">
        <v>192</v>
      </c>
    </row>
    <row r="37" spans="1:1" ht="156">
      <c r="A37" s="11" t="s">
        <v>193</v>
      </c>
    </row>
    <row r="38" spans="1:1" ht="156">
      <c r="A38" s="11" t="s">
        <v>194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8"/>
  <sheetViews>
    <sheetView zoomScaleNormal="100" workbookViewId="0"/>
  </sheetViews>
  <sheetFormatPr defaultColWidth="8.7109375" defaultRowHeight="15"/>
  <cols>
    <col min="1" max="1" width="9.5703125" customWidth="1"/>
    <col min="2" max="2" width="30" customWidth="1"/>
    <col min="3" max="3" width="18" customWidth="1"/>
    <col min="4" max="4" width="12" customWidth="1"/>
    <col min="5" max="5" width="8" customWidth="1"/>
    <col min="6" max="6" width="12" customWidth="1"/>
    <col min="7" max="7" width="18" customWidth="1"/>
    <col min="8" max="8" width="42" customWidth="1"/>
    <col min="9" max="9" width="72" customWidth="1"/>
  </cols>
  <sheetData>
    <row r="1" spans="1:9" ht="18" customHeight="1">
      <c r="A1" s="1" t="s">
        <v>195</v>
      </c>
    </row>
    <row r="3" spans="1:9" ht="16.5" customHeight="1">
      <c r="A3" s="3" t="s">
        <v>196</v>
      </c>
    </row>
    <row r="4" spans="1:9" ht="15" customHeight="1">
      <c r="A4" s="5" t="s">
        <v>102</v>
      </c>
      <c r="B4" s="5" t="s">
        <v>103</v>
      </c>
      <c r="C4" s="5" t="s">
        <v>104</v>
      </c>
    </row>
    <row r="5" spans="1:9" ht="15" customHeight="1">
      <c r="A5" s="8">
        <f>MAX(20,MROUND(시작중량_설정!$E$8*0.4,2.5))</f>
        <v>20</v>
      </c>
      <c r="B5" s="7">
        <v>5</v>
      </c>
      <c r="C5" s="7">
        <v>2</v>
      </c>
    </row>
    <row r="6" spans="1:9" ht="15" customHeight="1">
      <c r="A6" s="8">
        <f>IF(MAX(20,MROUND(시작중량_설정!$E$8*0.6,2.5))&lt;=MAX(20,MROUND(시작중량_설정!$E$8*0.4,2.5)),"생략",MAX(20,MROUND(시작중량_설정!$E$8*0.6,2.5)))</f>
        <v>25</v>
      </c>
      <c r="B6" s="7">
        <v>5</v>
      </c>
      <c r="C6" s="7">
        <v>1</v>
      </c>
    </row>
    <row r="7" spans="1:9" ht="15" customHeight="1">
      <c r="A7" s="8">
        <f>IF(MAX(20,MROUND(시작중량_설정!$E$8*0.75,2.5))&lt;=MAX(20,MROUND(시작중량_설정!$E$8*0.6,2.5)),"생략",MAX(20,MROUND(시작중량_설정!$E$8*0.75,2.5)))</f>
        <v>32.5</v>
      </c>
      <c r="B7" s="7">
        <v>3</v>
      </c>
      <c r="C7" s="7">
        <v>1</v>
      </c>
    </row>
    <row r="8" spans="1:9" ht="15" customHeight="1">
      <c r="A8" s="8">
        <f>IF(MAX(20,MROUND(시작중량_설정!$E$8*0.9,2.5))&lt;=MAX(20,MROUND(시작중량_설정!$E$8*0.75,2.5)),"생략",MAX(20,MROUND(시작중량_설정!$E$8*0.9,2.5)))</f>
        <v>37.5</v>
      </c>
      <c r="B8" s="7">
        <v>2</v>
      </c>
      <c r="C8" s="7">
        <v>1</v>
      </c>
    </row>
    <row r="9" spans="1:9" ht="15" customHeight="1">
      <c r="A9" s="25">
        <f>시작중량_설정!$E$8</f>
        <v>42.5</v>
      </c>
      <c r="B9" s="4">
        <v>5</v>
      </c>
      <c r="C9" s="4">
        <v>1</v>
      </c>
    </row>
    <row r="10" spans="1:9" ht="252.75" customHeight="1">
      <c r="A10" s="11" t="s">
        <v>105</v>
      </c>
    </row>
    <row r="11" spans="1:9" ht="15" customHeight="1">
      <c r="A11" s="3" t="s">
        <v>112</v>
      </c>
    </row>
    <row r="12" spans="1:9" ht="15" customHeight="1">
      <c r="A12" s="6" t="s">
        <v>113</v>
      </c>
      <c r="B12" s="5" t="s">
        <v>4</v>
      </c>
      <c r="C12" s="5" t="s">
        <v>114</v>
      </c>
      <c r="D12" s="5" t="s">
        <v>102</v>
      </c>
      <c r="E12" s="5" t="s">
        <v>104</v>
      </c>
      <c r="F12" s="5" t="s">
        <v>115</v>
      </c>
      <c r="G12" s="5" t="s">
        <v>116</v>
      </c>
      <c r="H12" s="5" t="s">
        <v>117</v>
      </c>
      <c r="I12" s="5" t="s">
        <v>118</v>
      </c>
    </row>
    <row r="13" spans="1:9" ht="15" customHeight="1">
      <c r="A13" s="28">
        <v>1</v>
      </c>
      <c r="B13" s="27" t="s">
        <v>197</v>
      </c>
      <c r="C13" s="28" t="s">
        <v>198</v>
      </c>
      <c r="D13" s="29">
        <f>시작중량_설정!$E$8</f>
        <v>42.5</v>
      </c>
      <c r="E13" s="28">
        <v>1</v>
      </c>
      <c r="F13" s="26" t="s">
        <v>121</v>
      </c>
      <c r="G13" s="27" t="s">
        <v>199</v>
      </c>
      <c r="H13" s="27" t="s">
        <v>200</v>
      </c>
      <c r="I13" s="18" t="s">
        <v>201</v>
      </c>
    </row>
    <row r="14" spans="1:9" ht="15" customHeight="1">
      <c r="A14" s="7">
        <v>2</v>
      </c>
      <c r="B14" s="18" t="s">
        <v>202</v>
      </c>
      <c r="C14" s="7" t="s">
        <v>175</v>
      </c>
      <c r="D14" s="8" t="s">
        <v>203</v>
      </c>
      <c r="E14" s="7">
        <v>4</v>
      </c>
      <c r="F14" s="8" t="s">
        <v>134</v>
      </c>
      <c r="G14" s="18" t="s">
        <v>204</v>
      </c>
      <c r="H14" s="18" t="s">
        <v>205</v>
      </c>
      <c r="I14" s="18" t="s">
        <v>206</v>
      </c>
    </row>
    <row r="15" spans="1:9" ht="15" customHeight="1">
      <c r="A15" s="7">
        <v>3</v>
      </c>
      <c r="B15" s="18" t="s">
        <v>207</v>
      </c>
      <c r="C15" s="7" t="s">
        <v>181</v>
      </c>
      <c r="D15" s="7" t="s">
        <v>142</v>
      </c>
      <c r="E15" s="7">
        <v>3</v>
      </c>
      <c r="F15" s="8" t="s">
        <v>134</v>
      </c>
      <c r="G15" s="18" t="s">
        <v>208</v>
      </c>
      <c r="H15" s="18" t="s">
        <v>209</v>
      </c>
      <c r="I15" s="18" t="s">
        <v>210</v>
      </c>
    </row>
    <row r="16" spans="1:9" ht="15" customHeight="1">
      <c r="A16" s="7">
        <v>4</v>
      </c>
      <c r="B16" s="18" t="s">
        <v>211</v>
      </c>
      <c r="C16" s="7" t="s">
        <v>175</v>
      </c>
      <c r="D16" s="7" t="s">
        <v>142</v>
      </c>
      <c r="E16" s="7">
        <v>4</v>
      </c>
      <c r="F16" s="8" t="s">
        <v>212</v>
      </c>
      <c r="G16" s="18" t="s">
        <v>213</v>
      </c>
      <c r="H16" s="18" t="s">
        <v>214</v>
      </c>
      <c r="I16" s="18" t="s">
        <v>215</v>
      </c>
    </row>
    <row r="17" spans="1:9" ht="15" customHeight="1">
      <c r="A17" s="7">
        <v>5</v>
      </c>
      <c r="B17" s="18" t="s">
        <v>216</v>
      </c>
      <c r="C17" s="7" t="s">
        <v>175</v>
      </c>
      <c r="D17" s="8" t="s">
        <v>73</v>
      </c>
      <c r="E17" s="7">
        <v>3</v>
      </c>
      <c r="F17" s="8" t="s">
        <v>127</v>
      </c>
      <c r="G17" s="18" t="s">
        <v>213</v>
      </c>
      <c r="H17" s="18" t="s">
        <v>217</v>
      </c>
      <c r="I17" s="18" t="s">
        <v>218</v>
      </c>
    </row>
    <row r="18" spans="1:9" ht="15" customHeight="1">
      <c r="A18" s="7">
        <v>6</v>
      </c>
      <c r="B18" s="18" t="s">
        <v>219</v>
      </c>
      <c r="C18" s="7" t="s">
        <v>198</v>
      </c>
      <c r="D18" s="7">
        <v>20</v>
      </c>
      <c r="E18" s="7">
        <v>3</v>
      </c>
      <c r="F18" s="8" t="s">
        <v>170</v>
      </c>
      <c r="G18" s="18" t="s">
        <v>220</v>
      </c>
      <c r="H18" s="18"/>
      <c r="I18" s="32" t="s">
        <v>221</v>
      </c>
    </row>
    <row r="19" spans="1:9" ht="15" customHeight="1">
      <c r="A19" s="7">
        <v>7</v>
      </c>
      <c r="B19" s="18" t="s">
        <v>180</v>
      </c>
      <c r="C19" s="7" t="s">
        <v>181</v>
      </c>
      <c r="D19" s="8" t="s">
        <v>182</v>
      </c>
      <c r="E19" s="7">
        <v>3</v>
      </c>
      <c r="F19" s="8" t="s">
        <v>137</v>
      </c>
      <c r="G19" s="18" t="s">
        <v>183</v>
      </c>
      <c r="H19" s="18" t="s">
        <v>222</v>
      </c>
      <c r="I19" s="18" t="s">
        <v>223</v>
      </c>
    </row>
    <row r="20" spans="1:9" ht="276" customHeight="1">
      <c r="D20" s="30" t="s">
        <v>145</v>
      </c>
      <c r="E20" s="22">
        <f>SUM(E13:E19)</f>
        <v>21</v>
      </c>
    </row>
    <row r="21" spans="1:9" ht="108" customHeight="1"/>
    <row r="22" spans="1:9" ht="240" customHeight="1">
      <c r="A22" s="11" t="s">
        <v>224</v>
      </c>
    </row>
    <row r="23" spans="1:9" ht="204" customHeight="1">
      <c r="A23" s="11" t="s">
        <v>225</v>
      </c>
    </row>
    <row r="24" spans="1:9" ht="15" customHeight="1">
      <c r="A24" s="11" t="s">
        <v>226</v>
      </c>
    </row>
    <row r="25" spans="1:9" ht="79.5" customHeight="1">
      <c r="A25" s="11" t="s">
        <v>227</v>
      </c>
    </row>
    <row r="26" spans="1:9" ht="201.75" customHeight="1">
      <c r="A26" s="31"/>
    </row>
    <row r="27" spans="1:9" ht="229.5" customHeight="1">
      <c r="A27" s="13" t="s">
        <v>228</v>
      </c>
    </row>
    <row r="28" spans="1:9" ht="255" customHeight="1">
      <c r="A28" s="11" t="s">
        <v>229</v>
      </c>
    </row>
    <row r="29" spans="1:9" ht="165.75" customHeight="1">
      <c r="A29" s="11" t="s">
        <v>230</v>
      </c>
    </row>
    <row r="30" spans="1:9" ht="15" customHeight="1">
      <c r="A30" s="11" t="s">
        <v>231</v>
      </c>
    </row>
    <row r="31" spans="1:9" ht="235.5" customHeight="1">
      <c r="A31" s="11" t="s">
        <v>232</v>
      </c>
    </row>
    <row r="32" spans="1:9" ht="222.75" customHeight="1">
      <c r="A32" s="11" t="s">
        <v>233</v>
      </c>
    </row>
    <row r="33" spans="1:1" ht="15" customHeight="1">
      <c r="A33" s="11" t="s">
        <v>234</v>
      </c>
    </row>
    <row r="34" spans="1:1" ht="328.5" customHeight="1">
      <c r="A34" s="11" t="s">
        <v>235</v>
      </c>
    </row>
    <row r="35" spans="1:1" ht="265.5" customHeight="1">
      <c r="A35" s="31"/>
    </row>
    <row r="36" spans="1:1" ht="375" customHeight="1">
      <c r="A36" s="11" t="s">
        <v>236</v>
      </c>
    </row>
    <row r="37" spans="1:1" ht="375" customHeight="1">
      <c r="A37" s="11" t="s">
        <v>237</v>
      </c>
    </row>
    <row r="38" spans="1:1" ht="141" customHeight="1">
      <c r="A38" s="11" t="s">
        <v>238</v>
      </c>
    </row>
    <row r="40" spans="1:1" ht="15" customHeight="1">
      <c r="A40" s="11"/>
    </row>
    <row r="41" spans="1:1" ht="63.75" customHeight="1">
      <c r="A41" s="13" t="s">
        <v>239</v>
      </c>
    </row>
    <row r="42" spans="1:1" ht="128.25" customHeight="1">
      <c r="A42" s="11" t="s">
        <v>240</v>
      </c>
    </row>
    <row r="43" spans="1:1" ht="153" customHeight="1">
      <c r="A43" s="11" t="s">
        <v>241</v>
      </c>
    </row>
    <row r="44" spans="1:1" ht="141" customHeight="1">
      <c r="A44" s="11" t="s">
        <v>242</v>
      </c>
    </row>
    <row r="45" spans="1:1" ht="165.75" customHeight="1">
      <c r="A45" s="11" t="s">
        <v>243</v>
      </c>
    </row>
    <row r="46" spans="1:1" ht="115.5" customHeight="1">
      <c r="A46" s="11" t="s">
        <v>244</v>
      </c>
    </row>
    <row r="47" spans="1:1" ht="102.75" customHeight="1">
      <c r="A47" s="11" t="s">
        <v>245</v>
      </c>
    </row>
    <row r="48" spans="1:1" ht="165.75" customHeight="1">
      <c r="A48" s="11" t="s">
        <v>246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5"/>
  <sheetViews>
    <sheetView zoomScaleNormal="100" workbookViewId="0"/>
  </sheetViews>
  <sheetFormatPr defaultColWidth="8.7109375" defaultRowHeight="15"/>
  <cols>
    <col min="1" max="1" width="10.28515625" customWidth="1"/>
    <col min="2" max="2" width="30" customWidth="1"/>
    <col min="3" max="3" width="18" customWidth="1"/>
    <col min="4" max="4" width="12" customWidth="1"/>
    <col min="5" max="5" width="8" customWidth="1"/>
    <col min="6" max="6" width="12" customWidth="1"/>
    <col min="7" max="7" width="18" customWidth="1"/>
    <col min="8" max="8" width="42" customWidth="1"/>
    <col min="9" max="9" width="72" customWidth="1"/>
  </cols>
  <sheetData>
    <row r="1" spans="1:9" ht="18" customHeight="1">
      <c r="A1" s="1" t="s">
        <v>247</v>
      </c>
    </row>
    <row r="3" spans="1:9" ht="16.5" customHeight="1">
      <c r="A3" s="3" t="s">
        <v>248</v>
      </c>
    </row>
    <row r="4" spans="1:9" ht="15" customHeight="1">
      <c r="A4" s="5" t="s">
        <v>102</v>
      </c>
      <c r="B4" s="5" t="s">
        <v>103</v>
      </c>
      <c r="C4" s="5" t="s">
        <v>104</v>
      </c>
    </row>
    <row r="5" spans="1:9" ht="15" customHeight="1">
      <c r="A5" s="7">
        <f>MAX(20,MROUND(시작중량_설정!$E$7*0.4,2.5))</f>
        <v>20</v>
      </c>
      <c r="B5" s="7">
        <v>5</v>
      </c>
      <c r="C5" s="7">
        <v>2</v>
      </c>
    </row>
    <row r="6" spans="1:9" ht="15" customHeight="1">
      <c r="A6" s="7">
        <f>IF(MAX(20,MROUND(시작중량_설정!$E$7*0.6,2.5))&lt;=MAX(20,MROUND(시작중량_설정!$E$7*0.4,2.5)),"생략",MAX(20,MROUND(시작중량_설정!$E$7*0.6,2.5)))</f>
        <v>22.5</v>
      </c>
      <c r="B6" s="7">
        <v>5</v>
      </c>
      <c r="C6" s="7">
        <v>1</v>
      </c>
    </row>
    <row r="7" spans="1:9" ht="15" customHeight="1">
      <c r="A7" s="7">
        <f>IF(MAX(20,MROUND(시작중량_설정!$E$7*0.75,2.5))&lt;=MAX(20,MROUND(시작중량_설정!$E$7*0.6,2.5)),"생략",MAX(20,MROUND(시작중량_설정!$E$7*0.75,2.5)))</f>
        <v>27.5</v>
      </c>
      <c r="B7" s="7">
        <v>3</v>
      </c>
      <c r="C7" s="7">
        <v>1</v>
      </c>
    </row>
    <row r="8" spans="1:9" ht="15" customHeight="1">
      <c r="A8" s="7">
        <f>IF(MAX(20,MROUND(시작중량_설정!$E$7*0.9,2.5))&lt;=MAX(20,MROUND(시작중량_설정!$E$7*0.75,2.5)),"생략",MAX(20,MROUND(시작중량_설정!$E$7*0.9,2.5)))</f>
        <v>35</v>
      </c>
      <c r="B8" s="7">
        <v>2</v>
      </c>
      <c r="C8" s="7">
        <v>1</v>
      </c>
    </row>
    <row r="9" spans="1:9" ht="15" customHeight="1">
      <c r="A9" s="25">
        <f>시작중량_설정!$E$7</f>
        <v>37.5</v>
      </c>
      <c r="B9" s="4">
        <v>5</v>
      </c>
      <c r="C9" s="4">
        <v>5</v>
      </c>
    </row>
    <row r="10" spans="1:9" ht="252.75" customHeight="1">
      <c r="A10" s="11" t="s">
        <v>105</v>
      </c>
    </row>
    <row r="11" spans="1:9" ht="15" customHeight="1">
      <c r="A11" s="3" t="s">
        <v>112</v>
      </c>
    </row>
    <row r="12" spans="1:9" ht="15" customHeight="1">
      <c r="A12" s="6" t="s">
        <v>113</v>
      </c>
      <c r="B12" s="5" t="s">
        <v>4</v>
      </c>
      <c r="C12" s="5" t="s">
        <v>114</v>
      </c>
      <c r="D12" s="5" t="s">
        <v>102</v>
      </c>
      <c r="E12" s="5" t="s">
        <v>104</v>
      </c>
      <c r="F12" s="5" t="s">
        <v>115</v>
      </c>
      <c r="G12" s="5" t="s">
        <v>116</v>
      </c>
      <c r="H12" s="5" t="s">
        <v>117</v>
      </c>
      <c r="I12" s="5" t="s">
        <v>118</v>
      </c>
    </row>
    <row r="13" spans="1:9" ht="25.5" customHeight="1">
      <c r="A13" s="28">
        <v>1</v>
      </c>
      <c r="B13" s="27" t="s">
        <v>249</v>
      </c>
      <c r="C13" s="28" t="s">
        <v>250</v>
      </c>
      <c r="D13" s="29">
        <f>시작중량_설정!$E$7</f>
        <v>37.5</v>
      </c>
      <c r="E13" s="28">
        <v>5</v>
      </c>
      <c r="F13" s="26" t="s">
        <v>121</v>
      </c>
      <c r="G13" s="27" t="s">
        <v>251</v>
      </c>
      <c r="H13" s="27" t="s">
        <v>252</v>
      </c>
      <c r="I13" s="18" t="s">
        <v>253</v>
      </c>
    </row>
    <row r="14" spans="1:9" ht="15" customHeight="1">
      <c r="A14" s="7">
        <v>2</v>
      </c>
      <c r="B14" s="18" t="s">
        <v>254</v>
      </c>
      <c r="C14" s="7" t="s">
        <v>255</v>
      </c>
      <c r="D14" s="7">
        <v>70</v>
      </c>
      <c r="E14" s="7">
        <v>4</v>
      </c>
      <c r="F14" s="8" t="s">
        <v>256</v>
      </c>
      <c r="G14" s="18" t="s">
        <v>251</v>
      </c>
      <c r="H14" s="18" t="s">
        <v>257</v>
      </c>
      <c r="I14" s="18" t="s">
        <v>258</v>
      </c>
    </row>
    <row r="15" spans="1:9" ht="15" customHeight="1">
      <c r="A15" s="7">
        <v>3</v>
      </c>
      <c r="B15" s="18" t="s">
        <v>259</v>
      </c>
      <c r="C15" s="7" t="s">
        <v>250</v>
      </c>
      <c r="D15" s="8" t="s">
        <v>73</v>
      </c>
      <c r="E15" s="7">
        <v>3</v>
      </c>
      <c r="F15" s="8" t="s">
        <v>127</v>
      </c>
      <c r="G15" s="18" t="s">
        <v>260</v>
      </c>
      <c r="H15" s="18" t="s">
        <v>261</v>
      </c>
      <c r="I15" s="18" t="s">
        <v>262</v>
      </c>
    </row>
    <row r="16" spans="1:9" ht="15" customHeight="1">
      <c r="A16" s="7">
        <v>4</v>
      </c>
      <c r="B16" s="18" t="s">
        <v>263</v>
      </c>
      <c r="C16" s="7" t="s">
        <v>255</v>
      </c>
      <c r="D16" s="8" t="s">
        <v>73</v>
      </c>
      <c r="E16" s="7">
        <v>4</v>
      </c>
      <c r="F16" s="8" t="s">
        <v>138</v>
      </c>
      <c r="G16" s="18"/>
      <c r="H16" s="32" t="s">
        <v>264</v>
      </c>
      <c r="I16" s="18" t="s">
        <v>265</v>
      </c>
    </row>
    <row r="17" spans="1:9" ht="25.5" customHeight="1">
      <c r="A17" s="7">
        <v>5</v>
      </c>
      <c r="B17" s="18" t="s">
        <v>266</v>
      </c>
      <c r="C17" s="7" t="s">
        <v>255</v>
      </c>
      <c r="D17" s="7" t="s">
        <v>142</v>
      </c>
      <c r="E17" s="7">
        <v>3</v>
      </c>
      <c r="F17" s="8" t="s">
        <v>267</v>
      </c>
      <c r="G17" s="18" t="s">
        <v>260</v>
      </c>
      <c r="H17" s="18" t="s">
        <v>268</v>
      </c>
      <c r="I17" s="18" t="s">
        <v>269</v>
      </c>
    </row>
    <row r="18" spans="1:9" ht="15" customHeight="1">
      <c r="A18" s="7">
        <v>6</v>
      </c>
      <c r="B18" s="18" t="s">
        <v>270</v>
      </c>
      <c r="C18" s="7" t="s">
        <v>271</v>
      </c>
      <c r="D18" s="8" t="s">
        <v>73</v>
      </c>
      <c r="E18" s="7">
        <v>4</v>
      </c>
      <c r="F18" s="8" t="s">
        <v>137</v>
      </c>
      <c r="G18" s="18"/>
      <c r="H18" s="18" t="s">
        <v>564</v>
      </c>
      <c r="I18" s="18" t="s">
        <v>272</v>
      </c>
    </row>
    <row r="19" spans="1:9" ht="15" customHeight="1">
      <c r="D19" s="30" t="s">
        <v>145</v>
      </c>
      <c r="E19" s="22">
        <f>SUM(E13:E18)</f>
        <v>23</v>
      </c>
    </row>
    <row r="21" spans="1:9" ht="48" customHeight="1">
      <c r="A21" s="31" t="s">
        <v>273</v>
      </c>
    </row>
    <row r="22" spans="1:9" ht="96" customHeight="1">
      <c r="A22" s="11" t="s">
        <v>274</v>
      </c>
    </row>
    <row r="23" spans="1:9" ht="120" customHeight="1">
      <c r="A23" s="11" t="s">
        <v>275</v>
      </c>
    </row>
    <row r="24" spans="1:9" ht="96" customHeight="1">
      <c r="A24" s="11" t="s">
        <v>276</v>
      </c>
    </row>
    <row r="25" spans="1:9" ht="96" customHeight="1">
      <c r="A25" s="11" t="s">
        <v>277</v>
      </c>
    </row>
    <row r="26" spans="1:9" ht="15" customHeight="1">
      <c r="A26" s="31"/>
    </row>
    <row r="27" spans="1:9" ht="204" customHeight="1">
      <c r="A27" s="13" t="s">
        <v>278</v>
      </c>
    </row>
    <row r="28" spans="1:9" ht="228" customHeight="1">
      <c r="A28" s="11" t="s">
        <v>279</v>
      </c>
    </row>
    <row r="29" spans="1:9" ht="204" customHeight="1">
      <c r="A29" s="11" t="s">
        <v>280</v>
      </c>
    </row>
    <row r="30" spans="1:9" ht="156" customHeight="1">
      <c r="A30" s="11" t="s">
        <v>281</v>
      </c>
    </row>
    <row r="31" spans="1:9" ht="293.25" customHeight="1">
      <c r="A31" s="11" t="s">
        <v>282</v>
      </c>
    </row>
    <row r="32" spans="1:9" ht="15" customHeight="1">
      <c r="A32" s="31"/>
    </row>
    <row r="33" spans="1:1" ht="305.25" customHeight="1">
      <c r="A33" s="11" t="s">
        <v>283</v>
      </c>
    </row>
    <row r="34" spans="1:1" ht="229.5" customHeight="1">
      <c r="A34" s="31" t="s">
        <v>284</v>
      </c>
    </row>
    <row r="35" spans="1:1" ht="341.25" customHeight="1">
      <c r="A35" s="11" t="s">
        <v>285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5"/>
  <sheetViews>
    <sheetView tabSelected="1" zoomScaleNormal="100" workbookViewId="0"/>
  </sheetViews>
  <sheetFormatPr defaultColWidth="8.7109375" defaultRowHeight="15"/>
  <cols>
    <col min="1" max="1" width="5" customWidth="1"/>
    <col min="2" max="2" width="30" customWidth="1"/>
    <col min="3" max="3" width="18" customWidth="1"/>
    <col min="4" max="4" width="12" customWidth="1"/>
    <col min="5" max="5" width="8" customWidth="1"/>
    <col min="6" max="6" width="12" customWidth="1"/>
    <col min="7" max="7" width="18" customWidth="1"/>
    <col min="8" max="8" width="42" customWidth="1"/>
    <col min="9" max="9" width="72" customWidth="1"/>
  </cols>
  <sheetData>
    <row r="1" spans="1:9" ht="18" customHeight="1">
      <c r="A1" s="1" t="s">
        <v>286</v>
      </c>
    </row>
    <row r="2" spans="1:9" ht="15" customHeight="1">
      <c r="A2" s="2" t="s">
        <v>565</v>
      </c>
    </row>
    <row r="4" spans="1:9" ht="15" customHeight="1">
      <c r="A4" s="6" t="s">
        <v>113</v>
      </c>
      <c r="B4" s="5" t="s">
        <v>4</v>
      </c>
      <c r="C4" s="5" t="s">
        <v>114</v>
      </c>
      <c r="D4" s="5" t="s">
        <v>102</v>
      </c>
      <c r="E4" s="5" t="s">
        <v>104</v>
      </c>
      <c r="F4" s="5" t="s">
        <v>115</v>
      </c>
      <c r="G4" s="5" t="s">
        <v>116</v>
      </c>
      <c r="H4" s="5" t="s">
        <v>117</v>
      </c>
      <c r="I4" s="5" t="s">
        <v>118</v>
      </c>
    </row>
    <row r="5" spans="1:9" ht="15" customHeight="1">
      <c r="A5" s="33" t="s">
        <v>260</v>
      </c>
      <c r="B5" s="34"/>
      <c r="C5" s="34"/>
      <c r="D5" s="34"/>
      <c r="E5" s="34"/>
      <c r="F5" s="34"/>
      <c r="G5" s="34"/>
      <c r="H5" s="34"/>
    </row>
    <row r="6" spans="1:9" ht="15" customHeight="1">
      <c r="A6" s="7">
        <v>1</v>
      </c>
      <c r="B6" s="18" t="s">
        <v>287</v>
      </c>
      <c r="C6" s="7" t="s">
        <v>260</v>
      </c>
      <c r="D6" s="8" t="s">
        <v>203</v>
      </c>
      <c r="E6" s="7">
        <v>3</v>
      </c>
      <c r="F6" s="8" t="s">
        <v>127</v>
      </c>
      <c r="G6" s="18" t="s">
        <v>255</v>
      </c>
      <c r="H6" s="18" t="s">
        <v>288</v>
      </c>
      <c r="I6" s="18" t="s">
        <v>289</v>
      </c>
    </row>
    <row r="7" spans="1:9" ht="15" customHeight="1">
      <c r="A7" s="7">
        <v>2</v>
      </c>
      <c r="B7" s="18" t="s">
        <v>290</v>
      </c>
      <c r="C7" s="7" t="s">
        <v>260</v>
      </c>
      <c r="D7" s="7">
        <v>15</v>
      </c>
      <c r="E7" s="7">
        <v>3</v>
      </c>
      <c r="F7" s="8" t="s">
        <v>291</v>
      </c>
      <c r="G7" s="18" t="s">
        <v>250</v>
      </c>
      <c r="H7" s="18" t="s">
        <v>292</v>
      </c>
      <c r="I7" s="18" t="s">
        <v>293</v>
      </c>
    </row>
    <row r="8" spans="1:9" ht="15" customHeight="1">
      <c r="A8" s="7">
        <v>3</v>
      </c>
      <c r="B8" s="18" t="s">
        <v>294</v>
      </c>
      <c r="C8" s="7" t="s">
        <v>295</v>
      </c>
      <c r="D8" s="8" t="s">
        <v>73</v>
      </c>
      <c r="E8" s="7">
        <v>3</v>
      </c>
      <c r="F8" s="8" t="s">
        <v>296</v>
      </c>
      <c r="G8" s="18"/>
      <c r="H8" s="18" t="s">
        <v>297</v>
      </c>
      <c r="I8" s="18" t="s">
        <v>298</v>
      </c>
    </row>
    <row r="9" spans="1:9" ht="15" customHeight="1">
      <c r="A9" s="33" t="s">
        <v>299</v>
      </c>
      <c r="B9" s="34"/>
      <c r="C9" s="34"/>
      <c r="D9" s="34"/>
      <c r="E9" s="34"/>
      <c r="F9" s="34"/>
      <c r="G9" s="34"/>
      <c r="H9" s="34"/>
    </row>
    <row r="10" spans="1:9" ht="15" customHeight="1">
      <c r="A10" s="7">
        <v>4</v>
      </c>
      <c r="B10" s="18" t="s">
        <v>300</v>
      </c>
      <c r="C10" s="7" t="s">
        <v>213</v>
      </c>
      <c r="D10" s="8" t="s">
        <v>301</v>
      </c>
      <c r="E10" s="7">
        <v>3</v>
      </c>
      <c r="F10" s="8" t="s">
        <v>127</v>
      </c>
      <c r="G10" s="18" t="s">
        <v>302</v>
      </c>
      <c r="H10" s="18" t="s">
        <v>303</v>
      </c>
      <c r="I10" s="32" t="s">
        <v>304</v>
      </c>
    </row>
    <row r="11" spans="1:9" ht="15" customHeight="1">
      <c r="A11" s="7">
        <v>5</v>
      </c>
      <c r="B11" s="18" t="s">
        <v>305</v>
      </c>
      <c r="C11" s="7" t="s">
        <v>128</v>
      </c>
      <c r="D11" s="8" t="s">
        <v>301</v>
      </c>
      <c r="E11" s="7">
        <v>3</v>
      </c>
      <c r="F11" s="8" t="s">
        <v>127</v>
      </c>
      <c r="G11" s="18"/>
      <c r="H11" s="18" t="s">
        <v>306</v>
      </c>
      <c r="I11" s="18" t="s">
        <v>307</v>
      </c>
    </row>
    <row r="12" spans="1:9" ht="15" customHeight="1">
      <c r="A12" s="7">
        <v>6</v>
      </c>
      <c r="B12" s="18" t="s">
        <v>308</v>
      </c>
      <c r="C12" s="7" t="s">
        <v>302</v>
      </c>
      <c r="D12" s="7">
        <v>10</v>
      </c>
      <c r="E12" s="7">
        <v>3</v>
      </c>
      <c r="F12" s="8" t="s">
        <v>309</v>
      </c>
      <c r="G12" s="18"/>
      <c r="H12" s="18" t="s">
        <v>310</v>
      </c>
      <c r="I12" s="18" t="s">
        <v>311</v>
      </c>
    </row>
    <row r="13" spans="1:9" ht="15" customHeight="1">
      <c r="A13" s="7">
        <v>7</v>
      </c>
      <c r="B13" s="18" t="s">
        <v>312</v>
      </c>
      <c r="C13" s="7" t="s">
        <v>302</v>
      </c>
      <c r="D13" s="7">
        <v>10</v>
      </c>
      <c r="E13" s="7">
        <v>2</v>
      </c>
      <c r="F13" s="8" t="s">
        <v>309</v>
      </c>
      <c r="G13" s="18"/>
      <c r="H13" s="18" t="s">
        <v>313</v>
      </c>
      <c r="I13" s="18" t="s">
        <v>314</v>
      </c>
    </row>
    <row r="14" spans="1:9" ht="15" customHeight="1">
      <c r="A14" s="33" t="s">
        <v>315</v>
      </c>
      <c r="B14" s="34"/>
      <c r="C14" s="34"/>
      <c r="D14" s="34"/>
      <c r="E14" s="34"/>
      <c r="F14" s="34"/>
      <c r="G14" s="34"/>
      <c r="H14" s="34"/>
    </row>
    <row r="15" spans="1:9" ht="15" customHeight="1">
      <c r="A15" s="7">
        <v>8</v>
      </c>
      <c r="B15" s="18" t="s">
        <v>316</v>
      </c>
      <c r="C15" s="7" t="s">
        <v>315</v>
      </c>
      <c r="D15" s="7" t="s">
        <v>142</v>
      </c>
      <c r="E15" s="7">
        <v>3</v>
      </c>
      <c r="F15" s="8" t="s">
        <v>317</v>
      </c>
      <c r="G15" s="18"/>
      <c r="H15" s="18"/>
      <c r="I15" s="18" t="s">
        <v>318</v>
      </c>
    </row>
    <row r="16" spans="1:9" ht="15" customHeight="1">
      <c r="A16" s="7">
        <v>9</v>
      </c>
      <c r="B16" s="18" t="s">
        <v>319</v>
      </c>
      <c r="C16" s="7" t="s">
        <v>315</v>
      </c>
      <c r="D16" s="7">
        <v>2.5</v>
      </c>
      <c r="E16" s="7">
        <v>3</v>
      </c>
      <c r="F16" s="8" t="s">
        <v>170</v>
      </c>
      <c r="G16" s="18"/>
      <c r="H16" s="18"/>
      <c r="I16" s="18" t="s">
        <v>320</v>
      </c>
    </row>
    <row r="17" spans="1:9" ht="15" customHeight="1">
      <c r="A17" s="7">
        <v>10</v>
      </c>
      <c r="B17" s="18" t="s">
        <v>321</v>
      </c>
      <c r="C17" s="7" t="s">
        <v>315</v>
      </c>
      <c r="D17" s="8" t="s">
        <v>73</v>
      </c>
      <c r="E17" s="7">
        <v>2</v>
      </c>
      <c r="F17" s="8" t="s">
        <v>322</v>
      </c>
      <c r="G17" s="18"/>
      <c r="H17" s="18" t="s">
        <v>323</v>
      </c>
      <c r="I17" s="18" t="s">
        <v>324</v>
      </c>
    </row>
    <row r="18" spans="1:9" ht="29.25" customHeight="1">
      <c r="A18" s="7">
        <v>11</v>
      </c>
      <c r="B18" s="18" t="s">
        <v>325</v>
      </c>
      <c r="C18" s="7" t="s">
        <v>315</v>
      </c>
      <c r="D18" s="8" t="s">
        <v>73</v>
      </c>
      <c r="E18" s="7">
        <v>3</v>
      </c>
      <c r="F18" s="8" t="s">
        <v>326</v>
      </c>
      <c r="G18" s="18"/>
      <c r="H18" s="18" t="s">
        <v>327</v>
      </c>
      <c r="I18" s="18" t="s">
        <v>328</v>
      </c>
    </row>
    <row r="19" spans="1:9" ht="29.25" customHeight="1">
      <c r="A19" s="43" t="s">
        <v>271</v>
      </c>
      <c r="B19" s="44"/>
      <c r="C19" s="43"/>
      <c r="D19" s="45"/>
      <c r="E19" s="7"/>
      <c r="F19" s="45"/>
      <c r="G19" s="44"/>
      <c r="H19" s="44"/>
      <c r="I19" s="44"/>
    </row>
    <row r="20" spans="1:9" ht="29.25" customHeight="1">
      <c r="A20" s="43">
        <v>12</v>
      </c>
      <c r="B20" s="44" t="s">
        <v>566</v>
      </c>
      <c r="C20" s="43" t="s">
        <v>271</v>
      </c>
      <c r="D20" s="45" t="s">
        <v>73</v>
      </c>
      <c r="E20" s="7">
        <v>4</v>
      </c>
      <c r="F20" s="45" t="s">
        <v>137</v>
      </c>
      <c r="G20" s="44"/>
      <c r="H20" s="44" t="s">
        <v>567</v>
      </c>
      <c r="I20" s="44" t="s">
        <v>568</v>
      </c>
    </row>
    <row r="21" spans="1:9" ht="49.5" customHeight="1">
      <c r="D21" s="30" t="s">
        <v>145</v>
      </c>
      <c r="E21" s="22">
        <f>SUM(E5:E20)</f>
        <v>35</v>
      </c>
    </row>
    <row r="22" spans="1:9" ht="252" customHeight="1"/>
    <row r="23" spans="1:9" ht="240" customHeight="1">
      <c r="A23" s="11" t="s">
        <v>329</v>
      </c>
    </row>
    <row r="24" spans="1:9" ht="276" customHeight="1">
      <c r="A24" s="11" t="s">
        <v>330</v>
      </c>
    </row>
    <row r="25" spans="1:9" ht="265.5" customHeight="1">
      <c r="A25" s="11" t="s">
        <v>331</v>
      </c>
    </row>
    <row r="26" spans="1:9" ht="293.25" customHeight="1">
      <c r="A26" s="11" t="s">
        <v>332</v>
      </c>
    </row>
    <row r="27" spans="1:9" ht="15" customHeight="1">
      <c r="A27" s="31"/>
    </row>
    <row r="28" spans="1:9" ht="60.75" customHeight="1">
      <c r="A28" s="13" t="s">
        <v>333</v>
      </c>
    </row>
    <row r="29" spans="1:9" ht="303" customHeight="1">
      <c r="A29" s="11" t="s">
        <v>334</v>
      </c>
    </row>
    <row r="30" spans="1:9" ht="291" customHeight="1">
      <c r="A30" s="11" t="s">
        <v>335</v>
      </c>
    </row>
    <row r="31" spans="1:9" ht="278.25" customHeight="1">
      <c r="A31" s="11" t="s">
        <v>336</v>
      </c>
    </row>
    <row r="32" spans="1:9" ht="227.25" customHeight="1">
      <c r="A32" s="11" t="s">
        <v>337</v>
      </c>
    </row>
    <row r="33" spans="1:1" ht="293.25" customHeight="1">
      <c r="A33" s="11" t="s">
        <v>569</v>
      </c>
    </row>
    <row r="34" spans="1:1">
      <c r="A34" t="s">
        <v>570</v>
      </c>
    </row>
    <row r="35" spans="1:1">
      <c r="A35" t="s">
        <v>571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4"/>
  <sheetViews>
    <sheetView zoomScaleNormal="100" workbookViewId="0"/>
  </sheetViews>
  <sheetFormatPr defaultColWidth="8.7109375" defaultRowHeight="15"/>
  <cols>
    <col min="1" max="1" width="20" customWidth="1"/>
    <col min="2" max="3" width="12" customWidth="1"/>
    <col min="4" max="4" width="10" customWidth="1"/>
    <col min="5" max="5" width="14" customWidth="1"/>
    <col min="6" max="6" width="46" customWidth="1"/>
  </cols>
  <sheetData>
    <row r="1" spans="1:6" ht="18" customHeight="1">
      <c r="A1" s="1" t="s">
        <v>338</v>
      </c>
    </row>
    <row r="2" spans="1:6" ht="15" customHeight="1">
      <c r="A2" s="2" t="s">
        <v>339</v>
      </c>
    </row>
    <row r="4" spans="1:6" ht="15" customHeight="1">
      <c r="A4" s="5" t="s">
        <v>114</v>
      </c>
      <c r="B4" s="5" t="s">
        <v>340</v>
      </c>
      <c r="C4" s="5" t="s">
        <v>341</v>
      </c>
      <c r="D4" s="5" t="s">
        <v>342</v>
      </c>
      <c r="E4" s="5" t="s">
        <v>343</v>
      </c>
      <c r="F4" s="5" t="s">
        <v>344</v>
      </c>
    </row>
    <row r="5" spans="1:6" ht="15" customHeight="1">
      <c r="A5" s="18" t="s">
        <v>132</v>
      </c>
      <c r="B5" s="7">
        <f>SUMIFS(월_가슴!$E:$E,월_가슴!$C:$C,$A5)+SUMIFS(화_어깨!$E:$E,화_어깨!$C:$C,$A5)+SUMIFS(수_등!$E:$E,수_등!$C:$C,$A5)+SUMIFS(금_하체!$E:$E,금_하체!$C:$C,$A5)+SUMIFS(토_둔근팔복부!$E:$E,토_둔근팔복부!$C:$C,$A5)</f>
        <v>7</v>
      </c>
      <c r="C5" s="4">
        <v>3</v>
      </c>
      <c r="D5" s="35">
        <f t="shared" ref="D5:D22" si="0">B5+C5</f>
        <v>10</v>
      </c>
      <c r="E5" s="7" t="str">
        <f t="shared" ref="E5:E22" si="1">IF(D5&gt;=10,"충분",IF(D5&gt;=8,"하한",IF(D5&gt;=1,"보완 필요","미배치")))</f>
        <v>충분</v>
      </c>
      <c r="F5" s="18" t="s">
        <v>345</v>
      </c>
    </row>
    <row r="6" spans="1:6" ht="15" customHeight="1">
      <c r="A6" s="18" t="s">
        <v>120</v>
      </c>
      <c r="B6" s="7">
        <f>SUMIFS(월_가슴!$E:$E,월_가슴!$C:$C,$A6)+SUMIFS(화_어깨!$E:$E,화_어깨!$C:$C,$A6)+SUMIFS(수_등!$E:$E,수_등!$C:$C,$A6)+SUMIFS(금_하체!$E:$E,금_하체!$C:$C,$A6)+SUMIFS(토_둔근팔복부!$E:$E,토_둔근팔복부!$C:$C,$A6)</f>
        <v>11</v>
      </c>
      <c r="C6" s="4">
        <v>3</v>
      </c>
      <c r="D6" s="35">
        <f t="shared" si="0"/>
        <v>14</v>
      </c>
      <c r="E6" s="7" t="str">
        <f t="shared" si="1"/>
        <v>충분</v>
      </c>
      <c r="F6" s="18" t="s">
        <v>346</v>
      </c>
    </row>
    <row r="7" spans="1:6" ht="15" customHeight="1">
      <c r="A7" s="18" t="s">
        <v>175</v>
      </c>
      <c r="B7" s="7">
        <f>SUMIFS(월_가슴!$E:$E,월_가슴!$C:$C,$A7)+SUMIFS(화_어깨!$E:$E,화_어깨!$C:$C,$A7)+SUMIFS(수_등!$E:$E,수_등!$C:$C,$A7)+SUMIFS(금_하체!$E:$E,금_하체!$C:$C,$A7)+SUMIFS(토_둔근팔복부!$E:$E,토_둔근팔복부!$C:$C,$A7)</f>
        <v>11</v>
      </c>
      <c r="C7" s="4">
        <v>0</v>
      </c>
      <c r="D7" s="35">
        <f t="shared" si="0"/>
        <v>11</v>
      </c>
      <c r="E7" s="7" t="str">
        <f t="shared" si="1"/>
        <v>충분</v>
      </c>
      <c r="F7" s="18" t="s">
        <v>347</v>
      </c>
    </row>
    <row r="8" spans="1:6" ht="15" customHeight="1">
      <c r="A8" s="18" t="s">
        <v>181</v>
      </c>
      <c r="B8" s="7">
        <f>SUMIFS(월_가슴!$E:$E,월_가슴!$C:$C,$A8)+SUMIFS(화_어깨!$E:$E,화_어깨!$C:$C,$A8)+SUMIFS(수_등!$E:$E,수_등!$C:$C,$A8)+SUMIFS(금_하체!$E:$E,금_하체!$C:$C,$A8)+SUMIFS(토_둔근팔복부!$E:$E,토_둔근팔복부!$C:$C,$A8)</f>
        <v>8</v>
      </c>
      <c r="C8" s="4">
        <v>3</v>
      </c>
      <c r="D8" s="35">
        <f t="shared" si="0"/>
        <v>11</v>
      </c>
      <c r="E8" s="7" t="str">
        <f t="shared" si="1"/>
        <v>충분</v>
      </c>
      <c r="F8" s="18" t="s">
        <v>348</v>
      </c>
    </row>
    <row r="9" spans="1:6" ht="15" customHeight="1">
      <c r="A9" s="18" t="s">
        <v>349</v>
      </c>
      <c r="B9" s="7">
        <f>SUMIFS(월_가슴!$E:$E,월_가슴!$C:$C,$A9)+SUMIFS(화_어깨!$E:$E,화_어깨!$C:$C,$A9)+SUMIFS(수_등!$E:$E,수_등!$C:$C,$A9)+SUMIFS(금_하체!$E:$E,금_하체!$C:$C,$A9)+SUMIFS(토_둔근팔복부!$E:$E,토_둔근팔복부!$C:$C,$A9)</f>
        <v>0</v>
      </c>
      <c r="C9" s="4">
        <v>11</v>
      </c>
      <c r="D9" s="35">
        <f t="shared" si="0"/>
        <v>11</v>
      </c>
      <c r="E9" s="7" t="str">
        <f t="shared" si="1"/>
        <v>충분</v>
      </c>
      <c r="F9" s="18" t="s">
        <v>350</v>
      </c>
    </row>
    <row r="10" spans="1:6" ht="15" customHeight="1">
      <c r="A10" s="18" t="s">
        <v>198</v>
      </c>
      <c r="B10" s="7">
        <f>SUMIFS(월_가슴!$E:$E,월_가슴!$C:$C,$A10)+SUMIFS(화_어깨!$E:$E,화_어깨!$C:$C,$A10)+SUMIFS(수_등!$E:$E,수_등!$C:$C,$A10)+SUMIFS(금_하체!$E:$E,금_하체!$C:$C,$A10)+SUMIFS(토_둔근팔복부!$E:$E,토_둔근팔복부!$C:$C,$A10)</f>
        <v>4</v>
      </c>
      <c r="C10" s="4">
        <v>7</v>
      </c>
      <c r="D10" s="35">
        <f t="shared" si="0"/>
        <v>11</v>
      </c>
      <c r="E10" s="7" t="str">
        <f t="shared" si="1"/>
        <v>충분</v>
      </c>
      <c r="F10" s="18" t="s">
        <v>351</v>
      </c>
    </row>
    <row r="11" spans="1:6" ht="15" customHeight="1">
      <c r="A11" s="18" t="s">
        <v>160</v>
      </c>
      <c r="B11" s="7">
        <f>SUMIFS(월_가슴!$E:$E,월_가슴!$C:$C,$A11)+SUMIFS(화_어깨!$E:$E,화_어깨!$C:$C,$A11)+SUMIFS(수_등!$E:$E,수_등!$C:$C,$A11)+SUMIFS(금_하체!$E:$E,금_하체!$C:$C,$A11)+SUMIFS(토_둔근팔복부!$E:$E,토_둔근팔복부!$C:$C,$A11)</f>
        <v>3</v>
      </c>
      <c r="C11" s="4">
        <v>8</v>
      </c>
      <c r="D11" s="35">
        <f t="shared" si="0"/>
        <v>11</v>
      </c>
      <c r="E11" s="7" t="str">
        <f t="shared" si="1"/>
        <v>충분</v>
      </c>
      <c r="F11" s="18" t="s">
        <v>352</v>
      </c>
    </row>
    <row r="12" spans="1:6" ht="15" customHeight="1">
      <c r="A12" s="18" t="s">
        <v>164</v>
      </c>
      <c r="B12" s="7">
        <f>SUMIFS(월_가슴!$E:$E,월_가슴!$C:$C,$A12)+SUMIFS(화_어깨!$E:$E,화_어깨!$C:$C,$A12)+SUMIFS(수_등!$E:$E,수_등!$C:$C,$A12)+SUMIFS(금_하체!$E:$E,금_하체!$C:$C,$A12)+SUMIFS(토_둔근팔복부!$E:$E,토_둔근팔복부!$C:$C,$A12)</f>
        <v>10</v>
      </c>
      <c r="C12" s="4">
        <v>0</v>
      </c>
      <c r="D12" s="35">
        <f t="shared" si="0"/>
        <v>10</v>
      </c>
      <c r="E12" s="7" t="str">
        <f t="shared" si="1"/>
        <v>충분</v>
      </c>
      <c r="F12" s="32" t="s">
        <v>73</v>
      </c>
    </row>
    <row r="13" spans="1:6" ht="15" customHeight="1">
      <c r="A13" s="18" t="s">
        <v>167</v>
      </c>
      <c r="B13" s="7">
        <f>SUMIFS(월_가슴!$E:$E,월_가슴!$C:$C,$A13)+SUMIFS(화_어깨!$E:$E,화_어깨!$C:$C,$A13)+SUMIFS(수_등!$E:$E,수_등!$C:$C,$A13)+SUMIFS(금_하체!$E:$E,금_하체!$C:$C,$A13)+SUMIFS(토_둔근팔복부!$E:$E,토_둔근팔복부!$C:$C,$A13)</f>
        <v>7</v>
      </c>
      <c r="C13" s="4">
        <v>3</v>
      </c>
      <c r="D13" s="35">
        <f t="shared" si="0"/>
        <v>10</v>
      </c>
      <c r="E13" s="7" t="str">
        <f t="shared" si="1"/>
        <v>충분</v>
      </c>
      <c r="F13" s="18" t="s">
        <v>353</v>
      </c>
    </row>
    <row r="14" spans="1:6" ht="15" customHeight="1">
      <c r="A14" s="18" t="s">
        <v>250</v>
      </c>
      <c r="B14" s="7">
        <f>SUMIFS(월_가슴!$E:$E,월_가슴!$C:$C,$A14)+SUMIFS(화_어깨!$E:$E,화_어깨!$C:$C,$A14)+SUMIFS(수_등!$E:$E,수_등!$C:$C,$A14)+SUMIFS(금_하체!$E:$E,금_하체!$C:$C,$A14)+SUMIFS(토_둔근팔복부!$E:$E,토_둔근팔복부!$C:$C,$A14)</f>
        <v>8</v>
      </c>
      <c r="C14" s="4">
        <v>3</v>
      </c>
      <c r="D14" s="35">
        <f t="shared" si="0"/>
        <v>11</v>
      </c>
      <c r="E14" s="7" t="str">
        <f t="shared" si="1"/>
        <v>충분</v>
      </c>
      <c r="F14" s="18" t="s">
        <v>290</v>
      </c>
    </row>
    <row r="15" spans="1:6" ht="15" customHeight="1">
      <c r="A15" s="18" t="s">
        <v>255</v>
      </c>
      <c r="B15" s="7">
        <f>SUMIFS(월_가슴!$E:$E,월_가슴!$C:$C,$A15)+SUMIFS(화_어깨!$E:$E,화_어깨!$C:$C,$A15)+SUMIFS(수_등!$E:$E,수_등!$C:$C,$A15)+SUMIFS(금_하체!$E:$E,금_하체!$C:$C,$A15)+SUMIFS(토_둔근팔복부!$E:$E,토_둔근팔복부!$C:$C,$A15)</f>
        <v>11</v>
      </c>
      <c r="C15" s="4">
        <v>2</v>
      </c>
      <c r="D15" s="35">
        <f t="shared" si="0"/>
        <v>13</v>
      </c>
      <c r="E15" s="7" t="str">
        <f t="shared" si="1"/>
        <v>충분</v>
      </c>
      <c r="F15" s="18" t="s">
        <v>354</v>
      </c>
    </row>
    <row r="16" spans="1:6" ht="15" customHeight="1">
      <c r="A16" s="18" t="s">
        <v>260</v>
      </c>
      <c r="B16" s="7">
        <f>SUMIFS(월_가슴!$E:$E,월_가슴!$C:$C,$A16)+SUMIFS(화_어깨!$E:$E,화_어깨!$C:$C,$A16)+SUMIFS(수_등!$E:$E,수_등!$C:$C,$A16)+SUMIFS(금_하체!$E:$E,금_하체!$C:$C,$A16)+SUMIFS(토_둔근팔복부!$E:$E,토_둔근팔복부!$C:$C,$A16)</f>
        <v>6</v>
      </c>
      <c r="C16" s="4">
        <v>5</v>
      </c>
      <c r="D16" s="35">
        <f t="shared" si="0"/>
        <v>11</v>
      </c>
      <c r="E16" s="7" t="str">
        <f t="shared" si="1"/>
        <v>충분</v>
      </c>
      <c r="F16" s="18" t="s">
        <v>355</v>
      </c>
    </row>
    <row r="17" spans="1:6" ht="15" customHeight="1">
      <c r="A17" s="18" t="s">
        <v>295</v>
      </c>
      <c r="B17" s="7">
        <f>SUMIFS(월_가슴!$E:$E,월_가슴!$C:$C,$A17)+SUMIFS(화_어깨!$E:$E,화_어깨!$C:$C,$A17)+SUMIFS(수_등!$E:$E,수_등!$C:$C,$A17)+SUMIFS(금_하체!$E:$E,금_하체!$C:$C,$A17)+SUMIFS(토_둔근팔복부!$E:$E,토_둔근팔복부!$C:$C,$A17)</f>
        <v>3</v>
      </c>
      <c r="C17" s="4">
        <v>5</v>
      </c>
      <c r="D17" s="35">
        <f t="shared" si="0"/>
        <v>8</v>
      </c>
      <c r="E17" s="7" t="str">
        <f t="shared" si="1"/>
        <v>하한</v>
      </c>
      <c r="F17" s="18" t="s">
        <v>356</v>
      </c>
    </row>
    <row r="18" spans="1:6" ht="15" customHeight="1">
      <c r="A18" s="18" t="s">
        <v>271</v>
      </c>
      <c r="B18" s="7">
        <f>SUMIFS(월_가슴!$E:$E,월_가슴!$C:$C,$A18)+SUMIFS(화_어깨!$E:$E,화_어깨!$C:$C,$A18)+SUMIFS(수_등!$E:$E,수_등!$C:$C,$A18)+SUMIFS(금_하체!$E:$E,금_하체!$C:$C,$A18)+SUMIFS(토_둔근팔복부!$E:$E,토_둔근팔복부!$C:$C,$A18)</f>
        <v>8</v>
      </c>
      <c r="C18" s="4">
        <v>0</v>
      </c>
      <c r="D18" s="35">
        <f t="shared" si="0"/>
        <v>8</v>
      </c>
      <c r="E18" s="7" t="str">
        <f t="shared" si="1"/>
        <v>하한</v>
      </c>
      <c r="F18" s="32" t="s">
        <v>572</v>
      </c>
    </row>
    <row r="19" spans="1:6" ht="15" customHeight="1">
      <c r="A19" s="18" t="s">
        <v>213</v>
      </c>
      <c r="B19" s="7">
        <f>SUMIFS(월_가슴!$E:$E,월_가슴!$C:$C,$A19)+SUMIFS(화_어깨!$E:$E,화_어깨!$C:$C,$A19)+SUMIFS(수_등!$E:$E,수_등!$C:$C,$A19)+SUMIFS(금_하체!$E:$E,금_하체!$C:$C,$A19)+SUMIFS(토_둔근팔복부!$E:$E,토_둔근팔복부!$C:$C,$A19)</f>
        <v>3</v>
      </c>
      <c r="C19" s="4">
        <v>8</v>
      </c>
      <c r="D19" s="35">
        <f t="shared" si="0"/>
        <v>11</v>
      </c>
      <c r="E19" s="7" t="str">
        <f t="shared" si="1"/>
        <v>충분</v>
      </c>
      <c r="F19" s="18" t="s">
        <v>357</v>
      </c>
    </row>
    <row r="20" spans="1:6" ht="15" customHeight="1">
      <c r="A20" s="18" t="s">
        <v>128</v>
      </c>
      <c r="B20" s="7">
        <f>SUMIFS(월_가슴!$E:$E,월_가슴!$C:$C,$A20)+SUMIFS(화_어깨!$E:$E,화_어깨!$C:$C,$A20)+SUMIFS(수_등!$E:$E,수_등!$C:$C,$A20)+SUMIFS(금_하체!$E:$E,금_하체!$C:$C,$A20)+SUMIFS(토_둔근팔복부!$E:$E,토_둔근팔복부!$C:$C,$A20)</f>
        <v>3</v>
      </c>
      <c r="C20" s="4">
        <v>9</v>
      </c>
      <c r="D20" s="35">
        <f t="shared" si="0"/>
        <v>12</v>
      </c>
      <c r="E20" s="7" t="str">
        <f t="shared" si="1"/>
        <v>충분</v>
      </c>
      <c r="F20" s="18" t="s">
        <v>358</v>
      </c>
    </row>
    <row r="21" spans="1:6" ht="15" customHeight="1">
      <c r="A21" s="18" t="s">
        <v>302</v>
      </c>
      <c r="B21" s="7">
        <f>SUMIFS(월_가슴!$E:$E,월_가슴!$C:$C,$A21)+SUMIFS(화_어깨!$E:$E,화_어깨!$C:$C,$A21)+SUMIFS(수_등!$E:$E,수_등!$C:$C,$A21)+SUMIFS(금_하체!$E:$E,금_하체!$C:$C,$A21)+SUMIFS(토_둔근팔복부!$E:$E,토_둔근팔복부!$C:$C,$A21)</f>
        <v>5</v>
      </c>
      <c r="C21" s="4">
        <v>6</v>
      </c>
      <c r="D21" s="35">
        <f t="shared" si="0"/>
        <v>11</v>
      </c>
      <c r="E21" s="7" t="str">
        <f t="shared" si="1"/>
        <v>충분</v>
      </c>
      <c r="F21" s="18" t="s">
        <v>359</v>
      </c>
    </row>
    <row r="22" spans="1:6" ht="16.5" customHeight="1">
      <c r="A22" s="18" t="s">
        <v>315</v>
      </c>
      <c r="B22" s="26">
        <f>SUMIFS(월_가슴!$E:$E,월_가슴!$C:$C,$A22)+SUMIFS(화_어깨!$E:$E,화_어깨!$C:$C,$A22)+SUMIFS(수_등!$E:$E,수_등!$C:$C,$A22)+SUMIFS(금_하체!$E:$E,금_하체!$C:$C,$A22)+SUMIFS(토_둔근팔복부!$E:$E,토_둔근팔복부!$C:$C,$A22)</f>
        <v>11</v>
      </c>
      <c r="C22" s="4">
        <v>0</v>
      </c>
      <c r="D22" s="35">
        <f t="shared" si="0"/>
        <v>11</v>
      </c>
      <c r="E22" s="7" t="str">
        <f t="shared" si="1"/>
        <v>충분</v>
      </c>
      <c r="F22" s="18" t="s">
        <v>360</v>
      </c>
    </row>
    <row r="23" spans="1:6" ht="24" customHeight="1">
      <c r="A23" s="36" t="s">
        <v>361</v>
      </c>
      <c r="B23" s="15">
        <f>SUM(B5:B22)</f>
        <v>119</v>
      </c>
      <c r="C23" s="37"/>
      <c r="D23" s="37"/>
      <c r="E23" s="37"/>
      <c r="F23" s="37"/>
    </row>
    <row r="24" spans="1:6" ht="15" customHeight="1">
      <c r="A24" s="13" t="s">
        <v>362</v>
      </c>
    </row>
    <row r="25" spans="1:6" ht="36" customHeight="1">
      <c r="A25" s="11" t="s">
        <v>363</v>
      </c>
    </row>
    <row r="26" spans="1:6" ht="15" customHeight="1">
      <c r="A26" s="11" t="s">
        <v>364</v>
      </c>
    </row>
    <row r="27" spans="1:6" ht="16.5" customHeight="1">
      <c r="A27" s="11" t="s">
        <v>365</v>
      </c>
    </row>
    <row r="28" spans="1:6" ht="36" customHeight="1">
      <c r="A28" s="31"/>
    </row>
    <row r="29" spans="1:6" ht="48" customHeight="1">
      <c r="A29" s="13" t="s">
        <v>366</v>
      </c>
    </row>
    <row r="30" spans="1:6" ht="48" customHeight="1">
      <c r="A30" s="11" t="s">
        <v>367</v>
      </c>
    </row>
    <row r="31" spans="1:6" ht="15" customHeight="1">
      <c r="A31" s="11" t="s">
        <v>368</v>
      </c>
    </row>
    <row r="32" spans="1:6" ht="16.5" customHeight="1">
      <c r="A32" s="11" t="s">
        <v>369</v>
      </c>
    </row>
    <row r="33" spans="1:1" ht="48" customHeight="1">
      <c r="A33" s="31"/>
    </row>
    <row r="34" spans="1:1" ht="48" customHeight="1">
      <c r="A34" s="13" t="s">
        <v>370</v>
      </c>
    </row>
    <row r="35" spans="1:1" ht="15" customHeight="1">
      <c r="A35" s="11" t="s">
        <v>573</v>
      </c>
    </row>
    <row r="36" spans="1:1" ht="48" customHeight="1">
      <c r="A36" s="11" t="s">
        <v>371</v>
      </c>
    </row>
    <row r="37" spans="1:1">
      <c r="A37" s="31"/>
    </row>
    <row r="38" spans="1:1" ht="48">
      <c r="A38" s="11" t="s">
        <v>372</v>
      </c>
    </row>
    <row r="40" spans="1:1" ht="45">
      <c r="A40" s="13" t="s">
        <v>373</v>
      </c>
    </row>
    <row r="41" spans="1:1" ht="48">
      <c r="A41" s="11" t="s">
        <v>374</v>
      </c>
    </row>
    <row r="42" spans="1:1" ht="48">
      <c r="A42" s="11" t="s">
        <v>375</v>
      </c>
    </row>
    <row r="43" spans="1:1" ht="60">
      <c r="A43" s="11" t="s">
        <v>376</v>
      </c>
    </row>
    <row r="44" spans="1:1" ht="48">
      <c r="A44" s="11" t="s">
        <v>377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1"/>
  <sheetViews>
    <sheetView zoomScaleNormal="100" workbookViewId="0"/>
  </sheetViews>
  <sheetFormatPr defaultColWidth="8.7109375" defaultRowHeight="15"/>
  <cols>
    <col min="1" max="1" width="9" customWidth="1"/>
    <col min="2" max="2" width="12" customWidth="1"/>
    <col min="3" max="3" width="13" customWidth="1"/>
    <col min="4" max="4" width="8" customWidth="1"/>
    <col min="5" max="5" width="13" customWidth="1"/>
    <col min="6" max="6" width="8" customWidth="1"/>
    <col min="7" max="7" width="13" customWidth="1"/>
    <col min="8" max="8" width="8" customWidth="1"/>
    <col min="9" max="9" width="13" customWidth="1"/>
    <col min="10" max="10" width="8" customWidth="1"/>
    <col min="11" max="11" width="34" customWidth="1"/>
  </cols>
  <sheetData>
    <row r="1" spans="1:11" ht="18" customHeight="1">
      <c r="A1" s="1" t="s">
        <v>378</v>
      </c>
    </row>
    <row r="2" spans="1:11" ht="15" customHeight="1">
      <c r="A2" s="2" t="s">
        <v>379</v>
      </c>
    </row>
    <row r="4" spans="1:11" ht="15" customHeight="1">
      <c r="A4" s="3" t="s">
        <v>380</v>
      </c>
    </row>
    <row r="5" spans="1:11" ht="15" customHeight="1">
      <c r="A5" s="38" t="s">
        <v>381</v>
      </c>
      <c r="C5" s="4">
        <v>5</v>
      </c>
      <c r="D5" s="31" t="s">
        <v>382</v>
      </c>
    </row>
    <row r="6" spans="1:11" ht="15" customHeight="1">
      <c r="A6" s="38" t="s">
        <v>383</v>
      </c>
      <c r="C6" s="4">
        <v>5</v>
      </c>
      <c r="D6" s="31" t="s">
        <v>384</v>
      </c>
    </row>
    <row r="7" spans="1:11" ht="15" customHeight="1">
      <c r="A7" s="38" t="s">
        <v>385</v>
      </c>
      <c r="C7" s="4">
        <v>2.25</v>
      </c>
      <c r="D7" s="31" t="s">
        <v>386</v>
      </c>
    </row>
    <row r="8" spans="1:11" ht="84" customHeight="1">
      <c r="A8" s="38" t="s">
        <v>387</v>
      </c>
      <c r="C8" s="4">
        <v>1.25</v>
      </c>
      <c r="D8" s="31" t="s">
        <v>388</v>
      </c>
    </row>
    <row r="9" spans="1:11" ht="15" customHeight="1">
      <c r="A9" s="5" t="s">
        <v>39</v>
      </c>
      <c r="B9" s="5" t="s">
        <v>389</v>
      </c>
      <c r="C9" s="5" t="s">
        <v>390</v>
      </c>
      <c r="D9" s="5" t="s">
        <v>391</v>
      </c>
      <c r="E9" s="5" t="s">
        <v>392</v>
      </c>
      <c r="F9" s="5" t="s">
        <v>391</v>
      </c>
      <c r="G9" s="5" t="s">
        <v>393</v>
      </c>
      <c r="H9" s="5" t="s">
        <v>391</v>
      </c>
      <c r="I9" s="5" t="s">
        <v>394</v>
      </c>
      <c r="J9" s="5" t="s">
        <v>391</v>
      </c>
      <c r="K9" s="5" t="s">
        <v>117</v>
      </c>
    </row>
    <row r="10" spans="1:11" ht="15" customHeight="1">
      <c r="A10" s="8" t="s">
        <v>395</v>
      </c>
      <c r="B10" s="4"/>
      <c r="C10" s="16">
        <f>시작중량_설정!$D$7</f>
        <v>37.5</v>
      </c>
      <c r="D10" s="4"/>
      <c r="E10" s="16">
        <f>시작중량_설정!$D$8</f>
        <v>42.5</v>
      </c>
      <c r="F10" s="4"/>
      <c r="G10" s="16">
        <f>시작중량_설정!$D$9</f>
        <v>20</v>
      </c>
      <c r="H10" s="4"/>
      <c r="I10" s="16">
        <f>시작중량_설정!$D$10</f>
        <v>20</v>
      </c>
      <c r="J10" s="4"/>
      <c r="K10" s="39"/>
    </row>
    <row r="11" spans="1:11" ht="15" customHeight="1">
      <c r="A11" s="8" t="s">
        <v>41</v>
      </c>
      <c r="B11" s="4"/>
      <c r="C11" s="16">
        <f t="shared" ref="C11:C21" si="0">IF(D10="X",C10,C10+$C$6)</f>
        <v>42.5</v>
      </c>
      <c r="D11" s="4"/>
      <c r="E11" s="16">
        <f t="shared" ref="E11:E21" si="1">IF(F10="X",E10,E10+$C$5)</f>
        <v>47.5</v>
      </c>
      <c r="F11" s="4"/>
      <c r="G11" s="16">
        <f t="shared" ref="G11:G21" si="2">IF(H10="X",G10,G10+$C$7)</f>
        <v>22.25</v>
      </c>
      <c r="H11" s="4"/>
      <c r="I11" s="16">
        <f t="shared" ref="I11:I21" si="3">IF(J10="X",I10,I10+$C$8)</f>
        <v>21.25</v>
      </c>
      <c r="J11" s="4"/>
      <c r="K11" s="39"/>
    </row>
    <row r="12" spans="1:11" ht="15" customHeight="1">
      <c r="A12" s="8" t="s">
        <v>42</v>
      </c>
      <c r="B12" s="4"/>
      <c r="C12" s="16">
        <f t="shared" si="0"/>
        <v>47.5</v>
      </c>
      <c r="D12" s="4"/>
      <c r="E12" s="16">
        <f t="shared" si="1"/>
        <v>52.5</v>
      </c>
      <c r="F12" s="4"/>
      <c r="G12" s="16">
        <f t="shared" si="2"/>
        <v>24.5</v>
      </c>
      <c r="H12" s="4"/>
      <c r="I12" s="16">
        <f t="shared" si="3"/>
        <v>22.5</v>
      </c>
      <c r="J12" s="4"/>
      <c r="K12" s="39"/>
    </row>
    <row r="13" spans="1:11" ht="15" customHeight="1">
      <c r="A13" s="8" t="s">
        <v>43</v>
      </c>
      <c r="B13" s="4"/>
      <c r="C13" s="16">
        <f t="shared" si="0"/>
        <v>52.5</v>
      </c>
      <c r="D13" s="4"/>
      <c r="E13" s="16">
        <f t="shared" si="1"/>
        <v>57.5</v>
      </c>
      <c r="F13" s="4"/>
      <c r="G13" s="16">
        <f t="shared" si="2"/>
        <v>26.75</v>
      </c>
      <c r="H13" s="4"/>
      <c r="I13" s="16">
        <f t="shared" si="3"/>
        <v>23.75</v>
      </c>
      <c r="J13" s="4"/>
      <c r="K13" s="39"/>
    </row>
    <row r="14" spans="1:11" ht="15" customHeight="1">
      <c r="A14" s="8" t="s">
        <v>44</v>
      </c>
      <c r="B14" s="4"/>
      <c r="C14" s="16">
        <f t="shared" si="0"/>
        <v>57.5</v>
      </c>
      <c r="D14" s="4"/>
      <c r="E14" s="16">
        <f t="shared" si="1"/>
        <v>62.5</v>
      </c>
      <c r="F14" s="4"/>
      <c r="G14" s="16">
        <f t="shared" si="2"/>
        <v>29</v>
      </c>
      <c r="H14" s="4"/>
      <c r="I14" s="16">
        <f t="shared" si="3"/>
        <v>25</v>
      </c>
      <c r="J14" s="4"/>
      <c r="K14" s="39"/>
    </row>
    <row r="15" spans="1:11" ht="15" customHeight="1">
      <c r="A15" s="8" t="s">
        <v>45</v>
      </c>
      <c r="B15" s="4"/>
      <c r="C15" s="16">
        <f t="shared" si="0"/>
        <v>62.5</v>
      </c>
      <c r="D15" s="4"/>
      <c r="E15" s="16">
        <f t="shared" si="1"/>
        <v>67.5</v>
      </c>
      <c r="F15" s="4"/>
      <c r="G15" s="16">
        <f t="shared" si="2"/>
        <v>31.25</v>
      </c>
      <c r="H15" s="4"/>
      <c r="I15" s="16">
        <f t="shared" si="3"/>
        <v>26.25</v>
      </c>
      <c r="J15" s="4"/>
      <c r="K15" s="39"/>
    </row>
    <row r="16" spans="1:11" ht="15" customHeight="1">
      <c r="A16" s="8" t="s">
        <v>46</v>
      </c>
      <c r="B16" s="4"/>
      <c r="C16" s="16">
        <f t="shared" si="0"/>
        <v>67.5</v>
      </c>
      <c r="D16" s="4"/>
      <c r="E16" s="16">
        <f t="shared" si="1"/>
        <v>72.5</v>
      </c>
      <c r="F16" s="4"/>
      <c r="G16" s="16">
        <f t="shared" si="2"/>
        <v>33.5</v>
      </c>
      <c r="H16" s="4"/>
      <c r="I16" s="16">
        <f t="shared" si="3"/>
        <v>27.5</v>
      </c>
      <c r="J16" s="4"/>
      <c r="K16" s="39"/>
    </row>
    <row r="17" spans="1:11" ht="15" customHeight="1">
      <c r="A17" s="8" t="s">
        <v>47</v>
      </c>
      <c r="B17" s="4"/>
      <c r="C17" s="16">
        <f t="shared" si="0"/>
        <v>72.5</v>
      </c>
      <c r="D17" s="4"/>
      <c r="E17" s="16">
        <f t="shared" si="1"/>
        <v>77.5</v>
      </c>
      <c r="F17" s="4"/>
      <c r="G17" s="16">
        <f t="shared" si="2"/>
        <v>35.75</v>
      </c>
      <c r="H17" s="4"/>
      <c r="I17" s="16">
        <f t="shared" si="3"/>
        <v>28.75</v>
      </c>
      <c r="J17" s="4"/>
      <c r="K17" s="39"/>
    </row>
    <row r="18" spans="1:11" ht="15" customHeight="1">
      <c r="A18" s="8" t="s">
        <v>48</v>
      </c>
      <c r="B18" s="4"/>
      <c r="C18" s="16">
        <f t="shared" si="0"/>
        <v>77.5</v>
      </c>
      <c r="D18" s="4"/>
      <c r="E18" s="16">
        <f t="shared" si="1"/>
        <v>82.5</v>
      </c>
      <c r="F18" s="4"/>
      <c r="G18" s="16">
        <f t="shared" si="2"/>
        <v>38</v>
      </c>
      <c r="H18" s="4"/>
      <c r="I18" s="16">
        <f t="shared" si="3"/>
        <v>30</v>
      </c>
      <c r="J18" s="4"/>
      <c r="K18" s="39"/>
    </row>
    <row r="19" spans="1:11" ht="15" customHeight="1">
      <c r="A19" s="8" t="s">
        <v>49</v>
      </c>
      <c r="B19" s="4"/>
      <c r="C19" s="16">
        <f t="shared" si="0"/>
        <v>82.5</v>
      </c>
      <c r="D19" s="4"/>
      <c r="E19" s="16">
        <f t="shared" si="1"/>
        <v>87.5</v>
      </c>
      <c r="F19" s="4"/>
      <c r="G19" s="16">
        <f t="shared" si="2"/>
        <v>40.25</v>
      </c>
      <c r="H19" s="4"/>
      <c r="I19" s="16">
        <f t="shared" si="3"/>
        <v>31.25</v>
      </c>
      <c r="J19" s="4"/>
      <c r="K19" s="39"/>
    </row>
    <row r="20" spans="1:11" ht="15" customHeight="1">
      <c r="A20" s="8" t="s">
        <v>50</v>
      </c>
      <c r="B20" s="4"/>
      <c r="C20" s="16">
        <f t="shared" si="0"/>
        <v>87.5</v>
      </c>
      <c r="D20" s="4"/>
      <c r="E20" s="16">
        <f t="shared" si="1"/>
        <v>92.5</v>
      </c>
      <c r="F20" s="4"/>
      <c r="G20" s="16">
        <f t="shared" si="2"/>
        <v>42.5</v>
      </c>
      <c r="H20" s="4"/>
      <c r="I20" s="16">
        <f t="shared" si="3"/>
        <v>32.5</v>
      </c>
      <c r="J20" s="4"/>
      <c r="K20" s="39"/>
    </row>
    <row r="21" spans="1:11" ht="15" customHeight="1">
      <c r="A21" s="8" t="s">
        <v>51</v>
      </c>
      <c r="B21" s="4"/>
      <c r="C21" s="16">
        <f t="shared" si="0"/>
        <v>92.5</v>
      </c>
      <c r="D21" s="4"/>
      <c r="E21" s="16">
        <f t="shared" si="1"/>
        <v>97.5</v>
      </c>
      <c r="F21" s="4"/>
      <c r="G21" s="16">
        <f t="shared" si="2"/>
        <v>44.75</v>
      </c>
      <c r="H21" s="4"/>
      <c r="I21" s="16">
        <f t="shared" si="3"/>
        <v>33.75</v>
      </c>
      <c r="J21" s="4"/>
      <c r="K21" s="39"/>
    </row>
    <row r="23" spans="1:11" ht="108" customHeight="1">
      <c r="A23" s="11" t="s">
        <v>396</v>
      </c>
    </row>
    <row r="24" spans="1:11" ht="84" customHeight="1">
      <c r="A24" s="11" t="s">
        <v>397</v>
      </c>
    </row>
    <row r="25" spans="1:11" ht="84" customHeight="1">
      <c r="A25" s="11" t="s">
        <v>398</v>
      </c>
    </row>
    <row r="26" spans="1:11" ht="120" customHeight="1">
      <c r="A26" s="11"/>
    </row>
    <row r="27" spans="1:11" ht="96" customHeight="1">
      <c r="A27" s="11" t="s">
        <v>399</v>
      </c>
    </row>
    <row r="28" spans="1:11" ht="108" customHeight="1">
      <c r="A28" s="11" t="s">
        <v>400</v>
      </c>
    </row>
    <row r="29" spans="1:11" ht="108" customHeight="1">
      <c r="A29" s="11" t="s">
        <v>401</v>
      </c>
    </row>
    <row r="30" spans="1:11" ht="156" customHeight="1">
      <c r="A30" s="11" t="s">
        <v>402</v>
      </c>
    </row>
    <row r="31" spans="1:11" ht="96" customHeight="1">
      <c r="A31" s="11" t="s">
        <v>403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2"/>
  <sheetViews>
    <sheetView zoomScaleNormal="100" workbookViewId="0"/>
  </sheetViews>
  <sheetFormatPr defaultColWidth="8.7109375" defaultRowHeight="15"/>
  <cols>
    <col min="1" max="2" width="26" customWidth="1"/>
    <col min="3" max="3" width="60" customWidth="1"/>
  </cols>
  <sheetData>
    <row r="1" spans="1:3" ht="18" customHeight="1">
      <c r="A1" s="40" t="s">
        <v>404</v>
      </c>
    </row>
    <row r="2" spans="1:3" ht="15" customHeight="1">
      <c r="A2" s="2" t="s">
        <v>405</v>
      </c>
    </row>
    <row r="4" spans="1:3" ht="15" customHeight="1">
      <c r="A4" s="5" t="s">
        <v>406</v>
      </c>
      <c r="B4" s="5" t="s">
        <v>407</v>
      </c>
      <c r="C4" s="5" t="s">
        <v>408</v>
      </c>
    </row>
    <row r="5" spans="1:3" ht="15" customHeight="1">
      <c r="A5" s="7" t="s">
        <v>69</v>
      </c>
      <c r="B5" s="7" t="s">
        <v>409</v>
      </c>
      <c r="C5" s="18" t="s">
        <v>410</v>
      </c>
    </row>
    <row r="6" spans="1:3" ht="15" customHeight="1">
      <c r="A6" s="7" t="s">
        <v>75</v>
      </c>
      <c r="B6" s="7" t="s">
        <v>409</v>
      </c>
      <c r="C6" s="18" t="s">
        <v>411</v>
      </c>
    </row>
    <row r="7" spans="1:3" ht="15" customHeight="1">
      <c r="A7" s="7" t="s">
        <v>198</v>
      </c>
      <c r="B7" s="7" t="s">
        <v>412</v>
      </c>
      <c r="C7" s="18" t="s">
        <v>413</v>
      </c>
    </row>
    <row r="8" spans="1:3" ht="15" customHeight="1">
      <c r="A8" s="28" t="s">
        <v>414</v>
      </c>
      <c r="B8" s="28" t="s">
        <v>415</v>
      </c>
      <c r="C8" s="27" t="s">
        <v>416</v>
      </c>
    </row>
    <row r="9" spans="1:3" ht="15" customHeight="1">
      <c r="A9" s="28" t="s">
        <v>417</v>
      </c>
      <c r="B9" s="28" t="s">
        <v>415</v>
      </c>
      <c r="C9" s="27" t="s">
        <v>418</v>
      </c>
    </row>
    <row r="10" spans="1:3" ht="15" customHeight="1">
      <c r="A10" s="7" t="s">
        <v>419</v>
      </c>
      <c r="B10" s="7" t="s">
        <v>420</v>
      </c>
      <c r="C10" s="32" t="s">
        <v>421</v>
      </c>
    </row>
    <row r="11" spans="1:3" ht="15" customHeight="1">
      <c r="A11" s="7" t="s">
        <v>422</v>
      </c>
      <c r="B11" s="8" t="s">
        <v>423</v>
      </c>
      <c r="C11" s="18" t="s">
        <v>424</v>
      </c>
    </row>
    <row r="12" spans="1:3" ht="15" customHeight="1">
      <c r="A12" s="7" t="s">
        <v>425</v>
      </c>
      <c r="B12" s="7" t="s">
        <v>426</v>
      </c>
      <c r="C12" s="18" t="s">
        <v>427</v>
      </c>
    </row>
    <row r="15" spans="1:3" ht="24" customHeight="1">
      <c r="A15" s="11" t="s">
        <v>428</v>
      </c>
    </row>
    <row r="16" spans="1:3" ht="24" customHeight="1">
      <c r="A16" s="11" t="s">
        <v>429</v>
      </c>
    </row>
    <row r="17" spans="1:1" ht="36" customHeight="1">
      <c r="A17" s="11" t="s">
        <v>430</v>
      </c>
    </row>
    <row r="18" spans="1:1" ht="15" customHeight="1">
      <c r="A18" s="31"/>
    </row>
    <row r="19" spans="1:1" ht="36" customHeight="1">
      <c r="A19" s="11" t="s">
        <v>431</v>
      </c>
    </row>
    <row r="20" spans="1:1" ht="36" customHeight="1">
      <c r="A20" s="11" t="s">
        <v>432</v>
      </c>
    </row>
    <row r="22" spans="1:1" ht="48" customHeight="1">
      <c r="A22" s="13" t="s">
        <v>433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2"/>
  <sheetViews>
    <sheetView zoomScaleNormal="100" workbookViewId="0"/>
  </sheetViews>
  <sheetFormatPr defaultColWidth="8.7109375" defaultRowHeight="15"/>
  <cols>
    <col min="1" max="1" width="8" customWidth="1"/>
    <col min="2" max="3" width="20" customWidth="1"/>
    <col min="4" max="4" width="16" customWidth="1"/>
    <col min="5" max="5" width="10" customWidth="1"/>
    <col min="6" max="6" width="62" customWidth="1"/>
  </cols>
  <sheetData>
    <row r="1" spans="1:6" ht="17.25" customHeight="1">
      <c r="A1" s="1" t="s">
        <v>434</v>
      </c>
    </row>
    <row r="2" spans="1:6" ht="15" customHeight="1">
      <c r="A2" s="41" t="s">
        <v>435</v>
      </c>
    </row>
    <row r="3" spans="1:6" ht="16.5" customHeight="1">
      <c r="A3" s="3" t="s">
        <v>436</v>
      </c>
    </row>
    <row r="5" spans="1:6" ht="15" customHeight="1">
      <c r="A5" s="5" t="s">
        <v>55</v>
      </c>
      <c r="B5" s="5" t="s">
        <v>437</v>
      </c>
      <c r="C5" s="5" t="s">
        <v>438</v>
      </c>
      <c r="D5" s="5" t="s">
        <v>439</v>
      </c>
      <c r="E5" s="5" t="s">
        <v>104</v>
      </c>
      <c r="F5" s="5" t="s">
        <v>440</v>
      </c>
    </row>
    <row r="6" spans="1:6" ht="15" customHeight="1">
      <c r="A6" s="19" t="s">
        <v>60</v>
      </c>
      <c r="B6" s="21" t="s">
        <v>441</v>
      </c>
      <c r="C6" s="21" t="s">
        <v>441</v>
      </c>
      <c r="D6" s="19" t="s">
        <v>72</v>
      </c>
      <c r="E6" s="19">
        <v>0</v>
      </c>
      <c r="F6" s="42" t="s">
        <v>442</v>
      </c>
    </row>
    <row r="7" spans="1:6" ht="15" customHeight="1">
      <c r="A7" s="7" t="s">
        <v>64</v>
      </c>
      <c r="B7" s="8" t="s">
        <v>441</v>
      </c>
      <c r="C7" s="8" t="s">
        <v>441</v>
      </c>
      <c r="D7" s="28" t="s">
        <v>443</v>
      </c>
      <c r="E7" s="7">
        <f>복귀_화_상체밀기!$E$10</f>
        <v>19</v>
      </c>
      <c r="F7" s="32" t="s">
        <v>444</v>
      </c>
    </row>
    <row r="8" spans="1:6" ht="15" customHeight="1">
      <c r="A8" s="19" t="s">
        <v>68</v>
      </c>
      <c r="B8" s="21" t="s">
        <v>445</v>
      </c>
      <c r="C8" s="21" t="s">
        <v>441</v>
      </c>
      <c r="D8" s="19" t="s">
        <v>72</v>
      </c>
      <c r="E8" s="19">
        <v>0</v>
      </c>
      <c r="F8" s="42" t="s">
        <v>446</v>
      </c>
    </row>
    <row r="9" spans="1:6" ht="15" customHeight="1">
      <c r="A9" s="19" t="s">
        <v>71</v>
      </c>
      <c r="B9" s="21" t="s">
        <v>445</v>
      </c>
      <c r="C9" s="21" t="s">
        <v>445</v>
      </c>
      <c r="D9" s="19" t="s">
        <v>72</v>
      </c>
      <c r="E9" s="19">
        <v>0</v>
      </c>
      <c r="F9" s="42" t="s">
        <v>447</v>
      </c>
    </row>
    <row r="10" spans="1:6" ht="15" customHeight="1">
      <c r="A10" s="19" t="s">
        <v>74</v>
      </c>
      <c r="B10" s="21" t="s">
        <v>441</v>
      </c>
      <c r="C10" s="21" t="s">
        <v>445</v>
      </c>
      <c r="D10" s="19" t="s">
        <v>72</v>
      </c>
      <c r="E10" s="19">
        <v>0</v>
      </c>
      <c r="F10" s="42" t="s">
        <v>448</v>
      </c>
    </row>
    <row r="11" spans="1:6" ht="15" customHeight="1">
      <c r="A11" s="7" t="s">
        <v>78</v>
      </c>
      <c r="B11" s="7" t="s">
        <v>449</v>
      </c>
      <c r="C11" s="7" t="s">
        <v>449</v>
      </c>
      <c r="D11" s="28" t="s">
        <v>75</v>
      </c>
      <c r="E11" s="7">
        <f>복귀_토_하체!$E$10</f>
        <v>15</v>
      </c>
      <c r="F11" s="18" t="s">
        <v>450</v>
      </c>
    </row>
    <row r="12" spans="1:6" ht="15" customHeight="1">
      <c r="A12" s="7" t="s">
        <v>80</v>
      </c>
      <c r="B12" s="7" t="s">
        <v>451</v>
      </c>
      <c r="C12" s="7" t="s">
        <v>451</v>
      </c>
      <c r="D12" s="28" t="s">
        <v>69</v>
      </c>
      <c r="E12" s="7">
        <f>복귀_일_등!$E$10</f>
        <v>13</v>
      </c>
      <c r="F12" s="18" t="s">
        <v>452</v>
      </c>
    </row>
    <row r="13" spans="1:6" ht="15" customHeight="1">
      <c r="A13" s="22" t="s">
        <v>81</v>
      </c>
      <c r="B13" s="22"/>
      <c r="C13" s="22"/>
      <c r="D13" s="22"/>
      <c r="E13" s="22">
        <f>SUM(E6:E12)</f>
        <v>47</v>
      </c>
      <c r="F13" s="23"/>
    </row>
    <row r="15" spans="1:6" ht="48" customHeight="1">
      <c r="A15" s="13" t="s">
        <v>453</v>
      </c>
    </row>
    <row r="16" spans="1:6" ht="141" customHeight="1">
      <c r="A16" s="11" t="s">
        <v>454</v>
      </c>
    </row>
    <row r="17" spans="1:1" ht="126" customHeight="1">
      <c r="A17" s="11" t="s">
        <v>455</v>
      </c>
    </row>
    <row r="18" spans="1:1" ht="77.25" customHeight="1">
      <c r="A18" s="11" t="s">
        <v>456</v>
      </c>
    </row>
    <row r="19" spans="1:1" ht="115.5" customHeight="1">
      <c r="A19" s="11" t="s">
        <v>457</v>
      </c>
    </row>
    <row r="20" spans="1:1" ht="15" customHeight="1">
      <c r="A20" s="31"/>
    </row>
    <row r="21" spans="1:1" ht="48" customHeight="1">
      <c r="A21" s="13" t="s">
        <v>458</v>
      </c>
    </row>
    <row r="22" spans="1:1" ht="141" customHeight="1">
      <c r="A22" s="11" t="s">
        <v>459</v>
      </c>
    </row>
    <row r="23" spans="1:1" ht="77.25" customHeight="1">
      <c r="A23" s="11" t="s">
        <v>460</v>
      </c>
    </row>
    <row r="24" spans="1:1" ht="90" customHeight="1">
      <c r="A24" s="11" t="s">
        <v>461</v>
      </c>
    </row>
    <row r="25" spans="1:1" ht="128.25" customHeight="1">
      <c r="A25" s="11" t="s">
        <v>462</v>
      </c>
    </row>
    <row r="26" spans="1:1" ht="128.25" customHeight="1">
      <c r="A26" s="11" t="s">
        <v>463</v>
      </c>
    </row>
    <row r="27" spans="1:1" ht="15" customHeight="1">
      <c r="A27" s="31"/>
    </row>
    <row r="28" spans="1:1" ht="48" customHeight="1">
      <c r="A28" s="13" t="s">
        <v>464</v>
      </c>
    </row>
    <row r="29" spans="1:1" ht="75" customHeight="1">
      <c r="A29" s="11" t="s">
        <v>465</v>
      </c>
    </row>
    <row r="30" spans="1:1" ht="102.75" customHeight="1">
      <c r="A30" s="11" t="s">
        <v>466</v>
      </c>
    </row>
    <row r="31" spans="1:1" ht="90" customHeight="1">
      <c r="A31" s="11" t="s">
        <v>467</v>
      </c>
    </row>
    <row r="32" spans="1:1" ht="128.25" customHeight="1">
      <c r="A32" s="11" t="s">
        <v>468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5"/>
  <sheetViews>
    <sheetView zoomScaleNormal="100" workbookViewId="0">
      <selection activeCell="F14" sqref="F14"/>
    </sheetView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469</v>
      </c>
    </row>
    <row r="2" spans="1:8" ht="15" customHeight="1">
      <c r="A2" s="2" t="s">
        <v>470</v>
      </c>
    </row>
    <row r="4" spans="1:8" ht="15" customHeight="1">
      <c r="A4" s="6" t="s">
        <v>113</v>
      </c>
      <c r="B4" s="5" t="s">
        <v>4</v>
      </c>
      <c r="C4" s="5" t="s">
        <v>114</v>
      </c>
      <c r="D4" s="5" t="s">
        <v>102</v>
      </c>
      <c r="E4" s="5" t="s">
        <v>104</v>
      </c>
      <c r="F4" s="5" t="s">
        <v>115</v>
      </c>
      <c r="G4" s="5" t="s">
        <v>117</v>
      </c>
      <c r="H4" s="5" t="s">
        <v>118</v>
      </c>
    </row>
    <row r="5" spans="1:8" ht="15" customHeight="1">
      <c r="A5" s="28">
        <v>1</v>
      </c>
      <c r="B5" s="27" t="s">
        <v>14</v>
      </c>
      <c r="C5" s="28" t="s">
        <v>120</v>
      </c>
      <c r="D5" s="28" t="s">
        <v>471</v>
      </c>
      <c r="E5" s="28">
        <v>5</v>
      </c>
      <c r="F5" s="26" t="s">
        <v>121</v>
      </c>
      <c r="G5" s="27" t="s">
        <v>472</v>
      </c>
      <c r="H5" s="27" t="s">
        <v>473</v>
      </c>
    </row>
    <row r="6" spans="1:8" ht="15" customHeight="1">
      <c r="A6" s="7">
        <v>2</v>
      </c>
      <c r="B6" s="18" t="s">
        <v>125</v>
      </c>
      <c r="C6" s="7" t="s">
        <v>120</v>
      </c>
      <c r="D6" s="8" t="s">
        <v>73</v>
      </c>
      <c r="E6" s="7">
        <v>3</v>
      </c>
      <c r="F6" s="8" t="s">
        <v>127</v>
      </c>
      <c r="G6" s="18" t="s">
        <v>474</v>
      </c>
      <c r="H6" s="18" t="s">
        <v>475</v>
      </c>
    </row>
    <row r="7" spans="1:8" ht="15" customHeight="1">
      <c r="A7" s="7">
        <v>3</v>
      </c>
      <c r="B7" s="18" t="s">
        <v>131</v>
      </c>
      <c r="C7" s="7" t="s">
        <v>132</v>
      </c>
      <c r="D7" s="8" t="s">
        <v>73</v>
      </c>
      <c r="E7" s="7">
        <v>3</v>
      </c>
      <c r="F7" s="8" t="s">
        <v>134</v>
      </c>
      <c r="G7" s="18"/>
      <c r="H7" s="18" t="s">
        <v>476</v>
      </c>
    </row>
    <row r="8" spans="1:8" ht="15" customHeight="1">
      <c r="A8" s="7">
        <v>4</v>
      </c>
      <c r="B8" s="18" t="s">
        <v>163</v>
      </c>
      <c r="C8" s="7" t="s">
        <v>164</v>
      </c>
      <c r="D8" s="8" t="s">
        <v>134</v>
      </c>
      <c r="E8" s="7">
        <v>4</v>
      </c>
      <c r="F8" s="8" t="s">
        <v>137</v>
      </c>
      <c r="G8" s="18" t="s">
        <v>477</v>
      </c>
      <c r="H8" s="18" t="s">
        <v>478</v>
      </c>
    </row>
    <row r="9" spans="1:8" ht="15" customHeight="1">
      <c r="A9" s="7">
        <v>5</v>
      </c>
      <c r="B9" s="18" t="s">
        <v>166</v>
      </c>
      <c r="C9" s="7" t="s">
        <v>167</v>
      </c>
      <c r="D9" s="8" t="s">
        <v>134</v>
      </c>
      <c r="E9" s="7">
        <v>4</v>
      </c>
      <c r="F9" s="8" t="s">
        <v>137</v>
      </c>
      <c r="G9" s="18" t="s">
        <v>479</v>
      </c>
      <c r="H9" s="18" t="s">
        <v>480</v>
      </c>
    </row>
    <row r="10" spans="1:8" ht="15" customHeight="1">
      <c r="D10" s="30" t="s">
        <v>145</v>
      </c>
      <c r="E10" s="22">
        <f>SUM(E5:E9)</f>
        <v>19</v>
      </c>
    </row>
    <row r="12" spans="1:8" ht="32.25" customHeight="1">
      <c r="A12" s="12" t="s">
        <v>481</v>
      </c>
    </row>
    <row r="13" spans="1:8" ht="278.25" customHeight="1">
      <c r="A13" s="11" t="s">
        <v>482</v>
      </c>
    </row>
    <row r="14" spans="1:8" ht="237.75" customHeight="1">
      <c r="A14" s="11" t="s">
        <v>483</v>
      </c>
    </row>
    <row r="15" spans="1:8" ht="237.75" customHeight="1">
      <c r="A15" s="11" t="s">
        <v>484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5"/>
  <sheetViews>
    <sheetView zoomScaleNormal="100" workbookViewId="0"/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485</v>
      </c>
    </row>
    <row r="2" spans="1:8" ht="15" customHeight="1">
      <c r="A2" s="2" t="s">
        <v>486</v>
      </c>
    </row>
    <row r="4" spans="1:8" ht="15" customHeight="1">
      <c r="A4" s="6" t="s">
        <v>113</v>
      </c>
      <c r="B4" s="5" t="s">
        <v>4</v>
      </c>
      <c r="C4" s="5" t="s">
        <v>114</v>
      </c>
      <c r="D4" s="5" t="s">
        <v>102</v>
      </c>
      <c r="E4" s="5" t="s">
        <v>104</v>
      </c>
      <c r="F4" s="5" t="s">
        <v>115</v>
      </c>
      <c r="G4" s="5" t="s">
        <v>117</v>
      </c>
      <c r="H4" s="5" t="s">
        <v>118</v>
      </c>
    </row>
    <row r="5" spans="1:8" ht="29.25" customHeight="1">
      <c r="A5" s="28">
        <v>1</v>
      </c>
      <c r="B5" s="27" t="s">
        <v>10</v>
      </c>
      <c r="C5" s="28" t="s">
        <v>250</v>
      </c>
      <c r="D5" s="28" t="s">
        <v>471</v>
      </c>
      <c r="E5" s="28">
        <v>3</v>
      </c>
      <c r="F5" s="26" t="s">
        <v>121</v>
      </c>
      <c r="G5" s="27" t="s">
        <v>487</v>
      </c>
      <c r="H5" s="27" t="s">
        <v>488</v>
      </c>
    </row>
    <row r="6" spans="1:8" ht="15" customHeight="1">
      <c r="A6" s="7">
        <v>2</v>
      </c>
      <c r="B6" s="18" t="s">
        <v>254</v>
      </c>
      <c r="C6" s="7" t="s">
        <v>255</v>
      </c>
      <c r="D6" s="8" t="s">
        <v>73</v>
      </c>
      <c r="E6" s="7">
        <v>3</v>
      </c>
      <c r="F6" s="8" t="s">
        <v>256</v>
      </c>
      <c r="G6" s="18" t="s">
        <v>489</v>
      </c>
      <c r="H6" s="18" t="s">
        <v>490</v>
      </c>
    </row>
    <row r="7" spans="1:8" ht="15" customHeight="1">
      <c r="A7" s="7">
        <v>3</v>
      </c>
      <c r="B7" s="18" t="s">
        <v>263</v>
      </c>
      <c r="C7" s="7" t="s">
        <v>255</v>
      </c>
      <c r="D7" s="8" t="s">
        <v>73</v>
      </c>
      <c r="E7" s="7">
        <v>3</v>
      </c>
      <c r="F7" s="8" t="s">
        <v>138</v>
      </c>
      <c r="G7" s="18" t="s">
        <v>491</v>
      </c>
      <c r="H7" s="18" t="s">
        <v>492</v>
      </c>
    </row>
    <row r="8" spans="1:8" ht="15" customHeight="1">
      <c r="A8" s="7">
        <v>4</v>
      </c>
      <c r="B8" s="18" t="s">
        <v>270</v>
      </c>
      <c r="C8" s="7" t="s">
        <v>271</v>
      </c>
      <c r="D8" s="8" t="s">
        <v>73</v>
      </c>
      <c r="E8" s="7">
        <v>3</v>
      </c>
      <c r="F8" s="8" t="s">
        <v>137</v>
      </c>
      <c r="G8" s="18"/>
      <c r="H8" s="18" t="s">
        <v>493</v>
      </c>
    </row>
    <row r="9" spans="1:8" ht="15" customHeight="1">
      <c r="A9" s="7">
        <v>5</v>
      </c>
      <c r="B9" s="18" t="s">
        <v>15</v>
      </c>
      <c r="C9" s="7" t="s">
        <v>160</v>
      </c>
      <c r="D9" s="7" t="s">
        <v>471</v>
      </c>
      <c r="E9" s="7">
        <v>3</v>
      </c>
      <c r="F9" s="8" t="s">
        <v>121</v>
      </c>
      <c r="G9" s="18" t="s">
        <v>494</v>
      </c>
      <c r="H9" s="18" t="s">
        <v>495</v>
      </c>
    </row>
    <row r="10" spans="1:8" ht="15" customHeight="1">
      <c r="D10" s="30" t="s">
        <v>145</v>
      </c>
      <c r="E10" s="22">
        <f>SUM(E5:E9)</f>
        <v>15</v>
      </c>
    </row>
    <row r="12" spans="1:8" ht="76.5" customHeight="1">
      <c r="A12" s="12" t="s">
        <v>496</v>
      </c>
    </row>
    <row r="13" spans="1:8" ht="265.5" customHeight="1">
      <c r="A13" s="11" t="s">
        <v>497</v>
      </c>
    </row>
    <row r="14" spans="1:8" ht="293.25" customHeight="1">
      <c r="A14" s="11" t="s">
        <v>498</v>
      </c>
    </row>
    <row r="15" spans="1:8" ht="276" customHeight="1">
      <c r="A15" s="11" t="s">
        <v>499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0"/>
  <sheetViews>
    <sheetView zoomScaleNormal="100" workbookViewId="0"/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500</v>
      </c>
    </row>
    <row r="2" spans="1:8" ht="15" customHeight="1">
      <c r="A2" s="2" t="s">
        <v>501</v>
      </c>
    </row>
    <row r="4" spans="1:8" ht="15" customHeight="1">
      <c r="A4" s="6" t="s">
        <v>113</v>
      </c>
      <c r="B4" s="5" t="s">
        <v>4</v>
      </c>
      <c r="C4" s="5" t="s">
        <v>114</v>
      </c>
      <c r="D4" s="5" t="s">
        <v>102</v>
      </c>
      <c r="E4" s="5" t="s">
        <v>104</v>
      </c>
      <c r="F4" s="5" t="s">
        <v>115</v>
      </c>
      <c r="G4" s="5" t="s">
        <v>117</v>
      </c>
      <c r="H4" s="5" t="s">
        <v>118</v>
      </c>
    </row>
    <row r="5" spans="1:8" ht="29.25" customHeight="1">
      <c r="A5" s="28">
        <v>1</v>
      </c>
      <c r="B5" s="27" t="s">
        <v>12</v>
      </c>
      <c r="C5" s="28" t="s">
        <v>198</v>
      </c>
      <c r="D5" s="26" t="s">
        <v>502</v>
      </c>
      <c r="E5" s="28">
        <v>1</v>
      </c>
      <c r="F5" s="26" t="s">
        <v>121</v>
      </c>
      <c r="G5" s="27" t="s">
        <v>503</v>
      </c>
      <c r="H5" s="27" t="s">
        <v>504</v>
      </c>
    </row>
    <row r="6" spans="1:8" ht="15" customHeight="1">
      <c r="A6" s="7">
        <v>2</v>
      </c>
      <c r="B6" s="18" t="s">
        <v>505</v>
      </c>
      <c r="C6" s="7" t="s">
        <v>175</v>
      </c>
      <c r="D6" s="8" t="s">
        <v>73</v>
      </c>
      <c r="E6" s="7">
        <v>3</v>
      </c>
      <c r="F6" s="8" t="s">
        <v>134</v>
      </c>
      <c r="G6" s="18" t="s">
        <v>506</v>
      </c>
      <c r="H6" s="18" t="s">
        <v>507</v>
      </c>
    </row>
    <row r="7" spans="1:8" ht="15" customHeight="1">
      <c r="A7" s="7">
        <v>3</v>
      </c>
      <c r="B7" s="18" t="s">
        <v>508</v>
      </c>
      <c r="C7" s="7" t="s">
        <v>175</v>
      </c>
      <c r="D7" s="7" t="s">
        <v>142</v>
      </c>
      <c r="E7" s="7">
        <v>3</v>
      </c>
      <c r="F7" s="8" t="s">
        <v>212</v>
      </c>
      <c r="G7" s="18" t="s">
        <v>506</v>
      </c>
      <c r="H7" s="18" t="s">
        <v>509</v>
      </c>
    </row>
    <row r="8" spans="1:8" ht="15" customHeight="1">
      <c r="A8" s="7">
        <v>4</v>
      </c>
      <c r="B8" s="18" t="s">
        <v>216</v>
      </c>
      <c r="C8" s="7" t="s">
        <v>175</v>
      </c>
      <c r="D8" s="8" t="s">
        <v>73</v>
      </c>
      <c r="E8" s="7">
        <v>3</v>
      </c>
      <c r="F8" s="8" t="s">
        <v>127</v>
      </c>
      <c r="G8" s="18" t="s">
        <v>510</v>
      </c>
      <c r="H8" s="18" t="s">
        <v>511</v>
      </c>
    </row>
    <row r="9" spans="1:8" ht="15" customHeight="1">
      <c r="A9" s="7">
        <v>5</v>
      </c>
      <c r="B9" s="18" t="s">
        <v>180</v>
      </c>
      <c r="C9" s="7" t="s">
        <v>181</v>
      </c>
      <c r="D9" s="8" t="s">
        <v>182</v>
      </c>
      <c r="E9" s="7">
        <v>3</v>
      </c>
      <c r="F9" s="8" t="s">
        <v>137</v>
      </c>
      <c r="G9" s="18" t="s">
        <v>512</v>
      </c>
      <c r="H9" s="18" t="s">
        <v>513</v>
      </c>
    </row>
    <row r="10" spans="1:8" ht="15" customHeight="1">
      <c r="D10" s="30" t="s">
        <v>145</v>
      </c>
      <c r="E10" s="22">
        <f>SUM(E5:E9)</f>
        <v>13</v>
      </c>
    </row>
    <row r="12" spans="1:8" ht="92.25" customHeight="1">
      <c r="A12" s="12" t="s">
        <v>514</v>
      </c>
    </row>
    <row r="13" spans="1:8" ht="233.25" customHeight="1">
      <c r="A13" s="11" t="s">
        <v>515</v>
      </c>
    </row>
    <row r="14" spans="1:8" ht="240" customHeight="1">
      <c r="A14" s="11" t="s">
        <v>516</v>
      </c>
    </row>
    <row r="15" spans="1:8" ht="278.25" customHeight="1">
      <c r="A15" s="11" t="s">
        <v>517</v>
      </c>
    </row>
    <row r="16" spans="1:8" ht="15" customHeight="1">
      <c r="A16" s="31"/>
    </row>
    <row r="17" spans="1:1" ht="95.25" customHeight="1">
      <c r="A17" s="12" t="s">
        <v>518</v>
      </c>
    </row>
    <row r="18" spans="1:1" ht="252.75" customHeight="1">
      <c r="A18" s="11" t="s">
        <v>519</v>
      </c>
    </row>
    <row r="19" spans="1:1" ht="237.75" customHeight="1">
      <c r="A19" s="11" t="s">
        <v>520</v>
      </c>
    </row>
    <row r="20" spans="1:1" ht="265.5" customHeight="1">
      <c r="A20" s="11" t="s">
        <v>521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5"/>
  <sheetViews>
    <sheetView zoomScaleNormal="100" workbookViewId="0"/>
  </sheetViews>
  <sheetFormatPr defaultColWidth="8.7109375" defaultRowHeight="15"/>
  <cols>
    <col min="1" max="1" width="18" customWidth="1"/>
    <col min="2" max="3" width="22" customWidth="1"/>
    <col min="4" max="4" width="62" customWidth="1"/>
  </cols>
  <sheetData>
    <row r="1" spans="1:4" ht="17.25" customHeight="1">
      <c r="A1" s="1" t="s">
        <v>522</v>
      </c>
    </row>
    <row r="2" spans="1:4" ht="15" customHeight="1">
      <c r="A2" s="2" t="s">
        <v>523</v>
      </c>
    </row>
    <row r="4" spans="1:4" ht="15" customHeight="1">
      <c r="A4" s="5" t="s">
        <v>524</v>
      </c>
      <c r="B4" s="5" t="s">
        <v>525</v>
      </c>
      <c r="C4" s="5" t="s">
        <v>526</v>
      </c>
      <c r="D4" s="5" t="s">
        <v>408</v>
      </c>
    </row>
    <row r="5" spans="1:4" ht="15" customHeight="1">
      <c r="A5" s="7" t="s">
        <v>419</v>
      </c>
      <c r="B5" s="7" t="s">
        <v>527</v>
      </c>
      <c r="C5" s="7" t="s">
        <v>528</v>
      </c>
      <c r="D5" s="32" t="s">
        <v>529</v>
      </c>
    </row>
    <row r="6" spans="1:4" ht="15" customHeight="1">
      <c r="A6" s="7" t="s">
        <v>530</v>
      </c>
      <c r="B6" s="8" t="s">
        <v>531</v>
      </c>
      <c r="C6" s="7" t="s">
        <v>532</v>
      </c>
      <c r="D6" s="18" t="s">
        <v>533</v>
      </c>
    </row>
    <row r="7" spans="1:4" ht="15" customHeight="1">
      <c r="A7" s="7" t="s">
        <v>534</v>
      </c>
      <c r="B7" s="7" t="s">
        <v>535</v>
      </c>
      <c r="C7" s="8" t="s">
        <v>536</v>
      </c>
      <c r="D7" s="18" t="s">
        <v>537</v>
      </c>
    </row>
    <row r="8" spans="1:4" ht="15" customHeight="1">
      <c r="A8" s="7" t="s">
        <v>538</v>
      </c>
      <c r="B8" s="7" t="s">
        <v>539</v>
      </c>
      <c r="C8" s="8" t="s">
        <v>540</v>
      </c>
      <c r="D8" s="18" t="s">
        <v>541</v>
      </c>
    </row>
    <row r="9" spans="1:4" ht="15" customHeight="1">
      <c r="A9" s="7" t="s">
        <v>542</v>
      </c>
      <c r="B9" s="8" t="s">
        <v>543</v>
      </c>
      <c r="C9" s="8" t="s">
        <v>544</v>
      </c>
      <c r="D9" s="18" t="s">
        <v>545</v>
      </c>
    </row>
    <row r="10" spans="1:4" ht="15" customHeight="1">
      <c r="A10" s="7" t="s">
        <v>12</v>
      </c>
      <c r="B10" s="8" t="s">
        <v>546</v>
      </c>
      <c r="C10" s="8" t="s">
        <v>547</v>
      </c>
      <c r="D10" s="18" t="s">
        <v>548</v>
      </c>
    </row>
    <row r="11" spans="1:4" ht="15" customHeight="1">
      <c r="A11" s="7" t="s">
        <v>10</v>
      </c>
      <c r="B11" s="8" t="s">
        <v>549</v>
      </c>
      <c r="C11" s="8" t="s">
        <v>550</v>
      </c>
      <c r="D11" s="18" t="s">
        <v>551</v>
      </c>
    </row>
    <row r="12" spans="1:4" ht="15" customHeight="1">
      <c r="A12" s="7" t="s">
        <v>552</v>
      </c>
      <c r="B12" s="8" t="s">
        <v>553</v>
      </c>
      <c r="C12" s="8" t="s">
        <v>554</v>
      </c>
      <c r="D12" s="18" t="s">
        <v>555</v>
      </c>
    </row>
    <row r="15" spans="1:4" ht="15" customHeight="1">
      <c r="A15" s="3" t="s">
        <v>425</v>
      </c>
    </row>
    <row r="16" spans="1:4" ht="39" customHeight="1">
      <c r="A16" s="11" t="s">
        <v>556</v>
      </c>
    </row>
    <row r="17" spans="1:1" ht="51.75" customHeight="1">
      <c r="A17" s="11" t="s">
        <v>557</v>
      </c>
    </row>
    <row r="18" spans="1:1" ht="39" customHeight="1">
      <c r="A18" s="11" t="s">
        <v>558</v>
      </c>
    </row>
    <row r="19" spans="1:1" ht="39" customHeight="1">
      <c r="A19" s="11" t="s">
        <v>559</v>
      </c>
    </row>
    <row r="20" spans="1:1" ht="15" customHeight="1">
      <c r="A20" s="31"/>
    </row>
    <row r="21" spans="1:1" ht="51.75" customHeight="1">
      <c r="A21" s="11" t="s">
        <v>560</v>
      </c>
    </row>
    <row r="22" spans="1:1" ht="39" customHeight="1">
      <c r="A22" s="11" t="s">
        <v>561</v>
      </c>
    </row>
    <row r="23" spans="1:1" ht="15" customHeight="1">
      <c r="A23" s="31"/>
    </row>
    <row r="24" spans="1:1" ht="51.75" customHeight="1">
      <c r="A24" s="11" t="s">
        <v>562</v>
      </c>
    </row>
    <row r="25" spans="1:1" ht="39" customHeight="1">
      <c r="A25" s="11" t="s">
        <v>563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시작중량_설정</vt:lpstr>
      <vt:lpstr>주간계획</vt:lpstr>
      <vt:lpstr>월_가슴</vt:lpstr>
      <vt:lpstr>화_어깨</vt:lpstr>
      <vt:lpstr>수_등</vt:lpstr>
      <vt:lpstr>금_하체</vt:lpstr>
      <vt:lpstr>토_둔근팔복부</vt:lpstr>
      <vt:lpstr>세트검산</vt:lpstr>
      <vt:lpstr>증량기록</vt:lpstr>
      <vt:lpstr>9월이후조정</vt:lpstr>
      <vt:lpstr>복귀_주간계획</vt:lpstr>
      <vt:lpstr>복귀_화_상체밀기</vt:lpstr>
      <vt:lpstr>복귀_토_하체</vt:lpstr>
      <vt:lpstr>복귀_일_등</vt:lpstr>
      <vt:lpstr>복귀_증량원칙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승태 최</cp:lastModifiedBy>
  <cp:revision>0</cp:revision>
  <dcterms:created xsi:type="dcterms:W3CDTF">2026-07-28T16:37:37Z</dcterms:created>
  <dcterms:modified xsi:type="dcterms:W3CDTF">2026-08-04T10:27:27Z</dcterms:modified>
  <dc:language>en-US</dc:language>
</cp:coreProperties>
</file>