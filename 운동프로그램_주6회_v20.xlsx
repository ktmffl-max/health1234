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2597" documentId="11_6AF0B42629B6F5CFF7DAC05DB27E968F34409905" xr6:coauthVersionLast="47" xr6:coauthVersionMax="47" xr10:uidLastSave="{AB39C404-30E5-432E-85A7-03D099232928}"/>
  <bookViews>
    <workbookView xWindow="-120" yWindow="-120" windowWidth="38640" windowHeight="21120" tabRatio="976" firstSheet="5" activeTab="21"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수평당기기" sheetId="17" r:id="rId17"/>
    <sheet name="복귀_집계단" sheetId="27" r:id="rId18"/>
    <sheet name="복귀_월_가슴" sheetId="18" r:id="rId19"/>
    <sheet name="복귀_화_팔" sheetId="19" r:id="rId20"/>
    <sheet name="복귀_수_하체후면" sheetId="20" r:id="rId21"/>
    <sheet name="복귀_목_수직당기기" sheetId="21" r:id="rId22"/>
    <sheet name="복귀_캐리" sheetId="25" r:id="rId23"/>
    <sheet name="복귀_스텝박스" sheetId="26" r:id="rId24"/>
    <sheet name="복귀_증량원칙" sheetId="22" r:id="rId25"/>
    <sheet name="복귀_간접계수맵" sheetId="23" r:id="rId26"/>
    <sheet name="복귀_세트검산" sheetId="24" r:id="rId2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2" i="1" l="1"/>
  <c r="D12" i="21" s="1"/>
  <c r="AJ29" i="13"/>
  <c r="AJ30" i="13" s="1"/>
  <c r="AJ31" i="13" s="1"/>
  <c r="AJ32" i="13" s="1"/>
  <c r="AJ33" i="13" s="1"/>
  <c r="AJ34" i="13" s="1"/>
  <c r="AJ35" i="13" s="1"/>
  <c r="AJ36" i="13" s="1"/>
  <c r="AJ37" i="13" s="1"/>
  <c r="AJ38" i="13" s="1"/>
  <c r="AJ39" i="13" s="1"/>
  <c r="AJ40" i="13" s="1"/>
  <c r="AJ41" i="13" s="1"/>
  <c r="AJ42" i="13" s="1"/>
  <c r="AJ43" i="13" s="1"/>
  <c r="AJ44" i="13" s="1"/>
  <c r="AJ45" i="13" s="1"/>
  <c r="AJ46" i="13" s="1"/>
  <c r="AJ47" i="13" s="1"/>
  <c r="AJ48" i="13" s="1"/>
  <c r="AJ49" i="13" s="1"/>
  <c r="AJ50" i="13" s="1"/>
  <c r="AJ51" i="13" s="1"/>
  <c r="E21" i="1"/>
  <c r="D19" i="19" s="1"/>
  <c r="AH29" i="13"/>
  <c r="AH30" i="13" s="1"/>
  <c r="AH31" i="13" s="1"/>
  <c r="AH32" i="13" s="1"/>
  <c r="AH33" i="13" s="1"/>
  <c r="AH34" i="13" s="1"/>
  <c r="AH35" i="13" s="1"/>
  <c r="AH36" i="13" s="1"/>
  <c r="AH37" i="13" s="1"/>
  <c r="AH38" i="13" s="1"/>
  <c r="AH39" i="13" s="1"/>
  <c r="AH40" i="13" s="1"/>
  <c r="AH41" i="13" s="1"/>
  <c r="AH42" i="13" s="1"/>
  <c r="AH43" i="13" s="1"/>
  <c r="AH44" i="13" s="1"/>
  <c r="AH45" i="13" s="1"/>
  <c r="AH46" i="13" s="1"/>
  <c r="AH47" i="13" s="1"/>
  <c r="AH48" i="13" s="1"/>
  <c r="AH49" i="13" s="1"/>
  <c r="AH50" i="13" s="1"/>
  <c r="AH51" i="13" s="1"/>
  <c r="E20" i="1"/>
  <c r="D16" i="19" s="1"/>
  <c r="AF29" i="13"/>
  <c r="AF30" i="13" s="1"/>
  <c r="AF31" i="13" s="1"/>
  <c r="AF32" i="13" s="1"/>
  <c r="AF33" i="13" s="1"/>
  <c r="AF34" i="13" s="1"/>
  <c r="AF35" i="13" s="1"/>
  <c r="AF36" i="13" s="1"/>
  <c r="AF37" i="13" s="1"/>
  <c r="AF38" i="13" s="1"/>
  <c r="AF39" i="13" s="1"/>
  <c r="AF40" i="13" s="1"/>
  <c r="AF41" i="13" s="1"/>
  <c r="AF42" i="13" s="1"/>
  <c r="AF43" i="13" s="1"/>
  <c r="AF44" i="13" s="1"/>
  <c r="AF45" i="13" s="1"/>
  <c r="AF46" i="13" s="1"/>
  <c r="AF47" i="13" s="1"/>
  <c r="AF48" i="13" s="1"/>
  <c r="AF49" i="13" s="1"/>
  <c r="AF50" i="13" s="1"/>
  <c r="AF51" i="13" s="1"/>
  <c r="E19" i="1"/>
  <c r="D26" i="18" s="1"/>
  <c r="AD29" i="13"/>
  <c r="AD30" i="13" s="1"/>
  <c r="AD31" i="13" s="1"/>
  <c r="AD32" i="13" s="1"/>
  <c r="AD33" i="13" s="1"/>
  <c r="AD34" i="13" s="1"/>
  <c r="AD35" i="13" s="1"/>
  <c r="AD36" i="13" s="1"/>
  <c r="AD37" i="13" s="1"/>
  <c r="AD38" i="13" s="1"/>
  <c r="AD39" i="13" s="1"/>
  <c r="AD40" i="13" s="1"/>
  <c r="AD41" i="13" s="1"/>
  <c r="AD42" i="13" s="1"/>
  <c r="AD43" i="13" s="1"/>
  <c r="AD44" i="13" s="1"/>
  <c r="AD45" i="13" s="1"/>
  <c r="AD46" i="13" s="1"/>
  <c r="AD47" i="13" s="1"/>
  <c r="AD48" i="13" s="1"/>
  <c r="AD49" i="13" s="1"/>
  <c r="AD50" i="13" s="1"/>
  <c r="AD51" i="13" s="1"/>
  <c r="E18" i="1"/>
  <c r="D15" i="17" s="1"/>
  <c r="AB29" i="13"/>
  <c r="AB30" i="13" s="1"/>
  <c r="AB31" i="13" s="1"/>
  <c r="AB32" i="13" s="1"/>
  <c r="AB33" i="13" s="1"/>
  <c r="AB34" i="13" s="1"/>
  <c r="AB35" i="13" s="1"/>
  <c r="AB36" i="13" s="1"/>
  <c r="AB37" i="13" s="1"/>
  <c r="AB38" i="13" s="1"/>
  <c r="AB39" i="13" s="1"/>
  <c r="AB40" i="13" s="1"/>
  <c r="AB41" i="13" s="1"/>
  <c r="AB42" i="13" s="1"/>
  <c r="AB43" i="13" s="1"/>
  <c r="AB44" i="13" s="1"/>
  <c r="AB45" i="13" s="1"/>
  <c r="AB46" i="13" s="1"/>
  <c r="AB47" i="13" s="1"/>
  <c r="AB48" i="13" s="1"/>
  <c r="AB49" i="13" s="1"/>
  <c r="AB50" i="13" s="1"/>
  <c r="AB51" i="13" s="1"/>
  <c r="E17" i="1"/>
  <c r="D18" i="21" s="1"/>
  <c r="Z29" i="13"/>
  <c r="Z30" i="13" s="1"/>
  <c r="Z31" i="13" s="1"/>
  <c r="Z32" i="13" s="1"/>
  <c r="Z33" i="13" s="1"/>
  <c r="Z34" i="13" s="1"/>
  <c r="Z35" i="13" s="1"/>
  <c r="Z36" i="13" s="1"/>
  <c r="Z37" i="13" s="1"/>
  <c r="Z38" i="13" s="1"/>
  <c r="Z39" i="13" s="1"/>
  <c r="Z40" i="13" s="1"/>
  <c r="Z41" i="13" s="1"/>
  <c r="Z42" i="13" s="1"/>
  <c r="Z43" i="13" s="1"/>
  <c r="Z44" i="13" s="1"/>
  <c r="Z45" i="13" s="1"/>
  <c r="Z46" i="13" s="1"/>
  <c r="Z47" i="13" s="1"/>
  <c r="Z48" i="13" s="1"/>
  <c r="Z49" i="13" s="1"/>
  <c r="Z50" i="13" s="1"/>
  <c r="Z51" i="13" s="1"/>
  <c r="E16" i="1"/>
  <c r="D11" i="19" s="1"/>
  <c r="X29" i="13"/>
  <c r="X30" i="13" s="1"/>
  <c r="X31" i="13" s="1"/>
  <c r="X32" i="13" s="1"/>
  <c r="X33" i="13" s="1"/>
  <c r="X34" i="13" s="1"/>
  <c r="X35" i="13" s="1"/>
  <c r="X36" i="13" s="1"/>
  <c r="X37" i="13" s="1"/>
  <c r="X38" i="13" s="1"/>
  <c r="X39" i="13" s="1"/>
  <c r="X40" i="13" s="1"/>
  <c r="X41" i="13" s="1"/>
  <c r="X42" i="13" s="1"/>
  <c r="X43" i="13" s="1"/>
  <c r="X44" i="13" s="1"/>
  <c r="X45" i="13" s="1"/>
  <c r="X46" i="13" s="1"/>
  <c r="X47" i="13" s="1"/>
  <c r="X48" i="13" s="1"/>
  <c r="X49" i="13" s="1"/>
  <c r="X50" i="13" s="1"/>
  <c r="X51" i="13" s="1"/>
  <c r="E15" i="1"/>
  <c r="D30" i="20" s="1"/>
  <c r="V29" i="13"/>
  <c r="V30" i="13" s="1"/>
  <c r="V31" i="13" s="1"/>
  <c r="V32" i="13" s="1"/>
  <c r="V33" i="13" s="1"/>
  <c r="V34" i="13" s="1"/>
  <c r="V35" i="13" s="1"/>
  <c r="V36" i="13" s="1"/>
  <c r="V37" i="13" s="1"/>
  <c r="V38" i="13" s="1"/>
  <c r="V39" i="13" s="1"/>
  <c r="V40" i="13" s="1"/>
  <c r="V41" i="13" s="1"/>
  <c r="V42" i="13" s="1"/>
  <c r="V43" i="13" s="1"/>
  <c r="V44" i="13" s="1"/>
  <c r="V45" i="13" s="1"/>
  <c r="V46" i="13" s="1"/>
  <c r="V47" i="13" s="1"/>
  <c r="V48" i="13" s="1"/>
  <c r="V49" i="13" s="1"/>
  <c r="V50" i="13" s="1"/>
  <c r="V51" i="13" s="1"/>
  <c r="E14" i="1"/>
  <c r="D31" i="20" s="1"/>
  <c r="T29" i="13"/>
  <c r="T30" i="13" s="1"/>
  <c r="T31" i="13" s="1"/>
  <c r="T32" i="13" s="1"/>
  <c r="T33" i="13" s="1"/>
  <c r="T34" i="13" s="1"/>
  <c r="T35" i="13" s="1"/>
  <c r="T36" i="13" s="1"/>
  <c r="T37" i="13" s="1"/>
  <c r="T38" i="13" s="1"/>
  <c r="T39" i="13" s="1"/>
  <c r="T40" i="13" s="1"/>
  <c r="T41" i="13" s="1"/>
  <c r="T42" i="13" s="1"/>
  <c r="T43" i="13" s="1"/>
  <c r="T44" i="13" s="1"/>
  <c r="T45" i="13" s="1"/>
  <c r="T46" i="13" s="1"/>
  <c r="T47" i="13" s="1"/>
  <c r="T48" i="13" s="1"/>
  <c r="T49" i="13" s="1"/>
  <c r="T50" i="13" s="1"/>
  <c r="T51" i="13" s="1"/>
  <c r="E13" i="1"/>
  <c r="D21" i="16" s="1"/>
  <c r="R29" i="13"/>
  <c r="R30" i="13" s="1"/>
  <c r="R31" i="13" s="1"/>
  <c r="R32" i="13" s="1"/>
  <c r="R33" i="13" s="1"/>
  <c r="R34" i="13" s="1"/>
  <c r="R35" i="13" s="1"/>
  <c r="R36" i="13" s="1"/>
  <c r="R37" i="13" s="1"/>
  <c r="R38" i="13" s="1"/>
  <c r="R39" i="13" s="1"/>
  <c r="R40" i="13" s="1"/>
  <c r="R41" i="13" s="1"/>
  <c r="R42" i="13" s="1"/>
  <c r="R43" i="13" s="1"/>
  <c r="R44" i="13" s="1"/>
  <c r="R45" i="13" s="1"/>
  <c r="R46" i="13" s="1"/>
  <c r="R47" i="13" s="1"/>
  <c r="R48" i="13" s="1"/>
  <c r="R49" i="13" s="1"/>
  <c r="R50" i="13" s="1"/>
  <c r="R51" i="13" s="1"/>
  <c r="E12" i="1"/>
  <c r="D19" i="18" s="1"/>
  <c r="E11" i="1"/>
  <c r="D11" i="17" s="1"/>
  <c r="P29" i="13"/>
  <c r="P30" i="13" s="1"/>
  <c r="P31" i="13" s="1"/>
  <c r="P32" i="13" s="1"/>
  <c r="P33" i="13" s="1"/>
  <c r="P34" i="13" s="1"/>
  <c r="P35" i="13" s="1"/>
  <c r="P36" i="13" s="1"/>
  <c r="P37" i="13" s="1"/>
  <c r="P38" i="13" s="1"/>
  <c r="P39" i="13" s="1"/>
  <c r="P40" i="13" s="1"/>
  <c r="P41" i="13" s="1"/>
  <c r="P42" i="13" s="1"/>
  <c r="P43" i="13" s="1"/>
  <c r="P44" i="13" s="1"/>
  <c r="P45" i="13" s="1"/>
  <c r="P46" i="13" s="1"/>
  <c r="P47" i="13" s="1"/>
  <c r="P48" i="13" s="1"/>
  <c r="P49" i="13" s="1"/>
  <c r="P50" i="13" s="1"/>
  <c r="P51" i="13" s="1"/>
  <c r="N29" i="13"/>
  <c r="N30" i="13" s="1"/>
  <c r="N31" i="13" s="1"/>
  <c r="N32" i="13" s="1"/>
  <c r="N33" i="13" s="1"/>
  <c r="N34" i="13" s="1"/>
  <c r="N35" i="13" s="1"/>
  <c r="N36" i="13" s="1"/>
  <c r="N37" i="13" s="1"/>
  <c r="N38" i="13" s="1"/>
  <c r="N39" i="13" s="1"/>
  <c r="N40" i="13" s="1"/>
  <c r="N41" i="13" s="1"/>
  <c r="N42" i="13" s="1"/>
  <c r="N43" i="13" s="1"/>
  <c r="N44" i="13" s="1"/>
  <c r="N45" i="13" s="1"/>
  <c r="N46" i="13" s="1"/>
  <c r="N47" i="13" s="1"/>
  <c r="N48" i="13" s="1"/>
  <c r="N49" i="13" s="1"/>
  <c r="N50" i="13" s="1"/>
  <c r="N51" i="13" s="1"/>
  <c r="C15" i="24"/>
  <c r="B15" i="24"/>
  <c r="D15" i="24" s="1"/>
  <c r="E15" i="24" s="1"/>
  <c r="I37" i="20"/>
  <c r="I26" i="18"/>
  <c r="I26" i="16"/>
  <c r="E81" i="23"/>
  <c r="F81" i="23" s="1"/>
  <c r="E80" i="23"/>
  <c r="F80" i="23" s="1"/>
  <c r="E79" i="23"/>
  <c r="F79" i="23" s="1"/>
  <c r="I8" i="24"/>
  <c r="E29" i="18"/>
  <c r="E8" i="15" s="1"/>
  <c r="I28" i="18"/>
  <c r="I27" i="18"/>
  <c r="I15" i="19"/>
  <c r="E24" i="19"/>
  <c r="E9" i="15"/>
  <c r="I14" i="19"/>
  <c r="I13" i="19"/>
  <c r="I12" i="19"/>
  <c r="I11" i="19"/>
  <c r="E20" i="23"/>
  <c r="F20" i="23" s="1"/>
  <c r="I18" i="19"/>
  <c r="E33" i="23"/>
  <c r="F33" i="23" s="1"/>
  <c r="I35" i="20"/>
  <c r="I23" i="16"/>
  <c r="D35" i="25"/>
  <c r="D34" i="25"/>
  <c r="D33" i="25"/>
  <c r="D32" i="25"/>
  <c r="D31" i="25"/>
  <c r="D30" i="25"/>
  <c r="D29" i="25"/>
  <c r="D28" i="25"/>
  <c r="D27" i="25"/>
  <c r="D26" i="25"/>
  <c r="D25" i="25"/>
  <c r="D24" i="25"/>
  <c r="D23" i="25"/>
  <c r="D22" i="25"/>
  <c r="D21" i="25"/>
  <c r="D20" i="25"/>
  <c r="D19" i="25"/>
  <c r="D18" i="25"/>
  <c r="E30" i="23"/>
  <c r="F30" i="23" s="1"/>
  <c r="E29" i="23"/>
  <c r="F29" i="23" s="1"/>
  <c r="E44" i="23"/>
  <c r="F44" i="23" s="1"/>
  <c r="I17" i="21"/>
  <c r="E51" i="23"/>
  <c r="F51" i="23" s="1"/>
  <c r="E16" i="23"/>
  <c r="F16" i="23" s="1"/>
  <c r="I13" i="17"/>
  <c r="E49" i="23"/>
  <c r="F49" i="23" s="1"/>
  <c r="I25" i="18"/>
  <c r="I24" i="18"/>
  <c r="I23" i="18"/>
  <c r="B26" i="24"/>
  <c r="B25" i="24"/>
  <c r="B24" i="24"/>
  <c r="B23" i="24"/>
  <c r="B22" i="24"/>
  <c r="B21" i="24"/>
  <c r="B20" i="24"/>
  <c r="C19" i="24"/>
  <c r="B19" i="24"/>
  <c r="B18" i="24"/>
  <c r="B17" i="24"/>
  <c r="B16" i="24"/>
  <c r="B14" i="24"/>
  <c r="B13" i="24"/>
  <c r="B12" i="24"/>
  <c r="B11" i="24"/>
  <c r="B10" i="24"/>
  <c r="B9" i="24"/>
  <c r="B8" i="24"/>
  <c r="B7" i="24"/>
  <c r="B6" i="24"/>
  <c r="B5" i="24"/>
  <c r="E78" i="23"/>
  <c r="F78" i="23" s="1"/>
  <c r="C26" i="24" s="1"/>
  <c r="E77" i="23"/>
  <c r="F77" i="23" s="1"/>
  <c r="C20" i="24" s="1"/>
  <c r="E76" i="23"/>
  <c r="F76" i="23" s="1"/>
  <c r="C24" i="24" s="1"/>
  <c r="E75" i="23"/>
  <c r="F75" i="23" s="1"/>
  <c r="E74" i="23"/>
  <c r="F74" i="23" s="1"/>
  <c r="E73" i="23"/>
  <c r="F73" i="23" s="1"/>
  <c r="E72" i="23"/>
  <c r="F72" i="23" s="1"/>
  <c r="E71" i="23"/>
  <c r="F71" i="23" s="1"/>
  <c r="E70" i="23"/>
  <c r="F70" i="23" s="1"/>
  <c r="E69" i="23"/>
  <c r="F69" i="23" s="1"/>
  <c r="E68" i="23"/>
  <c r="F68" i="23" s="1"/>
  <c r="E67" i="23"/>
  <c r="F67" i="23" s="1"/>
  <c r="E66" i="23"/>
  <c r="F66" i="23" s="1"/>
  <c r="E65" i="23"/>
  <c r="F65" i="23" s="1"/>
  <c r="E64" i="23"/>
  <c r="F64" i="23" s="1"/>
  <c r="E63" i="23"/>
  <c r="F63" i="23" s="1"/>
  <c r="E62" i="23"/>
  <c r="F62" i="23" s="1"/>
  <c r="E61" i="23"/>
  <c r="F61" i="23" s="1"/>
  <c r="E60" i="23"/>
  <c r="F60" i="23" s="1"/>
  <c r="E59" i="23"/>
  <c r="F59" i="23" s="1"/>
  <c r="E58" i="23"/>
  <c r="F58" i="23" s="1"/>
  <c r="E57" i="23"/>
  <c r="F57" i="23" s="1"/>
  <c r="E56" i="23"/>
  <c r="F56" i="23" s="1"/>
  <c r="E55" i="23"/>
  <c r="F55" i="23" s="1"/>
  <c r="E54" i="23"/>
  <c r="F54" i="23" s="1"/>
  <c r="E53" i="23"/>
  <c r="F53" i="23" s="1"/>
  <c r="E52" i="23"/>
  <c r="F52" i="23" s="1"/>
  <c r="E50" i="23"/>
  <c r="F50" i="23" s="1"/>
  <c r="E48" i="23"/>
  <c r="F48" i="23" s="1"/>
  <c r="E47" i="23"/>
  <c r="F47" i="23" s="1"/>
  <c r="E46" i="23"/>
  <c r="F46" i="23" s="1"/>
  <c r="E45" i="23"/>
  <c r="F45" i="23" s="1"/>
  <c r="E43" i="23"/>
  <c r="F43" i="23" s="1"/>
  <c r="E42" i="23"/>
  <c r="F42" i="23" s="1"/>
  <c r="E41" i="23"/>
  <c r="F41" i="23" s="1"/>
  <c r="E40" i="23"/>
  <c r="F40" i="23" s="1"/>
  <c r="E39" i="23"/>
  <c r="F39" i="23" s="1"/>
  <c r="E38" i="23"/>
  <c r="F38" i="23" s="1"/>
  <c r="E37" i="23"/>
  <c r="F37" i="23" s="1"/>
  <c r="E36" i="23"/>
  <c r="F36" i="23" s="1"/>
  <c r="E35" i="23"/>
  <c r="F35" i="23" s="1"/>
  <c r="E34" i="23"/>
  <c r="F34" i="23" s="1"/>
  <c r="C16" i="24" s="1"/>
  <c r="E32" i="23"/>
  <c r="F32" i="23" s="1"/>
  <c r="E31" i="23"/>
  <c r="F31" i="23" s="1"/>
  <c r="E28" i="23"/>
  <c r="F28" i="23" s="1"/>
  <c r="E27" i="23"/>
  <c r="F27" i="23" s="1"/>
  <c r="E26" i="23"/>
  <c r="F26" i="23" s="1"/>
  <c r="E25" i="23"/>
  <c r="F25" i="23" s="1"/>
  <c r="E24" i="23"/>
  <c r="F24" i="23" s="1"/>
  <c r="E23" i="23"/>
  <c r="F23" i="23" s="1"/>
  <c r="E22" i="23"/>
  <c r="F22" i="23" s="1"/>
  <c r="E21" i="23"/>
  <c r="F21" i="23" s="1"/>
  <c r="E19" i="23"/>
  <c r="F19" i="23" s="1"/>
  <c r="E18" i="23"/>
  <c r="F18" i="23" s="1"/>
  <c r="E17" i="23"/>
  <c r="F17" i="23" s="1"/>
  <c r="E15" i="23"/>
  <c r="F15" i="23" s="1"/>
  <c r="E14" i="23"/>
  <c r="F14" i="23" s="1"/>
  <c r="E13" i="23"/>
  <c r="F13" i="23" s="1"/>
  <c r="E12" i="23"/>
  <c r="F12" i="23" s="1"/>
  <c r="E11" i="23"/>
  <c r="F11" i="23" s="1"/>
  <c r="E10" i="23"/>
  <c r="F10" i="23" s="1"/>
  <c r="E9" i="23"/>
  <c r="F9" i="23" s="1"/>
  <c r="E8" i="23"/>
  <c r="F8" i="23" s="1"/>
  <c r="E7" i="23"/>
  <c r="E25" i="21"/>
  <c r="E11" i="15" s="1"/>
  <c r="I24" i="21"/>
  <c r="I23" i="21"/>
  <c r="I22" i="21"/>
  <c r="I21" i="21"/>
  <c r="I20" i="21"/>
  <c r="I16" i="21"/>
  <c r="I14" i="21"/>
  <c r="I12" i="21"/>
  <c r="I19" i="21"/>
  <c r="I18" i="21"/>
  <c r="I15" i="21"/>
  <c r="I13" i="21"/>
  <c r="I11" i="21"/>
  <c r="E39" i="20"/>
  <c r="E10" i="15" s="1"/>
  <c r="I38" i="20"/>
  <c r="I36" i="20"/>
  <c r="I34" i="20"/>
  <c r="I33" i="20"/>
  <c r="I32" i="20"/>
  <c r="I31" i="20"/>
  <c r="I30" i="20"/>
  <c r="I29" i="20"/>
  <c r="I28" i="20"/>
  <c r="I23" i="19"/>
  <c r="I22" i="19"/>
  <c r="I21" i="19"/>
  <c r="I20" i="19"/>
  <c r="I19" i="19"/>
  <c r="I17" i="19"/>
  <c r="I16" i="19"/>
  <c r="I22" i="18"/>
  <c r="I21" i="18"/>
  <c r="I20" i="18"/>
  <c r="I19" i="18"/>
  <c r="I18" i="18"/>
  <c r="E22" i="17"/>
  <c r="E7" i="15" s="1"/>
  <c r="I21" i="17"/>
  <c r="I20" i="17"/>
  <c r="I19" i="17"/>
  <c r="I18" i="17"/>
  <c r="I17" i="17"/>
  <c r="I16" i="17"/>
  <c r="I15" i="17"/>
  <c r="I14" i="17"/>
  <c r="I12" i="17"/>
  <c r="I11" i="17"/>
  <c r="E31" i="16"/>
  <c r="E6" i="15" s="1"/>
  <c r="I30" i="16"/>
  <c r="I29" i="16"/>
  <c r="I28" i="16"/>
  <c r="I27" i="16"/>
  <c r="I25" i="16"/>
  <c r="I24" i="16"/>
  <c r="I22" i="16"/>
  <c r="I21" i="16"/>
  <c r="I20" i="16"/>
  <c r="I22" i="13"/>
  <c r="I23" i="13" s="1"/>
  <c r="I24" i="13" s="1"/>
  <c r="I25" i="13" s="1"/>
  <c r="I26" i="13" s="1"/>
  <c r="I27" i="13" s="1"/>
  <c r="I28" i="13" s="1"/>
  <c r="I29" i="13" s="1"/>
  <c r="I30" i="13" s="1"/>
  <c r="I31" i="13" s="1"/>
  <c r="I32" i="13" s="1"/>
  <c r="I33" i="13" s="1"/>
  <c r="I34" i="13" s="1"/>
  <c r="I35" i="13" s="1"/>
  <c r="I36" i="13" s="1"/>
  <c r="I37" i="13" s="1"/>
  <c r="I38" i="13" s="1"/>
  <c r="I39" i="13" s="1"/>
  <c r="I40" i="13" s="1"/>
  <c r="I41" i="13" s="1"/>
  <c r="I42" i="13" s="1"/>
  <c r="I43" i="13" s="1"/>
  <c r="I44" i="13" s="1"/>
  <c r="I45" i="13" s="1"/>
  <c r="I46" i="13" s="1"/>
  <c r="I47" i="13" s="1"/>
  <c r="I48" i="13" s="1"/>
  <c r="I49" i="13" s="1"/>
  <c r="I50" i="13" s="1"/>
  <c r="I51" i="13" s="1"/>
  <c r="G22" i="13"/>
  <c r="G23" i="13" s="1"/>
  <c r="G24" i="13" s="1"/>
  <c r="G25" i="13" s="1"/>
  <c r="G26" i="13" s="1"/>
  <c r="G27" i="13" s="1"/>
  <c r="G28" i="13" s="1"/>
  <c r="G29" i="13" s="1"/>
  <c r="G30" i="13" s="1"/>
  <c r="G31" i="13" s="1"/>
  <c r="G32" i="13" s="1"/>
  <c r="G33" i="13" s="1"/>
  <c r="G34" i="13" s="1"/>
  <c r="G35" i="13" s="1"/>
  <c r="G36" i="13" s="1"/>
  <c r="G37" i="13" s="1"/>
  <c r="G38" i="13" s="1"/>
  <c r="G39" i="13" s="1"/>
  <c r="G40" i="13" s="1"/>
  <c r="G41" i="13" s="1"/>
  <c r="G42" i="13" s="1"/>
  <c r="G43" i="13" s="1"/>
  <c r="G44" i="13" s="1"/>
  <c r="G45" i="13" s="1"/>
  <c r="G46" i="13" s="1"/>
  <c r="G47" i="13" s="1"/>
  <c r="G48" i="13" s="1"/>
  <c r="G49" i="13" s="1"/>
  <c r="G50" i="13" s="1"/>
  <c r="G51" i="13" s="1"/>
  <c r="E22" i="13"/>
  <c r="E23" i="13" s="1"/>
  <c r="E24" i="13" s="1"/>
  <c r="E25" i="13" s="1"/>
  <c r="E26" i="13" s="1"/>
  <c r="E27" i="13" s="1"/>
  <c r="E28" i="13" s="1"/>
  <c r="E29" i="13" s="1"/>
  <c r="E30" i="13" s="1"/>
  <c r="E31" i="13" s="1"/>
  <c r="E32" i="13" s="1"/>
  <c r="E33" i="13" s="1"/>
  <c r="E34" i="13" s="1"/>
  <c r="E35" i="13" s="1"/>
  <c r="E36" i="13" s="1"/>
  <c r="E37" i="13" s="1"/>
  <c r="E38" i="13" s="1"/>
  <c r="E39" i="13" s="1"/>
  <c r="E40" i="13" s="1"/>
  <c r="E41" i="13" s="1"/>
  <c r="E42" i="13" s="1"/>
  <c r="E43" i="13" s="1"/>
  <c r="E44" i="13" s="1"/>
  <c r="E45" i="13" s="1"/>
  <c r="E46" i="13" s="1"/>
  <c r="E47" i="13" s="1"/>
  <c r="E48" i="13" s="1"/>
  <c r="E49" i="13" s="1"/>
  <c r="E50" i="13" s="1"/>
  <c r="E51" i="13" s="1"/>
  <c r="C22" i="13"/>
  <c r="C23" i="13" s="1"/>
  <c r="C24" i="13" s="1"/>
  <c r="C25" i="13" s="1"/>
  <c r="C26" i="13" s="1"/>
  <c r="C27" i="13" s="1"/>
  <c r="C28" i="13" s="1"/>
  <c r="C29" i="13" s="1"/>
  <c r="C30" i="13" s="1"/>
  <c r="C31" i="13" s="1"/>
  <c r="C32" i="13" s="1"/>
  <c r="C33" i="13" s="1"/>
  <c r="C34" i="13" s="1"/>
  <c r="C35" i="13" s="1"/>
  <c r="C36" i="13" s="1"/>
  <c r="C37" i="13" s="1"/>
  <c r="C38" i="13" s="1"/>
  <c r="C39" i="13" s="1"/>
  <c r="C40" i="13" s="1"/>
  <c r="C41" i="13" s="1"/>
  <c r="C42" i="13" s="1"/>
  <c r="C43" i="13" s="1"/>
  <c r="C44" i="13" s="1"/>
  <c r="C45" i="13" s="1"/>
  <c r="C46" i="13" s="1"/>
  <c r="C47" i="13" s="1"/>
  <c r="C48" i="13" s="1"/>
  <c r="C49" i="13" s="1"/>
  <c r="C50" i="13" s="1"/>
  <c r="C51" i="13" s="1"/>
  <c r="H7" i="13"/>
  <c r="B24" i="12"/>
  <c r="C23" i="12"/>
  <c r="B23" i="12"/>
  <c r="B22" i="12"/>
  <c r="B21" i="12"/>
  <c r="B20" i="12"/>
  <c r="C19" i="12"/>
  <c r="B19" i="12"/>
  <c r="B18" i="12"/>
  <c r="B17" i="12"/>
  <c r="B16" i="12"/>
  <c r="B15" i="12"/>
  <c r="B14" i="12"/>
  <c r="B13" i="12"/>
  <c r="B12" i="12"/>
  <c r="B11" i="12"/>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E49" i="11"/>
  <c r="F49" i="11" s="1"/>
  <c r="C6" i="12" s="1"/>
  <c r="E48" i="11"/>
  <c r="F48" i="11" s="1"/>
  <c r="C5" i="12" s="1"/>
  <c r="E47" i="11"/>
  <c r="F47" i="11" s="1"/>
  <c r="E46" i="11"/>
  <c r="F46" i="11" s="1"/>
  <c r="E45" i="11"/>
  <c r="F45" i="11" s="1"/>
  <c r="E44" i="11"/>
  <c r="F44" i="11" s="1"/>
  <c r="E43" i="11"/>
  <c r="F43" i="11" s="1"/>
  <c r="C18" i="12" s="1"/>
  <c r="E42" i="11"/>
  <c r="F42" i="11" s="1"/>
  <c r="C15" i="12" s="1"/>
  <c r="E41" i="11"/>
  <c r="F41" i="11" s="1"/>
  <c r="E40" i="11"/>
  <c r="F40" i="11" s="1"/>
  <c r="E39" i="11"/>
  <c r="F39" i="11" s="1"/>
  <c r="E38" i="11"/>
  <c r="F38" i="11" s="1"/>
  <c r="E37" i="11"/>
  <c r="F37" i="11" s="1"/>
  <c r="E36" i="11"/>
  <c r="F36" i="11" s="1"/>
  <c r="E35" i="11"/>
  <c r="F35" i="11" s="1"/>
  <c r="E34" i="11"/>
  <c r="F34" i="11" s="1"/>
  <c r="E33" i="11"/>
  <c r="F33" i="11" s="1"/>
  <c r="E32" i="11"/>
  <c r="F32" i="11" s="1"/>
  <c r="E31" i="11"/>
  <c r="F31" i="11" s="1"/>
  <c r="E30" i="11"/>
  <c r="F30" i="11" s="1"/>
  <c r="E29" i="11"/>
  <c r="F29" i="11" s="1"/>
  <c r="E28" i="11"/>
  <c r="F28" i="11" s="1"/>
  <c r="E27" i="11"/>
  <c r="F27" i="11" s="1"/>
  <c r="E26" i="11"/>
  <c r="F26" i="11" s="1"/>
  <c r="E25" i="11"/>
  <c r="F25" i="11" s="1"/>
  <c r="E24" i="11"/>
  <c r="F24" i="11" s="1"/>
  <c r="E23" i="11"/>
  <c r="F23" i="11" s="1"/>
  <c r="E22" i="11"/>
  <c r="F22" i="11" s="1"/>
  <c r="E21" i="11"/>
  <c r="F21" i="11" s="1"/>
  <c r="E20" i="11"/>
  <c r="F20" i="11" s="1"/>
  <c r="E19" i="11"/>
  <c r="F19" i="11" s="1"/>
  <c r="E18" i="11"/>
  <c r="F18" i="11" s="1"/>
  <c r="E17" i="11"/>
  <c r="F17" i="11" s="1"/>
  <c r="E16" i="11"/>
  <c r="F16" i="11" s="1"/>
  <c r="E15" i="11"/>
  <c r="F15" i="11" s="1"/>
  <c r="E14" i="11"/>
  <c r="F14" i="11" s="1"/>
  <c r="E13" i="11"/>
  <c r="F13" i="11" s="1"/>
  <c r="E12" i="11"/>
  <c r="F12" i="11" s="1"/>
  <c r="E11" i="11"/>
  <c r="F11" i="11" s="1"/>
  <c r="E10" i="11"/>
  <c r="F10" i="11" s="1"/>
  <c r="E9" i="11"/>
  <c r="F9" i="11" s="1"/>
  <c r="E8" i="11"/>
  <c r="F8" i="11" s="1"/>
  <c r="E7" i="11"/>
  <c r="E16" i="10"/>
  <c r="E13" i="2" s="1"/>
  <c r="I15" i="10"/>
  <c r="I14" i="10"/>
  <c r="I13" i="10"/>
  <c r="I12" i="10"/>
  <c r="I11" i="10"/>
  <c r="I10" i="10"/>
  <c r="I9" i="10"/>
  <c r="I8" i="10"/>
  <c r="I7" i="10"/>
  <c r="I6" i="10"/>
  <c r="E23" i="9"/>
  <c r="I22" i="9"/>
  <c r="I21" i="9"/>
  <c r="I20" i="9"/>
  <c r="I19" i="9"/>
  <c r="I18" i="9"/>
  <c r="I17" i="9"/>
  <c r="I16" i="9"/>
  <c r="I15" i="9"/>
  <c r="E30" i="8"/>
  <c r="I29" i="8"/>
  <c r="I28" i="8"/>
  <c r="I27" i="8"/>
  <c r="I26" i="8"/>
  <c r="I25" i="8"/>
  <c r="I24" i="8"/>
  <c r="I23" i="8"/>
  <c r="I22" i="8"/>
  <c r="I21" i="8"/>
  <c r="I20" i="8"/>
  <c r="E16" i="7"/>
  <c r="E10" i="2" s="1"/>
  <c r="I15" i="7"/>
  <c r="I14" i="7"/>
  <c r="I13" i="7"/>
  <c r="I12" i="7"/>
  <c r="I11" i="7"/>
  <c r="I10" i="7"/>
  <c r="I9" i="7"/>
  <c r="I8" i="7"/>
  <c r="I7" i="7"/>
  <c r="I6" i="7"/>
  <c r="I16" i="7" s="1"/>
  <c r="F10" i="2" s="1"/>
  <c r="E17" i="6"/>
  <c r="E8" i="2" s="1"/>
  <c r="I16" i="6"/>
  <c r="I15" i="6"/>
  <c r="I14" i="6"/>
  <c r="I13" i="6"/>
  <c r="I12" i="6"/>
  <c r="I11" i="6"/>
  <c r="I10" i="6"/>
  <c r="I9" i="6"/>
  <c r="I8" i="6"/>
  <c r="I7" i="6"/>
  <c r="I6" i="6"/>
  <c r="E22" i="5"/>
  <c r="I21" i="5"/>
  <c r="I20" i="5"/>
  <c r="I19" i="5"/>
  <c r="I18" i="5"/>
  <c r="I17" i="5"/>
  <c r="I16" i="5"/>
  <c r="I15" i="5"/>
  <c r="E26" i="4"/>
  <c r="I25" i="4"/>
  <c r="I24" i="4"/>
  <c r="I23" i="4"/>
  <c r="I22" i="4"/>
  <c r="I21" i="4"/>
  <c r="I20" i="4"/>
  <c r="E17" i="3"/>
  <c r="I16" i="3"/>
  <c r="I15" i="3"/>
  <c r="I14" i="3"/>
  <c r="I13" i="3"/>
  <c r="I12" i="3"/>
  <c r="I11" i="3"/>
  <c r="I10" i="3"/>
  <c r="I9" i="3"/>
  <c r="I8" i="3"/>
  <c r="I7" i="3"/>
  <c r="I6" i="3"/>
  <c r="E5" i="2"/>
  <c r="C10" i="1"/>
  <c r="C9" i="1"/>
  <c r="C8" i="1"/>
  <c r="C7" i="1"/>
  <c r="E55" i="1" l="1"/>
  <c r="D55" i="1"/>
  <c r="I29" i="18"/>
  <c r="C55" i="1"/>
  <c r="B55" i="1"/>
  <c r="I24" i="19"/>
  <c r="I26" i="4"/>
  <c r="C10" i="24"/>
  <c r="D10" i="24" s="1"/>
  <c r="E10" i="24" s="1"/>
  <c r="C8" i="12"/>
  <c r="D8" i="12" s="1"/>
  <c r="J8" i="12" s="1"/>
  <c r="E8" i="12" s="1"/>
  <c r="C16" i="12"/>
  <c r="D16" i="12" s="1"/>
  <c r="J16" i="12" s="1"/>
  <c r="E16" i="12" s="1"/>
  <c r="C14" i="24"/>
  <c r="D14" i="24" s="1"/>
  <c r="E14" i="24" s="1"/>
  <c r="C23" i="24"/>
  <c r="D23" i="24" s="1"/>
  <c r="E23" i="24" s="1"/>
  <c r="C25" i="24"/>
  <c r="D25" i="24" s="1"/>
  <c r="E25" i="24" s="1"/>
  <c r="I39" i="20"/>
  <c r="C9" i="24"/>
  <c r="D9" i="24" s="1"/>
  <c r="E9" i="24" s="1"/>
  <c r="I23" i="9"/>
  <c r="C14" i="12"/>
  <c r="D14" i="12" s="1"/>
  <c r="J14" i="12" s="1"/>
  <c r="E14" i="12" s="1"/>
  <c r="C24" i="12"/>
  <c r="D24" i="12" s="1"/>
  <c r="J24" i="12" s="1"/>
  <c r="E24" i="12" s="1"/>
  <c r="C7" i="24"/>
  <c r="D7" i="24" s="1"/>
  <c r="C18" i="24"/>
  <c r="D18" i="24" s="1"/>
  <c r="E18" i="24" s="1"/>
  <c r="C7" i="12"/>
  <c r="D7" i="12" s="1"/>
  <c r="C17" i="12"/>
  <c r="D17" i="12" s="1"/>
  <c r="I17" i="6"/>
  <c r="F8" i="2" s="1"/>
  <c r="C13" i="24"/>
  <c r="D13" i="24" s="1"/>
  <c r="E13" i="24" s="1"/>
  <c r="C6" i="24"/>
  <c r="D6" i="24" s="1"/>
  <c r="E6" i="24" s="1"/>
  <c r="C22" i="12"/>
  <c r="D22" i="12" s="1"/>
  <c r="J22" i="12" s="1"/>
  <c r="E22" i="12" s="1"/>
  <c r="C10" i="12"/>
  <c r="D10" i="12" s="1"/>
  <c r="J10" i="12" s="1"/>
  <c r="E10" i="12" s="1"/>
  <c r="D19" i="24"/>
  <c r="E19" i="24" s="1"/>
  <c r="C21" i="12"/>
  <c r="D21" i="12" s="1"/>
  <c r="J21" i="12" s="1"/>
  <c r="E21" i="12" s="1"/>
  <c r="C5" i="24"/>
  <c r="D5" i="24" s="1"/>
  <c r="C11" i="24"/>
  <c r="D11" i="24" s="1"/>
  <c r="E11" i="24" s="1"/>
  <c r="C11" i="12"/>
  <c r="D11" i="12" s="1"/>
  <c r="J11" i="12" s="1"/>
  <c r="E11" i="12" s="1"/>
  <c r="I25" i="21"/>
  <c r="I22" i="17"/>
  <c r="I31" i="16"/>
  <c r="I16" i="10"/>
  <c r="F13" i="2" s="1"/>
  <c r="I30" i="8"/>
  <c r="I17" i="3"/>
  <c r="F5" i="2" s="1"/>
  <c r="I22" i="5"/>
  <c r="C12" i="24"/>
  <c r="D12" i="24" s="1"/>
  <c r="E12" i="24" s="1"/>
  <c r="C12" i="12"/>
  <c r="D12" i="12" s="1"/>
  <c r="J12" i="12" s="1"/>
  <c r="E12" i="12" s="1"/>
  <c r="B27" i="24"/>
  <c r="F7" i="23"/>
  <c r="C22" i="24" s="1"/>
  <c r="D22" i="24" s="1"/>
  <c r="E22" i="24" s="1"/>
  <c r="F3" i="23"/>
  <c r="E56" i="1"/>
  <c r="D56" i="1"/>
  <c r="L24" i="12"/>
  <c r="L23" i="12"/>
  <c r="D23" i="12"/>
  <c r="J23" i="12" s="1"/>
  <c r="E23" i="12" s="1"/>
  <c r="L22" i="12"/>
  <c r="L21" i="12"/>
  <c r="L20" i="12"/>
  <c r="D19" i="12"/>
  <c r="J19" i="12" s="1"/>
  <c r="E19" i="12" s="1"/>
  <c r="L19" i="12"/>
  <c r="L18" i="12"/>
  <c r="D18" i="12"/>
  <c r="J18" i="12" s="1"/>
  <c r="E18" i="12" s="1"/>
  <c r="L17" i="12"/>
  <c r="L16" i="12"/>
  <c r="L15" i="12"/>
  <c r="D15" i="12"/>
  <c r="L14" i="12"/>
  <c r="L13" i="12"/>
  <c r="L12" i="12"/>
  <c r="L11" i="12"/>
  <c r="L10" i="12"/>
  <c r="D9" i="12"/>
  <c r="J9" i="12" s="1"/>
  <c r="E9" i="12" s="1"/>
  <c r="L9" i="12"/>
  <c r="L8" i="12"/>
  <c r="L7" i="12"/>
  <c r="D6" i="12"/>
  <c r="J6" i="12" s="1"/>
  <c r="E6" i="12" s="1"/>
  <c r="L6" i="12"/>
  <c r="B25" i="12"/>
  <c r="D5" i="12"/>
  <c r="L5" i="12"/>
  <c r="F3" i="11"/>
  <c r="F7" i="11"/>
  <c r="C20" i="12" s="1"/>
  <c r="D20" i="12" s="1"/>
  <c r="J20" i="12" s="1"/>
  <c r="E20" i="12" s="1"/>
  <c r="D26" i="24"/>
  <c r="E26" i="24" s="1"/>
  <c r="D24" i="24"/>
  <c r="E24" i="24" s="1"/>
  <c r="D20" i="24"/>
  <c r="E20" i="24" s="1"/>
  <c r="D16" i="24"/>
  <c r="C17" i="24"/>
  <c r="D17" i="24" s="1"/>
  <c r="E17" i="24" s="1"/>
  <c r="C8" i="24"/>
  <c r="D8" i="24" s="1"/>
  <c r="E8" i="24" s="1"/>
  <c r="C21" i="24"/>
  <c r="D21" i="24" s="1"/>
  <c r="E21" i="24" s="1"/>
  <c r="E13" i="15"/>
  <c r="C13" i="12"/>
  <c r="D13" i="12" s="1"/>
  <c r="J13" i="12" s="1"/>
  <c r="E13" i="12" s="1"/>
  <c r="C56" i="1" l="1"/>
  <c r="B56" i="1"/>
  <c r="E5" i="24"/>
  <c r="I5" i="24"/>
  <c r="D27" i="24"/>
  <c r="E57" i="1"/>
  <c r="D57" i="1"/>
  <c r="H17" i="12"/>
  <c r="J17" i="12"/>
  <c r="E17" i="12" s="1"/>
  <c r="H15" i="12"/>
  <c r="J15" i="12"/>
  <c r="E15" i="12" s="1"/>
  <c r="H7" i="12"/>
  <c r="J7" i="12"/>
  <c r="E7" i="12" s="1"/>
  <c r="L25" i="12"/>
  <c r="L2" i="12"/>
  <c r="J5" i="12"/>
  <c r="E5" i="12" s="1"/>
  <c r="D25" i="12"/>
  <c r="J25" i="12" s="1"/>
  <c r="H5" i="12"/>
  <c r="I5" i="12" s="1"/>
  <c r="I16" i="24"/>
  <c r="E16" i="24"/>
  <c r="I7" i="24"/>
  <c r="E7" i="24"/>
  <c r="C57" i="1" l="1"/>
  <c r="B57" i="1"/>
  <c r="E58" i="1"/>
  <c r="D58" i="1"/>
  <c r="H3" i="12"/>
  <c r="J3" i="12"/>
  <c r="C58" i="1" l="1"/>
  <c r="B58" i="1"/>
  <c r="E10" i="1"/>
  <c r="E59" i="1"/>
  <c r="E9" i="1"/>
  <c r="D59" i="1"/>
  <c r="L3" i="12"/>
  <c r="A3" i="12"/>
  <c r="C59" i="1" l="1"/>
  <c r="B59" i="1"/>
  <c r="A6" i="8"/>
  <c r="A7" i="8"/>
  <c r="A8" i="8"/>
  <c r="A9" i="8"/>
  <c r="A10" i="8"/>
  <c r="D20" i="8"/>
  <c r="A14" i="20"/>
  <c r="A16" i="20"/>
  <c r="A15" i="20"/>
  <c r="A18" i="20"/>
  <c r="A17" i="20"/>
  <c r="D33" i="20"/>
  <c r="A7" i="18"/>
  <c r="A8" i="18"/>
  <c r="A10" i="18"/>
  <c r="A7" i="4"/>
  <c r="D18" i="18"/>
  <c r="A9" i="18"/>
  <c r="A6" i="18"/>
  <c r="A6" i="4"/>
  <c r="A8" i="4"/>
  <c r="A9" i="4"/>
  <c r="A10" i="4"/>
  <c r="D20" i="4"/>
  <c r="E60" i="1"/>
  <c r="D60" i="1"/>
  <c r="E8" i="1" l="1"/>
  <c r="C60" i="1"/>
  <c r="E7" i="1"/>
  <c r="B60" i="1"/>
  <c r="F11" i="2"/>
  <c r="E11" i="2"/>
  <c r="F6" i="2"/>
  <c r="E6" i="2"/>
  <c r="E61" i="1"/>
  <c r="D61" i="1"/>
  <c r="D29" i="20" l="1"/>
  <c r="A7" i="9"/>
  <c r="A6" i="9"/>
  <c r="A6" i="20"/>
  <c r="D28" i="20"/>
  <c r="A8" i="20"/>
  <c r="A7" i="20"/>
  <c r="A10" i="9"/>
  <c r="A9" i="20"/>
  <c r="D16" i="9"/>
  <c r="D15" i="9"/>
  <c r="A9" i="9"/>
  <c r="A8" i="9"/>
  <c r="A10" i="20"/>
  <c r="C61" i="1"/>
  <c r="B61" i="1"/>
  <c r="A7" i="5"/>
  <c r="A10" i="16"/>
  <c r="A9" i="5"/>
  <c r="A10" i="5"/>
  <c r="D20" i="16"/>
  <c r="A6" i="16"/>
  <c r="A8" i="16"/>
  <c r="D15" i="5"/>
  <c r="A8" i="5"/>
  <c r="A9" i="16"/>
  <c r="A6" i="5"/>
  <c r="A7" i="16"/>
  <c r="E62" i="1"/>
  <c r="D62" i="1"/>
  <c r="F12" i="2" l="1"/>
  <c r="E12" i="2"/>
  <c r="C62" i="1"/>
  <c r="B62" i="1"/>
  <c r="F15" i="2"/>
  <c r="E7" i="2"/>
  <c r="F7" i="2"/>
  <c r="E63" i="1"/>
  <c r="D63" i="1"/>
  <c r="E15" i="2" l="1"/>
  <c r="C63" i="1"/>
  <c r="B63" i="1"/>
  <c r="E64" i="1"/>
  <c r="D64" i="1"/>
  <c r="C64" i="1" l="1"/>
  <c r="B64" i="1"/>
  <c r="E65" i="1"/>
  <c r="D65" i="1"/>
  <c r="C65" i="1" l="1"/>
  <c r="B65" i="1"/>
  <c r="E66" i="1"/>
  <c r="D66" i="1"/>
  <c r="C66" i="1" l="1"/>
  <c r="B66" i="1"/>
</calcChain>
</file>

<file path=xl/sharedStrings.xml><?xml version="1.0" encoding="utf-8"?>
<sst xmlns="http://schemas.openxmlformats.org/spreadsheetml/2006/main" count="3156" uniqueCount="1658">
  <si>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</si>
  <si>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</si>
  <si>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</si>
  <si>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</si>
  <si>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</si>
  <si>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</si>
  <si>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</si>
  <si>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</si>
  <si>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</si>
  <si>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</si>
  <si>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</si>
  <si>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</si>
  <si>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</si>
  <si>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</si>
  <si>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</si>
  <si>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</si>
  <si>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</si>
  <si>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</si>
  <si>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</si>
  <si>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</si>
  <si>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</si>
  <si>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</si>
  <si>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</si>
  <si>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</si>
  <si>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</si>
  <si>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</si>
  <si>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</si>
  <si>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</si>
  <si>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</si>
  <si>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</si>
  <si>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</si>
  <si>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</si>
  <si>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</si>
  <si>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</si>
  <si>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</si>
  <si>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장비</t>
  </si>
  <si>
    <t>프리웨이트 중심</t>
  </si>
  <si>
    <t>머신 · 케이블 중심 (스쿼트 · 벤치 · 데드 제외)</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</si>
  <si>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</si>
  <si>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</si>
  <si>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</si>
  <si>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</si>
  <si>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</si>
  <si>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</si>
  <si>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</si>
  <si>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</si>
  <si>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</si>
  <si>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반복이 고정이라 반복으로 진행을 잴 수가 없기 때문이다 — 스쿼트 · 데드 · 오버헤드는 5회, 벤치만 8회다((2026-10-02 사용자 지정)). 반복이 고정인 것은 같으므로 증량 방식은 그대로다: 증량기록 표가 매주 올리고, 목표 반복을 못 채운 주에는 X를 넣어 그 칸을 유지시킨다.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</si>
  <si>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</si>
  <si>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</si>
  <si>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</si>
  <si>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</si>
  <si>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</si>
  <si>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</si>
  <si>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</si>
  <si>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</si>
  <si>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</si>
  <si>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</si>
  <si>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</si>
  <si>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</si>
  <si>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보조 종목은 전부 절반으로. 3세트짜리는 1~2세트, 4세트짜리는 2세트.</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</si>
  <si>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</si>
  <si>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</si>
  <si>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</si>
  <si>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</si>
  <si>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</si>
  <si>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</si>
  <si>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</si>
  <si>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</si>
  <si>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</si>
  <si>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</si>
  <si>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</si>
  <si>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</si>
  <si>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</si>
  <si>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</si>
  <si>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</si>
  <si>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</si>
  <si>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</si>
  <si>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</si>
  <si>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</si>
  <si>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</si>
  <si>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</si>
  <si>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</si>
  <si>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</si>
  <si>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</si>
  <si>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</si>
  <si>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</si>
  <si>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8회 × 4세트</t>
  </si>
  <si>
    <t>밀리터리 프레스</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</si>
  <si>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</si>
  <si>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</si>
  <si>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</si>
  <si>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</si>
  <si>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</si>
  <si>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</si>
  <si>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</si>
  <si>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</si>
  <si>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</si>
  <si>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</si>
  <si>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</si>
  <si>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</si>
  <si>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</si>
  <si>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</si>
  <si>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</si>
  <si>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</si>
  <si>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</si>
  <si>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</si>
  <si>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</si>
  <si>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</si>
  <si>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</si>
  <si>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</si>
  <si>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</si>
  <si>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</si>
  <si>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</si>
  <si>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</si>
  <si>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</si>
  <si>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</si>
  <si>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</si>
  <si>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</si>
  <si>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</si>
  <si>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</si>
  <si>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</si>
  <si>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</si>
  <si>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</si>
  <si>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</si>
  <si>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</si>
  <si>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</si>
  <si>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</si>
  <si>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</si>
  <si>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</si>
  <si>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주차 기준일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</si>
  <si>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</si>
  <si>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</si>
  <si>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</si>
  <si>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</si>
  <si>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</si>
  <si>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</si>
  <si>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</si>
  <si>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</si>
  <si>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</si>
  <si>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</si>
  <si>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</si>
  <si>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</si>
  <si>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</si>
  <si>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</si>
  <si>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</si>
  <si>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</si>
  <si>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</si>
  <si>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</si>
  <si>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</si>
  <si>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</si>
  <si>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</si>
  <si>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</si>
  <si>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</si>
  <si>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</si>
  <si>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</si>
  <si>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</si>
  <si>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</si>
  <si>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</si>
  <si>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</si>
  <si>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</si>
  <si>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</si>
  <si>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</si>
  <si>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</si>
  <si>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</si>
  <si>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</si>
  <si>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</si>
  <si>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</si>
  <si>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</si>
  <si>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</si>
  <si>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</si>
  <si>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</si>
  <si>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</si>
  <si>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</si>
  <si>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</si>
  <si>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</si>
  <si>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</si>
  <si>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</si>
  <si>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</si>
  <si>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</si>
  <si>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</si>
  <si>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</si>
  <si>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</si>
  <si>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</si>
  <si>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</si>
  <si>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</si>
  <si>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</si>
  <si>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</si>
  <si>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</si>
  <si>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</si>
  <si>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</si>
  <si>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</si>
  <si>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</si>
  <si>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</si>
  <si>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</si>
  <si>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</si>
  <si>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</si>
  <si>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</si>
  <si>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</si>
  <si>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</si>
  <si>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</si>
  <si>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</si>
  <si>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</si>
  <si>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</si>
  <si>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</si>
  <si>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</si>
  <si>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</si>
  <si>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</si>
  <si>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</si>
  <si>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</si>
  <si>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</si>
  <si>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</si>
  <si>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</si>
  <si>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</si>
  <si>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</si>
  <si>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</si>
  <si>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</si>
  <si>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</si>
  <si>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</si>
  <si>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</si>
  <si>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</si>
  <si>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</si>
  <si>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</si>
  <si>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</si>
  <si>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</si>
  <si>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</si>
  <si>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</si>
  <si>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</si>
  <si>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</si>
  <si>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</si>
  <si>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</si>
  <si>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</si>
  <si>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</si>
  <si>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</si>
  <si>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</si>
  <si>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</si>
  <si>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</si>
  <si>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</si>
  <si>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</si>
  <si>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</si>
  <si>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</si>
  <si>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</si>
  <si>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</si>
  <si>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</si>
  <si>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</si>
  <si>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</si>
  <si>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</si>
  <si>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</si>
  <si>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</si>
  <si>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</si>
  <si>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</si>
  <si>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</si>
  <si>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</si>
  <si>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</si>
  <si>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</si>
  <si>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</si>
  <si>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</si>
  <si>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</si>
  <si>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</si>
  <si>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</si>
  <si>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</si>
  <si>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</si>
  <si>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</si>
  <si>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</si>
  <si>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</si>
  <si>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</si>
  <si>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</si>
  <si>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</si>
  <si>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</si>
  <si>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</si>
  <si>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</si>
  <si>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</si>
  <si>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</si>
  <si>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</si>
  <si>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</si>
  <si>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</si>
  <si>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</si>
  <si>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</si>
  <si>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</si>
  <si>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</si>
  <si>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</si>
  <si>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</si>
  <si>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</si>
  <si>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</si>
  <si>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</si>
  <si>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</si>
  <si>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</si>
  <si>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</si>
  <si>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</si>
  <si>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</si>
  <si>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</si>
  <si>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</si>
  <si>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</si>
  <si>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</si>
  <si>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</si>
  <si>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</si>
  <si>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</si>
  <si>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</si>
  <si>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</si>
  <si>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</si>
  <si>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</si>
  <si>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</si>
  <si>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</si>
  <si>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</si>
  <si>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</si>
  <si>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</si>
  <si>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</si>
  <si>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</si>
  <si>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</si>
  <si>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</si>
  <si>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</si>
  <si>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</si>
  <si>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</si>
  <si>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</si>
  <si>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</si>
  <si>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</si>
  <si>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</si>
  <si>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</si>
  <si>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</si>
  <si>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</si>
  <si>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</si>
  <si>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</si>
  <si>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</si>
  <si>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</si>
  <si>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</si>
  <si>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</si>
  <si>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</si>
  <si>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</si>
  <si>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</si>
  <si>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</si>
  <si>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</si>
  <si>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</si>
  <si>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</si>
  <si>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</si>
  <si>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</si>
  <si>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</si>
  <si>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</si>
  <si>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</si>
  <si>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</si>
  <si>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</si>
  <si>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</si>
  <si>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</si>
  <si>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</si>
  <si>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</si>
  <si>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</si>
  <si>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</si>
  <si>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</si>
  <si>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</si>
  <si>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</si>
  <si>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</si>
  <si>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</si>
  <si>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</si>
  <si>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</si>
  <si>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</si>
  <si>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</si>
  <si>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</si>
  <si>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</si>
  <si>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</si>
  <si>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</si>
  <si>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</si>
  <si>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</si>
  <si>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</si>
  <si>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</si>
  <si>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</si>
  <si>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</si>
  <si>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</si>
  <si>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</si>
  <si>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</si>
  <si>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</si>
  <si>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</si>
  <si>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</si>
  <si>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</si>
  <si>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</si>
  <si>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</si>
  <si>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</si>
  <si>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</si>
  <si>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</si>
  <si>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</si>
  <si>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</si>
  <si>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</si>
  <si>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</si>
  <si>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</si>
  <si>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</si>
  <si>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</si>
  <si>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</si>
  <si>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</si>
  <si>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</si>
  <si>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</si>
  <si>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</si>
  <si>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</si>
  <si>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</si>
  <si>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</si>
  <si>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</si>
  <si>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</si>
  <si>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</si>
  <si>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</si>
  <si>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</si>
  <si>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</si>
  <si>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</si>
  <si>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</si>
  <si>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</si>
  <si>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</si>
  <si>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</si>
  <si>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</si>
  <si>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</si>
  <si>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</si>
  <si>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</si>
  <si>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</si>
  <si>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</si>
  <si>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</si>
  <si>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</si>
  <si>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</si>
  <si>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</si>
  <si>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</si>
  <si>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</si>
  <si>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</si>
  <si>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</si>
  <si>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</si>
  <si>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</si>
  <si>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</si>
  <si>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</si>
  <si>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</si>
  <si>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</si>
  <si>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</si>
  <si>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</si>
  <si>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</si>
  <si>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</si>
  <si>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</si>
  <si>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</si>
  <si>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</si>
  <si>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</si>
  <si>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</si>
  <si>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</si>
  <si>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</si>
  <si>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</si>
  <si>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</si>
  <si>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</si>
  <si>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</si>
  <si>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</si>
  <si>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</si>
  <si>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</si>
  <si>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</si>
  <si>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</si>
  <si>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</si>
  <si>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</si>
  <si>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</si>
  <si>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</si>
  <si>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</si>
  <si>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</si>
  <si>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</si>
  <si>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</si>
  <si>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</si>
  <si>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</si>
  <si>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</si>
  <si>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</si>
  <si>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</si>
  <si>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</si>
  <si>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</si>
  <si>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</si>
  <si>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</si>
  <si>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</si>
  <si>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</si>
  <si>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</si>
  <si>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</si>
  <si>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</si>
  <si>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</si>
  <si>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</si>
  <si>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</si>
  <si>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</si>
  <si>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</si>
  <si>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</si>
  <si>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</si>
  <si>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</si>
  <si>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</si>
  <si>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</si>
  <si>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</si>
  <si>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</si>
  <si>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</si>
  <si>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</si>
  <si>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</si>
  <si>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</si>
  <si>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</si>
  <si>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</si>
  <si>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</si>
  <si>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</si>
  <si>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</si>
  <si>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</si>
  <si>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</si>
  <si>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</si>
  <si>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</si>
  <si>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</si>
  <si>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</si>
  <si>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</si>
  <si>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</si>
  <si>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</si>
  <si>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</si>
  <si>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</si>
  <si>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</si>
  <si>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</si>
  <si>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</si>
  <si>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</si>
  <si>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</si>
  <si>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</si>
  <si>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</si>
  <si>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</si>
  <si>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</si>
  <si>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</si>
  <si>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</si>
  <si>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</si>
  <si>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</si>
  <si>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</si>
  <si>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</si>
  <si>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</si>
  <si>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</si>
  <si>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</si>
  <si>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</si>
  <si>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</si>
  <si>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</si>
  <si>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</si>
  <si>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</si>
  <si>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</si>
  <si>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</si>
  <si>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</si>
  <si>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</si>
  <si>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</si>
  <si>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</si>
  <si>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</si>
  <si>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</si>
  <si>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</si>
  <si>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</si>
  <si>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</si>
  <si>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</si>
  <si>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</si>
  <si>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</si>
  <si>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</si>
  <si>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</si>
  <si>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</si>
  <si>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</si>
  <si>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</si>
  <si>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</si>
  <si>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</si>
  <si>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</si>
  <si>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</si>
  <si>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</si>
  <si>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</si>
  <si>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</si>
  <si>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</si>
  <si>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</si>
  <si>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</si>
  <si>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</si>
  <si>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</si>
  <si>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</si>
  <si>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</si>
  <si>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</si>
  <si>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</si>
  <si>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</si>
  <si>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</si>
  <si>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</si>
  <si>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</si>
  <si>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</si>
  <si>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</si>
  <si>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</si>
  <si>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</si>
  <si>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</si>
  <si>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</si>
  <si>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</si>
  <si>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</si>
  <si>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</si>
  <si>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</si>
  <si>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</si>
  <si>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</si>
  <si>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</si>
  <si>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</si>
  <si>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</si>
  <si>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</si>
  <si>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</si>
  <si>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</si>
  <si>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</si>
  <si>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</si>
  <si>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</si>
  <si>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</si>
  <si>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</si>
  <si>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</si>
  <si>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</si>
  <si>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</si>
  <si>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</si>
  <si>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</si>
  <si>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</si>
  <si>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</si>
  <si>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</si>
  <si>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</si>
  <si>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</si>
  <si>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</si>
  <si>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</si>
  <si>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</si>
  <si>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</si>
  <si>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</si>
  <si>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</si>
  <si>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</si>
  <si>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</si>
  <si>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</si>
  <si>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</si>
  <si>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</si>
  <si>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</si>
  <si>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</si>
  <si>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</si>
  <si>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</si>
  <si>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</si>
  <si>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</si>
  <si>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</si>
  <si>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</si>
  <si>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</si>
  <si>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</si>
  <si>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</si>
  <si>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</si>
  <si>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</si>
  <si>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</si>
  <si>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</si>
  <si>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</si>
  <si>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</si>
  <si>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</si>
  <si>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</si>
  <si>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</si>
  <si>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</si>
  <si>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</si>
  <si>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</si>
  <si>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</si>
  <si>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</si>
  <si>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</si>
  <si>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</si>
  <si>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</si>
  <si>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</si>
  <si>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</si>
  <si>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</si>
  <si>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</si>
  <si>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</si>
  <si>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</si>
  <si>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</si>
  <si>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</si>
  <si>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</si>
  <si>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</si>
  <si>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</si>
  <si>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</si>
  <si>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</si>
  <si>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</si>
  <si>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</si>
  <si>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</si>
  <si>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</si>
  <si>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</si>
  <si>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</si>
  <si>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</si>
  <si>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</si>
  <si>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</si>
  <si>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</si>
  <si>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</si>
  <si>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</si>
  <si>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</si>
  <si>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</si>
  <si>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</si>
  <si>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</si>
  <si>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</si>
  <si>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</si>
  <si>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</si>
  <si>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</si>
  <si>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</si>
  <si>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</si>
  <si>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</si>
  <si>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</si>
  <si>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</si>
  <si>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</si>
  <si>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</si>
  <si>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</si>
  <si>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</si>
  <si>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</si>
  <si>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</si>
  <si>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</si>
  <si>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</si>
  <si>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</si>
  <si>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</si>
  <si>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</si>
  <si>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</si>
  <si>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</si>
  <si>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</si>
  <si>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</si>
  <si>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</si>
  <si>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</si>
  <si>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</si>
  <si>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</si>
  <si>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</si>
  <si>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</si>
  <si>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</si>
  <si>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</si>
  <si>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</si>
  <si>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</si>
  <si>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</si>
  <si>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</si>
  <si>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</si>
  <si>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</si>
  <si>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</si>
  <si>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</si>
  <si>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</si>
  <si>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</si>
  <si>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</si>
  <si>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</si>
  <si>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</si>
  <si>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</si>
  <si>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</si>
  <si>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</si>
  <si>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</si>
  <si>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</si>
  <si>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</si>
  <si>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</si>
  <si>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</si>
  <si>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</si>
  <si>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</si>
  <si>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</si>
  <si>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</si>
  <si>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</si>
  <si>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</si>
  <si>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</si>
  <si>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</si>
  <si>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</si>
  <si>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</si>
  <si>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</si>
  <si>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</si>
  <si>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</si>
  <si>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</si>
  <si>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</si>
  <si>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</si>
  <si>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</si>
  <si>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</si>
  <si>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</si>
  <si>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</si>
  <si>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</si>
  <si>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</si>
  <si>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</si>
  <si>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</si>
  <si>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</si>
  <si>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</si>
  <si>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</si>
  <si>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</si>
  <si>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</si>
  <si>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</si>
  <si>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</si>
  <si>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</si>
  <si>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</si>
  <si>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</si>
  <si>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</si>
  <si>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</si>
  <si>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</si>
  <si>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</si>
  <si>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</si>
  <si>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</si>
  <si>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</si>
  <si>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</si>
  <si>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</si>
  <si>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</si>
  <si>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</si>
  <si>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</si>
  <si>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</si>
  <si>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</si>
  <si>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</si>
  <si>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</si>
  <si>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</si>
  <si>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</si>
  <si>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</si>
  <si>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</si>
  <si>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</si>
  <si>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</si>
  <si>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</si>
  <si>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</si>
  <si>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</si>
  <si>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</si>
  <si>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</si>
  <si>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</si>
  <si>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</si>
  <si>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</si>
  <si>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</si>
  <si>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</si>
  <si>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</si>
  <si>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</si>
  <si>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</si>
  <si>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</si>
  <si>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</si>
  <si>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</si>
  <si>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</si>
  <si>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</si>
  <si>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</si>
  <si>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</si>
  <si>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</si>
  <si>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</si>
  <si>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</si>
  <si>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</si>
  <si>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</si>
  <si>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</si>
  <si>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</si>
  <si>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</si>
  <si>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</si>
  <si>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</si>
  <si>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</si>
  <si>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</si>
  <si>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</si>
  <si>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</si>
  <si>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</si>
  <si>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</si>
  <si>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</si>
  <si>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</si>
  <si>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</si>
  <si>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</si>
  <si>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</si>
  <si>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</si>
  <si>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</si>
  <si>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</si>
  <si>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</si>
  <si>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</si>
  <si>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</si>
  <si>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</si>
  <si>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</si>
  <si>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</si>
  <si>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</si>
  <si>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</si>
  <si>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</si>
  <si>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</si>
  <si>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</si>
  <si>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</si>
  <si>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</si>
  <si>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</si>
  <si>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</si>
  <si>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</si>
  <si>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</si>
  <si>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</si>
  <si>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</si>
  <si>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</si>
  <si>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</si>
  <si>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</si>
  <si>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</si>
  <si>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</si>
  <si>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</si>
  <si>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</si>
  <si>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</si>
  <si>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</si>
  <si>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</si>
  <si>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</si>
  <si>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</si>
  <si>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</si>
  <si>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</si>
  <si>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</si>
  <si>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</si>
  <si>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</si>
  <si>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</si>
  <si>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</si>
  <si>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</si>
  <si>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</si>
  <si>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</si>
  <si>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</si>
  <si>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</si>
  <si>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</si>
  <si>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</si>
  <si>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</si>
  <si>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</si>
  <si>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</si>
  <si>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</si>
  <si>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</si>
  <si>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</si>
  <si>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</si>
  <si>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</si>
  <si>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</si>
  <si>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</si>
  <si>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</si>
  <si>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</si>
  <si>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</si>
  <si>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</si>
  <si>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</si>
  <si>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</si>
  <si>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</si>
  <si>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</si>
  <si>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</si>
  <si>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</si>
  <si>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</si>
  <si>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</si>
  <si>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</si>
  <si>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</si>
  <si>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</si>
  <si>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</si>
  <si>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</si>
  <si>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</si>
  <si>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</si>
  <si>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</si>
  <si>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</si>
  <si>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</si>
  <si>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</si>
  <si>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</si>
  <si>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</si>
  <si>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</si>
  <si>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</si>
  <si>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</si>
  <si>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</si>
  <si>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</si>
  <si>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</si>
  <si>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</si>
  <si>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</si>
  <si>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</si>
  <si>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일</t>
  </si>
  <si>
    <t>당기기 수평</t>
  </si>
  <si>
    <t>등 수평 당기기 · 팔 삼두/이두</t>
  </si>
  <si>
    <t>월</t>
  </si>
  <si>
    <t>가슴 A</t>
  </si>
  <si>
    <t>화</t>
  </si>
  <si>
    <t>팔</t>
  </si>
  <si>
    <t>수</t>
  </si>
  <si>
    <t>하체 후면</t>
  </si>
  <si>
    <t>하체 후면(햄 · 둔) · 어깨 전/측/후</t>
  </si>
  <si>
    <t>목</t>
  </si>
  <si>
    <t>당기기 수직 + 가슴 B</t>
  </si>
  <si>
    <t>등 수직 당기기 · 가슴(상부 + 중하부) · 팔</t>
  </si>
  <si>
    <t>금</t>
  </si>
  <si>
    <t>유일한 휴식일. 토요일에 스쿼트가 있으므로 휴식을 그 앞에 둔다</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</si>
  <si>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</si>
  <si>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</si>
  <si>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</si>
  <si>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수평(일) / 수직(목), 가슴은 상부(월) / 중하부(목).</t>
  </si>
  <si>
    <t>· [2026-10-02 정정] 등을 가른 축은 움직임 평면이다 — 재택 1일차 '당기기 A (수직)' · 6일차 '당기기 B (수평)'과 같다(사용자 지정). 초안에서는 근육군으로 갈랐고(일=광배 전담 · 목=승모중부 전담) 그 근거로 2026-09-04 '주동근은 팔꿈치 경로가 정한다'를 들었는데, 그 원칙은 세트검산의 근육군 분류 규칙이고 날을 어떻게 가르라는 말이 아니었다 — 두 축을 뒤섞은 것이다.</t>
  </si>
  <si>
    <t>· 평면 분할이 실제로 더 맞다. 근육군으로 가르면 '광배 주 1회'로 적히지만 목요일 로우 셋이 전부 광배를 쓴다(간접계수맵에 광배 0.5가 달려 있다) — 어느 쪽도 쉬지 못하면서 장부상으로만 주 1회가 된다. 평면으로 가르면 어깨 신전 ↔ 수평 외전 + 견갑 후인이라는 실제로 다른 관절 동작이 갈린다.</t>
  </si>
  <si>
    <t>· 그래서 두 날 모두 광배와 승모 중부가 섞여 있다 — 광배 일 3 / 목 11 · 승모 중부 일 10 / 목 3. 근육군은 여전히 팔꿈치 경로로 매긴다 — 날 분할과 근육군 분류는 다른 축이고 둘을 섞지 않는다. 발 높은 레그 프레스가 햄스트링이 아니라 둔근으로 계상되는 것이 후자의 예다.</t>
  </si>
  <si>
    <t>· [2026-10-02 같은 날 재배치] 어느 평면을 어느 날에 둘지는 사용자가 정했다 — '수평이 강도가 더 쎈 것 같아서 집중적으로 공략하고 싶다'. 일요일 = 수평 · 목요일 = 수직이다(재택은 순서가 반대다).</t>
  </si>
  <si>
    <t>· 근거가 전날에 있다. 일요일은 토요일(하체 전면) 다음날이고 스쿼트는 등 · 그립 · 기립근을 쓰지 않아 등이 온전하다. 목요일은 수요일(데드 + 루마니안) 다음날이라 그 셋이 전부 지쳐 있다 — 거기서 무거운 로우를 치면 등이 아니라 그립과 허리가 먼저 막힌다.</t>
  </si>
  <si>
    <t>· 페이스풀만 수직 날에 남겼다 — 재택도 수직 날에 두고, 이것이 없으면 승모 중부가 일요일 주 1회가 된다.</t>
  </si>
  <si>
    <t>· [2026-10-02 보강] 햄스트링도 주 2회로 쪼갰다 — 토요일 4(레그 컬) + 수요일 6(루마니안 3 · 원 레그 컬 3).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</si>
  <si>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</si>
  <si>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</si>
  <si>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205세트. 세트는 46% 늘었고 가슴 · 등 · 하체 · 햄스트링 · 내전근 · 중둔근 · 승모 중부 빈도가 주 1회 → 2회, 전완은 주 1회 → 3회로 올랐다. 주 1회로 남은 것은 사두(토 12)뿐이다.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</si>
  <si>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</si>
  <si>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④ 페이스풀 3 — 승모 중부 · 능형근에 견갑 후인 · 외회전을 더했다. 토요일에 넣었다가 같은 날 일요일(당기기 수직)로 옮겼다 — 재택도 당기기 날에 둔다. 164 → 168 → 176 → 179.</t>
  </si>
  <si>
    <t>· ⑤ 같은 날 등 분할 축을 근육군 → 움직임 평면으로 정정하고, 이어서 사용자 지정으로 평면을 요일에 배정했다 — 일요일 수평 · 목요일 수직. 세트 총량과 부위별 숫자는 안 바뀌고 날 배치만 바뀌었다.</t>
  </si>
  <si>
    <t>· ⑥ 전완 리스트 컬을 길항근 슈퍼세트로 묶고(굴근 ↔ 신근) 팔 하는 날 셋 모두에 넣었다 — 사용자 지정 '그냥 다 넣어'. 일 6 · 화 6 · 목 6 + 리버스컬 3 = 전완 직접 21 · 실질 24.0.</t>
  </si>
  <si>
    <t>· ⑦ 백 익스텐션(45도) 3세트를 등 하는 날 둘에 넣었다 — 사용자 요청. 기립근 직접 3 → 9 · 실질 6.0 → 12.0으로 '보완 필요'가 '충분'이 됐다. 재택도 당기기 두 날에 3세트씩 둔다. 맨몸은 시작값이고 원판 5~10kg이 진행 경로다 — 두 날 다 중량 금지가 아니다. 척추 신전을 강조해서 해야 기립근이 주동근이 된다(힌지식이면 등척성이라 계수 0). 191 → 197세트.</t>
  </si>
  <si>
    <t>· ⑧ 같은 날 사용자가 엑셀에서 여섯 칸을 직접 조정했다 — 카프 토 · 수 각 3 → 6(종아리 6 → 12로 '보완 필요' 해결) · 원암 케이블 로우 3 → 4 · 언더그립 랫풀다운 3 → 4(광배 14 → 16 · 실질 19.5) · 인클라인 머신 · 인클라인 덤벨 플라이 각 4 → 3(흉근 상부 8 → 6 · 흉근 합산 25.0 → 22.5). 197 → 203세트. 세트검산에 '등 중요부위' 보조 칸도 직접 만들었다 — 당기기 본 종목만 센다.</t>
  </si>
  <si>
    <t>· ⑨ 목요일에 인클라인 벤치프레스(스미스) 3세트 — 사용자 요청. 재택 4일차와 같은 종목 · 중량 · 세트이고 계수도 그대로 쓴다(삼두 0.5 · 전면삼각 0.5). 흉근 상부 6 → 9로 주 2회가 됐고 흉근 합산은 22.5 → 25.5가 됐다. 203 → 206세트.</t>
  </si>
  <si>
    <t>· ⑩ 같은 날 사용자가 셋을 더 조정했다 — 벤치프레스 5×5 → 4×8(수행 30 → 50초 · 휴식 램프 4칸) · 목요일 디클라인 플라이 4 → 3 · 백 익스텐션 3 → 4. 벤치만 8회이고 나머지 메인 셋은 5회 고정 그대로다. 램프 블록 본세트와 시작중량_설정 F9('8회 × 4세트')까지 맞춰 앱 메인 카드와 종목표가 갈리지 않게 했다. 206 → 205세트 · 475분 · 흉근 합산 25.5 → 23.5 · 기립근 9 → 10.</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</si>
  <si>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</si>
  <si>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</si>
  <si>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</si>
  <si>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</si>
  <si>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</si>
  <si>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</si>
  <si>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</si>
  <si>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</si>
  <si>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</si>
  <si>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</si>
  <si>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</si>
  <si>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</si>
  <si>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</si>
  <si>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</si>
  <si>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</si>
  <si>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</si>
  <si>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일 · 화 · 목은 메인 리프트가 없어 상한의 적용 대상이 아니다. 셋 다 휴식이 짧아 세트 수에 비해 시간이 안 든다.</t>
  </si>
  <si>
    <t>[몸 상태가 안 좋으면]</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</si>
  <si>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</si>
  <si>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</si>
  <si>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</si>
  <si>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</si>
  <si>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웜업 — 회전근개 (세트 카운트 제외 · 어깨 블록 직전에)</t>
  </si>
  <si>
    <t>· 스쿼트 램프와 따로다. 하체 3종목을 끝내고 어깨 블록(4~6번)에 들어가기 직전에 넣는다 — 그래야 식지 않는다.</t>
  </si>
  <si>
    <t>· 케이블 외회전 2세트 × 12~15회. 팔꿈치 90도로 접어 옆구리에 붙이고 바깥으로만 회전. 매우 가볍게 — 2.5~5kg. 무거우면 광배와 후면 삼각근이 대신 일하며 목적을 잃는다.</t>
  </si>
  <si>
    <t>· [2026-10-02 보충] 어깨 보조가 11세트 이어지는 날인데 이 블록이 빠져 있었다. 일 · 월 · 목에는 있었다.</t>
  </si>
  <si>
    <t>매주 미는 세 리프트 중 하나. 금요일 휴식 다음날이라 주 전체에서 가장 신선한 자리다. 실패지점 3~4회 남기고 멈춘다.</t>
  </si>
  <si>
    <t>레그 프레스 (허리 부담 시 1순위) / 스미스 스쿼트 / 핵 스쿼트</t>
  </si>
  <si>
    <t>핵 스쿼트 / 45도 레그 프레스 / 스미스 스쿼트</t>
  </si>
  <si>
    <t>시시 스쿼트 머신 / 레그 프레스 (고립은 아니나 궤도 고정)</t>
  </si>
  <si>
    <t>케이블 레터럴 레이즈 / 머신 레터럴</t>
  </si>
  <si>
    <t>리버스 펙덱</t>
  </si>
  <si>
    <t>케이블 리버스 플라이 / 리어 델트 로우 (로프) / 페이스풀 (로프)</t>
  </si>
  <si>
    <t>[2026-10-02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</si>
  <si>
    <t>시티드 레그 컬 (고관절이 굽어 늘어난 구간) / 라잉 레그 컬 / 노르딕 햄 컬 (맨몸)</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</si>
  <si>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</si>
  <si>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</si>
  <si>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</si>
  <si>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</si>
  <si>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</si>
  <si>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</si>
  <si>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</si>
  <si>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</si>
  <si>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토요일에 어깨 세 방향(전 · 측 · 후)을 다 넣는 것이 사용자 지정이다. 전면은 머신 숄더, 측면은 덤벨 레터럴, 후면은 리버스 펙덱. 페이스풀은 2026-10-02에 여기 넣었다가 같은 날 일요일(당기기 수직)로 옮겼다 — 재택도 페이스풀을 당기기 날에 둔다.</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</si>
  <si>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</si>
  <si>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</si>
  <si>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세트로는 수요일(42)에 이어 둘째다. 그래도 주 4회 시절 토요일(43세트 · 107분)보다는 작다.</t>
  </si>
  <si>
    <t>· 웜업은 별도다. 스쿼트가 있는 날이므로 10~15분을 더 잡는다.</t>
  </si>
  <si>
    <t>드롭 세트 (2026-10-02)</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</si>
  <si>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</si>
  <si>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</si>
  <si>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  /  토요일 페이스풀 넣는게 안 낫겠나?</t>
  </si>
  <si>
    <t>일요일 — 당기기 (수평) · 팔</t>
  </si>
  <si>
    <t>웜업 (세트 카운트 제외)</t>
  </si>
  <si>
    <t>· 둘 다 근비대 항목이 아니라 관절 준비 항목이므로 세트 합계에 넣지 않는다.</t>
  </si>
  <si>
    <t>135/145/155/165</t>
  </si>
  <si>
    <t>원암 해머 스트랭스 로우 / 원암 덤벨 로우 (벤치 지지) / 머신 로우</t>
  </si>
  <si>
    <t>[2026-10-02 신설] 복귀판에 승모 상부 직접이 0이었다. 현장 근무가 하루치를 얹어주던 것이 끝났으므로 재택 6일차 종목을 그대로 가져왔다 — 재택도 수평 날에 둔다. 트랩바라 손이 몸 옆에 와 견갑 거상이 수직으로 나온다.</t>
  </si>
  <si>
    <t>덤벨 슈러그 / 바벨 슈러그 (몸 앞 — 궤도가 약간 앞으로 간다) / 머신 슈러그</t>
  </si>
  <si>
    <t>당기기 17세트 뒤라 이두가 이미 간접을 받았다. 중량이 평소보다 낮게 나오는 것이 정상이다.</t>
  </si>
  <si>
    <t>케이블 컬 (전 구간 장력) / 머신 컬 / EZ바 프리쳐 컬</t>
  </si>
  <si>
    <t>시티드 리스트 컬(손등 아래)</t>
  </si>
  <si>
    <t>바벨 리스트 컬 / 케이블 리스트 컬</t>
  </si>
  <si>
    <t>바벨 리버스 리스트 컬 / 케이블 리스트 익스텐션</t>
  </si>
  <si>
    <t>원판 5~10kg 안고 (맨몸 15회가 쉬워지면) / 굿모닝(스미스) / 덤벨 루마니안 데드 / 글루트 햄 레이즈</t>
  </si>
  <si>
    <t>[무거운 수평 당기기를 이 날에 둔 이유 — 2026-10-02 사용자 지정]</t>
  </si>
  <si>
    <t>· 사용자 판단 — '수평이 강도가 더 쎈 것 같아서 집중적으로 공략하고 싶다'. 맞는 감각이고 근거가 있다.</t>
  </si>
  <si>
    <t>· 수평 로우가 실제로 무겁다(바벨 35 · 해머 45 vs 랫풀다운 · 친업). 그리고 **전날이 무엇이냐**가 더 크게 갈린다 — 일요일은 토요일(하체 전면) 다음날이고 스쿼트는 등 · 그립 · 기립근을 쓰지 않는다. 등이 온전한 상태로 들어온다.</t>
  </si>
  <si>
    <t>· 반대로 목요일은 수요일(데드 + 루마니안) 다음날이라 그립 · 광배 · 기립근이 전부 지쳐 있다. 거기서 무거운 로우를 치면 등이 아니라 그립과 허리가 먼저 막힌다.</t>
  </si>
  <si>
    <t>· 가슴은 목요일에 남겼다(사용자 지정 '목요일 가슴/등'). 이 날은 수평 등 17 · 팔 6 · 전완 6 · 기립근 3이다.</t>
  </si>
  <si>
    <t>[등을 가른 축 — 움직임 평면이다]</t>
  </si>
  <si>
    <t>· 일요일은 수평, 목요일은 수직이다. 재택 1일차 '당기기 A (수직)' · 6일차 '당기기 B (수평)'과 같은 축이고 순서만 반대다(2026-10-02 사용자 지정).</t>
  </si>
  <si>
    <t>· 광배 일 4 / 목 12 · 승모 중부 일 10 / 목 3 — 둘 다 주 2회다. 근육군으로 날을 가르면 '주 1회'로 적히지만 실제로는 로우가 광배를 쓰고 랫풀다운이 능형근을 쓴다.</t>
  </si>
  <si>
    <t>· 앞쪽은 그대로다 — 무거운 로우 넷을 신선한 상태로 치는 구조는 손대지 않았고, 더한 것은 전부 맨 뒤 고립이다.</t>
  </si>
  <si>
    <t>· 리스트 컬 쌍에는 걸지 않는다 — 슈퍼세트라 한쪽만 길어지면 라운드가 어긋난다(이너 · 아우터와 같은 이유).</t>
  </si>
  <si>
    <t>· 트랩바 슈러그에도 걸지 않는다. 선 자세로 중량을 받치는 종목이다.</t>
  </si>
  <si>
    <t>[요청 원문 2026-10-02] 일요일 등 · 팔 삼두/이두/전완을 세트 후반부에 · 등도 나누고  /  일요일로 옮기는데, 그 전에 나 등도 수평/수직으로 재택처럼 나뉘었으면 한다는거야  /  근데 나 일요일을 수평으로 바꿔줘. 뭔가 수평이 강도가 더 쎈거 같아서. 집중적으로 공략하고 싶다고나 할까?  /  그냥 다 넣어. 팔하는 날에는 슈퍼세트로 묶어서 (전완)</t>
  </si>
  <si>
    <t>스미스 벤치 / 체스트 프레스 머신</t>
  </si>
  <si>
    <t>150/170/190/210</t>
  </si>
  <si>
    <t>인클라인 스미스 프레스 / 인클라인 덤벨 프레스</t>
  </si>
  <si>
    <t>상부지를 프레스와 플라이 둘로 나눠 각 3세트 (2026-10-02 사용자가 엑셀에서 직접 조정) — 흉근 합산을 25.0 → 22.5로 내리려고 둘에서 하나씩 뺐다. 각도는 30~45도.</t>
  </si>
  <si>
    <t>펙덱 플라이 머신 (인클라인 각도) / 인클라인 케이블 플라이</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</si>
  <si>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</si>
  <si>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</si>
  <si>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</si>
  <si>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</si>
  <si>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리닝 케이블 레터럴 / 머신 레터럴</t>
  </si>
  <si>
    <t>[어깨 전면이 이 날에 없는 이유]</t>
  </si>
  <si>
    <t>· 벤치 4 + 인클라인 머신 3 + 딥스 3 + 인클라인 플라이 3이 전면 삼각에 간접으로 4.5세트치를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</si>
  <si>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</si>
  <si>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</si>
  <si>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</si>
  <si>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3 + 인클라인 플라이 3), 목요일은 중하부(펙덱 4 + 디클라인 플라이 3)다. 벤치와 딥스는 수평 · 하방이라 월요일에 함께 둔다. 상부 둘을 4 → 3으로 내려 흉근 합산이 22.5가 됐다 (2026-10-02 사용자가 엑셀에서 직접 조정).</t>
  </si>
  <si>
    <t>· 흉근 합산 실질 27.5세트로 천장(20)을 크게 넘는다. 2026-09-14 사용자 지정 — 가슴은 되돌리는 자리가 아니다. 판단 기준은 세트 수가 아니라 벤치 진행이다. 벤치가 2주 연속 안 오르면 그때 이 숫자를 본다.</t>
  </si>
  <si>
    <t>· 벤치가 있는 날이므로 웜업 10~15분을 따로 잡는다.</t>
  </si>
  <si>
    <t>· 흉근 드롭은 목요일 디클라인 케이블 플라이 한 곳에 몰아 뒀다 — 핀만 옮기면 되는 자리다.</t>
  </si>
  <si>
    <t>케이블 드래그 컬 / 스파이더 컬</t>
  </si>
  <si>
    <t>EZ바 리버스컬 / 케이블 리버스컬 / 해머 컬 (중립 그립)</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</si>
  <si>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</si>
  <si>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</si>
  <si>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</si>
  <si>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</si>
  <si>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</si>
  <si>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</si>
  <si>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케이블 크런치 (머신) / 앱스 머신</t>
  </si>
  <si>
    <t>캡틴 체어 니 레이즈 / 행잉 레그 레이즈 / 리버스 크런치</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</si>
  <si>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</si>
  <si>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</si>
  <si>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 전완 주 9세트가 전부 이 날이다. 그립을 쓰는 당기기가 하나도 없는 유일한 날이라 리스트 컬이 온전히 나온다 — 일요일(수평 로우 16세트)과 목요일(친업 · 랫풀다운 11세트)은 그립이 제약인 날이고, 거기에 리스트 컬을 두면 주간 전완 자극 중 가장 깎이는 자리가 된다.</t>
  </si>
  <si>
    <t>· [2026-10-02] 사용자 지정으로 리스트 컬 슈퍼세트를 팔 하는 날 셋(일 · 화 · 목) 모두에 넣었다. 전완 직접 21 · 실질 24.0 — '과다 점검'이 뜨는 첫 부위다.</t>
  </si>
  <si>
    <t>· 전완은 세 갈래이고 셋을 다 덮는다 — 손목 굴근군(앞면 · 손등 아래 리스트 컬 9) · 손목 신근군(뒷면 · 손등 위 리스트 컬 9) · 상완요골근(요측이고 팔꿈치를 넘는다 · 리버스컬 3). 앞뒤로 갈리는 것은 리스트 컬 두 개이고, 요측 / 척측(엄지쪽 / 새끼손가락쪽)으로 갈리는 종목은 없다 — 리스트 컬은 요측 · 척측 머리를 둘 다 쓴다.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</si>
  <si>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</si>
  <si>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</si>
  <si>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슈퍼세트 (2026-10-02 사용자 제안)</t>
  </si>
  <si>
    <t>· 세트 수는 그대로 3 + 3이고 시간만 10분 → 7.5분으로 줄었다. 아래 휴식 10초(전환) · 위 휴식 60초(라운드 간).</t>
  </si>
  <si>
    <t>· 넥 익스텐션 ↔ 플렉션은 묶지 않았다. 둘도 길항근이지만 엎드림 ↔ 누움으로 자세를 바꿔야 해 전환이 그립 뒤집기만큼 싸지 않고, 신설 부위라 세트마다 통제된 휴식을 주는 쪽이 낫다.</t>
  </si>
  <si>
    <t>· 라잉 트라이셉스 익스텐션 +60초 한 곳만. 마지막 세트에만 2단.</t>
  </si>
  <si>
    <t>· 인클라인 덤벨 컬에는 걸지 않는다 — 2026-09-07에 제외로 정한 자리다.</t>
  </si>
  <si>
    <t>· 리스트 컬 쌍에도 걸지 않는다. 슈퍼세트라 한쪽만 길어지면 라운드가 어긋난다(이너 · 아우터와 같은 이유).</t>
  </si>
  <si>
    <t>· 넥 종목에는 절대 걸지 않는다. 실패지점 근처에서 목을 쓰는 것이 이 종목의 유일한 금기다.</t>
  </si>
  <si>
    <t>[요청 원문 2026-10-02] 화요일 삼두/이두/전완/목/복근 — 화요일은 팔하니 놔두고  /  팔하는 날들 왜 전완은 없어? 손등 위아래 슈퍼세트로 묶어서 넣는건 어떻게 생각해?</t>
  </si>
  <si>
    <t>수요일 — 하체 후면 · 어깨 (전/측/후)</t>
  </si>
  <si>
    <t>웜업 — 회전근개 (세트 카운트 제외 · 오버헤드 프레스 직전에)</t>
  </si>
  <si>
    <t>· 데드 램프 · 프레스 램프와 따로다. 하체 5종목을 끝내고 오버헤드 프레스(6번)에 들어가기 직전에 넣는다.</t>
  </si>
  <si>
    <t>· [2026-10-02 보충] 메인이 둘이라 램프 블록 두 개에 가려 이 블록이 빠져 있었다. 어깨 보조가 9세트 이어지고 그 앞에 증량을 추적하는 프레스가 있는 날이다.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</si>
  <si>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</si>
  <si>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</si>
  <si>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</si>
  <si>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트랩바 데드 백오프 / 랙 풀 (가동범위 ↓)</t>
  </si>
  <si>
    <t>덤벨 루마니안 데드 (허리 부담 ↓ · 좌우 균형) / 케이블 풀스루</t>
  </si>
  <si>
    <t>레그 프레스 (발 높게)</t>
  </si>
  <si>
    <t>와이드 스탠스 레그 프레스 (발 높게) / 45도 레그 프레스 (발 높게) / 스미스 스쿼트 (발 앞쪽)</t>
  </si>
  <si>
    <t>원 레그 시티드 컬 / 라잉 레그 컬 (양측 — 편측 자리가 없을 때) / 노르딕 햄 컬 (맨몸)</t>
  </si>
  <si>
    <t>머신이라 상체 각도가 고정된다 — 데드 뒤에 기립근으로 버티지 않아도 되는 후면 삼각 종목이 이것뿐이다.</t>
  </si>
  <si>
    <t>케이블 리버스 플라이 / 리어 델트 로우 (로프) / 리버스 펙덱</t>
  </si>
  <si>
    <t>머신 힙 쓰러스트 / 글루트 브릿지 / 케이블 풀스루</t>
  </si>
  <si>
    <t>머신 힙 어브덕션 / 밴드 사이드 워크</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</si>
  <si>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</si>
  <si>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</si>
  <si>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</si>
  <si>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</si>
  <si>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4 + 인클라인 3 + 딥스 3이 전면 삼각과 삼두에 간접 4.5세트치를 얹은 상태로 메인을 치게 된다.</t>
  </si>
  <si>
    <t>· 토요일(하체 전면) 뒤 — 중간이다. 전면 삼각 · 삼두는 온전하나 스쿼트 5×5의 전신 피로가 가장 크다.</t>
  </si>
  <si>
    <t>[하체 후면을 한 날에 모은 이유]</t>
  </si>
  <si>
    <t>· 데드 · 루마니안 데드는 둘 다 고관절 힌지다. 주에 흩어 두면 기립근이 회복할 72시간을 못 받는다 — 같은 패턴은 한 날에 모은다.</t>
  </si>
  <si>
    <t>· 햄스트링 주 10세트 중 6이 이 날이고 4는 토요일 레그 컬이다 — 2026-10-02에 햄스트링 빈도를 주 2회로 쪼갰다. 중량은 토요일(양측 4세트)이 밀고 이 날은 힌지 + 편측 균형을 맡는다.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</si>
  <si>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</si>
  <si>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</si>
  <si>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</si>
  <si>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</si>
  <si>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</si>
  <si>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</si>
  <si>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</si>
  <si>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</si>
  <si>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</si>
  <si>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</si>
  <si>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</si>
  <si>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</si>
  <si>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당기기 (수직) · 가슴 · 팔</t>
  </si>
  <si>
    <t>· 메인 리프트가 없다. 첫 종목(친업) 전에 랫풀다운 작업중량의 50%로 10회 · 75%로 5회, 두 세트면 램프가 끝난다.</t>
  </si>
  <si>
    <t>수직 당기기 중 가장 무거운 쪽이라 맨 앞에 둔다. 수요일 데드 다음날이므로 그립이 지쳐 있으면 주저 말고 어시스트 머신으로 간다 — 이 날 등은 그립이 아니라 광배가 실패해야 한다.</t>
  </si>
  <si>
    <t>어시스트 풀업 머신 (1순위 — 데드 다음날이면 기본값으로 생각한다) / 랫풀다운 / 뉴트럴 그립 친업</t>
  </si>
  <si>
    <t>와이드 오버그립 랫풀다운</t>
  </si>
  <si>
    <t>오버그립 랫풀다운 (어깨너비 — 어깨가 불편할 때) / 풀업</t>
  </si>
  <si>
    <t>랫풀다운(언더그립 좁게 안쪽으로)</t>
  </si>
  <si>
    <t>뉴트럴 그립 랫풀다운 / 어시스트 풀업 머신</t>
  </si>
  <si>
    <t>프론 Y 레이즈 / 케이블 Y 레이즈</t>
  </si>
  <si>
    <t>[2026-10-02 사용자 제안] 재택도 페이스풀을 수직 날(1일차)에 둔다. 승모 중부를 두 날에 10/3으로 나누는 자리이기도 하다 — 이것이 없으면 승모 중부가 일요일 주 1회가 된다. 로프를 얼굴 높이로 당기고 팔꿈치를 어깨선 위로 — 끝에서 외회전을 만든다. 후면삼각에 0.5 간접.</t>
  </si>
  <si>
    <t>리어 델트 로우 (로프) / 케이블 리버스 플라이 (팔 편 채) / 리버스 펙덱</t>
  </si>
  <si>
    <t>케이블 크로스오버 (중간 높이) / 덤벨 플라이 / 머신 체스트 프레스</t>
  </si>
  <si>
    <t>케이블 크로스오버 (낮은 도르래) / 디클라인 덤벨 플라이 / 디클라인 머신 프레스</t>
  </si>
  <si>
    <t>케이블 푸쉬다운 (로프) / 딥스 머신 / 케이블 킥백</t>
  </si>
  <si>
    <t>케이블 드래그 컬</t>
  </si>
  <si>
    <t>케이블 컬 (전 구간 장력) / 머신 컬 / 바벨 컬</t>
  </si>
  <si>
    <t>[2026-10-02 사용자 요청 — 등 하는 날마다 3세트]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원판을 안아도 된다 — 금지가 아니다. 다만 수요일 데드 톱1 + 백오프2 + 루마니안 3 다음날이라 일요일과 같은 중량이 안 나온다. 낮게 나오는 것이 정상이고 더블 프로그레션은 날마다 따로 본다. 되돌리는 트리거는 하나다 — 수요일 데드나 토요일 스쿼트가 2주 연속 안 오르면 이 날 중량을 가장 먼저 의심한다(다음 스쿼트까지 금요일 휴식 하나뿐이다).</t>
  </si>
  <si>
    <t>원판 5~10kg 안고 (맨몸 15회가 쉬워지면) / 굿모닝(스미스) / 맨몸 유지 (허리가 무거운 주) / 건너뛴다</t>
  </si>
  <si>
    <t>[데드 다음날에 수직 당기기를 둔 이유 — 2026-10-02]</t>
  </si>
  <si>
    <t>· 수요일 데드 · 루마니안이 그립 · 광배 · 기립근을 다 쓴다. 그 다음날 무거운 로우를 치면 등이 아니라 그립과 허리가 먼저 막힌다. 그래서 무거운 수평 로우 7세트(바벨 4 · 해머 3)를 일요일로 보냈다.</t>
  </si>
  <si>
    <t>· 남은 수직 당기기는 척추 부하가 거의 0이다 — 친업은 매달리고 랫풀다운은 앉아서 고정된다. 데드 다음날에 이보다 싼 등 자극이 없다.</t>
  </si>
  <si>
    <t>· 그립만 남은 변수다. 친업이 그립을 쓰므로 데드 다음날에는 어시스트 머신을 기본값으로 생각한다 — 이 날 광배가 실패해야 하고 그립이 실패하면 세트를 잃는다.</t>
  </si>
  <si>
    <t>· [2026-10-02] 백 익스텐션 3세트가 이 날에 들어왔다. 원판을 안아도 되고 금지가 아니다 — 다만 데드 다음날이라 일요일보다 중량이 낮게 나오는 것이 정상이다. 되돌리는 트리거는 수요일 데드나 토요일 스쿼트가 2주 연속 안 오르는 것이다.</t>
  </si>
  <si>
    <t>[이 날이 세 블록인 이유]</t>
  </si>
  <si>
    <t>· 등(수직 18) → 가슴(상부 3 + 중하부 7) → 팔(삼두 3 · 이두 3) 순서다. 당기기와 밀기는 주동근이 겹치지 않아 한 세션에 붙여도 서로 깎지 않는다.</t>
  </si>
  <si>
    <t>· 언더그립 랫풀다운 +60초 · 디클라인 케이블 플라이 +60초. 마지막 세트에만 2단.</t>
  </si>
  <si>
    <t>· 리스트 컬 쌍에는 걸지 않는다 — 슈퍼세트라 한쪽만 길어지면 라운드가 어긋난다.</t>
  </si>
  <si>
    <t>· 친업 · 와이드 랫풀다운에는 걸지 않는다 — 데드 다음날이라 그립이 먼저 나가고 등이 실패지점에 못 간다.</t>
  </si>
  <si>
    <t>· 펙덱 플라이에는 걸지 않는다 — 디클라인 플라이 드롭과 같은 근육 · 같은 세션이라 겹친다(2026-09-14 판단 유지).</t>
  </si>
  <si>
    <t>· 페이스풀에도 걸지 않는다. 가벼운 외회전 종목이라 실패 뒤 반복에서 팔꿈치가 먼저 내려온다.</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</si>
  <si>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</si>
  <si>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</si>
  <si>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</si>
  <si>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</si>
  <si>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</si>
  <si>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강한 협력</t>
  </si>
  <si>
    <t>하방 프레스 중 팔꿈치 신전 — 몸을 세우면 삼두 비중이 더 커진다</t>
  </si>
  <si>
    <t>복귀_토_하체전면</t>
  </si>
  <si>
    <t>복귀_수_하체후면</t>
  </si>
  <si>
    <t>복귀_목_수직당기기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</si>
  <si>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</si>
  <si>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</si>
  <si>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</si>
  <si>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복귀_일_수평당기기</t>
  </si>
  <si>
    <t>좁은 뉴트럴 그립 — 엎침과 뒤침 사이. 당기기 → 이두 계수는 그립으로 정한다: 뒤침 0.5 · 뉴트럴 0.33 · 엎침 0.2 (2026-09-04 원칙)</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</si>
  <si>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</si>
  <si>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</si>
  <si>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</si>
  <si>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</si>
  <si>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프레스의 전면삼각 비대 근거는 인클라인(0.5)만큼 확실하지 않다. 재택 2026-09-04 0.5→0.33 (2026-10-02 재택 09-04 규칙서 정렬)</t>
  </si>
  <si>
    <t>경사각이 클수록 전면삼각 기여 증가</t>
  </si>
  <si>
    <t>몸을 앞으로 기울인 자세에서 약한 관여</t>
  </si>
  <si>
    <t>플라이 시작 구간 전면삼각 약관여</t>
  </si>
  <si>
    <t>플라이 시작 구간 전면삼각 약관여 — 인클라인 덤벨 플라이와 같은 등급</t>
  </si>
  <si>
    <t>인클라인은 전면삼각 관여 큼 — 인클라인 벤치프레스 머신(0.5)과 같은 등급. 재택 맵과 같은 계수 (2026-10-02)</t>
  </si>
  <si>
    <t>프레스 중 팔꿈치 신전 — 보조 프레스라 0.5 유지(저반복 본세트 하향은 벤치 · 오버헤드에만 걸린다). 재택 맵과 같은 계수 (2026-10-02)</t>
  </si>
  <si>
    <t>페이스풀 중 후면삼각 능동 수축 — 재택 1일차와 같은 등급. 주동근(승모 중부 · 능형근)은 요일 시트에서 직접으로 센다 (2026-10-02)</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</si>
  <si>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</si>
  <si>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</si>
  <si>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</si>
  <si>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머리 위 구간 견갑 상방 회전 — 약한 관여</t>
  </si>
  <si>
    <t>로우 상단 견갑 거상 — 약한 관여</t>
  </si>
  <si>
    <t>고장력 등척성 견갑대 유지 — 버티기만 하는 자극은 세지 않는다. 재택 2026-09-04 0.2→0 (2026-10-02 재택 09-04 규칙서 정렬)</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</si>
  <si>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</si>
  <si>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</si>
  <si>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</si>
  <si>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</si>
  <si>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견갑 후인 능동 수축 — 경부하 리어델트 종목이라 리버스 펙덱(0.33)과 같은 등급. 중량 로우(0.5)와 구분. 재택 2026-09-04 0.5→0.33 (2026-10-02 재택 09-04 규칙서 정렬)</t>
  </si>
  <si>
    <t>견갑 후인 부분 협력</t>
  </si>
  <si>
    <t>로우 중 견갑 후인</t>
  </si>
  <si>
    <t>고장력 등척성 — 척추 중립 받치기(길이변화 작음). 데드→광배(0)와 같은 근거로 0으로 통일. 재택 2026-09-04 0.2→0 (2026-10-02 재택 09-04 규칙서 정렬)</t>
  </si>
  <si>
    <t>루마니안은 기립근이 동적으로 신전 · 수축한다 — 등척성이 아니다. 그래서 '등척성은 0' 무리(스쿼트 · 트랩바 슈러그 · 데드 승모)와 달리 0.5다. 재택 맵이 그 줄에 명시해 둔 구분이고 복귀는 0.2로 낮게 잡고 있었다 (2026-10-02 재택 09-04 규칙서 정렬 · 0.2→0.5)</t>
  </si>
  <si>
    <t>고장력 등척성 — 중량 받치기. 버티기만 하는 자극은 세지 않는다. 재택 2026-09-04 0.2→0 (2026-10-02 재택 09-04 규칙서 정렬)</t>
  </si>
  <si>
    <t>고관절 신전 능동</t>
  </si>
  <si>
    <t>힌지 중 고관절 신전 능동 — 데드와 같은 등급</t>
  </si>
  <si>
    <t>무릎 90도 고정이라 햄스트링이 짧아진 채 작동(능동부전) — 루마니안의 신장 부하와 같은 등급일 수 없다. 재택 2026-09-04 0.5→0.2 (2026-10-02 재택 09-04 규칙서 정렬)</t>
  </si>
  <si>
    <t>힌지 — 햄스트링 준주동. 단 컨벤셔널은 바닥에서 무릎 신전이 먼저라 ROM이 루마니안보다 작다. 재택 2026-09-04 0.5→0.33 (2026-10-02 재택 09-04 규칙서 정렬)</t>
  </si>
  <si>
    <t>톱세트와 같은 동작이므로 같은 계수. 재택 2026-09-04 0.5→0.33 (2026-10-02 재택 09-04 규칙서 정렬)</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</si>
  <si>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</si>
  <si>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대내전근은 고관절 신전근 — 깊은 스쿼트에서 동적 작동. 둔근(0.5)과 동급은 과하고 레그 프레스 · 불가리안(0.33)과 같은 등급. 재택 2026-09-04 0.5→0.33이 기준 (2026-10-02 재택 09-04 규칙서 정렬)</t>
  </si>
  <si>
    <t>벌어진 스탠스 구간의 동적 관여 — 재택이 09-04에 못박은 기준 등급 (2026-10-02 재택 09-04 규칙서 정렬)</t>
  </si>
  <si>
    <t>토요일 레그 프레스와 같은 등급. 발을 높이면 고관절 굽힘이 커져 대내전근 관여가 줄지는 않는다 (2026-10-02 재택 09-04 규칙서 정렬)</t>
  </si>
  <si>
    <t>컬 중 상완요골근 동적 굴곡 — 부분 협력 (2026-10-02)</t>
  </si>
  <si>
    <t>흉근 상/하는 I열에서 합산 판정한다 — 서로에게 간접을 얹으면 합산이 이중 계상된다. 재택 2026-09-04 0.2→0 (2026-10-02 재택 09-04 규칙서 정렬)</t>
  </si>
  <si>
    <t>흉근 상/하 합산 판정이라 교차 계상 제거 — 플랫 벤치와 같은 등급. 재택 2026-09-04 0.2→0 (2026-10-02 재택 09-04 규칙서 정렬)</t>
  </si>
  <si>
    <t>흉근 상/하 합산 판정이라 교차 계상 제거. 재택 2026-09-04 0.2→0 (2026-10-02 재택 09-04 규칙서 정렬)</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</si>
  <si>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</si>
  <si>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</si>
  <si>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</si>
  <si>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</si>
  <si>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</si>
  <si>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</si>
  <si>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직접 14세트: 월요일 벤치 4(4×8) · 딥스 3 · 목요일 펙덱 플라이 4 · 디클라인 케이블 플라이 3 (2026-10-02 사용자 지정). 간접 0.6 — 인클라인 덤벨 플라이 0.2×3 (인클라인 머신의 교차 간접은 2026-10-02에 0으로). 수평 · 하방 · 내전 세 벡터가 다 들어 있다</t>
  </si>
  <si>
    <t>등 합산</t>
  </si>
  <si>
    <t>등 중요부위</t>
  </si>
  <si>
    <t>하체 합산(대퇴 · 햄 · 종아리)</t>
  </si>
  <si>
    <t>직접 12세트: 토요일 시티드 6 · 수요일 스탠딩 6. 간접 출처 없음. 현장 일이 하루치를 얹어주던 것이 끝나 3 → 6으로 한 번 올렸고, (2026-10-02 사용자 조정)으로 두 날 모두 6이 되어 실질 6.0 '보완 필요'가 12.0 '충분'이 됐다. 무릎 각도로 가자미근 · 비복근을 나눴다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</si>
  <si>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</si>
  <si>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</si>
  <si>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</si>
  <si>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</si>
  <si>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</si>
  <si>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</si>
  <si>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</si>
  <si>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</si>
  <si>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같은 날 18줄을 2026-09-04 규칙서로 정렬했다(사용자 결정). 복귀 맵은 09-13에 새로 쓰이며 하향 전 값을 쓰고 있었고, 재택 맵에는 줄마다 하향 이력이 근거와 함께 적혀 있었다 — 취향 차가 아니라 갱신 누락이었다.</t>
  </si>
  <si>
    <t>· 내린 곳 — 벤치 · 오버헤드 프레스 → 삼두 · 삼각근 0.5→0.33(저반복 본세트라 협력근이 자기 실패에 못 간다) · 데드 · 백오프 → 햄스트링 0.5→0.33(컨벤셔널 ROM) · 힙 쓰러스트 → 햄스트링 0.5→0.2(무릎 90도 능동부전) · 케이블 리버스 플라이 → 승모 중부 0.5→0.33(경부하 리어델트).</t>
  </si>
  <si>
    <t>· 0으로 내린 곳 — 스쿼트 · 트랩바 슈러그 → 기립근 · 데드 → 승모 상부. 전부 고장력 등척성이고 '버티기만 하는 자극은 세지 않는다'가 09-04 규칙이다. 벤치 → 흉근 상부 · 인클라인 머신 → 흉근 중하부도 0 — 흉근 상/하는 합산으로 판정하므로 교차 간접은 이중 계상이었다.</t>
  </si>
  <si>
    <t>· 올린 곳 — 스쿼트 · 레그 프레스 2종 → 내전근 0.2→0.33(09-04가 0.33을 기준 등급으로 못박았다)과 루마니안 → 기립근 0.2→0.5. 루마니안은 기립근이 동적으로 신전 · 수축하므로 등척성 무리와 구분된다 — 재택 맵이 그 줄에 명시해 둔 구분이다.</t>
  </si>
  <si>
    <t>· 결과 — 실질 총계 240 → 234.5. 흉근 합산 27.5 → 25.0(이중 계상 제거) · 삼두 18.0 → 16.5 · 햄스트링 14.0 → 12.5 · 기립근 6.5 → 6.0 · 내전근 10.5 → 12.5. 직접 세트 176과 훈련 내용은 한 칸도 안 바뀌었다 — 자가 바뀐 것이다.</t>
  </si>
  <si>
    <t>· 이제 재택 수치와 복귀 수치를 직접 비교할 수 있다. 그 전에는 같은 종목에 다른 계수가 매겨져 있어 주당 환산을 나란히 놓는 것 자체가 틀렸다.</t>
  </si>
  <si>
    <t>· 정렬 뒤 재택 맵과 다른 줄은 0개다 — 같은 종목에 같은 계수가 매겨져 두 판의 수치를 직접 비교할 수 있다.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</si>
  <si>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</si>
  <si>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</si>
  <si>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</si>
  <si>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</si>
  <si>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</si>
  <si>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</si>
  <si>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23.5 — 천장(20)을 넘는다. 2026-09-14 사용자 지정으로 가슴은 되돌리는 자리가 아니다. 판단 기준은 세트 수가 아니라 벤치 진행이다 — 월요일 벤치가 2주 연속 안 오르면 그때 이 숫자를 본다.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</si>
  <si>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</si>
  <si>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</si>
  <si>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12.5 — 2026-10-02에 수요일 이너/아우터 슈퍼세트가 들어와 둘 다 하한 아래(7.0 · 6.5)에서 성장 구간으로 올라왔다.</t>
  </si>
  <si>
    <t>· 기립근 12.0 · 종아리 12.0 — 백 익스텐션 6세트와 카프 3 → 6씩(사용자 조정)으로 둘 다 6.0 '보완 필요'에서 올라왔다. 남은 '보완 필요'는 승모 상부 4.5 · 승모 하부 6.0 · 흉근 상부 6.0 · 복부 6.0 · 목 6.0 다섯이다 — 흉근 상부는 사용자가 합산(22.5)을 내리려고 일부러 6으로 내린 자리이므로 I열 합산으로 판정한다.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</si>
  <si>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</si>
  <si>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</si>
  <si>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</si>
  <si>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</si>
  <si>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</si>
  <si>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</si>
  <si>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</si>
  <si>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세트를 계수로 일괄 조정하지 않는다. 늘릴 때도 줄일 때도 종목 단위로, 근거를 F열에 달아 움직인다.</t>
  </si>
  <si>
    <t>케이블이라 전 구간 장력이 걸린다 — 덤벨 레터럴이 약한 하단 구간을 맡는다. [2026-10-04] 3 → 4 — 측면을 MAV 하단(실질 16)까지 올리며 가장 작은 날인 월요일에 넣었다.</t>
    <phoneticPr fontId="29" type="noConversion"/>
  </si>
  <si>
    <t>삼각근(측면)</t>
    <phoneticPr fontId="29" type="noConversion"/>
  </si>
  <si>
    <t>12~15</t>
    <phoneticPr fontId="29" type="noConversion"/>
  </si>
  <si>
    <t>[2026-10-04 신설] 측면 직접 10 → 14(실질 12 → 16, MAV 하단). 궤도가 고정된 머신이라 바로 앞 원암 케이블(편측 · 전 구간 장력)과 저항곡선이 갈리고, 핀만 옮기면 되므로 마지막 세트 2단 드롭을 건다(+60초). 첫날 15회가 되는 무게를 찾아 적는다.</t>
    <phoneticPr fontId="29" type="noConversion"/>
  </si>
  <si>
    <t>원암 케이블 레터럴 / 덤벨 레터럴</t>
    <phoneticPr fontId="29" type="noConversion"/>
  </si>
  <si>
    <t>원암 케이블 리버스 플라이</t>
    <phoneticPr fontId="29" type="noConversion"/>
  </si>
  <si>
    <t>12~15 (좌우)</t>
    <phoneticPr fontId="29" type="noConversion"/>
  </si>
  <si>
    <t>[2026-10-04 사용자 지정] 양팔 → 원암 — '집중이 더 잘 된다'. 반대쪽 케이블을 잡고 팔을 편 채 수평 외전만 한다. 빈손으로 몸통을 고정할 수 있어 승모가 끼어들기 어렵다. 케이블이라 수축 끝단이 살아 있다 — 토요일 리버스 펙덱(중간 구간)과 갈린다. 편측이라 수행 60초.</t>
    <phoneticPr fontId="29" type="noConversion"/>
  </si>
  <si>
    <t>[드롭 세트 — 이 날은 머신 레터럴 한 곳]</t>
    <phoneticPr fontId="29" type="noConversion"/>
  </si>
  <si>
    <t>· 머신 레터럴 마지막 세트만 2단 드롭(+60초 · 2026-10-04). 핀만 옮기면 되는 자리다. 인클라인 덤벨 플라이는 덤벨을 바꿔 드는 동작이라 2단 드롭에서 자세가 먼저 무너져 걸지 않는다.</t>
    <phoneticPr fontId="29" type="noConversion"/>
  </si>
  <si>
    <t>삼각근(후면)</t>
    <phoneticPr fontId="29" type="noConversion"/>
  </si>
  <si>
    <t>리버스 펙덱 / 리어 델트 로우 (로프) / 페이스풀 (로프)</t>
    <phoneticPr fontId="29" type="noConversion"/>
  </si>
  <si>
    <t>리버스 펙덱</t>
    <phoneticPr fontId="29" type="noConversion"/>
  </si>
  <si>
    <t>케이블 리버스 플라이 / 리어 델트 로우 (로프)</t>
    <phoneticPr fontId="29" type="noConversion"/>
  </si>
  <si>
    <t>[요청 원문 2026-10-02] 월요일 가슴 · 월요일 다시 어깨를 세트 후반부에  /  벤치만 4x8이야 (사용자 엑셀 조정 · 램프 · 시작중량_설정까지 맞췄다)  /  [2026-10-04] 측면 MAV 하단까지 · 나 월요일에하는 후면운동도 원암으로 진행하고 싶어. 뭔가 집중이 더 잘 되더라고  /  뒤에 백덱플라이 2세트도 넣어줘 후면으로 · 패턴을 측면, 후면, 측면, 후면으로</t>
    <phoneticPr fontId="29" type="noConversion"/>
  </si>
  <si>
    <t>복귀_월_가슴</t>
    <phoneticPr fontId="29" type="noConversion"/>
  </si>
  <si>
    <t>견갑 후인 부분 협력 — 토요일 리버스 펙덱과 같은 종목 · 같은 계수 (2026-10-04 월요일 2세트 신설)</t>
    <phoneticPr fontId="29" type="noConversion"/>
  </si>
  <si>
    <t>· ⑪ [2026-10-04] 월요일 측면 +4 — 원암 케이블 레터럴 3 → 4 · 머신 레터럴 3 신설(마지막 세트 드롭). 측면 직접 10 → 14 · 실질 12 → 16(MAV 하단). 같은 날 케이블 리버스 플라이를 원암으로 바꿨다 — 사용자 지정, 편측이 집중이 더 잘 된다. 이어서 사용자 요청으로 리버스 펙덱 2(후면)를 더하고 월요일 어깨를 측 → 후 → 측 → 후로 교대 배열했다 — 후면 직접 10 → 12 · 실질 11.5 → 13.5. 205 → 211세트 · 월요일 25세트 63분.</t>
    <phoneticPr fontId="29" type="noConversion"/>
  </si>
  <si>
    <t>← 1주차가 시작된 토요일. 주차는 토요일에 넘어간다(훈련 주가 토요일에 출발한다 · 2026-10-04). 주차는 세는 숫자일 뿐 중량과 무관하다</t>
    <phoneticPr fontId="29" type="noConversion"/>
  </si>
  <si>
    <t>← 아래 '기준 주차'가 시작된 토요일</t>
    <phoneticPr fontId="29" type="noConversion"/>
  </si>
  <si>
    <t>· [2026-10-04 사용자 지정] 10/3(토)에 출발한 이번 훈련 주를 11주차로 정했다 — 표시와 중량 둘 다. 날짜로 세면 9주차였고 중량 표도 9주차 줄이었으니 두 칸을 건너뛴 것이다(스쿼트 70 → 75 · 데드 75 → 80 · 벤치 38 → 41 · 프레스 27 → 28). 같은 날 주차가 넘어가는 요일을 월요일 → 토요일로 바꿨다 — 그래서 시작일이 7/25(토)로 보인다. 지난 주들의 번호도 그에 맞춰 다시 매겨진다.</t>
  </si>
  <si>
    <t>날짜 (토요일)</t>
    <phoneticPr fontId="29" type="noConversion"/>
  </si>
  <si>
    <t>· [2026-10-04 사용자 지정] 오버헤드 프레스를 11주차 30kg으로 — 계획 28에서 두 칸 앞당겼다. 앱도 6주차 시작값에서 사다리를 걸어 중량을 내므로 11주차 칸 하나를 덮지 않고 D10을 26 → 27로 바꿔 11주차에 30이 나오게 했다(29는 못 끼우는 값이라 30). 격주 1kg은 그대로 — 12주차 31 · 14주차 32.</t>
  </si>
  <si>
    <t>시티드 케이블 로우</t>
    <phoneticPr fontId="29" type="noConversion"/>
  </si>
  <si>
    <t>광배</t>
    <phoneticPr fontId="29" type="noConversion"/>
  </si>
  <si>
    <t>8~12</t>
    <phoneticPr fontId="29" type="noConversion"/>
  </si>
  <si>
    <t>머신 로우 (뉴트럴 그립) / 체스트 서포티드 로우 (뉴트럴) / 원암 케이블 로우 4세트로 합치기</t>
    <phoneticPr fontId="29" type="noConversion"/>
  </si>
  <si>
    <t>· 날 분할은 평면으로, 근육군은 팔꿈치 경로로 매긴다 — 다른 축이고 섞지 않는다. 그래서 수평 날에 광배(시티드 · 원암 케이블 로우)가 있고 수직 날에 승모 중부(페이스풀)가 있다.</t>
    <phoneticPr fontId="29" type="noConversion"/>
  </si>
  <si>
    <t>· 시티드 · 원암 케이블 로우에도 걸지 않는다. 좌우 따로라 2단 드롭이 +120초가 된다.</t>
    <phoneticPr fontId="29" type="noConversion"/>
  </si>
  <si>
    <t>좁은 뉴트럴 그립(V바) — 원암 케이블 로우와 같은 등급. 당기기 → 이두 계수는 그립으로 정한다: 뒤침 0.5 · 뉴트럴 0.33 · 엎침 0.2 (2026-09-04 원칙). 재택 6일차 시티드 케이블 로우와 같은 계수 (2026-10-04 원암 4 → 양팔 2 + 원암 2로 신설)</t>
    <phoneticPr fontId="29" type="noConversion"/>
  </si>
  <si>
    <t>견갑 후인 능동 수축 — 원암 케이블 로우와 같은 등급, 재택 6일차와 같은 계수 (2026-10-04 신설)</t>
    <phoneticPr fontId="29" type="noConversion"/>
  </si>
  <si>
    <t>· ⑫ [2026-10-04] 일요일 원암 케이블 로우 4 → 시티드 케이블 로우(양팔) 2 + 원암 2 — 사용자 요청, 재택 6일차와 같은 분할. 광배 직접 4 · 세트 합계 그대로이고, 계수도 같아(이두 0.33 · 승모 중부 0.5) 검산 숫자는 안 바뀐다.</t>
    <phoneticPr fontId="29" type="noConversion"/>
  </si>
  <si>
    <t>https://www.youtube.com/shorts/UerYVESPi_E</t>
    <phoneticPr fontId="29" type="noConversion"/>
  </si>
  <si>
    <t>목표: 한 손 36kg(2L 6병 묶음 3팩)을 손에서 놓치지 않고 컨트롤한다. 세트 카운트 · 세트검산에는 넣지 않는다.</t>
  </si>
  <si>
    <t>규칙</t>
  </si>
  <si>
    <t>토 · 수 — 하체 웨이트 끝나고 바로</t>
  </si>
  <si>
    <t>힘든 날은 몰아서 힘들게. 하체 전날(화 · 금)은 피한다</t>
  </si>
  <si>
    <t>파머스 워크(덤벨) / 트랩바 캐리</t>
  </si>
  <si>
    <t>덤벨이 모자라면 트랩바에 원판 — 양손 72kg도 쉽게 만든다</t>
  </si>
  <si>
    <t>양</t>
  </si>
  <si>
    <t>30~40초 걷기 × 4, 휴식 120초</t>
  </si>
  <si>
    <t>트럭 → 현관 구간이 이 길이다</t>
  </si>
  <si>
    <t>시작</t>
  </si>
  <si>
    <t>한 손 24kg</t>
  </si>
  <si>
    <t>데드 80kg이라 드는 힘은 충분하고, 막히는 건 악력이다</t>
  </si>
  <si>
    <t>증량</t>
  </si>
  <si>
    <t>스트랩</t>
  </si>
  <si>
    <t>금지</t>
  </si>
  <si>
    <t>무겁게는 주 2회까지</t>
  </si>
  <si>
    <t>재검토 조건</t>
  </si>
  <si>
    <t>순서</t>
  </si>
  <si>
    <t>악력이 신선할 때 무거운 걸 먼저</t>
  </si>
  <si>
    <r>
      <t>한</t>
    </r>
    <r>
      <rPr>
        <b/>
        <sz val="10"/>
        <color rgb="FFFFFFFF"/>
        <rFont val="Calibri"/>
        <family val="2"/>
      </rPr>
      <t xml:space="preserve"> </t>
    </r>
    <r>
      <rPr>
        <b/>
        <sz val="10"/>
        <color rgb="FFFFFFFF"/>
        <rFont val="Calibri"/>
        <family val="2"/>
        <charset val="1"/>
      </rPr>
      <t>손</t>
    </r>
    <r>
      <rPr>
        <b/>
        <sz val="10"/>
        <color rgb="FFFFFFFF"/>
        <rFont val="Calibri"/>
        <family val="2"/>
      </rPr>
      <t xml:space="preserve"> </t>
    </r>
    <r>
      <rPr>
        <b/>
        <sz val="10"/>
        <color rgb="FFFFFFFF"/>
        <rFont val="Calibri"/>
        <family val="2"/>
        <charset val="1"/>
      </rPr>
      <t>목표</t>
    </r>
    <r>
      <rPr>
        <b/>
        <sz val="10"/>
        <color rgb="FFFFFFFF"/>
        <rFont val="Calibri"/>
        <family val="2"/>
      </rPr>
      <t>(kg)</t>
    </r>
  </si>
  <si>
    <r>
      <t>양손</t>
    </r>
    <r>
      <rPr>
        <b/>
        <sz val="10"/>
        <color rgb="FFFFFFFF"/>
        <rFont val="Calibri"/>
        <family val="2"/>
      </rPr>
      <t xml:space="preserve"> </t>
    </r>
    <r>
      <rPr>
        <b/>
        <sz val="10"/>
        <color rgb="FFFFFFFF"/>
        <rFont val="Calibri"/>
        <family val="2"/>
        <charset val="1"/>
      </rPr>
      <t>합계</t>
    </r>
    <r>
      <rPr>
        <b/>
        <sz val="10"/>
        <color rgb="FFFFFFFF"/>
        <rFont val="Calibri"/>
        <family val="2"/>
      </rPr>
      <t>(kg)</t>
    </r>
  </si>
  <si>
    <r>
      <t>실제</t>
    </r>
    <r>
      <rPr>
        <b/>
        <sz val="10"/>
        <color rgb="FFFFFFFF"/>
        <rFont val="Calibri"/>
        <family val="2"/>
      </rPr>
      <t xml:space="preserve"> </t>
    </r>
    <r>
      <rPr>
        <b/>
        <sz val="10"/>
        <color rgb="FFFFFFFF"/>
        <rFont val="Calibri"/>
        <family val="2"/>
        <charset val="1"/>
      </rPr>
      <t>한</t>
    </r>
    <r>
      <rPr>
        <b/>
        <sz val="10"/>
        <color rgb="FFFFFFFF"/>
        <rFont val="Calibri"/>
        <family val="2"/>
      </rPr>
      <t xml:space="preserve"> </t>
    </r>
    <r>
      <rPr>
        <b/>
        <sz val="10"/>
        <color rgb="FFFFFFFF"/>
        <rFont val="Calibri"/>
        <family val="2"/>
        <charset val="1"/>
      </rPr>
      <t>손</t>
    </r>
    <r>
      <rPr>
        <b/>
        <sz val="10"/>
        <color rgb="FFFFFFFF"/>
        <rFont val="Calibri"/>
        <family val="2"/>
      </rPr>
      <t>(kg)</t>
    </r>
  </si>
  <si>
    <r>
      <t>메모</t>
    </r>
    <r>
      <rPr>
        <b/>
        <sz val="10"/>
        <color rgb="FFFFFFFF"/>
        <rFont val="Calibri"/>
        <family val="2"/>
      </rPr>
      <t xml:space="preserve"> (</t>
    </r>
    <r>
      <rPr>
        <b/>
        <sz val="10"/>
        <color rgb="FFFFFFFF"/>
        <rFont val="Calibri"/>
        <family val="2"/>
        <charset val="1"/>
      </rPr>
      <t>놓침</t>
    </r>
    <r>
      <rPr>
        <b/>
        <sz val="10"/>
        <color rgb="FFFFFFFF"/>
        <rFont val="Calibri"/>
        <family val="2"/>
      </rPr>
      <t xml:space="preserve"> · </t>
    </r>
    <r>
      <rPr>
        <b/>
        <sz val="10"/>
        <color rgb="FFFFFFFF"/>
        <rFont val="Calibri"/>
        <family val="2"/>
        <charset val="1"/>
      </rPr>
      <t>통증</t>
    </r>
    <r>
      <rPr>
        <b/>
        <sz val="10"/>
        <color rgb="FFFFFFFF"/>
        <rFont val="Calibri"/>
        <family val="2"/>
      </rPr>
      <t>)</t>
    </r>
  </si>
  <si>
    <t>구분</t>
  </si>
  <si>
    <t>메인 (캐리 뒤)</t>
  </si>
  <si>
    <t>스쿼트 날 — 하체를 이미 쓴 날에 몰기</t>
  </si>
  <si>
    <t>짧게</t>
  </si>
  <si>
    <t>적응용</t>
  </si>
  <si>
    <t>다음 날 데드리프트</t>
  </si>
  <si>
    <t>데드 날 — 하체를 이미 쓴 날에 몰기</t>
  </si>
  <si>
    <t>없음 (휴식)</t>
  </si>
  <si>
    <t>다음 날 스쿼트</t>
  </si>
  <si>
    <t>· ⑬ [2026-10-04] 리스트 컬 손등 아래(굴근) 일 · 목 3 → 2 · 화 3 → 0(보류) — 사용자 결정, 생수배송 대비 캐리 · 천국의 계단이 굴근을 채운다. 화요일은 수요일 캐리 전날이라 0. 행은 남겨 두고 세트만 바꿨다 — 일을 안 하게 되면 3으로 되돌린다. 전완 직접 21 → 16 · 실질 24.0 → 19 · 206세트.</t>
  </si>
  <si>
    <t>화요일 24세트 (삼두 3 · 이두 3 · 전완 6 · 목 6 · 복근 6)</t>
    <phoneticPr fontId="29" type="noConversion"/>
  </si>
  <si>
    <t>· 전완 24.0 — **'과다 점검'이 뜨는 유일한 부위이고 그게 뜬 첫 사례다**(2026-10-02 사용자 지정). 표가 금지하지는 않는다. 다만 손목 · 팔꿈치가 시큰해지면 가장 먼저 의심할 자리이고, 되돌리는 순서는 일 · 목의 굴근(손등 아래) → 리버스컬이다. 신근은 그립이 전혀 안 쓰는 근육이라 마지막까지 남긴다. → [2026-10-04] 이 순서대로 굴근부터 내렸다(목 3 → 2 · 화 3 → 0 보류, 일은 3 유지 — 사용자 결정) — 실질 20. 행은 지우지 않았다.</t>
    <phoneticPr fontId="29" type="noConversion"/>
  </si>
  <si>
    <t>· ⑭ [2026-10-04 같은 날] 일요일 손등 아래 2 → 3으로 되돌렸다 — 사용자 결정. 다음 캐리(수)까지 이틀이 비는 날이라 회복 여유가 있다. 목요일은 토요일 캐리까지 하루뿐이라 2 그대로. 전완 직접 17 · 실질 20 · 207세트.</t>
  </si>
  <si>
    <t>통증이 나면 그날 증량 금지. 리스트컬은 2026-10-04에 굴근을 줄였다(전완 실질 24 → 20) — 더 줄이는 건 이 조건일 때만</t>
    <phoneticPr fontId="29" type="noConversion"/>
  </si>
  <si>
    <t>디로드 시작일</t>
    <phoneticPr fontId="29" type="noConversion"/>
  </si>
  <si>
    <t>· 계획한 디로드는 위 '디로드 시작일'에 적는다 — 그 주는 주차로 세지 않고 '디로드 주'로 표시되며, 주차 · 중량 · C4가 같이 멈춘다(2026-10-04 사용자 지정). C4는 디로드 주에 그대로 두고 다음 주에 평소처럼 올린다. 계획 밖에 통째로 쉰 주만 앱 달력에서 '한 주 미루기'를 누른다 — 중량만 한 주 늦게 올라가고 주차 표시는 그대로다.</t>
    <phoneticPr fontId="29" type="noConversion"/>
  </si>
  <si>
    <t>· 디로드 주는 주차로 세지 않는다 — 시작중량_설정 '디로드 시작일'에 적어 두면 앱이 그 주를 '디로드 주'로만 표시하고 주차 · 중량 · C4를 같이 멈춘다. 세트는 위 규칙대로 절반으로 보인다(메인은 내림 · 보조는 반올림 · 데드는 0). 그 주는 증량 기록을 적지 않는다.</t>
    <phoneticPr fontId="29" type="noConversion"/>
  </si>
  <si>
    <t>디로드 간격(주)</t>
  </si>
  <si>
    <t>← 증량 6주 + 디로드 1주 = 7(사용자 지정 2026-10-04). 위 시작일 중 마지막 날짜부터 이 간격으로 앱이 디로드를 계속 만든다 — 10/17 · 12/5 · 1/23 · 3/13 … 스쿼트가 2주 연속 막혀 앞당기면 그 토요일을 위 칸에 쉼표로 추가한다(그 뒤는 거기서 다시 7주). 0이면 반복 안 함</t>
  </si>
  <si>
    <t>← 디로드 주가 시작되는 토요일(여럿이면 텍스트로 2026-10-17, 2026-12-05). 그 주는 주차로 세지 않고 디로드 주로만 표시된다 — 주차 · 중량 · C4가 전부 그 주에 멈추고, 앱이 세트를 절반으로 보여 준다. 미루기는 누르지 않는다. 다음 디로드부터는 아래 간격으로 자동</t>
    <phoneticPr fontId="29" type="noConversion"/>
  </si>
  <si>
    <t>· 기본은 증량 6주 + 디로드 1주(7주 덩어리)다 — 시작중량_설정 '디로드 간격(주)' = 7로 앱이 자동 반복한다(2026-10-04 사용자 지정: 10/17 · 12/5 · 1/23 · 3/13 …). 토요일 스쿼트가 2주 연속 안 오르면 그 시점에 앞당기고, 그 토요일을 '디로드 시작일'에 추가한다.</t>
    <phoneticPr fontId="29" type="noConversion"/>
  </si>
  <si>
    <t>짧고 깊은 쪽 — 뒤침 그립으로 좁게 잡아 어깨 신전 구간을 끝까지 쓴다. 이두 계수 0.5가 붙는 자리다. [2026-10-05 4 → 3] 한 세트를 4번 암풀다운으로 넘겼다 — 사용자 제안.</t>
    <phoneticPr fontId="29" type="noConversion"/>
  </si>
  <si>
    <t>암풀다운</t>
    <phoneticPr fontId="29" type="noConversion"/>
  </si>
  <si>
    <t>[2026-10-05 사용자 제안 — 와이드 · 언더그립 각 4 → 3, 그 2세트를 여기로] 스트레이트 암 풀다운. 팔꿈치를 살짝만 굽혀 고정하고 머리 위에서 허벅지까지 어깨 신전만 한다 — 이두가 빠지므로 광배가 그립 · 이두보다 먼저 실패한다. 상체를 조금 숙여 맨 위에서 광배가 늘어나게 한다(늘어난 구간 부하 — 랫풀다운 둘이 못 주는 각도). 그래서 넓게 벌린 경로(와이드) · 좁고 깊은 경로(언더그립) · 팔 편 늘어난 위치(이것) 셋이 고르게 3/3/2로 들어간다. 고립이라 다관절 뒤 마무리로 둔다. 같은 케이블 스테이션에서 로프나 일자 바로 바꾸면 된다. 중량은 첫 세션에 12~15회에 맞춰 잡는다.</t>
    <phoneticPr fontId="29" type="noConversion"/>
  </si>
  <si>
    <t>케이블 풀오버 (로프) / 덤벨 풀오버 / 머신 풀오버</t>
    <phoneticPr fontId="29" type="noConversion"/>
  </si>
  <si>
    <t>[요청 원문 2026-10-02] 목요일 가슴/등 — 목요일 팔을 세트 후반부에 · 등도 나누고  /  등도 수평/수직으로 재택처럼 나뉘었으면 한다는거야  /  일요일을 수평으로 바꿔줘  /  그냥 다 넣어. 팔하는 날에는 슈퍼세트로 묶어서 (전완)  /  목요일 날에 인클라인 벤치프레스 넣어줘. 3세트  /  디클라인 플라이 4 → 3 · 백 익스텐션 3 → 4 (사용자 엑셀 조정)  /  [2026-10-05] 암풀 다운 넣는게 맞을까? → 언더그립, 와이드그립 각각 3세트씩하고, 암풀다운 2세트 하는거는 어때?</t>
    <phoneticPr fontId="29" type="noConversion"/>
  </si>
  <si>
    <t>팔을 편 채 끌어내리며 견갑을 내린다 — 랫풀다운 둘과 같은 견갑 하강 개시 관여. 팔꿈치가 고정이라 이두 · 삼두는 0(등척성) (2026-10-05 신설)</t>
    <phoneticPr fontId="29" type="noConversion"/>
  </si>
  <si>
    <t>직접 3세트: 목요일(수직) 오버헤드 슈러그 3 — 팔이 머리 위라 수직 날에 맞는다. 간접 2.8 — 친업 · 언더그립 랫풀다운 · 와이드 랫풀다운 · 암풀다운 · 해머 스트랭스 로우 각 0.2. 팔이 머리 위에 고정된 채 견갑을 내리는 종목이 이것뿐이다</t>
    <phoneticPr fontId="29" type="noConversion"/>
  </si>
  <si>
    <t>· ⑮ [2026-10-05] 목요일 와이드 오버그립 · 언더그립 랫풀다운 각 4 → 3 + 암풀다운(스트레이트 암) 2 신설 — 사용자 제안. 광배 직접 16 그대로 · 세트 합계 그대로. 다관절 당기기 넷이 전부 이두 · 그립이 먼저 끊기는 구조라 광배를 늘어난 위치에서 끝까지 보내는 고립을 하나 뒀다. 이두 간접은 언더그립 0.5 + 와이드 0.2만큼 줄고, 승모 하부 간접은 암풀다운 0.2×2가 메워 그대로다.</t>
    <phoneticPr fontId="29" type="noConversion"/>
  </si>
  <si>
    <t>· 메인 리프트가 없으므로 세션 상한 26의 적용 대상이 아니다. 고립 30을 빼면 실질 13이다.</t>
    <phoneticPr fontId="29" type="noConversion"/>
  </si>
  <si>
    <t>· 일요일(32세트 73분)과 합쳐 보면 등 블록 둘이 32/43으로 갈린다 — 가슴 10세트가 이 날에 묶여 있어서다. 수요일 104분 · 토요일 101분 다음으로 96분이다.</t>
    <phoneticPr fontId="29" type="noConversion"/>
  </si>
  <si>
    <t>선 자세 유지 등척성 — 버티기만 하는 자극은 세지 않는다(09-04 규칙 · 스쿼트 · 트랩바 슈러그와 같은 무리). 2026-10-05 0.2→0(사용자 결정)</t>
    <phoneticPr fontId="29" type="noConversion"/>
  </si>
  <si>
    <t>광배 등척성 유지 — 바를 몸에 붙여 버티기만 하므로 0(09-04 '버티기만 하는 자극은 세지 않는다'). 2026-10-05 근거 정정 — 예전 근거 '직접 세트가 충분하므로'는 계수를 정하는 이유가 아니었다. 값은 그대로</t>
    <phoneticPr fontId="29" type="noConversion"/>
  </si>
  <si>
    <t>복귀_일_수평당기기</t>
    <phoneticPr fontId="29" type="noConversion"/>
  </si>
  <si>
    <t>넓은 엎침 그립 + 팔꿈치 벌림 — 팔꿈치가 몸통에서 벌어진 채 뒤로 빠지면 후면삼각이 수평 외전을 능동 수행한다. 부분 협력이라 0.33. 주동근(승모 중부 · 능형근)은 요일 시트에서 직접으로 세고, 이건 다른 근육에 얹는 간접이라 이중 계상이 아니다 (2026-10-05 신설 · 사용자 결정)</t>
    <phoneticPr fontId="29" type="noConversion"/>
  </si>
  <si>
    <t>해머 스트랭스 로우(오버그립)</t>
    <phoneticPr fontId="29" type="noConversion"/>
  </si>
  <si>
    <t>[2026-10-05 2 → 4 · 사용자 엑셀 조정] [2026-10-04 사용자 요청] 후면 마무리. 토요일과 같은 머신 · 같은 동작이다 — 팔을 편 채 수평 외전만. 앞에 원암 리버스 플라이 3세트가 있어 토요일보다 덜 나오는 것이 정상이다. 어깨 블록은 측 → 후 → 측 → 후로 교대한다(사용자 지정) — 같은 머리를 연달아 치지 않아 종목 사이가 서로의 휴식이 된다.</t>
    <phoneticPr fontId="29" type="noConversion"/>
  </si>
  <si>
    <t>[2026-10-05 3 → 4 · 사용자 엑셀 조정] 늘어난 구간 — 등받이에 기대 어깨가 뒤로 가면 이두 장두가 신장된다. 프리쳐 컬(짧아진 구간)과 각도를 나눈다.</t>
    <phoneticPr fontId="29" type="noConversion"/>
  </si>
  <si>
    <t>· 주 486분 = 8시간 6분. 주 4회 370분에서 105분 늘었다. 수(104) · 토(101)가 100분을 넘지만 주 4회 시절 일(121)보다는 작다 — 긴 세션 둘이 짧은 넷으로 분산된 것이 이 개편의 실익이다.</t>
    <phoneticPr fontId="29" type="noConversion"/>
  </si>
  <si>
    <t>· ⑯ [2026-10-05] 사용자가 엑셀에서 두 칸을 조정했다 — 월요일 리버스 펙덱 2 → 4(후면 직접 12 → 14) · 화요일 인클라인 덤벨 컬 3 → 4(이두 직접 9 → 10). 207 → 210세트. 같은 날 간접계수맵을 점검해 세 곳을 고쳤다(사용자 결정) — 스미스 바벨 로우 · 오버헤드 슈러그 → 기립근 0.2 → 0(등척성 규칙과 어긋나 있던 줄), 넓은 그립 로우 둘 → 후면삼각 0.33 신설(팔꿈치 벌린 로우의 수평 외전이 장부에 안 잡히고 있었다), 데드 → 광배 0의 근거 문구 정정.</t>
    <phoneticPr fontId="29" type="noConversion"/>
  </si>
  <si>
    <t>· 아직 09-04 규칙서에 대응 줄이 없어 그대로 둔 곳 셋 — 스미스 바벨 로우 → 기립근 0.2 · 오버헤드 슈러그 → 기립근 0.2 · 레그 프레스(발 높게) → 햄스트링 0.2. 같은 '등척성은 0' 논리를 밀면 앞의 둘은 0이 된다. 재택 맵에 대응 줄이 없어 판정 근거가 없으므로 손대지 않았다 — 다음 카드는 여기다. → [2026-10-05 정리 · 사용자 결정] 앞의 둘을 0으로 내렸다 — 재택 맵 대응 줄을 기다릴 이유가 없었다. 규칙 자체가 '버티기만 하는 자극은 세지 않는다'이고 둘 다 근거 칸에 등척성이라고 적혀 있었다. 기립근 실질 11.5('충분'). 레그 프레스(발 높게) → 햄스트링 0.2는 등척성이 아니라 길이 변화가 작은 능동 수축이라 그대로 둔다. 같은 날 넓은 그립 로우 둘 → 후면삼각 0.33을 신설했다 — 후면 실질 18.0.</t>
    <phoneticPr fontId="29" type="noConversion"/>
  </si>
  <si>
    <t>· 높이: 실제 계단 한 칸(17~18cm)에 맞춘다 — 발판에 받침 1단이면 대개 이 높이다. 높이 올리기는 시간 · 무게 다음의 마지막 수단이고, 무릎이 90°보다 깊게 굽는 높이는 쓰지 않는다.</t>
  </si>
  <si>
    <t>· 동작: 올라-올라-내려-내려가 1회, 분당 20회 안팎. 발 전체를 판 위에 올리고(뒤꿈치가 걸치지 않게) 올라간 다리로 밀어 선다 — 뒷발로 튕기지 않는다.</t>
  </si>
  <si>
    <t>· 리드 다리: 1분마다(또는 20회마다) 바꾼다. 한쪽만 먼저 올리면 그 다리만 지친다.</t>
  </si>
  <si>
    <t>· 안전: 내려설 때는 발판 바로 뒤에 — 멀리 내리면 뒤로 넘어진다. 발판이 매트 위에서 밀리지 않는지 먼저 확인한다. 덤벨이 미끄러지거나 다리가 휘청이면 시간을 못 채워도 바로 끊는다.</t>
  </si>
  <si>
    <t>· 내려오는 동작을 천천히 — 배달에서 계단 내려올 때 브레이크를 거는 힘(허벅지 앞 신장성)이 여기서 길러진다. 기계 계단에는 없던 부분이다.</t>
  </si>
  <si>
    <t>이 연습의 목적이 악력이다 (스텝박스에서는 허용)</t>
    <phoneticPr fontId="29" type="noConversion"/>
  </si>
  <si>
    <t>악력을 매일 무겁게 쓰면 회복이 안 돼 오히려 안 오른다. 나머지 날은 복귀_스텝박스로 채운다</t>
    <phoneticPr fontId="29" type="noConversion"/>
  </si>
  <si>
    <t>캐리 → 스텝박스(짧게)</t>
    <phoneticPr fontId="29" type="noConversion"/>
  </si>
  <si>
    <t>· ⑰ [2026-10-05] 천국의 계단 → 스텝박스(헬스용 발판) — 사용자 결정. 요일 · 4주 램프 · 무게(12~16kg)는 그대로, 시트 이름이 복귀_스텝박스로 바뀌었다. 손잡이를 잡을 일이 없어 덤벨 들기가 자연스럽고, 기계 계단에 없던 내려오는 동작이 생겨 배달 계단과 더 비슷하다. 세트 합계 밖이라 210세트 그대로.</t>
  </si>
  <si>
    <r>
      <rPr>
        <sz val="10"/>
        <rFont val="맑은 고딕"/>
        <family val="3"/>
        <charset val="129"/>
      </rPr>
      <t>레터럴</t>
    </r>
    <r>
      <rPr>
        <sz val="10"/>
        <rFont val="Calibri"/>
        <family val="2"/>
      </rPr>
      <t xml:space="preserve"> </t>
    </r>
    <r>
      <rPr>
        <sz val="10"/>
        <rFont val="맑은 고딕"/>
        <family val="3"/>
        <charset val="129"/>
      </rPr>
      <t>레이즈</t>
    </r>
    <phoneticPr fontId="29" type="noConversion"/>
  </si>
  <si>
    <t>캐리 — 무겁게 들고 걷기 (생수배송 대비 · 2026-10-04 신설 · 2026-10-05 회차마다 증량으로 당김)</t>
    <phoneticPr fontId="29" type="noConversion"/>
  </si>
  <si>
    <t>4번 다 안 놓치면 다음 회차(토 → 수 → 토 …) 한 손 +2kg</t>
    <phoneticPr fontId="29" type="noConversion"/>
  </si>
  <si>
    <t>막힘 없으면 디로드 한 주 포함 4주 만에 36kg(10/31 토). 2026-10-05 주 1회 → 회차마다로 당겼다(사용자 결정, 원래 11/21). 이보다 빠르게는 안 올린다 — 팔꿈치 힘줄이 근육보다 늦게 적응한다</t>
    <phoneticPr fontId="29" type="noConversion"/>
  </si>
  <si>
    <t>같은 무게 3회 연속 놓침 · 팔꿈치 안쪽/바깥쪽 통증</t>
    <phoneticPr fontId="29" type="noConversion"/>
  </si>
  <si>
    <t>진행표 (회차 = 캐리 하는 날 · 토와 수)</t>
    <phoneticPr fontId="29" type="noConversion"/>
  </si>
  <si>
    <t>회차</t>
    <phoneticPr fontId="29" type="noConversion"/>
  </si>
  <si>
    <t>날짜</t>
    <phoneticPr fontId="29" type="noConversion"/>
  </si>
  <si>
    <t>· 5 · 6회차(10/17 토 · 10/21 수)는 디로드 주라 30kg 그대로 — 웨이트와 같이 한 주 멈추고, 앱에는 회차 대신 디로드로 뜬다. 그래서 36kg은 10/31(토). 디로드 날짜가 바뀌면 멈추는 줄도 같이 옮긴다. 다음 디로드는 12/5 주 — 그 전에 줄을 이어 붙인다. 놓친 회차는 같은 무게를 한 번 더 들고, 표는 날짜대로 간다(앱도 날짜로 고른다).</t>
    <phoneticPr fontId="29" type="noConversion"/>
  </si>
  <si>
    <t>· ⑱ [2026-10-05] 캐리 증량을 주 1회 → 회차마다(토 · 수 각 +2kg)로 당겼다 — 사용자 결정. 36kg 도달 11/21 → 10/31. 진행표가 주차 10줄에서 회차 18줄(10/3 ~ 12/2)로 바뀌었다. 세트 합계 밖이라 210세트 그대로.</t>
  </si>
  <si>
    <t>진행표 — 메인 날(토 · 수)마다 한 칸, 짧은 날(일 · 월 · 목)은 바로 앞 칸의 짧은 날 값 · 휴식은 전부 60초</t>
  </si>
  <si>
    <t>회차</t>
  </si>
  <si>
    <t>메인 한 손(kg)</t>
  </si>
  <si>
    <t>메인 분</t>
  </si>
  <si>
    <t>메인 세트</t>
  </si>
  <si>
    <t>짧은 날 한 손(kg)</t>
  </si>
  <si>
    <t>짧은 날 분</t>
  </si>
  <si>
    <t>짧은 날 세트</t>
  </si>
  <si>
    <t>· 배달 일이 시작되면 실제 일(몇 층 · 몇 팩 · 한 번에 몇 분)과 비교해 이 표를 다시 본다.</t>
  </si>
  <si>
    <t>· ⑲ [2026-10-05] 스텝박스 목표를 '한 손 36kg 맨손 5분 연속'으로 — 사용자 지정. 4주 램프(12~16kg에서 멈춤)를 회차 진행표로 바꿨다: 16kg 맨손 3분에서 시작, 메인 날(토 · 수)마다 3 → 4 → 5분 → +2kg. 짧은 날은 메인의 70%. 표대로면 36kg × 5분은 2027-02-17. 세트 합계 밖이라 210세트 그대로.</t>
  </si>
  <si>
    <t>스텝박스 오르내리기 + 덤벨 (생수배송 대비 · 2026-10-04 신설 · 10-05 천국의 계단 → 스텝박스 · 10-05 일 시작(11월 중순 ~ 12월 초)에 맞춰 메인 날마다 +2kg)</t>
    <phoneticPr fontId="29" type="noConversion"/>
  </si>
  <si>
    <t>일 시작 기준: 한 손 36kg 맨손 × 2분 연속(지하 1층 → 7층 한 번) — 표대로면 11/18(수). 최종 목표 5분 연속은 11/28 칸에 있지만 못 채우면 일을 하면서 채운다. 세트 카운트 · 세트검산에는 넣지 않는다.</t>
    <phoneticPr fontId="29" type="noConversion"/>
  </si>
  <si>
    <t>짧은 날 손</t>
  </si>
  <si>
    <t>· 디로드 주(10/17 토 · 10/21 수) 줄은 직전 칸 그대로 — 웨이트 · 캐리와 같이 멈춘다. 표는 12/2에서 끝난다 — 다음 디로드(12/5 주) 즈음이면 배달 일이 이 표를 대신한다.</t>
  </si>
  <si>
    <t>· 메인 날(토 · 수 — 캐리 뒤)은 맨손. 시간은 2분 × 2로 고정하고 한 칸마다 +2kg. 36kg에 닿으면 그때부터 시간을 3 → 4 → 5분으로 늘린다. 시간과 무게를 한 번에 둘 다 올리지 않는다.</t>
  </si>
  <si>
    <t>· 메인 날 맨손으로 미끄러지기 시작하면 스트랩을 차고 시간만 채운다 — 그 세트는 맨손 기록으로 치지 않는다.</t>
  </si>
  <si>
    <t>· 표는 날짜로 간다. 칸을 못 채웠으면(내려놓음 · 스트랩) 다음 메인 날 그 칸을 한 번 더 하고, 팔꿈치 바깥쪽 통증이 4/10을 넘는 날은 무게를 올리지 않는다.</t>
  </si>
  <si>
    <t>· 현실 점검: 막힘 없이 가면 11/18 36kg × 2분이지만, 손이 먼저 막혀 26~30kg 근처에서 같은 칸을 몇 번 반복하는 게 흔하다. 12월 초 30kg 이상 × 2분이면 일을 시작해도 된다 — 캐리 표대로면 36kg × 40초는 10/31에 이미 된다.</t>
  </si>
  <si>
    <t>· ⑳ [2026-10-05 같은 날] 배달 일을 11월 중순(늦어도 12월 초)에 시작하기로 해 스텝박스를 당겼다 — 사용자 결정. 메인 날마다 2분 × 2 고정 · +2kg(10/7 16kg → 11/18 36kg) → 36kg에서 3 · 4 · 5분(11/28). 짧은 날은 같은 무게 · 스트랩 착용 · 3분 × 2. 일 시작 기준은 36kg × 2분(7층 한 번), 5분 연속은 일을 하면서 채워도 된다.</t>
  </si>
  <si>
    <t>· 짧은 날(일 · 월 · 목)은 바로 앞 메인과 같은 무게 · 스트랩 착용 · 시간은 3분 × 2(~10/23, 디로드 주 포함) → 4분 × 2(10/24~) → 5분 × 2(10/31~ 고정). 다리와 숨은 메인만큼 힘들게, 손과 팔꿈치(바깥쪽 신근)는 쉬게 — 맨손으로 무겁게 쥐는 날은 주 2회(토 · 수)로 지킨다. 스트랩이라 무게와 시간이 같이 올라도 된다 — '둘 다 한 번에 올리지 않는다'는 손을 지키는 규칙이다(2026-10-05 사용자 결정).</t>
    <phoneticPr fontId="29" type="noConversion"/>
  </si>
  <si>
    <t>· ㉑ [2026-10-05 같은 날] 스텝박스 짧은 날 시간 3분 고정 → 3 · 4 · 5분 램프(10/24부터 4분 · 10/31부터 5분 × 2) — 사용자 결정. 스트랩이라 손은 쉬고, 일 목표인 5분 연속을 다리 · 숨이 먼저 익힌다.</t>
  </si>
  <si>
    <t>아침에 일어나서 한 번, 저녁 먹고 산책 뒤 한 번. 실제 배달처럼 한쪽 3팩 — 2 · 3번 팩 손잡이에 푸쉬업바를 끼워 손에 들고, 1번 팩은 옆구리와 2번 팩 위에 걸친다. 1번 무게가 일부 손으로 내려와 손 하중은 한쪽 30~36kg이다. 푸쉬업바에 스트랩을 감는다. 세트 카운트 · 세트검산에는 넣지 않는다.</t>
  </si>
  <si>
    <t>시작일</t>
  </si>
  <si>
    <t>한쪽</t>
  </si>
  <si>
    <t>아침</t>
  </si>
  <si>
    <t>저녁</t>
  </si>
  <si>
    <t>바에 2팩(24kg) · 1번 팩 없이 · 스트랩</t>
  </si>
  <si>
    <t>토 · 일 · 월 · 수 · 목</t>
  </si>
  <si>
    <t>지하 1층 → 7층 1~2왕복</t>
  </si>
  <si>
    <t>3팩(6팩 전부 · 손 30~36kg) · 스트랩</t>
  </si>
  <si>
    <t>일 · 월 · 목</t>
  </si>
  <si>
    <t>· 스트랩은 푸쉬업바에 감는다 — 손은 쉬고 다리 · 숨 · 어깨만 쓴다. 맨손으로 무겁게 쥐는 건 헬스장 메인 날(토 · 수)뿐이다. 손 하중이 30kg을 넘으니 하루 2번 맨손이면 팔꿈치가 못 버틴다.</t>
  </si>
  <si>
    <t>· 메인 날(토 · 수) 저녁은 쉰다 — 헬스장에서 맨손 캐리 + 스텝박스로 손을 이미 다 썼다.</t>
  </si>
  <si>
    <t>· 화 · 금은 아침 · 저녁 다 쉰다 — 다음 날 데드 · 스쿼트다.</t>
  </si>
  <si>
    <t>· 1번 팩 없이 한 주 먼저 — 옆구리에 끼우는 힘(팔을 몸통에 붙여 조이기)은 처음 쓰는 부담이라 한 단계씩. 저녁 추가는 6팩에 익숙해진 뒤(10/24~).</t>
  </si>
  <si>
    <t>· 6팩 처음 들기 전: 평지에서 들고 30초 서서 흔들어 본다. 바가 휘거나 손잡이가 헛돌면 쓰지 않는다 — 계단에서 부러지면 생수와 같이 넘어진다.</t>
  </si>
  <si>
    <t>· 자세: 어깨를 으쓱 올리지 말고 내린 채로 걷는다. 몸이 한쪽으로 기울거나 허리가 비틀리면 그날은 거기서 끝.</t>
  </si>
  <si>
    <t>· 계단 손잡이를 못 잡으니 내려올 때 천천히, 발 디딜 곳을 보면서.</t>
  </si>
  <si>
    <t>· 디로드 주(10/17 ~ 10/23)는 왕복 1번만.</t>
  </si>
  <si>
    <t>· 먼저 빼는 신호: 팔꿈치 바깥쪽 통증 4/10 초과 · 아침에 허리나 무릎이 뻐근함 · 스쿼트나 데드 무게가 떨어짐 → 집부터 줄인다(저녁 → 아침 순). 헬스장 표가 우선이다.</t>
  </si>
  <si>
    <r>
      <rPr>
        <b/>
        <sz val="14"/>
        <color theme="1"/>
        <rFont val="Calibri"/>
        <family val="2"/>
        <charset val="1"/>
      </rPr>
      <t>집</t>
    </r>
    <r>
      <rPr>
        <b/>
        <sz val="14"/>
        <color theme="1"/>
        <rFont val="Calibri"/>
        <family val="2"/>
      </rPr>
      <t xml:space="preserve"> — </t>
    </r>
    <r>
      <rPr>
        <b/>
        <sz val="14"/>
        <color theme="1"/>
        <rFont val="Calibri"/>
        <family val="2"/>
        <charset val="1"/>
      </rPr>
      <t>진짜</t>
    </r>
    <r>
      <rPr>
        <b/>
        <sz val="14"/>
        <color theme="1"/>
        <rFont val="Calibri"/>
        <family val="2"/>
      </rPr>
      <t xml:space="preserve"> </t>
    </r>
    <r>
      <rPr>
        <b/>
        <sz val="14"/>
        <color theme="1"/>
        <rFont val="Calibri"/>
        <family val="2"/>
        <charset val="1"/>
      </rPr>
      <t>생수팩</t>
    </r>
    <r>
      <rPr>
        <b/>
        <sz val="14"/>
        <color theme="1"/>
        <rFont val="Calibri"/>
        <family val="2"/>
      </rPr>
      <t xml:space="preserve"> + </t>
    </r>
    <r>
      <rPr>
        <b/>
        <sz val="14"/>
        <color theme="1"/>
        <rFont val="Calibri"/>
        <family val="2"/>
        <charset val="1"/>
      </rPr>
      <t>아파트</t>
    </r>
    <r>
      <rPr>
        <b/>
        <sz val="14"/>
        <color theme="1"/>
        <rFont val="Calibri"/>
        <family val="2"/>
      </rPr>
      <t xml:space="preserve"> </t>
    </r>
    <r>
      <rPr>
        <b/>
        <sz val="14"/>
        <color theme="1"/>
        <rFont val="Calibri"/>
        <family val="2"/>
        <charset val="1"/>
      </rPr>
      <t>계단</t>
    </r>
    <r>
      <rPr>
        <b/>
        <sz val="14"/>
        <color theme="1"/>
        <rFont val="Calibri"/>
        <family val="2"/>
      </rPr>
      <t xml:space="preserve"> (</t>
    </r>
    <r>
      <rPr>
        <b/>
        <sz val="14"/>
        <color theme="1"/>
        <rFont val="Calibri"/>
        <family val="2"/>
        <charset val="1"/>
      </rPr>
      <t>생수배송</t>
    </r>
    <r>
      <rPr>
        <b/>
        <sz val="14"/>
        <color theme="1"/>
        <rFont val="Calibri"/>
        <family val="2"/>
      </rPr>
      <t xml:space="preserve"> </t>
    </r>
    <r>
      <rPr>
        <b/>
        <sz val="14"/>
        <color theme="1"/>
        <rFont val="Calibri"/>
        <family val="2"/>
        <charset val="1"/>
      </rPr>
      <t>대비</t>
    </r>
    <r>
      <rPr>
        <b/>
        <sz val="14"/>
        <color theme="1"/>
        <rFont val="Calibri"/>
        <family val="2"/>
      </rPr>
      <t xml:space="preserve"> · 2026-10-05 </t>
    </r>
    <r>
      <rPr>
        <b/>
        <sz val="14"/>
        <color theme="1"/>
        <rFont val="Calibri"/>
        <family val="2"/>
        <charset val="1"/>
      </rPr>
      <t>신설</t>
    </r>
    <r>
      <rPr>
        <b/>
        <sz val="14"/>
        <color theme="1"/>
        <rFont val="Calibri"/>
        <family val="2"/>
      </rPr>
      <t xml:space="preserve">, </t>
    </r>
    <r>
      <rPr>
        <b/>
        <sz val="14"/>
        <color theme="1"/>
        <rFont val="Calibri"/>
        <family val="2"/>
        <charset val="1"/>
      </rPr>
      <t>사용자</t>
    </r>
    <r>
      <rPr>
        <b/>
        <sz val="14"/>
        <color theme="1"/>
        <rFont val="Calibri"/>
        <family val="2"/>
      </rPr>
      <t xml:space="preserve"> </t>
    </r>
    <r>
      <rPr>
        <b/>
        <sz val="14"/>
        <color theme="1"/>
        <rFont val="Calibri"/>
        <family val="2"/>
        <charset val="1"/>
      </rPr>
      <t>제안</t>
    </r>
    <r>
      <rPr>
        <b/>
        <sz val="14"/>
        <color theme="1"/>
        <rFont val="Calibri"/>
        <family val="2"/>
      </rPr>
      <t>)</t>
    </r>
  </si>
  <si>
    <r>
      <t>단계</t>
    </r>
    <r>
      <rPr>
        <b/>
        <sz val="11"/>
        <color theme="1"/>
        <rFont val="Calibri"/>
        <family val="2"/>
      </rPr>
      <t xml:space="preserve"> (</t>
    </r>
    <r>
      <rPr>
        <b/>
        <sz val="11"/>
        <color theme="1"/>
        <rFont val="Calibri"/>
        <family val="2"/>
        <charset val="1"/>
      </rPr>
      <t>시작일부터</t>
    </r>
    <r>
      <rPr>
        <b/>
        <sz val="11"/>
        <color theme="1"/>
        <rFont val="Calibri"/>
        <family val="2"/>
      </rPr>
      <t xml:space="preserve"> </t>
    </r>
    <r>
      <rPr>
        <b/>
        <sz val="11"/>
        <color theme="1"/>
        <rFont val="Calibri"/>
        <family val="2"/>
        <charset val="1"/>
      </rPr>
      <t>다음</t>
    </r>
    <r>
      <rPr>
        <b/>
        <sz val="11"/>
        <color theme="1"/>
        <rFont val="Calibri"/>
        <family val="2"/>
      </rPr>
      <t xml:space="preserve"> </t>
    </r>
    <r>
      <rPr>
        <b/>
        <sz val="11"/>
        <color theme="1"/>
        <rFont val="Calibri"/>
        <family val="2"/>
        <charset val="1"/>
      </rPr>
      <t>줄</t>
    </r>
    <r>
      <rPr>
        <b/>
        <sz val="11"/>
        <color theme="1"/>
        <rFont val="Calibri"/>
        <family val="2"/>
      </rPr>
      <t xml:space="preserve"> </t>
    </r>
    <r>
      <rPr>
        <b/>
        <sz val="11"/>
        <color theme="1"/>
        <rFont val="Calibri"/>
        <family val="2"/>
        <charset val="1"/>
      </rPr>
      <t>전날까지</t>
    </r>
    <r>
      <rPr>
        <b/>
        <sz val="11"/>
        <color theme="1"/>
        <rFont val="Calibri"/>
        <family val="2"/>
      </rPr>
      <t>)</t>
    </r>
  </si>
  <si>
    <t>· ㉒ [2026-10-05 같은 날] 집 운동 신설 — 시트 복귀_집계단. 아침 · 저녁 산책 뒤 진짜 생수팩(한쪽 3팩 · 푸쉬업바 + 스트랩)으로 지하 1층 → 7층 1~2왕복. 10/6 바 2팩 아침 → 10/12 6팩 아침 → 10/24 6팩 아침 + 저녁(일 · 월 · 목). 메인 날 저녁 · 화 · 금은 쉰다. 사용자 제안.</t>
  </si>
  <si>
    <t>· ㉓ [2026-10-06] 측면 삼각 토 레터럴 4 → 6 · 수 레터럴 3 → 6 — 사용자 결정. 기준은 '세션당 한 근육 6세트' — 그 위로는 세트당 효과가 줄어든다(연구상 6~10세트 범위의 보수적 끝). 6 아래로 남아 있던 두 날을 6까지 채웠고, 이미 7인 월요일은 사용자 지정으로 그대로 뒀다. 후면(월 7)도 그대로. 측면 직접 14 → 19 · 실질 16 → 21로 검산 판정이 '과다 점검'(20 초과)으로 바뀐다 — RP MAV 상단(약 22) 안쪽이다. 210 → 215세트.</t>
  </si>
  <si>
    <t>와이드 그립 업라이트 로우</t>
  </si>
  <si>
    <t>케이블 업라이트 로우 (일자 바) / 스미스 업라이트 로우 / 덤벨 업라이트 로우</t>
  </si>
  <si>
    <t>[2026-10-06 사용자 결정 — 다양성] 6 → 3 — 앞 3세트를 와이드 그립 업라이트 로우로 나눴다. 측면 토 6 · 월 7 · 수 6 · 주 19 그대로. 업라이트 로우 뒤라 중량이 평소보다 한 칸 낮게 나와도 정상이다. 마지막 세트 드롭(+60초)은 이 종목에 남긴다. [2026-10-06 세션당 6세트 기준] 측면 삼각은 간접 자극이 2.0세트뿐이라 직접 세트로만 채워진다.</t>
    <phoneticPr fontId="29" type="noConversion"/>
  </si>
  <si>
    <t>견갑 거상 · 상방 회전 협력 — 넓은 그립에 팔꿈치를 어깨 높이에서 멈추면 승모 상부는 주도하지 않고 돕는다(부분 협력 0.33). 케이블 Y 레이즈는 레터럴 변형이라 줄을 두지 않는다. 2026-10-06 신설</t>
  </si>
  <si>
    <t>· 어깨 블록을 4~7번에 둔 이유 — 레그 컬 · 이너 · 아우터 타이 · 카프는 어깨와 경쟁하지 않는 고립이라 뒤로 보냈다. 어깨가 세션 맨 끝에 오면 하체 고립 15세트를 더 지나야 하고, 그 자리에서는 레터럴 중량이 먼저 떨어진다.</t>
    <phoneticPr fontId="29" type="noConversion"/>
  </si>
  <si>
    <t>스쿼트 5×5가 앞, 어깨 블록이 4~7번(프레스 · 업라이트 로우 · 레터럴 · 리버스 펙덱). 금요일 휴식 다음날이라 주 전체에서 가장 신선하다. 레그 컬 · 이너 · 아우터 · 카프는 어깨와 경쟁하지 않아 뒤로 보냈다 — 햄스트링 중량은 이 날이 가장 잘 나온다</t>
    <phoneticPr fontId="29" type="noConversion"/>
  </si>
  <si>
    <t>· ㉔ [2026-10-06] 측면 종목 다양화 — 사용자 결정. 토요일 덤벨 레터럴 6 → 와이드 그립 업라이트 로우 3 + 레터럴 3, 수요일 덤벨 레터럴 6 → 레터럴 3 + 케이블 Y 레이즈 3(드롭은 Y 레이즈로). 덤벨 레터럴이 두 날에 겹쳐 있던 자리를 하나씩 갈랐다 — 신선한 토요일엔 가장 무거운 다관절, 프레스 직후 수요일엔 늘어난 구간 고립. 세트 수 · 측면 19 그대로, 간접계수맵에 업라이트 로우 → 승모(상부) 0.33 신설. 215세트 · 주 495분.</t>
  </si>
  <si>
    <t>[2026-10-06 사용자 결정] 4 → 6 — 후면 직접 14 → 16 · 실질 18 → 20. 세션당 6세트 기준으로 6 아래인 날 중 금요일 휴식 다음날이라 가장 신선한 토요일을 골랐다(수요일은 데드 뒤 · 이미 가장 긴 날). 마지막 세트 드롭(+60초)은 그대로. 후면 삼각. 월요일 원암 케이블 리버스 플라이와 저항곡선이 갈린다 — 머신은 중간 구간, 케이블은 수축 끝단. 팔을 편 채 수평 외전만 한다 — 견갑 후인 · 외회전은 일요일 페이스풀이 맡는다.</t>
    <phoneticPr fontId="29" type="noConversion"/>
  </si>
  <si>
    <t>· ㉕ [2026-10-06] 토요일 리버스 펙덱 4 → 6 — 사용자 결정. 후면 직접 14 → 16 · 실질 18 → 20(판정 '충분' — 20 초과부터 '과다 점검'). 세션당 6세트 기준으로 월(7)은 제외, 토 · 수 중 신선한 토요일. 목적은 정면 폭이 아니라 측면에서 본 어깨 두께와 프레스 볼륨 대비 앞뒤 균형. 215 → 217세트 · 주 499분.</t>
  </si>
  <si>
    <t>직접 16세트: 토요일 리버스 펙덱 6 (2026-10-06 4 → 6 · 사용자 결정) · 월요일 원암 케이블 리버스 플라이 3 · 리버스 펙덱 4 · 수요일 벤트오버 레터럴 머신 3. 간접 4.0 — 목요일 페이스풀 0.5×3 + 일요일 넓은 그립 로우 0.33×(4+3). [2026-10-05 신설] 팔꿈치를 벌린 수평 로우는 후면삼각이 수평 외전을 능동 수행하는데 그동안 0이었다. 주동근은 그대로 승모 중부 · 능형근 직접이고, 이건 다른 근육에 얹는 간접이라 이중 계상이 아니다. [2026-10-04] 월요일 리버스 플라이를 원암으로(사용자 지정 — 집중이 더 잘 된다) · 같은 날 리버스 펙덱 2를 더했다(사용자 요청) — 10 → 12. [2026-10-05] 월요일 리버스 펙덱 2 → 4(사용자 엑셀 조정) — 12 → 14. 실질 18.0로 측면(16.0)보다 높다 — 후면을 더 넣을지 볼 때 이 숫자가 기준이다. 월요일 어깨 블록은 측 → 후 → 측 → 후로 교대한다</t>
    <phoneticPr fontId="29" type="noConversion"/>
  </si>
  <si>
    <t>· 삼각근 측면 21.0 · 후면 20.0 — 셋으로 나눠 주 3회. 2026-10-04에 둘 다 월요일에서 올렸고(측면 10 → 14 · 후면 10 → 12), 2026-10-05 후면 12 → 14(리버스 펙덱), 2026-10-06 측면 14 → 19(토 · 수 레터럴을 세션당 6까지) · 후면 14 → 16(토 리버스 펙덱 4 → 6). 월요일 어깨 블록은 측 → 후 → 측 → 후 교대.</t>
    <phoneticPr fontId="29" type="noConversion"/>
  </si>
  <si>
    <t>해머 컬</t>
  </si>
  <si>
    <t>케이블 로프 해머 컬 / 크로스바디 해머 컬 / 시티드 해머 컬</t>
  </si>
  <si>
    <t>[2026-10-06 사용자 요청] 뉴트럴 그립(엄지가 위) 컬 — 손바닥이 마주 보면 이두 장두의 역학적 이점이 줄고 상완근 · 상완요골근이 주동으로 올라온다. 앞의 인클라인 컬(뒤침 · 늘어난 구간)과 그립으로 갈리고, 뒤의 리버스컬(엎침)과 함께 뒤침 → 중립 → 엎침 순서가 된다. 근육군은 팔꿈치 굴곡이라 이두로 세고, 상완요골근 몫은 간접계수맵에 전완 0.5로 얹었다. 이 날 이두가 7세트로 세션당 6세트를 넘지만 사용자 지정 예외다. 덤벨을 몸 옆에 붙인 채 상완을 고정하고, 내릴 때 2초. 중량 10은 출발값 — 첫 세션에 8~12회에 맞춰 적는다.</t>
  </si>
  <si>
    <t>뉴트럴 그립 팔꿈치 굴곡 — 상완요골근이 능동 수축하는 명확한 협력근(0.5). 손목 굴근은 덤벨을 쥐고 버티기만 하므로(등척성) 세지 않는다. 2026-10-06 신설</t>
  </si>
  <si>
    <t>· ㉖ [2026-10-06] 화요일 해머 컬 3 신설 — 사용자 요청. 인클라인 컬 뒤 · 리버스컬 앞(뒤침 → 중립 → 엎침). 이두로 세고 전완 간접 0.5(상완요골근). 이두 직접 10 → 13 · 실질 20.5, 전완 실질 22. 화요일 이두가 7세트로 세션당 6세트를 넘지만 사용자 지정 예외(월 측면 · 후면 7과 같은 취급). 220세트 · 주 505분.</t>
  </si>
  <si>
    <t>[2026-10-06 사용자 요청] 화요일 해머 컬 3 신설 — 직접 10 → 13. 화요일 이두 7세트(인클라인 컬 4 + 해머 3)는 세션당 6세트 예외. 직접 10세트: 일요일 프리쳐 컬 3 · 화요일 인클라인 덤벨 컬 4(2026-10-05 사용자 조정 3 → 4) · 목요일 케이블 드래그 컬 3. 간접 7.5 — 당기기 7종목을 그립별로 (뒤침 0.5 · 뉴트럴 0.33 · 엎침 0.2) + 리버스컬 0.2×3. 짧아진 · 늘어난 · 중간 구간 셋으로 나눴다. 실질 17.5 — 성장 구간 상단이다</t>
    <phoneticPr fontId="29" type="noConversion"/>
  </si>
  <si>
    <t>[2026-10-06] 화요일 해머 컬 → 전완 간접 0.5×3 추가(상완요골근). 직접 세트는 그대로. [2026-10-04] 직접 17: 굴근(손등 아래) 일 3 · 화 0(보류) · 목 2 — 생수배송 대비 캐리 · 계단이 굴근을 채운다. 신근 9 · 리버스컬 3은 그대로. 실질 24.0 → 20. 이전 기록: 직접 21세트: 리스트 컬 굴근 · 신근 슈퍼세트를 팔 하는 날 셋에 각 3+3(일 · 화 · 목) + 화요일 리버스컬 3. 간접 3.0 — 컬 3종 0.33씩. [2026-10-02 사용자 지정 '그냥 다 넣어'] 9 → 21로 올렸고 빈도가 주 1회 → 3회가 됐다. 실질 24.0으로 천장(20)을 넘겨 '과다 점검'이 뜨는 첫 부위다. 굴근은 일 · 목에서 당기기(16 · 11세트) 뒤에 오므로 중량을 7.5로 낮춰 잡았다(화요일 10) — 신근은 세 날 다 같은 중량이다 — 당기기가 신근을 전혀 쓰지 않아 날마다 흔들리지 않는다. 전완은 세 갈래이고 셋을 다 덮는다 — 손목 굴근군(앞면 · 손등 아래 9) · 손목 신근군(뒷면 · 손등 위 9) · 상완요골근(요측 · 팔꿈치를 넘는다 · 리버스컬 3). 리스트 컬 두 개가 가르는 것은 앞/뒤이고, 요측 / 척측(엄지쪽 / 새끼손가락쪽)으로 가르는 종목은 없다. 신근 중량은 7.5로 통일했다 — 굴근의 절반 남짓한 힘이라 같은 10kg을 쓰는 것이 말이 안 됐다(재택도 굴근 15 / 신근 10으로 갈라 둔다). 되돌리려면 일 · 목의 굴근(손등 아래)부터 뺀다 — 순수 그립이 온종일 등척성으로 쓰는 쪽이고, 09-04 규칙상 그 등척성은 계수 0이라 표에 안 보이지만 실제 부하는 있다. 신근은 그립이 전혀 안 쓰는 근육이라 마지막까지 남긴다</t>
    <phoneticPr fontId="29" type="noConversion"/>
  </si>
  <si>
    <t>220세트</t>
    <phoneticPr fontId="29" type="noConversion"/>
  </si>
  <si>
    <t>주 4회 140에서 올렸다. 유지선은 75. 현장 일 보정이 사라진 자리들 + 2026-10-02 사용자 추가 여섯(원 레그 컬 · 발 높은 레그 프레스 · 수요일 이너/아우터 · 페이스풀 · 전완 슈퍼세트 주 3회 · 백 익스텐션 주 2회) · 2026-10-04 월요일 측면 +4 · 후면 +2 · 2026-10-05 후면 +2 · 이두 +1 · 2026-10-06 측면 +5(토 · 수 레터럴을 세션당 6까지) · 후면 +2(토 리버스 펙덱 4 → 6) · 이두 +3(화 해머 컬)</t>
    <phoneticPr fontId="29" type="noConversion"/>
  </si>
  <si>
    <t>[2026-10-07 수 → 화 · 사용자 요청] 중둔근은 데드와 거의 관계없어 강도는 평소대로 간다. 선 자세 · 편측이라 고관절이 펴진 각도에서 외전한다 — 앉아서 하는 아우터 타이(고관절 굽힘)와 각도가 갈린다. 둘 중 이쪽이 좌우 차가 드러나므로 아우터 타이 앞에 둬 더 신선한 자리를 줬다.</t>
    <phoneticPr fontId="29" type="noConversion"/>
  </si>
  <si>
    <t>[2026-10-07 수 → 화 · 사용자 요청] 데드 전날이라 RIR 1~2로 끊는다 — 대내전근은 데드의 고관절 신전 협력근이다. [2026-10-02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phoneticPr fontId="29" type="noConversion"/>
  </si>
  <si>
    <t>복귀_화_팔</t>
    <phoneticPr fontId="29" type="noConversion"/>
  </si>
  <si>
    <t>[팔 블록은 건드리지 않았다]</t>
    <phoneticPr fontId="29" type="noConversion"/>
  </si>
  <si>
    <t>· 화요일을 고른 이유 — 여섯 날 중 가장 가벼웠고(28세트 51분), 팔 · 목 · 복근 날이라 고관절 종목과 겹치는 근육이 없다. 옮긴 뒤 화 · 수가 둘 다 약 80분이다. 주간 세트 · 분 총량과 부위별 직접 세트는 그대로다.</t>
  </si>
  <si>
    <t>· 이너 · 아우터는 토 · 화로 3~4일 간격이 된다 — 주 2회 배치가 토 · 수일 때와 같은 고르기다.</t>
  </si>
  <si>
    <t>[요청 원문 2026-10-07] 나 이너타이/아우터타이, 힙쓰러스트, 힙 외회전은 그냥 화요일로 보내면 안될까? 양이 너무 많아서..</t>
  </si>
  <si>
    <r>
      <t>[</t>
    </r>
    <r>
      <rPr>
        <b/>
        <sz val="11"/>
        <color theme="1"/>
        <rFont val="Calibri"/>
        <family val="2"/>
        <charset val="1"/>
      </rPr>
      <t>고관절</t>
    </r>
    <r>
      <rPr>
        <b/>
        <sz val="11"/>
        <color theme="1"/>
        <rFont val="Calibri"/>
        <family val="2"/>
      </rPr>
      <t xml:space="preserve"> </t>
    </r>
    <r>
      <rPr>
        <b/>
        <sz val="11"/>
        <color theme="1"/>
        <rFont val="Calibri"/>
        <family val="2"/>
        <charset val="1"/>
      </rPr>
      <t>고립</t>
    </r>
    <r>
      <rPr>
        <b/>
        <sz val="11"/>
        <color theme="1"/>
        <rFont val="Calibri"/>
        <family val="2"/>
      </rPr>
      <t xml:space="preserve"> </t>
    </r>
    <r>
      <rPr>
        <b/>
        <sz val="11"/>
        <color theme="1"/>
        <rFont val="Calibri"/>
        <family val="2"/>
        <charset val="1"/>
      </rPr>
      <t>블록</t>
    </r>
    <r>
      <rPr>
        <b/>
        <sz val="11"/>
        <color theme="1"/>
        <rFont val="Calibri"/>
        <family val="2"/>
      </rPr>
      <t xml:space="preserve"> — 2026-10-07 </t>
    </r>
    <r>
      <rPr>
        <b/>
        <sz val="11"/>
        <color theme="1"/>
        <rFont val="Calibri"/>
        <family val="2"/>
        <charset val="1"/>
      </rPr>
      <t>수요일에서</t>
    </r>
    <r>
      <rPr>
        <b/>
        <sz val="11"/>
        <color theme="1"/>
        <rFont val="Calibri"/>
        <family val="2"/>
      </rPr>
      <t xml:space="preserve"> </t>
    </r>
    <r>
      <rPr>
        <b/>
        <sz val="11"/>
        <color theme="1"/>
        <rFont val="Calibri"/>
        <family val="2"/>
        <charset val="1"/>
      </rPr>
      <t>옮겨</t>
    </r>
    <r>
      <rPr>
        <b/>
        <sz val="11"/>
        <color theme="1"/>
        <rFont val="Calibri"/>
        <family val="2"/>
      </rPr>
      <t xml:space="preserve"> </t>
    </r>
    <r>
      <rPr>
        <b/>
        <sz val="11"/>
        <color theme="1"/>
        <rFont val="Calibri"/>
        <family val="2"/>
        <charset val="1"/>
      </rPr>
      <t>옴</t>
    </r>
    <r>
      <rPr>
        <b/>
        <sz val="11"/>
        <color theme="1"/>
        <rFont val="Calibri"/>
        <family val="2"/>
      </rPr>
      <t xml:space="preserve"> · </t>
    </r>
    <r>
      <rPr>
        <b/>
        <sz val="11"/>
        <color theme="1"/>
        <rFont val="Calibri"/>
        <family val="2"/>
        <charset val="1"/>
      </rPr>
      <t>사용자</t>
    </r>
    <r>
      <rPr>
        <b/>
        <sz val="11"/>
        <color theme="1"/>
        <rFont val="Calibri"/>
        <family val="2"/>
      </rPr>
      <t xml:space="preserve"> </t>
    </r>
    <r>
      <rPr>
        <b/>
        <sz val="11"/>
        <color theme="1"/>
        <rFont val="Calibri"/>
        <family val="2"/>
        <charset val="1"/>
      </rPr>
      <t>요청</t>
    </r>
    <r>
      <rPr>
        <b/>
        <sz val="11"/>
        <color theme="1"/>
        <rFont val="Calibri"/>
        <family val="2"/>
      </rPr>
      <t>]</t>
    </r>
  </si>
  <si>
    <t>· 카프를 어깨 뒤로 보내 프레스 앞 누적을 13세트로 묶었다. [2026-10-07] 힙 쓰러스트 · 케이블 힙 외전 · 이너 · 아우터는 화요일로 옮겼다(사용자 요청) — 어깨 뒤가 20세트에서 카프 6만 남았다.</t>
    <phoneticPr fontId="29" type="noConversion"/>
  </si>
  <si>
    <t>· 고관절 신전 셋(데드 3 · 루마니안 3 · 레그 프레스 발 높게 4)과 무릎 굴곡(원 레그 컬 3)을 같이 둬 햄스트링 · 둔근의 두 기능을 다 쓴다. 짧아진 구간의 둔근(힙 쓰러스트)은 2026-10-07에 화요일로 갔다.</t>
    <phoneticPr fontId="29" type="noConversion"/>
  </si>
  <si>
    <t>· 토요일(사두 12 + 햄 4 + 내전근 4 + 중둔근 4 + 종아리 6) · 수요일(후면 13 + 종아리 6) · 화요일(둔근 3 + 중둔근 7 + 내전근 4)로 갈라 하체 고립까지 전부 주 2회 이상이다.</t>
    <phoneticPr fontId="29" type="noConversion"/>
  </si>
  <si>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 [2026-10-07] 이 쌍은 힙 쓰러스트 · 케이블 힙 외전과 함께 화요일로 옮겼다.</t>
    <phoneticPr fontId="29" type="noConversion"/>
  </si>
  <si>
    <t>· 이너 · 아우터 타이에도 걸지 않는다. 슈퍼세트라 한쪽만 길어지면 라운드가 어긋난다(토요일과 같은 이유). (2026-10-07 화요일로 옮겼다 — 거기서도 같은 규칙이다.)</t>
    <phoneticPr fontId="29" type="noConversion"/>
  </si>
  <si>
    <t>· 토요일이 100분을 넘는 것은 하체 고립이 몰려 있기 때문이다. 세트 수는 많아도 휴식이 10~120초라 분으로는 덜 든다. 수요일은 2026-10-07 고관절 고립을 화요일로 보내 80분이 됐다.</t>
    <phoneticPr fontId="29" type="noConversion"/>
  </si>
  <si>
    <t>· 주 6회 중 5회만 가는 주가 있어도 된다. 빼는 순서는 화요일 팔 블록(고관절 고립 14세트는 남긴다 — 빼면 둔근 · 중둔근 · 내전근이 주 1회가 된다) → 목요일 팔 블록 → 일요일 팔 블록이다.</t>
    <phoneticPr fontId="29" type="noConversion"/>
  </si>
  <si>
    <t>직접 11세트: 토요일 아우터 타이 4 · 화요일 아우터 타이 4 · 케이블 힙 외전 3(2026-10-07 수 → 화)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phoneticPr fontId="29" type="noConversion"/>
  </si>
  <si>
    <t>직접 8세트: 토요일 이너 타이 4 · 화요일 이너 타이 4(2026-10-07 수 → 화) (둘 다 아우터와 슈퍼세트, 4 → 8). 간접 4.3 — 스쿼트 0.33×5 + 레그 프레스 2종 각 0.33×4 (토 발 낮게 · 수 발 높게). 09-04가 0.33을 기준 등급으로 못박아 2026-10-02에 0.2에서 올렸다 — 유일하게 올라간 자리다. 복귀판 초안에 통째로 비어 있던 자리이고 2026-09-13에 되살렸다. [2026-10-02 사용자 요청] 실질 6.5로 하한 아래였던 것이 10.5가 됐다 — 하체에서 마지막까지 하한 아래였던 자리다</t>
    <phoneticPr fontId="29" type="noConversion"/>
  </si>
  <si>
    <t>· 되돌릴 순서 — 화요일 케이블 힙 외전 3(같은 날 아우터 4가 같은 근육을 맡는다) → 레그 익스텐션 3 → 2 (수요일 레그 프레스가 사두 간접을 얹어 줬다) → 힙 쓰러스트 3 → 2(둔근 직접이 4 더 생겼다).</t>
    <phoneticPr fontId="29" type="noConversion"/>
  </si>
  <si>
    <t>· 3순위 — 레그 익스텐션 3 · 카프 2종 중 하나 3 · 라잉 레그 레이즈 3. 고립이라 메인 리프트 진행에 영향이 없다. 레그 익스텐션은 수요일 레그 프레스가 사두에 간접을 얹어 줘 값이 가장 싸졌고, 화요일 케이블 힙 외전 3은 같은 날 아우터 타이 4가 같은 근육을 맡으므로 그다음이다.</t>
    <phoneticPr fontId="29" type="noConversion"/>
  </si>
  <si>
    <t>[2026-10-02 사용자 요청] 중둔근 실질 7.0도 하한 아래였다 — 이 4세트로 11이 된다. 앞의 케이블 힙 외전과 같은 근육이므로 중량이 토요일보다 낮게 나오는 것이 정상이다. [2026-10-07 수 → 화] 화요일 첫 블록이다 — 중둔근은 데드와 거의 관계없어 강도는 평소대로 간다.</t>
    <phoneticPr fontId="29" type="noConversion"/>
  </si>
  <si>
    <t>· 메인 리프트가 없고 전부 고립이다. 세션이 고관절 블록(1~4번)으로 시작하므로 맨몸 글루트 브릿지 15회 한 세트로 둔근을 먼저 깨우고, 힙 쓰러스트는 작업중량의 50%로 12회 한 세트면 램프가 끝난다.</t>
    <phoneticPr fontId="29" type="noConversion"/>
  </si>
  <si>
    <t>· 팔꿈치와 손목이 이 날의 관절이다. 팔 블록(5번) 들어가기 전에 가벼운 케이블 푸쉬다운 15회로 팔꿈치를 데운다.</t>
    <phoneticPr fontId="29" type="noConversion"/>
  </si>
  <si>
    <t>· 시티드 리스트 컬 손등 아래 ↔ 손등 위를 슈퍼세트(A)로 묶었다. 굴근 ↔ 신근 길항근 쌍이고 같은 자리 같은 바에서 그립만 뒤집는다 — 토요일과 이 날 3 · 4번의 이너 ↔ 아우터 타이와 같은 구조다.</t>
    <phoneticPr fontId="29" type="noConversion"/>
  </si>
  <si>
    <t>· [2026-10-07 같은 날 사용자 요청] 처음엔 팔 블록 뒤에 붙였다가 맨 앞(1~4번)으로 옮겼다. 순서를 정하는 것은 국소 피로다 — 고관절 고립 14세트는 팔을 거의 안 쓰고 팔 블록은 둔근을 안 쓰므로, 어느 쪽이 뒤로 가도 손해는 전신 피로 몫뿐이다. 둘이 비기면 우선순위가 정한다: 둔근은 큰 근육이고, 먼저 하는 종목의 수행이 가장 좋다. 데드 백오프 중 엉덩이 뒤쪽 팝(2026-10) 뒤라 힙 쓰러스트를 집중이 살아 있을 때 하는 이점도 있다.</t>
    <phoneticPr fontId="29" type="noConversion"/>
  </si>
  <si>
    <t>· 대가는 하나 (순서와 무관) — 화요일은 데드 전날이다(생수 캐리를 화요일에서 뺀 이유와 같다). 힙 쓰러스트(둔근)와 이너 타이(대내전근)는 데드의 고관절 신전 근육이라 RIR 1~2로 끊는다. 아우터 · 케이블 외전(중둔근)은 데드와 거의 관계없어 평소대로 간다.</t>
    <phoneticPr fontId="29" type="noConversion"/>
  </si>
  <si>
    <t>· ㉗ [2026-10-07] 수요일 고관절 고립 14세트(힙 쓰러스트 3 · 케이블 힙 외전 3 · 이너/아우터 타이 4+4)를 화요일로 옮겼다 — 사용자 요청. 처음엔 팔 블록 뒤였다가 같은 날 사용자 요청으로 맨 앞(1~4번)에 뒀다(순서는 국소 피로가 정하므로 둘이 비기고, 우선순위가 둔근 쪽). 10/7 첫 수요일(45세트 109분)에 어깨 블록 뒤 두 종목을 못 했다. 수 45/109 → 31/80 · 화 28/51 → 42/80, 주간 세트 · 분 총량은 그대로. 화요일은 데드 전날이라 힙 쓰러스트 · 이너 타이는 RIR 1~2로 끊는다 — 둔근 피로가 데드에 반복해 걸리면 힙 쓰러스트만 일요일로.</t>
    <phoneticPr fontId="29" type="noConversion"/>
  </si>
  <si>
    <t>· 힙 쓰러스트 3 · 케이블 힙 외전 3 · 이너 / 아우터 타이 슈퍼세트 4 + 4 = 14세트 · 약 29분. 수요일이 45세트 109분이었고, 10/7 첫 수요일에 어깨 블록 뒤 마지막 두 종목(힙 쓰러스트 · 케이블 힙 외전)을 못 했다. 같은 날 힙 쓰러스트를 4세트로 올려 15세트 · 약 32분이다.</t>
    <phoneticPr fontId="29" type="noConversion"/>
  </si>
  <si>
    <t>· 수요일 데드에서 둔근이 무겁게 느껴지는 일이 반복되면 ① 힙 쓰러스트 4번째 세트부터 빼고 ② 그래도 반복되면 힙 쓰러스트만 일요일로 옮긴다 — 데드까지 3일이 빈다. 첫 한두 주는 자리가 바뀐 탓의 근육통일 수 있으니 한 번으로 판단하지 않는다.</t>
    <phoneticPr fontId="29" type="noConversion"/>
  </si>
  <si>
    <t>직접 8세트: 수요일 레그 프레스(발 높게) 4 · 화요일 힙 쓰러스트 4(2026-10-07 수 → 화 · 같은 날 3 → 4) (3 → 7). 간접 6.8 — (둔근 계수는 09-04 하향 대상이 아니었다)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phoneticPr fontId="29" type="noConversion"/>
  </si>
  <si>
    <t>· ㉘ [2026-10-07 같은 날] 화요일 힙 쓰러스트 3 → 4 — 사용자 요청. 맨 앞으로 와 신선할 때 하는 자리다. 둔근 직접 7 → 8 · 실질 14 → 15. 데드에서 둔근 피로가 걸리면 이 4번째 세트를 먼저 뺀다. 221 → 222세트 · 화 43세트 82분 · 주 509분.</t>
    <phoneticPr fontId="29" type="noConversion"/>
  </si>
  <si>
    <t>직접 10세트: 토요일 레그 컬 4(양측 · 중량) + 수요일 루마니안 데드 3 · 원 레그 컬 3(편측 · 균형). 간접 2.6 — 백오프 0.33×2 + 데드 0.33×1 + 힙 쓰러스트 0.2×4 + 레그 프레스(발 높게) 0.2×4 (힌지 ROM과 힙 쓰러스트 능동부전을 2026-10-02에 반영).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phoneticPr fontId="29" type="noConversion"/>
  </si>
  <si>
    <t>[동작] 오버그립 · 어깨너비 1.5배(좁으면 승모 · 어깨 충돌) · 꼿꼿이 서서 바를 몸에 붙인 채 · 팔꿈치가 손보다 먼저 · 늘 손보다 높게 올라간다 · 팔꿈치가 어깨 높이(상완이 바닥과 수평)에서 멈춘다 — 바는 명치~가슴 아래 · 으쓱 금지 · 손목은 꺾지 않고 일자 · 반동 없이, 내릴 때 2초로 팔이 다 펴질 때까지. 자극이 어깨 옆이면 맞고, 목 · 승모면 그립이 좁거나 너무 높이 올린 것이다. 어깨 앞 · 위가 찝히는 통증이면 바로 멈추고 그립을 넓히거나 높이를 낮춘다 — 그래도 찝히면 케이블 업라이트 로우로.
[2026-10-06 사용자 결정 — 다양성] 덤벨 레터럴 6세트 중 3을 이 종목으로 — 측면 중 가장 무겁게 다룰 수 있는 다관절이라 주 전체에서 가장 신선한 토요일에 둔다. 그립은 어깨너비의 1.5배, 팔꿈치가 손보다 먼저 올라가고 **어깨 높이에서 멈춘다** — 그 위로 들면 어깨 충돌 위험이 커지고 승모 상부로 넘어간다. 복합이라 고립(레터럴)보다 앞에 둔다. 중량 20은 출발값 — 첫 세션에 10~12회에 맞춰 적는다.</t>
    <phoneticPr fontId="29" type="noConversion"/>
  </si>
  <si>
    <t>메인: 시티드 바벨 밀리터리 프레스</t>
    <phoneticPr fontId="29" type="noConversion"/>
  </si>
  <si>
    <t>시티드 바벨 밀리터리 프레스</t>
    <phoneticPr fontId="29" type="noConversion"/>
  </si>
  <si>
    <t>· 수요일(하체 후면) 뒤 — 가장 싸다. 앞의 13세트가 전부 햄스트링 · 둔근이라 전면 삼각 · 삼두를 하나도 쓰지 않고, 등받이에 앉아 밀어(2026-10-07 스미스 → 시티드 바벨) 데드 뒤 기립근 피로의 비용이 작다. 월요일 벤치와 이틀 간격이라 전면 삼각이 회복될 시간도 있다.</t>
    <phoneticPr fontId="29" type="noConversion"/>
  </si>
  <si>
    <t>· 그래서 토요일 전면은 머신 숄더 프레스(볼륨용)이고, 증량을 추적하는 쪽은 이 날이다. [2026-10-07] 기구를 스미스에서 시티드 바벨로 바꿨다(사용자 요청) — 프리웨이트로 옮기되 서서 하지 않는 것은 데드 뒤 기립근 · 둔근 피로 때문이다.</t>
    <phoneticPr fontId="29" type="noConversion"/>
  </si>
  <si>
    <t>어깨 블록 첫째. 궤도 고정이라 하체 12세트 뒤에도 안정화 부담이 없다. 증량을 추적하는 쪽은 수요일 시티드 바벨 밀리터리 프레스이고 이 자리는 볼륨용이다.</t>
    <phoneticPr fontId="29" type="noConversion"/>
  </si>
  <si>
    <t>데드 톱1 + 백오프2 · 레그 프레스는 발을 발판 위쪽에(둔근) · 원 레그 컬로 좌우 균형. 시티드 바벨 밀리터리 프레스가 어깨 블록 첫 종목 — 앞의 13세트가 전부 하체다. 2026-10-07 고관절 고립 14세트를 화요일로 보내 어깨 뒤엔 카프만 남았다</t>
    <phoneticPr fontId="29" type="noConversion"/>
  </si>
  <si>
    <t>· ㉙ [2026-10-07 같은 날] 수요일 메인 프레스를 스미스 오버헤드 프레스 → 시티드 바벨 밀리터리 프레스로 — 사용자 요청(프리웨이트로). 서서 하지 않고 등받이에 앉는 것은 데드 · 루마니안 · 레그 프레스 뒤라 기립근 · 둔근이 지쳐 있어서다. 중량은 다시 출발 — 12주차 31 → 28(시작중량_설정 D10 27 → 25). 세트 · 반복 · 휴식 그대로(3×5).</t>
  </si>
  <si>
    <t>· [2026-10-07 사용자 요청] 수요일 프레스를 스미스 오버헤드 프레스 → 시티드 바벨 밀리터리 프레스로 바꿔 D10을 27 → 25로 내렸다 — 12주차 31 → 28(약 90%). 스미스는 궤도를 기계가 잡아 주고 기계에 따라 바 무게도 달라 같은 숫자가 프리웨이트로 옮겨 오지 않는다. 첫 세션에 5회 후 1~2회 남는지 보고, 3회 이상 남으면 앱에서 올린다.</t>
  </si>
  <si>
    <r>
      <rPr>
        <sz val="10"/>
        <rFont val="맑은 고딕"/>
        <family val="3"/>
        <charset val="129"/>
      </rPr>
      <t>시티드 레터럴</t>
    </r>
    <r>
      <rPr>
        <sz val="10"/>
        <rFont val="Calibri"/>
        <family val="2"/>
      </rPr>
      <t xml:space="preserve"> </t>
    </r>
    <r>
      <rPr>
        <sz val="10"/>
        <rFont val="맑은 고딕"/>
        <family val="3"/>
        <charset val="129"/>
      </rPr>
      <t>레이즈</t>
    </r>
    <phoneticPr fontId="29" type="noConversion"/>
  </si>
  <si>
    <t>[2026-10-07 사용자 결정] 3 → 4 — 3번 시티드 1 → 2와 함께 일요일 광배 직접 4 → 6. [2026-10-04 4 → 2] 앞 2세트를 3번 시티드 케이블 로우(양팔)로 나눴다 — 사용자 요청. 같은 스테이션에서 바를 D핸들로 바꿔 한 팔씩, 무게는 양팔의 절반에서 시작해 약한 쪽 기준으로 올린다. 반대 손은 기구를 잡아 몸통을 고정한다. 팔꿈치를 몸에 붙여 당기는 경로라 주동근이 광배다 — 평면으로 날을 가르고 근육군은 팔꿈치 경로로 매긴다(2026-09-04 원칙). 좌우 독립이라 약한 쪽이 드러난다. 이 날 광배 직접은 이것과 3번 시티드 케이블 로우(합 6)이고 나머지 12세트는 목요일(수직)에 있다.</t>
    <phoneticPr fontId="29" type="noConversion"/>
  </si>
  <si>
    <t>· [2026-10-07] 34세트 · 약 79분 — 시티드 · 원암 케이블 로우 각 +1. 이전 기록: · 32세트 · 약 73분. 전완 슈퍼세트 6 + 백 익스텐션 3이 들어오고 원암 케이블 로우가 3 → 4로 올라 22 → 32가 됐다 (2026-10-02 사용자가 엑셀에서 직접 조정). 복합 11 / 고립 21이다.</t>
    <phoneticPr fontId="29" type="noConversion"/>
  </si>
  <si>
    <t>무거운 로우 넷을 신선할 때 치는 날. 토요일 하체 전면 다음날이라 등 · 그립 · 기립근이 온전하다 — 스쿼트는 그 셋을 쓰지 않는다. 등 19 · 팔 6 · 전완 6(슈퍼세트) · 백 익스텐션 3이고 가슴이 없다</t>
    <phoneticPr fontId="29" type="noConversion"/>
  </si>
  <si>
    <t>· 등 블록 둘이 34(일) / 43(목)로 갈리는 것은 가슴 8세트가 목요일에 묶여 있어서다(사용자 지정 '목요일 가슴/등').</t>
    <phoneticPr fontId="29" type="noConversion"/>
  </si>
  <si>
    <t>· ㉚ [2026-10-07 같은 날] 일요일 시티드 케이블 로우 1 → 2 · 원암 케이블 로우 3 → 4 — 사용자 결정. 대원근 자극 점검에서 나왔다 — 대원근은 광배와 같은 동작이라 광배 줄로 세고(따로 세면 이중 계상), 주 16이 일 4 / 목 12로 목요일(데드 다음날 · 그립 지침)에 쏠려 있었다. 세션당 6세트 기준으로 일요일 광배 4 → 6. 광배 직접 16 → 18 · 실질 19.5 → 21.5로 검산 판정 '과다 점검'(측면 21과 같은 취급 — 금지가 아니라 점검 신호). 승모 중부 간접 +1. 222 → 224세트 · 일 34세트 79분 · 주 515분.</t>
  </si>
  <si>
    <t>· 광배 21.5 — 2026-10-07 일요일 시티드 · 원암 케이블 로우 각 +1(세션당 6세트 기준 · 사용자 결정)로 19.5에서 넘었다. 대원근도 이 줄로 센다 — 어깨 신전 · 내전을 광배와 같이 하므로 따로 세면 이중 계상이다. 목요일이 데드 다음날이라 그립이 먼저 지치면 광배 12세트가 실패지점에 못 간다 — 그래서 신선한 일요일 쪽을 채웠다. 되돌리는 순서 — 원암 4 → 3 → 시티드 2 → 1.</t>
  </si>
  <si>
    <t>케이블 오버헤드 익스텐션 (로프)</t>
    <phoneticPr fontId="29" type="noConversion"/>
  </si>
  <si>
    <t>케이블 푸쉬다운 (로프 · 짧아진 구간 — 이전 종목) / 덤벨 오버헤드 익스텐션 / EZ바 오버헤드 익스텐션</t>
    <phoneticPr fontId="29" type="noConversion"/>
  </si>
  <si>
    <t>프레스 중 팔꿈치 신전 — 강한 협력. [2026-10-08 0.33 → 0.5] 0.33의 근거였던 5×5 저반복 본세트가 2026-10-02에 4×8로 바뀌어 사라졌다. 8회면 보조 프레스와 같은 조건이라 0.5. 시티드 바벨 밀리터리(3×5)는 저반복 그대로라 0.33 유지. 간접은 대부분 외측두 · 내측두로 간다.</t>
    <phoneticPr fontId="29" type="noConversion"/>
  </si>
  <si>
    <t>· 삼두 18.5 · 이두 15.5 — 둘 다 성장 구간 상단이다. 직접 9가 상한이고 더 올리면 간접 때문에 천장을 넘는다. 주 6회에서 프레스 · 당기기 빈도가 올라 간접이 먼저 늘었기 때문이다. [2026-10-08] 벤치 → 삼두 0.33 → 0.5(4×8로 바뀌어 저반복 하향 근거가 사라졌다)로 18.0 → 18.5. 삼두는 갈래별로 봐야 한다 — 천장 근처인 것은 외측두 · 내측두이고, 장두는 그날 일요일 로프 푸쉬다운을 오버헤드 익스텐션으로 바꿔 늘어난 구간 주 2회 6세트가 됐다. 세트 수는 그대로다. 내측두 단독 종목은 두지 않는다 — 모든 팔꿈치 신전에서 이미 일한다.</t>
    <phoneticPr fontId="29" type="noConversion"/>
  </si>
  <si>
    <t>· ㉛ [2026-10-08] 삼두 장두 · 벤치 계수 — 사용자 결정. 내측두 질문에서 나왔다: 내측두는 모든 팔꿈치 신전에서 일해 따로 할 필요가 없고, 오히려 프레스 간접이 전부 외측두 · 내측두로 가서 장두가 라잉 익스텐션 3세트뿐이었다. 일요일 케이블 푸쉬다운(로프) → 케이블 오버헤드 익스텐션(로프) 3세트로 교체(중량 25 → 20 출발) — 장두 늘어난 구간 주 2회. 같은 날 복귀_간접계수맵 벤치 → 삼두 0.33 → 0.5(4×8이라 저반복 하향 근거 소멸) · 삼두 실질 18.0 → 18.5. 224세트 · 주 515분 그대로.</t>
  </si>
  <si>
    <t>· ㉜ [2026-10-08 같은 날] 일요일 오버헤드 익스텐션 마지막 세트 드롭 → 기계적 드롭(같은 무게로 푸쉬다운) · 화요일 라잉 익스텐션 팔 20~30° 뒤로 — 사용자 결정. 푸쉬다운과 슈퍼세트 3라운드안은 실제 직접 6세트(삼두 실질 21.5 · 천장 초과)라 드롭 자리로 넣었다. 짧아진 구간 자극이 일요일에도 돌아온다. 세트 · 시간 그대로(224세트 · 주 515분).</t>
  </si>
  <si>
    <t>시티드 EZ바 오버헤드 익스텐션 (2026-10-08 결정 — 팔꿈치가 시큰하거나 일요일 오버헤드는 오르는데 라잉이 막히면 1순위. 케이블이 아니라 바라 중량 기록이 이어진다) / EZ바 라잉 익스텐션 (손목 · 팔꿈치 부담 ↓) / 케이블 오버헤드 익스텐션 (일요일과 겹치므로 차선)</t>
    <phoneticPr fontId="29" type="noConversion"/>
  </si>
  <si>
    <t>· 42세트 · 약 95분. 전완 슈퍼세트 6 + 백 익스텐션 4 + 인클라인 벤치프레스(스미스) 3이 들어오고 언더그립 랫풀다운 3 → 4 · 디클라인 플라이 4 → 3 · 백 익스텐션 3 → 4로 조정됐다 (2026-10-02 사용자 지정). 2026-10-05 랫풀다운 둘 4 → 3 + 암풀다운 2 — 세트는 같고 휴식이 짧은 고립이라 3분 줄었다. [2026-10-09] 백 익스텐션 4 → 3 — 사용자 결정. 등 하는 두 날 모두 3세트로 맞춰졌다(재택과 같다).</t>
    <phoneticPr fontId="29" type="noConversion"/>
  </si>
  <si>
    <t>직접 9세트: 수요일 데드 톱 1 + 백오프 2 + 일요일 백 익스텐션 3 · 목요일 3(45도 · 맨몸) (재택도 당기기 두 날에 3세트씩 둔다 · 2026-10-02에 목요일만 4로 올렸다가 2026-10-09 사용자 결정으로 3으로 되돌렸다 — 목요일 96분 부담). 3 → 10 → 9로 '보완 필요'가 '충분'이 됐다. **척추 신전을 강조해서 해야 이 9세트가 유효하다** — 등을 편 채 고관절만 접는 힌지식으로 하면 둔근 · 햄스트링이 주동근이 되고 기립근은 버티기만 한다. 그러면 09-04 규칙상 등척성이라 계수 0이고 이 숫자가 거짓이 된다. 중량은 더블 프로그레션 — 맨몸 15회를 채우면 원판 5~10kg을 안는다('맨몸'은 시작값이지 상한이 아니다). 목요일 것도 원판 금지가 아니고, 데드 다음날이라 일요일보다 낮게 나오는 것이 정상이다 — 수요일 데드나 토요일 스쿼트가 2주 연속 안 오르면 그 날 중량을 먼저 의심한다. 간접 1.5 — 루마니안 데드 0.5×3뿐이다. 스미스 바벨 로우 · 오버헤드 슈러그의 0.2는 2026-10-05에 0으로 내렸다(아래 '다음 카드' 정리). 스쿼트 · 트랩바 슈러그의 등척성 지지는 2026-10-02에 0으로 내렸다 — '버티기만 하는 자극은 세지 않는다'(09-04 규칙). 루마니안만 0.5로 남는 것은 기립근이 등척성이 아니라 동적으로 신전 · 수축하기 때문이다. 허리를 키우는 것은 데드 3세트와 루마니안 3세트뿐이다</t>
    <phoneticPr fontId="29" type="noConversion"/>
  </si>
  <si>
    <t>약 95분</t>
    <phoneticPr fontId="29" type="noConversion"/>
  </si>
  <si>
    <t>· ㉝ [2026-10-09] 목요일 백 익스텐션 4 → 3 — 사용자 결정. 목요일이 96분으로 여섯 날 중 둘째로 길어 부담이었다. 2026-10-02에 목요일만 4로 올렸던 것을 되돌려 등 하는 두 날이 3 / 3으로 같아졌다(재택과 같다). 기립근 직접 10 → 9 · 실질 10.5 · 판정 '충분'. 223세트 · 목 95분 · 주 514분.</t>
  </si>
  <si>
    <t>[2026-10-09 토 → 화 · 사용자 결정] 사두 직접 12세트가 토요일 한 날에 몰려 주 1회였다 — 이 3세트로 토 9 · 화 3, 주 2회가 된다. 간격은 토 → 화 3일 · 화 → 토 4일로 여섯 날 중 가장 고르다. 토요일(46세트 111분)이 부담이라 덜어낸 것이기도 하다. 고관절 블록 바로 뒤에 둬 하체 기구를 한 번에 끝내고 팔로 넘어간다. 화요일은 데드 전날이라 RIR 1~2로 끊고 드롭은 걸지 않는다(토요일에선 +75초였다) — 사두는 데드 바닥 출발에만 관여해 3세트의 영향은 작다. 사두 고립. 더블 프로그레션 — 전 세트에서 12회를 채우면 다음 주에 올린다.</t>
    <phoneticPr fontId="29" type="noConversion"/>
  </si>
  <si>
    <t>· 하체를 전면 · 후면으로 갈라 토요일이 사두 전담이 됐다. 스쿼트 · 레그 프레스 · 익스텐션 12세트로 사두 주간 세트가 한 날에 다 들어간다. [2026-10-09] 레그 익스텐션 3은 화요일로 갔다(사용자 결정) — 사두 직접이 토 9 · 화 3으로 주 2회가 됐다.</t>
    <phoneticPr fontId="29" type="noConversion"/>
  </si>
  <si>
    <t>· 45세트 · 약 109분. 세션 상한 26세트를 넘지만 고립 소근육 33세트(익스텐션 3 · 업라이트 로우 3 · 레터럴 3 · 리버스 펙덱 6 · 레그 컬 4 · 이너 4 · 아우터 4 · 카프 6)는 예외로 본다 — 실질 12세트다. 카프가 3 → 6으로 올라 38 → 41이 됐다 (2026-10-02 사용자가 엑셀에서 직접 조정). 2026-10-06 레터럴 4 → 6으로 43이 됐다(사용자 결정). 같은 날 리버스 펙덱 4 → 6으로 45가 됐다(사용자 결정). [2026-10-09] 레그 익스텐션 3을 화요일로 보내 43세트 · 약 102분이다(사용자 결정).</t>
    <phoneticPr fontId="29" type="noConversion"/>
  </si>
  <si>
    <t>· 레터럴 +60초 · 리버스 펙덱 +60초 · 레그 컬 +75초. 마지막 세트에만 2단. 레그 컬 드롭은 2026-10-02 자리 교환 때 종목을 따라 수요일에서 옮겨 왔다. (레그 익스텐션 +75초는 2026-10-09 화요일로 옮기며 뺐다 — 데드 전날이라 드롭을 걸지 않는다.)</t>
    <phoneticPr fontId="29" type="noConversion"/>
  </si>
  <si>
    <t>· 드롭은 여기서도 걸지 않는다 — 이너 · 아우터는 슈퍼세트라 라운드가 어긋나고, 힙 쓰러스트는 데드 전날이다. 레그 익스텐션(5번)도 같은 이유로 걸지 않는다 — 토요일에선 +75초였다(2026-10-09).</t>
    <phoneticPr fontId="29" type="noConversion"/>
  </si>
  <si>
    <t>· 토요일 레그 프레스(발 낮게 · 사두)와 같은 종목 다른 자리다. 사두에도 간접 1.5세트치가 붙어 사두가 주 1회에서 '주 1회 + 간접 1회'가 됐다. [2026-10-09] 레그 익스텐션 3이 화요일로 가 직접도 주 2회다.</t>
    <phoneticPr fontId="29" type="noConversion"/>
  </si>
  <si>
    <t>직접 12세트: 토요일 스쿼트 5 · 레그 프레스 4 + 화요일 레그 익스텐션 3(2026-10-09 토 → 화 · 사용자 결정 — 직접 주 2회 · 간격 3/4일). 간접 1.3 — 수요일 레그 프레스(발 높게) 0.33×4. 2026-10-02~10-08에는 스쿼트 5×5가 한 날을 다 써 직접이 토요일 주 1회였다.</t>
    <phoneticPr fontId="29" type="noConversion"/>
  </si>
  <si>
    <t>· ㉞ [2026-10-09 같은 날] 토요일 레그 익스텐션 3 → 화요일 5번(고관절 블록 뒤) — 사용자 결정. 사두 직접 12가 토요일 한 날에 몰린 주 1회였다(재택 평가에서 나왔다). 토 9 · 화 3으로 주 2회 · 간격 3/4일. 월요일(가장 가벼운 날 · 간격 2/5일)도 후보였으나 사용자가 하체 기구를 한 날에 모으는 화요일을 골랐다. 화요일은 데드 전날이라 RIR 1~2 · 드롭 없음(토요일 +75초를 뺐다). 토 43세트 102분 · 화 46세트 90분 · 223세트 · 주 513분.</t>
  </si>
  <si>
    <t>[2026-10-10 화 → 월 · 사용자 결정] 월 67분 · 화 90분을 77 / 80으로 맞추려 옮겼다. 화요일은 데드 전날이라 복부 피로를 남기지 않는 자리가 낫고, 월요일은 하체 · 힌지가 없어 코어가 신선하다. 벤치 브레이싱은 등척성이라 맨 뒤에 붙여도 경쟁하지 않는다. 직접 굴곡. 스쿼트 · 데드의 브레이싱은 등척성이라 복부 간접이 0이다 — 여기서만 채워진다.</t>
    <phoneticPr fontId="29" type="noConversion"/>
  </si>
  <si>
    <t>[2026-10-10 화 → 월 · 사용자 결정] 하복부 쪽 — 크런치(상복부)와 갈린다. 재택 1일차 종목이다.</t>
    <phoneticPr fontId="29" type="noConversion"/>
  </si>
  <si>
    <t>월요일 — 가슴 · 어깨 (측/후) · 복근</t>
    <phoneticPr fontId="29" type="noConversion"/>
  </si>
  <si>
    <t>· 세션 상한 26 — 메인 리프트가 있는 날이지만 복근 6은 고립 소근육이라 예외로 센다. 고립 23을 빼면 실질 10으로 그 전과 같다. 크런치 ↔ 레그 레이즈는 묶지 않는다 — 둘 다 복부 굴곡이라 길항이 아니라 같은 근육을 겹쳐 쓴다.</t>
  </si>
  <si>
    <t>화요일 — 고관절 고립 · 사두 고립 · 팔 · 목</t>
    <phoneticPr fontId="29" type="noConversion"/>
  </si>
  <si>
    <t>· 사용자 지정 — '화요일은 팔하니 놔두고'. 삼두 · 이두 · 전완 · 목 · 복근 구성을 그대로 두고 세트만 맞췄다. 2026-10-07에 수요일 고관절 고립 14세트가 뒤에 붙었지만 팔 블록(6~13번)의 구성과 순서는 그대로다 — 같은 날 사용자 요청으로 고관절 블록을 맨 앞(1~4번)에 뒀다. [2026-10-10] 복근 2종은 월요일 맨 뒤로 옮겼다(사용자 결정).</t>
    <phoneticPr fontId="29" type="noConversion"/>
  </si>
  <si>
    <t>[전완 · 목이 이 날에 몰린 이유]</t>
    <phoneticPr fontId="29" type="noConversion"/>
  </si>
  <si>
    <t>· 40세트 · 약 80분. [2026-10-10] 복근 2종(6세트 · 10분)을 월요일로 보냈다(사용자 결정) — 데드 전날에 복부 피로를 남기지 않는다. 그 전: 46세트 · 약 90분. [2026-10-09] 토요일 레그 익스텐션 3이 고관절 블록 뒤(5번)로 들어왔다(사용자 결정). 그 전: 43세트 · 약 82분. 2026-10-07 수요일 고관절 고립 14세트(약 29분)가 들어와 28세트 51분에서 커졌고(사용자 요청), 같은 날 힙 쓰러스트 3 → 4(사용자 요청). 그 전에는 여섯 날 중 가장 짧았다.</t>
    <phoneticPr fontId="29" type="noConversion"/>
  </si>
  <si>
    <t>· 40세트지만 세션 상한 26의 적용 대상이 아니다. 메인 리프트가 없고 전부 고립이다.</t>
    <phoneticPr fontId="29" type="noConversion"/>
  </si>
  <si>
    <t>가슴(상부 중심) · 어깨 측/후 · 복근</t>
    <phoneticPr fontId="29" type="noConversion"/>
  </si>
  <si>
    <t>벤치 4×8이 앞(벤치만 8회다). 전면 삼각은 밀기 간접으로 5세트치가 차므로 어깨 블록에 프레스를 얹지 않는다. [2026-10-10] 화요일 복근 6(크런치 · 레그 레이즈)을 맨 뒤로 받았다 — 데드 전날을 비우려고</t>
    <phoneticPr fontId="29" type="noConversion"/>
  </si>
  <si>
    <t>고관절 고립(둔근 · 중둔근 · 내전근) · 사두 고립 · 팔 삼두/이두/전완 · 목</t>
    <phoneticPr fontId="29" type="noConversion"/>
  </si>
  <si>
    <t>사용자 지정으로 구성을 그대로 둔 날. 팔이 메인인 유일한 자리라 늘어난 구간 종목을 여기 뒀다. 전완 6(손등 아래는 2026-10-04부터 0 · 보류) · 목 6이 전부 이 날이고(복근 6은 2026-10-10 월요일로), 리스트 컬 손등 아래 ↔ 위는 슈퍼세트다. [2026-10-07] 수요일 고관절 고립 14세트(힙 쓰러스트 · 케이블 힙 외전 · 이너/아우터 SS)를 세션 맨 앞(1~4번)에 뒀다 — 처음엔 팔 뒤였고 같은 날 사용자 요청으로 앞으로 — 데드 전날이라 힙 쓰러스트 · 이너는 RIR 1~2</t>
    <phoneticPr fontId="29" type="noConversion"/>
  </si>
  <si>
    <t>· 세션 상한 26세트는 메인 리프트가 있는 날(토 · 월 · 수)에만 적용하고 고립 소근육은 예외로 센다 — 토요일은 고립 29를 빼면 실질 12, 수요일은 15를 빼면 16, 월요일은 23을 빼면 10이다. 메인이 없는 일 · 화 · 목은 상한의 적용 대상이 아니다.</t>
    <phoneticPr fontId="29" type="noConversion"/>
  </si>
  <si>
    <t>직접 6세트: 월요일 중량 크런치 3 · 라잉 레그 레이즈 3 (3 → 6). 간접 출처 없음 — 스쿼트 · 데드의 브레이싱은 등척성이라 0. 현장 일이 코어를 버티게만 하던 것이 끝나 직접 굴곡을 늘렸다</t>
    <phoneticPr fontId="29" type="noConversion"/>
  </si>
  <si>
    <t>팔 주간 세트는 삼두 9 · 이두 9이고 셋으로 나뉘어 있다(일 · 화 · 목 각 3). 화요일이 유일하게 '전용'인 것은 전완 · 목이다(복근은 2026-10-10 월요일로)</t>
    <phoneticPr fontId="29" type="noConversion"/>
  </si>
  <si>
    <t>· 33세트 · 약 77분. [2026-10-10] 화요일 복근 2종(중량 크런치 3 · 라잉 레그 레이즈 3 · 10분)이 맨 뒤(9 · 10번)로 들어왔다(사용자 결정) — 월 67 · 화 90을 77 / 80으로 맞췄다. 그 전: 27세트 · 약 67분. 가슴 하나만 맡고 어깨가 측면 7 · 후면 7이다. 2026-10-04에 어깨 6 → 12(측면 +4 · 후면 +2)를 이 날에 넣은 것도 가장 작은 날이어서다. 2026-10-05 리버스 펙덱 2 → 4(사용자 조정)로 후면 7이 됐다. 어깨 블록은 측 → 후 → 측 → 후로 교대한다(사용자 지정).</t>
    <phoneticPr fontId="29" type="noConversion"/>
  </si>
  <si>
    <t>· ㉟ [2026-10-10] 화요일 복근 2종(중량 크런치 3 · 라잉 레그 레이즈 3)을 월요일 맨 뒤(9 · 10번)로 — 사용자 결정. 월 67 · 화 90분을 77 / 80으로 맞추려는 것이었고, 후보 셋(복근 · 힙 쓰러스트 · 이너/아우터) 중 규칙과 부딪히지 않는 것이 이것뿐이었다 — 힙 쓰러스트는 벤치 날에 소근육 예외가 아닌 종목을 얹어 상한을 넘고, 이너/아우터는 토요일과 간격이 2/5일로 어긋난다. 데드 전날(화)에서 복부 피로가 빠지는 것이 덤이다. 복부는 여전히 주 1회 6세트 · 223세트 · 주 513분 그대로. 월 33세트 77분 · 화 40세트 80분.</t>
    <phoneticPr fontId="29" type="noConversion"/>
  </si>
  <si>
    <t>수평 내전으로 중간 구간을 맡는다. [2026-10-10 등 ↔ 가슴 종목 단위 교차 · 사용자 결정] 와이드 랫풀다운과 언더그립 랫풀다운 사이(4번). 당기기와 밀기는 경쟁하지 않는다.</t>
    <phoneticPr fontId="29" type="noConversion"/>
  </si>
  <si>
    <t>[2026-10-10 등 ↔ 가슴 종목 단위 교차 · 사용자 결정] 언더그립 랫풀다운과 암풀다운 사이(6번). 위에서 아래로 모아 흉늑지 하부를 맡는다. 월요일 딥스(하방 복합)와 벡터가 같고 고립이라 각도를 나눈다.</t>
    <phoneticPr fontId="29" type="noConversion"/>
  </si>
  <si>
    <t>· 사용자 지정 — '목요일 가슴/등'. 거기에 팔 후반부가 붙어 등 → 가슴 → 팔 세 블록이 됐다. [2026-10-10] 등 · 가슴은 종목 단위로 번갈아 한다(사용자 결정) — 아래 줄.</t>
    <phoneticPr fontId="29" type="noConversion"/>
  </si>
  <si>
    <t>· 암풀다운에도 걸지 않는다 — 언더그립 랫풀다운 드롭과 같은 근육이라 겹친다 (2026-10-05). 2026-10-10 교차 뒤엔 사이에 디클라인 플라이가 끼지만 같은 세션 같은 근육이라 판단 유지.</t>
    <phoneticPr fontId="29" type="noConversion"/>
  </si>
  <si>
    <t>· ㊱ [2026-10-10 같은 날] 목요일 등 · 가슴 종목 단위 교차 — 사용자 결정. 친업 → 인클라인 스미스 → 와이드 랫풀다운 → 펙덱 → 언더그립 랫풀다운 → 디클라인 플라이 → 암풀다운 · 오버헤드 슈러그 · 페이스풀 → 팔. 같은 근육을 종목 사이 약 10분 쉬게 하려는 것이고 세트 · 시간(42세트 95분)은 그대로. 세트 단위 페어는 두 기구를 동시에 잡을 수 없어 뺐다. 복귀_세트검산 I8(광배 직접 합)을 흩어진 행 참조로 바꿨다.</t>
  </si>
  <si>
    <t>인클라인 덤벨 로우(오버그립)</t>
    <phoneticPr fontId="29" type="noConversion"/>
  </si>
  <si>
    <t>스미스 바벨 로우(오버그립) / 티바 로우 머신 (넓은 오버그립 핸들 · 엉덩이 뒤가 정리된 뒤) / 체스트 서포티드 로우 머신</t>
    <phoneticPr fontId="29" type="noConversion"/>
  </si>
  <si>
    <t>· 인클라인 덤벨 로우 · 해머 로우에는 걸지 않는다 — 중량이 큰 로우에서 실패 뒤 반복은 폼이 먼저 무너진다.</t>
    <phoneticPr fontId="29" type="noConversion"/>
  </si>
  <si>
    <t>[2026-10-02 사용자 요청 — 등 하는 날마다 3세트] 복귀판 기립근 직접이 데드 3세트뿐이라 실질 6.0 '보완 필요'였다. 이 6세트(일 · 목)로 9 · 실질 12.0이 된다. 재택도 당기기 두 날에 3세트씩 둔다.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이 날이 중량을 올리기에 좋은 쪽이다 — 다음 데드(수)까지 사흘이 남는다. 앞쪽 로우가 그립 · 등을 먼저 쓰므로 세션 맨 뒤가 맞다(2026-10-11 스미스 바벨 로우 → 인클라인 덤벨 로우로 앞쪽 기립근 등척성 부하는 없어졌다).</t>
    <phoneticPr fontId="29" type="noConversion"/>
  </si>
  <si>
    <t>가슴 지지라 상체를 버틸 일이 없다 — 0 (2026-10-11 스미스 바벨 로우 → 인클라인 덤벨 로우). 이전 근거: 스미스 상체 각도 유지 등척성 — 버티기만 하는 자극은 세지 않는다(09-04 규칙), 2026-10-05 0.2 → 0.</t>
    <phoneticPr fontId="29" type="noConversion"/>
  </si>
  <si>
    <t>엎침 그립 + 팔꿈치 벌린 수평 로우 — 인클라인 덤벨 로우(오버그립)와 같은 경로 · 같은 등급 0.33 (2026-10-05 신설 · 사용자 결정)</t>
    <phoneticPr fontId="29" type="noConversion"/>
  </si>
  <si>
    <t>직접 3세트: 일요일(수평) 트랩바 슈러그 3 — 재택도 수평 날에 둔다 (2026-10-02 신설). 간접 1.4 — 오버헤드 프레스 · 인클라인 덤벨 로우 각 0.2 (데드의 등척성 견갑대 유지는 2026-10-02에 0으로). 현장 일이 하루치를 얹어주던 것이 끝나 0 → 3으로 되살렸다. 재택 6일차와 같은 종목이다</t>
    <phoneticPr fontId="29" type="noConversion"/>
  </si>
  <si>
    <t>· 넣은 곳 — 스쿼트 · 벤치 · 시티드 바벨 밀리터리 프레스 · 딥스 · 친업 · 인클라인 덤벨 로우. 데드 톱세트는 1세트라 세트 간 휴식이 없다.</t>
    <phoneticPr fontId="29" type="noConversion"/>
  </si>
  <si>
    <t>복귀 중 익힌 구성이고 6일 연속에서는 안정화 부담이 적은 쪽이 남는다. 바벨 로우는 스미스로 둔 채다(2026-10-11 인클라인 덤벨 로우로 바꿨다 — 가슴 지지)</t>
    <phoneticPr fontId="29" type="noConversion"/>
  </si>
  <si>
    <t>· 결과로 무거운 로우 7세트(바벨 4 · 해머 3)가 데드 다음날에서 완전히 빠졌고, 목요일에 남은 당기기는 척추 부하가 거의 0이다. 주간 척추 부하 순서 — 토 스쿼트(높음) → 일 0(2026-10-11 인클라인 덤벨 로우 — 가슴 지지) → 월 · 화 0 → 수 데드 + 루마니안(최고) → 목 수직 당기기(거의 0) → 금 휴식.</t>
    <phoneticPr fontId="29" type="noConversion"/>
  </si>
  <si>
    <t>· 주간 척추 부하 순서가 이렇게 된다 — 토 스쿼트(높음) → 일 백 익스텐션(낮음 · 2026-10-11 로우는 가슴 지지로) → 월 · 화 0 → 수 데드 + 루마니안(최고) → 목 수직 당기기 + 백 익스텐션(낮음) → 금 휴식.</t>
    <phoneticPr fontId="29" type="noConversion"/>
  </si>
  <si>
    <t>· ㊲ [2026-10-11] 일요일 1번 스미스 바벨 로우(오버그립) → 인클라인 덤벨 로우(오버그립) — 사용자 결정. 가슴 지지라 숙인 자세를 버티는 햄스트링 · 기립근 부하가 사라진다(데드 백오프 엉덩이 뒤 팝 관찰 중 · 전날 스쿼트). 덤벨을 가로로 잡고 팔꿈치 60~70° 벌림 — 팔꿈치 경로가 같아 승모 중부 직접 4 · 계수(이두 0.2 · 광배 0.5 · 후면 0.33 · 승모 상부 0.2 · 기립근 0) · 세트 · 시간 전부 그대로. 중량은 한 손 16kg 출발값 · 더블 프로그레션. 티바 로우 머신(가슴 지지 없음)은 숙인 자세가 돌아오므로 엉덩이 뒤가 정리된 뒤의 대체 종목으로 K열에 남겼다.</t>
  </si>
  <si>
    <t>승모(중부)·능형근</t>
    <phoneticPr fontId="29" type="noConversion"/>
  </si>
  <si>
    <t>시티드 케이블 로우 (넓은 그립) / 머신 로우 / 티바 로우</t>
    <phoneticPr fontId="29" type="noConversion"/>
  </si>
  <si>
    <t>135/150/165</t>
    <phoneticPr fontId="29" type="noConversion"/>
  </si>
  <si>
    <t>135/145/155/165</t>
    <phoneticPr fontId="29" type="noConversion"/>
  </si>
  <si>
    <t>10~12</t>
    <phoneticPr fontId="29" type="noConversion"/>
  </si>
  <si>
    <t>[2026-10-11 사용자 결정 · 2번으로] 끝 수축 담당 — 덤벨은 팔이 수직으로 매달린 바닥에서 부하가 거의 0이고 당긴 끝에서 가장 무겁다 → 끝에서 1초 멈춘다. 10~12회. 1번 Iso-Lateral(팔꿈치 70~80°)과 각도 차이가 10°뿐이라 근육 배분은 같고 부하 구간만 다르다(사용자 지적). 벤치는 30°(20~30°) — 낮을수록 당기는 방향이 몸통에 수직인 진짜 수평 로우가 되고 수축 끝 부하가 커진다. 45° 이상이면 위로 끌어올리는 하이 로우가 되어 승모 상부가 끼어든다. 바닥에서 덤벨이 땅에 닿으면 벤치 다리를 원판 위에 올린다. [2026-10-11 사용자 결정] 스미스 바벨 로우(오버그립) → 인클라인 덤벨 로우(오버그립). 벤치에 가슴을 대고 턱은 벤치 끝 위로. 덤벨을 '- -'처럼 가로로 나란히 잡고(오버그립) 팔꿈치를 몸통에서 60~70° 벌려 당긴다 — 이 경로라야 주동근이 승모 중부 · 능형근으로 남는다. 팔꿈치를 옆구리에 붙이면 광배 종목이 되어(일요일 광배 6 → 10 · 승모 중부 −4) 이 자리의 의미가 바뀐다. 90°까지 벌리면 후면삼각 비중이 커진다. 팔꿈치가 몸통 선을 지날 때까지 당겨 1초 멈추고, 내릴 때 날개뼈를 앞으로 벌린다 — 바가 몸에 닿아 멈추던 스미스보다 수축 끝이 길다. 손목은 곧게. 어깨 앞이 찝히면 덤벨을 45°로 튼다. 바꾼 이유 — 가슴 지지라 상체를 숙여 버티는 햄스트링 · 기립근 부하가 0이다(데드 백오프 중 엉덩이 뒤 팝 관찰 중 · 전날 토요일 스쿼트). 중량은 한 손 기준 출발값이고 첫 세션에 10~12회로 맞춘다. 덤벨은 한 손 2kg씩 뛰므로 고정 증량 대신 12회를 채우면 다음 무게로(더블 프로그레션). 계수는 스미스 오버그립과 같다 — 이두 0.2 · 광배 0.5 · 후면 0.33 · 승모 상부 0.2 · 기립근 0. 무거워지면 스트랩 — 뒤로 해머 · 시티드 · 원암 로우 · 리스트 컬이 이어진다.</t>
    <phoneticPr fontId="29" type="noConversion"/>
  </si>
  <si>
    <t>· 그립이 이 날의 제약이다. 해머(서포티드) → 인클라인 덤벨(서포티드) → 시티드(양팔) → 원암 → 스캡 슈러그 순으로 그립 부담이 줄어드는 순서다.</t>
    <phoneticPr fontId="29" type="noConversion"/>
  </si>
  <si>
    <t>· ㊳ [2026-10-11 같은 날] 일요일 1 · 2번 순서 교환 — 사용자 결정. 인클라인 덤벨 로우와 해머 스트렝스(Iso-Lateral) 로우가 같은 근육 · 같은 경로(팔꿈치 60~70° vs 70~80° — 상단 그립 최대한 넓게가 머신 한계)라는 사용자 지적에서 나왔다. 남은 차이는 부하 구간뿐이라 그걸로 역할을 갈랐다 — 1번 Iso-Lateral 6~8회(늘어난 구간 · 견갑 끝까지 빼고 1초), 2번 덤벨 10~12회(끝 수축 1초 · 벤치 30°). 세트(3 · 4) · 계수 · 시간 그대로.</t>
  </si>
  <si>
    <t>· 이 날은 증량을 추적하는 메인 리프트가 없다. 첫 종목(해머 스트랭스 로우) 작업중량의 50%로 10회 · 75%로 5회, 두 세트면 램프가 끝난다.</t>
    <phoneticPr fontId="29" type="noConversion"/>
  </si>
  <si>
    <t>[2026-10-11 사용자 결정] 격주로 바를 번갈아 쓴다 — 일자 와이드 바 ↔ 손잡이가 살짝 꺾이고 고리보다 처진 와이드 바(바 걸이 제일 아래). 꺾인 바는 바가 쇄골 · 가슴에 늦게 닿아 팔꿈치를 옆구리까지 더 끌어내릴 수 있다 — 광배가 가장 짧아지는 끝 구간까지 끝까지 당긴다. 손목이 덜 비틀려 넓은 그립의 어깨 앞 부담도 준다. 넓은 오버그립이라 분류는 그대로(광배 직접 · 이두 0.2). 기록은 같은 바끼리 2주 간격으로 비교한다 — 바 무게와 가동범위가 달라 지난주와 비교하면 안 된다. 앱 증량 기록 메모에 바 이름(일자 / 꺾인 바)을 적는다. 새 바의 첫 자극은 새로워서 강하게 느껴지는 것이니 성장 차이로 읽지 않는다. 넓은 엎침 그립 — 팔꿈치가 몸에서 벌어진 경로로 들어온다. 이두 관여가 가장 적은 수직 당기기다. [2026-10-05 4 → 3] 한 세트를 4번 암풀다운으로 넘겼다 — 사용자 제안.</t>
    <phoneticPr fontId="29" type="noConversion"/>
  </si>
  <si>
    <t>· 그래서 무거운 로우 7세트(해머 4 · 인클라인 덤벨 3)가 데드 다음날에서 완전히 빠졌다. 목요일에 남은 당기기는 수직(친업 · 랫풀다운)이고 척추 부하가 거의 0이다.</t>
    <phoneticPr fontId="29" type="noConversion"/>
  </si>
  <si>
    <t>직접 18세트: 목요일(수직) 친업 4 · 와이드 오버그립 랫풀다운 3 · 언더그립 좁게 3 · 암풀다운 2 (2026-10-05 랫풀다운 둘 4 → 3, 그 2세트를 늘어난 위치 고립으로) + 일요일(수평) 시티드 케이블 로우 2 · 원암 케이블 로우 4 (2026-10-02 사용자 조정 4세트 · 2026-10-04 양팔 2 + 원암 2로 분할 · 이후 1 + 3 · 2026-10-07 각 +1로 6 — 세션당 6세트 기준, 사용자 결정). 간접 3.5 — 해머 로우 0.5×4 + 인클라인 덤벨 로우 0.5×3(둘 다 일요일). [2026-10-02 정정] 등을 근육군이 아니라 움직임 평면으로 갈라 광배가 두 날에 11/3으로 걸린다 — 그 전에는 한 날에 14였고 '주 1회'로 적혔지만 반대 날 로우가 전부 광배를 쓰고 있었다</t>
    <phoneticPr fontId="29" type="noConversion"/>
  </si>
  <si>
    <t>직접 13세트: 일요일(수평) 해머 스트랭스 로우 4 · 인클라인 덤벨 로우 3 · 스캡 슈러그 3 + 목요일(수직) 페이스풀 3. 10/3으로 나뉜다 — 페이스풀이 없으면 일요일 주 1회가 되므로 그 자리를 유지한다(재택도 페이스풀을 수직 날에 둔다). 간접 5.0 — 시티드 · 원암 케이블 로우 0.5×(2+4) + 리버스 펙덱 0.33×4 + 케이블 리버스 플라이 0.33×3 + 벤트오버 레터럴 0.33×3 (케이블 리버스 플라이는 경부하 리어델트라 2026-10-02에 0.5 → 0.33)</t>
    <phoneticPr fontId="29" type="noConversion"/>
  </si>
  <si>
    <t>· ㊴ [2026-10-11 같은 날] 일요일 해머 스트랭스 로우 3 → 4 · 인클라인 덤벨 로우 4 → 3 — 사용자 결정. 1번 고중량 · 늘어난 구간 자리가 주력이라 세트를 그쪽에 둔다. 합계 · 시간 그대로. 계수가 다른 줄은 승모 상부(덤벨 0.2) · 승모 하부(해머 0.2) 하나씩이라 상부 −0.2 · 하부 +0.2만 움직인다.</t>
  </si>
  <si>
    <t>톱세트와 같은 동작 — 중량만 톱 × 0.82 (2026-10-02 백오프 복귀 · 2026-10-11 −5kg → × 0.82)</t>
    <phoneticPr fontId="29" type="noConversion"/>
  </si>
  <si>
    <t>· ㊵ [2026-10-11 같은 날] 수요일 데드 백오프 중량 톱 −5kg → 톱 × 0.82(1kg 반올림 · 80 → 66) — 사용자 결정. 75는 톱의 94%라 사실상 같은 강도 3세트였다. 2세트 · 5회 · 계수 · 시간 그대로. 백오프 0세트안과 비교해 엉덩이 뒤가 이제 괜찮다고 해 2세트 유지를 골랐다. 데드 · 루마니안 도중 엉덩이 뒤가 당기면 그날 백오프 · 루마니안 중단. 앱(build_mobile.py)도 같은 식으로 백오프를 낸다.</t>
  </si>
  <si>
    <t>[2026-10-11 사용자 결정] 톱세트 × 0.82(1kg 반올림) — 톱 80이면 66. 이전 '톱 −5kg'(75)은 톱의 94%라 백오프가 아니라 같은 강도 세트 셋이었고, 수요일 피로가 거기서 났다. 실패까지 4회 이상 남는 여유 세트다 — 근력은 톱세트가 끌고, 이 2세트는 폼 연습과 기립근 볼륨을 맡는다(기립근 직접 9 유지). 안전 규칙(엉덩이 뒤 팝 2026-10 · 지금은 괜찮음): 데드나 루마니안 도중 엉덩이 뒤가 당기면 그날 백오프와 루마니안은 중단한다. 다음 아침 허리가 뻐근하면 이 2세트를 먼저 뺀다 — 톱세트가 아니다.</t>
    <phoneticPr fontId="29" type="noConversion"/>
  </si>
  <si>
    <t>해머 스트랭스 스캡 슈러그(중립 그립)</t>
    <phoneticPr fontId="29" type="noConversion"/>
  </si>
  <si>
    <t>시티드 케이블 로우 스캡 슈러그(두번째 크기 바) / 페이스풀 (로프) / 리버스 펙덱 (팔 편 채로)</t>
    <phoneticPr fontId="29" type="noConversion"/>
  </si>
  <si>
    <t>[2026-10-11 시험] 다음 일요일 이 2세트를 가운데가 솟은 각도 그립 바(손목 10°쯤 틀어진 거의 오버그립 · 어깨너비보다 살짝 좁게)로 해 본다. 10/11 원암 케이블 로우 마지막 세트에 이 바를 두 손으로 썼더니 겨드랑이 뒤 · 날개뼈 아래 모서리(대원근)에 처음 느끼는 자극이 왔다. 대원근은 원래 모든 당기기에서 광배와 같이 일한다 — 이 바는 위팔 내회전이 고정되고, 바가 몸에 늦게 닿아 팔꿈치가 몸통 뒤로 더 넘어가서 대원근 몫이 커질 뿐이다. 큐: 팔꿈치를 몸통 뒤로 끝까지. 고정 여부는 느낌이 다시 오느냐가 아니라 이 바로 중량 · 반복이 오르느냐로 정한다. 고정하면 계상은 광배 직접 그대로, 그립이 엎침에 가까우니 이두 계수만 0.33 → 0.2로 내린다. [2026-10-07 사용자 결정] 1 → 2 — 4번 원암 3 → 4와 함께 일요일 광배 직접 4 → 6(세션당 한 근육 6세트 기준 — 6 아래인 날만 6까지). 대원근 점검에서 나온 증설이다 — 대원근은 광배와 같은 관절 동작(어깨 신전 · 내전)이라 광배 줄로 같이 센다. [2026-10-04 사용자 요청] 원암 케이블 로우 4세트를 양팔 2 + 원암 2로 나눴다 — 재택 6일차(양팔 3 + 원암 2)와 같은 구조다. 양팔로 무게를 싣고, 이어지는 원암으로 좌우 차를 본다. 좁은 뉴트럴 그립(V바) · 팔꿈치를 몸에 붙여 당기므로 주동근은 광배다(팔꿈치 경로 원칙). 중량 50은 원암 25의 두 배에서 잡은 출발값이라 첫 세션에 8~12회에 맞춰 조정한다. 같은 스테이션에서 원암(D핸들)까지 이어지고, 5번 스캡 슈러그는 1번 해머 머신으로 돌아간다(2026-10-11).</t>
    <phoneticPr fontId="29" type="noConversion"/>
  </si>
  <si>
    <t>· 스캡 슈러그 +60초(해머 머신 — 한쪽 원판을 빼고 바로 이어 간다) · 케이블 오버헤드 익스텐션 +60초(2026-10-08 푸쉬다운 자리를 이어받았다 — 이 종목만 무게를 내리지 않고 같은 무게로 푸쉬다운으로 넘어가는 기계적 드롭) · 프리쳐 컬 +60초. 마지막 세트에만 2단.</t>
    <phoneticPr fontId="29" type="noConversion"/>
  </si>
  <si>
    <t>· ㊶ [2026-10-11 같은 날] 일요일 5번 시티드 케이블 로우 스캡 슈러그 → 해머 스트랭스 스캡 슈러그(중립 그립) — 사용자가 실제로 하던 방식으로 정정. 가슴 지지로 반동이 없고 늘어난 위치 부하가 유지된다. 드롭 유지(한쪽 원판 빼고 이어 가기). 세트 · 계수 · 시간 그대로, 중량은 '—'(첫 세션에 12~15회로 맞춤).</t>
  </si>
  <si>
    <t>[동작] 등받이를 80~90도로 세운 벤치를 랙 안에 두고 앉는다 · 세이프티 바는 쇄골 바로 아래 높이 · 그립은 어깨너비보다 조금 넓게, 아래에서 전완이 수직 · 엉덩이와 등을 등받이에 붙이고 발은 바닥에 · 갈비뼈를 내려 허리를 등받이에서 띄우지 않는다(허리가 뜨면 서서 하는 것과 같아진다) · 바가 턱 앞을 지나도록 얼굴을 살짝 뒤로 빼고, 바가 이마를 지나면 머리를 바 아래로 넣어 정수리 위에서 팔꿈치를 잠근다 · 내릴 때 쇄골 위까지.
[2026-10-07 스미스 → 시티드 바벨 · 사용자 요청] 매주 미는 세 리프트 중 하나이고 증량을 추적한다. 프리웨이트라 궤도를 직접 잡아 어깨 안정근까지 쓰고, 기계마다 바 무게가 다른 스미스와 달리 기록이 어디서나 같고, 1kg 격자 증량이 그대로 이어진다. 앉아서 하는 이유: 데드 · 루마니안 · 레그 프레스 10세트 뒤라 기립근 · 둔근이 지쳐 있고, 서서 밀면 허리를 꺾는 보상이 나온다 — 스미스를 골랐던 이유와 같은 문제를 등받이로 푼다. 중량은 스미스 31 대신 28로 다시 출발한다(시작중량_설정 D10 27 → 25). 5회 후 1~2회 남으면 맞고, 3회 이상 남으면 앱에서 올린다. 어깨 블록 첫 종목이고 앞의 13세트가 전부 하체라 전면 삼각 · 삼두가 가장 온전한 자리다 — 아래 [오버헤드 프레스를 수요일에 둔 이유] 참조. [2026-10-21 사용자 결정] 3×5 → 3×8. 10/21 27kg으로 16회 — '너무 가볍다'. 추정 1RM 약 41 → 8회 약 32. 시작중량_설정 D10 25 → 28로 12주차(10/28)가 32다(격주 1kg 그대로 · 14주차 33). 오버헤드 프레스는 3대에 안 들어가 저반복으로 근력을 따로 잴 이유가 없다 — 벤치 4×8과 같은 판단. 수행 30 → 50초. 협력근 계수 삼두 · 측면 0.33 → 0.5(저반복 하향 근거가 사라졌다). 8회를 못 채운 주는 증량기록 J열에 반복수를 적어 그 중량을 한 번 더 든다.</t>
    <phoneticPr fontId="29" type="noConversion"/>
  </si>
  <si>
    <t>스미스 오버헤드 프레스 (허리 · 어깨 컨디션이 나쁜 날) / 머신 숄더 프레스</t>
    <phoneticPr fontId="29" type="noConversion"/>
  </si>
  <si>
    <t>시티드 레터럴 레이즈</t>
    <phoneticPr fontId="29" type="noConversion"/>
  </si>
  <si>
    <t>[2026-10-21] 케이블 Y 레이즈가 빠지고(사용자 — 동작이 어렵다) 덤벨 숄더 프레스가 들어와 수요일 측면 직접은 이 3세트다. Y 레이즈에 걸려 있던 드롭(+60초)을 이리 옮겼다. 프레스 둘(밀리터리 0.5×3 · 덤벨 0.5×3) 뒤라 측면 삼각이 간접 3세트치를 받은 상태 — 중량을 토요일보다 낮춰 잡는 것이 정상이다. [이전] [2026-10-06 사용자 결정 — 다양성] 6 → 3 — 뒤 3세트를 케이블 Y 레이즈로 나눴고 드롭도 그쪽으로 옮겼다. 측면 주 19 그대로. 프레스 직후라 측면 삼각이 이미 1.5세트치 간접을 받았다. 중량을 토요일보다 낮춰 잡는 것이 정상이다.</t>
    <phoneticPr fontId="29" type="noConversion"/>
  </si>
  <si>
    <t>케이블 레터럴 레이즈 / 머신 레터럴</t>
    <phoneticPr fontId="29" type="noConversion"/>
  </si>
  <si>
    <t>덤벨 숄더 프레스</t>
    <phoneticPr fontId="29" type="noConversion"/>
  </si>
  <si>
    <t>삼각근(전면)</t>
    <phoneticPr fontId="29" type="noConversion"/>
  </si>
  <si>
    <t>[2026-10-21 사용자 요청 · 케이블 Y 레이즈 자리] 밀리터리 바로 뒤에 붙인다 — 바벨이 무게를 밀고(8회 · 증량 추적) 덤벨은 궤도를 자유롭게 두고 10~12회로 가동범위 끝까지 쓴다. 반복 구간을 갈라 두 프레스가 같은 일을 하지 않게 했다. 등받이 80~90° · 아래에서 덤벨이 어깨 높이 · 팔꿈치는 몸통 앞 약 30°(정옆으로 벌리지 않는다 — 10/15 오른쪽 앞 어깨 찝힘 이후) · 위에서 덤벨끼리 부딪치지 않게 멈춘다. 중량은 한 손 기준 출발값 — 밀리터리 3×8 직후라 첫 세션에 10회를 못 채우면 12로. 덤벨은 한 손 2kg씩 뛰므로 12회를 채우면 다음 무게로(더블 프로그레션). 드롭 없음(복합 프레스). 계수 — 삼두 0.5 · 측면 0.5 · 승모 상부 0.2(밀리터리 8회와 같은 등급).</t>
    <phoneticPr fontId="29" type="noConversion"/>
  </si>
  <si>
    <t>머신 숄더 프레스 / 아놀드 프레스 / 스탠딩 덤벨 프레스 (허리가 괜찮은 날)</t>
    <phoneticPr fontId="29" type="noConversion"/>
  </si>
  <si>
    <t>· 시티드 레터럴 레이즈 +60초 하나뿐이다(2026-10-21 케이블 Y 레이즈가 빠지며 옮김 · 그 전 2026-10-06 덤벨 레터럴 → Y 레이즈). 덤벨 숄더 프레스에는 걸지 않는다 — 복합 프레스다. 마지막 세트에만 2단 — 레그 컬 드롭은 2026-10-02에 양측 레그 컬과 함께 토요일로 갔다.</t>
    <phoneticPr fontId="29" type="noConversion"/>
  </si>
  <si>
    <t>· 31세트 · 약 84분. [2026-10-21] 밀리터리 3×5 → 3×8(수행 30 → 50초) · 케이블 Y 레이즈 3 → 덤벨 숄더 프레스 3으로 80 → 84분. 2026-10-07 고관절 고립 14세트(약 29분)를 화요일로 보냈다 — 사용자 요청, 45세트 109분이던 10/7 첫 수요일에 어깨 블록 뒤 두 종목을 못 했다. 메인이 둘(데드 · 오버헤드 프레스) 있는 유일한 날이다.</t>
    <phoneticPr fontId="29" type="noConversion"/>
  </si>
  <si>
    <t>· 고립 12세트(어깨 6 · 카프 6)를 빼면 실질 19세트다(2026-10-21 덤벨 숄더 프레스가 들어와 15 → 12 · 16 → 19). 어깨 블록 뒤에는 스탠딩 카프 6만 남았다. 메인 둘이 있으므로 웜업은 램프 두 블록을 따로 잡는다.</t>
    <phoneticPr fontId="29" type="noConversion"/>
  </si>
  <si>
    <t>8회 × 3세트</t>
    <phoneticPr fontId="29" type="noConversion"/>
  </si>
  <si>
    <t>· [2026-10-21 사용자 결정] 시티드 바벨 밀리터리를 3×5 → 3×8로. 10/21 27kg × 16회 — 5회 기준으로 너무 가벼웠다. 추정 1RM 약 41 → 8회 약 32. D10 25 → 28로 12주차(10/28) 32 · 14주차 33(격주 1kg 그대로). F10 · 수요일 램프 B18 · 종목표 F33 · 앱 메인 카드가 같이 8회다.</t>
  </si>
  <si>
    <t>스쿼트 5×5 · 벤치 4×8 · 오버헤드 3×8 · 데드 톱1+백오프2</t>
    <phoneticPr fontId="29" type="noConversion"/>
  </si>
  <si>
    <t>· 메인 리프트는 세트만 줄인다 — 스쿼트 5×5 → 2×5 · 벤치 4×8 → 2×8 · 오버헤드 3×8 → 1×8 · 데드는 건너뛴다.</t>
    <phoneticPr fontId="29" type="noConversion"/>
  </si>
  <si>
    <t>매주 미는 네 리프트 중 하나. 이 날은 하체 · 힌지가 없어 코어와 기립근이 가장 신선하다. [벤치만 4×8 (2026-10-02 사용자 지정)] 스쿼트 · 데드는 5회 고정이고 벤치와 오버헤드 프레스(2026-10-21 3×5 → 3×8)는 8회다. 반복이 고정인 것은 같으므로 증량은 그대로 선형이다 — 증량기록 표가 매주 1kg을 올리고, 8회를 못 채운 주에는 X를 넣어 그 칸을 유지시킨다. 수행 50초는 8회에 맞춘 값이고 세트별 휴식 램프도 4칸(150/170/190/210 · 평균 180)으로 줄였다.</t>
    <phoneticPr fontId="29" type="noConversion"/>
  </si>
  <si>
    <t>오버헤드 프레스 측면삼각 관여 — 5×5 본세트라 측면삼각이 자기 실패 근처에 못 간다. 재택 2026-09-04 0.5→0.33 (2026-10-02 재택 09-04 규칙서 정렬) [2026-10-21 0.33 → 0.5] 3×5 → 3×8 — 8회면 측면삼각도 실패 근처까지 간다. 자유중량이라 궤도 고정 머신 숄더(0.33)보다 높다.</t>
    <phoneticPr fontId="29" type="noConversion"/>
  </si>
  <si>
    <t>복귀_수_하체후면</t>
    <phoneticPr fontId="29" type="noConversion"/>
  </si>
  <si>
    <t>삼두</t>
    <phoneticPr fontId="29" type="noConversion"/>
  </si>
  <si>
    <t>C</t>
    <phoneticPr fontId="29" type="noConversion"/>
  </si>
  <si>
    <t>프레스 중 팔꿈치 신전 — 강한 협력. 머신 숄더 프레스 · 밀리터리 8회와 같은 등급 (2026-10-21 신설)</t>
    <phoneticPr fontId="29" type="noConversion"/>
  </si>
  <si>
    <t>머리 위 덤벨 프레스 중 측면삼각 외전 — 자유중량 · 10~12회라 밀리터리 8회(0.5)와 같은 등급. 궤도 고정 머신 숄더(0.33)보다 높다 (2026-10-21 신설)</t>
    <phoneticPr fontId="29" type="noConversion"/>
  </si>
  <si>
    <t>승모(상부)</t>
    <phoneticPr fontId="29" type="noConversion"/>
  </si>
  <si>
    <t>머리 위 구간 견갑 상방 회전 — 약한 관여. 밀리터리와 같은 등급 (2026-10-21 신설)</t>
    <phoneticPr fontId="29" type="noConversion"/>
  </si>
  <si>
    <t>[2026-10-21 사용자 요청] 수요일 덤벨 숄더 프레스 3 신설(케이블 Y 레이즈 자리) — 직접 7 → 10(토 머신 숄더 4 · 수 밀리터리 3 · 덤벨 3) · 실질 13.5 → 16.5. [이전 기록] 직접 6세트: 토요일 머신 숄더 프레스 3 · 수요일 시티드 바벨 밀리터리 프레스 3. 간접 6.5 — 벤치 0.33×4 + 인클라인 스미스 0.5×3 + 인클라인 머신 0.5×3 + 딥스 0.2×3 + 인클라인 플라이 0.2×3 + 펙덱 0.2×4. 월요일에 프레스를 안 얹은 이유가 이 간접이다</t>
    <phoneticPr fontId="29" type="noConversion"/>
  </si>
  <si>
    <t>[2026-10-21 사용자 요청] 수요일 케이블 Y 레이즈 3 → 덤벨 숄더 프레스 3(동작이 어렵다) — 직접 19 → 16. 간접 2.5 → 4.5 — 밀리터리 3×8로 0.33 → 0.5 · 덤벨 숄더 프레스 0.5×3 신설. 실질 21.5 → 20.5로 여전히 '과다 점검' 표시지만 MAV 상단(약 22) 안쪽이다. 수요일 측면 직접은 3이 됐다(간접 3을 더하면 그날 6). [이전 기록] 직접 19세트: 토요일 와이드 그립 업라이트 로우 3 · 레터럴 3 · 월요일 원암 케이블 레터럴 4 · 머신 레터럴 3 · 수요일 레터럴 3 · 케이블 Y 레이즈 3 (2026-10-06 종목 다양화 — 사용자 결정). 간접 2.0 — 오버헤드 프레스 0.33×3 + 머신 숄더 프레스 0.33×3. [2026-10-06 사용자 결정] 세션당 6세트 기준으로 토 4 → 6 · 수 3 → 6 — 14 → 19 · 실질 16.0 → 21.0. '과다 점검'은 20 초과 표시이고 RP MAV 상단(약 22) 안쪽이다 — 레터럴 중량이 2주 연속 안 오르면 그때 이 숫자를 본다. 월요일 7은 사용자 지정으로 그대로. [2026-10-04 사용자 결정] 10 → 14로 실질 12.0 → 16.0(MAV 하단). 후면이 아니라 측면을 고른 이유 — 측면은 프레스 간접 2.0 말고 채울 길이가 없고, 후면은 넓은 그립 로우가 승모 중부로 계상돼 장부상 낮아 보일 뿐이다.</t>
    <phoneticPr fontId="29" type="noConversion"/>
  </si>
  <si>
    <t>· ㊷ [2026-10-21] 수요일 어깨 블록 — 사용자 결정. 케이블 Y 레이즈 3 → 덤벨 숄더 프레스 3(동작이 어렵다 · 숄더 프레스를 원함) · 시티드 바벨 밀리터리 3×5 → 3×8(10/21 27kg × 16회 — 너무 가벼웠다). 밀리터리 D10 25 → 28로 12주차 32. 순서는 밀리터리 → 덤벨 프레스 → 레터럴(드롭 이전) → 벤트오버. 월요일이 아니라 수요일인 이유 — Y 레이즈가 수요일에 있었고, 월요일은 가슴 프레스 셋이 전면 삼각 · 삼두를 먼저 써 버리는 날이다. 31세트 그대로 · 수 80 → 84분. 측면 실질 21.5 → 20.5 · 전면 13.5 → 16.5 · 삼두 18.5 → 20.5(천장 첫 초과). 앱 메인 카드가 본세트를 '5회'로 고정해 보여 주던 것도 고쳤다 — 시작중량_설정 F열의 반복을 읽는다(벤치 8회도 카드엔 5회로 나오고 있었다).</t>
  </si>
  <si>
    <t>프레스 중 팔꿈치 신전 — 약관여. [2026-10-23 0.5 → 0.2 · 사용자 결정] 내리는 건 인중까지 · 위에서도 끝까지 안 편다 — 삼두가 주도하는 락아웃 구간이 빠진 부분 가동범위. 끝까지 펴게 되면 0.5로 되돌린다. 측면삼각(0.33)은 그대로.</t>
    <phoneticPr fontId="29" type="noConversion"/>
  </si>
  <si>
    <t>로프 푸쉬다운</t>
    <phoneticPr fontId="29" type="noConversion"/>
  </si>
  <si>
    <t>· 팔이 맨 뒤인 이유 — 앞의 18세트가 이두에 간접을 얹고, 가슴 8세트는 플라이라 삼두를 쓰지 않는다. 그래서 로프 푸쉬다운이 온전히 나온다.</t>
    <phoneticPr fontId="29" type="noConversion"/>
  </si>
  <si>
    <t>[2026-10-23 V바 → 로프 · 실제 하는 대로] 2026-10-08 일요일 로프 푸쉬다운이 오버헤드 익스텐션으로 바뀌어 이것이 주의 유일한 짧아진 구간 삼두다(외측두 · 내측두 — 프레스 간접도 같은 갈래로 간다). [동작] 중립 그립(손바닥끼리 마주 · 엄지 위) · 팔꿈치는 옆구리에 고정 · 내리면서 로프 양끝을 허벅지 옆으로 벌린다 · 손바닥은 벌린 만큼만 따라 돌고 손목은 꺾지 않는다(손바닥을 천장으로 돌려도 삼두엔 더해지는 게 없다) · 끝에서 팔꿈치 끝까지 펴고 1초.</t>
    <phoneticPr fontId="29" type="noConversion"/>
  </si>
  <si>
    <t>[2026-10-23 0.5 → 0.2 · 사용자가 엑셀에서 직접 변경] 오버헤드 프레스 삼두 신전 — 5×5 저반복 본세트 하향. 머신 숄더 프레스(0.5)와 구분. 재택 2026-09-04 0.5→0.33 (2026-10-02 재택 09-04 규칙서 정렬) [2026-10-21 0.33 → 0.5] 3×5 → 3×8 — 저반복 하향 근거가 사라졌다. 벤치(2026-10-08)와 같은 처리.</t>
    <phoneticPr fontId="29" type="noConversion"/>
  </si>
  <si>
    <t>[2026-10-23 · 장두] 직접 9 → 12 — 일 케이블 오버헤드 익스텐션 3 → 5 · 화 라잉 익스텐션 3 → 4(팔꿈치 부하 · 화요일 46세트라 한 세트 덜). 늘어난 위치 장두 주 6 → 9. 같은 날 사용자가 수요일 시티드 바벨 밀리터리 → 삼두를 0.5 → 0.2로 직접 바꿔 간접 10.5 → 9.5 · 실질 21.5. 천장 20을 넘는 몫은 비어 있던 장두다 — 외측두 · 내측두(프레스 간접)는 그대로. [2026-10-23] 간접 11.5 → 10.5 — 토요일 머신 숄더 프레스 0.5 → 0.2(사용자 결정 · 인중까지만 내리고 위에서도 끝까지 안 펴는 부분 가동범위 · 락아웃 구간이 빠짐). 실질 20.5 → 19.5. [2026-10-21] 간접 9.5 → 11.5 — 시티드 바벨 밀리터리 3×5 → 3×8로 0.33 → 0.5 · 덤벨 숄더 프레스 0.5×3 신설. 실질 18.5 → 20.5로 천장(20)을 처음 넘었다. 늘어난 것은 프레스 간접(외측두 · 내측두)이고 장두 직접 6은 그대로다 — 화 · 목 · 일 삼두 중량이 2주 연속 멈추면 그때 이 숫자를 본다. [이전 기록] 직접 9세트: 일요일 케이블 오버헤드 익스텐션 3(2026-10-08 로프 푸쉬다운에서 교체) · 화요일 라잉 익스텐션 3 · 목요일 V바 푸쉬다운 3. 간접 9.5 — 벤치(4) · 인클라인 머신(3) · 인클라인 스미스(3) · 딥스 · 머신 숄더(4) 0.5씩 + 시티드 바벨 밀리터리 0.33(3×5 저반복). 실질 18.5로 성장 구간 상단. 단 이 합은 세 갈래를 하나로 센다 — 프레스 간접은 외측두 · 내측두로 가고, 장두는 늘어난 구간 직접 6(일 · 화)이 사실상 전부다.</t>
    <phoneticPr fontId="29" type="noConversion"/>
  </si>
  <si>
    <t>[동작] 도르래는 가슴~어깨 높이(최하단이면 등 뒤로 끌어올리기 어색하다) · 로프를 잡고 케이블을 등진 채 머리 위로 넘겨 머리 뒤에 · 한 발 앞으로 엇갈려 서고 상체 20~30도 앞으로(케이블이 몸을 뒤로 끌지 않게) · 복근을 잠가 허리를 젖히지 않는다 · 팔꿈치를 굽혀 로프가 뒤통수 뒤로 깊이 — 삼두 뒤쪽이 당기면 맞다 · 팔꿈치 위치는 그대로 두고 팔꿈치 아래만 앞쪽 위로 쭉 편다 · 끝에서 로프 끝을 살짝 벌린다 · 내릴 때 2초로 처음 깊이까지(가장 중요). 실수 — 팔꿈치가 바깥으로 벌어지면 무거운 것 · 팔꿈치가 앞뒤로 움직이면 광배 · 가슴이 끼어든다 · 허리가 젖혀지면 무게를 줄인다 · 무거워져 아래 구간을 끊으면 이 종목을 하는 이유가 사라진다. 마지막 세트 — 1~2회 남기고 로프를 쥔 채 돌아서서 같은 무게로 푸쉬다운(팔꿈치는 옆구리) 실패 근처까지. 무게 — 깊은 가동범위로 12회를 넘기면 다음 주 한 칸 올리고, 8회 아래거나 깊이가 줄면 한 칸 내린다.
[2026-10-08 드롭 = 기계적 드롭 · 사용자 결정] 마지막(5번째 · 2026-10-23 3 → 5) 세트만 — 오버헤드로 실패 근처까지 간 뒤 무게를 내리지 않고 로프를 그대로 쥔 채 돌아서서 같은 무게로 푸쉬다운을 실패 근처까지 잇는다. 짧아진 구간이 더 강해서 오버헤드로 못 펴는 무게도 푸쉬다운으로는 반복이 이어진다. 같은 케이블 · 같은 로프라 전환이 몇 초다. 드롭이라 세트로 세지 않는다(N열 +60초 그대로). 슈퍼세트 3라운드로 하면 실제로는 직접 6세트라 삼두 실질 21.5로 천장을 넘어서 이 형태로 했다. [2026-10-08 로프 푸쉬다운에서 교체 · 사용자 결정] 늘어난 구간 — 장두. 케이블을 등지고 서서 로프를 머리 뒤로 내렸다가 위로 편다. 팔꿈치는 머리 옆에 고정하고 벌어지지 않게 한다. 삼두 세 갈래 중 장두만 어깨를 넘기 때문에 팔이 머리 위로 가야 늘어난 위치에서 부하를 받는다. 프레스 간접(주 9.5)은 대부분 외측두 · 내측두로 가므로 장두는 라잉 익스텐션 3이 전부였다 — 이 교체로 장두 늘어난 구간이 주 2회(일 · 화) 6세트가 된다. 짧아진 구간은 목요일 로프 푸쉬다운이 맡는다. 당기기 뒤라 삼두가 신선한 상태로 들어온다. 중량 20은 푸쉬다운 25에서 낮춰 잡은 출발값이라 첫 세션에 8~12회에 맞춘다.</t>
    <phoneticPr fontId="29" type="noConversion"/>
  </si>
  <si>
    <t>원암 케이블 서라투스 펀치</t>
  </si>
  <si>
    <t>10~12 (좌우)</t>
  </si>
  <si>
    <t>[2026-10-23 신설 · 사용자 결정] 전거근 직접 — 키우기 · 견갑골 안정화가 목적이다. 토 2 · 월 4 · 수 3 = 주 9(토요일은 이미 가장 무거운 날이라 2). 수평 · 서서. [동작] 도르래를 어깨 높이에 · 케이블을 등지고 한 팔을 앞으로 편 채 시작 · 팔꿈치는 끝까지 편 채로 견갑골만 앞으로 더 내민다 · 끝에서 1초 · 날개뼈가 등에 붙을 때까지 천천히 돌아온다 · 어깨를 으쓱하면 상부 승모가 일을 가져간다. 어깨 블록 뒤에 둔다 — 프레스 앞에서 전거근을 지치게 하면 프레스 중 견갑골이 흔들린다.</t>
  </si>
  <si>
    <t>스미스 프로트랙션 / 인클라인 덤벨 프로트랙션</t>
  </si>
  <si>
    <t>스미스 프로트랙션</t>
  </si>
  <si>
    <t>스캡 푸시업 (등에 원판) / 원암 케이블 서라투스 펀치</t>
  </si>
  <si>
    <t>인클라인 덤벨 프로트랙션</t>
  </si>
  <si>
    <t>[2026-10-23 신설 · 사용자 결정] 전거근 직접 주 9 중 3 — 각도를 위로 올린 자리다(토 · 월 수평 → 수 45°). 랜드마인은 사용자가 원하지 않아 이것으로 정했다. [동작] 벤치 45° · 등을 기댄 채 덤벨을 어깨 위로 편다(손바닥은 마주 보게) · 팔꿈치는 편 채 견갑골만 천장 쪽으로 내민다 — 덤벨이 5~8cm 올라간다 · 끝에서 1초 · 날개뼈가 벤치에 붙을 때까지 천천히 돌아온다 · 등이 벤치에서 뜨거나 으쓱하지 않는다. 밀리터리 · 덤벨 숄더 프레스 뒤라 몸이 받쳐지는 종목으로 골랐다.</t>
  </si>
  <si>
    <t>케이블 하이 리치 (낮은 도르래를 등지고 앞-위 45°로 뻗기) / 숄더 프레스 머신에서 팔 편 채 밀어올리기</t>
  </si>
  <si>
    <t>직접 9세트: 토 원암 케이블 서라투스 펀치 2 · 월 스미스 프로트랙션 4 · 수 인클라인 덤벨 프로트랙션 3. 2026-10-23 신설 — 사용자 결정(키우기 · 견갑골 안정화). 그 전에는 직접 0이었다. 간접은 계상하지 않는다 — 프레스 · 오버헤드 슈러그의 전인 · 상방회전 기여에 맞는 계수 줄이 09-04 규칙서에 없다. 각도를 수평(토 · 월) → 45°(수)로 나눴다. 하한(8~10)에서 출발 — 기록이 쌓이면 세션당 6 기준 안에서 올린다.</t>
  </si>
  <si>
    <t>약 106분</t>
    <phoneticPr fontId="29" type="noConversion"/>
  </si>
  <si>
    <t>약 83분</t>
    <phoneticPr fontId="29" type="noConversion"/>
  </si>
  <si>
    <t>약 84분</t>
    <phoneticPr fontId="29" type="noConversion"/>
  </si>
  <si>
    <t>약 82분</t>
    <phoneticPr fontId="29" type="noConversion"/>
  </si>
  <si>
    <t>약 89분</t>
    <phoneticPr fontId="29" type="noConversion"/>
  </si>
  <si>
    <t>약 539분 (8시간 59분)</t>
    <phoneticPr fontId="29" type="noConversion"/>
  </si>
  <si>
    <t>· ㊸ [2026-10-23] 전거근 직접 신설 — 사용자 결정(키우기 · 견갑골 안정화). 어깨 날마다 어깨 블록 뒤에: 토 원암 케이블 서라투스 펀치 2(수평 · 서서) · 월 스미스 프로트랙션 4(수평 · 하중을 거는 자리) · 수 인클라인 덤벨 프로트랙션 3(45°). 랜드마인 · 스캡 푸시업 · 푸시업 플러스는 사용자가 원하지 않거나 하중이 막혀 뺐다. 직접 0 → 9(하한) · 235세트. 프레스 앞이 아니라 뒤에 둔 이유 — 키우려면 지칠 때까지 하는데, 프레스 앞에서 지치면 프레스 중 견갑골이 흔들린다.</t>
  </si>
  <si>
    <t>· 토 45세트 106분 · 목 42세트 95분 · 화 41세트 82분 · 수 34세트 89분 · 월 37세트 84분 · 일 36세트 83분. (2026-10-23 전거근 신설 반영)</t>
    <phoneticPr fontId="29" type="noConversion"/>
  </si>
  <si>
    <t>해머 스트랭스 로우</t>
  </si>
  <si>
    <t>10회 × 3세트</t>
  </si>
  <si>
    <t>시작 주차</t>
  </si>
  <si>
    <t>해머 스트랭스 로우 주당 증량 (kg)</t>
  </si>
  <si>
    <t>매주 +1 → 평균 주 1.25kg. 원판식 기구 · 13주차 60kg에서 출발 (2026-10-23 사용자 결정)</t>
  </si>
  <si>
    <t>인클라인 벤치프레스 머신 주당 증량 (kg)</t>
  </si>
  <si>
    <t>매주 +1 · 13주차 42kg에서 출발. 2주 연속 미달이면 선형 중단 → 8~10 더블 프로그레션 (2026-10-23)</t>
  </si>
  <si>
    <t>해머 로우 목표</t>
    <phoneticPr fontId="29" type="noConversion"/>
  </si>
  <si>
    <t>미달 시 반복수</t>
    <phoneticPr fontId="29" type="noConversion"/>
  </si>
  <si>
    <t>인클라인 머신 목표</t>
    <phoneticPr fontId="29" type="noConversion"/>
  </si>
  <si>
    <t>· [2026-10-23 사용자 결정] 해머 스트랭스 로우 4×8 · 인클라인 벤치프레스 머신 3×10을 매주 +1kg 선형으로 — 둘 다 원판식이라 1kg 격자가 맞는다. D11 · D12는 6주차가 아니라 13주차(10/24 주) 중량이다. 미달 기록은 증량기록 O · Q열. 인클라인 머신은 2주 연속 미달이면 선형을 멈추고 8~10 더블 프로그레션으로 돌아간다 — 벤치 바로 뒤라 벤치 피로인지 정체인지 구분이 안 되기 때문이다. 앱에는 메인 카드 없이 종목표 그 줄의 중량만 주차를 따라간다.</t>
  </si>
  <si>
    <t>[2026-10-23 사용자 결정] 4×8 고정 · 매주 +1kg 자동(13주차 60kg에서 출발 · 증량기록 N열). 8회를 못 채운 주는 증량기록 O열에 마지막 세트 반복수를 적고 같은 무게를 한 번 더 든다. [2026-10-11 사용자 결정 · 1번으로] 늘어난 구간 담당 — 레버가 늘어난 위치에서도 팔을 앞으로 끌어 부하가 유지된다(덤벨은 바닥에서 부하가 거의 0). 내릴 때 견갑을 끝까지 빼서(전인) 1초 버틴 뒤, 견갑부터 모으며 당긴다. 6~8회 고중량 — 원판 1kg 격자로 증량을 추적하는 자리. [2026-10-11 실제 수행으로 정정] 상단 그립을 최대한 넓게 잡는다(오버그립). 팔꿈치가 몸통에서 70~80° 벌어진 채 뒤로 빠지고, 손잡이는 가슴 높이로 온다 — 주동근 승모 중부 · 능형근에 후면삼각 비중이 크다(계수 0.33). 패드는 가슴이 패드에서 떨어지지 않는 거리. (이전 메모 '손잡이가 아래쪽 갈비뼈~명치 · 팔꿈치는 몸통 옆을 지나 뒤로'는 팔꿈치를 붙이는 광배 경로라 분류와 어긋나 있었다.)</t>
    <phoneticPr fontId="29" type="noConversion"/>
  </si>
  <si>
    <t>[2026-10-23 사용자 결정] 3×10 고정 · 매주 +1kg 자동(13주차 42kg에서 출발 · 증량기록 P열). 10회를 못 채운 주는 Q열에 반복수를 적고 같은 무게를 한 번 더. 2주 연속 미달이면 선형을 멈추고 8~10 더블 프로그레션으로 돌아간다 — 벤치 바로 뒤라 벤치 피로 때문인지 근력이 막힌 건지 구분이 안 된다. 상부지 복합. 복합이라 플라이보다 앞에 둔다.</t>
    <phoneticPr fontId="29" type="noConversion"/>
  </si>
  <si>
    <t>인클라인 벤치프레스(바벨)</t>
    <phoneticPr fontId="29" type="noConversion"/>
  </si>
  <si>
    <t>인클라인 벤치프레스(스미스) — 이전 종목 / 인클라인 벤치프레스 머신 (월요일과 같은 기구가 되나 자리는 유효) / 인클라인 덤벨 프레스 / 헤머스트랭스 인클라인 프레스</t>
    <phoneticPr fontId="29" type="noConversion"/>
  </si>
  <si>
    <t>· [2026-10-10 사용자 결정] 1~6번은 등 → 가슴 → 등 → 가슴 → 등 → 가슴(친업 · 인클라인 바벨 · 와이드 · 펙덱 · 언더그립 · 디클라인), 7~9번이 암풀다운 · 오버헤드 슈러그 · 페이스풀이다. 목적은 휴식 — 세트 사이 휴식은 그대로지만 같은 근육을 종목 사이에 약 10분씩 쉬게 해 둘째 · 셋째 랫풀다운과 가슴 종목이 덜 지친 채 들어간다. 데드 다음날이라 그립도 당기기 사이에 쉰다. 세트 단위 페어(A1/A2)는 시간이 20분 가까이 줄지만 두 기구를 동시에 잡아야 해 헬스장 사정상 불가 — 종목 단위라 시간은 그대로다. 친업은 가장 무거워 맨 앞을 지킨다.</t>
    <phoneticPr fontId="29" type="noConversion"/>
  </si>
  <si>
    <t>데드 다음날이라 척추 부하가 거의 0인 수직 당기기만 둔다 — 친업은 매달리고 랫풀다운은 앉아서 고정된다. 그립이 지쳐 있으면 친업을 어시스트 머신으로. 가슴은 인클라인 벤치프레스(바벨) 3 + 플라이 7로 10이다. [2026-10-10] 등 · 가슴을 종목 단위로 번갈아 한다(1~6번) — 같은 근육에 종목 사이 휴식을 주려고. 맨 뒤에 전완 슈퍼세트 6 + 백 익스텐션 3 (데드 다음날이라 일요일보다 중량이 낮게 나오는 것이 정상 — 금지는 아니다)</t>
    <phoneticPr fontId="29" type="noConversion"/>
  </si>
  <si>
    <t>직접 9세트: 월요일 인클라인 벤치프레스 머신 3 · 인클라인 덤벨 플라이 3 + 목요일 인클라인 벤치프레스(바벨) 3 (2026-10-02 사용자 요청). 월요일 둘을 4 → 3으로 내려 합산을 22.5까지 낮췄다가 목요일에 3을 더해 25.5가 됐다 — 주 1회 6에서 주 2회 9로 바뀐 셈이다. 간접 0 — 흉근 상/하는 I열에서 합산 판정하므로 서로에게 간접을 얹지 않는다(2026-10-02 교차 계상 제거). 상부지를 복합 하나 · 고립 하나로 나눠 각 4세트다. 단독 판정이 '하한'으로 뜨지만 흉근은 I열 합산(25.0)으로 판정한다</t>
    <phoneticPr fontId="29" type="noConversion"/>
  </si>
  <si>
    <t>10회 × 4세트</t>
  </si>
  <si>
    <t>레그 프레스 주당 증량 (kg)</t>
  </si>
  <si>
    <t>매주 +2 · 13주차 160kg에서 출발 (2026-10-23 사용자 결정)</t>
  </si>
  <si>
    <t>레그 프레스 목표</t>
    <phoneticPr fontId="29" type="noConversion"/>
  </si>
  <si>
    <t>[2026-10-23 사용자 결정] 10회 × 4세트 고정 · 매주 +2kg 자동(13주차 160kg에서 출발 · 증량기록 R열). 10회를 못 채운 주는 S열에 마지막 세트 반복수를 적고 같은 무게를 한 번 더. 2주 연속 미달이면 선형을 멈추고 범위 방식으로 돌아간다. 스쿼트 바로 뒤라 다리가 신선하다 — 무게가 커서 +1은 0.6%라 +2. 스쿼트 뒤 사두 볼륨. 발 위치를 높이면 둔근 쪽으로, 낮추면 사두 쪽으로 간다 — 이 자리는 낮게 둔다.</t>
    <phoneticPr fontId="29" type="noConversion"/>
  </si>
  <si>
    <t>레그 프레스 (발 높게) 주당 증량 (kg)</t>
  </si>
  <si>
    <t>2주마다 +2 · 13주차 140kg에서 출발 (2026-10-23 사용자 결정)</t>
  </si>
  <si>
    <t>레그 프레스 발 높게 목표</t>
    <phoneticPr fontId="29" type="noConversion"/>
  </si>
  <si>
    <t>[2026-10-23 사용자 결정] 10회 × 4세트 고정 · 2주마다 +2kg 자동(13주차 140kg에서 출발 · 증량기록 T열). 10회를 못 채운 주는 U열에 마지막 세트 반복수를 적고 같은 무게를 한 번 더. 2주 연속 미달이면 선형을 멈추고 범위 방식으로 돌아간다. 데드 · 루마니안 뒤 4번이라 2주마다. [2026-10-02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phoneticPr fontId="29" type="noConversion"/>
  </si>
  <si>
    <t>루마니안 데드리프트 주당 증량 (kg)</t>
  </si>
  <si>
    <t>2주마다 +1 · 13주차 50kg에서 출발 (2026-10-23 사용자 결정)</t>
  </si>
  <si>
    <t>루마니안 목표</t>
    <phoneticPr fontId="29" type="noConversion"/>
  </si>
  <si>
    <t>[2026-10-23 사용자 결정] 10회 × 3세트 고정 · 2주마다 +1kg 자동(13주차 50kg에서 출발 · 증량기록 V열). 10회를 못 채운 주는 W열에 마지막 세트 반복수를 적고 같은 무게를 한 번 더. 2주 연속 미달이면 선형을 멈추고 범위 방식으로 돌아간다. 데드 톱 · 백오프 뒤 3번이라 2주마다(햄스트링은 10/23 사용자 '이제 괜찮다'). 당기면 그날은 미달로 적는다. [2026-10-11] 엉덩이 뒤가 당기면 이 종목은 그날 중단(백오프와 같은 규칙). 고관절 신전으로 햄스트링을 늘어난 구간에서 훈련한다. 무릎은 살짝만 굽히고 중립 척추를 지킨다.</t>
    <phoneticPr fontId="29" type="noConversion"/>
  </si>
  <si>
    <t>12회 × 4세트</t>
  </si>
  <si>
    <t>힙 쓰러스트 주당 증량 (kg)</t>
  </si>
  <si>
    <t>2주마다 +1 · 13주차 25kg에서 출발 (2026-10-23 사용자 결정)</t>
  </si>
  <si>
    <t>힙 쓰러스트 목표</t>
    <phoneticPr fontId="29" type="noConversion"/>
  </si>
  <si>
    <t>[2026-10-23 사용자 결정] 12회 × 4세트 고정 · 2주마다 +1kg 자동(13주차 25kg에서 출발 · 증량기록 X열). 12회를 못 채운 주는 Y열에 마지막 세트 반복수를 적고 같은 무게를 한 번 더. 2주 연속 미달이면 선형을 멈추고 범위 방식으로 돌아간다. 데드 전날이라 RIR 1~2를 지킨 채 12회가 나와야 달성. [2026-10-07 수 → 화 · 사용자 요청] 수요일이 45세트 109분이었고 10/7 첫 수요일에 어깨 블록 뒤 마지막 자리라 이 종목이 먼저 빠졌다. 둔근 직접. 짧아진 구간에서 최대 장력이 걸려 수요일 데드 · 루마니안(늘어난 구간)과 갈린다. 화요일은 데드 전날이라 실패 직전 1~2회 남기고 끊는다(RIR 1~2) — 둔근은 데드의 고관절 신전 주동근이다. [2026-10-07 3 → 4 · 사용자 요청] 맨 앞으로 와 신선할 때 하는 자리라 한 세트를 더했다 — 화요일 둔근 3 → 4로 세션당 6 아래. 수요일 데드에서 둔근이 무겁게 느껴지면 줄이는 순서: ① 이 4번째 세트부터 뺀다 → ② 그래도 반복되면 이 종목만 일요일로(데드까지 3일). 12회가 4~5회 넘게 남는 무게면 세트보다 중량을 먼저 올린다.</t>
    <phoneticPr fontId="29" type="noConversion"/>
  </si>
  <si>
    <t>15회 × 3세트</t>
  </si>
  <si>
    <t>오버헤드 슈러그(스미스) 주당 증량 (kg)</t>
  </si>
  <si>
    <t>3주마다 +1 · 13주차 25kg에서 출발 · 원판만 센 무게(봉 제외) (2026-10-23 사용자 결정)</t>
  </si>
  <si>
    <t>오버헤드 슈러그 목표</t>
    <phoneticPr fontId="29" type="noConversion"/>
  </si>
  <si>
    <t>[2026-10-23 사용자 결정] 15회 × 3세트 고정 · 3주마다 +1kg 자동(13주차 25kg에서 출발 · 증량기록 Z열). 15회를 못 채운 주는 AA열에 마지막 세트 반복수를 적고 같은 무게를 한 번 더. 2주 연속 미달이면 선형을 멈추고 범위 방식으로 돌아간다. 무게는 원판만 센 값이다 — 봉 무게를 몰라도 1kg 격자 규칙이 맞는다. 가동범위가 짧은 고립이라 3주마다. 팔이 머리 위에 고정된 채 견갑을 내린다 — 승모 하부가 직접 걸리는 유일한 자리이고, 팔이 머리 위라는 점에서 수직 날에 맞는다.</t>
    <phoneticPr fontId="29" type="noConversion"/>
  </si>
  <si>
    <t>해머 스트랭스 스캡 슈러그(중립 그립)</t>
  </si>
  <si>
    <t>해머 스트랭스 스캡 슈러그(중립 그립) 주당 증량 (kg)</t>
  </si>
  <si>
    <t>2주마다 +1 · 13주차 50kg에서 출발 · 원판만 센 무게(봉 제외) (2026-10-23 사용자 결정)</t>
  </si>
  <si>
    <t>스캡 슈러그 목표</t>
    <phoneticPr fontId="29" type="noConversion"/>
  </si>
  <si>
    <t>[2026-10-23 사용자 결정] 15회 × 3세트 고정 · 2주마다 +1kg 자동(13주차 50kg에서 출발 · 증량기록 AB열). 15회를 못 채운 주는 AC열에 마지막 세트 반복수를 적고 같은 무게를 한 번 더. 2주 연속 미달이면 선형을 멈추고 범위 방식으로 돌아간다. 무게는 원판만 센 값이다 — 봉 무게를 몰라도 1kg 격자 규칙이 맞는다. [2026-10-11 실제 수행으로 정정] 1번 해머 스트랭스(Iso-Lateral) 머신에서 손잡이를 옆으로(중립 그립) 잡고 한다. 가슴 패드가 몸통 반동을 막고, 레버가 팔을 앞으로 끌어 날개뼈를 끝까지 벌린 위치에서도 부하가 걸린다. 큐: 날개뼈를 앞으로 끝까지 벌린다 → 팔꿈치를 잠근 채 날개뼈만 등 가운데로 모은다 → 1초 멈췄다가 천천히 벌린다. 중립 그립은 팔꿈치가 굽기 쉽다 — 굽으면 로우가 된다. 드롭 유지: 마지막 세트 뒤 한쪽 원판을 빼고 바로 이어 간다. 중량은 원판식이라 케이블 45와 다르다 — 첫 세션에 12~15회로 맞춘다. 팔을 편 채 견갑만 후인한다 — 로우의 간접만으로는 능형근이 실패지점에 안 간다.</t>
    <phoneticPr fontId="29" type="noConversion"/>
  </si>
  <si>
    <t>15회 × 4세트</t>
  </si>
  <si>
    <t>스미스 프로트랙션 주당 증량 (kg)</t>
  </si>
  <si>
    <t>2주마다 +1 · 13주차 0kg에서 출발 · 원판만 센 무게(봉 제외) (2026-10-23 사용자 결정)</t>
  </si>
  <si>
    <t>프로트랙션 목표</t>
    <phoneticPr fontId="29" type="noConversion"/>
  </si>
  <si>
    <t>[2026-10-23 사용자 결정] 15회 × 4세트 고정 · 2주마다 +1kg 자동(13주차 0kg에서 출발 · 증량기록 AD열). 15회를 못 채운 주는 AE열에 마지막 세트 반복수를 적고 같은 무게를 한 번 더. 2주 연속 미달이면 선형을 멈추고 범위 방식으로 돌아간다. 무게는 원판만 센 값이다 — 봉 무게를 몰라도 1kg 격자 규칙이 맞는다. 빈 바(원판 0)에서 출발 — 처음 2주가 적응이고 15주차에 원판 1kg(한쪽 0.5)부터. [2026-10-23 신설 · 사용자 결정] 전거근 직접 주 9 중 4 — 하중을 제대로 거는 자리다(원판 1kg 단위 증량 · 궤도 고정이라 무거워져도 자세가 유지된다). 스캡 푸시업은 등에 원판을 올리는 데서 하중이 막혀 이것으로 정했다(사용자). 수평 · 누워서. [동작] 플랫 벤치를 스미스 안에 · 팔을 가슴 위로 편 채 바를 잡는다 · 팔꿈치는 굽히지 않고 견갑골만 벌려 바를 5~8cm 밀어 올린다 · 끝에서 1초 · 날개뼈가 벤치에 붙을 때까지 천천히 내린다. 첫 2주는 빈 바나 가벼운 원판 — 끝 범위 1초를 먼저 익힌다(무게가 먼저 늘면 으쓱하거나 팔꿈치를 굽혀 밀게 된다). 움직이는 거리가 짧아 그 뒤로는 생각보다 무겁게 올라간다.</t>
    <phoneticPr fontId="29" type="noConversion"/>
  </si>
  <si>
    <t>· [2026-10-23 사용자 결정 · 둘째 묶음] 13~19행 일곱 종목도 선형으로 — 주기는 종목마다(증량기록 E열 · 1~3주). D열은 13주차 중량이다. 스미스 · 머신은 원판만 센 무게(봉 무게를 몰라도 '5로 나눈 나머지 4' 규칙이 맞는다). 공통 규칙: 2주 연속 미달이면 그 종목만 선형을 멈추고 범위 방식으로 돌아간다. 라잉 트라이셉스 · 리버스컬은 고정 EZ바라 보류 — 원판 EZ바로 바꾸고 원판 무게가 정해지면 넣는다.</t>
  </si>
  <si>
    <t>라잉 트라이셉스 익스텐션 주당 증량 (kg)</t>
  </si>
  <si>
    <t>3주마다 +1 · 13주차 15kg에서 출발 · EZ바 봉 포함 총무게 (2026-10-23 사용자 결정)</t>
  </si>
  <si>
    <t>라잉 트라이셉스 목표</t>
    <phoneticPr fontId="29" type="noConversion"/>
  </si>
  <si>
    <t>[2026-10-23 사용자 결정] 10회 × 4세트 고정 · 3주마다 +1kg 자동(13주차 15kg에서 출발 · 증량기록 AF열). 봉만 있는 EZ바 + 원판으로 바꾼다(고정 EZ바는 1kg 증량이 안 된다). 무게는 봉 포함 총무게 — 지금 고정 바 15kg와 같은 무게로 시작한다. 봉 무게가 5의 배수(10 등)가 아니면 끼울 수 없는 칸이 생기니 알려줄 것. 10회를 못 채운 주는 AG열에 마지막 세트 반복수를 적고 같은 무게를 한 번 더 · 2주 연속 미달이면 범위 방식으로 돌아간다. [2026-10-08 자세] 팔을 수직으로 세우지 말고 머리 쪽으로 20~30° 눕힌 채 고정한다 — 어깨 굽힘이 110~120°가 돼 장두가 더 늘어나고, 전완이 수평이 되는 가장 무거운 지점이 더 깊은 쪽으로 옮겨 간다(자유중량이라 바가 이마 뒤로 갈수록 가벼워지는 약점을 줄인다). 일요일 케이블 오버헤드는 늘어난 지점의 장력, 이 종목은 바벨 중량 진행을 맡는다. 늘어난 구간 — 팔이 머리 위로 가 장두가 신장된다. 목요일 로프 푸쉬다운(짧아진 구간)과 각도를 나누고, 일요일 오버헤드 익스텐션과 함께 장두 늘어난 구간을 주 2회로 만든다(2026-10-08). 팔꿈치가 시큰하면 EZ바로 바꾼다.</t>
    <phoneticPr fontId="29" type="noConversion"/>
  </si>
  <si>
    <t>12회 × 3세트</t>
  </si>
  <si>
    <t>리버스컬 주당 증량 (kg)</t>
  </si>
  <si>
    <t>리버스컬 목표</t>
    <phoneticPr fontId="29" type="noConversion"/>
  </si>
  <si>
    <t>[2026-10-23 사용자 결정] 12회 × 3세트 고정 · 3주마다 +1kg 자동(13주차 15kg에서 출발 · 증량기록 AH열). 봉만 있는 EZ바 + 원판으로 바꾼다(고정 EZ바는 1kg 증량이 안 된다). 무게는 봉 포함 총무게 — 지금 고정 바 15kg와 같은 무게로 시작한다. 봉 무게가 5의 배수(10 등)가 아니면 끼울 수 없는 칸이 생기니 알려줄 것. 12회를 못 채운 주는 AI열에 마지막 세트 반복수를 적고 같은 무게를 한 번 더 · 2주 연속 미달이면 범위 방식으로 돌아간다. 엎침 그립 컬 — 상완요골근과 신근이 주동이다. 재택 4일차 종목이라 새로 익힐 것이 없다.</t>
    <phoneticPr fontId="29" type="noConversion"/>
  </si>
  <si>
    <t>인클라인 벤치프레스(바벨)</t>
  </si>
  <si>
    <t>8회 × 3세트</t>
  </si>
  <si>
    <t>인클라인 벤치프레스(바벨) 주당 증량 (kg)</t>
  </si>
  <si>
    <t>매주 +1 · 13주차 40kg에서 출발 · 봉 20 포함 총무게 · 벤치와 같은 방식 (2026-10-23 사용자 결정)</t>
  </si>
  <si>
    <t>인클라인 바벨 목표</t>
    <phoneticPr fontId="29" type="noConversion"/>
  </si>
  <si>
    <t>[2026-10-23 사용자 결정] 8회 × 3세트 고정 · 매주 +1kg 자동(13주차 40kg에서 출발 · 증량기록 AJ열). 벤치처럼 고정 반복 · 매주 +1kg(사용자 요청 — 범위로 자리 잡는 기간 없이 바로). 봉 20 + 한쪽 10 = 40에서 출발. 목요일 가슴 첫 종목이라 세트만 3. 8회를 못 채운 주는 AK열에 마지막 세트 반복수를 적고 같은 무게를 한 번 더 · 2주 연속 미달이면 범위 방식으로 돌아간다. [2026-10-23 사용자 결정 · 스미스 → 바벨] 바벨 인클라인으로 바꿨다 — 자극이 더 좋고 어깨가 편하다(사용자). 바가 레일에 묶이지 않아 궤도가 팔꿈치 · 어깨를 따라 스스로 잡힌다. 10/15 오른쪽 앞 어깨 찝힘의 원인이 고정 궤도에서 팔꿈치를 배꼽 쪽으로 끌어내린 것이었으니, 원인 자체가 사라졌다. 큐는 그대로 — 바닥에서 전완이 바 바로 밑에 수직 · 팔꿈치는 몸통에서 45~60° · 바는 쇄골 바로 아래 윗가슴에 닿게 · 견갑은 뒤로 모으고 아래로 고정. 랙 세이프티 바는 가슴 바로 위 높이로(혼자 하는 프리웨이트). 계수는 스미스와 같다(삼두 0.5 · 전면삼각 0.5). [2026-10-10 등 ↔ 가슴 종목 단위 교차 · 사용자 결정] 친업 다음 2번 — 가슴 첫 종목이고 복합이라 플라이보다 앞에 둔다. [2026-10-02 사용자 요청] 재택 4일차와 같은 종목 · 같은 중량 · 같은 세트이고 계수도 그대로 쓴다(삼두 0.5 · 전면삼각 0.5). 월요일 인클라인 벤치프레스 머신(35kg)과 기구가 갈린다 — 바벨은 궤도가 자유라 안정화가 셋 중 가장 많이 든다. 상부지를 월 6(머신 3 + 플라이 3) + 목 3으로 주 2회로 쪼갰다.</t>
    <phoneticPr fontId="29" type="noConversion"/>
  </si>
  <si>
    <t>· [2026-10-23 사용자 결정 · 셋째 묶음] 라잉 트라이셉스 4×10 · 리버스컬 3×12 — 봉만 있는 EZ바 + 원판으로 바꿔 3주마다 +1kg(D20 · D21은 봉 포함 총무게 · 지금 고정 바와 같은 15). 위 '보류' 줄은 이것으로 끝났다. 목 인클라인 벤치프레스(바벨) 3×8 매주 +1kg — 벤치처럼 바로(사용자 요청 · D22 = 봉 20 + 한쪽 10).</t>
  </si>
  <si>
    <t>[2026-10-24 사용자 결정] 3×10 고정 → 3×10~12 더블 프로그레션 — 전 세트(좌우) 12회면 앱 ▲로 핀 단계(30 → + 핀 → + 핀 + 1 → + 핀 + 2.5 → 다음 칸). 좌우가 갈리면 약한 쪽 반복으로 판정한다. [2026-10-02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phoneticPr fontId="29" type="noConversion"/>
  </si>
  <si>
    <t>15~20</t>
  </si>
  <si>
    <t>[2026-10-24 사용자 결정] 15회 고정 → 15~20 더블 프로그레션 · 무게 고정 바 → 원판 끼우는 봉으로 바꾼다(봉 무게 모름 — 봉 포함 총무게로 적고 첫날 지금 무게에 가깝게 맞춘다). 전 세트 20회면 앱 ▲ +1kg — 못 끼우는 무게면 무게 칸을 눌러 고친다. [2026-10-04 생수배송 대비 — 일 3 그대로(같은 날 2로 내렸다가 사용자 결정으로 복귀) · 목 3 → 2 · 화 3 → 0(보류)] 캐리 · 스텝박스이 굴근을 쥐고 버티는 쪽으로 채운다. 일요일은 다음 캐리(수)까지 이틀이 비어 3세트를 둔다 — 목요일은 토요일 캐리까지 하루뿐이라 2.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17세트가 굴근을 등척성으로 이미 다 썼다. 더블 프로그레션은 날마다 따로 본다.</t>
    <phoneticPr fontId="29" type="noConversion"/>
  </si>
  <si>
    <t>[2026-10-24 사용자 결정] 15회 고정 → 15~20 더블 프로그레션 · 무게 고정 바 → 원판 끼우는 봉으로 바꾼다(봉 무게 모름 — 봉 포함 총무게로 적고 첫날 지금 무게에 가깝게 맞춘다). 전 세트 20회면 앱 ▲ +1kg — 못 끼우는 무게면 무게 칸을 눌러 고친다. 손등을 위로 — 손목 신전, 전완 뒷면 신근군(요측 · 척측수근신근 + 지신근). 굴근과 앞뒤로 갈린 다른 근육 묶음이다. 당기기가 신근을 전혀 쓰지 않으므로 이쪽은 세 날 다 같은 중량이다 — 깎이는 것은 굴근뿐이다. 라운드 간 휴식 60초.</t>
    <phoneticPr fontId="29" type="noConversion"/>
  </si>
  <si>
    <t>[2026-10-24 사용자 결정] 15회 고정 → 15~20 더블 프로그레션 · 무게 고정 바 → 원판 끼우는 봉으로 바꾼다(봉 무게 모름 — 봉 포함 총무게로 적고 첫날 지금 무게에 가깝게 맞춘다). 전 세트 20회면 앱 ▲ +1kg — 못 끼우는 무게면 무게 칸을 눌러 고친다. [2026-10-04 생수배송 대비 — 일 3 · 목 3 → 2 · 화 3 → 0(보류)] 캐리 · 스텝박스이 굴근을 쥐고 버티는 쪽으로 채운다. 늘어난 구간 자극은 캐리가 못 주므로 일 3 · 목 2를 남겼다. 배달 일을 안 하게 되면 3으로 되돌린다. 손바닥을 위로 — 손목 굴곡. 전완 앞면(손바닥쪽) 굴근군이다: 요측 · 척측수근굴근 + 장요굴근, 쥐는 동안 심지 · 천지굴근이 보조한다. 그립과 같은 구획이지만 이 날은 당기기가 없어 온전히 나온다. 손등 위와 길항근 슈퍼세트 — 그립만 뒤집으므로 휴식 10초가 전환 시간이다 (2026-10-02).</t>
    <phoneticPr fontId="29" type="noConversion"/>
  </si>
  <si>
    <t>[2026-10-24 사용자 결정] 15회 고정 → 15~20 더블 프로그레션 · 무게 고정 바 → 원판 끼우는 봉으로 바꾼다(봉 무게 모름 — 봉 포함 총무게로 적고 첫날 지금 무게에 가깝게 맞춘다). 전 세트 20회면 앱 ▲ +1kg — 못 끼우는 무게면 무게 칸을 눌러 고친다. 손등을 위로 — 손목 신전. 전완 뒷면(손등쪽) 신근군이다: 요측수근신근 장 · 단, 척측수근신근, 지신근. 굴근과 완전히 다른 근육 묶음이고 앞뒤로 갈린다. 당기기가 신근을 전혀 쓰지 않으므로 주간 신근 자극은 리스트 컬 9세트와 리버스컬 3세트가 전부다. [2026-10-02 중량 정정] 신근은 굴근의 절반 남짓한 힘밖에 없어 같은 10kg을 쓰는 것이 말이 안 됐다 — 7.5로 내렸다(재택도 굴근 15 / 신근 10으로 갈라 둔다). 15회를 못 채우면 더 내린다. 일 · 목과 같은 중량인 이유는 당기기가 신근을 안 써서 날마다 흔들리지 않기 때문이다.</t>
    <phoneticPr fontId="29" type="noConversion"/>
  </si>
  <si>
    <t>[2026-10-24 사용자 결정] 15회 고정 → 15~20 더블 프로그레션 · 무게 고정 바 → 원판 끼우는 봉으로 바꾼다(봉 무게 모름 — 봉 포함 총무게로 적고 첫날 지금 무게에 가깝게 맞춘다). 전 세트 20회면 앱 ▲ +1kg — 못 끼우는 무게면 무게 칸을 눌러 고친다. [2026-10-04 생수배송 대비 — 일 3 · 목 3 → 2 · 화 3 → 0(보류)] 캐리 · 스텝박스이 굴근을 쥐고 버티는 쪽으로 채운다. 늘어난 구간 자극은 캐리가 못 주므로 일 3 · 목 2를 남겼다.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11세트가 굴근을 등척성으로 이미 다 썼다. 더블 프로그레션은 날마다 따로 본다.</t>
    <phoneticPr fontId="2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</si>
</sst>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m\/d\ \(aaa\)"/>
  </numFmts>
  <fonts count="65">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9"/>
      <color rgb="FF808080"/>
      <name val="Calibri"/>
      <family val="2"/>
    </font>
    <font>
      <b/>
      <sz val="10"/>
      <name val="Calibri"/>
      <family val="2"/>
    </font>
    <font>
      <sz val="11"/>
      <color theme="1"/>
      <name val="Calibri"/>
      <family val="2"/>
    </font>
    <font>
      <u/>
      <sz val="11"/>
      <color theme="10"/>
      <name val="맑은 고딕"/>
      <family val="2"/>
      <charset val="129"/>
    </font>
    <font>
      <sz val="10"/>
      <color theme="1"/>
      <name val="Calibri"/>
      <family val="2"/>
      <charset val="1"/>
    </font>
    <font>
      <b/>
      <sz val="14"/>
      <color theme="1"/>
      <name val="Calibri"/>
      <family val="2"/>
    </font>
    <font>
      <b/>
      <sz val="10"/>
      <color rgb="FFFFFFFF"/>
      <name val="Calibri"/>
      <family val="2"/>
      <charset val="1"/>
    </font>
    <font>
      <b/>
      <sz val="11"/>
      <color theme="1"/>
      <name val="Calibri"/>
      <family val="2"/>
    </font>
    <font>
      <sz val="10"/>
      <name val="맑은 고딕"/>
      <family val="3"/>
      <charset val="129"/>
    </font>
    <font>
      <sz val="10"/>
      <name val="Calibri"/>
      <family val="3"/>
      <charset val="129"/>
    </font>
    <font>
      <b/>
      <sz val="14"/>
      <color theme="1"/>
      <name val="Calibri"/>
      <family val="2"/>
      <charset val="1"/>
    </font>
  </fonts>
  <fills count="13">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
      <patternFill patternType="solid">
        <fgColor rgb="FF404040"/>
        <bgColor indexed="64"/>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52">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0" borderId="0" xfId="0" applyFont="1" applyAlignment="1">
      <alignment vertical="center"/>
    </xf>
    <xf numFmtId="0" fontId="52" fillId="8" borderId="4" xfId="0" applyFont="1" applyFill="1" applyBorder="1" applyAlignment="1">
      <alignment horizontal="center" vertical="center"/>
    </xf>
    <xf numFmtId="0" fontId="51" fillId="10" borderId="4" xfId="0" applyFont="1" applyFill="1" applyBorder="1" applyAlignment="1">
      <alignment horizontal="center" vertical="center"/>
    </xf>
    <xf numFmtId="0" fontId="51" fillId="10" borderId="4" xfId="0" applyFont="1" applyFill="1" applyBorder="1" applyAlignment="1">
      <alignment horizontal="left" vertical="center" wrapText="1"/>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1" fillId="0" borderId="0" xfId="0" applyFont="1" applyAlignment="1">
      <alignment horizontal="left" vertical="center"/>
    </xf>
    <xf numFmtId="0" fontId="51" fillId="0" borderId="4" xfId="0" applyFont="1" applyBorder="1" applyAlignment="1">
      <alignment horizontal="left" vertical="center"/>
    </xf>
    <xf numFmtId="0" fontId="51"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1" fillId="0" borderId="0" xfId="0" applyFont="1"/>
    <xf numFmtId="0" fontId="55" fillId="0" borderId="0" xfId="0" applyFont="1" applyAlignment="1">
      <alignment horizontal="center" vertical="center"/>
    </xf>
    <xf numFmtId="0" fontId="56" fillId="0" borderId="0" xfId="0" applyFont="1"/>
    <xf numFmtId="0" fontId="58" fillId="0" borderId="0" xfId="0" applyFont="1"/>
    <xf numFmtId="0" fontId="59" fillId="0" borderId="0" xfId="0" applyFont="1"/>
    <xf numFmtId="0" fontId="60" fillId="12" borderId="0" xfId="0" applyFont="1" applyFill="1"/>
    <xf numFmtId="0" fontId="36" fillId="12" borderId="0" xfId="0" applyFont="1" applyFill="1"/>
    <xf numFmtId="0" fontId="61" fillId="0" borderId="0" xfId="0" applyFont="1"/>
    <xf numFmtId="0" fontId="58" fillId="0" borderId="0" xfId="0" applyFont="1" applyAlignment="1">
      <alignment horizontal="center"/>
    </xf>
    <xf numFmtId="1" fontId="0" fillId="0" borderId="0" xfId="0" applyNumberFormat="1"/>
    <xf numFmtId="0" fontId="57" fillId="0" borderId="0" xfId="1" applyFont="1"/>
    <xf numFmtId="0" fontId="63" fillId="0" borderId="4" xfId="0" applyFont="1" applyBorder="1" applyAlignment="1">
      <alignment horizontal="left" vertical="center" wrapText="1"/>
    </xf>
    <xf numFmtId="178" fontId="58" fillId="0" borderId="0" xfId="0" applyNumberFormat="1" applyFont="1" applyAlignment="1">
      <alignment horizontal="center"/>
    </xf>
    <xf numFmtId="0" fontId="0" fillId="0" borderId="0" xfId="0" applyAlignment="1">
      <alignment horizontal="center"/>
    </xf>
    <xf numFmtId="178" fontId="0" fillId="0" borderId="0" xfId="0" applyNumberFormat="1" applyAlignment="1">
      <alignment horizontal="center"/>
    </xf>
    <xf numFmtId="178" fontId="0" fillId="0" borderId="0" xfId="0" applyNumberFormat="1"/>
    <xf numFmtId="0" fontId="47" fillId="12" borderId="0" xfId="0" applyFont="1" applyFill="1"/>
    <xf numFmtId="0" fontId="7" fillId="0" borderId="0" xfId="0" applyFont="1" applyAlignment="1">
      <alignment horizontal="center" vertical="center"/>
    </xf>
    <xf numFmtId="2" fontId="9" fillId="4" borderId="0" xfId="0" applyNumberFormat="1" applyFont="1" applyFill="1" applyAlignment="1">
      <alignment horizontal="center" vertical="center"/>
    </xf>
    <xf numFmtId="0" fontId="4" fillId="2" borderId="4" xfId="0" applyFont="1" applyFill="1" applyBorder="1" applyAlignment="1">
      <alignment horizontal="center" vertical="center"/>
    </xf>
    <xf numFmtId="2" fontId="51" fillId="0" borderId="4" xfId="0" applyNumberFormat="1" applyFont="1" applyBorder="1" applyAlignment="1">
      <alignment horizontal="center" vertical="center"/>
    </xf>
    <xf numFmtId="49" fontId="51" fillId="0" borderId="4" xfId="0" applyNumberFormat="1" applyFont="1" applyBorder="1" applyAlignment="1">
      <alignment horizontal="center" vertical="center"/>
    </xf>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xf numFmtId="0" fontId="58" fillId="0" borderId="0" xfId="0" applyFont="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www.youtube.com/shorts/KGkE5bXQR24,%20&#47749;&#52824;&#44032;%20&#51032;&#51088;%20&#52572;&#49345;&#45800;%20&#45458;&#51060;&#50640;%20&#47582;&#44172;%20&#49444;&#51221;"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youtube.com/shorts/UerYVESPi_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0"/>
  <sheetViews>
    <sheetView topLeftCell="A36" zoomScaleNormal="100" workbookViewId="0">
      <selection activeCell="A75" sqref="A75"/>
    </sheetView>
  </sheetViews>
  <sheetFormatPr defaultColWidth="8.7109375" defaultRowHeight="15"/>
  <cols>
    <col min="1" max="1" width="18" customWidth="1"/>
    <col min="2" max="2" width="14" customWidth="1"/>
    <col min="3" max="6" width="16" customWidth="1"/>
  </cols>
  <sheetData>
    <row r="1" spans="1:6" ht="21" customHeight="1">
      <c r="A1" s="1" t="s">
        <v>72</v>
      </c>
    </row>
    <row r="2" spans="1:6" ht="15" customHeight="1">
      <c r="A2" s="2" t="s">
        <v>73</v>
      </c>
    </row>
    <row r="4" spans="1:6" ht="15" customHeight="1">
      <c r="A4" s="3" t="s">
        <v>74</v>
      </c>
      <c r="C4" s="4">
        <v>11</v>
      </c>
      <c r="D4" s="2" t="s">
        <v>75</v>
      </c>
    </row>
    <row r="6" spans="1:6" ht="15" customHeight="1">
      <c r="A6" s="5" t="s">
        <v>76</v>
      </c>
      <c r="B6" s="6" t="s">
        <v>77</v>
      </c>
      <c r="C6" s="5" t="s">
        <v>78</v>
      </c>
      <c r="D6" s="5" t="s">
        <v>79</v>
      </c>
      <c r="E6" s="5" t="s">
        <v>80</v>
      </c>
      <c r="F6" s="5" t="s">
        <v>81</v>
      </c>
    </row>
    <row r="7" spans="1:6" ht="15" customHeight="1">
      <c r="A7" s="7" t="s">
        <v>82</v>
      </c>
      <c r="B7" s="7">
        <v>92.5</v>
      </c>
      <c r="C7" s="8" t="str">
        <f>TEXT(D7/B7,"0%")</f>
        <v>67%</v>
      </c>
      <c r="D7" s="4">
        <v>62</v>
      </c>
      <c r="E7" s="9">
        <f>INDEX(증량기록!$C$22:$C$51,MAX(1,MIN(30,$C$4-5)))</f>
        <v>75</v>
      </c>
      <c r="F7" s="8" t="s">
        <v>83</v>
      </c>
    </row>
    <row r="8" spans="1:6" ht="15" customHeight="1">
      <c r="A8" s="7" t="s">
        <v>84</v>
      </c>
      <c r="B8" s="7">
        <v>105</v>
      </c>
      <c r="C8" s="8" t="str">
        <f>TEXT(D8/B8,"0%")</f>
        <v>64%</v>
      </c>
      <c r="D8" s="4">
        <v>67</v>
      </c>
      <c r="E8" s="9">
        <f>INDEX(증량기록!$E$22:$E$51,MAX(1,MIN(30,$C$4-5)))</f>
        <v>80</v>
      </c>
      <c r="F8" s="8" t="s">
        <v>85</v>
      </c>
    </row>
    <row r="9" spans="1:6" ht="15" customHeight="1">
      <c r="A9" s="7" t="s">
        <v>86</v>
      </c>
      <c r="B9" s="7">
        <v>47.25</v>
      </c>
      <c r="C9" s="8" t="str">
        <f>TEXT(D9/B9,"0%")</f>
        <v>74%</v>
      </c>
      <c r="D9" s="4">
        <v>35</v>
      </c>
      <c r="E9" s="9">
        <f>INDEX(증량기록!$G$22:$G$51,MAX(1,MIN(30,$C$4-5)))</f>
        <v>41</v>
      </c>
      <c r="F9" s="8" t="s">
        <v>87</v>
      </c>
    </row>
    <row r="10" spans="1:6" ht="15" customHeight="1">
      <c r="A10" s="7" t="s">
        <v>88</v>
      </c>
      <c r="B10" s="7">
        <v>40</v>
      </c>
      <c r="C10" s="8" t="str">
        <f>TEXT(D10/B10,"0%")</f>
        <v>70%</v>
      </c>
      <c r="D10" s="4">
        <v>28</v>
      </c>
      <c r="E10" s="9">
        <f>INDEX(증량기록!$I$22:$I$51,MAX(1,MIN(30,$C$4-5)))</f>
        <v>31</v>
      </c>
      <c r="F10" s="8" t="s">
        <v>1543</v>
      </c>
    </row>
    <row r="11" spans="1:6" ht="15" customHeight="1">
      <c r="A11" s="141" t="s">
        <v>1584</v>
      </c>
      <c r="B11" s="141" t="s">
        <v>27</v>
      </c>
      <c r="C11" s="101" t="s">
        <v>27</v>
      </c>
      <c r="D11" s="102">
        <v>60</v>
      </c>
      <c r="E11" s="142">
        <f>IF($C$4&lt;증량기록!$F$9,D11,INDEX(증량기록!$N$22:$N$51,MAX(1,MIN(30,$C$4-5))))</f>
        <v>60</v>
      </c>
      <c r="F11" s="101" t="s">
        <v>87</v>
      </c>
    </row>
    <row r="12" spans="1:6" ht="15" customHeight="1">
      <c r="A12" s="141" t="s">
        <v>517</v>
      </c>
      <c r="B12" s="141" t="s">
        <v>27</v>
      </c>
      <c r="C12" s="101" t="s">
        <v>27</v>
      </c>
      <c r="D12" s="102">
        <v>42</v>
      </c>
      <c r="E12" s="142">
        <f>IF($C$4&lt;증량기록!$F$10,D12,INDEX(증량기록!$P$22:$P$51,MAX(1,MIN(30,$C$4-5))))</f>
        <v>42</v>
      </c>
      <c r="F12" s="101" t="s">
        <v>1585</v>
      </c>
    </row>
    <row r="13" spans="1:6" ht="15" customHeight="1">
      <c r="A13" s="141" t="s">
        <v>374</v>
      </c>
      <c r="B13" s="141" t="s">
        <v>27</v>
      </c>
      <c r="C13" s="101" t="s">
        <v>27</v>
      </c>
      <c r="D13" s="102">
        <v>160</v>
      </c>
      <c r="E13" s="142">
        <f>IF($C$4&lt;증량기록!$F$11,D13,INDEX(증량기록!$R$22:$R$51,MAX(1,MIN(30,$C$4-5))))</f>
        <v>160</v>
      </c>
      <c r="F13" s="101" t="s">
        <v>1602</v>
      </c>
    </row>
    <row r="14" spans="1:6" ht="15" customHeight="1">
      <c r="A14" s="141" t="s">
        <v>1069</v>
      </c>
      <c r="B14" s="141" t="s">
        <v>27</v>
      </c>
      <c r="C14" s="101" t="s">
        <v>27</v>
      </c>
      <c r="D14" s="102">
        <v>140</v>
      </c>
      <c r="E14" s="142">
        <f>IF($C$4&lt;증량기록!$F$12,D14,INDEX(증량기록!$T$22:$T$51,MAX(1,MIN(30,$C$4-5))))</f>
        <v>140</v>
      </c>
      <c r="F14" s="101" t="s">
        <v>1602</v>
      </c>
    </row>
    <row r="15" spans="1:6" ht="15" customHeight="1">
      <c r="A15" s="141" t="s">
        <v>559</v>
      </c>
      <c r="B15" s="141" t="s">
        <v>27</v>
      </c>
      <c r="C15" s="101" t="s">
        <v>27</v>
      </c>
      <c r="D15" s="102">
        <v>50</v>
      </c>
      <c r="E15" s="142">
        <f>IF($C$4&lt;증량기록!$F$13,D15,INDEX(증량기록!$V$22:$V$51,MAX(1,MIN(30,$C$4-5))))</f>
        <v>50</v>
      </c>
      <c r="F15" s="101" t="s">
        <v>1585</v>
      </c>
    </row>
    <row r="16" spans="1:6" ht="15" customHeight="1">
      <c r="A16" s="141" t="s">
        <v>556</v>
      </c>
      <c r="B16" s="141" t="s">
        <v>27</v>
      </c>
      <c r="C16" s="101" t="s">
        <v>27</v>
      </c>
      <c r="D16" s="102">
        <v>25</v>
      </c>
      <c r="E16" s="142">
        <f>IF($C$4&lt;증량기록!$F$14,D16,INDEX(증량기록!$X$22:$X$51,MAX(1,MIN(30,$C$4-5))))</f>
        <v>25</v>
      </c>
      <c r="F16" s="101" t="s">
        <v>1615</v>
      </c>
    </row>
    <row r="17" spans="1:6" ht="15" customHeight="1">
      <c r="A17" s="141" t="s">
        <v>417</v>
      </c>
      <c r="B17" s="141" t="s">
        <v>27</v>
      </c>
      <c r="C17" s="101" t="s">
        <v>27</v>
      </c>
      <c r="D17" s="102">
        <v>25</v>
      </c>
      <c r="E17" s="142">
        <f>IF($C$4&lt;증량기록!$F$15,D17,INDEX(증량기록!$Z$22:$Z$51,MAX(1,MIN(30,$C$4-5))))</f>
        <v>25</v>
      </c>
      <c r="F17" s="101" t="s">
        <v>1620</v>
      </c>
    </row>
    <row r="18" spans="1:6" ht="15" customHeight="1">
      <c r="A18" s="141" t="s">
        <v>1625</v>
      </c>
      <c r="B18" s="141" t="s">
        <v>27</v>
      </c>
      <c r="C18" s="101" t="s">
        <v>27</v>
      </c>
      <c r="D18" s="102">
        <v>50</v>
      </c>
      <c r="E18" s="142">
        <f>IF($C$4&lt;증량기록!$F$16,D18,INDEX(증량기록!$AB$22:$AB$51,MAX(1,MIN(30,$C$4-5))))</f>
        <v>50</v>
      </c>
      <c r="F18" s="101" t="s">
        <v>1620</v>
      </c>
    </row>
    <row r="19" spans="1:6" ht="15" customHeight="1">
      <c r="A19" s="141" t="s">
        <v>1570</v>
      </c>
      <c r="B19" s="141" t="s">
        <v>27</v>
      </c>
      <c r="C19" s="101" t="s">
        <v>27</v>
      </c>
      <c r="D19" s="102">
        <v>0</v>
      </c>
      <c r="E19" s="142">
        <f>IF($C$4&lt;증량기록!$F$17,D19,INDEX(증량기록!$AD$22:$AD$51,MAX(1,MIN(30,$C$4-5))))</f>
        <v>0</v>
      </c>
      <c r="F19" s="101" t="s">
        <v>1630</v>
      </c>
    </row>
    <row r="20" spans="1:6" ht="15" customHeight="1">
      <c r="A20" s="141" t="s">
        <v>588</v>
      </c>
      <c r="B20" s="141" t="s">
        <v>27</v>
      </c>
      <c r="C20" s="101" t="s">
        <v>27</v>
      </c>
      <c r="D20" s="102">
        <v>15</v>
      </c>
      <c r="E20" s="142">
        <f>IF($C$4&lt;증량기록!$F$18,D20,INDEX(증량기록!$AF$22:$AF$51,MAX(1,MIN(30,$C$4-5))))</f>
        <v>15</v>
      </c>
      <c r="F20" s="101" t="s">
        <v>1602</v>
      </c>
    </row>
    <row r="21" spans="1:6" ht="15" customHeight="1">
      <c r="A21" s="141" t="s">
        <v>439</v>
      </c>
      <c r="B21" s="141" t="s">
        <v>27</v>
      </c>
      <c r="C21" s="101" t="s">
        <v>27</v>
      </c>
      <c r="D21" s="102">
        <v>15</v>
      </c>
      <c r="E21" s="142">
        <f>IF($C$4&lt;증량기록!$F$19,D21,INDEX(증량기록!$AH$22:$AH$51,MAX(1,MIN(30,$C$4-5))))</f>
        <v>15</v>
      </c>
      <c r="F21" s="101" t="s">
        <v>1640</v>
      </c>
    </row>
    <row r="22" spans="1:6" ht="15" customHeight="1">
      <c r="A22" s="141" t="s">
        <v>1644</v>
      </c>
      <c r="B22" s="141" t="s">
        <v>27</v>
      </c>
      <c r="C22" s="101" t="s">
        <v>27</v>
      </c>
      <c r="D22" s="102">
        <v>40</v>
      </c>
      <c r="E22" s="142">
        <f>IF($C$4&lt;증량기록!$F$20,D22,INDEX(증량기록!$AJ$22:$AJ$51,MAX(1,MIN(30,$C$4-5))))</f>
        <v>40</v>
      </c>
      <c r="F22" s="101" t="s">
        <v>1645</v>
      </c>
    </row>
    <row r="23" spans="1:6" ht="15" customHeight="1">
      <c r="D23" s="10" t="s">
        <v>89</v>
      </c>
    </row>
    <row r="24" spans="1:6" ht="15" customHeight="1">
      <c r="A24" s="11"/>
    </row>
    <row r="25" spans="1:6" ht="32.25" customHeight="1">
      <c r="A25" s="12" t="s">
        <v>90</v>
      </c>
    </row>
    <row r="26" spans="1:6" ht="51.75" customHeight="1">
      <c r="A26" s="11" t="s">
        <v>91</v>
      </c>
    </row>
    <row r="27" spans="1:6" ht="51.75" customHeight="1">
      <c r="A27" s="11" t="s">
        <v>92</v>
      </c>
    </row>
    <row r="28" spans="1:6" ht="64.5" customHeight="1">
      <c r="A28" s="11" t="s">
        <v>93</v>
      </c>
    </row>
    <row r="29" spans="1:6" ht="51.75" customHeight="1">
      <c r="A29" s="11" t="s">
        <v>94</v>
      </c>
    </row>
    <row r="30" spans="1:6" ht="51.75" customHeight="1">
      <c r="A30" s="11"/>
    </row>
    <row r="31" spans="1:6" ht="15" customHeight="1">
      <c r="A31" s="12" t="s">
        <v>95</v>
      </c>
    </row>
    <row r="32" spans="1:6" ht="77.25" customHeight="1">
      <c r="A32" s="11" t="s">
        <v>96</v>
      </c>
    </row>
    <row r="33" spans="1:1" ht="51.75" customHeight="1">
      <c r="A33" s="11" t="s">
        <v>97</v>
      </c>
    </row>
    <row r="34" spans="1:1" ht="15" customHeight="1">
      <c r="A34" s="11" t="s">
        <v>98</v>
      </c>
    </row>
    <row r="35" spans="1:1" ht="16.5" customHeight="1">
      <c r="A35" s="11" t="s">
        <v>99</v>
      </c>
    </row>
    <row r="36" spans="1:1" ht="51.75" customHeight="1">
      <c r="A36" s="11" t="s">
        <v>100</v>
      </c>
    </row>
    <row r="37" spans="1:1" ht="39" customHeight="1">
      <c r="A37" s="11"/>
    </row>
    <row r="38" spans="1:1" ht="64.5" customHeight="1">
      <c r="A38" s="11" t="s">
        <v>101</v>
      </c>
    </row>
    <row r="39" spans="1:1" ht="15" customHeight="1">
      <c r="A39" s="11" t="s">
        <v>102</v>
      </c>
    </row>
    <row r="40" spans="1:1" ht="60" customHeight="1">
      <c r="A40" s="11"/>
    </row>
    <row r="41" spans="1:1" ht="51.75" customHeight="1">
      <c r="A41" s="13" t="s">
        <v>103</v>
      </c>
    </row>
    <row r="42" spans="1:1" ht="51.75" customHeight="1">
      <c r="A42" s="11" t="s">
        <v>104</v>
      </c>
    </row>
    <row r="43" spans="1:1" ht="64.5" customHeight="1">
      <c r="A43" s="11" t="s">
        <v>105</v>
      </c>
    </row>
    <row r="44" spans="1:1" ht="64.5" customHeight="1">
      <c r="A44" s="11" t="s">
        <v>106</v>
      </c>
    </row>
    <row r="45" spans="1:1" ht="15" customHeight="1">
      <c r="A45" s="11"/>
    </row>
    <row r="46" spans="1:1" ht="51.75" customHeight="1">
      <c r="A46" s="11" t="s">
        <v>107</v>
      </c>
    </row>
    <row r="47" spans="1:1" ht="64.5" customHeight="1">
      <c r="A47" s="11" t="s">
        <v>108</v>
      </c>
    </row>
    <row r="48" spans="1:1" ht="26.25" customHeight="1">
      <c r="A48" s="11" t="s">
        <v>109</v>
      </c>
    </row>
    <row r="49" spans="1:5" ht="26.25" customHeight="1">
      <c r="A49" s="11" t="s">
        <v>110</v>
      </c>
    </row>
    <row r="50" spans="1:5" ht="26.25" customHeight="1">
      <c r="A50" s="11" t="s">
        <v>111</v>
      </c>
    </row>
    <row r="51" spans="1:5" ht="26.25" customHeight="1">
      <c r="A51" s="11" t="s">
        <v>112</v>
      </c>
    </row>
    <row r="53" spans="1:5" ht="16.5" customHeight="1">
      <c r="A53" s="14" t="s">
        <v>113</v>
      </c>
    </row>
    <row r="54" spans="1:5" ht="15" customHeight="1">
      <c r="A54" s="5" t="s">
        <v>114</v>
      </c>
      <c r="B54" s="5" t="s">
        <v>82</v>
      </c>
      <c r="C54" s="5" t="s">
        <v>84</v>
      </c>
      <c r="D54" s="5" t="s">
        <v>86</v>
      </c>
      <c r="E54" s="5" t="s">
        <v>88</v>
      </c>
    </row>
    <row r="55" spans="1:5" ht="15" customHeight="1">
      <c r="A55" s="15" t="s">
        <v>115</v>
      </c>
      <c r="B55" s="9">
        <f>증량기록!C22</f>
        <v>62</v>
      </c>
      <c r="C55" s="9">
        <f>증량기록!E22</f>
        <v>67</v>
      </c>
      <c r="D55" s="9">
        <f>증량기록!G22</f>
        <v>35</v>
      </c>
      <c r="E55" s="9">
        <f>증량기록!I22</f>
        <v>28</v>
      </c>
    </row>
    <row r="56" spans="1:5" ht="15" customHeight="1">
      <c r="A56" s="8" t="s">
        <v>116</v>
      </c>
      <c r="B56" s="16">
        <f>증량기록!C23</f>
        <v>65</v>
      </c>
      <c r="C56" s="16">
        <f>증량기록!E23</f>
        <v>70</v>
      </c>
      <c r="D56" s="16">
        <f>증량기록!G23</f>
        <v>36</v>
      </c>
      <c r="E56" s="16">
        <f>증량기록!I23</f>
        <v>28</v>
      </c>
    </row>
    <row r="57" spans="1:5" ht="15" customHeight="1">
      <c r="A57" s="8" t="s">
        <v>117</v>
      </c>
      <c r="B57" s="16">
        <f>증량기록!C24</f>
        <v>67</v>
      </c>
      <c r="C57" s="16">
        <f>증량기록!E24</f>
        <v>72</v>
      </c>
      <c r="D57" s="16">
        <f>증량기록!G24</f>
        <v>37</v>
      </c>
      <c r="E57" s="16">
        <f>증량기록!I24</f>
        <v>30</v>
      </c>
    </row>
    <row r="58" spans="1:5" ht="15" customHeight="1">
      <c r="A58" s="8" t="s">
        <v>118</v>
      </c>
      <c r="B58" s="16">
        <f>증량기록!C25</f>
        <v>70</v>
      </c>
      <c r="C58" s="16">
        <f>증량기록!E25</f>
        <v>75</v>
      </c>
      <c r="D58" s="16">
        <f>증량기록!G25</f>
        <v>38</v>
      </c>
      <c r="E58" s="16">
        <f>증량기록!I25</f>
        <v>30</v>
      </c>
    </row>
    <row r="59" spans="1:5" ht="15" customHeight="1">
      <c r="A59" s="8" t="s">
        <v>119</v>
      </c>
      <c r="B59" s="16">
        <f>증량기록!C26</f>
        <v>72</v>
      </c>
      <c r="C59" s="16">
        <f>증량기록!E26</f>
        <v>77</v>
      </c>
      <c r="D59" s="16">
        <f>증량기록!G26</f>
        <v>40</v>
      </c>
      <c r="E59" s="16">
        <f>증량기록!I26</f>
        <v>31</v>
      </c>
    </row>
    <row r="60" spans="1:5" ht="15" customHeight="1">
      <c r="A60" s="8" t="s">
        <v>120</v>
      </c>
      <c r="B60" s="16">
        <f>증량기록!C27</f>
        <v>75</v>
      </c>
      <c r="C60" s="16">
        <f>증량기록!E27</f>
        <v>80</v>
      </c>
      <c r="D60" s="16">
        <f>증량기록!G27</f>
        <v>41</v>
      </c>
      <c r="E60" s="16">
        <f>증량기록!I27</f>
        <v>31</v>
      </c>
    </row>
    <row r="61" spans="1:5" ht="15" customHeight="1">
      <c r="A61" s="8" t="s">
        <v>121</v>
      </c>
      <c r="B61" s="16">
        <f>증량기록!C28</f>
        <v>77</v>
      </c>
      <c r="C61" s="16">
        <f>증량기록!E28</f>
        <v>82</v>
      </c>
      <c r="D61" s="16">
        <f>증량기록!G28</f>
        <v>42</v>
      </c>
      <c r="E61" s="16">
        <f>증량기록!I28</f>
        <v>32</v>
      </c>
    </row>
    <row r="62" spans="1:5" ht="15" customHeight="1">
      <c r="A62" s="8" t="s">
        <v>122</v>
      </c>
      <c r="B62" s="16">
        <f>증량기록!C29</f>
        <v>80</v>
      </c>
      <c r="C62" s="16">
        <f>증량기록!E29</f>
        <v>85</v>
      </c>
      <c r="D62" s="16">
        <f>증량기록!G29</f>
        <v>43</v>
      </c>
      <c r="E62" s="16">
        <f>증량기록!I29</f>
        <v>32</v>
      </c>
    </row>
    <row r="63" spans="1:5" ht="15" customHeight="1">
      <c r="A63" s="8" t="s">
        <v>123</v>
      </c>
      <c r="B63" s="16">
        <f>증량기록!C30</f>
        <v>82</v>
      </c>
      <c r="C63" s="16">
        <f>증량기록!E30</f>
        <v>87</v>
      </c>
      <c r="D63" s="16">
        <f>증량기록!G30</f>
        <v>45</v>
      </c>
      <c r="E63" s="16">
        <f>증량기록!I30</f>
        <v>33</v>
      </c>
    </row>
    <row r="64" spans="1:5" ht="15" customHeight="1">
      <c r="A64" s="8" t="s">
        <v>124</v>
      </c>
      <c r="B64" s="16">
        <f>증량기록!C31</f>
        <v>85</v>
      </c>
      <c r="C64" s="16">
        <f>증량기록!E31</f>
        <v>90</v>
      </c>
      <c r="D64" s="16">
        <f>증량기록!G31</f>
        <v>46</v>
      </c>
      <c r="E64" s="16">
        <f>증량기록!I31</f>
        <v>33</v>
      </c>
    </row>
    <row r="65" spans="1:5" ht="15" customHeight="1">
      <c r="A65" s="8" t="s">
        <v>125</v>
      </c>
      <c r="B65" s="16">
        <f>증량기록!C32</f>
        <v>87</v>
      </c>
      <c r="C65" s="16">
        <f>증량기록!E32</f>
        <v>92</v>
      </c>
      <c r="D65" s="16">
        <f>증량기록!G32</f>
        <v>47</v>
      </c>
      <c r="E65" s="16">
        <f>증량기록!I32</f>
        <v>35</v>
      </c>
    </row>
    <row r="66" spans="1:5" ht="15" customHeight="1">
      <c r="A66" s="8" t="s">
        <v>126</v>
      </c>
      <c r="B66" s="16">
        <f>증량기록!C33</f>
        <v>90</v>
      </c>
      <c r="C66" s="16">
        <f>증량기록!E33</f>
        <v>95</v>
      </c>
      <c r="D66" s="16">
        <f>증량기록!G33</f>
        <v>48</v>
      </c>
      <c r="E66" s="16">
        <f>증량기록!I33</f>
        <v>35</v>
      </c>
    </row>
    <row r="68" spans="1:5" ht="51.75" customHeight="1">
      <c r="A68" s="11" t="s">
        <v>127</v>
      </c>
    </row>
    <row r="70" spans="1:5">
      <c r="A70" t="s">
        <v>128</v>
      </c>
    </row>
    <row r="71" spans="1:5">
      <c r="A71" t="s">
        <v>129</v>
      </c>
      <c r="C71" s="100">
        <v>46228</v>
      </c>
      <c r="D71" t="s">
        <v>1246</v>
      </c>
    </row>
    <row r="72" spans="1:5">
      <c r="A72" t="s">
        <v>130</v>
      </c>
      <c r="C72" s="100">
        <v>46298</v>
      </c>
      <c r="D72" t="s">
        <v>1247</v>
      </c>
    </row>
    <row r="73" spans="1:5">
      <c r="A73" t="s">
        <v>131</v>
      </c>
      <c r="C73">
        <v>11</v>
      </c>
      <c r="D73" t="s">
        <v>132</v>
      </c>
    </row>
    <row r="74" spans="1:5">
      <c r="A74" t="s">
        <v>133</v>
      </c>
      <c r="C74">
        <v>1</v>
      </c>
      <c r="D74" t="s">
        <v>134</v>
      </c>
    </row>
    <row r="75" spans="1:5">
      <c r="A75" t="s">
        <v>1298</v>
      </c>
      <c r="C75" s="100">
        <v>46312</v>
      </c>
      <c r="D75" t="s">
        <v>1303</v>
      </c>
    </row>
    <row r="76" spans="1:5">
      <c r="A76" t="s">
        <v>1301</v>
      </c>
      <c r="C76" s="133">
        <v>7</v>
      </c>
      <c r="D76" t="s">
        <v>1302</v>
      </c>
    </row>
    <row r="77" spans="1:5">
      <c r="A77" t="s">
        <v>135</v>
      </c>
      <c r="C77" s="100">
        <v>46266</v>
      </c>
      <c r="D77" t="s">
        <v>136</v>
      </c>
    </row>
    <row r="78" spans="1:5">
      <c r="A78" t="s">
        <v>137</v>
      </c>
    </row>
    <row r="79" spans="1:5">
      <c r="A79" t="s">
        <v>138</v>
      </c>
    </row>
    <row r="80" spans="1:5">
      <c r="A80" t="s">
        <v>139</v>
      </c>
    </row>
    <row r="81" spans="1:1">
      <c r="A81" t="s">
        <v>1299</v>
      </c>
    </row>
    <row r="82" spans="1:1">
      <c r="A82" t="s">
        <v>140</v>
      </c>
    </row>
    <row r="83" spans="1:1">
      <c r="A83" t="s">
        <v>141</v>
      </c>
    </row>
    <row r="84" spans="1:1">
      <c r="A84" t="s">
        <v>1248</v>
      </c>
    </row>
    <row r="85" spans="1:1">
      <c r="A85" t="s">
        <v>1250</v>
      </c>
    </row>
    <row r="86" spans="1:1">
      <c r="A86" t="s">
        <v>1447</v>
      </c>
    </row>
    <row r="87" spans="1:1">
      <c r="A87" t="s">
        <v>1544</v>
      </c>
    </row>
    <row r="88" spans="1:1">
      <c r="A88" t="s">
        <v>1594</v>
      </c>
    </row>
    <row r="89" spans="1:1">
      <c r="A89" t="s">
        <v>1635</v>
      </c>
    </row>
    <row r="90" spans="1:1">
      <c r="A90" t="s">
        <v>1650</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142</v>
      </c>
    </row>
    <row r="2" spans="1:6" ht="15" customHeight="1">
      <c r="A2" s="18" t="s">
        <v>143</v>
      </c>
    </row>
    <row r="4" spans="1:6" ht="15" customHeight="1">
      <c r="A4" s="19" t="s">
        <v>144</v>
      </c>
      <c r="B4" s="19" t="s">
        <v>145</v>
      </c>
      <c r="C4" s="19" t="s">
        <v>146</v>
      </c>
      <c r="D4" s="19" t="s">
        <v>147</v>
      </c>
      <c r="E4" s="19" t="s">
        <v>148</v>
      </c>
      <c r="F4" s="19" t="s">
        <v>149</v>
      </c>
    </row>
    <row r="5" spans="1:6" ht="15" customHeight="1">
      <c r="A5" s="20">
        <v>1</v>
      </c>
      <c r="B5" s="21" t="s">
        <v>150</v>
      </c>
      <c r="C5" s="22" t="s">
        <v>27</v>
      </c>
      <c r="D5" s="21" t="s">
        <v>151</v>
      </c>
      <c r="E5" s="20">
        <f>INDEX(D1_당기기A!$E:$E,MATCH("세트 합계",D1_당기기A!$D:$D,0))</f>
        <v>32</v>
      </c>
      <c r="F5" s="20" t="str">
        <f>"약 "&amp;INDEX(D1_당기기A!$I:$I,MATCH("세트 합계",D1_당기기A!$D:$D,0))&amp;"분"</f>
        <v>약 76분</v>
      </c>
    </row>
    <row r="6" spans="1:6" ht="15" customHeight="1">
      <c r="A6" s="20">
        <v>2</v>
      </c>
      <c r="B6" s="21" t="s">
        <v>152</v>
      </c>
      <c r="C6" s="22" t="s">
        <v>153</v>
      </c>
      <c r="D6" s="21" t="s">
        <v>154</v>
      </c>
      <c r="E6" s="20">
        <f>INDEX(D2_밀기A!$E:$E,MATCH("세트 합계",D2_밀기A!$D:$D,0))</f>
        <v>28</v>
      </c>
      <c r="F6" s="20" t="str">
        <f>"약 "&amp;INDEX(D2_밀기A!$I:$I,MATCH("세트 합계",D2_밀기A!$D:$D,0))&amp;"분"</f>
        <v>약 71분</v>
      </c>
    </row>
    <row r="7" spans="1:6" ht="15" customHeight="1">
      <c r="A7" s="20">
        <v>3</v>
      </c>
      <c r="B7" s="21" t="s">
        <v>155</v>
      </c>
      <c r="C7" s="22" t="s">
        <v>156</v>
      </c>
      <c r="D7" s="21" t="s">
        <v>157</v>
      </c>
      <c r="E7" s="20">
        <f>INDEX(D3_하체A!$E:$E,MATCH("세트 합계",D3_하체A!$D:$D,0))</f>
        <v>26</v>
      </c>
      <c r="F7" s="20" t="str">
        <f>"약 "&amp;INDEX(D3_하체A!$I:$I,MATCH("세트 합계",D3_하체A!$D:$D,0))&amp;"분"</f>
        <v>약 71분</v>
      </c>
    </row>
    <row r="8" spans="1:6" ht="15" customHeight="1">
      <c r="A8" s="20">
        <v>4</v>
      </c>
      <c r="B8" s="21" t="s">
        <v>158</v>
      </c>
      <c r="C8" s="22" t="s">
        <v>27</v>
      </c>
      <c r="D8" s="21" t="s">
        <v>159</v>
      </c>
      <c r="E8" s="20">
        <f>INDEX(D4_어깨팔A!$E:$E,MATCH("세트 합계",D4_어깨팔A!$D:$D,0))</f>
        <v>36</v>
      </c>
      <c r="F8" s="20" t="str">
        <f>"약 "&amp;INDEX(D4_어깨팔A!$I:$I,MATCH("세트 합계",D4_어깨팔A!$D:$D,0))&amp;"분"</f>
        <v>약 73분</v>
      </c>
    </row>
    <row r="9" spans="1:6" ht="15" customHeight="1">
      <c r="A9" s="23">
        <v>5</v>
      </c>
      <c r="B9" s="24" t="s">
        <v>160</v>
      </c>
      <c r="C9" s="25" t="s">
        <v>27</v>
      </c>
      <c r="D9" s="24" t="s">
        <v>27</v>
      </c>
      <c r="E9" s="23">
        <v>0</v>
      </c>
      <c r="F9" s="20" t="s">
        <v>27</v>
      </c>
    </row>
    <row r="10" spans="1:6" ht="15" customHeight="1">
      <c r="A10" s="20">
        <v>6</v>
      </c>
      <c r="B10" s="21" t="s">
        <v>161</v>
      </c>
      <c r="C10" s="22" t="s">
        <v>27</v>
      </c>
      <c r="D10" s="21" t="s">
        <v>162</v>
      </c>
      <c r="E10" s="20">
        <f>INDEX(D6_당기기B!$E:$E,MATCH("세트 합계",D6_당기기B!$D:$D,0))</f>
        <v>28</v>
      </c>
      <c r="F10" s="20" t="str">
        <f>"약 "&amp;INDEX(D6_당기기B!$I:$I,MATCH("세트 합계",D6_당기기B!$D:$D,0))&amp;"분"</f>
        <v>약 70분</v>
      </c>
    </row>
    <row r="11" spans="1:6" ht="15" customHeight="1">
      <c r="A11" s="20">
        <v>7</v>
      </c>
      <c r="B11" s="21" t="s">
        <v>163</v>
      </c>
      <c r="C11" s="22" t="s">
        <v>164</v>
      </c>
      <c r="D11" s="21" t="s">
        <v>165</v>
      </c>
      <c r="E11" s="20">
        <f>INDEX(D7_밀기B!$E:$E,MATCH("세트 합계",D7_밀기B!$D:$D,0))</f>
        <v>30</v>
      </c>
      <c r="F11" s="20" t="str">
        <f>"약 "&amp;INDEX(D7_밀기B!$I:$I,MATCH("세트 합계",D7_밀기B!$D:$D,0))&amp;"분"</f>
        <v>약 73분</v>
      </c>
    </row>
    <row r="12" spans="1:6" ht="15" customHeight="1">
      <c r="A12" s="20">
        <v>8</v>
      </c>
      <c r="B12" s="21" t="s">
        <v>166</v>
      </c>
      <c r="C12" s="22" t="s">
        <v>167</v>
      </c>
      <c r="D12" s="21" t="s">
        <v>168</v>
      </c>
      <c r="E12" s="20">
        <f>INDEX(D8_하체B!$E:$E,MATCH("세트 합계",D8_하체B!$D:$D,0))</f>
        <v>24</v>
      </c>
      <c r="F12" s="20" t="str">
        <f>"약 "&amp;INDEX(D8_하체B!$I:$I,MATCH("세트 합계",D8_하체B!$D:$D,0))&amp;"분"</f>
        <v>약 74분</v>
      </c>
    </row>
    <row r="13" spans="1:6" ht="15" customHeight="1">
      <c r="A13" s="20">
        <v>9</v>
      </c>
      <c r="B13" s="21" t="s">
        <v>169</v>
      </c>
      <c r="C13" s="22" t="s">
        <v>27</v>
      </c>
      <c r="D13" s="21" t="s">
        <v>170</v>
      </c>
      <c r="E13" s="20">
        <f>INDEX(D9_어깨팔B!$E:$E,MATCH("세트 합계",D9_어깨팔B!$D:$D,0))</f>
        <v>36</v>
      </c>
      <c r="F13" s="20" t="str">
        <f>"약 "&amp;INDEX(D9_어깨팔B!$I:$I,MATCH("세트 합계",D9_어깨팔B!$D:$D,0))&amp;"분"</f>
        <v>약 70분</v>
      </c>
    </row>
    <row r="14" spans="1:6">
      <c r="A14" s="23">
        <v>10</v>
      </c>
      <c r="B14" s="24" t="s">
        <v>160</v>
      </c>
      <c r="C14" s="25" t="s">
        <v>27</v>
      </c>
      <c r="D14" s="24" t="s">
        <v>27</v>
      </c>
      <c r="E14" s="23">
        <v>0</v>
      </c>
      <c r="F14" s="20" t="s">
        <v>27</v>
      </c>
    </row>
    <row r="15" spans="1:6" ht="16.5" customHeight="1">
      <c r="A15" s="27" t="s">
        <v>171</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172</v>
      </c>
    </row>
    <row r="18" spans="1:1" ht="38.25" customHeight="1">
      <c r="A18" s="30" t="s">
        <v>173</v>
      </c>
    </row>
    <row r="19" spans="1:1" ht="114.75" customHeight="1">
      <c r="A19" s="30" t="s">
        <v>174</v>
      </c>
    </row>
    <row r="20" spans="1:1" ht="16.5" customHeight="1">
      <c r="A20" s="30" t="s">
        <v>175</v>
      </c>
    </row>
    <row r="21" spans="1:1" ht="16.5" customHeight="1">
      <c r="A21" s="30" t="s">
        <v>176</v>
      </c>
    </row>
    <row r="22" spans="1:1" ht="15" customHeight="1">
      <c r="A22" s="30" t="s">
        <v>177</v>
      </c>
    </row>
    <row r="23" spans="1:1" ht="15" customHeight="1">
      <c r="A23" s="30" t="s">
        <v>178</v>
      </c>
    </row>
    <row r="24" spans="1:1" ht="15" customHeight="1">
      <c r="A24" s="30" t="s">
        <v>179</v>
      </c>
    </row>
    <row r="25" spans="1:1" ht="15" customHeight="1">
      <c r="A25" s="31"/>
    </row>
    <row r="26" spans="1:1" ht="16.5" customHeight="1">
      <c r="A26" s="92" t="s">
        <v>180</v>
      </c>
    </row>
    <row r="27" spans="1:1" ht="15" customHeight="1">
      <c r="A27" t="s">
        <v>181</v>
      </c>
    </row>
    <row r="28" spans="1:1" ht="15" customHeight="1">
      <c r="A28" t="s">
        <v>182</v>
      </c>
    </row>
    <row r="29" spans="1:1" ht="79.5" customHeight="1">
      <c r="A29" t="s">
        <v>183</v>
      </c>
    </row>
    <row r="30" spans="1:1" ht="64.5" customHeight="1">
      <c r="A30" t="s">
        <v>184</v>
      </c>
    </row>
    <row r="31" spans="1:1" ht="90" customHeight="1">
      <c r="A31" t="s">
        <v>185</v>
      </c>
    </row>
    <row r="32" spans="1:1" ht="102.75" customHeight="1">
      <c r="A32" t="s">
        <v>186</v>
      </c>
    </row>
    <row r="33" spans="1:1" ht="100.5" customHeight="1">
      <c r="A33" t="s">
        <v>187</v>
      </c>
    </row>
    <row r="34" spans="1:1" ht="15" customHeight="1">
      <c r="A34" t="s">
        <v>188</v>
      </c>
    </row>
    <row r="35" spans="1:1" ht="90" customHeight="1">
      <c r="A35" t="s">
        <v>189</v>
      </c>
    </row>
    <row r="36" spans="1:1" ht="90" customHeight="1">
      <c r="A36" t="s">
        <v>190</v>
      </c>
    </row>
    <row r="37" spans="1:1" ht="90" customHeight="1">
      <c r="A37" t="s">
        <v>191</v>
      </c>
    </row>
    <row r="38" spans="1:1" ht="90" customHeight="1">
      <c r="A38" t="s">
        <v>192</v>
      </c>
    </row>
    <row r="39" spans="1:1" ht="90" customHeight="1">
      <c r="A39" t="s">
        <v>193</v>
      </c>
    </row>
    <row r="40" spans="1:1" ht="90" customHeight="1">
      <c r="A40" t="s">
        <v>194</v>
      </c>
    </row>
    <row r="41" spans="1:1" ht="51.75" customHeight="1">
      <c r="A41" s="13" t="s">
        <v>195</v>
      </c>
    </row>
    <row r="42" spans="1:1" ht="77.25" customHeight="1">
      <c r="A42" s="30" t="s">
        <v>196</v>
      </c>
    </row>
    <row r="43" spans="1:1" ht="64.5" customHeight="1">
      <c r="A43" s="30" t="s">
        <v>197</v>
      </c>
    </row>
    <row r="44" spans="1:1" ht="16.5" customHeight="1">
      <c r="A44" s="30" t="s">
        <v>198</v>
      </c>
    </row>
    <row r="45" spans="1:1" ht="16.5" customHeight="1">
      <c r="A45" s="30" t="s">
        <v>199</v>
      </c>
    </row>
    <row r="46" spans="1:1" ht="16.5" customHeight="1">
      <c r="A46" s="30" t="s">
        <v>200</v>
      </c>
    </row>
    <row r="47" spans="1:1" ht="242.25" customHeight="1">
      <c r="A47" s="30"/>
    </row>
    <row r="48" spans="1:1" ht="270.75" customHeight="1">
      <c r="A48" s="13" t="s">
        <v>201</v>
      </c>
    </row>
    <row r="49" spans="1:1" ht="242.25" customHeight="1">
      <c r="A49" s="30" t="s">
        <v>202</v>
      </c>
    </row>
    <row r="50" spans="1:1" ht="199.5" customHeight="1">
      <c r="A50" s="30" t="s">
        <v>203</v>
      </c>
    </row>
    <row r="51" spans="1:1" ht="185.25" customHeight="1">
      <c r="A51" s="30" t="s">
        <v>204</v>
      </c>
    </row>
    <row r="52" spans="1:1" ht="199.5" customHeight="1">
      <c r="A52" s="30" t="s">
        <v>205</v>
      </c>
    </row>
    <row r="53" spans="1:1" ht="185.25" customHeight="1">
      <c r="A53" s="30" t="s">
        <v>206</v>
      </c>
    </row>
    <row r="54" spans="1:1" ht="327.75" customHeight="1">
      <c r="A54" s="30" t="s">
        <v>207</v>
      </c>
    </row>
    <row r="55" spans="1:1" ht="256.5" customHeight="1">
      <c r="A55" s="32"/>
    </row>
    <row r="56" spans="1:1" ht="409.5" customHeight="1">
      <c r="A56" s="13" t="s">
        <v>208</v>
      </c>
    </row>
    <row r="57" spans="1:1" ht="370.5" customHeight="1">
      <c r="A57" s="30" t="s">
        <v>209</v>
      </c>
    </row>
    <row r="58" spans="1:1" ht="409.5" customHeight="1">
      <c r="A58" s="30" t="s">
        <v>210</v>
      </c>
    </row>
    <row r="59" spans="1:1" ht="370.5" customHeight="1">
      <c r="A59" s="30" t="s">
        <v>211</v>
      </c>
    </row>
    <row r="60" spans="1:1" ht="185.25" customHeight="1">
      <c r="A60" s="30" t="s">
        <v>212</v>
      </c>
    </row>
    <row r="61" spans="1:1" ht="60" customHeight="1">
      <c r="A61" s="31"/>
    </row>
    <row r="62" spans="1:1" ht="256.5" customHeight="1">
      <c r="A62" s="13" t="s">
        <v>213</v>
      </c>
    </row>
    <row r="63" spans="1:1" ht="327.75" customHeight="1">
      <c r="A63" s="30" t="s">
        <v>214</v>
      </c>
    </row>
    <row r="64" spans="1:1" ht="256.5" customHeight="1">
      <c r="A64" s="30" t="s">
        <v>215</v>
      </c>
    </row>
    <row r="65" spans="1:1" ht="409.5" customHeight="1">
      <c r="A65" s="30" t="s">
        <v>216</v>
      </c>
    </row>
    <row r="66" spans="1:1" ht="370.5" customHeight="1">
      <c r="A66" s="30" t="s">
        <v>217</v>
      </c>
    </row>
    <row r="67" spans="1:1" ht="285" customHeight="1">
      <c r="A67" s="30" t="s">
        <v>218</v>
      </c>
    </row>
    <row r="68" spans="1:1" ht="90" customHeight="1">
      <c r="A68" s="30" t="s">
        <v>219</v>
      </c>
    </row>
    <row r="69" spans="1:1" ht="313.5" customHeight="1">
      <c r="A69" s="13" t="s">
        <v>220</v>
      </c>
    </row>
    <row r="70" spans="1:1" ht="370.5" customHeight="1">
      <c r="A70" s="30" t="s">
        <v>221</v>
      </c>
    </row>
    <row r="71" spans="1:1" ht="285" customHeight="1">
      <c r="A71" s="30" t="s">
        <v>222</v>
      </c>
    </row>
    <row r="72" spans="1:1" ht="370.5" customHeight="1"/>
    <row r="73" spans="1:1" ht="256.5" customHeight="1">
      <c r="A73" s="13" t="s">
        <v>223</v>
      </c>
    </row>
    <row r="74" spans="1:1" ht="327.75" customHeight="1">
      <c r="A74" s="30" t="s">
        <v>224</v>
      </c>
    </row>
    <row r="75" spans="1:1" ht="327.75" customHeight="1">
      <c r="A75" s="30" t="s">
        <v>225</v>
      </c>
    </row>
    <row r="76" spans="1:1" ht="299.25" customHeight="1">
      <c r="A76" s="30" t="s">
        <v>226</v>
      </c>
    </row>
    <row r="77" spans="1:1" ht="327.75" customHeight="1">
      <c r="A77" s="30" t="s">
        <v>227</v>
      </c>
    </row>
    <row r="78" spans="1:1" ht="90" customHeight="1"/>
    <row r="79" spans="1:1" ht="75" customHeight="1">
      <c r="A79" s="13" t="s">
        <v>228</v>
      </c>
    </row>
    <row r="80" spans="1:1" ht="327.75" customHeight="1">
      <c r="A80" s="30" t="s">
        <v>229</v>
      </c>
    </row>
    <row r="81" spans="1:1" ht="356.25" customHeight="1">
      <c r="A81" s="30" t="s">
        <v>230</v>
      </c>
    </row>
    <row r="82" spans="1:1" ht="270.75" customHeight="1">
      <c r="A82" s="30" t="s">
        <v>231</v>
      </c>
    </row>
    <row r="83" spans="1:1" ht="313.5" customHeight="1">
      <c r="A83" s="30" t="s">
        <v>232</v>
      </c>
    </row>
    <row r="84" spans="1:1" ht="142.5" customHeight="1">
      <c r="A84" s="30" t="s">
        <v>233</v>
      </c>
    </row>
    <row r="85" spans="1:1" ht="242.25" customHeight="1">
      <c r="A85" s="30" t="s">
        <v>234</v>
      </c>
    </row>
    <row r="86" spans="1:1" ht="299.25" customHeight="1">
      <c r="A86" s="30" t="s">
        <v>235</v>
      </c>
    </row>
    <row r="87" spans="1:1" ht="327.75" customHeight="1">
      <c r="A87" s="30" t="s">
        <v>236</v>
      </c>
    </row>
    <row r="88" spans="1:1" ht="327.75" customHeight="1">
      <c r="A88" s="30" t="s">
        <v>237</v>
      </c>
    </row>
    <row r="89" spans="1:1" ht="75" customHeight="1"/>
    <row r="90" spans="1:1" ht="327.75" customHeight="1">
      <c r="A90" s="13" t="s">
        <v>238</v>
      </c>
    </row>
    <row r="91" spans="1:1" ht="356.25" customHeight="1">
      <c r="A91" s="30" t="s">
        <v>239</v>
      </c>
    </row>
    <row r="92" spans="1:1" ht="270.75" customHeight="1">
      <c r="A92" s="30" t="s">
        <v>240</v>
      </c>
    </row>
    <row r="93" spans="1:1" ht="313.5" customHeight="1">
      <c r="A93" s="30" t="s">
        <v>241</v>
      </c>
    </row>
    <row r="94" spans="1:1" ht="142.5" customHeight="1">
      <c r="A94" s="30" t="s">
        <v>242</v>
      </c>
    </row>
    <row r="95" spans="1:1" ht="242.25" customHeight="1">
      <c r="A95" s="30" t="s">
        <v>243</v>
      </c>
    </row>
    <row r="96" spans="1:1" ht="242.25" customHeight="1">
      <c r="A96" s="30" t="s">
        <v>244</v>
      </c>
    </row>
    <row r="98" spans="1:1">
      <c r="A98" s="99" t="s">
        <v>245</v>
      </c>
    </row>
    <row r="99" spans="1:1">
      <c r="A99" t="s">
        <v>246</v>
      </c>
    </row>
    <row r="100" spans="1:1">
      <c r="A100" t="s">
        <v>247</v>
      </c>
    </row>
    <row r="101" spans="1:1">
      <c r="A101" t="s">
        <v>248</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249</v>
      </c>
    </row>
    <row r="2" spans="1:15" ht="16.5" customHeight="1">
      <c r="A2" s="18" t="s">
        <v>250</v>
      </c>
    </row>
    <row r="3" spans="1:15">
      <c r="A3" s="33" t="s">
        <v>251</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21" t="s">
        <v>266</v>
      </c>
      <c r="C6" s="20" t="s">
        <v>267</v>
      </c>
      <c r="D6" s="20">
        <v>60</v>
      </c>
      <c r="E6" s="20">
        <v>4</v>
      </c>
      <c r="F6" s="26" t="s">
        <v>268</v>
      </c>
      <c r="G6" s="26">
        <v>35</v>
      </c>
      <c r="H6" s="26">
        <v>155</v>
      </c>
      <c r="I6" s="26">
        <f t="shared" ref="I6:I16" si="0">IF(E6=0,0,ROUND((E6*(G6+H6)+O6)/60,1))</f>
        <v>12.7</v>
      </c>
      <c r="J6" s="21" t="s">
        <v>269</v>
      </c>
      <c r="K6" s="21" t="s">
        <v>270</v>
      </c>
      <c r="L6" s="21" t="s">
        <v>271</v>
      </c>
      <c r="M6" s="26" t="s">
        <v>272</v>
      </c>
      <c r="O6" s="26"/>
    </row>
    <row r="7" spans="1:15" ht="16.5" customHeight="1">
      <c r="A7" s="20">
        <v>2</v>
      </c>
      <c r="B7" s="21" t="s">
        <v>273</v>
      </c>
      <c r="C7" s="20" t="s">
        <v>267</v>
      </c>
      <c r="D7" s="26">
        <v>40</v>
      </c>
      <c r="E7" s="20">
        <v>3</v>
      </c>
      <c r="F7" s="26" t="s">
        <v>274</v>
      </c>
      <c r="G7" s="26">
        <v>40</v>
      </c>
      <c r="H7" s="26">
        <v>120</v>
      </c>
      <c r="I7" s="26">
        <f t="shared" si="0"/>
        <v>8</v>
      </c>
      <c r="J7" s="21" t="s">
        <v>269</v>
      </c>
      <c r="K7" s="36" t="s">
        <v>275</v>
      </c>
      <c r="L7" s="21" t="s">
        <v>276</v>
      </c>
      <c r="O7" s="26"/>
    </row>
    <row r="8" spans="1:15" ht="16.5" customHeight="1">
      <c r="A8" s="20">
        <v>3</v>
      </c>
      <c r="B8" s="21" t="s">
        <v>277</v>
      </c>
      <c r="C8" s="20" t="s">
        <v>267</v>
      </c>
      <c r="D8" s="26">
        <v>20</v>
      </c>
      <c r="E8" s="20">
        <v>2</v>
      </c>
      <c r="F8" s="26" t="s">
        <v>278</v>
      </c>
      <c r="G8" s="26">
        <v>80</v>
      </c>
      <c r="H8" s="26">
        <v>120</v>
      </c>
      <c r="I8" s="26">
        <f t="shared" si="0"/>
        <v>8.6999999999999993</v>
      </c>
      <c r="J8" s="21" t="s">
        <v>269</v>
      </c>
      <c r="K8" s="36" t="s">
        <v>279</v>
      </c>
      <c r="L8" s="21" t="s">
        <v>280</v>
      </c>
      <c r="O8" s="26">
        <v>120</v>
      </c>
    </row>
    <row r="9" spans="1:15" ht="16.5" customHeight="1">
      <c r="A9" s="20">
        <v>4</v>
      </c>
      <c r="B9" s="36" t="s">
        <v>281</v>
      </c>
      <c r="C9" s="42" t="s">
        <v>282</v>
      </c>
      <c r="D9" s="20" t="s">
        <v>283</v>
      </c>
      <c r="E9" s="20">
        <v>4</v>
      </c>
      <c r="F9" s="26" t="s">
        <v>284</v>
      </c>
      <c r="G9" s="26">
        <v>40</v>
      </c>
      <c r="H9" s="26">
        <v>120</v>
      </c>
      <c r="I9" s="26">
        <f t="shared" si="0"/>
        <v>10.7</v>
      </c>
      <c r="J9" s="21" t="s">
        <v>285</v>
      </c>
      <c r="K9" s="21" t="s">
        <v>286</v>
      </c>
      <c r="L9" s="21" t="s">
        <v>287</v>
      </c>
      <c r="O9" s="26"/>
    </row>
    <row r="10" spans="1:15" ht="16.5" customHeight="1">
      <c r="A10" s="20">
        <v>5</v>
      </c>
      <c r="B10" s="36" t="s">
        <v>288</v>
      </c>
      <c r="C10" s="20" t="s">
        <v>282</v>
      </c>
      <c r="D10" s="20">
        <v>12.5</v>
      </c>
      <c r="E10" s="20">
        <v>3</v>
      </c>
      <c r="F10" s="26" t="s">
        <v>289</v>
      </c>
      <c r="G10" s="26">
        <v>45</v>
      </c>
      <c r="H10" s="26">
        <v>60</v>
      </c>
      <c r="I10" s="26">
        <f t="shared" si="0"/>
        <v>5.3</v>
      </c>
      <c r="J10" s="21" t="s">
        <v>290</v>
      </c>
      <c r="K10" s="21" t="s">
        <v>291</v>
      </c>
      <c r="L10" s="21" t="s">
        <v>292</v>
      </c>
      <c r="O10" s="26"/>
    </row>
    <row r="11" spans="1:15" ht="16.5" customHeight="1">
      <c r="A11" s="20">
        <v>6</v>
      </c>
      <c r="B11" s="21" t="s">
        <v>293</v>
      </c>
      <c r="C11" s="20" t="s">
        <v>269</v>
      </c>
      <c r="D11" s="26" t="s">
        <v>294</v>
      </c>
      <c r="E11" s="20">
        <v>0</v>
      </c>
      <c r="F11" s="26" t="s">
        <v>274</v>
      </c>
      <c r="G11" s="26">
        <v>40</v>
      </c>
      <c r="H11" s="26">
        <v>70</v>
      </c>
      <c r="I11" s="26">
        <f t="shared" si="0"/>
        <v>0</v>
      </c>
      <c r="J11" s="21" t="s">
        <v>295</v>
      </c>
      <c r="K11" s="21" t="s">
        <v>296</v>
      </c>
      <c r="L11" s="22" t="s">
        <v>297</v>
      </c>
      <c r="O11" s="26"/>
    </row>
    <row r="12" spans="1:15" ht="16.5" customHeight="1">
      <c r="A12" s="20">
        <v>7</v>
      </c>
      <c r="B12" s="70" t="s">
        <v>298</v>
      </c>
      <c r="C12" s="20" t="s">
        <v>299</v>
      </c>
      <c r="D12" s="20" t="s">
        <v>283</v>
      </c>
      <c r="E12" s="20">
        <v>4</v>
      </c>
      <c r="F12" s="26" t="s">
        <v>289</v>
      </c>
      <c r="G12" s="26">
        <v>40</v>
      </c>
      <c r="H12" s="26">
        <v>60</v>
      </c>
      <c r="I12" s="26">
        <f t="shared" si="0"/>
        <v>6.7</v>
      </c>
      <c r="J12" s="21"/>
      <c r="K12" s="21" t="s">
        <v>300</v>
      </c>
      <c r="L12" s="75" t="s">
        <v>301</v>
      </c>
      <c r="O12" s="26"/>
    </row>
    <row r="13" spans="1:15" ht="16.5" customHeight="1">
      <c r="A13" s="20">
        <v>8</v>
      </c>
      <c r="B13" s="70" t="s">
        <v>302</v>
      </c>
      <c r="C13" s="20" t="s">
        <v>299</v>
      </c>
      <c r="D13" s="20" t="s">
        <v>303</v>
      </c>
      <c r="E13" s="20">
        <v>3</v>
      </c>
      <c r="F13" s="26" t="s">
        <v>304</v>
      </c>
      <c r="G13" s="26">
        <v>70</v>
      </c>
      <c r="H13" s="26">
        <v>60</v>
      </c>
      <c r="I13" s="26">
        <f t="shared" si="0"/>
        <v>6.5</v>
      </c>
      <c r="J13" s="21"/>
      <c r="K13" s="21" t="s">
        <v>305</v>
      </c>
      <c r="L13" s="75" t="s">
        <v>306</v>
      </c>
      <c r="O13" s="26"/>
    </row>
    <row r="14" spans="1:15" ht="15" customHeight="1">
      <c r="A14" s="20">
        <v>9</v>
      </c>
      <c r="B14" s="70" t="s">
        <v>307</v>
      </c>
      <c r="C14" s="20" t="s">
        <v>308</v>
      </c>
      <c r="D14" s="20" t="s">
        <v>309</v>
      </c>
      <c r="E14" s="20">
        <v>3</v>
      </c>
      <c r="F14" s="26" t="s">
        <v>289</v>
      </c>
      <c r="G14" s="26">
        <v>40</v>
      </c>
      <c r="H14" s="26">
        <v>75</v>
      </c>
      <c r="I14" s="26">
        <f t="shared" si="0"/>
        <v>5.8</v>
      </c>
      <c r="J14" s="21"/>
      <c r="K14" s="21" t="s">
        <v>310</v>
      </c>
      <c r="L14" s="75" t="s">
        <v>311</v>
      </c>
      <c r="O14" s="26"/>
    </row>
    <row r="15" spans="1:15" ht="15" customHeight="1">
      <c r="A15" s="20">
        <v>10</v>
      </c>
      <c r="B15" s="21" t="s">
        <v>312</v>
      </c>
      <c r="C15" s="20" t="s">
        <v>313</v>
      </c>
      <c r="D15" s="20">
        <v>20</v>
      </c>
      <c r="E15" s="20">
        <v>3</v>
      </c>
      <c r="F15" s="26" t="s">
        <v>314</v>
      </c>
      <c r="G15" s="26">
        <v>45</v>
      </c>
      <c r="H15" s="26">
        <v>90</v>
      </c>
      <c r="I15" s="26">
        <f t="shared" si="0"/>
        <v>6.8</v>
      </c>
      <c r="J15" s="21" t="s">
        <v>315</v>
      </c>
      <c r="K15" s="36" t="s">
        <v>316</v>
      </c>
      <c r="L15" s="36" t="s">
        <v>317</v>
      </c>
      <c r="O15" s="26"/>
    </row>
    <row r="16" spans="1:15" ht="15" customHeight="1">
      <c r="A16" s="20">
        <v>11</v>
      </c>
      <c r="B16" s="21" t="s">
        <v>318</v>
      </c>
      <c r="C16" s="20" t="s">
        <v>313</v>
      </c>
      <c r="D16" s="20" t="s">
        <v>283</v>
      </c>
      <c r="E16" s="20">
        <v>3</v>
      </c>
      <c r="F16" s="26" t="s">
        <v>289</v>
      </c>
      <c r="G16" s="26">
        <v>40</v>
      </c>
      <c r="H16" s="26">
        <v>60</v>
      </c>
      <c r="I16" s="26">
        <f t="shared" si="0"/>
        <v>5</v>
      </c>
      <c r="J16" s="21"/>
      <c r="K16" s="36" t="s">
        <v>319</v>
      </c>
      <c r="L16" s="36" t="s">
        <v>320</v>
      </c>
      <c r="O16" s="26"/>
    </row>
    <row r="17" spans="1:12" ht="15" customHeight="1">
      <c r="A17" s="20"/>
      <c r="B17" s="21"/>
      <c r="C17" s="20"/>
      <c r="D17" s="20" t="s">
        <v>321</v>
      </c>
      <c r="E17" s="20">
        <f>SUM(E6:E16)</f>
        <v>32</v>
      </c>
      <c r="F17" s="26"/>
      <c r="G17" s="26"/>
      <c r="H17" s="26"/>
      <c r="I17" s="26">
        <f>ROUND(SUM(I6:I16),0)</f>
        <v>76</v>
      </c>
      <c r="J17" s="21"/>
      <c r="K17" s="36"/>
      <c r="L17" s="36"/>
    </row>
    <row r="18" spans="1:12" ht="15" customHeight="1"/>
    <row r="19" spans="1:12">
      <c r="A19" t="s">
        <v>322</v>
      </c>
    </row>
    <row r="20" spans="1:12">
      <c r="A20" t="s">
        <v>323</v>
      </c>
    </row>
    <row r="22" spans="1:12">
      <c r="A22" s="99" t="s">
        <v>245</v>
      </c>
    </row>
    <row r="23" spans="1:12">
      <c r="A23" t="s">
        <v>324</v>
      </c>
    </row>
    <row r="24" spans="1:12">
      <c r="A24" t="s">
        <v>325</v>
      </c>
    </row>
    <row r="26" spans="1:12">
      <c r="B26" s="36"/>
    </row>
    <row r="34" spans="10:10">
      <c r="J34" t="s">
        <v>326</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327</v>
      </c>
    </row>
    <row r="2" spans="1:3" ht="16.5" customHeight="1">
      <c r="A2" s="18" t="s">
        <v>328</v>
      </c>
    </row>
    <row r="4" spans="1:3" ht="16.5" customHeight="1">
      <c r="A4" s="3" t="s">
        <v>329</v>
      </c>
    </row>
    <row r="5" spans="1:3" ht="16.5" customHeight="1">
      <c r="A5" s="19" t="s">
        <v>255</v>
      </c>
      <c r="B5" s="19" t="s">
        <v>330</v>
      </c>
      <c r="C5" s="19" t="s">
        <v>148</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25</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31</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37</v>
      </c>
      <c r="B9" s="20">
        <v>2</v>
      </c>
      <c r="C9" s="20">
        <v>1</v>
      </c>
    </row>
    <row r="10" spans="1:3" ht="15" customHeight="1">
      <c r="A10" s="37">
        <f>시작중량_설정!$E$9</f>
        <v>41</v>
      </c>
      <c r="B10" s="27">
        <v>5</v>
      </c>
      <c r="C10" s="27">
        <v>5</v>
      </c>
    </row>
    <row r="11" spans="1:3" ht="16.5" customHeight="1">
      <c r="A11" s="31" t="s">
        <v>331</v>
      </c>
    </row>
    <row r="13" spans="1:3" ht="16.5" customHeight="1">
      <c r="A13" s="3" t="s">
        <v>332</v>
      </c>
    </row>
    <row r="14" spans="1:3" ht="16.5" customHeight="1">
      <c r="A14" s="31" t="s">
        <v>333</v>
      </c>
    </row>
    <row r="15" spans="1:3" ht="16.5" customHeight="1">
      <c r="A15" s="31" t="s">
        <v>334</v>
      </c>
    </row>
    <row r="16" spans="1:3" ht="16.5" customHeight="1">
      <c r="A16" s="31" t="s">
        <v>335</v>
      </c>
    </row>
    <row r="18" spans="1:15" ht="15" customHeight="1">
      <c r="A18" s="3" t="s">
        <v>252</v>
      </c>
    </row>
    <row r="19" spans="1:15" ht="16.5" customHeight="1">
      <c r="A19" s="34" t="s">
        <v>253</v>
      </c>
      <c r="B19" s="35" t="s">
        <v>76</v>
      </c>
      <c r="C19" s="35" t="s">
        <v>254</v>
      </c>
      <c r="D19" s="35" t="s">
        <v>255</v>
      </c>
      <c r="E19" s="35" t="s">
        <v>148</v>
      </c>
      <c r="F19" s="35" t="s">
        <v>256</v>
      </c>
      <c r="G19" s="35" t="s">
        <v>257</v>
      </c>
      <c r="H19" s="35" t="s">
        <v>258</v>
      </c>
      <c r="I19" s="35" t="s">
        <v>259</v>
      </c>
      <c r="J19" s="35" t="s">
        <v>260</v>
      </c>
      <c r="K19" s="35" t="s">
        <v>261</v>
      </c>
      <c r="L19" s="35" t="s">
        <v>262</v>
      </c>
      <c r="M19" s="35" t="s">
        <v>263</v>
      </c>
      <c r="N19" s="35" t="s">
        <v>264</v>
      </c>
      <c r="O19" s="35" t="s">
        <v>265</v>
      </c>
    </row>
    <row r="20" spans="1:15" ht="16.5" customHeight="1">
      <c r="A20" s="38">
        <v>1</v>
      </c>
      <c r="B20" s="39" t="s">
        <v>336</v>
      </c>
      <c r="C20" s="40" t="s">
        <v>337</v>
      </c>
      <c r="D20" s="41">
        <f>시작중량_설정!$E$9</f>
        <v>41</v>
      </c>
      <c r="E20" s="40">
        <v>5</v>
      </c>
      <c r="F20" s="38" t="s">
        <v>338</v>
      </c>
      <c r="G20" s="38">
        <v>30</v>
      </c>
      <c r="H20" s="38">
        <v>180</v>
      </c>
      <c r="I20" s="38">
        <f t="shared" ref="I20:I25" si="0">IF(E20=0,0,ROUND((E20*(G20+H20)+O20)/60,1))</f>
        <v>17.5</v>
      </c>
      <c r="J20" s="39" t="s">
        <v>339</v>
      </c>
      <c r="K20" s="39" t="s">
        <v>340</v>
      </c>
      <c r="L20" s="39" t="s">
        <v>341</v>
      </c>
      <c r="M20" s="38" t="s">
        <v>342</v>
      </c>
      <c r="O20" s="38"/>
    </row>
    <row r="21" spans="1:15" ht="16.5" customHeight="1">
      <c r="A21" s="20">
        <v>2</v>
      </c>
      <c r="B21" s="21" t="s">
        <v>343</v>
      </c>
      <c r="C21" s="20" t="s">
        <v>337</v>
      </c>
      <c r="D21" s="42" t="s">
        <v>344</v>
      </c>
      <c r="E21" s="20">
        <v>4</v>
      </c>
      <c r="F21" s="26" t="s">
        <v>284</v>
      </c>
      <c r="G21" s="26">
        <v>40</v>
      </c>
      <c r="H21" s="26">
        <v>155</v>
      </c>
      <c r="I21" s="26">
        <f t="shared" si="0"/>
        <v>13</v>
      </c>
      <c r="J21" s="21" t="s">
        <v>345</v>
      </c>
      <c r="K21" s="21" t="s">
        <v>346</v>
      </c>
      <c r="L21" s="36" t="s">
        <v>347</v>
      </c>
      <c r="M21" s="26" t="s">
        <v>272</v>
      </c>
      <c r="O21" s="26"/>
    </row>
    <row r="22" spans="1:15" ht="16.5" customHeight="1">
      <c r="A22" s="20">
        <v>3</v>
      </c>
      <c r="B22" s="36" t="s">
        <v>348</v>
      </c>
      <c r="C22" s="20" t="s">
        <v>349</v>
      </c>
      <c r="D22" s="26">
        <v>8</v>
      </c>
      <c r="E22" s="20">
        <v>4</v>
      </c>
      <c r="F22" s="26" t="s">
        <v>350</v>
      </c>
      <c r="G22" s="26">
        <v>40</v>
      </c>
      <c r="H22" s="26">
        <v>105</v>
      </c>
      <c r="I22" s="26">
        <f t="shared" si="0"/>
        <v>9.6999999999999993</v>
      </c>
      <c r="J22" s="21"/>
      <c r="K22" s="21" t="s">
        <v>351</v>
      </c>
      <c r="L22" s="21" t="s">
        <v>352</v>
      </c>
      <c r="O22" s="26"/>
    </row>
    <row r="23" spans="1:15" ht="16.5" customHeight="1">
      <c r="A23" s="20">
        <v>4</v>
      </c>
      <c r="B23" s="21" t="s">
        <v>353</v>
      </c>
      <c r="C23" s="20" t="s">
        <v>354</v>
      </c>
      <c r="D23" s="26">
        <v>6</v>
      </c>
      <c r="E23" s="20">
        <v>6</v>
      </c>
      <c r="F23" s="26" t="s">
        <v>289</v>
      </c>
      <c r="G23" s="26">
        <v>40</v>
      </c>
      <c r="H23" s="26">
        <v>70</v>
      </c>
      <c r="I23" s="26">
        <f t="shared" si="0"/>
        <v>12</v>
      </c>
      <c r="J23" s="21"/>
      <c r="K23" s="21" t="s">
        <v>355</v>
      </c>
      <c r="L23" s="21" t="s">
        <v>356</v>
      </c>
      <c r="O23" s="26">
        <v>60</v>
      </c>
    </row>
    <row r="24" spans="1:15" ht="16.5" customHeight="1">
      <c r="A24" s="20">
        <v>5</v>
      </c>
      <c r="B24" s="21" t="s">
        <v>357</v>
      </c>
      <c r="C24" s="43" t="s">
        <v>358</v>
      </c>
      <c r="D24" s="26">
        <v>20</v>
      </c>
      <c r="E24" s="20">
        <v>5</v>
      </c>
      <c r="F24" s="26" t="s">
        <v>289</v>
      </c>
      <c r="G24" s="26">
        <v>40</v>
      </c>
      <c r="H24" s="26">
        <v>70</v>
      </c>
      <c r="I24" s="26">
        <f t="shared" si="0"/>
        <v>10.199999999999999</v>
      </c>
      <c r="J24" s="21"/>
      <c r="K24" s="21" t="s">
        <v>359</v>
      </c>
      <c r="L24" s="75" t="s">
        <v>360</v>
      </c>
      <c r="O24" s="26">
        <v>60</v>
      </c>
    </row>
    <row r="25" spans="1:15" ht="16.5" customHeight="1">
      <c r="A25" s="20">
        <v>6</v>
      </c>
      <c r="B25" s="21" t="s">
        <v>361</v>
      </c>
      <c r="C25" s="20" t="s">
        <v>345</v>
      </c>
      <c r="D25" s="26">
        <v>20</v>
      </c>
      <c r="E25" s="20">
        <v>4</v>
      </c>
      <c r="F25" s="26" t="s">
        <v>303</v>
      </c>
      <c r="G25" s="26">
        <v>40</v>
      </c>
      <c r="H25" s="26">
        <v>70</v>
      </c>
      <c r="I25" s="26">
        <f t="shared" si="0"/>
        <v>8.3000000000000007</v>
      </c>
      <c r="J25" s="21"/>
      <c r="K25" s="21" t="s">
        <v>362</v>
      </c>
      <c r="L25" s="21" t="s">
        <v>363</v>
      </c>
      <c r="O25" s="26">
        <v>60</v>
      </c>
    </row>
    <row r="26" spans="1:15" ht="16.5" customHeight="1">
      <c r="D26" s="3" t="s">
        <v>321</v>
      </c>
      <c r="E26" s="27">
        <f>SUM(E20:E25)</f>
        <v>28</v>
      </c>
      <c r="I26">
        <f>ROUND(SUM(I20:I25),0)</f>
        <v>71</v>
      </c>
    </row>
    <row r="27" spans="1:15" ht="16.5" customHeight="1">
      <c r="A27" s="99" t="s">
        <v>245</v>
      </c>
    </row>
    <row r="28" spans="1:15">
      <c r="A28" t="s">
        <v>364</v>
      </c>
    </row>
    <row r="29" spans="1:15">
      <c r="A29" t="s">
        <v>325</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365</v>
      </c>
    </row>
    <row r="2" spans="1:15" ht="16.5" customHeight="1">
      <c r="A2" s="18" t="s">
        <v>366</v>
      </c>
    </row>
    <row r="4" spans="1:15" ht="16.5" customHeight="1">
      <c r="A4" s="3" t="s">
        <v>367</v>
      </c>
    </row>
    <row r="5" spans="1:15" ht="16.5" customHeight="1">
      <c r="A5" s="19" t="s">
        <v>255</v>
      </c>
      <c r="B5" s="19" t="s">
        <v>330</v>
      </c>
      <c r="C5" s="19" t="s">
        <v>148</v>
      </c>
    </row>
    <row r="6" spans="1:15" ht="15" customHeight="1">
      <c r="A6" s="20">
        <f>MAX(20,(MROUND(시작중량_설정!$E$7*0.4,1)+(MOD(MROUND(시작중량_설정!$E$7*0.4,1),5)=4)))</f>
        <v>30</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45</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56</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68</v>
      </c>
      <c r="B9" s="20">
        <v>2</v>
      </c>
      <c r="C9" s="20">
        <v>1</v>
      </c>
    </row>
    <row r="10" spans="1:15" ht="15" customHeight="1">
      <c r="A10" s="37">
        <f>시작중량_설정!$E$7</f>
        <v>75</v>
      </c>
      <c r="B10" s="27">
        <v>5</v>
      </c>
      <c r="C10" s="27">
        <v>5</v>
      </c>
    </row>
    <row r="11" spans="1:15" ht="16.5" customHeight="1">
      <c r="A11" s="31" t="s">
        <v>331</v>
      </c>
    </row>
    <row r="13" spans="1:15" ht="15" customHeight="1">
      <c r="A13" s="3" t="s">
        <v>252</v>
      </c>
    </row>
    <row r="14" spans="1:15" ht="16.5" customHeight="1">
      <c r="A14" s="34" t="s">
        <v>253</v>
      </c>
      <c r="B14" s="35" t="s">
        <v>76</v>
      </c>
      <c r="C14" s="35" t="s">
        <v>254</v>
      </c>
      <c r="D14" s="35" t="s">
        <v>255</v>
      </c>
      <c r="E14" s="35" t="s">
        <v>148</v>
      </c>
      <c r="F14" s="35" t="s">
        <v>256</v>
      </c>
      <c r="G14" s="35" t="s">
        <v>257</v>
      </c>
      <c r="H14" s="35" t="s">
        <v>258</v>
      </c>
      <c r="I14" s="35" t="s">
        <v>259</v>
      </c>
      <c r="J14" s="35" t="s">
        <v>260</v>
      </c>
      <c r="K14" s="35" t="s">
        <v>261</v>
      </c>
      <c r="L14" s="35" t="s">
        <v>262</v>
      </c>
      <c r="M14" s="35" t="s">
        <v>263</v>
      </c>
      <c r="N14" s="35" t="s">
        <v>264</v>
      </c>
      <c r="O14" s="35" t="s">
        <v>265</v>
      </c>
    </row>
    <row r="15" spans="1:15" ht="16.5" customHeight="1">
      <c r="A15" s="40">
        <v>1</v>
      </c>
      <c r="B15" s="39" t="s">
        <v>368</v>
      </c>
      <c r="C15" s="40" t="s">
        <v>369</v>
      </c>
      <c r="D15" s="41">
        <f>시작중량_설정!$E$7</f>
        <v>75</v>
      </c>
      <c r="E15" s="40">
        <v>5</v>
      </c>
      <c r="F15" s="38" t="s">
        <v>338</v>
      </c>
      <c r="G15" s="38">
        <v>35</v>
      </c>
      <c r="H15" s="38">
        <v>193</v>
      </c>
      <c r="I15" s="38">
        <f t="shared" ref="I15:I21" si="0">IF(E15=0,0,ROUND((E15*(G15+H15)+O15)/60,1))</f>
        <v>19</v>
      </c>
      <c r="J15" s="39" t="s">
        <v>370</v>
      </c>
      <c r="K15" s="39" t="s">
        <v>371</v>
      </c>
      <c r="L15" s="39" t="s">
        <v>372</v>
      </c>
      <c r="M15" s="38" t="s">
        <v>373</v>
      </c>
      <c r="O15" s="38"/>
    </row>
    <row r="16" spans="1:15" ht="16.5" customHeight="1">
      <c r="A16" s="20">
        <v>2</v>
      </c>
      <c r="B16" s="21" t="s">
        <v>374</v>
      </c>
      <c r="C16" s="20" t="s">
        <v>369</v>
      </c>
      <c r="D16" s="26">
        <v>120</v>
      </c>
      <c r="E16" s="20">
        <v>3</v>
      </c>
      <c r="F16" s="26" t="s">
        <v>274</v>
      </c>
      <c r="G16" s="26">
        <v>45</v>
      </c>
      <c r="H16" s="26">
        <v>150</v>
      </c>
      <c r="I16" s="26">
        <f t="shared" si="0"/>
        <v>9.8000000000000007</v>
      </c>
      <c r="J16" s="21" t="s">
        <v>375</v>
      </c>
      <c r="K16" s="21" t="s">
        <v>376</v>
      </c>
      <c r="L16" s="21" t="s">
        <v>377</v>
      </c>
      <c r="O16" s="26"/>
    </row>
    <row r="17" spans="1:15" ht="16.5" customHeight="1">
      <c r="A17" s="20">
        <v>3</v>
      </c>
      <c r="B17" s="21" t="s">
        <v>378</v>
      </c>
      <c r="C17" s="20" t="s">
        <v>375</v>
      </c>
      <c r="D17" s="20" t="s">
        <v>283</v>
      </c>
      <c r="E17" s="20">
        <v>3</v>
      </c>
      <c r="F17" s="26" t="s">
        <v>379</v>
      </c>
      <c r="G17" s="26">
        <v>90</v>
      </c>
      <c r="H17" s="26">
        <v>150</v>
      </c>
      <c r="I17" s="26">
        <f t="shared" si="0"/>
        <v>12</v>
      </c>
      <c r="J17" s="21" t="s">
        <v>380</v>
      </c>
      <c r="K17" s="21" t="s">
        <v>381</v>
      </c>
      <c r="L17" s="21" t="s">
        <v>382</v>
      </c>
      <c r="O17" s="26"/>
    </row>
    <row r="18" spans="1:15" ht="16.5" customHeight="1">
      <c r="A18" s="20">
        <v>4</v>
      </c>
      <c r="B18" s="21" t="s">
        <v>383</v>
      </c>
      <c r="C18" s="20" t="s">
        <v>384</v>
      </c>
      <c r="D18" s="26">
        <v>40</v>
      </c>
      <c r="E18" s="20">
        <v>4</v>
      </c>
      <c r="F18" s="26" t="s">
        <v>350</v>
      </c>
      <c r="G18" s="26">
        <v>40</v>
      </c>
      <c r="H18" s="26">
        <v>120</v>
      </c>
      <c r="I18" s="26">
        <f t="shared" si="0"/>
        <v>11.9</v>
      </c>
      <c r="J18" s="21"/>
      <c r="K18" s="21" t="s">
        <v>385</v>
      </c>
      <c r="L18" s="21" t="s">
        <v>386</v>
      </c>
      <c r="O18" s="26">
        <v>75</v>
      </c>
    </row>
    <row r="19" spans="1:15" ht="16.5" customHeight="1">
      <c r="A19" s="20">
        <v>5</v>
      </c>
      <c r="B19" s="21" t="s">
        <v>387</v>
      </c>
      <c r="C19" s="20" t="s">
        <v>388</v>
      </c>
      <c r="D19" s="26">
        <v>35</v>
      </c>
      <c r="E19" s="20">
        <v>4</v>
      </c>
      <c r="F19" s="26" t="s">
        <v>289</v>
      </c>
      <c r="G19" s="26">
        <v>40</v>
      </c>
      <c r="H19" s="26">
        <v>10</v>
      </c>
      <c r="I19" s="26">
        <f t="shared" si="0"/>
        <v>3.3</v>
      </c>
      <c r="J19" s="21"/>
      <c r="K19" s="21" t="s">
        <v>389</v>
      </c>
      <c r="L19" s="21" t="s">
        <v>390</v>
      </c>
      <c r="N19" t="s">
        <v>391</v>
      </c>
      <c r="O19" s="26"/>
    </row>
    <row r="20" spans="1:15" ht="16.5" customHeight="1">
      <c r="A20" s="20">
        <v>6</v>
      </c>
      <c r="B20" s="21" t="s">
        <v>392</v>
      </c>
      <c r="C20" s="20" t="s">
        <v>393</v>
      </c>
      <c r="D20" s="26" t="s">
        <v>294</v>
      </c>
      <c r="E20" s="20">
        <v>4</v>
      </c>
      <c r="F20" s="26" t="s">
        <v>289</v>
      </c>
      <c r="G20" s="26">
        <v>40</v>
      </c>
      <c r="H20" s="26">
        <v>105</v>
      </c>
      <c r="I20" s="26">
        <f t="shared" si="0"/>
        <v>9.6999999999999993</v>
      </c>
      <c r="J20" s="21"/>
      <c r="K20" s="21" t="s">
        <v>394</v>
      </c>
      <c r="L20" s="21" t="s">
        <v>395</v>
      </c>
      <c r="N20" t="s">
        <v>391</v>
      </c>
      <c r="O20" s="26"/>
    </row>
    <row r="21" spans="1:15" ht="16.5" customHeight="1">
      <c r="A21" s="20">
        <v>7</v>
      </c>
      <c r="B21" s="70" t="s">
        <v>396</v>
      </c>
      <c r="C21" s="20" t="s">
        <v>299</v>
      </c>
      <c r="D21" s="71" t="s">
        <v>283</v>
      </c>
      <c r="E21" s="20">
        <v>3</v>
      </c>
      <c r="F21" s="26">
        <v>10</v>
      </c>
      <c r="G21" s="26">
        <v>40</v>
      </c>
      <c r="H21" s="26">
        <v>60</v>
      </c>
      <c r="I21" s="26">
        <f t="shared" si="0"/>
        <v>5</v>
      </c>
      <c r="J21" s="21"/>
      <c r="K21" s="21" t="s">
        <v>397</v>
      </c>
      <c r="L21" s="21" t="s">
        <v>398</v>
      </c>
      <c r="O21" s="26"/>
    </row>
    <row r="22" spans="1:15" ht="15" customHeight="1">
      <c r="D22" s="3" t="s">
        <v>321</v>
      </c>
      <c r="E22" s="27">
        <f>SUM(E15:E21)</f>
        <v>26</v>
      </c>
      <c r="I22">
        <f>ROUND(SUM(I15:I21),0)</f>
        <v>71</v>
      </c>
    </row>
    <row r="23" spans="1:15" ht="15" customHeight="1">
      <c r="A23" s="99" t="s">
        <v>245</v>
      </c>
    </row>
    <row r="24" spans="1:15">
      <c r="A24" t="s">
        <v>399</v>
      </c>
    </row>
    <row r="25" spans="1:15">
      <c r="A25" t="s">
        <v>325</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400</v>
      </c>
    </row>
    <row r="2" spans="1:15" ht="16.5" customHeight="1">
      <c r="A2" s="18" t="s">
        <v>401</v>
      </c>
    </row>
    <row r="3" spans="1:15" ht="30" customHeight="1">
      <c r="A3" s="33" t="s">
        <v>402</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70" t="s">
        <v>403</v>
      </c>
      <c r="C6" s="20" t="s">
        <v>354</v>
      </c>
      <c r="D6" s="20">
        <v>10</v>
      </c>
      <c r="E6" s="20">
        <v>3</v>
      </c>
      <c r="F6" s="26" t="s">
        <v>289</v>
      </c>
      <c r="G6" s="26">
        <v>40</v>
      </c>
      <c r="H6" s="26">
        <v>70</v>
      </c>
      <c r="I6" s="26">
        <f t="shared" ref="I6:I16" si="0">IF(E6=0,0,ROUND((E6*(G6+H6)+O6)/60,1))</f>
        <v>6.5</v>
      </c>
      <c r="J6" s="21"/>
      <c r="K6" s="21" t="s">
        <v>404</v>
      </c>
      <c r="L6" s="21" t="s">
        <v>405</v>
      </c>
      <c r="O6" s="26">
        <v>60</v>
      </c>
    </row>
    <row r="7" spans="1:15" ht="16.5" customHeight="1">
      <c r="A7" s="20">
        <v>2</v>
      </c>
      <c r="B7" s="70" t="s">
        <v>406</v>
      </c>
      <c r="C7" s="20" t="s">
        <v>354</v>
      </c>
      <c r="D7" s="20">
        <v>15</v>
      </c>
      <c r="E7" s="20">
        <v>3</v>
      </c>
      <c r="F7" s="26" t="s">
        <v>289</v>
      </c>
      <c r="G7" s="26">
        <v>40</v>
      </c>
      <c r="H7" s="26">
        <v>75</v>
      </c>
      <c r="I7" s="26">
        <f t="shared" si="0"/>
        <v>5.8</v>
      </c>
      <c r="J7" s="21" t="s">
        <v>407</v>
      </c>
      <c r="K7" s="21" t="s">
        <v>408</v>
      </c>
      <c r="L7" s="21" t="s">
        <v>409</v>
      </c>
      <c r="O7" s="26"/>
    </row>
    <row r="8" spans="1:15" ht="16.5" customHeight="1">
      <c r="A8" s="20">
        <v>3</v>
      </c>
      <c r="B8" s="70" t="s">
        <v>410</v>
      </c>
      <c r="C8" s="20" t="s">
        <v>358</v>
      </c>
      <c r="D8" s="20" t="s">
        <v>289</v>
      </c>
      <c r="E8" s="20">
        <v>3</v>
      </c>
      <c r="F8" s="26" t="s">
        <v>289</v>
      </c>
      <c r="G8" s="26">
        <v>40</v>
      </c>
      <c r="H8" s="26">
        <v>70</v>
      </c>
      <c r="I8" s="26">
        <f t="shared" si="0"/>
        <v>5.5</v>
      </c>
      <c r="J8" s="21" t="s">
        <v>411</v>
      </c>
      <c r="K8" s="21" t="s">
        <v>412</v>
      </c>
      <c r="L8" s="21" t="s">
        <v>413</v>
      </c>
      <c r="O8" s="26"/>
    </row>
    <row r="9" spans="1:15" ht="16.5" customHeight="1">
      <c r="A9" s="20">
        <v>4</v>
      </c>
      <c r="B9" s="70" t="s">
        <v>414</v>
      </c>
      <c r="C9" s="20" t="s">
        <v>358</v>
      </c>
      <c r="D9" s="20">
        <v>20</v>
      </c>
      <c r="E9" s="20">
        <v>3</v>
      </c>
      <c r="F9" s="26" t="s">
        <v>289</v>
      </c>
      <c r="G9" s="26">
        <v>40</v>
      </c>
      <c r="H9" s="26">
        <v>80</v>
      </c>
      <c r="I9" s="26">
        <f t="shared" si="0"/>
        <v>6</v>
      </c>
      <c r="J9" s="21" t="s">
        <v>411</v>
      </c>
      <c r="K9" s="21" t="s">
        <v>415</v>
      </c>
      <c r="L9" s="21" t="s">
        <v>416</v>
      </c>
      <c r="O9" s="26"/>
    </row>
    <row r="10" spans="1:15" ht="16.5" customHeight="1">
      <c r="A10" s="20">
        <v>5</v>
      </c>
      <c r="B10" s="78" t="s">
        <v>417</v>
      </c>
      <c r="C10" s="20" t="s">
        <v>418</v>
      </c>
      <c r="D10" s="20" t="s">
        <v>419</v>
      </c>
      <c r="E10" s="20">
        <v>3</v>
      </c>
      <c r="F10" s="26" t="s">
        <v>289</v>
      </c>
      <c r="G10" s="26">
        <v>40</v>
      </c>
      <c r="H10" s="26">
        <v>60</v>
      </c>
      <c r="I10" s="26">
        <f t="shared" si="0"/>
        <v>5</v>
      </c>
      <c r="J10" s="21"/>
      <c r="K10" s="21" t="s">
        <v>420</v>
      </c>
      <c r="L10" s="21" t="s">
        <v>421</v>
      </c>
      <c r="O10" s="26"/>
    </row>
    <row r="11" spans="1:15" ht="16.5" customHeight="1">
      <c r="A11" s="20">
        <v>6</v>
      </c>
      <c r="B11" s="21" t="s">
        <v>422</v>
      </c>
      <c r="C11" s="20" t="s">
        <v>349</v>
      </c>
      <c r="D11" s="42" t="s">
        <v>423</v>
      </c>
      <c r="E11" s="20">
        <v>3</v>
      </c>
      <c r="F11" s="26" t="s">
        <v>274</v>
      </c>
      <c r="G11" s="26">
        <v>40</v>
      </c>
      <c r="H11" s="26">
        <v>150</v>
      </c>
      <c r="I11" s="26">
        <f t="shared" si="0"/>
        <v>9.5</v>
      </c>
      <c r="J11" s="21" t="s">
        <v>424</v>
      </c>
      <c r="K11" s="21" t="s">
        <v>425</v>
      </c>
      <c r="L11" s="36" t="s">
        <v>426</v>
      </c>
      <c r="M11" s="79"/>
      <c r="O11" s="26"/>
    </row>
    <row r="12" spans="1:15" ht="16.5" customHeight="1">
      <c r="A12" s="20">
        <v>7</v>
      </c>
      <c r="B12" s="21" t="s">
        <v>427</v>
      </c>
      <c r="C12" s="20" t="s">
        <v>337</v>
      </c>
      <c r="D12" s="26" t="s">
        <v>428</v>
      </c>
      <c r="E12" s="20">
        <v>3</v>
      </c>
      <c r="F12" s="26" t="s">
        <v>350</v>
      </c>
      <c r="G12" s="26">
        <v>40</v>
      </c>
      <c r="H12" s="26">
        <v>90</v>
      </c>
      <c r="I12" s="26">
        <f t="shared" si="0"/>
        <v>7.5</v>
      </c>
      <c r="J12" s="21" t="s">
        <v>429</v>
      </c>
      <c r="K12" s="21" t="s">
        <v>430</v>
      </c>
      <c r="L12" s="21" t="s">
        <v>431</v>
      </c>
      <c r="O12" s="26">
        <v>60</v>
      </c>
    </row>
    <row r="13" spans="1:15" ht="16.5" customHeight="1">
      <c r="A13" s="20">
        <v>8</v>
      </c>
      <c r="B13" s="21" t="s">
        <v>293</v>
      </c>
      <c r="C13" s="43" t="s">
        <v>269</v>
      </c>
      <c r="D13" s="26" t="s">
        <v>432</v>
      </c>
      <c r="E13" s="20">
        <v>3</v>
      </c>
      <c r="F13" s="26" t="s">
        <v>274</v>
      </c>
      <c r="G13" s="26">
        <v>40</v>
      </c>
      <c r="H13" s="26">
        <v>70</v>
      </c>
      <c r="I13" s="26">
        <f t="shared" si="0"/>
        <v>5.5</v>
      </c>
      <c r="J13" s="21" t="s">
        <v>295</v>
      </c>
      <c r="K13" s="21" t="s">
        <v>433</v>
      </c>
      <c r="L13" s="21" t="s">
        <v>434</v>
      </c>
      <c r="O13" s="26"/>
    </row>
    <row r="14" spans="1:15" ht="16.5" customHeight="1">
      <c r="A14" s="20">
        <v>9</v>
      </c>
      <c r="B14" s="70" t="s">
        <v>435</v>
      </c>
      <c r="C14" s="20" t="s">
        <v>295</v>
      </c>
      <c r="D14" s="20">
        <v>15</v>
      </c>
      <c r="E14" s="20">
        <v>4</v>
      </c>
      <c r="F14" s="26" t="s">
        <v>436</v>
      </c>
      <c r="G14" s="26">
        <v>40</v>
      </c>
      <c r="H14" s="26">
        <v>60</v>
      </c>
      <c r="I14" s="26">
        <f t="shared" si="0"/>
        <v>6.7</v>
      </c>
      <c r="J14" s="21"/>
      <c r="K14" s="21" t="s">
        <v>437</v>
      </c>
      <c r="L14" s="21" t="s">
        <v>438</v>
      </c>
      <c r="O14" s="26"/>
    </row>
    <row r="15" spans="1:15" ht="16.5" customHeight="1">
      <c r="A15" s="20">
        <v>10</v>
      </c>
      <c r="B15" s="70" t="s">
        <v>439</v>
      </c>
      <c r="C15" s="20" t="s">
        <v>295</v>
      </c>
      <c r="D15" s="20">
        <v>15</v>
      </c>
      <c r="E15" s="20">
        <v>4</v>
      </c>
      <c r="F15" s="26" t="s">
        <v>303</v>
      </c>
      <c r="G15" s="26">
        <v>40</v>
      </c>
      <c r="H15" s="26">
        <v>70</v>
      </c>
      <c r="I15" s="26">
        <f t="shared" si="0"/>
        <v>7.3</v>
      </c>
      <c r="J15" s="21" t="s">
        <v>440</v>
      </c>
      <c r="K15" s="21" t="s">
        <v>441</v>
      </c>
      <c r="L15" s="21" t="s">
        <v>442</v>
      </c>
      <c r="O15" s="26"/>
    </row>
    <row r="16" spans="1:15" ht="16.5" customHeight="1">
      <c r="A16" s="20">
        <v>11</v>
      </c>
      <c r="B16" s="21" t="s">
        <v>307</v>
      </c>
      <c r="C16" s="20" t="s">
        <v>308</v>
      </c>
      <c r="D16" s="26">
        <v>10</v>
      </c>
      <c r="E16" s="20">
        <v>4</v>
      </c>
      <c r="F16" s="26" t="s">
        <v>289</v>
      </c>
      <c r="G16" s="26">
        <v>40</v>
      </c>
      <c r="H16" s="26">
        <v>75</v>
      </c>
      <c r="I16" s="26">
        <f t="shared" si="0"/>
        <v>7.7</v>
      </c>
      <c r="J16" s="21"/>
      <c r="K16" s="21" t="s">
        <v>443</v>
      </c>
      <c r="L16" s="21" t="s">
        <v>444</v>
      </c>
      <c r="O16" s="26"/>
    </row>
    <row r="17" spans="1:9" ht="16.5" customHeight="1">
      <c r="D17" s="3" t="s">
        <v>321</v>
      </c>
      <c r="E17" s="27">
        <f>SUM(E6:E16)</f>
        <v>36</v>
      </c>
      <c r="I17">
        <f>ROUND(SUM(I6:I16),0)</f>
        <v>73</v>
      </c>
    </row>
    <row r="18" spans="1:9" ht="16.5" customHeight="1">
      <c r="F18" s="76" t="s">
        <v>445</v>
      </c>
    </row>
    <row r="19" spans="1:9" ht="16.5" customHeight="1">
      <c r="A19" s="95" t="s">
        <v>446</v>
      </c>
    </row>
    <row r="20" spans="1:9" ht="16.5" customHeight="1">
      <c r="A20" s="96" t="s">
        <v>447</v>
      </c>
    </row>
    <row r="21" spans="1:9" ht="16.5" customHeight="1">
      <c r="A21" t="s">
        <v>448</v>
      </c>
    </row>
    <row r="22" spans="1:9" ht="16.5" customHeight="1">
      <c r="A22" s="96" t="s">
        <v>449</v>
      </c>
    </row>
    <row r="23" spans="1:9" ht="16.5" customHeight="1">
      <c r="A23" s="96" t="s">
        <v>450</v>
      </c>
    </row>
    <row r="24" spans="1:9" ht="16.5" customHeight="1">
      <c r="A24" s="96" t="s">
        <v>451</v>
      </c>
    </row>
    <row r="25" spans="1:9" ht="16.5" customHeight="1">
      <c r="A25" s="96" t="s">
        <v>452</v>
      </c>
    </row>
    <row r="26" spans="1:9" ht="16.5" customHeight="1">
      <c r="A26" s="96" t="s">
        <v>453</v>
      </c>
    </row>
    <row r="27" spans="1:9" ht="16.5" customHeight="1">
      <c r="A27" s="95" t="s">
        <v>454</v>
      </c>
    </row>
    <row r="28" spans="1:9" ht="16.5" customHeight="1">
      <c r="A28" s="96" t="s">
        <v>455</v>
      </c>
    </row>
    <row r="29" spans="1:9" ht="16.5" customHeight="1"/>
    <row r="30" spans="1:9" ht="16.5" customHeight="1">
      <c r="A30" t="s">
        <v>456</v>
      </c>
    </row>
    <row r="31" spans="1:9" ht="16.5" customHeight="1">
      <c r="A31" t="s">
        <v>457</v>
      </c>
    </row>
    <row r="32" spans="1:9" ht="16.5" customHeight="1">
      <c r="A32" t="s">
        <v>458</v>
      </c>
    </row>
    <row r="33" spans="1:1" ht="16.5" customHeight="1">
      <c r="A33" t="s">
        <v>459</v>
      </c>
    </row>
    <row r="34" spans="1:1" ht="16.5" customHeight="1"/>
    <row r="35" spans="1:1" ht="16.5" customHeight="1">
      <c r="A35" s="99" t="s">
        <v>245</v>
      </c>
    </row>
    <row r="36" spans="1:1" ht="16.5" customHeight="1">
      <c r="A36" t="s">
        <v>460</v>
      </c>
    </row>
    <row r="37" spans="1:1" ht="16.5" customHeight="1">
      <c r="A37" t="s">
        <v>325</v>
      </c>
    </row>
    <row r="38" spans="1:1" ht="16.5" customHeight="1">
      <c r="A38" t="s">
        <v>461</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462</v>
      </c>
    </row>
    <row r="2" spans="1:15" ht="16.5" customHeight="1">
      <c r="A2" s="18" t="s">
        <v>463</v>
      </c>
    </row>
    <row r="3" spans="1:15">
      <c r="A3" s="33" t="s">
        <v>464</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36" t="s">
        <v>465</v>
      </c>
      <c r="C6" s="20" t="s">
        <v>282</v>
      </c>
      <c r="D6" s="26">
        <v>45</v>
      </c>
      <c r="E6" s="20">
        <v>4</v>
      </c>
      <c r="F6" s="26" t="s">
        <v>284</v>
      </c>
      <c r="G6" s="26">
        <v>40</v>
      </c>
      <c r="H6" s="26">
        <v>150</v>
      </c>
      <c r="I6" s="26">
        <f t="shared" ref="I6:I15" si="0">IF(E6=0,0,ROUND((E6*(G6+H6)+O6)/60,1))</f>
        <v>12.7</v>
      </c>
      <c r="J6" s="21" t="s">
        <v>466</v>
      </c>
      <c r="K6" s="21" t="s">
        <v>467</v>
      </c>
      <c r="L6" s="21" t="s">
        <v>468</v>
      </c>
      <c r="O6" s="26"/>
    </row>
    <row r="7" spans="1:15" ht="16.5" customHeight="1">
      <c r="A7" s="20">
        <v>2</v>
      </c>
      <c r="B7" s="36" t="s">
        <v>469</v>
      </c>
      <c r="C7" s="20" t="s">
        <v>267</v>
      </c>
      <c r="D7" s="26">
        <v>47</v>
      </c>
      <c r="E7" s="20">
        <v>2</v>
      </c>
      <c r="F7" s="26" t="s">
        <v>274</v>
      </c>
      <c r="G7" s="26">
        <v>40</v>
      </c>
      <c r="H7" s="26">
        <v>150</v>
      </c>
      <c r="I7" s="26">
        <f t="shared" si="0"/>
        <v>6.3</v>
      </c>
      <c r="J7" s="21" t="s">
        <v>466</v>
      </c>
      <c r="K7" s="21" t="s">
        <v>470</v>
      </c>
      <c r="L7" s="21" t="s">
        <v>471</v>
      </c>
      <c r="O7" s="26"/>
    </row>
    <row r="8" spans="1:15" ht="16.5" customHeight="1">
      <c r="A8" s="20">
        <v>3</v>
      </c>
      <c r="B8" s="36" t="s">
        <v>472</v>
      </c>
      <c r="C8" s="20" t="s">
        <v>267</v>
      </c>
      <c r="D8" s="26">
        <v>20</v>
      </c>
      <c r="E8" s="20">
        <v>2</v>
      </c>
      <c r="F8" s="26" t="s">
        <v>278</v>
      </c>
      <c r="G8" s="26">
        <v>80</v>
      </c>
      <c r="H8" s="26">
        <v>150</v>
      </c>
      <c r="I8" s="26">
        <f t="shared" si="0"/>
        <v>9.6999999999999993</v>
      </c>
      <c r="J8" s="21" t="s">
        <v>466</v>
      </c>
      <c r="K8" s="21" t="s">
        <v>473</v>
      </c>
      <c r="L8" s="21" t="s">
        <v>474</v>
      </c>
      <c r="O8" s="26">
        <v>120</v>
      </c>
    </row>
    <row r="9" spans="1:15" ht="16.5" customHeight="1">
      <c r="A9" s="20">
        <v>4</v>
      </c>
      <c r="B9" s="36" t="s">
        <v>475</v>
      </c>
      <c r="C9" s="20" t="s">
        <v>282</v>
      </c>
      <c r="D9" s="20">
        <v>32</v>
      </c>
      <c r="E9" s="20">
        <v>4</v>
      </c>
      <c r="F9" s="26" t="s">
        <v>289</v>
      </c>
      <c r="G9" s="26">
        <v>40</v>
      </c>
      <c r="H9" s="26">
        <v>60</v>
      </c>
      <c r="I9" s="26">
        <f t="shared" si="0"/>
        <v>7.7</v>
      </c>
      <c r="J9" s="21" t="s">
        <v>476</v>
      </c>
      <c r="K9" s="21" t="s">
        <v>477</v>
      </c>
      <c r="L9" s="21" t="s">
        <v>478</v>
      </c>
      <c r="O9" s="26">
        <v>60</v>
      </c>
    </row>
    <row r="10" spans="1:15" ht="16.5" customHeight="1">
      <c r="A10" s="20">
        <v>5</v>
      </c>
      <c r="B10" s="21" t="s">
        <v>410</v>
      </c>
      <c r="C10" s="20" t="s">
        <v>358</v>
      </c>
      <c r="D10" s="26" t="s">
        <v>289</v>
      </c>
      <c r="E10" s="20">
        <v>0</v>
      </c>
      <c r="F10" s="26" t="s">
        <v>314</v>
      </c>
      <c r="G10" s="26">
        <v>40</v>
      </c>
      <c r="H10" s="26">
        <v>70</v>
      </c>
      <c r="I10" s="26">
        <f t="shared" si="0"/>
        <v>0</v>
      </c>
      <c r="J10" s="21" t="s">
        <v>411</v>
      </c>
      <c r="K10" s="21" t="s">
        <v>479</v>
      </c>
      <c r="L10" s="21" t="s">
        <v>480</v>
      </c>
      <c r="O10" s="26"/>
    </row>
    <row r="11" spans="1:15" ht="16.5" customHeight="1">
      <c r="A11" s="20">
        <v>6</v>
      </c>
      <c r="B11" s="21" t="s">
        <v>481</v>
      </c>
      <c r="C11" s="20" t="s">
        <v>269</v>
      </c>
      <c r="D11" s="26">
        <v>30</v>
      </c>
      <c r="E11" s="20">
        <v>4</v>
      </c>
      <c r="F11" s="26" t="s">
        <v>274</v>
      </c>
      <c r="G11" s="26">
        <v>40</v>
      </c>
      <c r="H11" s="26">
        <v>70</v>
      </c>
      <c r="I11" s="26">
        <f t="shared" si="0"/>
        <v>8.3000000000000007</v>
      </c>
      <c r="J11" s="21" t="s">
        <v>295</v>
      </c>
      <c r="K11" s="21" t="s">
        <v>482</v>
      </c>
      <c r="L11" s="22" t="s">
        <v>483</v>
      </c>
      <c r="O11" s="26">
        <v>60</v>
      </c>
    </row>
    <row r="12" spans="1:15" ht="16.5" customHeight="1">
      <c r="A12" s="20">
        <v>7</v>
      </c>
      <c r="B12" s="21" t="s">
        <v>484</v>
      </c>
      <c r="C12" s="20" t="s">
        <v>407</v>
      </c>
      <c r="D12" s="20">
        <v>15</v>
      </c>
      <c r="E12" s="20">
        <v>4</v>
      </c>
      <c r="F12" s="26" t="s">
        <v>350</v>
      </c>
      <c r="G12" s="26">
        <v>40</v>
      </c>
      <c r="H12" s="26">
        <v>90</v>
      </c>
      <c r="I12" s="26">
        <f t="shared" si="0"/>
        <v>8.6999999999999993</v>
      </c>
      <c r="J12" s="21" t="s">
        <v>485</v>
      </c>
      <c r="K12" s="21" t="s">
        <v>486</v>
      </c>
      <c r="L12" s="21" t="s">
        <v>487</v>
      </c>
      <c r="O12" s="26"/>
    </row>
    <row r="13" spans="1:15" ht="16.5" customHeight="1">
      <c r="A13" s="20">
        <v>8</v>
      </c>
      <c r="B13" s="70" t="s">
        <v>488</v>
      </c>
      <c r="C13" s="20" t="s">
        <v>308</v>
      </c>
      <c r="D13" s="20" t="s">
        <v>489</v>
      </c>
      <c r="E13" s="20">
        <v>2</v>
      </c>
      <c r="F13" s="26" t="s">
        <v>289</v>
      </c>
      <c r="G13" s="26">
        <v>40</v>
      </c>
      <c r="H13" s="26">
        <v>75</v>
      </c>
      <c r="I13" s="26">
        <f t="shared" si="0"/>
        <v>3.8</v>
      </c>
      <c r="J13" s="21"/>
      <c r="K13" s="21" t="s">
        <v>490</v>
      </c>
      <c r="L13" s="21" t="s">
        <v>491</v>
      </c>
      <c r="O13" s="26"/>
    </row>
    <row r="14" spans="1:15" ht="16.5" customHeight="1">
      <c r="A14" s="20">
        <v>9</v>
      </c>
      <c r="B14" s="21" t="s">
        <v>492</v>
      </c>
      <c r="C14" s="20" t="s">
        <v>393</v>
      </c>
      <c r="D14" s="26">
        <v>10</v>
      </c>
      <c r="E14" s="20">
        <v>3</v>
      </c>
      <c r="F14" s="26" t="s">
        <v>304</v>
      </c>
      <c r="G14" s="26">
        <v>80</v>
      </c>
      <c r="H14" s="26">
        <v>75</v>
      </c>
      <c r="I14" s="26">
        <f t="shared" si="0"/>
        <v>7.8</v>
      </c>
      <c r="J14" s="21"/>
      <c r="K14" s="21" t="s">
        <v>493</v>
      </c>
      <c r="L14" s="21" t="s">
        <v>494</v>
      </c>
      <c r="O14" s="26"/>
    </row>
    <row r="15" spans="1:15" ht="16.5" customHeight="1">
      <c r="A15" s="20">
        <v>10</v>
      </c>
      <c r="B15" s="74" t="s">
        <v>318</v>
      </c>
      <c r="C15" s="20" t="s">
        <v>313</v>
      </c>
      <c r="D15" s="20" t="s">
        <v>283</v>
      </c>
      <c r="E15" s="20">
        <v>3</v>
      </c>
      <c r="F15" s="26" t="s">
        <v>289</v>
      </c>
      <c r="G15" s="26">
        <v>40</v>
      </c>
      <c r="H15" s="26">
        <v>60</v>
      </c>
      <c r="I15" s="26">
        <f t="shared" si="0"/>
        <v>5</v>
      </c>
      <c r="J15" s="21"/>
      <c r="K15" s="21" t="s">
        <v>319</v>
      </c>
      <c r="L15" s="21" t="s">
        <v>320</v>
      </c>
      <c r="O15" s="26"/>
    </row>
    <row r="16" spans="1:15" ht="15" customHeight="1">
      <c r="D16" s="3" t="s">
        <v>321</v>
      </c>
      <c r="E16" s="27">
        <f>SUM(E6:E15)</f>
        <v>28</v>
      </c>
      <c r="I16">
        <f>ROUND(SUM(I6:I15),0)</f>
        <v>70</v>
      </c>
    </row>
    <row r="17" spans="1:2" ht="15" customHeight="1">
      <c r="A17" t="s">
        <v>456</v>
      </c>
    </row>
    <row r="18" spans="1:2">
      <c r="A18" t="s">
        <v>495</v>
      </c>
    </row>
    <row r="19" spans="1:2">
      <c r="A19" t="s">
        <v>496</v>
      </c>
    </row>
    <row r="20" spans="1:2">
      <c r="A20" t="s">
        <v>497</v>
      </c>
    </row>
    <row r="22" spans="1:2">
      <c r="A22" s="99" t="s">
        <v>245</v>
      </c>
      <c r="B22" s="72"/>
    </row>
    <row r="23" spans="1:2">
      <c r="A23" t="s">
        <v>498</v>
      </c>
    </row>
    <row r="24" spans="1:2">
      <c r="A24" t="s">
        <v>325</v>
      </c>
    </row>
    <row r="25" spans="1:2">
      <c r="A25" t="s">
        <v>499</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500</v>
      </c>
    </row>
    <row r="2" spans="1:3" ht="16.5" customHeight="1">
      <c r="A2" s="18" t="s">
        <v>501</v>
      </c>
    </row>
    <row r="4" spans="1:3" ht="16.5" customHeight="1">
      <c r="A4" s="3" t="s">
        <v>502</v>
      </c>
    </row>
    <row r="5" spans="1:3" ht="16.5" customHeight="1">
      <c r="A5" s="19" t="s">
        <v>255</v>
      </c>
      <c r="B5" s="19" t="s">
        <v>330</v>
      </c>
      <c r="C5" s="19" t="s">
        <v>148</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f>IF(MAX(20,(MROUND(시작중량_설정!$E$10*0.75,1)+(MOD(MROUND(시작중량_설정!$E$10*0.75,1),5)=4)))&lt;=MAX(20,(MROUND(시작중량_설정!$E$10*0.6,1)+(MOD(MROUND(시작중량_설정!$E$10*0.6,1),5)=4))),"생략",MAX(20,(MROUND(시작중량_설정!$E$10*0.75,1)+(MOD(MROUND(시작중량_설정!$E$10*0.75,1),5)=4))))</f>
        <v>23</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28</v>
      </c>
      <c r="B9" s="20">
        <v>2</v>
      </c>
      <c r="C9" s="20">
        <v>1</v>
      </c>
    </row>
    <row r="10" spans="1:3" ht="15" customHeight="1">
      <c r="A10" s="37">
        <f>시작중량_설정!$E$10</f>
        <v>31</v>
      </c>
      <c r="B10" s="27">
        <v>5</v>
      </c>
      <c r="C10" s="27">
        <v>3</v>
      </c>
    </row>
    <row r="11" spans="1:3" ht="16.5" customHeight="1">
      <c r="A11" s="31" t="s">
        <v>331</v>
      </c>
    </row>
    <row r="13" spans="1:3" ht="16.5" customHeight="1">
      <c r="A13" s="3" t="s">
        <v>332</v>
      </c>
    </row>
    <row r="14" spans="1:3" ht="16.5" customHeight="1">
      <c r="A14" s="31" t="s">
        <v>333</v>
      </c>
    </row>
    <row r="15" spans="1:3" ht="16.5" customHeight="1">
      <c r="A15" s="31" t="s">
        <v>334</v>
      </c>
    </row>
    <row r="16" spans="1:3" ht="16.5" customHeight="1">
      <c r="A16" s="31" t="s">
        <v>335</v>
      </c>
    </row>
    <row r="18" spans="1:15" ht="15" customHeight="1">
      <c r="A18" s="3" t="s">
        <v>252</v>
      </c>
    </row>
    <row r="19" spans="1:15" ht="16.5" customHeight="1">
      <c r="A19" s="34" t="s">
        <v>253</v>
      </c>
      <c r="B19" s="35" t="s">
        <v>76</v>
      </c>
      <c r="C19" s="35" t="s">
        <v>254</v>
      </c>
      <c r="D19" s="35" t="s">
        <v>255</v>
      </c>
      <c r="E19" s="35" t="s">
        <v>148</v>
      </c>
      <c r="F19" s="35" t="s">
        <v>256</v>
      </c>
      <c r="G19" s="35" t="s">
        <v>257</v>
      </c>
      <c r="H19" s="35" t="s">
        <v>258</v>
      </c>
      <c r="I19" s="35" t="s">
        <v>259</v>
      </c>
      <c r="J19" s="35" t="s">
        <v>260</v>
      </c>
      <c r="K19" s="35" t="s">
        <v>261</v>
      </c>
      <c r="L19" s="35" t="s">
        <v>262</v>
      </c>
      <c r="M19" s="35" t="s">
        <v>263</v>
      </c>
      <c r="N19" s="35" t="s">
        <v>264</v>
      </c>
      <c r="O19" s="35" t="s">
        <v>265</v>
      </c>
    </row>
    <row r="20" spans="1:15" ht="16.5" customHeight="1">
      <c r="A20" s="40">
        <v>1</v>
      </c>
      <c r="B20" s="39" t="s">
        <v>503</v>
      </c>
      <c r="C20" s="40" t="s">
        <v>429</v>
      </c>
      <c r="D20" s="41">
        <f>시작중량_설정!$E$10</f>
        <v>31</v>
      </c>
      <c r="E20" s="40">
        <v>3</v>
      </c>
      <c r="F20" s="38" t="s">
        <v>338</v>
      </c>
      <c r="G20" s="38">
        <v>30</v>
      </c>
      <c r="H20" s="38">
        <v>180</v>
      </c>
      <c r="I20" s="38">
        <f t="shared" ref="I20:I29" si="0">IF(E20=0,0,ROUND((E20*(G20+H20)+O20)/60,1))</f>
        <v>10.5</v>
      </c>
      <c r="J20" s="39" t="s">
        <v>504</v>
      </c>
      <c r="K20" s="39" t="s">
        <v>505</v>
      </c>
      <c r="L20" s="39" t="s">
        <v>506</v>
      </c>
      <c r="M20" s="38" t="s">
        <v>507</v>
      </c>
      <c r="O20" s="38"/>
    </row>
    <row r="21" spans="1:15" ht="16.5" customHeight="1">
      <c r="A21" s="20">
        <v>2</v>
      </c>
      <c r="B21" s="21" t="s">
        <v>508</v>
      </c>
      <c r="C21" s="20" t="s">
        <v>429</v>
      </c>
      <c r="D21" s="20">
        <v>25</v>
      </c>
      <c r="E21" s="20">
        <v>3</v>
      </c>
      <c r="F21" s="26" t="s">
        <v>314</v>
      </c>
      <c r="G21" s="26">
        <v>40</v>
      </c>
      <c r="H21" s="26">
        <v>120</v>
      </c>
      <c r="I21" s="26">
        <f t="shared" si="0"/>
        <v>8</v>
      </c>
      <c r="J21" s="21" t="s">
        <v>509</v>
      </c>
      <c r="K21" s="21" t="s">
        <v>510</v>
      </c>
      <c r="L21" s="21" t="s">
        <v>511</v>
      </c>
      <c r="O21" s="26"/>
    </row>
    <row r="22" spans="1:15" ht="16.5" customHeight="1">
      <c r="A22" s="20">
        <v>3</v>
      </c>
      <c r="B22" s="36" t="s">
        <v>417</v>
      </c>
      <c r="C22" s="20" t="s">
        <v>418</v>
      </c>
      <c r="D22" s="20">
        <v>20</v>
      </c>
      <c r="E22" s="20">
        <v>3</v>
      </c>
      <c r="F22" s="26" t="s">
        <v>289</v>
      </c>
      <c r="G22" s="26">
        <v>40</v>
      </c>
      <c r="H22" s="26">
        <v>60</v>
      </c>
      <c r="I22" s="26">
        <f t="shared" si="0"/>
        <v>5</v>
      </c>
      <c r="J22" s="21" t="s">
        <v>285</v>
      </c>
      <c r="K22" s="21" t="s">
        <v>512</v>
      </c>
      <c r="L22" s="21" t="s">
        <v>513</v>
      </c>
      <c r="O22" s="26"/>
    </row>
    <row r="23" spans="1:15" ht="16.5" customHeight="1">
      <c r="A23" s="20">
        <v>4</v>
      </c>
      <c r="B23" s="21" t="s">
        <v>514</v>
      </c>
      <c r="C23" s="20" t="s">
        <v>337</v>
      </c>
      <c r="D23" s="26">
        <v>25</v>
      </c>
      <c r="E23" s="20">
        <v>3</v>
      </c>
      <c r="F23" s="26" t="s">
        <v>274</v>
      </c>
      <c r="G23" s="26">
        <v>40</v>
      </c>
      <c r="H23" s="26">
        <v>150</v>
      </c>
      <c r="I23" s="26">
        <f t="shared" si="0"/>
        <v>9.5</v>
      </c>
      <c r="J23" s="21" t="s">
        <v>345</v>
      </c>
      <c r="K23" s="21" t="s">
        <v>515</v>
      </c>
      <c r="L23" s="21" t="s">
        <v>516</v>
      </c>
      <c r="O23" s="26"/>
    </row>
    <row r="24" spans="1:15" ht="16.5" customHeight="1">
      <c r="A24" s="20">
        <v>5</v>
      </c>
      <c r="B24" s="21" t="s">
        <v>517</v>
      </c>
      <c r="C24" s="20" t="s">
        <v>349</v>
      </c>
      <c r="D24" s="26">
        <v>35</v>
      </c>
      <c r="E24" s="20">
        <v>3</v>
      </c>
      <c r="F24" s="26" t="s">
        <v>284</v>
      </c>
      <c r="G24" s="26">
        <v>40</v>
      </c>
      <c r="H24" s="26">
        <v>150</v>
      </c>
      <c r="I24" s="26">
        <f t="shared" si="0"/>
        <v>9.5</v>
      </c>
      <c r="J24" s="21" t="s">
        <v>339</v>
      </c>
      <c r="K24" s="21" t="s">
        <v>518</v>
      </c>
      <c r="L24" s="21" t="s">
        <v>519</v>
      </c>
      <c r="O24" s="26"/>
    </row>
    <row r="25" spans="1:15" ht="16.5" customHeight="1">
      <c r="A25" s="20">
        <v>6</v>
      </c>
      <c r="B25" s="21" t="s">
        <v>520</v>
      </c>
      <c r="C25" s="43" t="s">
        <v>337</v>
      </c>
      <c r="D25" s="26">
        <v>10</v>
      </c>
      <c r="E25" s="20">
        <v>3</v>
      </c>
      <c r="F25" s="26" t="s">
        <v>274</v>
      </c>
      <c r="G25" s="26">
        <v>40</v>
      </c>
      <c r="H25" s="26">
        <v>90</v>
      </c>
      <c r="I25" s="26">
        <f t="shared" si="0"/>
        <v>7.5</v>
      </c>
      <c r="J25" s="21"/>
      <c r="K25" s="21" t="s">
        <v>521</v>
      </c>
      <c r="L25" s="21" t="s">
        <v>522</v>
      </c>
      <c r="O25" s="26">
        <v>60</v>
      </c>
    </row>
    <row r="26" spans="1:15" ht="16.5" customHeight="1">
      <c r="A26" s="20">
        <v>7</v>
      </c>
      <c r="B26" s="21" t="s">
        <v>523</v>
      </c>
      <c r="C26" s="20" t="s">
        <v>358</v>
      </c>
      <c r="D26" s="26">
        <v>15</v>
      </c>
      <c r="E26" s="20">
        <v>3</v>
      </c>
      <c r="F26" s="26" t="s">
        <v>289</v>
      </c>
      <c r="G26" s="26">
        <v>40</v>
      </c>
      <c r="H26" s="26">
        <v>70</v>
      </c>
      <c r="I26" s="26">
        <f t="shared" si="0"/>
        <v>5.5</v>
      </c>
      <c r="J26" s="21"/>
      <c r="K26" s="21" t="s">
        <v>524</v>
      </c>
      <c r="L26" s="21" t="s">
        <v>525</v>
      </c>
      <c r="O26" s="26"/>
    </row>
    <row r="27" spans="1:15" ht="16.5" customHeight="1">
      <c r="A27" s="20">
        <v>8</v>
      </c>
      <c r="B27" s="21" t="s">
        <v>526</v>
      </c>
      <c r="C27" s="20" t="s">
        <v>354</v>
      </c>
      <c r="D27" s="26">
        <v>5</v>
      </c>
      <c r="E27" s="20">
        <v>3</v>
      </c>
      <c r="F27" s="26" t="s">
        <v>350</v>
      </c>
      <c r="G27" s="26">
        <v>70</v>
      </c>
      <c r="H27" s="26">
        <v>70</v>
      </c>
      <c r="I27" s="26">
        <f t="shared" si="0"/>
        <v>7</v>
      </c>
      <c r="J27" s="21"/>
      <c r="K27" s="21" t="s">
        <v>527</v>
      </c>
      <c r="L27" s="21" t="s">
        <v>528</v>
      </c>
      <c r="O27" s="26"/>
    </row>
    <row r="28" spans="1:15" ht="16.5" customHeight="1">
      <c r="A28" s="20">
        <v>9</v>
      </c>
      <c r="B28" s="21" t="s">
        <v>529</v>
      </c>
      <c r="C28" s="20" t="s">
        <v>418</v>
      </c>
      <c r="D28" s="26" t="s">
        <v>530</v>
      </c>
      <c r="E28" s="20">
        <v>3</v>
      </c>
      <c r="F28" s="26" t="s">
        <v>289</v>
      </c>
      <c r="G28" s="26">
        <v>40</v>
      </c>
      <c r="H28" s="26">
        <v>60</v>
      </c>
      <c r="I28" s="26">
        <f t="shared" si="0"/>
        <v>5</v>
      </c>
      <c r="J28" s="21" t="s">
        <v>476</v>
      </c>
      <c r="K28" s="21" t="s">
        <v>531</v>
      </c>
      <c r="L28" s="21" t="s">
        <v>532</v>
      </c>
      <c r="O28" s="26"/>
    </row>
    <row r="29" spans="1:15" ht="16.5" customHeight="1">
      <c r="A29" s="20">
        <v>10</v>
      </c>
      <c r="B29" s="74" t="s">
        <v>533</v>
      </c>
      <c r="C29" s="20" t="s">
        <v>299</v>
      </c>
      <c r="D29" s="20">
        <v>15</v>
      </c>
      <c r="E29" s="20">
        <v>3</v>
      </c>
      <c r="F29" s="26" t="s">
        <v>314</v>
      </c>
      <c r="G29" s="26">
        <v>40</v>
      </c>
      <c r="H29" s="26">
        <v>60</v>
      </c>
      <c r="I29" s="26">
        <f t="shared" si="0"/>
        <v>5</v>
      </c>
      <c r="J29" s="21"/>
      <c r="K29" s="21" t="s">
        <v>534</v>
      </c>
      <c r="L29" s="21" t="s">
        <v>535</v>
      </c>
      <c r="O29" s="26"/>
    </row>
    <row r="30" spans="1:15" ht="15" customHeight="1">
      <c r="A30" s="20"/>
      <c r="B30" s="21"/>
      <c r="C30" s="20"/>
      <c r="D30" s="26" t="s">
        <v>321</v>
      </c>
      <c r="E30" s="20">
        <f>SUM(E20:E29)</f>
        <v>30</v>
      </c>
      <c r="F30" s="26"/>
      <c r="G30" s="26"/>
      <c r="H30" s="26"/>
      <c r="I30" s="26">
        <f>ROUND(SUM(I20:I29),0)</f>
        <v>73</v>
      </c>
      <c r="J30" s="21"/>
      <c r="K30" s="21"/>
      <c r="L30" s="21"/>
    </row>
    <row r="31" spans="1:15" ht="15" customHeight="1">
      <c r="A31" s="3" t="s">
        <v>536</v>
      </c>
    </row>
    <row r="32" spans="1:15">
      <c r="A32" s="31" t="s">
        <v>537</v>
      </c>
    </row>
    <row r="33" spans="1:1" ht="16.5" customHeight="1">
      <c r="A33" s="31" t="s">
        <v>538</v>
      </c>
    </row>
    <row r="34" spans="1:1" ht="16.5" customHeight="1">
      <c r="A34" s="31" t="s">
        <v>539</v>
      </c>
    </row>
    <row r="35" spans="1:1" ht="16.5" customHeight="1">
      <c r="A35" s="31" t="s">
        <v>540</v>
      </c>
    </row>
    <row r="36" spans="1:1" ht="16.5" customHeight="1">
      <c r="A36" s="31" t="s">
        <v>541</v>
      </c>
    </row>
    <row r="37" spans="1:1" ht="16.5" customHeight="1">
      <c r="A37" s="31" t="s">
        <v>542</v>
      </c>
    </row>
    <row r="38" spans="1:1" ht="16.5" customHeight="1">
      <c r="A38" s="31" t="s">
        <v>543</v>
      </c>
    </row>
    <row r="39" spans="1:1" ht="16.5" customHeight="1"/>
    <row r="40" spans="1:1" ht="16.5" customHeight="1">
      <c r="A40" t="s">
        <v>456</v>
      </c>
    </row>
    <row r="41" spans="1:1">
      <c r="A41" t="s">
        <v>544</v>
      </c>
    </row>
    <row r="42" spans="1:1">
      <c r="A42" t="s">
        <v>545</v>
      </c>
    </row>
    <row r="44" spans="1:1">
      <c r="A44" s="99" t="s">
        <v>245</v>
      </c>
    </row>
    <row r="45" spans="1:1">
      <c r="A45" t="s">
        <v>546</v>
      </c>
    </row>
    <row r="46" spans="1:1">
      <c r="A46" t="s">
        <v>325</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547</v>
      </c>
    </row>
    <row r="2" spans="1:15" ht="16.5" customHeight="1">
      <c r="A2" s="18" t="s">
        <v>548</v>
      </c>
    </row>
    <row r="4" spans="1:15" ht="16.5" customHeight="1">
      <c r="A4" s="3" t="s">
        <v>549</v>
      </c>
    </row>
    <row r="5" spans="1:15" ht="16.5" customHeight="1">
      <c r="A5" s="19" t="s">
        <v>255</v>
      </c>
      <c r="B5" s="19" t="s">
        <v>330</v>
      </c>
      <c r="C5" s="19" t="s">
        <v>148</v>
      </c>
    </row>
    <row r="6" spans="1:15" ht="15" customHeight="1">
      <c r="A6" s="20">
        <f>MAX(20,(MROUND(시작중량_설정!$E$8*0.4,1)+(MOD(MROUND(시작중량_설정!$E$8*0.4,1),5)=4)))</f>
        <v>32</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48</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60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72</v>
      </c>
      <c r="B9" s="20">
        <v>2</v>
      </c>
      <c r="C9" s="20">
        <v>1</v>
      </c>
    </row>
    <row r="10" spans="1:15" ht="15" customHeight="1">
      <c r="A10" s="37">
        <f>시작중량_설정!$E$8</f>
        <v>80</v>
      </c>
      <c r="B10" s="27">
        <v>5</v>
      </c>
      <c r="C10" s="27">
        <v>1</v>
      </c>
    </row>
    <row r="11" spans="1:15" ht="16.5" customHeight="1">
      <c r="A11" s="31" t="s">
        <v>331</v>
      </c>
    </row>
    <row r="13" spans="1:15" ht="15" customHeight="1">
      <c r="A13" s="3" t="s">
        <v>252</v>
      </c>
    </row>
    <row r="14" spans="1:15" ht="16.5" customHeight="1">
      <c r="A14" s="34" t="s">
        <v>253</v>
      </c>
      <c r="B14" s="35" t="s">
        <v>76</v>
      </c>
      <c r="C14" s="35" t="s">
        <v>254</v>
      </c>
      <c r="D14" s="35" t="s">
        <v>255</v>
      </c>
      <c r="E14" s="35" t="s">
        <v>148</v>
      </c>
      <c r="F14" s="35" t="s">
        <v>256</v>
      </c>
      <c r="G14" s="35" t="s">
        <v>257</v>
      </c>
      <c r="H14" s="35" t="s">
        <v>258</v>
      </c>
      <c r="I14" s="35" t="s">
        <v>259</v>
      </c>
      <c r="J14" s="35" t="s">
        <v>260</v>
      </c>
      <c r="K14" s="35" t="s">
        <v>261</v>
      </c>
      <c r="L14" s="35" t="s">
        <v>262</v>
      </c>
      <c r="M14" s="35" t="s">
        <v>263</v>
      </c>
      <c r="N14" s="35" t="s">
        <v>264</v>
      </c>
      <c r="O14" s="35" t="s">
        <v>265</v>
      </c>
    </row>
    <row r="15" spans="1:15" ht="16.5" customHeight="1">
      <c r="A15" s="40">
        <v>1</v>
      </c>
      <c r="B15" s="39" t="s">
        <v>550</v>
      </c>
      <c r="C15" s="40" t="s">
        <v>313</v>
      </c>
      <c r="D15" s="41">
        <f>시작중량_설정!$E$8</f>
        <v>80</v>
      </c>
      <c r="E15" s="40">
        <v>1</v>
      </c>
      <c r="F15" s="38" t="s">
        <v>338</v>
      </c>
      <c r="G15" s="38">
        <v>35</v>
      </c>
      <c r="H15" s="38">
        <v>240</v>
      </c>
      <c r="I15" s="38">
        <f t="shared" ref="I15:I22" si="0">IF(E15=0,0,ROUND((E15*(G15+H15)+O15)/60,1))</f>
        <v>4.5999999999999996</v>
      </c>
      <c r="J15" s="39" t="s">
        <v>551</v>
      </c>
      <c r="K15" s="39" t="s">
        <v>552</v>
      </c>
      <c r="L15" s="39" t="s">
        <v>553</v>
      </c>
      <c r="O15" s="38"/>
    </row>
    <row r="16" spans="1:15" ht="16.5" customHeight="1">
      <c r="A16" s="40">
        <v>2</v>
      </c>
      <c r="B16" s="39" t="s">
        <v>554</v>
      </c>
      <c r="C16" s="40" t="s">
        <v>313</v>
      </c>
      <c r="D16" s="41">
        <f>시작중량_설정!$E$8-5</f>
        <v>75</v>
      </c>
      <c r="E16" s="40">
        <v>2</v>
      </c>
      <c r="F16" s="38" t="s">
        <v>338</v>
      </c>
      <c r="G16" s="38">
        <v>35</v>
      </c>
      <c r="H16" s="38">
        <v>180</v>
      </c>
      <c r="I16" s="38">
        <f t="shared" si="0"/>
        <v>7.2</v>
      </c>
      <c r="J16" s="39" t="s">
        <v>551</v>
      </c>
      <c r="K16" s="39" t="s">
        <v>555</v>
      </c>
      <c r="L16" s="39" t="s">
        <v>553</v>
      </c>
      <c r="O16" s="38"/>
    </row>
    <row r="17" spans="1:15" ht="16.5" customHeight="1">
      <c r="A17" s="20">
        <v>3</v>
      </c>
      <c r="B17" s="21" t="s">
        <v>556</v>
      </c>
      <c r="C17" s="20" t="s">
        <v>375</v>
      </c>
      <c r="D17" s="26">
        <v>25</v>
      </c>
      <c r="E17" s="20">
        <v>4</v>
      </c>
      <c r="F17" s="26" t="s">
        <v>274</v>
      </c>
      <c r="G17" s="26">
        <v>45</v>
      </c>
      <c r="H17" s="26">
        <v>150</v>
      </c>
      <c r="I17" s="26">
        <f t="shared" si="0"/>
        <v>13</v>
      </c>
      <c r="J17" s="21" t="s">
        <v>384</v>
      </c>
      <c r="K17" s="21" t="s">
        <v>557</v>
      </c>
      <c r="L17" s="21" t="s">
        <v>558</v>
      </c>
      <c r="O17" s="26"/>
    </row>
    <row r="18" spans="1:15" ht="16.5" customHeight="1">
      <c r="A18" s="20">
        <v>4</v>
      </c>
      <c r="B18" s="21" t="s">
        <v>559</v>
      </c>
      <c r="C18" s="20" t="s">
        <v>384</v>
      </c>
      <c r="D18" s="20">
        <v>35</v>
      </c>
      <c r="E18" s="20">
        <v>3</v>
      </c>
      <c r="F18" s="26" t="s">
        <v>489</v>
      </c>
      <c r="G18" s="26">
        <v>40</v>
      </c>
      <c r="H18" s="26">
        <v>150</v>
      </c>
      <c r="I18" s="26">
        <f t="shared" si="0"/>
        <v>9.5</v>
      </c>
      <c r="J18" s="21" t="s">
        <v>370</v>
      </c>
      <c r="K18" s="21" t="s">
        <v>560</v>
      </c>
      <c r="L18" s="21" t="s">
        <v>561</v>
      </c>
      <c r="O18" s="26"/>
    </row>
    <row r="19" spans="1:15" ht="16.5" customHeight="1">
      <c r="A19" s="20">
        <v>5</v>
      </c>
      <c r="B19" s="21" t="s">
        <v>562</v>
      </c>
      <c r="C19" s="20" t="s">
        <v>384</v>
      </c>
      <c r="D19" s="26">
        <v>15</v>
      </c>
      <c r="E19" s="20">
        <v>3</v>
      </c>
      <c r="F19" s="26" t="s">
        <v>309</v>
      </c>
      <c r="G19" s="26">
        <v>80</v>
      </c>
      <c r="H19" s="26">
        <v>120</v>
      </c>
      <c r="I19" s="26">
        <f t="shared" si="0"/>
        <v>10</v>
      </c>
      <c r="J19" s="21"/>
      <c r="K19" s="21" t="s">
        <v>563</v>
      </c>
      <c r="L19" s="21" t="s">
        <v>564</v>
      </c>
      <c r="O19" s="26"/>
    </row>
    <row r="20" spans="1:15" ht="16.5" customHeight="1">
      <c r="A20" s="20">
        <v>6</v>
      </c>
      <c r="B20" s="21" t="s">
        <v>374</v>
      </c>
      <c r="C20" s="20" t="s">
        <v>369</v>
      </c>
      <c r="D20" s="26">
        <v>120</v>
      </c>
      <c r="E20" s="20">
        <v>3</v>
      </c>
      <c r="F20" s="26" t="s">
        <v>274</v>
      </c>
      <c r="G20" s="26">
        <v>45</v>
      </c>
      <c r="H20" s="26">
        <v>150</v>
      </c>
      <c r="I20" s="26">
        <f t="shared" si="0"/>
        <v>9.8000000000000007</v>
      </c>
      <c r="J20" s="21" t="s">
        <v>375</v>
      </c>
      <c r="K20" s="21" t="s">
        <v>565</v>
      </c>
      <c r="L20" s="21" t="s">
        <v>566</v>
      </c>
      <c r="O20" s="26"/>
    </row>
    <row r="21" spans="1:15" ht="16.5" customHeight="1">
      <c r="A21" s="20">
        <v>7</v>
      </c>
      <c r="B21" s="21" t="s">
        <v>567</v>
      </c>
      <c r="C21" s="20" t="s">
        <v>369</v>
      </c>
      <c r="D21" s="26">
        <v>42</v>
      </c>
      <c r="E21" s="20">
        <v>4</v>
      </c>
      <c r="F21" s="26" t="s">
        <v>350</v>
      </c>
      <c r="G21" s="26">
        <v>40</v>
      </c>
      <c r="H21" s="26">
        <v>120</v>
      </c>
      <c r="I21" s="26">
        <f t="shared" si="0"/>
        <v>11.9</v>
      </c>
      <c r="J21" s="21"/>
      <c r="K21" s="21" t="s">
        <v>568</v>
      </c>
      <c r="L21" s="21" t="s">
        <v>569</v>
      </c>
      <c r="O21" s="26">
        <v>75</v>
      </c>
    </row>
    <row r="22" spans="1:15" ht="16.5" customHeight="1">
      <c r="A22" s="20">
        <v>8</v>
      </c>
      <c r="B22" s="21" t="s">
        <v>488</v>
      </c>
      <c r="C22" s="20" t="s">
        <v>308</v>
      </c>
      <c r="D22" s="26">
        <v>8</v>
      </c>
      <c r="E22" s="20">
        <v>4</v>
      </c>
      <c r="F22" s="26" t="s">
        <v>289</v>
      </c>
      <c r="G22" s="26">
        <v>40</v>
      </c>
      <c r="H22" s="26">
        <v>75</v>
      </c>
      <c r="I22" s="26">
        <f t="shared" si="0"/>
        <v>7.7</v>
      </c>
      <c r="J22" s="21"/>
      <c r="K22" s="21" t="s">
        <v>570</v>
      </c>
      <c r="L22" s="21" t="s">
        <v>571</v>
      </c>
      <c r="O22" s="26"/>
    </row>
    <row r="23" spans="1:15" ht="16.5" customHeight="1">
      <c r="D23" s="3" t="s">
        <v>321</v>
      </c>
      <c r="E23" s="27">
        <f>SUM(E15:E22)</f>
        <v>24</v>
      </c>
      <c r="I23">
        <f>ROUND(SUM(I15:I22),0)</f>
        <v>74</v>
      </c>
    </row>
    <row r="24" spans="1:15" ht="15" customHeight="1">
      <c r="A24" s="99" t="s">
        <v>245</v>
      </c>
    </row>
    <row r="25" spans="1:15">
      <c r="A25" t="s">
        <v>572</v>
      </c>
    </row>
    <row r="26" spans="1:15">
      <c r="A26" t="s">
        <v>325</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573</v>
      </c>
    </row>
    <row r="2" spans="1:15" ht="16.5" customHeight="1">
      <c r="A2" s="18" t="s">
        <v>574</v>
      </c>
    </row>
    <row r="3" spans="1:15" ht="30" customHeight="1">
      <c r="A3" s="33" t="s">
        <v>402</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70" t="s">
        <v>575</v>
      </c>
      <c r="C6" s="20" t="s">
        <v>354</v>
      </c>
      <c r="D6" s="20">
        <v>5</v>
      </c>
      <c r="E6" s="20">
        <v>3</v>
      </c>
      <c r="F6" s="26" t="s">
        <v>289</v>
      </c>
      <c r="G6" s="26">
        <v>80</v>
      </c>
      <c r="H6" s="26">
        <v>70</v>
      </c>
      <c r="I6" s="26">
        <f t="shared" ref="I6:I15" si="0">IF(E6=0,0,ROUND((E6*(G6+H6)+O6)/60,1))</f>
        <v>7.5</v>
      </c>
      <c r="J6" s="21"/>
      <c r="K6" s="21" t="s">
        <v>576</v>
      </c>
      <c r="L6" s="21" t="s">
        <v>577</v>
      </c>
      <c r="O6" s="26"/>
    </row>
    <row r="7" spans="1:15" ht="16.5" customHeight="1">
      <c r="A7" s="20">
        <v>2</v>
      </c>
      <c r="B7" s="70" t="s">
        <v>578</v>
      </c>
      <c r="C7" s="20" t="s">
        <v>358</v>
      </c>
      <c r="D7" s="20">
        <v>5</v>
      </c>
      <c r="E7" s="20">
        <v>3</v>
      </c>
      <c r="F7" s="26" t="s">
        <v>289</v>
      </c>
      <c r="G7" s="26">
        <v>40</v>
      </c>
      <c r="H7" s="26">
        <v>70</v>
      </c>
      <c r="I7" s="26">
        <f t="shared" si="0"/>
        <v>5.5</v>
      </c>
      <c r="J7" s="21"/>
      <c r="K7" s="21" t="s">
        <v>579</v>
      </c>
      <c r="L7" s="21" t="s">
        <v>580</v>
      </c>
      <c r="O7" s="26"/>
    </row>
    <row r="8" spans="1:15" ht="16.5" customHeight="1">
      <c r="A8" s="20">
        <v>3</v>
      </c>
      <c r="B8" s="70" t="s">
        <v>508</v>
      </c>
      <c r="C8" s="20" t="s">
        <v>429</v>
      </c>
      <c r="D8" s="20" t="s">
        <v>581</v>
      </c>
      <c r="E8" s="20">
        <v>3</v>
      </c>
      <c r="F8" s="26" t="s">
        <v>314</v>
      </c>
      <c r="G8" s="26">
        <v>40</v>
      </c>
      <c r="H8" s="26">
        <v>120</v>
      </c>
      <c r="I8" s="26">
        <f t="shared" si="0"/>
        <v>8</v>
      </c>
      <c r="J8" s="21" t="s">
        <v>504</v>
      </c>
      <c r="K8" s="21" t="s">
        <v>582</v>
      </c>
      <c r="L8" s="21" t="s">
        <v>583</v>
      </c>
      <c r="O8" s="26"/>
    </row>
    <row r="9" spans="1:15" ht="16.5" customHeight="1">
      <c r="A9" s="20">
        <v>4</v>
      </c>
      <c r="B9" s="70" t="s">
        <v>529</v>
      </c>
      <c r="C9" s="20" t="s">
        <v>418</v>
      </c>
      <c r="D9" s="20" t="s">
        <v>530</v>
      </c>
      <c r="E9" s="20">
        <v>3</v>
      </c>
      <c r="F9" s="26" t="s">
        <v>289</v>
      </c>
      <c r="G9" s="26">
        <v>40</v>
      </c>
      <c r="H9" s="26">
        <v>60</v>
      </c>
      <c r="I9" s="26">
        <f t="shared" si="0"/>
        <v>5</v>
      </c>
      <c r="J9" s="21" t="s">
        <v>358</v>
      </c>
      <c r="K9" s="21" t="s">
        <v>584</v>
      </c>
      <c r="L9" s="21" t="s">
        <v>585</v>
      </c>
      <c r="O9" s="26"/>
    </row>
    <row r="10" spans="1:15" ht="16.5" customHeight="1">
      <c r="A10" s="20">
        <v>5</v>
      </c>
      <c r="B10" s="70" t="s">
        <v>586</v>
      </c>
      <c r="C10" s="20" t="s">
        <v>349</v>
      </c>
      <c r="D10" s="20">
        <v>8</v>
      </c>
      <c r="E10" s="20">
        <v>3</v>
      </c>
      <c r="F10" s="26" t="s">
        <v>350</v>
      </c>
      <c r="G10" s="26">
        <v>40</v>
      </c>
      <c r="H10" s="26">
        <v>105</v>
      </c>
      <c r="I10" s="26">
        <f t="shared" si="0"/>
        <v>7.3</v>
      </c>
      <c r="J10" s="21"/>
      <c r="K10" s="21" t="s">
        <v>587</v>
      </c>
      <c r="L10" s="21" t="s">
        <v>352</v>
      </c>
      <c r="O10" s="26"/>
    </row>
    <row r="11" spans="1:15" ht="16.5" customHeight="1">
      <c r="A11" s="20">
        <v>6</v>
      </c>
      <c r="B11" s="21" t="s">
        <v>588</v>
      </c>
      <c r="C11" s="20" t="s">
        <v>345</v>
      </c>
      <c r="D11" s="26">
        <v>15</v>
      </c>
      <c r="E11" s="20">
        <v>4</v>
      </c>
      <c r="F11" s="26" t="s">
        <v>274</v>
      </c>
      <c r="G11" s="26">
        <v>40</v>
      </c>
      <c r="H11" s="26">
        <v>75</v>
      </c>
      <c r="I11" s="26">
        <f t="shared" si="0"/>
        <v>7.7</v>
      </c>
      <c r="J11" s="21"/>
      <c r="K11" s="21" t="s">
        <v>589</v>
      </c>
      <c r="L11" s="21" t="s">
        <v>590</v>
      </c>
      <c r="O11" s="26"/>
    </row>
    <row r="12" spans="1:15" ht="16.5" customHeight="1">
      <c r="A12" s="20">
        <v>7</v>
      </c>
      <c r="B12" s="70" t="s">
        <v>591</v>
      </c>
      <c r="C12" s="20" t="s">
        <v>269</v>
      </c>
      <c r="D12" s="20">
        <v>6</v>
      </c>
      <c r="E12" s="20">
        <v>4</v>
      </c>
      <c r="F12" s="26" t="s">
        <v>274</v>
      </c>
      <c r="G12" s="26">
        <v>40</v>
      </c>
      <c r="H12" s="26">
        <v>70</v>
      </c>
      <c r="I12" s="26">
        <f t="shared" si="0"/>
        <v>7.3</v>
      </c>
      <c r="J12" s="21" t="s">
        <v>295</v>
      </c>
      <c r="K12" s="21" t="s">
        <v>592</v>
      </c>
      <c r="L12" s="21" t="s">
        <v>593</v>
      </c>
      <c r="O12" s="26"/>
    </row>
    <row r="13" spans="1:15" ht="16.5" customHeight="1">
      <c r="A13" s="20">
        <v>8</v>
      </c>
      <c r="B13" s="70" t="s">
        <v>594</v>
      </c>
      <c r="C13" s="20" t="s">
        <v>295</v>
      </c>
      <c r="D13" s="20">
        <v>10</v>
      </c>
      <c r="E13" s="20">
        <v>3</v>
      </c>
      <c r="F13" s="26" t="s">
        <v>436</v>
      </c>
      <c r="G13" s="26">
        <v>40</v>
      </c>
      <c r="H13" s="26">
        <v>60</v>
      </c>
      <c r="I13" s="26">
        <f t="shared" si="0"/>
        <v>5</v>
      </c>
      <c r="J13" s="21"/>
      <c r="K13" s="21" t="s">
        <v>595</v>
      </c>
      <c r="L13" s="21" t="s">
        <v>596</v>
      </c>
      <c r="O13" s="26"/>
    </row>
    <row r="14" spans="1:15" ht="16.5" customHeight="1">
      <c r="A14" s="20">
        <v>9</v>
      </c>
      <c r="B14" s="70" t="s">
        <v>387</v>
      </c>
      <c r="C14" s="20" t="s">
        <v>388</v>
      </c>
      <c r="D14" s="20" t="s">
        <v>597</v>
      </c>
      <c r="E14" s="20">
        <v>5</v>
      </c>
      <c r="F14" s="26" t="s">
        <v>289</v>
      </c>
      <c r="G14" s="26">
        <v>40</v>
      </c>
      <c r="H14" s="26">
        <v>10</v>
      </c>
      <c r="I14" s="26">
        <f t="shared" si="0"/>
        <v>4.2</v>
      </c>
      <c r="J14" s="21"/>
      <c r="K14" s="21" t="s">
        <v>598</v>
      </c>
      <c r="L14" s="21" t="s">
        <v>599</v>
      </c>
      <c r="N14" t="s">
        <v>391</v>
      </c>
      <c r="O14" s="26"/>
    </row>
    <row r="15" spans="1:15" ht="16.5" customHeight="1">
      <c r="A15" s="20">
        <v>10</v>
      </c>
      <c r="B15" s="70" t="s">
        <v>392</v>
      </c>
      <c r="C15" s="20" t="s">
        <v>393</v>
      </c>
      <c r="D15" s="20" t="s">
        <v>294</v>
      </c>
      <c r="E15" s="20">
        <v>5</v>
      </c>
      <c r="F15" s="26" t="s">
        <v>289</v>
      </c>
      <c r="G15" s="26">
        <v>40</v>
      </c>
      <c r="H15" s="26">
        <v>105</v>
      </c>
      <c r="I15" s="26">
        <f t="shared" si="0"/>
        <v>12.1</v>
      </c>
      <c r="J15" s="21"/>
      <c r="K15" s="21" t="s">
        <v>600</v>
      </c>
      <c r="L15" s="21" t="s">
        <v>601</v>
      </c>
      <c r="N15" t="s">
        <v>391</v>
      </c>
      <c r="O15" s="26"/>
    </row>
    <row r="16" spans="1:15" ht="16.5" customHeight="1">
      <c r="D16" s="3" t="s">
        <v>321</v>
      </c>
      <c r="E16" s="27">
        <f>SUM(E6:E15)</f>
        <v>36</v>
      </c>
      <c r="I16">
        <f>ROUND(SUM(I6:I15),0)</f>
        <v>70</v>
      </c>
    </row>
    <row r="17" spans="1:6" ht="16.5" customHeight="1">
      <c r="F17" s="76" t="s">
        <v>602</v>
      </c>
    </row>
    <row r="18" spans="1:6" ht="16.5" customHeight="1">
      <c r="A18" s="95" t="s">
        <v>603</v>
      </c>
    </row>
    <row r="19" spans="1:6" ht="16.5" customHeight="1">
      <c r="A19" t="s">
        <v>604</v>
      </c>
    </row>
    <row r="20" spans="1:6" ht="16.5" customHeight="1">
      <c r="A20" t="s">
        <v>605</v>
      </c>
    </row>
    <row r="21" spans="1:6" ht="16.5" customHeight="1">
      <c r="A21" t="s">
        <v>606</v>
      </c>
    </row>
    <row r="22" spans="1:6" ht="16.5" customHeight="1">
      <c r="A22" t="s">
        <v>607</v>
      </c>
    </row>
    <row r="23" spans="1:6" ht="16.5" customHeight="1"/>
    <row r="24" spans="1:6" ht="16.5" customHeight="1">
      <c r="A24" s="3" t="s">
        <v>608</v>
      </c>
    </row>
    <row r="25" spans="1:6" ht="16.5" customHeight="1">
      <c r="A25" s="31" t="s">
        <v>609</v>
      </c>
    </row>
    <row r="26" spans="1:6" ht="16.5" customHeight="1">
      <c r="A26" s="31" t="s">
        <v>610</v>
      </c>
    </row>
    <row r="27" spans="1:6" ht="16.5" customHeight="1">
      <c r="A27" s="31" t="s">
        <v>611</v>
      </c>
    </row>
    <row r="28" spans="1:6" ht="16.5" customHeight="1">
      <c r="A28" s="31" t="s">
        <v>612</v>
      </c>
    </row>
    <row r="29" spans="1:6" ht="16.5" customHeight="1">
      <c r="A29" s="3" t="s">
        <v>613</v>
      </c>
    </row>
    <row r="30" spans="1:6" ht="16.5" customHeight="1">
      <c r="A30" s="31" t="s">
        <v>614</v>
      </c>
    </row>
    <row r="31" spans="1:6" ht="16.5" customHeight="1">
      <c r="A31" s="31" t="s">
        <v>615</v>
      </c>
    </row>
    <row r="32" spans="1:6" ht="16.5" customHeight="1">
      <c r="A32" s="3" t="s">
        <v>616</v>
      </c>
    </row>
    <row r="33" spans="1:1" ht="16.5" customHeight="1">
      <c r="A33" s="31" t="s">
        <v>617</v>
      </c>
    </row>
    <row r="34" spans="1:1" ht="16.5" customHeight="1">
      <c r="A34" s="31" t="s">
        <v>618</v>
      </c>
    </row>
    <row r="35" spans="1:1" ht="16.5" customHeight="1">
      <c r="A35" s="31" t="s">
        <v>619</v>
      </c>
    </row>
    <row r="36" spans="1:1" ht="16.5" customHeight="1">
      <c r="A36" s="31" t="s">
        <v>620</v>
      </c>
    </row>
    <row r="37" spans="1:1" ht="16.5" customHeight="1">
      <c r="A37" s="3" t="s">
        <v>621</v>
      </c>
    </row>
    <row r="38" spans="1:1" ht="16.5" customHeight="1">
      <c r="A38" s="31" t="s">
        <v>622</v>
      </c>
    </row>
    <row r="39" spans="1:1" ht="16.5" customHeight="1">
      <c r="A39" s="31" t="s">
        <v>623</v>
      </c>
    </row>
    <row r="40" spans="1:1" ht="16.5" customHeight="1">
      <c r="A40" s="31" t="s">
        <v>624</v>
      </c>
    </row>
    <row r="41" spans="1:1">
      <c r="A41" s="31" t="s">
        <v>625</v>
      </c>
    </row>
    <row r="42" spans="1:1">
      <c r="A42" s="3" t="s">
        <v>626</v>
      </c>
    </row>
    <row r="43" spans="1:1">
      <c r="A43" s="31" t="s">
        <v>627</v>
      </c>
    </row>
    <row r="44" spans="1:1">
      <c r="A44" s="31" t="s">
        <v>628</v>
      </c>
    </row>
    <row r="45" spans="1:1">
      <c r="A45" s="31" t="s">
        <v>629</v>
      </c>
    </row>
    <row r="46" spans="1:1">
      <c r="A46" t="s">
        <v>630</v>
      </c>
    </row>
    <row r="47" spans="1:1">
      <c r="A47" t="s">
        <v>631</v>
      </c>
    </row>
    <row r="48" spans="1:1">
      <c r="A48" t="s">
        <v>632</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633</v>
      </c>
    </row>
    <row r="2" spans="1:8" ht="30" customHeight="1">
      <c r="A2" s="148" t="s">
        <v>634</v>
      </c>
      <c r="B2" s="147"/>
      <c r="C2" s="147"/>
      <c r="D2" s="147"/>
      <c r="E2" s="147"/>
      <c r="F2" s="147"/>
      <c r="G2" s="147"/>
      <c r="H2" s="147"/>
    </row>
    <row r="3" spans="1:8">
      <c r="A3" t="s">
        <v>635</v>
      </c>
      <c r="F3">
        <f ca="1">COUNTIF($E$7:$E$80,"?")</f>
        <v>0</v>
      </c>
    </row>
    <row r="4" spans="1:8" ht="39.75" customHeight="1">
      <c r="A4" s="146" t="s">
        <v>636</v>
      </c>
      <c r="B4" s="147"/>
      <c r="C4" s="147"/>
      <c r="D4" s="147"/>
      <c r="E4" s="147"/>
      <c r="F4" s="147"/>
      <c r="G4" s="147"/>
      <c r="H4" s="147"/>
    </row>
    <row r="6" spans="1:8" ht="15" customHeight="1">
      <c r="A6" s="44" t="s">
        <v>637</v>
      </c>
      <c r="B6" s="44" t="s">
        <v>638</v>
      </c>
      <c r="C6" s="44" t="s">
        <v>639</v>
      </c>
      <c r="D6" s="44" t="s">
        <v>640</v>
      </c>
      <c r="E6" s="44" t="s">
        <v>641</v>
      </c>
      <c r="F6" s="44" t="s">
        <v>642</v>
      </c>
      <c r="G6" s="44" t="s">
        <v>643</v>
      </c>
      <c r="H6" s="44" t="s">
        <v>644</v>
      </c>
    </row>
    <row r="7" spans="1:8" ht="15" customHeight="1">
      <c r="A7" s="45" t="s">
        <v>645</v>
      </c>
      <c r="B7" s="45" t="s">
        <v>266</v>
      </c>
      <c r="C7" s="45" t="s">
        <v>269</v>
      </c>
      <c r="D7" s="46">
        <v>0.5</v>
      </c>
      <c r="E7" s="47">
        <f t="shared" ref="E7:E38" ca="1" si="0">IFERROR(INDEX(INDIRECT("'"&amp;$A7&amp;"'!$E$1:$E$45"),MATCH($B7,INDIRECT("'"&amp;$A7&amp;"'!$B$1:$B$45"),0)),"?")</f>
        <v>4</v>
      </c>
      <c r="F7" s="48">
        <f t="shared" ref="F7:F38" ca="1" si="1">IF(ISNUMBER(E7),$D7*E7,0)</f>
        <v>2</v>
      </c>
      <c r="G7" s="49" t="s">
        <v>646</v>
      </c>
      <c r="H7" s="50" t="s">
        <v>647</v>
      </c>
    </row>
    <row r="8" spans="1:8" ht="15" customHeight="1">
      <c r="A8" s="45" t="s">
        <v>645</v>
      </c>
      <c r="B8" s="45" t="s">
        <v>273</v>
      </c>
      <c r="C8" s="45" t="s">
        <v>269</v>
      </c>
      <c r="D8" s="46">
        <v>0.2</v>
      </c>
      <c r="E8" s="47">
        <f t="shared" ca="1" si="0"/>
        <v>3</v>
      </c>
      <c r="F8" s="48">
        <f t="shared" ca="1" si="1"/>
        <v>0.60000000000000009</v>
      </c>
      <c r="G8" s="49" t="s">
        <v>646</v>
      </c>
      <c r="H8" s="50" t="s">
        <v>648</v>
      </c>
    </row>
    <row r="9" spans="1:8" ht="15" customHeight="1">
      <c r="A9" s="45" t="s">
        <v>649</v>
      </c>
      <c r="B9" s="45" t="s">
        <v>465</v>
      </c>
      <c r="C9" s="45" t="s">
        <v>269</v>
      </c>
      <c r="D9" s="46">
        <v>0.2</v>
      </c>
      <c r="E9" s="47">
        <f t="shared" ca="1" si="0"/>
        <v>4</v>
      </c>
      <c r="F9" s="48">
        <f t="shared" ca="1" si="1"/>
        <v>0.8</v>
      </c>
      <c r="G9" s="49" t="s">
        <v>646</v>
      </c>
      <c r="H9" s="50" t="s">
        <v>650</v>
      </c>
    </row>
    <row r="10" spans="1:8" ht="15" customHeight="1">
      <c r="A10" s="45" t="s">
        <v>649</v>
      </c>
      <c r="B10" s="45" t="s">
        <v>469</v>
      </c>
      <c r="C10" s="45" t="s">
        <v>269</v>
      </c>
      <c r="D10" s="46">
        <v>0.33</v>
      </c>
      <c r="E10" s="47">
        <f t="shared" ca="1" si="0"/>
        <v>2</v>
      </c>
      <c r="F10" s="48">
        <f t="shared" ca="1" si="1"/>
        <v>0.66</v>
      </c>
      <c r="G10" s="49" t="s">
        <v>646</v>
      </c>
      <c r="H10" s="50" t="s">
        <v>651</v>
      </c>
    </row>
    <row r="11" spans="1:8" ht="15" customHeight="1">
      <c r="A11" s="45" t="s">
        <v>652</v>
      </c>
      <c r="B11" s="45" t="s">
        <v>336</v>
      </c>
      <c r="C11" s="45" t="s">
        <v>345</v>
      </c>
      <c r="D11" s="46">
        <v>0.33</v>
      </c>
      <c r="E11" s="47">
        <f t="shared" ca="1" si="0"/>
        <v>5</v>
      </c>
      <c r="F11" s="48">
        <f t="shared" ca="1" si="1"/>
        <v>1.6500000000000001</v>
      </c>
      <c r="G11" s="49" t="s">
        <v>646</v>
      </c>
      <c r="H11" s="50" t="s">
        <v>653</v>
      </c>
    </row>
    <row r="12" spans="1:8" ht="15" customHeight="1">
      <c r="A12" s="45" t="s">
        <v>652</v>
      </c>
      <c r="B12" s="45" t="s">
        <v>343</v>
      </c>
      <c r="C12" s="45" t="s">
        <v>345</v>
      </c>
      <c r="D12" s="46">
        <v>0.5</v>
      </c>
      <c r="E12" s="47">
        <f t="shared" ca="1" si="0"/>
        <v>4</v>
      </c>
      <c r="F12" s="48">
        <f t="shared" ca="1" si="1"/>
        <v>2</v>
      </c>
      <c r="G12" s="49" t="s">
        <v>646</v>
      </c>
      <c r="H12" s="50" t="s">
        <v>654</v>
      </c>
    </row>
    <row r="13" spans="1:8" ht="15" customHeight="1">
      <c r="A13" s="45" t="s">
        <v>655</v>
      </c>
      <c r="B13" s="45" t="s">
        <v>503</v>
      </c>
      <c r="C13" s="45" t="s">
        <v>345</v>
      </c>
      <c r="D13" s="46">
        <v>0.33</v>
      </c>
      <c r="E13" s="47">
        <f t="shared" ca="1" si="0"/>
        <v>3</v>
      </c>
      <c r="F13" s="48">
        <f t="shared" ca="1" si="1"/>
        <v>0.99</v>
      </c>
      <c r="G13" s="49" t="s">
        <v>646</v>
      </c>
      <c r="H13" s="50" t="s">
        <v>656</v>
      </c>
    </row>
    <row r="14" spans="1:8" ht="15" customHeight="1">
      <c r="A14" s="45" t="s">
        <v>655</v>
      </c>
      <c r="B14" s="45" t="s">
        <v>517</v>
      </c>
      <c r="C14" s="45" t="s">
        <v>345</v>
      </c>
      <c r="D14" s="46">
        <v>0.5</v>
      </c>
      <c r="E14" s="47">
        <f t="shared" ca="1" si="0"/>
        <v>3</v>
      </c>
      <c r="F14" s="48">
        <f t="shared" ca="1" si="1"/>
        <v>1.5</v>
      </c>
      <c r="G14" s="49" t="s">
        <v>646</v>
      </c>
      <c r="H14" s="50" t="s">
        <v>657</v>
      </c>
    </row>
    <row r="15" spans="1:8" ht="15" customHeight="1">
      <c r="A15" s="45" t="s">
        <v>658</v>
      </c>
      <c r="B15" s="45" t="s">
        <v>422</v>
      </c>
      <c r="C15" s="45" t="s">
        <v>345</v>
      </c>
      <c r="D15" s="46">
        <v>0.5</v>
      </c>
      <c r="E15" s="47">
        <f t="shared" ca="1" si="0"/>
        <v>3</v>
      </c>
      <c r="F15" s="48">
        <f t="shared" ca="1" si="1"/>
        <v>1.5</v>
      </c>
      <c r="G15" s="49" t="s">
        <v>659</v>
      </c>
      <c r="H15" s="50" t="s">
        <v>660</v>
      </c>
    </row>
    <row r="16" spans="1:8" ht="15" customHeight="1">
      <c r="A16" s="45" t="s">
        <v>661</v>
      </c>
      <c r="B16" s="45" t="s">
        <v>591</v>
      </c>
      <c r="C16" s="45" t="s">
        <v>295</v>
      </c>
      <c r="D16" s="46">
        <v>0.33</v>
      </c>
      <c r="E16" s="47">
        <f t="shared" ca="1" si="0"/>
        <v>4</v>
      </c>
      <c r="F16" s="48">
        <f t="shared" ca="1" si="1"/>
        <v>1.32</v>
      </c>
      <c r="G16" s="49" t="s">
        <v>646</v>
      </c>
      <c r="H16" s="50" t="s">
        <v>662</v>
      </c>
    </row>
    <row r="17" spans="1:8" ht="15" customHeight="1">
      <c r="A17" s="45" t="s">
        <v>649</v>
      </c>
      <c r="B17" s="45" t="s">
        <v>481</v>
      </c>
      <c r="C17" s="45" t="s">
        <v>295</v>
      </c>
      <c r="D17" s="46">
        <v>0.33</v>
      </c>
      <c r="E17" s="47">
        <f t="shared" ca="1" si="0"/>
        <v>4</v>
      </c>
      <c r="F17" s="48">
        <f t="shared" ca="1" si="1"/>
        <v>1.32</v>
      </c>
      <c r="G17" s="49" t="s">
        <v>646</v>
      </c>
      <c r="H17" s="50" t="s">
        <v>663</v>
      </c>
    </row>
    <row r="18" spans="1:8" ht="15" customHeight="1">
      <c r="A18" s="45" t="s">
        <v>649</v>
      </c>
      <c r="B18" s="45" t="s">
        <v>484</v>
      </c>
      <c r="C18" s="45" t="s">
        <v>295</v>
      </c>
      <c r="D18" s="46">
        <v>0</v>
      </c>
      <c r="E18" s="47">
        <f t="shared" ca="1" si="0"/>
        <v>4</v>
      </c>
      <c r="F18" s="48">
        <f t="shared" ca="1" si="1"/>
        <v>0</v>
      </c>
      <c r="G18" s="49" t="s">
        <v>646</v>
      </c>
      <c r="H18" s="50" t="s">
        <v>664</v>
      </c>
    </row>
    <row r="19" spans="1:8" ht="15" customHeight="1">
      <c r="A19" s="45" t="s">
        <v>652</v>
      </c>
      <c r="B19" s="45" t="s">
        <v>336</v>
      </c>
      <c r="C19" s="45" t="s">
        <v>429</v>
      </c>
      <c r="D19" s="46">
        <v>0.33</v>
      </c>
      <c r="E19" s="47">
        <f t="shared" ca="1" si="0"/>
        <v>5</v>
      </c>
      <c r="F19" s="48">
        <f t="shared" ca="1" si="1"/>
        <v>1.6500000000000001</v>
      </c>
      <c r="G19" s="49" t="s">
        <v>646</v>
      </c>
      <c r="H19" s="50" t="s">
        <v>665</v>
      </c>
    </row>
    <row r="20" spans="1:8" ht="15" customHeight="1">
      <c r="A20" s="45" t="s">
        <v>658</v>
      </c>
      <c r="B20" s="45" t="s">
        <v>422</v>
      </c>
      <c r="C20" s="45" t="s">
        <v>429</v>
      </c>
      <c r="D20" s="46">
        <v>0.5</v>
      </c>
      <c r="E20" s="47">
        <f t="shared" ca="1" si="0"/>
        <v>3</v>
      </c>
      <c r="F20" s="48">
        <f t="shared" ca="1" si="1"/>
        <v>1.5</v>
      </c>
      <c r="G20" s="49" t="s">
        <v>659</v>
      </c>
      <c r="H20" s="50" t="s">
        <v>666</v>
      </c>
    </row>
    <row r="21" spans="1:8" ht="15" customHeight="1">
      <c r="A21" s="45" t="s">
        <v>655</v>
      </c>
      <c r="B21" s="45" t="s">
        <v>517</v>
      </c>
      <c r="C21" s="45" t="s">
        <v>429</v>
      </c>
      <c r="D21" s="46">
        <v>0.5</v>
      </c>
      <c r="E21" s="47">
        <f t="shared" ca="1" si="0"/>
        <v>3</v>
      </c>
      <c r="F21" s="48">
        <f t="shared" ca="1" si="1"/>
        <v>1.5</v>
      </c>
      <c r="G21" s="49" t="s">
        <v>646</v>
      </c>
      <c r="H21" s="50" t="s">
        <v>667</v>
      </c>
    </row>
    <row r="22" spans="1:8" ht="15" customHeight="1">
      <c r="A22" s="45" t="s">
        <v>655</v>
      </c>
      <c r="B22" s="45" t="s">
        <v>503</v>
      </c>
      <c r="C22" s="45" t="s">
        <v>354</v>
      </c>
      <c r="D22" s="46">
        <v>0.33</v>
      </c>
      <c r="E22" s="47">
        <f t="shared" ca="1" si="0"/>
        <v>3</v>
      </c>
      <c r="F22" s="48">
        <f t="shared" ca="1" si="1"/>
        <v>0.99</v>
      </c>
      <c r="G22" s="49" t="s">
        <v>646</v>
      </c>
      <c r="H22" s="50" t="s">
        <v>668</v>
      </c>
    </row>
    <row r="23" spans="1:8" ht="15" customHeight="1">
      <c r="A23" s="45" t="s">
        <v>655</v>
      </c>
      <c r="B23" s="45" t="s">
        <v>508</v>
      </c>
      <c r="C23" s="45" t="s">
        <v>354</v>
      </c>
      <c r="D23" s="46">
        <v>0.33</v>
      </c>
      <c r="E23" s="47">
        <f t="shared" ca="1" si="0"/>
        <v>3</v>
      </c>
      <c r="F23" s="48">
        <f t="shared" ca="1" si="1"/>
        <v>0.99</v>
      </c>
      <c r="G23" s="52" t="s">
        <v>659</v>
      </c>
      <c r="H23" s="50" t="s">
        <v>669</v>
      </c>
    </row>
    <row r="24" spans="1:8" ht="15" customHeight="1">
      <c r="A24" s="45" t="s">
        <v>661</v>
      </c>
      <c r="B24" s="45" t="s">
        <v>508</v>
      </c>
      <c r="C24" s="45" t="s">
        <v>354</v>
      </c>
      <c r="D24" s="46">
        <v>0.33</v>
      </c>
      <c r="E24" s="47">
        <f t="shared" ca="1" si="0"/>
        <v>3</v>
      </c>
      <c r="F24" s="48">
        <f t="shared" ca="1" si="1"/>
        <v>0.99</v>
      </c>
      <c r="G24" s="52" t="s">
        <v>659</v>
      </c>
      <c r="H24" s="50" t="s">
        <v>670</v>
      </c>
    </row>
    <row r="25" spans="1:8" ht="15" customHeight="1">
      <c r="A25" s="45" t="s">
        <v>645</v>
      </c>
      <c r="B25" s="45" t="s">
        <v>288</v>
      </c>
      <c r="C25" s="45" t="s">
        <v>358</v>
      </c>
      <c r="D25" s="46">
        <v>0.5</v>
      </c>
      <c r="E25" s="47">
        <f t="shared" ca="1" si="0"/>
        <v>3</v>
      </c>
      <c r="F25" s="48">
        <f t="shared" ca="1" si="1"/>
        <v>1.5</v>
      </c>
      <c r="G25" s="49" t="s">
        <v>646</v>
      </c>
      <c r="H25" s="50" t="s">
        <v>671</v>
      </c>
    </row>
    <row r="26" spans="1:8" ht="15" customHeight="1">
      <c r="A26" s="45" t="s">
        <v>661</v>
      </c>
      <c r="B26" s="45" t="s">
        <v>529</v>
      </c>
      <c r="C26" s="45" t="s">
        <v>358</v>
      </c>
      <c r="D26" s="46">
        <v>0.5</v>
      </c>
      <c r="E26" s="47">
        <f t="shared" ca="1" si="0"/>
        <v>3</v>
      </c>
      <c r="F26" s="48">
        <f t="shared" ca="1" si="1"/>
        <v>1.5</v>
      </c>
      <c r="G26" s="52" t="s">
        <v>659</v>
      </c>
      <c r="H26" s="50" t="s">
        <v>672</v>
      </c>
    </row>
    <row r="27" spans="1:8" ht="15" customHeight="1">
      <c r="A27" s="45" t="s">
        <v>655</v>
      </c>
      <c r="B27" s="45" t="s">
        <v>529</v>
      </c>
      <c r="C27" s="45" t="s">
        <v>358</v>
      </c>
      <c r="D27" s="46">
        <v>0.5</v>
      </c>
      <c r="E27" s="47">
        <f t="shared" ca="1" si="0"/>
        <v>3</v>
      </c>
      <c r="F27" s="48">
        <f t="shared" ca="1" si="1"/>
        <v>1.5</v>
      </c>
      <c r="G27" s="49" t="s">
        <v>646</v>
      </c>
      <c r="H27" s="51" t="s">
        <v>673</v>
      </c>
    </row>
    <row r="28" spans="1:8" ht="15" customHeight="1">
      <c r="A28" s="45" t="s">
        <v>649</v>
      </c>
      <c r="B28" s="45" t="s">
        <v>465</v>
      </c>
      <c r="C28" s="45" t="s">
        <v>267</v>
      </c>
      <c r="D28" s="46">
        <v>0.5</v>
      </c>
      <c r="E28" s="47">
        <f t="shared" ca="1" si="0"/>
        <v>4</v>
      </c>
      <c r="F28" s="48">
        <f t="shared" ca="1" si="1"/>
        <v>2</v>
      </c>
      <c r="G28" s="49" t="s">
        <v>646</v>
      </c>
      <c r="H28" s="50" t="s">
        <v>674</v>
      </c>
    </row>
    <row r="29" spans="1:8" ht="15" customHeight="1">
      <c r="A29" s="45" t="s">
        <v>649</v>
      </c>
      <c r="B29" s="45" t="s">
        <v>469</v>
      </c>
      <c r="C29" s="45" t="s">
        <v>282</v>
      </c>
      <c r="D29" s="46">
        <v>0.5</v>
      </c>
      <c r="E29" s="47">
        <f t="shared" ca="1" si="0"/>
        <v>2</v>
      </c>
      <c r="F29" s="48">
        <f t="shared" ca="1" si="1"/>
        <v>1</v>
      </c>
      <c r="G29" s="49" t="s">
        <v>646</v>
      </c>
      <c r="H29" s="50" t="s">
        <v>675</v>
      </c>
    </row>
    <row r="30" spans="1:8" ht="15" customHeight="1">
      <c r="A30" s="45" t="s">
        <v>649</v>
      </c>
      <c r="B30" s="45" t="s">
        <v>410</v>
      </c>
      <c r="C30" s="45" t="s">
        <v>282</v>
      </c>
      <c r="D30" s="46">
        <v>0.5</v>
      </c>
      <c r="E30" s="47">
        <f t="shared" ca="1" si="0"/>
        <v>0</v>
      </c>
      <c r="F30" s="48">
        <f t="shared" ca="1" si="1"/>
        <v>0</v>
      </c>
      <c r="G30" s="49" t="s">
        <v>646</v>
      </c>
      <c r="H30" s="50" t="s">
        <v>675</v>
      </c>
    </row>
    <row r="31" spans="1:8" ht="15" customHeight="1">
      <c r="A31" s="45" t="s">
        <v>676</v>
      </c>
      <c r="B31" s="45" t="s">
        <v>556</v>
      </c>
      <c r="C31" s="45" t="s">
        <v>384</v>
      </c>
      <c r="D31" s="46">
        <v>0.2</v>
      </c>
      <c r="E31" s="47">
        <f t="shared" ca="1" si="0"/>
        <v>4</v>
      </c>
      <c r="F31" s="48">
        <f t="shared" ca="1" si="1"/>
        <v>0.8</v>
      </c>
      <c r="G31" s="49" t="s">
        <v>646</v>
      </c>
      <c r="H31" s="50" t="s">
        <v>677</v>
      </c>
    </row>
    <row r="32" spans="1:8" ht="15" customHeight="1">
      <c r="A32" s="45" t="s">
        <v>676</v>
      </c>
      <c r="B32" s="45" t="s">
        <v>550</v>
      </c>
      <c r="C32" s="45" t="s">
        <v>384</v>
      </c>
      <c r="D32" s="46">
        <v>0.33</v>
      </c>
      <c r="E32" s="47">
        <f t="shared" ca="1" si="0"/>
        <v>1</v>
      </c>
      <c r="F32" s="48">
        <f t="shared" ca="1" si="1"/>
        <v>0.33</v>
      </c>
      <c r="G32" s="49" t="s">
        <v>646</v>
      </c>
      <c r="H32" s="50" t="s">
        <v>678</v>
      </c>
    </row>
    <row r="33" spans="1:8" ht="15" customHeight="1">
      <c r="A33" s="45" t="s">
        <v>645</v>
      </c>
      <c r="B33" s="45" t="s">
        <v>312</v>
      </c>
      <c r="C33" s="45" t="s">
        <v>384</v>
      </c>
      <c r="D33" s="46">
        <v>0.5</v>
      </c>
      <c r="E33" s="47">
        <f t="shared" ca="1" si="0"/>
        <v>3</v>
      </c>
      <c r="F33" s="48">
        <f t="shared" ca="1" si="1"/>
        <v>1.5</v>
      </c>
      <c r="G33" s="49" t="s">
        <v>646</v>
      </c>
      <c r="H33" s="50" t="s">
        <v>679</v>
      </c>
    </row>
    <row r="34" spans="1:8" ht="15" customHeight="1">
      <c r="A34" s="45" t="s">
        <v>680</v>
      </c>
      <c r="B34" s="45" t="s">
        <v>368</v>
      </c>
      <c r="C34" s="45" t="s">
        <v>375</v>
      </c>
      <c r="D34" s="46">
        <v>0.5</v>
      </c>
      <c r="E34" s="47">
        <f t="shared" ca="1" si="0"/>
        <v>5</v>
      </c>
      <c r="F34" s="48">
        <f t="shared" ca="1" si="1"/>
        <v>2.5</v>
      </c>
      <c r="G34" s="49" t="s">
        <v>646</v>
      </c>
      <c r="H34" s="50" t="s">
        <v>681</v>
      </c>
    </row>
    <row r="35" spans="1:8" ht="15" customHeight="1">
      <c r="A35" s="45" t="s">
        <v>680</v>
      </c>
      <c r="B35" s="45" t="s">
        <v>374</v>
      </c>
      <c r="C35" s="45" t="s">
        <v>375</v>
      </c>
      <c r="D35" s="46">
        <v>0.33</v>
      </c>
      <c r="E35" s="47">
        <f t="shared" ca="1" si="0"/>
        <v>3</v>
      </c>
      <c r="F35" s="48">
        <f t="shared" ca="1" si="1"/>
        <v>0.99</v>
      </c>
      <c r="G35" s="49" t="s">
        <v>646</v>
      </c>
      <c r="H35" s="50" t="s">
        <v>682</v>
      </c>
    </row>
    <row r="36" spans="1:8" ht="15" customHeight="1">
      <c r="A36" s="45" t="s">
        <v>676</v>
      </c>
      <c r="B36" s="45" t="s">
        <v>550</v>
      </c>
      <c r="C36" s="45" t="s">
        <v>375</v>
      </c>
      <c r="D36" s="46">
        <v>0.5</v>
      </c>
      <c r="E36" s="47">
        <f t="shared" ca="1" si="0"/>
        <v>1</v>
      </c>
      <c r="F36" s="48">
        <f t="shared" ca="1" si="1"/>
        <v>0.5</v>
      </c>
      <c r="G36" s="49" t="s">
        <v>646</v>
      </c>
      <c r="H36" s="50" t="s">
        <v>683</v>
      </c>
    </row>
    <row r="37" spans="1:8" ht="15" customHeight="1">
      <c r="A37" s="45" t="s">
        <v>676</v>
      </c>
      <c r="B37" s="45" t="s">
        <v>559</v>
      </c>
      <c r="C37" s="45" t="s">
        <v>375</v>
      </c>
      <c r="D37" s="46">
        <v>0.5</v>
      </c>
      <c r="E37" s="47">
        <f t="shared" ca="1" si="0"/>
        <v>3</v>
      </c>
      <c r="F37" s="48">
        <f t="shared" ca="1" si="1"/>
        <v>1.5</v>
      </c>
      <c r="G37" s="49" t="s">
        <v>646</v>
      </c>
      <c r="H37" s="50" t="s">
        <v>684</v>
      </c>
    </row>
    <row r="38" spans="1:8" ht="15" customHeight="1">
      <c r="A38" s="45" t="s">
        <v>645</v>
      </c>
      <c r="B38" s="45" t="s">
        <v>312</v>
      </c>
      <c r="C38" s="45" t="s">
        <v>375</v>
      </c>
      <c r="D38" s="46">
        <v>0.5</v>
      </c>
      <c r="E38" s="47">
        <f t="shared" ca="1" si="0"/>
        <v>3</v>
      </c>
      <c r="F38" s="48">
        <f t="shared" ca="1" si="1"/>
        <v>1.5</v>
      </c>
      <c r="G38" s="49" t="s">
        <v>646</v>
      </c>
      <c r="H38" s="50" t="s">
        <v>685</v>
      </c>
    </row>
    <row r="39" spans="1:8" ht="15" customHeight="1">
      <c r="A39" s="45" t="s">
        <v>680</v>
      </c>
      <c r="B39" s="45" t="s">
        <v>368</v>
      </c>
      <c r="C39" s="45" t="s">
        <v>313</v>
      </c>
      <c r="D39" s="46">
        <v>0</v>
      </c>
      <c r="E39" s="47">
        <f t="shared" ref="E39:E75" ca="1" si="2">IFERROR(INDEX(INDIRECT("'"&amp;$A39&amp;"'!$E$1:$E$45"),MATCH($B39,INDIRECT("'"&amp;$A39&amp;"'!$B$1:$B$45"),0)),"?")</f>
        <v>5</v>
      </c>
      <c r="F39" s="48">
        <f t="shared" ref="F39:F70" ca="1" si="3">IF(ISNUMBER(E39),$D39*E39,0)</f>
        <v>0</v>
      </c>
      <c r="G39" s="49" t="s">
        <v>646</v>
      </c>
      <c r="H39" s="50" t="s">
        <v>686</v>
      </c>
    </row>
    <row r="40" spans="1:8" ht="15" customHeight="1">
      <c r="A40" s="45" t="s">
        <v>649</v>
      </c>
      <c r="B40" s="45" t="s">
        <v>484</v>
      </c>
      <c r="C40" s="45" t="s">
        <v>313</v>
      </c>
      <c r="D40" s="46">
        <v>0</v>
      </c>
      <c r="E40" s="47">
        <f t="shared" ca="1" si="2"/>
        <v>4</v>
      </c>
      <c r="F40" s="48">
        <f t="shared" ca="1" si="3"/>
        <v>0</v>
      </c>
      <c r="G40" s="49" t="s">
        <v>646</v>
      </c>
      <c r="H40" s="50" t="s">
        <v>687</v>
      </c>
    </row>
    <row r="41" spans="1:8" ht="15" customHeight="1">
      <c r="A41" s="45" t="s">
        <v>676</v>
      </c>
      <c r="B41" s="45" t="s">
        <v>559</v>
      </c>
      <c r="C41" s="45" t="s">
        <v>313</v>
      </c>
      <c r="D41" s="46">
        <v>0.5</v>
      </c>
      <c r="E41" s="47">
        <f t="shared" ca="1" si="2"/>
        <v>3</v>
      </c>
      <c r="F41" s="48">
        <f t="shared" ca="1" si="3"/>
        <v>1.5</v>
      </c>
      <c r="G41" s="49" t="s">
        <v>646</v>
      </c>
      <c r="H41" s="51" t="s">
        <v>688</v>
      </c>
    </row>
    <row r="42" spans="1:8" ht="15" customHeight="1">
      <c r="A42" s="45" t="s">
        <v>680</v>
      </c>
      <c r="B42" s="45" t="s">
        <v>378</v>
      </c>
      <c r="C42" s="45" t="s">
        <v>369</v>
      </c>
      <c r="D42" s="46">
        <v>0.5</v>
      </c>
      <c r="E42" s="47">
        <f t="shared" ca="1" si="2"/>
        <v>3</v>
      </c>
      <c r="F42" s="48">
        <f t="shared" ca="1" si="3"/>
        <v>1.5</v>
      </c>
      <c r="G42" s="49" t="s">
        <v>646</v>
      </c>
      <c r="H42" s="50" t="s">
        <v>689</v>
      </c>
    </row>
    <row r="43" spans="1:8" ht="15" customHeight="1">
      <c r="A43" s="45" t="s">
        <v>680</v>
      </c>
      <c r="B43" s="45" t="s">
        <v>378</v>
      </c>
      <c r="C43" s="45" t="s">
        <v>393</v>
      </c>
      <c r="D43" s="46">
        <v>0.33</v>
      </c>
      <c r="E43" s="47">
        <f t="shared" ca="1" si="2"/>
        <v>3</v>
      </c>
      <c r="F43" s="48">
        <f t="shared" ca="1" si="3"/>
        <v>0.99</v>
      </c>
      <c r="G43" s="49" t="s">
        <v>646</v>
      </c>
      <c r="H43" s="50" t="s">
        <v>690</v>
      </c>
    </row>
    <row r="44" spans="1:8" ht="15" customHeight="1">
      <c r="A44" s="45" t="s">
        <v>676</v>
      </c>
      <c r="B44" s="45" t="s">
        <v>550</v>
      </c>
      <c r="C44" s="45" t="s">
        <v>267</v>
      </c>
      <c r="D44" s="46">
        <v>0</v>
      </c>
      <c r="E44" s="47">
        <f t="shared" ca="1" si="2"/>
        <v>1</v>
      </c>
      <c r="F44" s="48">
        <f t="shared" ca="1" si="3"/>
        <v>0</v>
      </c>
      <c r="G44" s="52" t="s">
        <v>659</v>
      </c>
      <c r="H44" s="50" t="s">
        <v>691</v>
      </c>
    </row>
    <row r="45" spans="1:8" ht="15" customHeight="1">
      <c r="A45" s="45" t="s">
        <v>680</v>
      </c>
      <c r="B45" s="45" t="s">
        <v>368</v>
      </c>
      <c r="C45" s="45" t="s">
        <v>388</v>
      </c>
      <c r="D45" s="46">
        <v>0.33</v>
      </c>
      <c r="E45" s="47">
        <f t="shared" ca="1" si="2"/>
        <v>5</v>
      </c>
      <c r="F45" s="48">
        <f t="shared" ca="1" si="3"/>
        <v>1.6500000000000001</v>
      </c>
      <c r="G45" s="52" t="s">
        <v>659</v>
      </c>
      <c r="H45" s="50" t="s">
        <v>692</v>
      </c>
    </row>
    <row r="46" spans="1:8" ht="15" customHeight="1">
      <c r="A46" s="45" t="s">
        <v>680</v>
      </c>
      <c r="B46" s="45" t="s">
        <v>374</v>
      </c>
      <c r="C46" s="45" t="s">
        <v>388</v>
      </c>
      <c r="D46" s="46">
        <v>0.33</v>
      </c>
      <c r="E46" s="47">
        <f t="shared" ca="1" si="2"/>
        <v>3</v>
      </c>
      <c r="F46" s="48">
        <f t="shared" ca="1" si="3"/>
        <v>0.99</v>
      </c>
      <c r="G46" s="52" t="s">
        <v>659</v>
      </c>
      <c r="H46" s="50" t="s">
        <v>693</v>
      </c>
    </row>
    <row r="47" spans="1:8" ht="15" customHeight="1">
      <c r="A47" s="45" t="s">
        <v>680</v>
      </c>
      <c r="B47" s="45" t="s">
        <v>378</v>
      </c>
      <c r="C47" s="45" t="s">
        <v>388</v>
      </c>
      <c r="D47" s="46">
        <v>0.33</v>
      </c>
      <c r="E47" s="47">
        <f t="shared" ca="1" si="2"/>
        <v>3</v>
      </c>
      <c r="F47" s="48">
        <f t="shared" ca="1" si="3"/>
        <v>0.99</v>
      </c>
      <c r="G47" s="52" t="s">
        <v>659</v>
      </c>
      <c r="H47" s="50" t="s">
        <v>694</v>
      </c>
    </row>
    <row r="48" spans="1:8" ht="15" customHeight="1">
      <c r="A48" s="45" t="s">
        <v>652</v>
      </c>
      <c r="B48" s="45" t="s">
        <v>336</v>
      </c>
      <c r="C48" s="45" t="s">
        <v>349</v>
      </c>
      <c r="D48" s="46">
        <v>0</v>
      </c>
      <c r="E48" s="47">
        <f t="shared" ca="1" si="2"/>
        <v>5</v>
      </c>
      <c r="F48" s="48">
        <f t="shared" ca="1" si="3"/>
        <v>0</v>
      </c>
      <c r="G48" s="52" t="s">
        <v>659</v>
      </c>
      <c r="H48" s="50" t="s">
        <v>695</v>
      </c>
    </row>
    <row r="49" spans="1:8" ht="15" customHeight="1">
      <c r="A49" s="45" t="s">
        <v>655</v>
      </c>
      <c r="B49" s="45" t="s">
        <v>517</v>
      </c>
      <c r="C49" s="45" t="s">
        <v>337</v>
      </c>
      <c r="D49" s="46">
        <v>0</v>
      </c>
      <c r="E49" s="47">
        <f t="shared" ca="1" si="2"/>
        <v>3</v>
      </c>
      <c r="F49" s="48">
        <f t="shared" ca="1" si="3"/>
        <v>0</v>
      </c>
      <c r="G49" s="52" t="s">
        <v>659</v>
      </c>
      <c r="H49" s="50" t="s">
        <v>696</v>
      </c>
    </row>
    <row r="50" spans="1:8" ht="15" customHeight="1">
      <c r="A50" s="45" t="s">
        <v>649</v>
      </c>
      <c r="B50" s="45" t="s">
        <v>465</v>
      </c>
      <c r="C50" s="45" t="s">
        <v>407</v>
      </c>
      <c r="D50" s="46">
        <v>0</v>
      </c>
      <c r="E50" s="47">
        <f t="shared" ca="1" si="2"/>
        <v>4</v>
      </c>
      <c r="F50" s="48">
        <f t="shared" ca="1" si="3"/>
        <v>0</v>
      </c>
      <c r="G50" s="52" t="s">
        <v>659</v>
      </c>
      <c r="H50" s="50" t="s">
        <v>697</v>
      </c>
    </row>
    <row r="51" spans="1:8" ht="15" customHeight="1">
      <c r="A51" s="45" t="s">
        <v>655</v>
      </c>
      <c r="B51" s="45" t="s">
        <v>503</v>
      </c>
      <c r="C51" s="45" t="s">
        <v>407</v>
      </c>
      <c r="D51" s="46">
        <v>0.2</v>
      </c>
      <c r="E51" s="47">
        <f t="shared" ca="1" si="2"/>
        <v>3</v>
      </c>
      <c r="F51" s="48">
        <f t="shared" ca="1" si="3"/>
        <v>0.60000000000000009</v>
      </c>
      <c r="G51" s="52" t="s">
        <v>659</v>
      </c>
      <c r="H51" s="50" t="s">
        <v>698</v>
      </c>
    </row>
    <row r="52" spans="1:8" ht="15" customHeight="1">
      <c r="A52" s="45" t="s">
        <v>676</v>
      </c>
      <c r="B52" s="45" t="s">
        <v>550</v>
      </c>
      <c r="C52" s="45" t="s">
        <v>407</v>
      </c>
      <c r="D52" s="46">
        <v>0</v>
      </c>
      <c r="E52" s="47">
        <f t="shared" ca="1" si="2"/>
        <v>1</v>
      </c>
      <c r="F52" s="48">
        <f t="shared" ca="1" si="3"/>
        <v>0</v>
      </c>
      <c r="G52" s="52" t="s">
        <v>659</v>
      </c>
      <c r="H52" s="50" t="s">
        <v>699</v>
      </c>
    </row>
    <row r="53" spans="1:8" ht="15" customHeight="1">
      <c r="A53" s="45" t="s">
        <v>645</v>
      </c>
      <c r="B53" s="45" t="s">
        <v>266</v>
      </c>
      <c r="C53" s="45" t="s">
        <v>418</v>
      </c>
      <c r="D53" s="46">
        <v>0.2</v>
      </c>
      <c r="E53" s="47">
        <f t="shared" ca="1" si="2"/>
        <v>4</v>
      </c>
      <c r="F53" s="48">
        <f t="shared" ca="1" si="3"/>
        <v>0.8</v>
      </c>
      <c r="G53" s="52" t="s">
        <v>659</v>
      </c>
      <c r="H53" s="50" t="s">
        <v>700</v>
      </c>
    </row>
    <row r="54" spans="1:8" ht="15" customHeight="1">
      <c r="A54" s="45" t="s">
        <v>649</v>
      </c>
      <c r="B54" s="45" t="s">
        <v>465</v>
      </c>
      <c r="C54" s="45" t="s">
        <v>418</v>
      </c>
      <c r="D54" s="46">
        <v>0.2</v>
      </c>
      <c r="E54" s="47">
        <f t="shared" ca="1" si="2"/>
        <v>4</v>
      </c>
      <c r="F54" s="48">
        <f t="shared" ca="1" si="3"/>
        <v>0.8</v>
      </c>
      <c r="G54" s="52" t="s">
        <v>659</v>
      </c>
      <c r="H54" s="50" t="s">
        <v>701</v>
      </c>
    </row>
    <row r="55" spans="1:8" ht="15" customHeight="1">
      <c r="A55" s="45" t="s">
        <v>652</v>
      </c>
      <c r="B55" s="45" t="s">
        <v>357</v>
      </c>
      <c r="C55" s="45" t="s">
        <v>282</v>
      </c>
      <c r="D55" s="46">
        <v>0.33</v>
      </c>
      <c r="E55" s="47">
        <f t="shared" ca="1" si="2"/>
        <v>5</v>
      </c>
      <c r="F55" s="48">
        <f t="shared" ca="1" si="3"/>
        <v>1.6500000000000001</v>
      </c>
      <c r="G55" s="52" t="s">
        <v>659</v>
      </c>
      <c r="H55" s="50" t="s">
        <v>702</v>
      </c>
    </row>
    <row r="56" spans="1:8" ht="15" customHeight="1">
      <c r="A56" s="45" t="s">
        <v>676</v>
      </c>
      <c r="B56" s="45" t="s">
        <v>374</v>
      </c>
      <c r="C56" s="45" t="s">
        <v>375</v>
      </c>
      <c r="D56" s="46">
        <v>0.33</v>
      </c>
      <c r="E56" s="47">
        <f t="shared" ca="1" si="2"/>
        <v>3</v>
      </c>
      <c r="F56" s="48">
        <f t="shared" ca="1" si="3"/>
        <v>0.99</v>
      </c>
      <c r="G56" s="52" t="s">
        <v>646</v>
      </c>
      <c r="H56" s="50" t="s">
        <v>703</v>
      </c>
    </row>
    <row r="57" spans="1:8" ht="15" customHeight="1">
      <c r="A57" s="45" t="s">
        <v>676</v>
      </c>
      <c r="B57" s="45" t="s">
        <v>374</v>
      </c>
      <c r="C57" s="45" t="s">
        <v>388</v>
      </c>
      <c r="D57" s="46">
        <v>0.33</v>
      </c>
      <c r="E57" s="47">
        <f t="shared" ca="1" si="2"/>
        <v>3</v>
      </c>
      <c r="F57" s="48">
        <f t="shared" ca="1" si="3"/>
        <v>0.99</v>
      </c>
      <c r="G57" s="52" t="s">
        <v>659</v>
      </c>
      <c r="H57" s="50" t="s">
        <v>704</v>
      </c>
    </row>
    <row r="58" spans="1:8" ht="15" customHeight="1">
      <c r="A58" s="45" t="s">
        <v>655</v>
      </c>
      <c r="B58" s="45" t="s">
        <v>508</v>
      </c>
      <c r="C58" s="45" t="s">
        <v>345</v>
      </c>
      <c r="D58" s="46">
        <v>0.5</v>
      </c>
      <c r="E58" s="47">
        <f t="shared" ca="1" si="2"/>
        <v>3</v>
      </c>
      <c r="F58" s="48">
        <f t="shared" ca="1" si="3"/>
        <v>1.5</v>
      </c>
      <c r="G58" s="52" t="s">
        <v>659</v>
      </c>
      <c r="H58" s="50" t="s">
        <v>705</v>
      </c>
    </row>
    <row r="59" spans="1:8" ht="15" customHeight="1">
      <c r="A59" s="45" t="s">
        <v>661</v>
      </c>
      <c r="B59" s="45" t="s">
        <v>508</v>
      </c>
      <c r="C59" s="45" t="s">
        <v>345</v>
      </c>
      <c r="D59" s="46">
        <v>0.5</v>
      </c>
      <c r="E59" s="47">
        <f t="shared" ca="1" si="2"/>
        <v>3</v>
      </c>
      <c r="F59" s="48">
        <f t="shared" ca="1" si="3"/>
        <v>1.5</v>
      </c>
      <c r="G59" s="52" t="s">
        <v>659</v>
      </c>
      <c r="H59" s="50" t="s">
        <v>706</v>
      </c>
    </row>
    <row r="60" spans="1:8" ht="15" customHeight="1">
      <c r="A60" s="45" t="s">
        <v>655</v>
      </c>
      <c r="B60" s="45" t="s">
        <v>514</v>
      </c>
      <c r="C60" s="45" t="s">
        <v>345</v>
      </c>
      <c r="D60" s="46">
        <v>0.5</v>
      </c>
      <c r="E60" s="47">
        <f t="shared" ca="1" si="2"/>
        <v>3</v>
      </c>
      <c r="F60" s="48">
        <f t="shared" ca="1" si="3"/>
        <v>1.5</v>
      </c>
      <c r="G60" s="52" t="s">
        <v>659</v>
      </c>
      <c r="H60" s="50" t="s">
        <v>707</v>
      </c>
    </row>
    <row r="61" spans="1:8" ht="15" customHeight="1">
      <c r="A61" s="45" t="s">
        <v>652</v>
      </c>
      <c r="B61" s="45" t="s">
        <v>343</v>
      </c>
      <c r="C61" s="45" t="s">
        <v>429</v>
      </c>
      <c r="D61" s="46">
        <v>0.2</v>
      </c>
      <c r="E61" s="47">
        <f t="shared" ca="1" si="2"/>
        <v>4</v>
      </c>
      <c r="F61" s="48">
        <f t="shared" ca="1" si="3"/>
        <v>0.8</v>
      </c>
      <c r="G61" s="52" t="s">
        <v>659</v>
      </c>
      <c r="H61" s="50" t="s">
        <v>708</v>
      </c>
    </row>
    <row r="62" spans="1:8" ht="15" customHeight="1">
      <c r="A62" s="45" t="s">
        <v>655</v>
      </c>
      <c r="B62" s="45" t="s">
        <v>514</v>
      </c>
      <c r="C62" s="45" t="s">
        <v>429</v>
      </c>
      <c r="D62" s="46">
        <v>0.33</v>
      </c>
      <c r="E62" s="47">
        <f t="shared" ca="1" si="2"/>
        <v>3</v>
      </c>
      <c r="F62" s="48">
        <f t="shared" ca="1" si="3"/>
        <v>0.99</v>
      </c>
      <c r="G62" s="52" t="s">
        <v>659</v>
      </c>
      <c r="H62" s="50" t="s">
        <v>709</v>
      </c>
    </row>
    <row r="63" spans="1:8" ht="15" customHeight="1">
      <c r="A63" s="45" t="s">
        <v>658</v>
      </c>
      <c r="B63" s="45" t="s">
        <v>439</v>
      </c>
      <c r="C63" s="45" t="s">
        <v>269</v>
      </c>
      <c r="D63" s="46">
        <v>0.2</v>
      </c>
      <c r="E63" s="47">
        <f t="shared" ca="1" si="2"/>
        <v>4</v>
      </c>
      <c r="F63" s="48">
        <f t="shared" ca="1" si="3"/>
        <v>0.8</v>
      </c>
      <c r="G63" s="52" t="s">
        <v>659</v>
      </c>
      <c r="H63" s="50" t="s">
        <v>710</v>
      </c>
    </row>
    <row r="64" spans="1:8" ht="15" customHeight="1">
      <c r="A64" s="45" t="s">
        <v>658</v>
      </c>
      <c r="B64" s="45" t="s">
        <v>410</v>
      </c>
      <c r="C64" s="45" t="s">
        <v>282</v>
      </c>
      <c r="D64" s="46">
        <v>0.33</v>
      </c>
      <c r="E64" s="47">
        <f t="shared" ca="1" si="2"/>
        <v>3</v>
      </c>
      <c r="F64" s="48">
        <f t="shared" ca="1" si="3"/>
        <v>0.99</v>
      </c>
      <c r="G64" s="52" t="s">
        <v>659</v>
      </c>
      <c r="H64" s="50" t="s">
        <v>711</v>
      </c>
    </row>
    <row r="65" spans="1:8" ht="15" customHeight="1">
      <c r="A65" s="45" t="s">
        <v>658</v>
      </c>
      <c r="B65" s="45" t="s">
        <v>406</v>
      </c>
      <c r="C65" s="45" t="s">
        <v>407</v>
      </c>
      <c r="D65" s="46">
        <v>0.33</v>
      </c>
      <c r="E65" s="47">
        <f t="shared" ca="1" si="2"/>
        <v>3</v>
      </c>
      <c r="F65" s="48">
        <f t="shared" ca="1" si="3"/>
        <v>0.99</v>
      </c>
      <c r="G65" s="52" t="s">
        <v>659</v>
      </c>
      <c r="H65" s="50" t="s">
        <v>712</v>
      </c>
    </row>
    <row r="66" spans="1:8" ht="15" customHeight="1">
      <c r="A66" s="45" t="s">
        <v>658</v>
      </c>
      <c r="B66" s="45" t="s">
        <v>414</v>
      </c>
      <c r="C66" s="45" t="s">
        <v>282</v>
      </c>
      <c r="D66" s="46">
        <v>0.33</v>
      </c>
      <c r="E66" s="47">
        <f t="shared" ca="1" si="2"/>
        <v>3</v>
      </c>
      <c r="F66" s="48">
        <f t="shared" ca="1" si="3"/>
        <v>0.99</v>
      </c>
      <c r="G66" s="52" t="s">
        <v>659</v>
      </c>
      <c r="H66" s="50" t="s">
        <v>713</v>
      </c>
    </row>
    <row r="67" spans="1:8" ht="15" customHeight="1">
      <c r="A67" s="45" t="s">
        <v>658</v>
      </c>
      <c r="B67" s="45" t="s">
        <v>293</v>
      </c>
      <c r="C67" s="45" t="s">
        <v>295</v>
      </c>
      <c r="D67" s="46">
        <v>0.33</v>
      </c>
      <c r="E67" s="47">
        <f t="shared" ca="1" si="2"/>
        <v>3</v>
      </c>
      <c r="F67" s="48">
        <f t="shared" ca="1" si="3"/>
        <v>0.99</v>
      </c>
      <c r="G67" s="52" t="s">
        <v>659</v>
      </c>
      <c r="H67" s="50" t="s">
        <v>714</v>
      </c>
    </row>
    <row r="68" spans="1:8" ht="15" customHeight="1">
      <c r="A68" s="45" t="s">
        <v>676</v>
      </c>
      <c r="B68" s="45" t="s">
        <v>554</v>
      </c>
      <c r="C68" s="45" t="s">
        <v>384</v>
      </c>
      <c r="D68" s="46">
        <v>0.33</v>
      </c>
      <c r="E68" s="47">
        <f t="shared" ca="1" si="2"/>
        <v>2</v>
      </c>
      <c r="F68" s="48">
        <f t="shared" ca="1" si="3"/>
        <v>0.66</v>
      </c>
      <c r="G68" s="49" t="s">
        <v>646</v>
      </c>
      <c r="H68" s="50" t="s">
        <v>715</v>
      </c>
    </row>
    <row r="69" spans="1:8">
      <c r="A69" s="45" t="s">
        <v>676</v>
      </c>
      <c r="B69" s="45" t="s">
        <v>554</v>
      </c>
      <c r="C69" s="45" t="s">
        <v>375</v>
      </c>
      <c r="D69" s="46">
        <v>0.5</v>
      </c>
      <c r="E69" s="47">
        <f t="shared" ca="1" si="2"/>
        <v>2</v>
      </c>
      <c r="F69" s="48">
        <f t="shared" ca="1" si="3"/>
        <v>1</v>
      </c>
      <c r="G69" s="49" t="s">
        <v>646</v>
      </c>
      <c r="H69" s="50" t="s">
        <v>716</v>
      </c>
    </row>
    <row r="70" spans="1:8">
      <c r="A70" s="45" t="s">
        <v>676</v>
      </c>
      <c r="B70" s="45" t="s">
        <v>554</v>
      </c>
      <c r="C70" s="45" t="s">
        <v>407</v>
      </c>
      <c r="D70" s="46">
        <v>0</v>
      </c>
      <c r="E70" s="47">
        <f t="shared" ca="1" si="2"/>
        <v>2</v>
      </c>
      <c r="F70" s="48">
        <f t="shared" ca="1" si="3"/>
        <v>0</v>
      </c>
      <c r="G70" s="49" t="s">
        <v>659</v>
      </c>
      <c r="H70" s="50" t="s">
        <v>717</v>
      </c>
    </row>
    <row r="71" spans="1:8">
      <c r="A71" t="s">
        <v>645</v>
      </c>
      <c r="B71" t="s">
        <v>281</v>
      </c>
      <c r="C71" t="s">
        <v>267</v>
      </c>
      <c r="D71">
        <v>0.5</v>
      </c>
      <c r="E71">
        <f t="shared" ca="1" si="2"/>
        <v>4</v>
      </c>
      <c r="F71">
        <f t="shared" ref="F71:F75" ca="1" si="4">IF(ISNUMBER(E71),$D71*E71,0)</f>
        <v>2</v>
      </c>
      <c r="G71" t="s">
        <v>659</v>
      </c>
      <c r="H71" t="s">
        <v>718</v>
      </c>
    </row>
    <row r="72" spans="1:8">
      <c r="A72" t="s">
        <v>645</v>
      </c>
      <c r="B72" t="s">
        <v>281</v>
      </c>
      <c r="C72" t="s">
        <v>269</v>
      </c>
      <c r="D72">
        <v>0.2</v>
      </c>
      <c r="E72">
        <f t="shared" ca="1" si="2"/>
        <v>4</v>
      </c>
      <c r="F72">
        <f t="shared" ca="1" si="4"/>
        <v>0.8</v>
      </c>
      <c r="G72" t="s">
        <v>659</v>
      </c>
      <c r="H72" t="s">
        <v>719</v>
      </c>
    </row>
    <row r="73" spans="1:8">
      <c r="A73" t="s">
        <v>645</v>
      </c>
      <c r="B73" t="s">
        <v>277</v>
      </c>
      <c r="C73" t="s">
        <v>269</v>
      </c>
      <c r="D73">
        <v>0.33</v>
      </c>
      <c r="E73">
        <f t="shared" ca="1" si="2"/>
        <v>2</v>
      </c>
      <c r="F73">
        <f t="shared" ca="1" si="4"/>
        <v>0.66</v>
      </c>
      <c r="G73" t="s">
        <v>646</v>
      </c>
      <c r="H73" t="s">
        <v>720</v>
      </c>
    </row>
    <row r="74" spans="1:8">
      <c r="A74" t="s">
        <v>649</v>
      </c>
      <c r="B74" t="s">
        <v>472</v>
      </c>
      <c r="C74" t="s">
        <v>269</v>
      </c>
      <c r="D74">
        <v>0.33</v>
      </c>
      <c r="E74">
        <f t="shared" ca="1" si="2"/>
        <v>2</v>
      </c>
      <c r="F74">
        <f t="shared" ca="1" si="4"/>
        <v>0.66</v>
      </c>
      <c r="G74" t="s">
        <v>646</v>
      </c>
      <c r="H74" t="s">
        <v>721</v>
      </c>
    </row>
    <row r="75" spans="1:8">
      <c r="A75" t="s">
        <v>649</v>
      </c>
      <c r="B75" t="s">
        <v>472</v>
      </c>
      <c r="C75" t="s">
        <v>282</v>
      </c>
      <c r="D75">
        <v>0.5</v>
      </c>
      <c r="E75">
        <f t="shared" ca="1" si="2"/>
        <v>2</v>
      </c>
      <c r="F75">
        <f t="shared" ca="1" si="4"/>
        <v>1</v>
      </c>
      <c r="G75" t="s">
        <v>646</v>
      </c>
      <c r="H75" t="s">
        <v>722</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723</v>
      </c>
      <c r="G1" s="80" t="s">
        <v>724</v>
      </c>
    </row>
    <row r="2" spans="1:12" ht="15" customHeight="1">
      <c r="A2" s="2" t="s">
        <v>725</v>
      </c>
      <c r="G2" s="81" t="s">
        <v>726</v>
      </c>
      <c r="H2" s="82">
        <v>10</v>
      </c>
      <c r="I2" s="81" t="s">
        <v>727</v>
      </c>
      <c r="J2" s="82">
        <v>244</v>
      </c>
      <c r="K2" s="81" t="s">
        <v>728</v>
      </c>
      <c r="L2" s="83">
        <f>B25</f>
        <v>240</v>
      </c>
    </row>
    <row r="3" spans="1:12">
      <c r="A3" s="84" t="str">
        <f>IF($H$3&lt;0,"⚠ 총량 상한 "&amp;ABS($H$3)&amp;"세트 초과 — 다른 종목에서 그만큼 빼기 전에는 추가 금지. 상한을 올리려면 아래 '상한 변경 이력'에 한 줄 남길 것.","")</f>
        <v/>
      </c>
      <c r="G3" s="81" t="s">
        <v>729</v>
      </c>
      <c r="H3" s="85">
        <f>$J$2-$L$2</f>
        <v>4</v>
      </c>
      <c r="I3" s="81" t="s">
        <v>730</v>
      </c>
      <c r="J3" s="85">
        <f>ROUND($L$2*7/$H$2,1)</f>
        <v>168</v>
      </c>
      <c r="K3" s="81" t="s">
        <v>731</v>
      </c>
      <c r="L3" s="85" t="str">
        <f>IF($H$3&lt;0,"INVALID","VALID")</f>
        <v>VALID</v>
      </c>
    </row>
    <row r="4" spans="1:12" ht="15" customHeight="1">
      <c r="A4" s="5" t="s">
        <v>254</v>
      </c>
      <c r="B4" s="5" t="s">
        <v>732</v>
      </c>
      <c r="C4" s="5" t="s">
        <v>733</v>
      </c>
      <c r="D4" s="5" t="s">
        <v>734</v>
      </c>
      <c r="E4" s="5" t="s">
        <v>735</v>
      </c>
      <c r="F4" s="5" t="s">
        <v>736</v>
      </c>
      <c r="J4" s="86" t="str">
        <f>"주당 환산 (×7/"&amp;$H$2&amp;")"</f>
        <v>주당 환산 (×7/10)</v>
      </c>
    </row>
    <row r="5" spans="1:12" ht="15" customHeight="1">
      <c r="A5" s="53" t="s">
        <v>349</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737</v>
      </c>
      <c r="G5" s="149" t="s">
        <v>738</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337</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739</v>
      </c>
      <c r="G6" s="150"/>
      <c r="J6" s="55">
        <f t="shared" ca="1" si="2"/>
        <v>12.6</v>
      </c>
      <c r="L6" s="55">
        <f t="shared" si="3"/>
        <v>12.6</v>
      </c>
    </row>
    <row r="7" spans="1:12" ht="15" customHeight="1">
      <c r="A7" s="53" t="s">
        <v>267</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740</v>
      </c>
      <c r="G7" s="149" t="s">
        <v>741</v>
      </c>
      <c r="H7" s="56">
        <f ca="1">SUM(D7:D10)</f>
        <v>56.5</v>
      </c>
      <c r="J7" s="55">
        <f t="shared" ca="1" si="2"/>
        <v>11.9</v>
      </c>
      <c r="L7" s="55">
        <f t="shared" si="3"/>
        <v>9.1</v>
      </c>
    </row>
    <row r="8" spans="1:12" ht="15" customHeight="1">
      <c r="A8" s="53" t="s">
        <v>407</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742</v>
      </c>
      <c r="G8" s="150"/>
      <c r="J8" s="55">
        <f t="shared" ca="1" si="2"/>
        <v>3.9</v>
      </c>
      <c r="L8" s="55">
        <f t="shared" si="3"/>
        <v>2.8</v>
      </c>
    </row>
    <row r="9" spans="1:12" ht="15" customHeight="1">
      <c r="A9" s="53" t="s">
        <v>418</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743</v>
      </c>
      <c r="G9" s="150"/>
      <c r="J9" s="55">
        <f t="shared" ca="1" si="2"/>
        <v>9.5</v>
      </c>
      <c r="L9" s="55">
        <f t="shared" si="3"/>
        <v>8.4</v>
      </c>
    </row>
    <row r="10" spans="1:12" ht="15" customHeight="1">
      <c r="A10" s="53" t="s">
        <v>282</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744</v>
      </c>
      <c r="G10" s="150"/>
      <c r="J10" s="55">
        <f t="shared" ca="1" si="2"/>
        <v>14.4</v>
      </c>
      <c r="L10" s="55">
        <f t="shared" si="3"/>
        <v>10.5</v>
      </c>
    </row>
    <row r="11" spans="1:12" ht="15" customHeight="1">
      <c r="A11" s="53" t="s">
        <v>313</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745</v>
      </c>
      <c r="G11" s="57"/>
      <c r="J11" s="55">
        <f t="shared" ca="1" si="2"/>
        <v>9.5</v>
      </c>
      <c r="L11" s="55">
        <f t="shared" si="3"/>
        <v>8.4</v>
      </c>
    </row>
    <row r="12" spans="1:12" ht="15" customHeight="1">
      <c r="A12" s="53" t="s">
        <v>429</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746</v>
      </c>
      <c r="G12" s="57"/>
      <c r="J12" s="55">
        <f t="shared" ca="1" si="2"/>
        <v>10.9</v>
      </c>
      <c r="L12" s="55">
        <f t="shared" si="3"/>
        <v>6.3</v>
      </c>
    </row>
    <row r="13" spans="1:12" ht="15" customHeight="1">
      <c r="A13" s="53" t="s">
        <v>354</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747</v>
      </c>
      <c r="G13" s="57"/>
      <c r="J13" s="55">
        <f t="shared" ca="1" si="2"/>
        <v>14.7</v>
      </c>
      <c r="L13" s="55">
        <f t="shared" si="3"/>
        <v>12.6</v>
      </c>
    </row>
    <row r="14" spans="1:12" ht="15" customHeight="1">
      <c r="A14" s="53" t="s">
        <v>358</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748</v>
      </c>
      <c r="G14" s="57"/>
      <c r="H14" s="56"/>
      <c r="J14" s="55">
        <f t="shared" ca="1" si="2"/>
        <v>15.1</v>
      </c>
      <c r="L14" s="55">
        <f t="shared" si="3"/>
        <v>11.9</v>
      </c>
    </row>
    <row r="15" spans="1:12" ht="15" customHeight="1">
      <c r="A15" s="53" t="s">
        <v>369</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378</v>
      </c>
      <c r="G15" s="58" t="s">
        <v>749</v>
      </c>
      <c r="H15" s="56">
        <f ca="1">SUM(D15:D16,D19)</f>
        <v>43</v>
      </c>
      <c r="J15" s="55">
        <f t="shared" ca="1" si="2"/>
        <v>11.6</v>
      </c>
      <c r="L15" s="55">
        <f t="shared" si="3"/>
        <v>10.5</v>
      </c>
    </row>
    <row r="16" spans="1:12" ht="15" customHeight="1">
      <c r="A16" s="53" t="s">
        <v>384</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750</v>
      </c>
      <c r="G16" s="57"/>
      <c r="J16" s="55">
        <f t="shared" ca="1" si="2"/>
        <v>9.5</v>
      </c>
      <c r="L16" s="55">
        <f t="shared" si="3"/>
        <v>7</v>
      </c>
    </row>
    <row r="17" spans="1:12" ht="15" customHeight="1">
      <c r="A17" s="53" t="s">
        <v>375</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751</v>
      </c>
      <c r="G17" s="149" t="s">
        <v>375</v>
      </c>
      <c r="H17" s="56">
        <f ca="1">SUM(D17:D18)</f>
        <v>29</v>
      </c>
      <c r="J17" s="55">
        <f t="shared" ca="1" si="2"/>
        <v>11.2</v>
      </c>
      <c r="L17" s="55">
        <f t="shared" si="3"/>
        <v>4.9000000000000004</v>
      </c>
    </row>
    <row r="18" spans="1:12" ht="15" customHeight="1">
      <c r="A18" s="53" t="s">
        <v>393</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752</v>
      </c>
      <c r="G18" s="150"/>
      <c r="J18" s="55">
        <f t="shared" ca="1" si="2"/>
        <v>9.1</v>
      </c>
      <c r="L18" s="55">
        <f t="shared" si="3"/>
        <v>8.4</v>
      </c>
    </row>
    <row r="19" spans="1:12" ht="15" customHeight="1">
      <c r="A19" s="53" t="s">
        <v>308</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753</v>
      </c>
      <c r="G19" s="57"/>
      <c r="J19" s="55">
        <f t="shared" si="2"/>
        <v>9.1</v>
      </c>
      <c r="L19" s="55">
        <f t="shared" si="3"/>
        <v>9.1</v>
      </c>
    </row>
    <row r="20" spans="1:12" ht="15" customHeight="1">
      <c r="A20" s="53" t="s">
        <v>269</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754</v>
      </c>
      <c r="G20" s="57"/>
      <c r="J20" s="55">
        <f t="shared" ca="1" si="2"/>
        <v>12.6</v>
      </c>
      <c r="L20" s="55">
        <f t="shared" si="3"/>
        <v>7.7</v>
      </c>
    </row>
    <row r="21" spans="1:12" ht="15" customHeight="1">
      <c r="A21" s="53" t="s">
        <v>345</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755</v>
      </c>
      <c r="G21" s="57"/>
      <c r="J21" s="55">
        <f t="shared" ca="1" si="2"/>
        <v>14</v>
      </c>
      <c r="L21" s="55">
        <f t="shared" si="3"/>
        <v>5.6</v>
      </c>
    </row>
    <row r="22" spans="1:12" ht="16.5" customHeight="1">
      <c r="A22" s="53" t="s">
        <v>295</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756</v>
      </c>
      <c r="G22" s="57"/>
      <c r="J22" s="55">
        <f t="shared" ca="1" si="2"/>
        <v>10.199999999999999</v>
      </c>
      <c r="L22" s="55">
        <f t="shared" si="3"/>
        <v>7.7</v>
      </c>
    </row>
    <row r="23" spans="1:12" ht="24" customHeight="1">
      <c r="A23" s="53" t="s">
        <v>299</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757</v>
      </c>
      <c r="G23" s="57"/>
      <c r="J23" s="55">
        <f t="shared" si="2"/>
        <v>9.1</v>
      </c>
      <c r="L23" s="55">
        <f t="shared" si="3"/>
        <v>9.1</v>
      </c>
    </row>
    <row r="24" spans="1:12" ht="15" customHeight="1">
      <c r="A24" s="53" t="s">
        <v>388</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758</v>
      </c>
      <c r="G24" s="57"/>
      <c r="J24" s="55">
        <f t="shared" ca="1" si="2"/>
        <v>9.5</v>
      </c>
      <c r="L24" s="55">
        <f t="shared" si="3"/>
        <v>6.3</v>
      </c>
    </row>
    <row r="25" spans="1:12" ht="36" customHeight="1">
      <c r="A25" s="60" t="s">
        <v>759</v>
      </c>
      <c r="B25" s="15">
        <f>SUM(B5:B24)</f>
        <v>240</v>
      </c>
      <c r="C25" s="61"/>
      <c r="D25" s="62">
        <f ca="1">SUM(D5:D24)</f>
        <v>310</v>
      </c>
      <c r="E25" s="61"/>
      <c r="F25" s="61"/>
      <c r="J25" s="62">
        <f t="shared" ca="1" si="2"/>
        <v>217</v>
      </c>
      <c r="L25" s="62">
        <f t="shared" si="3"/>
        <v>168</v>
      </c>
    </row>
    <row r="26" spans="1:12" ht="15" customHeight="1">
      <c r="A26" s="13" t="s">
        <v>760</v>
      </c>
    </row>
    <row r="27" spans="1:12" ht="16.5" customHeight="1">
      <c r="A27" s="11" t="s">
        <v>761</v>
      </c>
    </row>
    <row r="28" spans="1:12" ht="36" customHeight="1">
      <c r="A28" s="11" t="s">
        <v>762</v>
      </c>
    </row>
    <row r="29" spans="1:12" ht="48" customHeight="1">
      <c r="A29" s="11" t="s">
        <v>763</v>
      </c>
    </row>
    <row r="30" spans="1:12" ht="48" customHeight="1">
      <c r="A30" s="63"/>
    </row>
    <row r="31" spans="1:12" ht="15" customHeight="1">
      <c r="A31" s="13" t="s">
        <v>764</v>
      </c>
    </row>
    <row r="32" spans="1:12" ht="16.5" customHeight="1">
      <c r="A32" s="11" t="s">
        <v>765</v>
      </c>
    </row>
    <row r="33" spans="1:1" ht="48" customHeight="1">
      <c r="A33" s="11" t="s">
        <v>766</v>
      </c>
    </row>
    <row r="34" spans="1:1" ht="48" customHeight="1">
      <c r="A34" s="11" t="s">
        <v>767</v>
      </c>
    </row>
    <row r="35" spans="1:1" ht="15" customHeight="1">
      <c r="A35" s="63"/>
    </row>
    <row r="36" spans="1:1" ht="48" customHeight="1">
      <c r="A36" s="13" t="s">
        <v>768</v>
      </c>
    </row>
    <row r="37" spans="1:1" ht="77.25" customHeight="1">
      <c r="A37" s="11" t="s">
        <v>769</v>
      </c>
    </row>
    <row r="38" spans="1:1" ht="48" customHeight="1">
      <c r="A38" s="11" t="s">
        <v>770</v>
      </c>
    </row>
    <row r="39" spans="1:1" ht="39" customHeight="1">
      <c r="A39" s="63" t="s">
        <v>771</v>
      </c>
    </row>
    <row r="40" spans="1:1" ht="45" customHeight="1">
      <c r="A40" s="11" t="s">
        <v>772</v>
      </c>
    </row>
    <row r="41" spans="1:1" ht="48" customHeight="1">
      <c r="A41" s="11" t="s">
        <v>773</v>
      </c>
    </row>
    <row r="42" spans="1:1" ht="48" customHeight="1">
      <c r="A42" s="11" t="s">
        <v>774</v>
      </c>
    </row>
    <row r="43" spans="1:1" ht="48" customHeight="1">
      <c r="A43" s="11" t="s">
        <v>775</v>
      </c>
    </row>
    <row r="44" spans="1:1" ht="48" customHeight="1">
      <c r="A44" s="77" t="s">
        <v>776</v>
      </c>
    </row>
    <row r="45" spans="1:1" ht="51.75" customHeight="1">
      <c r="A45" t="s">
        <v>777</v>
      </c>
    </row>
    <row r="46" spans="1:1" ht="90" customHeight="1">
      <c r="A46" s="11" t="s">
        <v>778</v>
      </c>
    </row>
    <row r="47" spans="1:1" ht="51.75" customHeight="1">
      <c r="A47" s="11" t="s">
        <v>779</v>
      </c>
    </row>
    <row r="48" spans="1:1" ht="48" customHeight="1">
      <c r="A48" s="11" t="s">
        <v>780</v>
      </c>
    </row>
    <row r="49" spans="1:5" ht="48" customHeight="1">
      <c r="A49" s="11" t="s">
        <v>781</v>
      </c>
    </row>
    <row r="50" spans="1:5" ht="48" customHeight="1">
      <c r="A50" s="11" t="s">
        <v>782</v>
      </c>
    </row>
    <row r="51" spans="1:5">
      <c r="A51" t="s">
        <v>783</v>
      </c>
    </row>
    <row r="52" spans="1:5">
      <c r="A52" t="s">
        <v>784</v>
      </c>
    </row>
    <row r="53" spans="1:5">
      <c r="A53" t="s">
        <v>785</v>
      </c>
    </row>
    <row r="54" spans="1:5">
      <c r="A54" t="s">
        <v>786</v>
      </c>
    </row>
    <row r="55" spans="1:5">
      <c r="A55" t="s">
        <v>787</v>
      </c>
    </row>
    <row r="57" spans="1:5">
      <c r="A57" s="80" t="s">
        <v>788</v>
      </c>
    </row>
    <row r="58" spans="1:5">
      <c r="A58" s="87" t="s">
        <v>789</v>
      </c>
      <c r="B58" s="87" t="s">
        <v>790</v>
      </c>
      <c r="C58" s="87" t="s">
        <v>791</v>
      </c>
      <c r="D58" s="87" t="s">
        <v>792</v>
      </c>
      <c r="E58" s="87" t="s">
        <v>793</v>
      </c>
    </row>
    <row r="59" spans="1:5">
      <c r="A59" s="88">
        <v>46269</v>
      </c>
      <c r="B59" s="89" t="s">
        <v>27</v>
      </c>
      <c r="C59" s="89">
        <v>239</v>
      </c>
      <c r="D59" s="89" t="s">
        <v>794</v>
      </c>
      <c r="E59" s="89" t="s">
        <v>27</v>
      </c>
    </row>
    <row r="60" spans="1:5">
      <c r="A60" s="93">
        <v>46269</v>
      </c>
      <c r="B60" s="94">
        <v>239</v>
      </c>
      <c r="C60" s="94">
        <v>239</v>
      </c>
      <c r="D60" s="94" t="s">
        <v>795</v>
      </c>
      <c r="E60" s="94" t="s">
        <v>796</v>
      </c>
    </row>
    <row r="61" spans="1:5">
      <c r="A61" s="97">
        <v>46270</v>
      </c>
      <c r="B61" s="98">
        <v>239</v>
      </c>
      <c r="C61" s="98">
        <v>244</v>
      </c>
      <c r="D61" s="98" t="s">
        <v>797</v>
      </c>
      <c r="E61" s="98" t="s">
        <v>28</v>
      </c>
    </row>
    <row r="62" spans="1:5">
      <c r="A62" s="91" t="s">
        <v>798</v>
      </c>
    </row>
    <row r="63" spans="1:5">
      <c r="A63" t="s">
        <v>799</v>
      </c>
    </row>
    <row r="64" spans="1:5">
      <c r="A64" t="s">
        <v>800</v>
      </c>
    </row>
    <row r="65" spans="1:1">
      <c r="A65" t="s">
        <v>801</v>
      </c>
    </row>
    <row r="66" spans="1:1">
      <c r="A66" t="s">
        <v>802</v>
      </c>
    </row>
    <row r="67" spans="1:1">
      <c r="A67" t="s">
        <v>803</v>
      </c>
    </row>
    <row r="68" spans="1:1">
      <c r="A68" t="s">
        <v>804</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K66"/>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 min="14" max="37" width="13" customWidth="1"/>
  </cols>
  <sheetData>
    <row r="1" spans="1:8" ht="18" customHeight="1">
      <c r="A1" s="1" t="s">
        <v>805</v>
      </c>
    </row>
    <row r="2" spans="1:8" ht="15" customHeight="1">
      <c r="A2" s="2" t="s">
        <v>806</v>
      </c>
    </row>
    <row r="4" spans="1:8" ht="15" customHeight="1">
      <c r="A4" s="3" t="s">
        <v>807</v>
      </c>
      <c r="E4" t="s">
        <v>808</v>
      </c>
      <c r="F4" t="s">
        <v>1586</v>
      </c>
    </row>
    <row r="5" spans="1:8" ht="15" customHeight="1">
      <c r="A5" s="64" t="s">
        <v>809</v>
      </c>
      <c r="C5" s="4">
        <v>2</v>
      </c>
      <c r="D5" s="63" t="s">
        <v>810</v>
      </c>
      <c r="E5">
        <v>1</v>
      </c>
    </row>
    <row r="6" spans="1:8" ht="15" customHeight="1">
      <c r="A6" s="64" t="s">
        <v>811</v>
      </c>
      <c r="C6" s="4">
        <v>2</v>
      </c>
      <c r="D6" s="63" t="s">
        <v>812</v>
      </c>
      <c r="E6">
        <v>1</v>
      </c>
    </row>
    <row r="7" spans="1:8" ht="15" customHeight="1">
      <c r="A7" s="64" t="s">
        <v>813</v>
      </c>
      <c r="C7" s="4">
        <v>1</v>
      </c>
      <c r="D7" s="63" t="s">
        <v>814</v>
      </c>
      <c r="E7">
        <v>1</v>
      </c>
      <c r="H7">
        <f>SUM(D7:D22)</f>
        <v>0</v>
      </c>
    </row>
    <row r="8" spans="1:8" ht="84" customHeight="1">
      <c r="A8" s="64" t="s">
        <v>815</v>
      </c>
      <c r="C8" s="4">
        <v>1</v>
      </c>
      <c r="D8" s="63" t="s">
        <v>816</v>
      </c>
      <c r="E8">
        <v>2</v>
      </c>
    </row>
    <row r="9" spans="1:8" ht="84" customHeight="1">
      <c r="A9" s="64" t="s">
        <v>1587</v>
      </c>
      <c r="C9" s="143">
        <v>1</v>
      </c>
      <c r="D9" s="63" t="s">
        <v>1588</v>
      </c>
      <c r="E9">
        <v>1</v>
      </c>
      <c r="F9">
        <v>13</v>
      </c>
    </row>
    <row r="10" spans="1:8" ht="84" customHeight="1">
      <c r="A10" s="64" t="s">
        <v>1589</v>
      </c>
      <c r="C10" s="143">
        <v>1</v>
      </c>
      <c r="D10" s="63" t="s">
        <v>1590</v>
      </c>
      <c r="E10">
        <v>1</v>
      </c>
      <c r="F10">
        <v>13</v>
      </c>
    </row>
    <row r="11" spans="1:8" ht="84" customHeight="1">
      <c r="A11" s="64" t="s">
        <v>1603</v>
      </c>
      <c r="C11" s="143">
        <v>2</v>
      </c>
      <c r="D11" s="63" t="s">
        <v>1604</v>
      </c>
      <c r="E11">
        <v>1</v>
      </c>
      <c r="F11">
        <v>13</v>
      </c>
    </row>
    <row r="12" spans="1:8" ht="84" customHeight="1">
      <c r="A12" s="64" t="s">
        <v>1607</v>
      </c>
      <c r="C12" s="143">
        <v>2</v>
      </c>
      <c r="D12" s="63" t="s">
        <v>1608</v>
      </c>
      <c r="E12">
        <v>2</v>
      </c>
      <c r="F12">
        <v>13</v>
      </c>
    </row>
    <row r="13" spans="1:8" ht="84" customHeight="1">
      <c r="A13" s="64" t="s">
        <v>1611</v>
      </c>
      <c r="C13" s="143">
        <v>1</v>
      </c>
      <c r="D13" s="63" t="s">
        <v>1612</v>
      </c>
      <c r="E13">
        <v>2</v>
      </c>
      <c r="F13">
        <v>13</v>
      </c>
    </row>
    <row r="14" spans="1:8" ht="84" customHeight="1">
      <c r="A14" s="64" t="s">
        <v>1616</v>
      </c>
      <c r="C14" s="143">
        <v>1</v>
      </c>
      <c r="D14" s="63" t="s">
        <v>1617</v>
      </c>
      <c r="E14">
        <v>2</v>
      </c>
      <c r="F14">
        <v>13</v>
      </c>
    </row>
    <row r="15" spans="1:8" ht="84" customHeight="1">
      <c r="A15" s="64" t="s">
        <v>1621</v>
      </c>
      <c r="C15" s="143">
        <v>1</v>
      </c>
      <c r="D15" s="63" t="s">
        <v>1622</v>
      </c>
      <c r="E15">
        <v>3</v>
      </c>
      <c r="F15">
        <v>13</v>
      </c>
    </row>
    <row r="16" spans="1:8" ht="84" customHeight="1">
      <c r="A16" s="64" t="s">
        <v>1626</v>
      </c>
      <c r="C16" s="143">
        <v>1</v>
      </c>
      <c r="D16" s="63" t="s">
        <v>1627</v>
      </c>
      <c r="E16">
        <v>2</v>
      </c>
      <c r="F16">
        <v>13</v>
      </c>
    </row>
    <row r="17" spans="1:37" ht="84" customHeight="1">
      <c r="A17" s="64" t="s">
        <v>1631</v>
      </c>
      <c r="C17" s="143">
        <v>1</v>
      </c>
      <c r="D17" s="63" t="s">
        <v>1632</v>
      </c>
      <c r="E17">
        <v>2</v>
      </c>
      <c r="F17">
        <v>13</v>
      </c>
    </row>
    <row r="18" spans="1:37" ht="84" customHeight="1">
      <c r="A18" s="64" t="s">
        <v>1636</v>
      </c>
      <c r="C18" s="143">
        <v>1</v>
      </c>
      <c r="D18" s="63" t="s">
        <v>1637</v>
      </c>
      <c r="E18">
        <v>3</v>
      </c>
      <c r="F18">
        <v>13</v>
      </c>
    </row>
    <row r="19" spans="1:37" ht="84" customHeight="1">
      <c r="A19" s="64" t="s">
        <v>1641</v>
      </c>
      <c r="C19" s="143">
        <v>1</v>
      </c>
      <c r="D19" s="63" t="s">
        <v>1637</v>
      </c>
      <c r="E19">
        <v>3</v>
      </c>
      <c r="F19">
        <v>13</v>
      </c>
    </row>
    <row r="20" spans="1:37" ht="84" customHeight="1">
      <c r="A20" s="64" t="s">
        <v>1646</v>
      </c>
      <c r="C20" s="143">
        <v>1</v>
      </c>
      <c r="D20" s="63" t="s">
        <v>1647</v>
      </c>
      <c r="E20">
        <v>1</v>
      </c>
      <c r="F20">
        <v>13</v>
      </c>
    </row>
    <row r="21" spans="1:37" ht="15" customHeight="1">
      <c r="A21" s="5" t="s">
        <v>114</v>
      </c>
      <c r="B21" s="5" t="s">
        <v>1249</v>
      </c>
      <c r="C21" s="5" t="s">
        <v>817</v>
      </c>
      <c r="D21" s="5" t="s">
        <v>818</v>
      </c>
      <c r="E21" s="5" t="s">
        <v>819</v>
      </c>
      <c r="F21" s="5" t="s">
        <v>818</v>
      </c>
      <c r="G21" s="5" t="s">
        <v>820</v>
      </c>
      <c r="H21" s="5" t="s">
        <v>818</v>
      </c>
      <c r="I21" s="5" t="s">
        <v>821</v>
      </c>
      <c r="J21" s="5" t="s">
        <v>818</v>
      </c>
      <c r="K21" s="5" t="s">
        <v>261</v>
      </c>
      <c r="L21" s="87" t="s">
        <v>822</v>
      </c>
      <c r="M21" s="87" t="s">
        <v>823</v>
      </c>
      <c r="N21" s="5" t="s">
        <v>1591</v>
      </c>
      <c r="O21" s="5" t="s">
        <v>1592</v>
      </c>
      <c r="P21" s="5" t="s">
        <v>1593</v>
      </c>
      <c r="Q21" s="5" t="s">
        <v>1592</v>
      </c>
      <c r="R21" s="5" t="s">
        <v>1605</v>
      </c>
      <c r="S21" s="5" t="s">
        <v>1592</v>
      </c>
      <c r="T21" s="5" t="s">
        <v>1609</v>
      </c>
      <c r="U21" s="5" t="s">
        <v>1592</v>
      </c>
      <c r="V21" s="5" t="s">
        <v>1613</v>
      </c>
      <c r="W21" s="5" t="s">
        <v>1592</v>
      </c>
      <c r="X21" s="5" t="s">
        <v>1618</v>
      </c>
      <c r="Y21" s="5" t="s">
        <v>1592</v>
      </c>
      <c r="Z21" s="5" t="s">
        <v>1623</v>
      </c>
      <c r="AA21" s="5" t="s">
        <v>1592</v>
      </c>
      <c r="AB21" s="5" t="s">
        <v>1628</v>
      </c>
      <c r="AC21" s="5" t="s">
        <v>1592</v>
      </c>
      <c r="AD21" s="5" t="s">
        <v>1633</v>
      </c>
      <c r="AE21" s="5" t="s">
        <v>1592</v>
      </c>
      <c r="AF21" s="5" t="s">
        <v>1638</v>
      </c>
      <c r="AG21" s="5" t="s">
        <v>1592</v>
      </c>
      <c r="AH21" s="5" t="s">
        <v>1642</v>
      </c>
      <c r="AI21" s="5" t="s">
        <v>1592</v>
      </c>
      <c r="AJ21" s="5" t="s">
        <v>1648</v>
      </c>
      <c r="AK21" s="5" t="s">
        <v>1592</v>
      </c>
    </row>
    <row r="22" spans="1:37" ht="15" customHeight="1">
      <c r="A22" s="8" t="s">
        <v>115</v>
      </c>
      <c r="B22" s="73">
        <v>46263</v>
      </c>
      <c r="C22" s="16">
        <f>시작중량_설정!$D$7</f>
        <v>62</v>
      </c>
      <c r="D22" s="4"/>
      <c r="E22" s="16">
        <f>시작중량_설정!$D$8</f>
        <v>67</v>
      </c>
      <c r="F22" s="4"/>
      <c r="G22" s="16">
        <f>시작중량_설정!$D$9</f>
        <v>35</v>
      </c>
      <c r="H22" s="4"/>
      <c r="I22" s="16">
        <f>시작중량_설정!$D$10</f>
        <v>28</v>
      </c>
      <c r="J22" s="4"/>
      <c r="K22" s="65" t="s">
        <v>824</v>
      </c>
      <c r="L22" s="90"/>
      <c r="M22" s="90"/>
      <c r="N22" s="16" t="s">
        <v>27</v>
      </c>
      <c r="O22" s="4"/>
      <c r="P22" s="16" t="s">
        <v>27</v>
      </c>
      <c r="Q22" s="4"/>
      <c r="R22" s="16" t="s">
        <v>27</v>
      </c>
      <c r="S22" s="4"/>
      <c r="T22" s="16" t="s">
        <v>27</v>
      </c>
      <c r="U22" s="4"/>
      <c r="V22" s="16" t="s">
        <v>27</v>
      </c>
      <c r="W22" s="4"/>
      <c r="X22" s="16" t="s">
        <v>27</v>
      </c>
      <c r="Y22" s="4"/>
      <c r="Z22" s="16" t="s">
        <v>27</v>
      </c>
      <c r="AA22" s="4"/>
      <c r="AB22" s="16" t="s">
        <v>27</v>
      </c>
      <c r="AC22" s="4"/>
      <c r="AD22" s="16" t="s">
        <v>27</v>
      </c>
      <c r="AE22" s="4"/>
      <c r="AF22" s="16" t="s">
        <v>27</v>
      </c>
      <c r="AG22" s="4"/>
      <c r="AH22" s="16" t="s">
        <v>27</v>
      </c>
      <c r="AI22" s="4"/>
      <c r="AJ22" s="16" t="s">
        <v>27</v>
      </c>
      <c r="AK22" s="4"/>
    </row>
    <row r="23" spans="1:37" ht="15" customHeight="1">
      <c r="A23" s="8" t="s">
        <v>116</v>
      </c>
      <c r="B23" s="73">
        <v>46270</v>
      </c>
      <c r="C23" s="16">
        <f t="shared" ref="C23:C51" si="0">IF(OR(D22="",D22="O"),IF(MOD(ROW()-22,$E$6)=0,C22+$C$6+(MOD(C22+$C$6,5)=4),C22),C22)</f>
        <v>65</v>
      </c>
      <c r="D23" s="4"/>
      <c r="E23" s="16">
        <f t="shared" ref="E23:E51" si="1">IF(OR(F22="",F22="O"),IF(MOD(ROW()-22,$E$5)=0,E22+$C$5+(MOD(E22+$C$5,5)=4),E22),E22)</f>
        <v>70</v>
      </c>
      <c r="F23" s="4"/>
      <c r="G23" s="16">
        <f t="shared" ref="G23:G51" si="2">IF(OR(H22="",H22="O"),IF(MOD(ROW()-22,$E$7)=0,G22+$C$7+(MOD(G22+$C$7,5)=4),G22),G22)</f>
        <v>36</v>
      </c>
      <c r="H23" s="4"/>
      <c r="I23" s="16">
        <f t="shared" ref="I23:I51" si="3">IF(OR(J22="",J22="O"),IF(MOD(ROW()-22,$E$8)=0,I22+$C$8+(MOD(I22+$C$8,5)=4),I22),I22)</f>
        <v>28</v>
      </c>
      <c r="J23" s="4"/>
      <c r="K23" s="65"/>
      <c r="L23" s="90"/>
      <c r="M23" s="90"/>
      <c r="N23" s="16" t="s">
        <v>27</v>
      </c>
      <c r="O23" s="4"/>
      <c r="P23" s="16" t="s">
        <v>27</v>
      </c>
      <c r="Q23" s="4"/>
      <c r="R23" s="16" t="s">
        <v>27</v>
      </c>
      <c r="S23" s="4"/>
      <c r="T23" s="16" t="s">
        <v>27</v>
      </c>
      <c r="U23" s="4"/>
      <c r="V23" s="16" t="s">
        <v>27</v>
      </c>
      <c r="W23" s="4"/>
      <c r="X23" s="16" t="s">
        <v>27</v>
      </c>
      <c r="Y23" s="4"/>
      <c r="Z23" s="16" t="s">
        <v>27</v>
      </c>
      <c r="AA23" s="4"/>
      <c r="AB23" s="16" t="s">
        <v>27</v>
      </c>
      <c r="AC23" s="4"/>
      <c r="AD23" s="16" t="s">
        <v>27</v>
      </c>
      <c r="AE23" s="4"/>
      <c r="AF23" s="16" t="s">
        <v>27</v>
      </c>
      <c r="AG23" s="4"/>
      <c r="AH23" s="16" t="s">
        <v>27</v>
      </c>
      <c r="AI23" s="4"/>
      <c r="AJ23" s="16" t="s">
        <v>27</v>
      </c>
      <c r="AK23" s="4"/>
    </row>
    <row r="24" spans="1:37" ht="15" customHeight="1">
      <c r="A24" s="8" t="s">
        <v>117</v>
      </c>
      <c r="B24" s="73">
        <v>46277</v>
      </c>
      <c r="C24" s="16">
        <f t="shared" si="0"/>
        <v>67</v>
      </c>
      <c r="D24" s="4"/>
      <c r="E24" s="16">
        <f t="shared" si="1"/>
        <v>72</v>
      </c>
      <c r="F24" s="4"/>
      <c r="G24" s="16">
        <f t="shared" si="2"/>
        <v>37</v>
      </c>
      <c r="H24" s="4"/>
      <c r="I24" s="16">
        <f t="shared" si="3"/>
        <v>30</v>
      </c>
      <c r="J24" s="4"/>
      <c r="K24" s="65"/>
      <c r="L24" s="90"/>
      <c r="M24" s="90"/>
      <c r="N24" s="16" t="s">
        <v>27</v>
      </c>
      <c r="O24" s="4"/>
      <c r="P24" s="16" t="s">
        <v>27</v>
      </c>
      <c r="Q24" s="4"/>
      <c r="R24" s="16" t="s">
        <v>27</v>
      </c>
      <c r="S24" s="4"/>
      <c r="T24" s="16" t="s">
        <v>27</v>
      </c>
      <c r="U24" s="4"/>
      <c r="V24" s="16" t="s">
        <v>27</v>
      </c>
      <c r="W24" s="4"/>
      <c r="X24" s="16" t="s">
        <v>27</v>
      </c>
      <c r="Y24" s="4"/>
      <c r="Z24" s="16" t="s">
        <v>27</v>
      </c>
      <c r="AA24" s="4"/>
      <c r="AB24" s="16" t="s">
        <v>27</v>
      </c>
      <c r="AC24" s="4"/>
      <c r="AD24" s="16" t="s">
        <v>27</v>
      </c>
      <c r="AE24" s="4"/>
      <c r="AF24" s="16" t="s">
        <v>27</v>
      </c>
      <c r="AG24" s="4"/>
      <c r="AH24" s="16" t="s">
        <v>27</v>
      </c>
      <c r="AI24" s="4"/>
      <c r="AJ24" s="16" t="s">
        <v>27</v>
      </c>
      <c r="AK24" s="4"/>
    </row>
    <row r="25" spans="1:37" ht="15" customHeight="1">
      <c r="A25" s="8" t="s">
        <v>118</v>
      </c>
      <c r="B25" s="73">
        <v>46284</v>
      </c>
      <c r="C25" s="16">
        <f t="shared" si="0"/>
        <v>70</v>
      </c>
      <c r="D25" s="4"/>
      <c r="E25" s="16">
        <f t="shared" si="1"/>
        <v>75</v>
      </c>
      <c r="F25" s="4"/>
      <c r="G25" s="16">
        <f t="shared" si="2"/>
        <v>38</v>
      </c>
      <c r="H25" s="4"/>
      <c r="I25" s="16">
        <f t="shared" si="3"/>
        <v>30</v>
      </c>
      <c r="J25" s="4"/>
      <c r="K25" s="65"/>
      <c r="L25" s="90"/>
      <c r="M25" s="90"/>
      <c r="N25" s="16" t="s">
        <v>27</v>
      </c>
      <c r="O25" s="4"/>
      <c r="P25" s="16" t="s">
        <v>27</v>
      </c>
      <c r="Q25" s="4"/>
      <c r="R25" s="16" t="s">
        <v>27</v>
      </c>
      <c r="S25" s="4"/>
      <c r="T25" s="16" t="s">
        <v>27</v>
      </c>
      <c r="U25" s="4"/>
      <c r="V25" s="16" t="s">
        <v>27</v>
      </c>
      <c r="W25" s="4"/>
      <c r="X25" s="16" t="s">
        <v>27</v>
      </c>
      <c r="Y25" s="4"/>
      <c r="Z25" s="16" t="s">
        <v>27</v>
      </c>
      <c r="AA25" s="4"/>
      <c r="AB25" s="16" t="s">
        <v>27</v>
      </c>
      <c r="AC25" s="4"/>
      <c r="AD25" s="16" t="s">
        <v>27</v>
      </c>
      <c r="AE25" s="4"/>
      <c r="AF25" s="16" t="s">
        <v>27</v>
      </c>
      <c r="AG25" s="4"/>
      <c r="AH25" s="16" t="s">
        <v>27</v>
      </c>
      <c r="AI25" s="4"/>
      <c r="AJ25" s="16" t="s">
        <v>27</v>
      </c>
      <c r="AK25" s="4"/>
    </row>
    <row r="26" spans="1:37" ht="15" customHeight="1">
      <c r="A26" s="8" t="s">
        <v>119</v>
      </c>
      <c r="B26" s="73">
        <v>46291</v>
      </c>
      <c r="C26" s="16">
        <f t="shared" si="0"/>
        <v>72</v>
      </c>
      <c r="D26" s="4"/>
      <c r="E26" s="16">
        <f t="shared" si="1"/>
        <v>77</v>
      </c>
      <c r="F26" s="4"/>
      <c r="G26" s="16">
        <f t="shared" si="2"/>
        <v>40</v>
      </c>
      <c r="H26" s="4"/>
      <c r="I26" s="16">
        <f t="shared" si="3"/>
        <v>31</v>
      </c>
      <c r="J26" s="4"/>
      <c r="K26" s="65"/>
      <c r="L26" s="90"/>
      <c r="M26" s="90"/>
      <c r="N26" s="16" t="s">
        <v>27</v>
      </c>
      <c r="O26" s="4"/>
      <c r="P26" s="16" t="s">
        <v>27</v>
      </c>
      <c r="Q26" s="4"/>
      <c r="R26" s="16" t="s">
        <v>27</v>
      </c>
      <c r="S26" s="4"/>
      <c r="T26" s="16" t="s">
        <v>27</v>
      </c>
      <c r="U26" s="4"/>
      <c r="V26" s="16" t="s">
        <v>27</v>
      </c>
      <c r="W26" s="4"/>
      <c r="X26" s="16" t="s">
        <v>27</v>
      </c>
      <c r="Y26" s="4"/>
      <c r="Z26" s="16" t="s">
        <v>27</v>
      </c>
      <c r="AA26" s="4"/>
      <c r="AB26" s="16" t="s">
        <v>27</v>
      </c>
      <c r="AC26" s="4"/>
      <c r="AD26" s="16" t="s">
        <v>27</v>
      </c>
      <c r="AE26" s="4"/>
      <c r="AF26" s="16" t="s">
        <v>27</v>
      </c>
      <c r="AG26" s="4"/>
      <c r="AH26" s="16" t="s">
        <v>27</v>
      </c>
      <c r="AI26" s="4"/>
      <c r="AJ26" s="16" t="s">
        <v>27</v>
      </c>
      <c r="AK26" s="4"/>
    </row>
    <row r="27" spans="1:37" ht="15" customHeight="1">
      <c r="A27" s="8" t="s">
        <v>120</v>
      </c>
      <c r="B27" s="73">
        <v>46298</v>
      </c>
      <c r="C27" s="16">
        <f t="shared" si="0"/>
        <v>75</v>
      </c>
      <c r="D27" s="4"/>
      <c r="E27" s="16">
        <f t="shared" si="1"/>
        <v>80</v>
      </c>
      <c r="F27" s="4"/>
      <c r="G27" s="16">
        <f t="shared" si="2"/>
        <v>41</v>
      </c>
      <c r="H27" s="4"/>
      <c r="I27" s="16">
        <f t="shared" si="3"/>
        <v>31</v>
      </c>
      <c r="J27" s="4"/>
      <c r="K27" s="65"/>
      <c r="L27" s="90"/>
      <c r="M27" s="90"/>
      <c r="N27" s="16" t="s">
        <v>27</v>
      </c>
      <c r="O27" s="4"/>
      <c r="P27" s="16" t="s">
        <v>27</v>
      </c>
      <c r="Q27" s="4"/>
      <c r="R27" s="16" t="s">
        <v>27</v>
      </c>
      <c r="S27" s="4"/>
      <c r="T27" s="16" t="s">
        <v>27</v>
      </c>
      <c r="U27" s="4"/>
      <c r="V27" s="16" t="s">
        <v>27</v>
      </c>
      <c r="W27" s="4"/>
      <c r="X27" s="16" t="s">
        <v>27</v>
      </c>
      <c r="Y27" s="4"/>
      <c r="Z27" s="16" t="s">
        <v>27</v>
      </c>
      <c r="AA27" s="4"/>
      <c r="AB27" s="16" t="s">
        <v>27</v>
      </c>
      <c r="AC27" s="4"/>
      <c r="AD27" s="16" t="s">
        <v>27</v>
      </c>
      <c r="AE27" s="4"/>
      <c r="AF27" s="16" t="s">
        <v>27</v>
      </c>
      <c r="AG27" s="4"/>
      <c r="AH27" s="16" t="s">
        <v>27</v>
      </c>
      <c r="AI27" s="4"/>
      <c r="AJ27" s="16" t="s">
        <v>27</v>
      </c>
      <c r="AK27" s="4"/>
    </row>
    <row r="28" spans="1:37" ht="15" customHeight="1">
      <c r="A28" s="8" t="s">
        <v>121</v>
      </c>
      <c r="B28" s="73">
        <v>46305</v>
      </c>
      <c r="C28" s="16">
        <f t="shared" si="0"/>
        <v>77</v>
      </c>
      <c r="D28" s="4"/>
      <c r="E28" s="16">
        <f t="shared" si="1"/>
        <v>82</v>
      </c>
      <c r="F28" s="4"/>
      <c r="G28" s="16">
        <f t="shared" si="2"/>
        <v>42</v>
      </c>
      <c r="H28" s="4"/>
      <c r="I28" s="16">
        <f t="shared" si="3"/>
        <v>32</v>
      </c>
      <c r="J28" s="4"/>
      <c r="K28" s="65"/>
      <c r="L28" s="90"/>
      <c r="M28" s="90"/>
      <c r="N28" s="16" t="s">
        <v>27</v>
      </c>
      <c r="O28" s="4"/>
      <c r="P28" s="16" t="s">
        <v>27</v>
      </c>
      <c r="Q28" s="4"/>
      <c r="R28" s="16" t="s">
        <v>27</v>
      </c>
      <c r="S28" s="4"/>
      <c r="T28" s="16" t="s">
        <v>27</v>
      </c>
      <c r="U28" s="4"/>
      <c r="V28" s="16" t="s">
        <v>27</v>
      </c>
      <c r="W28" s="4"/>
      <c r="X28" s="16" t="s">
        <v>27</v>
      </c>
      <c r="Y28" s="4"/>
      <c r="Z28" s="16" t="s">
        <v>27</v>
      </c>
      <c r="AA28" s="4"/>
      <c r="AB28" s="16" t="s">
        <v>27</v>
      </c>
      <c r="AC28" s="4"/>
      <c r="AD28" s="16" t="s">
        <v>27</v>
      </c>
      <c r="AE28" s="4"/>
      <c r="AF28" s="16" t="s">
        <v>27</v>
      </c>
      <c r="AG28" s="4"/>
      <c r="AH28" s="16" t="s">
        <v>27</v>
      </c>
      <c r="AI28" s="4"/>
      <c r="AJ28" s="16" t="s">
        <v>27</v>
      </c>
      <c r="AK28" s="4"/>
    </row>
    <row r="29" spans="1:37" ht="15" customHeight="1">
      <c r="A29" s="8" t="s">
        <v>122</v>
      </c>
      <c r="B29" s="73">
        <v>46312</v>
      </c>
      <c r="C29" s="16">
        <f t="shared" si="0"/>
        <v>80</v>
      </c>
      <c r="D29" s="4"/>
      <c r="E29" s="16">
        <f t="shared" si="1"/>
        <v>85</v>
      </c>
      <c r="F29" s="4"/>
      <c r="G29" s="16">
        <f t="shared" si="2"/>
        <v>43</v>
      </c>
      <c r="H29" s="4"/>
      <c r="I29" s="16">
        <f t="shared" si="3"/>
        <v>32</v>
      </c>
      <c r="J29" s="4"/>
      <c r="K29" s="65"/>
      <c r="L29" s="90"/>
      <c r="M29" s="90"/>
      <c r="N29" s="16">
        <f>시작중량_설정!$D$11</f>
        <v>60</v>
      </c>
      <c r="O29" s="4"/>
      <c r="P29" s="16">
        <f>시작중량_설정!$D$12</f>
        <v>42</v>
      </c>
      <c r="Q29" s="4"/>
      <c r="R29" s="16">
        <f>시작중량_설정!$D$13</f>
        <v>160</v>
      </c>
      <c r="S29" s="4"/>
      <c r="T29" s="16">
        <f>시작중량_설정!$D$14</f>
        <v>140</v>
      </c>
      <c r="U29" s="4"/>
      <c r="V29" s="16">
        <f>시작중량_설정!$D$15</f>
        <v>50</v>
      </c>
      <c r="W29" s="4"/>
      <c r="X29" s="16">
        <f>시작중량_설정!$D$16</f>
        <v>25</v>
      </c>
      <c r="Y29" s="4"/>
      <c r="Z29" s="16">
        <f>시작중량_설정!$D$17</f>
        <v>25</v>
      </c>
      <c r="AA29" s="4"/>
      <c r="AB29" s="16">
        <f>시작중량_설정!$D$18</f>
        <v>50</v>
      </c>
      <c r="AC29" s="4"/>
      <c r="AD29" s="16">
        <f>시작중량_설정!$D$19</f>
        <v>0</v>
      </c>
      <c r="AE29" s="4"/>
      <c r="AF29" s="16">
        <f>시작중량_설정!$D$20</f>
        <v>15</v>
      </c>
      <c r="AG29" s="4"/>
      <c r="AH29" s="16">
        <f>시작중량_설정!$D$21</f>
        <v>15</v>
      </c>
      <c r="AI29" s="4"/>
      <c r="AJ29" s="16">
        <f>시작중량_설정!$D$22</f>
        <v>40</v>
      </c>
      <c r="AK29" s="4"/>
    </row>
    <row r="30" spans="1:37" ht="15" customHeight="1">
      <c r="A30" s="8" t="s">
        <v>123</v>
      </c>
      <c r="B30" s="73">
        <v>46319</v>
      </c>
      <c r="C30" s="16">
        <f t="shared" si="0"/>
        <v>82</v>
      </c>
      <c r="D30" s="4"/>
      <c r="E30" s="16">
        <f t="shared" si="1"/>
        <v>87</v>
      </c>
      <c r="F30" s="4"/>
      <c r="G30" s="16">
        <f t="shared" si="2"/>
        <v>45</v>
      </c>
      <c r="H30" s="4"/>
      <c r="I30" s="16">
        <f t="shared" si="3"/>
        <v>33</v>
      </c>
      <c r="J30" s="4"/>
      <c r="K30" s="65"/>
      <c r="L30" s="90"/>
      <c r="M30" s="90"/>
      <c r="N30" s="16">
        <f t="shared" ref="N30:N51" si="4">IF(OR(O29="",O29="O"),IF(MOD(ROW()-29,$E$9)=0,N29+$C$9+(MOD(N29+$C$9,5)=4),N29),N29)</f>
        <v>61</v>
      </c>
      <c r="O30" s="4"/>
      <c r="P30" s="16">
        <f t="shared" ref="P30:P51" si="5">IF(OR(Q29="",Q29="O"),IF(MOD(ROW()-29,$E$10)=0,P29+$C$10+(MOD(P29+$C$10,5)=4),P29),P29)</f>
        <v>43</v>
      </c>
      <c r="Q30" s="4"/>
      <c r="R30" s="16">
        <f t="shared" ref="R30:R51" si="6">IF(OR(S29="",S29="O"),IF(MOD(ROW()-29,$E$11)=0,R29+$C$11+(MOD(R29+$C$11,5)=4),R29),R29)</f>
        <v>162</v>
      </c>
      <c r="S30" s="4"/>
      <c r="T30" s="16">
        <f t="shared" ref="T30:T51" si="7">IF(OR(U29="",U29="O"),IF(MOD(ROW()-29,$E$12)=0,T29+$C$12+(MOD(T29+$C$12,5)=4),T29),T29)</f>
        <v>140</v>
      </c>
      <c r="U30" s="4"/>
      <c r="V30" s="16">
        <f t="shared" ref="V30:V51" si="8">IF(OR(W29="",W29="O"),IF(MOD(ROW()-29,$E$13)=0,V29+$C$13+(MOD(V29+$C$13,5)=4),V29),V29)</f>
        <v>50</v>
      </c>
      <c r="W30" s="4"/>
      <c r="X30" s="16">
        <f t="shared" ref="X30:X51" si="9">IF(OR(Y29="",Y29="O"),IF(MOD(ROW()-29,$E$14)=0,X29+$C$14+(MOD(X29+$C$14,5)=4),X29),X29)</f>
        <v>25</v>
      </c>
      <c r="Y30" s="4"/>
      <c r="Z30" s="16">
        <f t="shared" ref="Z30:Z51" si="10">IF(OR(AA29="",AA29="O"),IF(MOD(ROW()-29,$E$15)=0,Z29+$C$15+(MOD(Z29+$C$15,5)=4),Z29),Z29)</f>
        <v>25</v>
      </c>
      <c r="AA30" s="4"/>
      <c r="AB30" s="16">
        <f t="shared" ref="AB30:AB51" si="11">IF(OR(AC29="",AC29="O"),IF(MOD(ROW()-29,$E$16)=0,AB29+$C$16+(MOD(AB29+$C$16,5)=4),AB29),AB29)</f>
        <v>50</v>
      </c>
      <c r="AC30" s="4"/>
      <c r="AD30" s="16">
        <f t="shared" ref="AD30:AD51" si="12">IF(OR(AE29="",AE29="O"),IF(MOD(ROW()-29,$E$17)=0,AD29+$C$17+(MOD(AD29+$C$17,5)=4),AD29),AD29)</f>
        <v>0</v>
      </c>
      <c r="AE30" s="4"/>
      <c r="AF30" s="16">
        <f>IF(OR(AG29="",AG29="O"),IF(MOD(ROW()-29,$E$18)=0,AF29+$C$18+(MOD(AF29+$C$18,5)=4),AF29),AF29)</f>
        <v>15</v>
      </c>
      <c r="AG30" s="4"/>
      <c r="AH30" s="16">
        <f>IF(OR(AI29="",AI29="O"),IF(MOD(ROW()-29,$E$19)=0,AH29+$C$19+(MOD(AH29+$C$19,5)=4),AH29),AH29)</f>
        <v>15</v>
      </c>
      <c r="AI30" s="4"/>
      <c r="AJ30" s="16">
        <f>IF(OR(AK29="",AK29="O"),IF(MOD(ROW()-29,$E$20)=0,AJ29+$C$20+(MOD(AJ29+$C$20,5)=4),AJ29),AJ29)</f>
        <v>41</v>
      </c>
      <c r="AK30" s="4"/>
    </row>
    <row r="31" spans="1:37" ht="15" customHeight="1">
      <c r="A31" s="8" t="s">
        <v>124</v>
      </c>
      <c r="B31" s="73">
        <v>46326</v>
      </c>
      <c r="C31" s="16">
        <f t="shared" si="0"/>
        <v>85</v>
      </c>
      <c r="D31" s="4"/>
      <c r="E31" s="16">
        <f t="shared" si="1"/>
        <v>90</v>
      </c>
      <c r="F31" s="4"/>
      <c r="G31" s="16">
        <f t="shared" si="2"/>
        <v>46</v>
      </c>
      <c r="H31" s="4"/>
      <c r="I31" s="16">
        <f t="shared" si="3"/>
        <v>33</v>
      </c>
      <c r="J31" s="4"/>
      <c r="K31" s="65"/>
      <c r="L31" s="90"/>
      <c r="M31" s="90"/>
      <c r="N31" s="16">
        <f t="shared" si="4"/>
        <v>62</v>
      </c>
      <c r="O31" s="4"/>
      <c r="P31" s="16">
        <f t="shared" si="5"/>
        <v>45</v>
      </c>
      <c r="Q31" s="4"/>
      <c r="R31" s="16">
        <f t="shared" si="6"/>
        <v>165</v>
      </c>
      <c r="S31" s="4"/>
      <c r="T31" s="16">
        <f t="shared" si="7"/>
        <v>142</v>
      </c>
      <c r="U31" s="4"/>
      <c r="V31" s="16">
        <f t="shared" si="8"/>
        <v>51</v>
      </c>
      <c r="W31" s="4"/>
      <c r="X31" s="16">
        <f t="shared" si="9"/>
        <v>26</v>
      </c>
      <c r="Y31" s="4"/>
      <c r="Z31" s="16">
        <f t="shared" si="10"/>
        <v>25</v>
      </c>
      <c r="AA31" s="4"/>
      <c r="AB31" s="16">
        <f t="shared" si="11"/>
        <v>51</v>
      </c>
      <c r="AC31" s="4"/>
      <c r="AD31" s="16">
        <f t="shared" si="12"/>
        <v>1</v>
      </c>
      <c r="AE31" s="4"/>
      <c r="AF31" s="16">
        <f t="shared" ref="AF31:AF51" si="13">IF(OR(AG30="",AG30="O"),IF(MOD(ROW()-29,$E$18)=0,AF30+$C$18+(MOD(AF30+$C$18,5)=4),AF30),AF30)</f>
        <v>15</v>
      </c>
      <c r="AG31" s="4"/>
      <c r="AH31" s="16">
        <f t="shared" ref="AH31:AH51" si="14">IF(OR(AI30="",AI30="O"),IF(MOD(ROW()-29,$E$19)=0,AH30+$C$19+(MOD(AH30+$C$19,5)=4),AH30),AH30)</f>
        <v>15</v>
      </c>
      <c r="AI31" s="4"/>
      <c r="AJ31" s="16">
        <f t="shared" ref="AJ31:AJ51" si="15">IF(OR(AK30="",AK30="O"),IF(MOD(ROW()-29,$E$20)=0,AJ30+$C$20+(MOD(AJ30+$C$20,5)=4),AJ30),AJ30)</f>
        <v>42</v>
      </c>
      <c r="AK31" s="4"/>
    </row>
    <row r="32" spans="1:37" ht="15" customHeight="1">
      <c r="A32" s="8" t="s">
        <v>125</v>
      </c>
      <c r="B32" s="73">
        <v>46333</v>
      </c>
      <c r="C32" s="16">
        <f t="shared" si="0"/>
        <v>87</v>
      </c>
      <c r="D32" s="4"/>
      <c r="E32" s="16">
        <f t="shared" si="1"/>
        <v>92</v>
      </c>
      <c r="F32" s="4"/>
      <c r="G32" s="16">
        <f t="shared" si="2"/>
        <v>47</v>
      </c>
      <c r="H32" s="4"/>
      <c r="I32" s="16">
        <f t="shared" si="3"/>
        <v>35</v>
      </c>
      <c r="J32" s="4"/>
      <c r="K32" s="65"/>
      <c r="L32" s="90"/>
      <c r="M32" s="90"/>
      <c r="N32" s="16">
        <f t="shared" si="4"/>
        <v>63</v>
      </c>
      <c r="O32" s="4"/>
      <c r="P32" s="16">
        <f t="shared" si="5"/>
        <v>46</v>
      </c>
      <c r="Q32" s="4"/>
      <c r="R32" s="16">
        <f t="shared" si="6"/>
        <v>167</v>
      </c>
      <c r="S32" s="4"/>
      <c r="T32" s="16">
        <f t="shared" si="7"/>
        <v>142</v>
      </c>
      <c r="U32" s="4"/>
      <c r="V32" s="16">
        <f t="shared" si="8"/>
        <v>51</v>
      </c>
      <c r="W32" s="4"/>
      <c r="X32" s="16">
        <f t="shared" si="9"/>
        <v>26</v>
      </c>
      <c r="Y32" s="4"/>
      <c r="Z32" s="16">
        <f t="shared" si="10"/>
        <v>26</v>
      </c>
      <c r="AA32" s="4"/>
      <c r="AB32" s="16">
        <f t="shared" si="11"/>
        <v>51</v>
      </c>
      <c r="AC32" s="4"/>
      <c r="AD32" s="16">
        <f t="shared" si="12"/>
        <v>1</v>
      </c>
      <c r="AE32" s="4"/>
      <c r="AF32" s="16">
        <f t="shared" si="13"/>
        <v>16</v>
      </c>
      <c r="AG32" s="4"/>
      <c r="AH32" s="16">
        <f t="shared" si="14"/>
        <v>16</v>
      </c>
      <c r="AI32" s="4"/>
      <c r="AJ32" s="16">
        <f t="shared" si="15"/>
        <v>43</v>
      </c>
      <c r="AK32" s="4"/>
    </row>
    <row r="33" spans="1:37" ht="15" customHeight="1">
      <c r="A33" s="8" t="s">
        <v>126</v>
      </c>
      <c r="B33" s="73">
        <v>46340</v>
      </c>
      <c r="C33" s="16">
        <f t="shared" si="0"/>
        <v>90</v>
      </c>
      <c r="D33" s="4"/>
      <c r="E33" s="16">
        <f t="shared" si="1"/>
        <v>95</v>
      </c>
      <c r="F33" s="4"/>
      <c r="G33" s="16">
        <f t="shared" si="2"/>
        <v>48</v>
      </c>
      <c r="H33" s="4"/>
      <c r="I33" s="16">
        <f t="shared" si="3"/>
        <v>35</v>
      </c>
      <c r="J33" s="4"/>
      <c r="K33" s="65"/>
      <c r="L33" s="90"/>
      <c r="M33" s="90"/>
      <c r="N33" s="16">
        <f t="shared" si="4"/>
        <v>65</v>
      </c>
      <c r="O33" s="4"/>
      <c r="P33" s="16">
        <f t="shared" si="5"/>
        <v>47</v>
      </c>
      <c r="Q33" s="4"/>
      <c r="R33" s="16">
        <f t="shared" si="6"/>
        <v>170</v>
      </c>
      <c r="S33" s="4"/>
      <c r="T33" s="16">
        <f t="shared" si="7"/>
        <v>145</v>
      </c>
      <c r="U33" s="4"/>
      <c r="V33" s="16">
        <f t="shared" si="8"/>
        <v>52</v>
      </c>
      <c r="W33" s="4"/>
      <c r="X33" s="16">
        <f t="shared" si="9"/>
        <v>27</v>
      </c>
      <c r="Y33" s="4"/>
      <c r="Z33" s="16">
        <f t="shared" si="10"/>
        <v>26</v>
      </c>
      <c r="AA33" s="4"/>
      <c r="AB33" s="16">
        <f t="shared" si="11"/>
        <v>52</v>
      </c>
      <c r="AC33" s="4"/>
      <c r="AD33" s="16">
        <f t="shared" si="12"/>
        <v>2</v>
      </c>
      <c r="AE33" s="4"/>
      <c r="AF33" s="16">
        <f t="shared" si="13"/>
        <v>16</v>
      </c>
      <c r="AG33" s="4"/>
      <c r="AH33" s="16">
        <f t="shared" si="14"/>
        <v>16</v>
      </c>
      <c r="AI33" s="4"/>
      <c r="AJ33" s="16">
        <f t="shared" si="15"/>
        <v>45</v>
      </c>
      <c r="AK33" s="4"/>
    </row>
    <row r="34" spans="1:37" ht="15" customHeight="1">
      <c r="A34" s="101" t="s">
        <v>825</v>
      </c>
      <c r="B34" s="105">
        <v>46347</v>
      </c>
      <c r="C34" s="103">
        <f t="shared" si="0"/>
        <v>92</v>
      </c>
      <c r="D34" s="102"/>
      <c r="E34" s="103">
        <f t="shared" si="1"/>
        <v>97</v>
      </c>
      <c r="F34" s="102"/>
      <c r="G34" s="103">
        <f t="shared" si="2"/>
        <v>50</v>
      </c>
      <c r="H34" s="102"/>
      <c r="I34" s="103">
        <f t="shared" si="3"/>
        <v>36</v>
      </c>
      <c r="J34" s="102"/>
      <c r="K34" s="104"/>
      <c r="L34" s="90"/>
      <c r="M34" s="90"/>
      <c r="N34" s="16">
        <f t="shared" si="4"/>
        <v>66</v>
      </c>
      <c r="O34" s="102"/>
      <c r="P34" s="16">
        <f t="shared" si="5"/>
        <v>48</v>
      </c>
      <c r="Q34" s="102"/>
      <c r="R34" s="16">
        <f t="shared" si="6"/>
        <v>172</v>
      </c>
      <c r="S34" s="102"/>
      <c r="T34" s="16">
        <f t="shared" si="7"/>
        <v>145</v>
      </c>
      <c r="U34" s="102"/>
      <c r="V34" s="16">
        <f t="shared" si="8"/>
        <v>52</v>
      </c>
      <c r="W34" s="102"/>
      <c r="X34" s="16">
        <f t="shared" si="9"/>
        <v>27</v>
      </c>
      <c r="Y34" s="102"/>
      <c r="Z34" s="16">
        <f t="shared" si="10"/>
        <v>26</v>
      </c>
      <c r="AA34" s="102"/>
      <c r="AB34" s="16">
        <f t="shared" si="11"/>
        <v>52</v>
      </c>
      <c r="AC34" s="102"/>
      <c r="AD34" s="16">
        <f t="shared" si="12"/>
        <v>2</v>
      </c>
      <c r="AE34" s="102"/>
      <c r="AF34" s="16">
        <f t="shared" si="13"/>
        <v>16</v>
      </c>
      <c r="AG34" s="102"/>
      <c r="AH34" s="16">
        <f t="shared" si="14"/>
        <v>16</v>
      </c>
      <c r="AI34" s="102"/>
      <c r="AJ34" s="16">
        <f t="shared" si="15"/>
        <v>46</v>
      </c>
      <c r="AK34" s="102"/>
    </row>
    <row r="35" spans="1:37" ht="15" customHeight="1">
      <c r="A35" s="101" t="s">
        <v>826</v>
      </c>
      <c r="B35" s="105">
        <v>46354</v>
      </c>
      <c r="C35" s="103">
        <f t="shared" si="0"/>
        <v>95</v>
      </c>
      <c r="D35" s="102"/>
      <c r="E35" s="103">
        <f t="shared" si="1"/>
        <v>100</v>
      </c>
      <c r="F35" s="102"/>
      <c r="G35" s="103">
        <f t="shared" si="2"/>
        <v>51</v>
      </c>
      <c r="H35" s="102"/>
      <c r="I35" s="103">
        <f t="shared" si="3"/>
        <v>36</v>
      </c>
      <c r="J35" s="102"/>
      <c r="K35" s="104"/>
      <c r="L35" s="90"/>
      <c r="M35" s="90"/>
      <c r="N35" s="16">
        <f t="shared" si="4"/>
        <v>67</v>
      </c>
      <c r="O35" s="102"/>
      <c r="P35" s="16">
        <f t="shared" si="5"/>
        <v>50</v>
      </c>
      <c r="Q35" s="102"/>
      <c r="R35" s="16">
        <f t="shared" si="6"/>
        <v>175</v>
      </c>
      <c r="S35" s="102"/>
      <c r="T35" s="16">
        <f t="shared" si="7"/>
        <v>147</v>
      </c>
      <c r="U35" s="102"/>
      <c r="V35" s="16">
        <f t="shared" si="8"/>
        <v>53</v>
      </c>
      <c r="W35" s="102"/>
      <c r="X35" s="16">
        <f t="shared" si="9"/>
        <v>28</v>
      </c>
      <c r="Y35" s="102"/>
      <c r="Z35" s="16">
        <f t="shared" si="10"/>
        <v>27</v>
      </c>
      <c r="AA35" s="102"/>
      <c r="AB35" s="16">
        <f t="shared" si="11"/>
        <v>53</v>
      </c>
      <c r="AC35" s="102"/>
      <c r="AD35" s="16">
        <f t="shared" si="12"/>
        <v>3</v>
      </c>
      <c r="AE35" s="102"/>
      <c r="AF35" s="16">
        <f t="shared" si="13"/>
        <v>17</v>
      </c>
      <c r="AG35" s="102"/>
      <c r="AH35" s="16">
        <f t="shared" si="14"/>
        <v>17</v>
      </c>
      <c r="AI35" s="102"/>
      <c r="AJ35" s="16">
        <f t="shared" si="15"/>
        <v>47</v>
      </c>
      <c r="AK35" s="102"/>
    </row>
    <row r="36" spans="1:37" ht="15" customHeight="1">
      <c r="A36" s="101" t="s">
        <v>827</v>
      </c>
      <c r="B36" s="105">
        <v>46361</v>
      </c>
      <c r="C36" s="103">
        <f t="shared" si="0"/>
        <v>97</v>
      </c>
      <c r="D36" s="102"/>
      <c r="E36" s="103">
        <f t="shared" si="1"/>
        <v>102</v>
      </c>
      <c r="F36" s="102"/>
      <c r="G36" s="103">
        <f t="shared" si="2"/>
        <v>52</v>
      </c>
      <c r="H36" s="102"/>
      <c r="I36" s="103">
        <f t="shared" si="3"/>
        <v>37</v>
      </c>
      <c r="J36" s="102"/>
      <c r="K36" s="104"/>
      <c r="L36" s="90"/>
      <c r="M36" s="90"/>
      <c r="N36" s="16">
        <f t="shared" si="4"/>
        <v>68</v>
      </c>
      <c r="O36" s="102"/>
      <c r="P36" s="16">
        <f t="shared" si="5"/>
        <v>51</v>
      </c>
      <c r="Q36" s="102"/>
      <c r="R36" s="16">
        <f t="shared" si="6"/>
        <v>177</v>
      </c>
      <c r="S36" s="102"/>
      <c r="T36" s="16">
        <f t="shared" si="7"/>
        <v>147</v>
      </c>
      <c r="U36" s="102"/>
      <c r="V36" s="16">
        <f t="shared" si="8"/>
        <v>53</v>
      </c>
      <c r="W36" s="102"/>
      <c r="X36" s="16">
        <f t="shared" si="9"/>
        <v>28</v>
      </c>
      <c r="Y36" s="102"/>
      <c r="Z36" s="16">
        <f t="shared" si="10"/>
        <v>27</v>
      </c>
      <c r="AA36" s="102"/>
      <c r="AB36" s="16">
        <f t="shared" si="11"/>
        <v>53</v>
      </c>
      <c r="AC36" s="102"/>
      <c r="AD36" s="16">
        <f t="shared" si="12"/>
        <v>3</v>
      </c>
      <c r="AE36" s="102"/>
      <c r="AF36" s="16">
        <f t="shared" si="13"/>
        <v>17</v>
      </c>
      <c r="AG36" s="102"/>
      <c r="AH36" s="16">
        <f t="shared" si="14"/>
        <v>17</v>
      </c>
      <c r="AI36" s="102"/>
      <c r="AJ36" s="16">
        <f t="shared" si="15"/>
        <v>48</v>
      </c>
      <c r="AK36" s="102"/>
    </row>
    <row r="37" spans="1:37" ht="15" customHeight="1">
      <c r="A37" s="101" t="s">
        <v>828</v>
      </c>
      <c r="B37" s="105">
        <v>46368</v>
      </c>
      <c r="C37" s="103">
        <f t="shared" si="0"/>
        <v>100</v>
      </c>
      <c r="D37" s="102"/>
      <c r="E37" s="103">
        <f t="shared" si="1"/>
        <v>105</v>
      </c>
      <c r="F37" s="102"/>
      <c r="G37" s="103">
        <f t="shared" si="2"/>
        <v>53</v>
      </c>
      <c r="H37" s="102"/>
      <c r="I37" s="103">
        <f t="shared" si="3"/>
        <v>37</v>
      </c>
      <c r="J37" s="102"/>
      <c r="K37" s="104"/>
      <c r="L37" s="90"/>
      <c r="M37" s="90"/>
      <c r="N37" s="16">
        <f t="shared" si="4"/>
        <v>70</v>
      </c>
      <c r="O37" s="102"/>
      <c r="P37" s="16">
        <f t="shared" si="5"/>
        <v>52</v>
      </c>
      <c r="Q37" s="102"/>
      <c r="R37" s="16">
        <f t="shared" si="6"/>
        <v>180</v>
      </c>
      <c r="S37" s="102"/>
      <c r="T37" s="16">
        <f t="shared" si="7"/>
        <v>150</v>
      </c>
      <c r="U37" s="102"/>
      <c r="V37" s="16">
        <f t="shared" si="8"/>
        <v>55</v>
      </c>
      <c r="W37" s="102"/>
      <c r="X37" s="16">
        <f t="shared" si="9"/>
        <v>30</v>
      </c>
      <c r="Y37" s="102"/>
      <c r="Z37" s="16">
        <f t="shared" si="10"/>
        <v>27</v>
      </c>
      <c r="AA37" s="102"/>
      <c r="AB37" s="16">
        <f t="shared" si="11"/>
        <v>55</v>
      </c>
      <c r="AC37" s="102"/>
      <c r="AD37" s="16">
        <f t="shared" si="12"/>
        <v>5</v>
      </c>
      <c r="AE37" s="102"/>
      <c r="AF37" s="16">
        <f t="shared" si="13"/>
        <v>17</v>
      </c>
      <c r="AG37" s="102"/>
      <c r="AH37" s="16">
        <f t="shared" si="14"/>
        <v>17</v>
      </c>
      <c r="AI37" s="102"/>
      <c r="AJ37" s="16">
        <f t="shared" si="15"/>
        <v>50</v>
      </c>
      <c r="AK37" s="102"/>
    </row>
    <row r="38" spans="1:37" ht="15" customHeight="1">
      <c r="A38" s="101" t="s">
        <v>829</v>
      </c>
      <c r="B38" s="105">
        <v>46375</v>
      </c>
      <c r="C38" s="103">
        <f t="shared" si="0"/>
        <v>102</v>
      </c>
      <c r="D38" s="102"/>
      <c r="E38" s="103">
        <f t="shared" si="1"/>
        <v>107</v>
      </c>
      <c r="F38" s="102"/>
      <c r="G38" s="103">
        <f t="shared" si="2"/>
        <v>55</v>
      </c>
      <c r="H38" s="102"/>
      <c r="I38" s="103">
        <f t="shared" si="3"/>
        <v>38</v>
      </c>
      <c r="J38" s="102"/>
      <c r="K38" s="104"/>
      <c r="L38" s="90"/>
      <c r="M38" s="90"/>
      <c r="N38" s="16">
        <f t="shared" si="4"/>
        <v>71</v>
      </c>
      <c r="O38" s="102"/>
      <c r="P38" s="16">
        <f t="shared" si="5"/>
        <v>53</v>
      </c>
      <c r="Q38" s="102"/>
      <c r="R38" s="16">
        <f t="shared" si="6"/>
        <v>182</v>
      </c>
      <c r="S38" s="102"/>
      <c r="T38" s="16">
        <f t="shared" si="7"/>
        <v>150</v>
      </c>
      <c r="U38" s="102"/>
      <c r="V38" s="16">
        <f t="shared" si="8"/>
        <v>55</v>
      </c>
      <c r="W38" s="102"/>
      <c r="X38" s="16">
        <f t="shared" si="9"/>
        <v>30</v>
      </c>
      <c r="Y38" s="102"/>
      <c r="Z38" s="16">
        <f t="shared" si="10"/>
        <v>28</v>
      </c>
      <c r="AA38" s="102"/>
      <c r="AB38" s="16">
        <f t="shared" si="11"/>
        <v>55</v>
      </c>
      <c r="AC38" s="102"/>
      <c r="AD38" s="16">
        <f t="shared" si="12"/>
        <v>5</v>
      </c>
      <c r="AE38" s="102"/>
      <c r="AF38" s="16">
        <f t="shared" si="13"/>
        <v>18</v>
      </c>
      <c r="AG38" s="102"/>
      <c r="AH38" s="16">
        <f t="shared" si="14"/>
        <v>18</v>
      </c>
      <c r="AI38" s="102"/>
      <c r="AJ38" s="16">
        <f t="shared" si="15"/>
        <v>51</v>
      </c>
      <c r="AK38" s="102"/>
    </row>
    <row r="39" spans="1:37" ht="15" customHeight="1">
      <c r="A39" s="101" t="s">
        <v>830</v>
      </c>
      <c r="B39" s="105">
        <v>46382</v>
      </c>
      <c r="C39" s="103">
        <f t="shared" si="0"/>
        <v>105</v>
      </c>
      <c r="D39" s="102"/>
      <c r="E39" s="103">
        <f t="shared" si="1"/>
        <v>110</v>
      </c>
      <c r="F39" s="102"/>
      <c r="G39" s="103">
        <f t="shared" si="2"/>
        <v>56</v>
      </c>
      <c r="H39" s="102"/>
      <c r="I39" s="103">
        <f t="shared" si="3"/>
        <v>38</v>
      </c>
      <c r="J39" s="102"/>
      <c r="K39" s="104"/>
      <c r="L39" s="90"/>
      <c r="M39" s="90"/>
      <c r="N39" s="16">
        <f t="shared" si="4"/>
        <v>72</v>
      </c>
      <c r="O39" s="102"/>
      <c r="P39" s="16">
        <f t="shared" si="5"/>
        <v>55</v>
      </c>
      <c r="Q39" s="102"/>
      <c r="R39" s="16">
        <f t="shared" si="6"/>
        <v>185</v>
      </c>
      <c r="S39" s="102"/>
      <c r="T39" s="16">
        <f t="shared" si="7"/>
        <v>152</v>
      </c>
      <c r="U39" s="102"/>
      <c r="V39" s="16">
        <f t="shared" si="8"/>
        <v>56</v>
      </c>
      <c r="W39" s="102"/>
      <c r="X39" s="16">
        <f t="shared" si="9"/>
        <v>31</v>
      </c>
      <c r="Y39" s="102"/>
      <c r="Z39" s="16">
        <f t="shared" si="10"/>
        <v>28</v>
      </c>
      <c r="AA39" s="102"/>
      <c r="AB39" s="16">
        <f t="shared" si="11"/>
        <v>56</v>
      </c>
      <c r="AC39" s="102"/>
      <c r="AD39" s="16">
        <f t="shared" si="12"/>
        <v>6</v>
      </c>
      <c r="AE39" s="102"/>
      <c r="AF39" s="16">
        <f t="shared" si="13"/>
        <v>18</v>
      </c>
      <c r="AG39" s="102"/>
      <c r="AH39" s="16">
        <f t="shared" si="14"/>
        <v>18</v>
      </c>
      <c r="AI39" s="102"/>
      <c r="AJ39" s="16">
        <f t="shared" si="15"/>
        <v>52</v>
      </c>
      <c r="AK39" s="102"/>
    </row>
    <row r="40" spans="1:37" ht="15" customHeight="1">
      <c r="A40" s="101" t="s">
        <v>831</v>
      </c>
      <c r="B40" s="105">
        <v>46389</v>
      </c>
      <c r="C40" s="103">
        <f t="shared" si="0"/>
        <v>107</v>
      </c>
      <c r="D40" s="102"/>
      <c r="E40" s="103">
        <f t="shared" si="1"/>
        <v>112</v>
      </c>
      <c r="F40" s="102"/>
      <c r="G40" s="103">
        <f t="shared" si="2"/>
        <v>57</v>
      </c>
      <c r="H40" s="102"/>
      <c r="I40" s="103">
        <f t="shared" si="3"/>
        <v>40</v>
      </c>
      <c r="J40" s="102"/>
      <c r="K40" s="104"/>
      <c r="L40" s="90"/>
      <c r="M40" s="90"/>
      <c r="N40" s="16">
        <f t="shared" si="4"/>
        <v>73</v>
      </c>
      <c r="O40" s="102"/>
      <c r="P40" s="16">
        <f t="shared" si="5"/>
        <v>56</v>
      </c>
      <c r="Q40" s="102"/>
      <c r="R40" s="16">
        <f t="shared" si="6"/>
        <v>187</v>
      </c>
      <c r="S40" s="102"/>
      <c r="T40" s="16">
        <f t="shared" si="7"/>
        <v>152</v>
      </c>
      <c r="U40" s="102"/>
      <c r="V40" s="16">
        <f t="shared" si="8"/>
        <v>56</v>
      </c>
      <c r="W40" s="102"/>
      <c r="X40" s="16">
        <f t="shared" si="9"/>
        <v>31</v>
      </c>
      <c r="Y40" s="102"/>
      <c r="Z40" s="16">
        <f t="shared" si="10"/>
        <v>28</v>
      </c>
      <c r="AA40" s="102"/>
      <c r="AB40" s="16">
        <f t="shared" si="11"/>
        <v>56</v>
      </c>
      <c r="AC40" s="102"/>
      <c r="AD40" s="16">
        <f t="shared" si="12"/>
        <v>6</v>
      </c>
      <c r="AE40" s="102"/>
      <c r="AF40" s="16">
        <f t="shared" si="13"/>
        <v>18</v>
      </c>
      <c r="AG40" s="102"/>
      <c r="AH40" s="16">
        <f t="shared" si="14"/>
        <v>18</v>
      </c>
      <c r="AI40" s="102"/>
      <c r="AJ40" s="16">
        <f t="shared" si="15"/>
        <v>53</v>
      </c>
      <c r="AK40" s="102"/>
    </row>
    <row r="41" spans="1:37" ht="15" customHeight="1">
      <c r="A41" s="101" t="s">
        <v>832</v>
      </c>
      <c r="B41" s="105">
        <v>46396</v>
      </c>
      <c r="C41" s="103">
        <f t="shared" si="0"/>
        <v>110</v>
      </c>
      <c r="D41" s="102"/>
      <c r="E41" s="103">
        <f t="shared" si="1"/>
        <v>115</v>
      </c>
      <c r="F41" s="102"/>
      <c r="G41" s="103">
        <f t="shared" si="2"/>
        <v>58</v>
      </c>
      <c r="H41" s="102"/>
      <c r="I41" s="103">
        <f t="shared" si="3"/>
        <v>40</v>
      </c>
      <c r="J41" s="102"/>
      <c r="K41" s="104"/>
      <c r="L41" s="90"/>
      <c r="M41" s="90"/>
      <c r="N41" s="16">
        <f t="shared" si="4"/>
        <v>75</v>
      </c>
      <c r="O41" s="102"/>
      <c r="P41" s="16">
        <f t="shared" si="5"/>
        <v>57</v>
      </c>
      <c r="Q41" s="102"/>
      <c r="R41" s="16">
        <f t="shared" si="6"/>
        <v>190</v>
      </c>
      <c r="S41" s="102"/>
      <c r="T41" s="16">
        <f t="shared" si="7"/>
        <v>155</v>
      </c>
      <c r="U41" s="102"/>
      <c r="V41" s="16">
        <f t="shared" si="8"/>
        <v>57</v>
      </c>
      <c r="W41" s="102"/>
      <c r="X41" s="16">
        <f t="shared" si="9"/>
        <v>32</v>
      </c>
      <c r="Y41" s="102"/>
      <c r="Z41" s="16">
        <f t="shared" si="10"/>
        <v>30</v>
      </c>
      <c r="AA41" s="102"/>
      <c r="AB41" s="16">
        <f t="shared" si="11"/>
        <v>57</v>
      </c>
      <c r="AC41" s="102"/>
      <c r="AD41" s="16">
        <f t="shared" si="12"/>
        <v>7</v>
      </c>
      <c r="AE41" s="102"/>
      <c r="AF41" s="16">
        <f t="shared" si="13"/>
        <v>20</v>
      </c>
      <c r="AG41" s="102"/>
      <c r="AH41" s="16">
        <f t="shared" si="14"/>
        <v>20</v>
      </c>
      <c r="AI41" s="102"/>
      <c r="AJ41" s="16">
        <f t="shared" si="15"/>
        <v>55</v>
      </c>
      <c r="AK41" s="102"/>
    </row>
    <row r="42" spans="1:37" ht="15" customHeight="1">
      <c r="A42" s="101" t="s">
        <v>833</v>
      </c>
      <c r="B42" s="105">
        <v>46403</v>
      </c>
      <c r="C42" s="103">
        <f t="shared" si="0"/>
        <v>112</v>
      </c>
      <c r="D42" s="102"/>
      <c r="E42" s="103">
        <f t="shared" si="1"/>
        <v>117</v>
      </c>
      <c r="F42" s="102"/>
      <c r="G42" s="103">
        <f t="shared" si="2"/>
        <v>60</v>
      </c>
      <c r="H42" s="102"/>
      <c r="I42" s="103">
        <f t="shared" si="3"/>
        <v>41</v>
      </c>
      <c r="J42" s="102"/>
      <c r="K42" s="104"/>
      <c r="L42" s="90"/>
      <c r="M42" s="90"/>
      <c r="N42" s="16">
        <f t="shared" si="4"/>
        <v>76</v>
      </c>
      <c r="O42" s="102"/>
      <c r="P42" s="16">
        <f t="shared" si="5"/>
        <v>58</v>
      </c>
      <c r="Q42" s="102"/>
      <c r="R42" s="16">
        <f t="shared" si="6"/>
        <v>192</v>
      </c>
      <c r="S42" s="102"/>
      <c r="T42" s="16">
        <f t="shared" si="7"/>
        <v>155</v>
      </c>
      <c r="U42" s="102"/>
      <c r="V42" s="16">
        <f t="shared" si="8"/>
        <v>57</v>
      </c>
      <c r="W42" s="102"/>
      <c r="X42" s="16">
        <f t="shared" si="9"/>
        <v>32</v>
      </c>
      <c r="Y42" s="102"/>
      <c r="Z42" s="16">
        <f t="shared" si="10"/>
        <v>30</v>
      </c>
      <c r="AA42" s="102"/>
      <c r="AB42" s="16">
        <f t="shared" si="11"/>
        <v>57</v>
      </c>
      <c r="AC42" s="102"/>
      <c r="AD42" s="16">
        <f t="shared" si="12"/>
        <v>7</v>
      </c>
      <c r="AE42" s="102"/>
      <c r="AF42" s="16">
        <f t="shared" si="13"/>
        <v>20</v>
      </c>
      <c r="AG42" s="102"/>
      <c r="AH42" s="16">
        <f t="shared" si="14"/>
        <v>20</v>
      </c>
      <c r="AI42" s="102"/>
      <c r="AJ42" s="16">
        <f t="shared" si="15"/>
        <v>56</v>
      </c>
      <c r="AK42" s="102"/>
    </row>
    <row r="43" spans="1:37" ht="15" customHeight="1">
      <c r="A43" s="101" t="s">
        <v>834</v>
      </c>
      <c r="B43" s="105">
        <v>46410</v>
      </c>
      <c r="C43" s="103">
        <f t="shared" si="0"/>
        <v>115</v>
      </c>
      <c r="D43" s="102"/>
      <c r="E43" s="103">
        <f t="shared" si="1"/>
        <v>120</v>
      </c>
      <c r="F43" s="102"/>
      <c r="G43" s="103">
        <f t="shared" si="2"/>
        <v>61</v>
      </c>
      <c r="H43" s="102"/>
      <c r="I43" s="103">
        <f t="shared" si="3"/>
        <v>41</v>
      </c>
      <c r="J43" s="102"/>
      <c r="K43" s="104"/>
      <c r="L43" s="90"/>
      <c r="M43" s="90"/>
      <c r="N43" s="16">
        <f t="shared" si="4"/>
        <v>77</v>
      </c>
      <c r="O43" s="102"/>
      <c r="P43" s="16">
        <f t="shared" si="5"/>
        <v>60</v>
      </c>
      <c r="Q43" s="102"/>
      <c r="R43" s="16">
        <f t="shared" si="6"/>
        <v>195</v>
      </c>
      <c r="S43" s="102"/>
      <c r="T43" s="16">
        <f t="shared" si="7"/>
        <v>157</v>
      </c>
      <c r="U43" s="102"/>
      <c r="V43" s="16">
        <f t="shared" si="8"/>
        <v>58</v>
      </c>
      <c r="W43" s="102"/>
      <c r="X43" s="16">
        <f t="shared" si="9"/>
        <v>33</v>
      </c>
      <c r="Y43" s="102"/>
      <c r="Z43" s="16">
        <f t="shared" si="10"/>
        <v>30</v>
      </c>
      <c r="AA43" s="102"/>
      <c r="AB43" s="16">
        <f t="shared" si="11"/>
        <v>58</v>
      </c>
      <c r="AC43" s="102"/>
      <c r="AD43" s="16">
        <f t="shared" si="12"/>
        <v>8</v>
      </c>
      <c r="AE43" s="102"/>
      <c r="AF43" s="16">
        <f t="shared" si="13"/>
        <v>20</v>
      </c>
      <c r="AG43" s="102"/>
      <c r="AH43" s="16">
        <f t="shared" si="14"/>
        <v>20</v>
      </c>
      <c r="AI43" s="102"/>
      <c r="AJ43" s="16">
        <f t="shared" si="15"/>
        <v>57</v>
      </c>
      <c r="AK43" s="102"/>
    </row>
    <row r="44" spans="1:37" ht="15" customHeight="1">
      <c r="A44" s="101" t="s">
        <v>835</v>
      </c>
      <c r="B44" s="105">
        <v>46417</v>
      </c>
      <c r="C44" s="103">
        <f t="shared" si="0"/>
        <v>117</v>
      </c>
      <c r="D44" s="102"/>
      <c r="E44" s="103">
        <f t="shared" si="1"/>
        <v>122</v>
      </c>
      <c r="F44" s="102"/>
      <c r="G44" s="103">
        <f t="shared" si="2"/>
        <v>62</v>
      </c>
      <c r="H44" s="102"/>
      <c r="I44" s="103">
        <f t="shared" si="3"/>
        <v>42</v>
      </c>
      <c r="J44" s="102"/>
      <c r="K44" s="104"/>
      <c r="L44" s="90"/>
      <c r="M44" s="90"/>
      <c r="N44" s="16">
        <f t="shared" si="4"/>
        <v>78</v>
      </c>
      <c r="O44" s="102"/>
      <c r="P44" s="16">
        <f t="shared" si="5"/>
        <v>61</v>
      </c>
      <c r="Q44" s="102"/>
      <c r="R44" s="16">
        <f t="shared" si="6"/>
        <v>197</v>
      </c>
      <c r="S44" s="102"/>
      <c r="T44" s="16">
        <f t="shared" si="7"/>
        <v>157</v>
      </c>
      <c r="U44" s="102"/>
      <c r="V44" s="16">
        <f t="shared" si="8"/>
        <v>58</v>
      </c>
      <c r="W44" s="102"/>
      <c r="X44" s="16">
        <f t="shared" si="9"/>
        <v>33</v>
      </c>
      <c r="Y44" s="102"/>
      <c r="Z44" s="16">
        <f t="shared" si="10"/>
        <v>31</v>
      </c>
      <c r="AA44" s="102"/>
      <c r="AB44" s="16">
        <f t="shared" si="11"/>
        <v>58</v>
      </c>
      <c r="AC44" s="102"/>
      <c r="AD44" s="16">
        <f t="shared" si="12"/>
        <v>8</v>
      </c>
      <c r="AE44" s="102"/>
      <c r="AF44" s="16">
        <f t="shared" si="13"/>
        <v>21</v>
      </c>
      <c r="AG44" s="102"/>
      <c r="AH44" s="16">
        <f t="shared" si="14"/>
        <v>21</v>
      </c>
      <c r="AI44" s="102"/>
      <c r="AJ44" s="16">
        <f t="shared" si="15"/>
        <v>58</v>
      </c>
      <c r="AK44" s="102"/>
    </row>
    <row r="45" spans="1:37" ht="15" customHeight="1">
      <c r="A45" s="101" t="s">
        <v>836</v>
      </c>
      <c r="B45" s="105">
        <v>46424</v>
      </c>
      <c r="C45" s="103">
        <f t="shared" si="0"/>
        <v>120</v>
      </c>
      <c r="D45" s="102"/>
      <c r="E45" s="103">
        <f t="shared" si="1"/>
        <v>125</v>
      </c>
      <c r="F45" s="102"/>
      <c r="G45" s="103">
        <f t="shared" si="2"/>
        <v>63</v>
      </c>
      <c r="H45" s="102"/>
      <c r="I45" s="103">
        <f t="shared" si="3"/>
        <v>42</v>
      </c>
      <c r="J45" s="102"/>
      <c r="K45" s="104"/>
      <c r="L45" s="90"/>
      <c r="M45" s="90"/>
      <c r="N45" s="16">
        <f t="shared" si="4"/>
        <v>80</v>
      </c>
      <c r="O45" s="102"/>
      <c r="P45" s="16">
        <f t="shared" si="5"/>
        <v>62</v>
      </c>
      <c r="Q45" s="102"/>
      <c r="R45" s="16">
        <f t="shared" si="6"/>
        <v>200</v>
      </c>
      <c r="S45" s="102"/>
      <c r="T45" s="16">
        <f t="shared" si="7"/>
        <v>160</v>
      </c>
      <c r="U45" s="102"/>
      <c r="V45" s="16">
        <f t="shared" si="8"/>
        <v>60</v>
      </c>
      <c r="W45" s="102"/>
      <c r="X45" s="16">
        <f t="shared" si="9"/>
        <v>35</v>
      </c>
      <c r="Y45" s="102"/>
      <c r="Z45" s="16">
        <f t="shared" si="10"/>
        <v>31</v>
      </c>
      <c r="AA45" s="102"/>
      <c r="AB45" s="16">
        <f t="shared" si="11"/>
        <v>60</v>
      </c>
      <c r="AC45" s="102"/>
      <c r="AD45" s="16">
        <f t="shared" si="12"/>
        <v>10</v>
      </c>
      <c r="AE45" s="102"/>
      <c r="AF45" s="16">
        <f t="shared" si="13"/>
        <v>21</v>
      </c>
      <c r="AG45" s="102"/>
      <c r="AH45" s="16">
        <f t="shared" si="14"/>
        <v>21</v>
      </c>
      <c r="AI45" s="102"/>
      <c r="AJ45" s="16">
        <f t="shared" si="15"/>
        <v>60</v>
      </c>
      <c r="AK45" s="102"/>
    </row>
    <row r="46" spans="1:37" ht="15" customHeight="1">
      <c r="A46" s="101" t="s">
        <v>837</v>
      </c>
      <c r="B46" s="105">
        <v>46431</v>
      </c>
      <c r="C46" s="103">
        <f t="shared" si="0"/>
        <v>122</v>
      </c>
      <c r="D46" s="102"/>
      <c r="E46" s="103">
        <f t="shared" si="1"/>
        <v>127</v>
      </c>
      <c r="F46" s="102"/>
      <c r="G46" s="103">
        <f t="shared" si="2"/>
        <v>65</v>
      </c>
      <c r="H46" s="102"/>
      <c r="I46" s="103">
        <f t="shared" si="3"/>
        <v>43</v>
      </c>
      <c r="J46" s="102"/>
      <c r="K46" s="104"/>
      <c r="L46" s="90"/>
      <c r="M46" s="90"/>
      <c r="N46" s="16">
        <f t="shared" si="4"/>
        <v>81</v>
      </c>
      <c r="O46" s="102"/>
      <c r="P46" s="16">
        <f t="shared" si="5"/>
        <v>63</v>
      </c>
      <c r="Q46" s="102"/>
      <c r="R46" s="16">
        <f t="shared" si="6"/>
        <v>202</v>
      </c>
      <c r="S46" s="102"/>
      <c r="T46" s="16">
        <f t="shared" si="7"/>
        <v>160</v>
      </c>
      <c r="U46" s="102"/>
      <c r="V46" s="16">
        <f t="shared" si="8"/>
        <v>60</v>
      </c>
      <c r="W46" s="102"/>
      <c r="X46" s="16">
        <f t="shared" si="9"/>
        <v>35</v>
      </c>
      <c r="Y46" s="102"/>
      <c r="Z46" s="16">
        <f t="shared" si="10"/>
        <v>31</v>
      </c>
      <c r="AA46" s="102"/>
      <c r="AB46" s="16">
        <f t="shared" si="11"/>
        <v>60</v>
      </c>
      <c r="AC46" s="102"/>
      <c r="AD46" s="16">
        <f t="shared" si="12"/>
        <v>10</v>
      </c>
      <c r="AE46" s="102"/>
      <c r="AF46" s="16">
        <f t="shared" si="13"/>
        <v>21</v>
      </c>
      <c r="AG46" s="102"/>
      <c r="AH46" s="16">
        <f t="shared" si="14"/>
        <v>21</v>
      </c>
      <c r="AI46" s="102"/>
      <c r="AJ46" s="16">
        <f t="shared" si="15"/>
        <v>61</v>
      </c>
      <c r="AK46" s="102"/>
    </row>
    <row r="47" spans="1:37" ht="15" customHeight="1">
      <c r="A47" s="101" t="s">
        <v>838</v>
      </c>
      <c r="B47" s="105">
        <v>46438</v>
      </c>
      <c r="C47" s="103">
        <f t="shared" si="0"/>
        <v>125</v>
      </c>
      <c r="D47" s="102"/>
      <c r="E47" s="103">
        <f t="shared" si="1"/>
        <v>130</v>
      </c>
      <c r="F47" s="102"/>
      <c r="G47" s="103">
        <f t="shared" si="2"/>
        <v>66</v>
      </c>
      <c r="H47" s="102"/>
      <c r="I47" s="103">
        <f t="shared" si="3"/>
        <v>43</v>
      </c>
      <c r="J47" s="102"/>
      <c r="K47" s="104"/>
      <c r="L47" s="90"/>
      <c r="M47" s="90"/>
      <c r="N47" s="16">
        <f t="shared" si="4"/>
        <v>82</v>
      </c>
      <c r="O47" s="102"/>
      <c r="P47" s="16">
        <f t="shared" si="5"/>
        <v>65</v>
      </c>
      <c r="Q47" s="102"/>
      <c r="R47" s="16">
        <f t="shared" si="6"/>
        <v>205</v>
      </c>
      <c r="S47" s="102"/>
      <c r="T47" s="16">
        <f t="shared" si="7"/>
        <v>162</v>
      </c>
      <c r="U47" s="102"/>
      <c r="V47" s="16">
        <f t="shared" si="8"/>
        <v>61</v>
      </c>
      <c r="W47" s="102"/>
      <c r="X47" s="16">
        <f t="shared" si="9"/>
        <v>36</v>
      </c>
      <c r="Y47" s="102"/>
      <c r="Z47" s="16">
        <f t="shared" si="10"/>
        <v>32</v>
      </c>
      <c r="AA47" s="102"/>
      <c r="AB47" s="16">
        <f t="shared" si="11"/>
        <v>61</v>
      </c>
      <c r="AC47" s="102"/>
      <c r="AD47" s="16">
        <f t="shared" si="12"/>
        <v>11</v>
      </c>
      <c r="AE47" s="102"/>
      <c r="AF47" s="16">
        <f t="shared" si="13"/>
        <v>22</v>
      </c>
      <c r="AG47" s="102"/>
      <c r="AH47" s="16">
        <f t="shared" si="14"/>
        <v>22</v>
      </c>
      <c r="AI47" s="102"/>
      <c r="AJ47" s="16">
        <f t="shared" si="15"/>
        <v>62</v>
      </c>
      <c r="AK47" s="102"/>
    </row>
    <row r="48" spans="1:37" ht="15" customHeight="1">
      <c r="A48" s="101" t="s">
        <v>839</v>
      </c>
      <c r="B48" s="105">
        <v>46445</v>
      </c>
      <c r="C48" s="103">
        <f t="shared" si="0"/>
        <v>127</v>
      </c>
      <c r="D48" s="102"/>
      <c r="E48" s="103">
        <f t="shared" si="1"/>
        <v>132</v>
      </c>
      <c r="F48" s="102"/>
      <c r="G48" s="103">
        <f t="shared" si="2"/>
        <v>67</v>
      </c>
      <c r="H48" s="102"/>
      <c r="I48" s="103">
        <f t="shared" si="3"/>
        <v>45</v>
      </c>
      <c r="J48" s="102"/>
      <c r="K48" s="104"/>
      <c r="L48" s="90"/>
      <c r="M48" s="90"/>
      <c r="N48" s="16">
        <f t="shared" si="4"/>
        <v>83</v>
      </c>
      <c r="O48" s="102"/>
      <c r="P48" s="16">
        <f t="shared" si="5"/>
        <v>66</v>
      </c>
      <c r="Q48" s="102"/>
      <c r="R48" s="16">
        <f t="shared" si="6"/>
        <v>207</v>
      </c>
      <c r="S48" s="102"/>
      <c r="T48" s="16">
        <f t="shared" si="7"/>
        <v>162</v>
      </c>
      <c r="U48" s="102"/>
      <c r="V48" s="16">
        <f t="shared" si="8"/>
        <v>61</v>
      </c>
      <c r="W48" s="102"/>
      <c r="X48" s="16">
        <f t="shared" si="9"/>
        <v>36</v>
      </c>
      <c r="Y48" s="102"/>
      <c r="Z48" s="16">
        <f t="shared" si="10"/>
        <v>32</v>
      </c>
      <c r="AA48" s="102"/>
      <c r="AB48" s="16">
        <f t="shared" si="11"/>
        <v>61</v>
      </c>
      <c r="AC48" s="102"/>
      <c r="AD48" s="16">
        <f t="shared" si="12"/>
        <v>11</v>
      </c>
      <c r="AE48" s="102"/>
      <c r="AF48" s="16">
        <f t="shared" si="13"/>
        <v>22</v>
      </c>
      <c r="AG48" s="102"/>
      <c r="AH48" s="16">
        <f t="shared" si="14"/>
        <v>22</v>
      </c>
      <c r="AI48" s="102"/>
      <c r="AJ48" s="16">
        <f t="shared" si="15"/>
        <v>63</v>
      </c>
      <c r="AK48" s="102"/>
    </row>
    <row r="49" spans="1:37" ht="15" customHeight="1">
      <c r="A49" s="101" t="s">
        <v>840</v>
      </c>
      <c r="B49" s="105">
        <v>46452</v>
      </c>
      <c r="C49" s="103">
        <f t="shared" si="0"/>
        <v>130</v>
      </c>
      <c r="D49" s="102"/>
      <c r="E49" s="103">
        <f t="shared" si="1"/>
        <v>135</v>
      </c>
      <c r="F49" s="102"/>
      <c r="G49" s="103">
        <f t="shared" si="2"/>
        <v>68</v>
      </c>
      <c r="H49" s="102"/>
      <c r="I49" s="103">
        <f t="shared" si="3"/>
        <v>45</v>
      </c>
      <c r="J49" s="102"/>
      <c r="K49" s="104"/>
      <c r="L49" s="90"/>
      <c r="M49" s="90"/>
      <c r="N49" s="16">
        <f t="shared" si="4"/>
        <v>85</v>
      </c>
      <c r="O49" s="102"/>
      <c r="P49" s="16">
        <f t="shared" si="5"/>
        <v>67</v>
      </c>
      <c r="Q49" s="102"/>
      <c r="R49" s="16">
        <f t="shared" si="6"/>
        <v>210</v>
      </c>
      <c r="S49" s="102"/>
      <c r="T49" s="16">
        <f t="shared" si="7"/>
        <v>165</v>
      </c>
      <c r="U49" s="102"/>
      <c r="V49" s="16">
        <f t="shared" si="8"/>
        <v>62</v>
      </c>
      <c r="W49" s="102"/>
      <c r="X49" s="16">
        <f t="shared" si="9"/>
        <v>37</v>
      </c>
      <c r="Y49" s="102"/>
      <c r="Z49" s="16">
        <f t="shared" si="10"/>
        <v>32</v>
      </c>
      <c r="AA49" s="102"/>
      <c r="AB49" s="16">
        <f t="shared" si="11"/>
        <v>62</v>
      </c>
      <c r="AC49" s="102"/>
      <c r="AD49" s="16">
        <f t="shared" si="12"/>
        <v>12</v>
      </c>
      <c r="AE49" s="102"/>
      <c r="AF49" s="16">
        <f t="shared" si="13"/>
        <v>22</v>
      </c>
      <c r="AG49" s="102"/>
      <c r="AH49" s="16">
        <f t="shared" si="14"/>
        <v>22</v>
      </c>
      <c r="AI49" s="102"/>
      <c r="AJ49" s="16">
        <f t="shared" si="15"/>
        <v>65</v>
      </c>
      <c r="AK49" s="102"/>
    </row>
    <row r="50" spans="1:37" ht="15" customHeight="1">
      <c r="A50" s="101" t="s">
        <v>841</v>
      </c>
      <c r="B50" s="105">
        <v>46459</v>
      </c>
      <c r="C50" s="103">
        <f t="shared" si="0"/>
        <v>132</v>
      </c>
      <c r="D50" s="102"/>
      <c r="E50" s="103">
        <f t="shared" si="1"/>
        <v>137</v>
      </c>
      <c r="F50" s="102"/>
      <c r="G50" s="103">
        <f t="shared" si="2"/>
        <v>70</v>
      </c>
      <c r="H50" s="102"/>
      <c r="I50" s="103">
        <f t="shared" si="3"/>
        <v>46</v>
      </c>
      <c r="J50" s="102"/>
      <c r="K50" s="104"/>
      <c r="L50" s="90"/>
      <c r="M50" s="90"/>
      <c r="N50" s="16">
        <f t="shared" si="4"/>
        <v>86</v>
      </c>
      <c r="O50" s="102"/>
      <c r="P50" s="16">
        <f t="shared" si="5"/>
        <v>68</v>
      </c>
      <c r="Q50" s="102"/>
      <c r="R50" s="16">
        <f t="shared" si="6"/>
        <v>212</v>
      </c>
      <c r="S50" s="102"/>
      <c r="T50" s="16">
        <f t="shared" si="7"/>
        <v>165</v>
      </c>
      <c r="U50" s="102"/>
      <c r="V50" s="16">
        <f t="shared" si="8"/>
        <v>62</v>
      </c>
      <c r="W50" s="102"/>
      <c r="X50" s="16">
        <f t="shared" si="9"/>
        <v>37</v>
      </c>
      <c r="Y50" s="102"/>
      <c r="Z50" s="16">
        <f t="shared" si="10"/>
        <v>33</v>
      </c>
      <c r="AA50" s="102"/>
      <c r="AB50" s="16">
        <f t="shared" si="11"/>
        <v>62</v>
      </c>
      <c r="AC50" s="102"/>
      <c r="AD50" s="16">
        <f t="shared" si="12"/>
        <v>12</v>
      </c>
      <c r="AE50" s="102"/>
      <c r="AF50" s="16">
        <f t="shared" si="13"/>
        <v>23</v>
      </c>
      <c r="AG50" s="102"/>
      <c r="AH50" s="16">
        <f t="shared" si="14"/>
        <v>23</v>
      </c>
      <c r="AI50" s="102"/>
      <c r="AJ50" s="16">
        <f t="shared" si="15"/>
        <v>66</v>
      </c>
      <c r="AK50" s="102"/>
    </row>
    <row r="51" spans="1:37" ht="15" customHeight="1">
      <c r="A51" s="101" t="s">
        <v>842</v>
      </c>
      <c r="B51" s="105">
        <v>46466</v>
      </c>
      <c r="C51" s="103">
        <f t="shared" si="0"/>
        <v>135</v>
      </c>
      <c r="D51" s="102"/>
      <c r="E51" s="103">
        <f t="shared" si="1"/>
        <v>140</v>
      </c>
      <c r="F51" s="102"/>
      <c r="G51" s="103">
        <f t="shared" si="2"/>
        <v>71</v>
      </c>
      <c r="H51" s="102"/>
      <c r="I51" s="103">
        <f t="shared" si="3"/>
        <v>46</v>
      </c>
      <c r="J51" s="102"/>
      <c r="K51" s="104"/>
      <c r="L51" s="90"/>
      <c r="M51" s="90"/>
      <c r="N51" s="16">
        <f t="shared" si="4"/>
        <v>87</v>
      </c>
      <c r="O51" s="102"/>
      <c r="P51" s="16">
        <f t="shared" si="5"/>
        <v>70</v>
      </c>
      <c r="Q51" s="102"/>
      <c r="R51" s="16">
        <f t="shared" si="6"/>
        <v>215</v>
      </c>
      <c r="S51" s="102"/>
      <c r="T51" s="16">
        <f t="shared" si="7"/>
        <v>167</v>
      </c>
      <c r="U51" s="102"/>
      <c r="V51" s="16">
        <f t="shared" si="8"/>
        <v>63</v>
      </c>
      <c r="W51" s="102"/>
      <c r="X51" s="16">
        <f t="shared" si="9"/>
        <v>38</v>
      </c>
      <c r="Y51" s="102"/>
      <c r="Z51" s="16">
        <f t="shared" si="10"/>
        <v>33</v>
      </c>
      <c r="AA51" s="102"/>
      <c r="AB51" s="16">
        <f t="shared" si="11"/>
        <v>63</v>
      </c>
      <c r="AC51" s="102"/>
      <c r="AD51" s="16">
        <f t="shared" si="12"/>
        <v>13</v>
      </c>
      <c r="AE51" s="102"/>
      <c r="AF51" s="16">
        <f t="shared" si="13"/>
        <v>23</v>
      </c>
      <c r="AG51" s="102"/>
      <c r="AH51" s="16">
        <f t="shared" si="14"/>
        <v>23</v>
      </c>
      <c r="AI51" s="102"/>
      <c r="AJ51" s="16">
        <f t="shared" si="15"/>
        <v>67</v>
      </c>
      <c r="AK51" s="102"/>
    </row>
    <row r="53" spans="1:37" ht="108" customHeight="1">
      <c r="A53" s="11" t="s">
        <v>843</v>
      </c>
    </row>
    <row r="54" spans="1:37" ht="84" customHeight="1">
      <c r="A54" s="11" t="s">
        <v>844</v>
      </c>
    </row>
    <row r="55" spans="1:37" ht="84" customHeight="1">
      <c r="A55" s="11" t="s">
        <v>845</v>
      </c>
    </row>
    <row r="56" spans="1:37" ht="120" customHeight="1">
      <c r="A56" s="11"/>
    </row>
    <row r="57" spans="1:37" ht="96" customHeight="1">
      <c r="A57" s="11" t="s">
        <v>846</v>
      </c>
    </row>
    <row r="58" spans="1:37" ht="108" customHeight="1">
      <c r="A58" s="11" t="s">
        <v>847</v>
      </c>
    </row>
    <row r="59" spans="1:37" ht="108" customHeight="1">
      <c r="A59" s="11" t="s">
        <v>848</v>
      </c>
    </row>
    <row r="60" spans="1:37" ht="156" customHeight="1">
      <c r="A60" s="11" t="s">
        <v>849</v>
      </c>
    </row>
    <row r="61" spans="1:37" ht="96" customHeight="1">
      <c r="A61" s="11" t="s">
        <v>850</v>
      </c>
    </row>
    <row r="62" spans="1:37">
      <c r="A62" t="s">
        <v>851</v>
      </c>
    </row>
    <row r="63" spans="1:37">
      <c r="A63" t="s">
        <v>852</v>
      </c>
    </row>
    <row r="64" spans="1:37">
      <c r="A64" t="s">
        <v>853</v>
      </c>
    </row>
    <row r="65" spans="1:1">
      <c r="A65" t="s">
        <v>854</v>
      </c>
    </row>
    <row r="66" spans="1:1">
      <c r="A66" t="s">
        <v>855</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856</v>
      </c>
    </row>
    <row r="2" spans="1:3" ht="15" customHeight="1">
      <c r="A2" s="2" t="s">
        <v>857</v>
      </c>
    </row>
    <row r="4" spans="1:3" ht="15" customHeight="1">
      <c r="A4" s="5" t="s">
        <v>858</v>
      </c>
      <c r="B4" s="5" t="s">
        <v>859</v>
      </c>
      <c r="C4" s="5" t="s">
        <v>5</v>
      </c>
    </row>
    <row r="5" spans="1:3" ht="15" customHeight="1">
      <c r="A5" s="7" t="s">
        <v>741</v>
      </c>
      <c r="B5" s="7" t="s">
        <v>860</v>
      </c>
      <c r="C5" s="53" t="s">
        <v>861</v>
      </c>
    </row>
    <row r="6" spans="1:3" ht="15" customHeight="1">
      <c r="A6" s="7" t="s">
        <v>862</v>
      </c>
      <c r="B6" s="7" t="s">
        <v>860</v>
      </c>
      <c r="C6" s="53" t="s">
        <v>863</v>
      </c>
    </row>
    <row r="7" spans="1:3" ht="15" customHeight="1">
      <c r="A7" s="7" t="s">
        <v>313</v>
      </c>
      <c r="B7" s="7" t="s">
        <v>864</v>
      </c>
      <c r="C7" s="53" t="s">
        <v>865</v>
      </c>
    </row>
    <row r="8" spans="1:3" ht="15" customHeight="1">
      <c r="A8" s="67" t="s">
        <v>866</v>
      </c>
      <c r="B8" s="67" t="s">
        <v>867</v>
      </c>
      <c r="C8" s="68" t="s">
        <v>868</v>
      </c>
    </row>
    <row r="9" spans="1:3" ht="15" customHeight="1">
      <c r="A9" s="67" t="s">
        <v>869</v>
      </c>
      <c r="B9" s="67" t="s">
        <v>867</v>
      </c>
      <c r="C9" s="68" t="s">
        <v>870</v>
      </c>
    </row>
    <row r="10" spans="1:3" ht="15" customHeight="1">
      <c r="A10" s="7" t="s">
        <v>9</v>
      </c>
      <c r="B10" s="7" t="s">
        <v>871</v>
      </c>
      <c r="C10" s="69" t="s">
        <v>872</v>
      </c>
    </row>
    <row r="11" spans="1:3" ht="15" customHeight="1">
      <c r="A11" s="7" t="s">
        <v>873</v>
      </c>
      <c r="B11" s="8" t="s">
        <v>874</v>
      </c>
      <c r="C11" s="53" t="s">
        <v>875</v>
      </c>
    </row>
    <row r="12" spans="1:3" ht="15" customHeight="1">
      <c r="A12" s="7" t="s">
        <v>876</v>
      </c>
      <c r="B12" s="7" t="s">
        <v>877</v>
      </c>
      <c r="C12" s="53" t="s">
        <v>878</v>
      </c>
    </row>
    <row r="15" spans="1:3" ht="24" customHeight="1">
      <c r="A15" s="11" t="s">
        <v>879</v>
      </c>
    </row>
    <row r="16" spans="1:3" ht="24" customHeight="1">
      <c r="A16" s="11" t="s">
        <v>880</v>
      </c>
    </row>
    <row r="17" spans="1:1" ht="36" customHeight="1">
      <c r="A17" s="11" t="s">
        <v>881</v>
      </c>
    </row>
    <row r="18" spans="1:1" ht="15" customHeight="1">
      <c r="A18" s="63"/>
    </row>
    <row r="19" spans="1:1" ht="36" customHeight="1">
      <c r="A19" s="11" t="s">
        <v>882</v>
      </c>
    </row>
    <row r="20" spans="1:1" ht="36" customHeight="1">
      <c r="A20" s="11" t="s">
        <v>883</v>
      </c>
    </row>
    <row r="22" spans="1:1" ht="48" customHeight="1">
      <c r="A22" s="13" t="s">
        <v>884</v>
      </c>
    </row>
    <row r="24" spans="1:1" ht="16.5" customHeight="1">
      <c r="A24" s="14" t="s">
        <v>885</v>
      </c>
    </row>
    <row r="25" spans="1:1" ht="16.5" customHeight="1">
      <c r="A25" t="s">
        <v>886</v>
      </c>
    </row>
    <row r="26" spans="1:1" ht="16.5" customHeight="1">
      <c r="A26" t="s">
        <v>887</v>
      </c>
    </row>
    <row r="27" spans="1:1" ht="16.5" customHeight="1">
      <c r="A27" t="s">
        <v>888</v>
      </c>
    </row>
    <row r="28" spans="1:1" ht="16.5" customHeight="1">
      <c r="A28" t="s">
        <v>889</v>
      </c>
    </row>
    <row r="30" spans="1:1" ht="16.5" customHeight="1">
      <c r="A30" t="s">
        <v>890</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101"/>
  <sheetViews>
    <sheetView topLeftCell="A25" workbookViewId="0">
      <selection activeCell="A74" sqref="A74"/>
    </sheetView>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891</v>
      </c>
    </row>
    <row r="2" spans="1:7">
      <c r="A2" s="119" t="s">
        <v>892</v>
      </c>
    </row>
    <row r="3" spans="1:7">
      <c r="A3" s="119" t="s">
        <v>893</v>
      </c>
    </row>
    <row r="5" spans="1:7">
      <c r="A5" s="111" t="s">
        <v>894</v>
      </c>
      <c r="B5" s="111" t="s">
        <v>895</v>
      </c>
      <c r="C5" s="111" t="s">
        <v>896</v>
      </c>
      <c r="D5" s="111" t="s">
        <v>897</v>
      </c>
      <c r="E5" s="111" t="s">
        <v>148</v>
      </c>
      <c r="F5" s="111" t="s">
        <v>149</v>
      </c>
      <c r="G5" s="111" t="s">
        <v>898</v>
      </c>
    </row>
    <row r="6" spans="1:7" ht="30" customHeight="1">
      <c r="A6" s="114" t="s">
        <v>899</v>
      </c>
      <c r="B6" s="120" t="s">
        <v>900</v>
      </c>
      <c r="C6" s="114" t="s">
        <v>896</v>
      </c>
      <c r="D6" s="115" t="s">
        <v>901</v>
      </c>
      <c r="E6" s="121">
        <f>복귀_토_하체전면!$E$31</f>
        <v>45</v>
      </c>
      <c r="F6" s="114" t="s">
        <v>1576</v>
      </c>
      <c r="G6" s="115" t="s">
        <v>1393</v>
      </c>
    </row>
    <row r="7" spans="1:7" ht="30" customHeight="1">
      <c r="A7" s="114" t="s">
        <v>902</v>
      </c>
      <c r="B7" s="120" t="s">
        <v>903</v>
      </c>
      <c r="C7" s="114" t="s">
        <v>896</v>
      </c>
      <c r="D7" s="115" t="s">
        <v>904</v>
      </c>
      <c r="E7" s="121">
        <f>복귀_일_수평당기기!$E$22</f>
        <v>36</v>
      </c>
      <c r="F7" s="114" t="s">
        <v>1577</v>
      </c>
      <c r="G7" s="115" t="s">
        <v>1451</v>
      </c>
    </row>
    <row r="8" spans="1:7" ht="30" customHeight="1">
      <c r="A8" s="114" t="s">
        <v>905</v>
      </c>
      <c r="B8" s="120" t="s">
        <v>906</v>
      </c>
      <c r="C8" s="114" t="s">
        <v>896</v>
      </c>
      <c r="D8" s="115" t="s">
        <v>1483</v>
      </c>
      <c r="E8" s="121">
        <f>복귀_월_가슴!$E$29</f>
        <v>37</v>
      </c>
      <c r="F8" s="114" t="s">
        <v>1578</v>
      </c>
      <c r="G8" s="115" t="s">
        <v>1484</v>
      </c>
    </row>
    <row r="9" spans="1:7" ht="30" customHeight="1">
      <c r="A9" s="114" t="s">
        <v>907</v>
      </c>
      <c r="B9" s="120" t="s">
        <v>908</v>
      </c>
      <c r="C9" s="114" t="s">
        <v>896</v>
      </c>
      <c r="D9" s="115" t="s">
        <v>1485</v>
      </c>
      <c r="E9" s="121">
        <f>복귀_화_팔!$E$24</f>
        <v>41</v>
      </c>
      <c r="F9" s="114" t="s">
        <v>1579</v>
      </c>
      <c r="G9" s="115" t="s">
        <v>1486</v>
      </c>
    </row>
    <row r="10" spans="1:7" ht="30" customHeight="1">
      <c r="A10" s="114" t="s">
        <v>909</v>
      </c>
      <c r="B10" s="120" t="s">
        <v>910</v>
      </c>
      <c r="C10" s="114" t="s">
        <v>896</v>
      </c>
      <c r="D10" s="115" t="s">
        <v>911</v>
      </c>
      <c r="E10" s="121">
        <f>복귀_수_하체후면!$E$39</f>
        <v>34</v>
      </c>
      <c r="F10" s="114" t="s">
        <v>1580</v>
      </c>
      <c r="G10" s="115" t="s">
        <v>1445</v>
      </c>
    </row>
    <row r="11" spans="1:7" ht="30" customHeight="1">
      <c r="A11" s="114" t="s">
        <v>912</v>
      </c>
      <c r="B11" s="120" t="s">
        <v>913</v>
      </c>
      <c r="C11" s="114" t="s">
        <v>896</v>
      </c>
      <c r="D11" s="115" t="s">
        <v>914</v>
      </c>
      <c r="E11" s="121">
        <f>복귀_목_수직당기기!$E$25</f>
        <v>42</v>
      </c>
      <c r="F11" s="114" t="s">
        <v>1464</v>
      </c>
      <c r="G11" s="115" t="s">
        <v>1600</v>
      </c>
    </row>
    <row r="12" spans="1:7" ht="30" customHeight="1">
      <c r="A12" s="114" t="s">
        <v>915</v>
      </c>
      <c r="B12" s="120" t="s">
        <v>160</v>
      </c>
      <c r="C12" s="114" t="s">
        <v>896</v>
      </c>
      <c r="D12" s="115" t="s">
        <v>160</v>
      </c>
      <c r="E12" s="121">
        <v>0</v>
      </c>
      <c r="F12" s="114" t="s">
        <v>27</v>
      </c>
      <c r="G12" s="115" t="s">
        <v>916</v>
      </c>
    </row>
    <row r="13" spans="1:7">
      <c r="A13" s="116" t="s">
        <v>171</v>
      </c>
      <c r="B13" s="122"/>
      <c r="C13" s="122"/>
      <c r="D13" s="122"/>
      <c r="E13" s="116">
        <f>SUM(E6:E12)</f>
        <v>235</v>
      </c>
      <c r="F13" s="116" t="s">
        <v>1581</v>
      </c>
      <c r="G13" s="119"/>
    </row>
    <row r="15" spans="1:7">
      <c r="A15" s="107" t="s">
        <v>917</v>
      </c>
    </row>
    <row r="16" spans="1:7">
      <c r="A16" s="123" t="s">
        <v>918</v>
      </c>
    </row>
    <row r="17" spans="1:1">
      <c r="A17" s="123" t="s">
        <v>919</v>
      </c>
    </row>
    <row r="18" spans="1:1">
      <c r="A18" s="123" t="s">
        <v>920</v>
      </c>
    </row>
    <row r="19" spans="1:1">
      <c r="A19" s="123" t="s">
        <v>921</v>
      </c>
    </row>
    <row r="20" spans="1:1">
      <c r="A20" s="123" t="s">
        <v>922</v>
      </c>
    </row>
    <row r="21" spans="1:1">
      <c r="A21" s="123" t="s">
        <v>923</v>
      </c>
    </row>
    <row r="22" spans="1:1">
      <c r="A22" s="123" t="s">
        <v>924</v>
      </c>
    </row>
    <row r="23" spans="1:1">
      <c r="A23" s="123" t="s">
        <v>925</v>
      </c>
    </row>
    <row r="24" spans="1:1">
      <c r="A24" s="123" t="s">
        <v>1506</v>
      </c>
    </row>
    <row r="25" spans="1:1">
      <c r="A25" s="123" t="s">
        <v>926</v>
      </c>
    </row>
    <row r="26" spans="1:1">
      <c r="A26" s="123" t="s">
        <v>927</v>
      </c>
    </row>
    <row r="27" spans="1:1">
      <c r="A27" s="123" t="s">
        <v>928</v>
      </c>
    </row>
    <row r="29" spans="1:1">
      <c r="A29" s="107" t="s">
        <v>929</v>
      </c>
    </row>
    <row r="30" spans="1:1">
      <c r="A30" s="123" t="s">
        <v>930</v>
      </c>
    </row>
    <row r="31" spans="1:1">
      <c r="A31" s="123" t="s">
        <v>931</v>
      </c>
    </row>
    <row r="32" spans="1:1">
      <c r="A32" s="123" t="s">
        <v>932</v>
      </c>
    </row>
    <row r="33" spans="1:1">
      <c r="A33" s="123" t="s">
        <v>933</v>
      </c>
    </row>
    <row r="34" spans="1:1">
      <c r="A34" s="123" t="s">
        <v>934</v>
      </c>
    </row>
    <row r="35" spans="1:1">
      <c r="A35" s="123" t="s">
        <v>935</v>
      </c>
    </row>
    <row r="36" spans="1:1">
      <c r="A36" s="123" t="s">
        <v>936</v>
      </c>
    </row>
    <row r="37" spans="1:1">
      <c r="A37" s="123" t="s">
        <v>937</v>
      </c>
    </row>
    <row r="38" spans="1:1">
      <c r="A38" s="123" t="s">
        <v>938</v>
      </c>
    </row>
    <row r="39" spans="1:1">
      <c r="A39" s="123" t="s">
        <v>939</v>
      </c>
    </row>
    <row r="40" spans="1:1">
      <c r="A40" s="123" t="s">
        <v>940</v>
      </c>
    </row>
    <row r="41" spans="1:1">
      <c r="A41" s="123" t="s">
        <v>941</v>
      </c>
    </row>
    <row r="42" spans="1:1">
      <c r="A42" s="123" t="s">
        <v>942</v>
      </c>
    </row>
    <row r="43" spans="1:1">
      <c r="A43" s="126" t="s">
        <v>1245</v>
      </c>
    </row>
    <row r="44" spans="1:1">
      <c r="A44" s="126" t="s">
        <v>1259</v>
      </c>
    </row>
    <row r="45" spans="1:1">
      <c r="A45" s="126" t="s">
        <v>1293</v>
      </c>
    </row>
    <row r="46" spans="1:1">
      <c r="A46" s="126" t="s">
        <v>1296</v>
      </c>
    </row>
    <row r="47" spans="1:1">
      <c r="A47" s="126" t="s">
        <v>1312</v>
      </c>
    </row>
    <row r="48" spans="1:1">
      <c r="A48" s="126" t="s">
        <v>1323</v>
      </c>
    </row>
    <row r="49" spans="1:1">
      <c r="A49" s="126" t="s">
        <v>1333</v>
      </c>
    </row>
    <row r="50" spans="1:1">
      <c r="A50" s="126" t="s">
        <v>1343</v>
      </c>
    </row>
    <row r="51" spans="1:1">
      <c r="A51" s="126" t="s">
        <v>1353</v>
      </c>
    </row>
    <row r="52" spans="1:1">
      <c r="A52" s="126" t="s">
        <v>1362</v>
      </c>
    </row>
    <row r="53" spans="1:1">
      <c r="A53" s="126" t="s">
        <v>1364</v>
      </c>
    </row>
    <row r="54" spans="1:1">
      <c r="A54" s="126" t="s">
        <v>1386</v>
      </c>
    </row>
    <row r="55" spans="1:1">
      <c r="A55" s="126" t="s">
        <v>1387</v>
      </c>
    </row>
    <row r="56" spans="1:1">
      <c r="A56" s="126" t="s">
        <v>1394</v>
      </c>
    </row>
    <row r="57" spans="1:1">
      <c r="A57" s="126" t="s">
        <v>1396</v>
      </c>
    </row>
    <row r="58" spans="1:1">
      <c r="A58" s="126" t="s">
        <v>1403</v>
      </c>
    </row>
    <row r="59" spans="1:1">
      <c r="A59" s="126" t="s">
        <v>1433</v>
      </c>
    </row>
    <row r="60" spans="1:1">
      <c r="A60" s="126" t="s">
        <v>1437</v>
      </c>
    </row>
    <row r="61" spans="1:1">
      <c r="A61" s="126" t="s">
        <v>1446</v>
      </c>
    </row>
    <row r="62" spans="1:1">
      <c r="A62" s="126" t="s">
        <v>1453</v>
      </c>
    </row>
    <row r="63" spans="1:1">
      <c r="A63" s="126" t="s">
        <v>1459</v>
      </c>
    </row>
    <row r="64" spans="1:1">
      <c r="A64" s="126" t="s">
        <v>1460</v>
      </c>
    </row>
    <row r="65" spans="1:1">
      <c r="A65" s="126" t="s">
        <v>1465</v>
      </c>
    </row>
    <row r="66" spans="1:1">
      <c r="A66" s="126" t="s">
        <v>1473</v>
      </c>
    </row>
    <row r="67" spans="1:1">
      <c r="A67" s="126" t="s">
        <v>1491</v>
      </c>
    </row>
    <row r="68" spans="1:1">
      <c r="A68" s="126" t="s">
        <v>1496</v>
      </c>
    </row>
    <row r="69" spans="1:1">
      <c r="A69" s="126" t="s">
        <v>1508</v>
      </c>
    </row>
    <row r="70" spans="1:1">
      <c r="A70" s="126" t="s">
        <v>1516</v>
      </c>
    </row>
    <row r="71" spans="1:1">
      <c r="A71" s="126" t="s">
        <v>1522</v>
      </c>
    </row>
    <row r="72" spans="1:1">
      <c r="A72" s="126" t="s">
        <v>1524</v>
      </c>
    </row>
    <row r="73" spans="1:1">
      <c r="A73" s="126" t="s">
        <v>1530</v>
      </c>
    </row>
    <row r="74" spans="1:1">
      <c r="A74" s="126" t="s">
        <v>1558</v>
      </c>
    </row>
    <row r="75" spans="1:1">
      <c r="A75" s="126" t="s">
        <v>1582</v>
      </c>
    </row>
    <row r="76" spans="1:1">
      <c r="A76" s="107" t="s">
        <v>943</v>
      </c>
    </row>
    <row r="77" spans="1:1">
      <c r="A77" s="123" t="s">
        <v>944</v>
      </c>
    </row>
    <row r="78" spans="1:1">
      <c r="A78" s="123" t="s">
        <v>945</v>
      </c>
    </row>
    <row r="79" spans="1:1">
      <c r="A79" s="123" t="s">
        <v>946</v>
      </c>
    </row>
    <row r="80" spans="1:1">
      <c r="A80" s="123" t="s">
        <v>947</v>
      </c>
    </row>
    <row r="82" spans="1:1">
      <c r="A82" s="107" t="s">
        <v>948</v>
      </c>
    </row>
    <row r="83" spans="1:1">
      <c r="A83" s="123" t="s">
        <v>949</v>
      </c>
    </row>
    <row r="84" spans="1:1">
      <c r="A84" s="123" t="s">
        <v>950</v>
      </c>
    </row>
    <row r="85" spans="1:1">
      <c r="A85" s="123" t="s">
        <v>951</v>
      </c>
    </row>
    <row r="86" spans="1:1">
      <c r="A86" s="123" t="s">
        <v>952</v>
      </c>
    </row>
    <row r="87" spans="1:1">
      <c r="A87" s="123" t="s">
        <v>953</v>
      </c>
    </row>
    <row r="89" spans="1:1">
      <c r="A89" s="107" t="s">
        <v>954</v>
      </c>
    </row>
    <row r="90" spans="1:1">
      <c r="A90" s="123" t="s">
        <v>1583</v>
      </c>
    </row>
    <row r="91" spans="1:1">
      <c r="A91" s="123" t="s">
        <v>1487</v>
      </c>
    </row>
    <row r="92" spans="1:1">
      <c r="A92" s="123" t="s">
        <v>955</v>
      </c>
    </row>
    <row r="93" spans="1:1">
      <c r="A93" s="123" t="s">
        <v>1452</v>
      </c>
    </row>
    <row r="94" spans="1:1">
      <c r="A94" s="123" t="s">
        <v>1322</v>
      </c>
    </row>
    <row r="95" spans="1:1">
      <c r="A95" s="123" t="s">
        <v>1421</v>
      </c>
    </row>
    <row r="97" spans="1:1">
      <c r="A97" s="107" t="s">
        <v>956</v>
      </c>
    </row>
    <row r="98" spans="1:1">
      <c r="A98" s="123" t="s">
        <v>1422</v>
      </c>
    </row>
    <row r="99" spans="1:1">
      <c r="A99" s="123" t="s">
        <v>957</v>
      </c>
    </row>
    <row r="100" spans="1:1">
      <c r="A100" s="123" t="s">
        <v>958</v>
      </c>
    </row>
    <row r="101" spans="1:1">
      <c r="A101" s="123" t="s">
        <v>959</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1"/>
  <sheetViews>
    <sheetView workbookViewId="0">
      <selection activeCell="P5" sqref="P5"/>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960</v>
      </c>
    </row>
    <row r="4" spans="1:3">
      <c r="A4" s="107" t="s">
        <v>367</v>
      </c>
    </row>
    <row r="5" spans="1:3">
      <c r="A5" s="108" t="s">
        <v>255</v>
      </c>
      <c r="B5" s="108" t="s">
        <v>330</v>
      </c>
      <c r="C5" s="108" t="s">
        <v>148</v>
      </c>
    </row>
    <row r="6" spans="1:3">
      <c r="A6" s="109">
        <f>MAX(20,(MROUND(시작중량_설정!$E$7*0.4,1)+(MOD(MROUND(시작중량_설정!$E$7*0.4,1),5)=4)))</f>
        <v>30</v>
      </c>
      <c r="B6" s="109">
        <v>5</v>
      </c>
      <c r="C6" s="109">
        <v>2</v>
      </c>
    </row>
    <row r="7" spans="1:3">
      <c r="A7" s="109">
        <f>IF(MAX(20,(MROUND(시작중량_설정!$E$7*0.6,1)+(MOD(MROUND(시작중량_설정!$E$7*0.6,1),5)=4)))&lt;=MAX(20,(MROUND(시작중량_설정!$E$7*0.4,1)+(MOD(MROUND(시작중량_설정!$E$7*0.4,1),5)=4))),"생략",MAX(20,(MROUND(시작중량_설정!$E$7*0.6,1)+(MOD(MROUND(시작중량_설정!$E$7*0.6,1),5)=4))))</f>
        <v>45</v>
      </c>
      <c r="B7" s="109">
        <v>5</v>
      </c>
      <c r="C7" s="109">
        <v>1</v>
      </c>
    </row>
    <row r="8" spans="1:3">
      <c r="A8" s="109">
        <f>IF(MAX(20,(MROUND(시작중량_설정!$E$7*0.75,1)+(MOD(MROUND(시작중량_설정!$E$7*0.75,1),5)=4)))&lt;=MAX(20,(MROUND(시작중량_설정!$E$7*0.6,1)+(MOD(MROUND(시작중량_설정!$E$7*0.6,1),5)=4))),"생략",MAX(20,(MROUND(시작중량_설정!$E$7*0.75,1)+(MOD(MROUND(시작중량_설정!$E$7*0.75,1),5)=4))))</f>
        <v>56</v>
      </c>
      <c r="B8" s="109">
        <v>3</v>
      </c>
      <c r="C8" s="109">
        <v>1</v>
      </c>
    </row>
    <row r="9" spans="1:3">
      <c r="A9" s="109">
        <f>IF(MAX(20,(MROUND(시작중량_설정!$E$7*0.9,1)+(MOD(MROUND(시작중량_설정!$E$7*0.9,1),5)=4)))&lt;=MAX(20,(MROUND(시작중량_설정!$E$7*0.75,1)+(MOD(MROUND(시작중량_설정!$E$7*0.75,1),5)=4))),"생략",MAX(20,(MROUND(시작중량_설정!$E$7*0.9,1)+(MOD(MROUND(시작중량_설정!$E$7*0.9,1),5)=4))))</f>
        <v>68</v>
      </c>
      <c r="B9" s="109">
        <v>2</v>
      </c>
      <c r="C9" s="109">
        <v>1</v>
      </c>
    </row>
    <row r="10" spans="1:3">
      <c r="A10" s="109">
        <f>시작중량_설정!$E$7</f>
        <v>75</v>
      </c>
      <c r="B10" s="109">
        <v>5</v>
      </c>
      <c r="C10" s="109">
        <v>5</v>
      </c>
    </row>
    <row r="12" spans="1:3">
      <c r="A12" s="107" t="s">
        <v>961</v>
      </c>
    </row>
    <row r="13" spans="1:3">
      <c r="A13" s="110" t="s">
        <v>962</v>
      </c>
    </row>
    <row r="14" spans="1:3">
      <c r="A14" s="110" t="s">
        <v>963</v>
      </c>
    </row>
    <row r="15" spans="1:3">
      <c r="A15" s="110" t="s">
        <v>964</v>
      </c>
    </row>
    <row r="16" spans="1:3">
      <c r="A16" s="110" t="s">
        <v>335</v>
      </c>
    </row>
    <row r="18" spans="1:14">
      <c r="A18" s="107" t="s">
        <v>252</v>
      </c>
    </row>
    <row r="19" spans="1:14" ht="15" customHeight="1">
      <c r="A19" s="111" t="s">
        <v>253</v>
      </c>
      <c r="B19" s="111" t="s">
        <v>76</v>
      </c>
      <c r="C19" s="111" t="s">
        <v>254</v>
      </c>
      <c r="D19" s="111" t="s">
        <v>255</v>
      </c>
      <c r="E19" s="111" t="s">
        <v>148</v>
      </c>
      <c r="F19" s="111" t="s">
        <v>256</v>
      </c>
      <c r="G19" s="111" t="s">
        <v>257</v>
      </c>
      <c r="H19" s="111" t="s">
        <v>258</v>
      </c>
      <c r="I19" s="111" t="s">
        <v>259</v>
      </c>
      <c r="J19" s="111" t="s">
        <v>261</v>
      </c>
      <c r="K19" s="111" t="s">
        <v>262</v>
      </c>
      <c r="L19" s="111" t="s">
        <v>263</v>
      </c>
      <c r="M19" s="111" t="s">
        <v>264</v>
      </c>
      <c r="N19" s="111" t="s">
        <v>265</v>
      </c>
    </row>
    <row r="20" spans="1:14" ht="30" customHeight="1">
      <c r="A20" s="112">
        <v>1</v>
      </c>
      <c r="B20" s="113" t="s">
        <v>82</v>
      </c>
      <c r="C20" s="112" t="s">
        <v>369</v>
      </c>
      <c r="D20" s="112">
        <f>시작중량_설정!$E$7</f>
        <v>75</v>
      </c>
      <c r="E20" s="112">
        <v>5</v>
      </c>
      <c r="F20" s="112">
        <v>5</v>
      </c>
      <c r="G20" s="112">
        <v>30</v>
      </c>
      <c r="H20" s="112">
        <v>180</v>
      </c>
      <c r="I20" s="112">
        <f t="shared" ref="I20:I30" si="0">IF(E20=0,0,ROUND((E20*(G20+H20)+N20)/60,1))</f>
        <v>17.5</v>
      </c>
      <c r="J20" s="113" t="s">
        <v>965</v>
      </c>
      <c r="K20" s="113" t="s">
        <v>966</v>
      </c>
      <c r="L20" s="112" t="s">
        <v>342</v>
      </c>
      <c r="M20" s="112"/>
      <c r="N20" s="112"/>
    </row>
    <row r="21" spans="1:14" ht="30" customHeight="1">
      <c r="A21" s="114">
        <v>2</v>
      </c>
      <c r="B21" s="115" t="s">
        <v>374</v>
      </c>
      <c r="C21" s="114" t="s">
        <v>369</v>
      </c>
      <c r="D21" s="144">
        <f>시작중량_설정!$E$13</f>
        <v>160</v>
      </c>
      <c r="E21" s="114">
        <v>4</v>
      </c>
      <c r="F21" s="114">
        <v>10</v>
      </c>
      <c r="G21" s="114">
        <v>45</v>
      </c>
      <c r="H21" s="114">
        <v>150</v>
      </c>
      <c r="I21" s="114">
        <f t="shared" si="0"/>
        <v>13</v>
      </c>
      <c r="J21" s="115" t="s">
        <v>1606</v>
      </c>
      <c r="K21" s="115" t="s">
        <v>967</v>
      </c>
      <c r="L21" s="114"/>
      <c r="M21" s="114"/>
      <c r="N21" s="114"/>
    </row>
    <row r="22" spans="1:14" ht="30" customHeight="1">
      <c r="A22" s="114">
        <v>3</v>
      </c>
      <c r="B22" s="115" t="s">
        <v>508</v>
      </c>
      <c r="C22" s="114" t="s">
        <v>429</v>
      </c>
      <c r="D22" s="114">
        <v>30</v>
      </c>
      <c r="E22" s="114">
        <v>4</v>
      </c>
      <c r="F22" s="114" t="s">
        <v>274</v>
      </c>
      <c r="G22" s="114">
        <v>40</v>
      </c>
      <c r="H22" s="114">
        <v>120</v>
      </c>
      <c r="I22" s="114">
        <f t="shared" si="0"/>
        <v>10.7</v>
      </c>
      <c r="J22" s="115" t="s">
        <v>1444</v>
      </c>
      <c r="K22" s="115" t="s">
        <v>583</v>
      </c>
      <c r="L22" s="114"/>
      <c r="M22" s="114"/>
      <c r="N22" s="114"/>
    </row>
    <row r="23" spans="1:14" ht="30" customHeight="1">
      <c r="A23" s="114">
        <v>4</v>
      </c>
      <c r="B23" s="115" t="s">
        <v>1388</v>
      </c>
      <c r="C23" s="114" t="s">
        <v>354</v>
      </c>
      <c r="D23" s="114">
        <v>20</v>
      </c>
      <c r="E23" s="114">
        <v>3</v>
      </c>
      <c r="F23" s="114" t="s">
        <v>350</v>
      </c>
      <c r="G23" s="114">
        <v>40</v>
      </c>
      <c r="H23" s="114">
        <v>90</v>
      </c>
      <c r="I23" s="114">
        <f t="shared" si="0"/>
        <v>6.5</v>
      </c>
      <c r="J23" s="115" t="s">
        <v>1439</v>
      </c>
      <c r="K23" s="115" t="s">
        <v>1389</v>
      </c>
      <c r="L23" s="114"/>
      <c r="M23" s="114"/>
      <c r="N23" s="114"/>
    </row>
    <row r="24" spans="1:14" ht="30" customHeight="1">
      <c r="A24" s="114">
        <v>5</v>
      </c>
      <c r="B24" s="135" t="s">
        <v>1448</v>
      </c>
      <c r="C24" s="114" t="s">
        <v>354</v>
      </c>
      <c r="D24" s="114">
        <v>8</v>
      </c>
      <c r="E24" s="114">
        <v>3</v>
      </c>
      <c r="F24" s="114" t="s">
        <v>289</v>
      </c>
      <c r="G24" s="114">
        <v>40</v>
      </c>
      <c r="H24" s="114">
        <v>60</v>
      </c>
      <c r="I24" s="114">
        <f t="shared" si="0"/>
        <v>6</v>
      </c>
      <c r="J24" s="115" t="s">
        <v>1390</v>
      </c>
      <c r="K24" s="115" t="s">
        <v>969</v>
      </c>
      <c r="L24" s="114"/>
      <c r="M24" s="114"/>
      <c r="N24" s="114">
        <v>60</v>
      </c>
    </row>
    <row r="25" spans="1:14" ht="30" customHeight="1">
      <c r="A25" s="114">
        <v>6</v>
      </c>
      <c r="B25" s="115" t="s">
        <v>970</v>
      </c>
      <c r="C25" s="114" t="s">
        <v>358</v>
      </c>
      <c r="D25" s="114">
        <v>30</v>
      </c>
      <c r="E25" s="114">
        <v>6</v>
      </c>
      <c r="F25" s="114" t="s">
        <v>289</v>
      </c>
      <c r="G25" s="114">
        <v>40</v>
      </c>
      <c r="H25" s="114">
        <v>60</v>
      </c>
      <c r="I25" s="114">
        <f t="shared" si="0"/>
        <v>11</v>
      </c>
      <c r="J25" s="115" t="s">
        <v>1395</v>
      </c>
      <c r="K25" s="115" t="s">
        <v>971</v>
      </c>
      <c r="L25" s="114"/>
      <c r="M25" s="114"/>
      <c r="N25" s="114">
        <v>60</v>
      </c>
    </row>
    <row r="26" spans="1:14" ht="30" customHeight="1">
      <c r="A26" s="114">
        <v>7</v>
      </c>
      <c r="B26" s="115" t="s">
        <v>1566</v>
      </c>
      <c r="C26" s="114" t="s">
        <v>285</v>
      </c>
      <c r="D26" s="114">
        <v>10</v>
      </c>
      <c r="E26" s="114">
        <v>2</v>
      </c>
      <c r="F26" s="114" t="s">
        <v>1567</v>
      </c>
      <c r="G26" s="114">
        <v>60</v>
      </c>
      <c r="H26" s="114">
        <v>60</v>
      </c>
      <c r="I26" s="114">
        <f>IF(E26=0,0,ROUND((E26*(G26+H26)+N26)/60,1))</f>
        <v>4</v>
      </c>
      <c r="J26" s="115" t="s">
        <v>1568</v>
      </c>
      <c r="K26" s="115" t="s">
        <v>1569</v>
      </c>
      <c r="L26" s="114"/>
      <c r="M26" s="114"/>
      <c r="N26" s="114"/>
    </row>
    <row r="27" spans="1:14" ht="30" customHeight="1">
      <c r="A27" s="114">
        <v>8</v>
      </c>
      <c r="B27" s="115" t="s">
        <v>383</v>
      </c>
      <c r="C27" s="114" t="s">
        <v>384</v>
      </c>
      <c r="D27" s="114">
        <v>50</v>
      </c>
      <c r="E27" s="114">
        <v>4</v>
      </c>
      <c r="F27" s="114" t="s">
        <v>350</v>
      </c>
      <c r="G27" s="114">
        <v>40</v>
      </c>
      <c r="H27" s="114">
        <v>120</v>
      </c>
      <c r="I27" s="114">
        <f t="shared" si="0"/>
        <v>11.9</v>
      </c>
      <c r="J27" s="115" t="s">
        <v>972</v>
      </c>
      <c r="K27" s="115" t="s">
        <v>973</v>
      </c>
      <c r="L27" s="114"/>
      <c r="M27" s="114"/>
      <c r="N27" s="114">
        <v>75</v>
      </c>
    </row>
    <row r="28" spans="1:14" ht="30" customHeight="1">
      <c r="A28" s="114">
        <v>9</v>
      </c>
      <c r="B28" s="115" t="s">
        <v>387</v>
      </c>
      <c r="C28" s="114" t="s">
        <v>388</v>
      </c>
      <c r="D28" s="114">
        <v>41</v>
      </c>
      <c r="E28" s="114">
        <v>4</v>
      </c>
      <c r="F28" s="114" t="s">
        <v>289</v>
      </c>
      <c r="G28" s="114">
        <v>40</v>
      </c>
      <c r="H28" s="114">
        <v>10</v>
      </c>
      <c r="I28" s="114">
        <f t="shared" si="0"/>
        <v>3.3</v>
      </c>
      <c r="J28" s="115" t="s">
        <v>974</v>
      </c>
      <c r="K28" s="115" t="s">
        <v>975</v>
      </c>
      <c r="L28" s="114"/>
      <c r="M28" s="114" t="s">
        <v>391</v>
      </c>
      <c r="N28" s="114"/>
    </row>
    <row r="29" spans="1:14" ht="30" customHeight="1">
      <c r="A29" s="114">
        <v>10</v>
      </c>
      <c r="B29" s="115" t="s">
        <v>392</v>
      </c>
      <c r="C29" s="114" t="s">
        <v>393</v>
      </c>
      <c r="D29" s="114">
        <v>59</v>
      </c>
      <c r="E29" s="114">
        <v>4</v>
      </c>
      <c r="F29" s="114" t="s">
        <v>289</v>
      </c>
      <c r="G29" s="114">
        <v>40</v>
      </c>
      <c r="H29" s="114">
        <v>120</v>
      </c>
      <c r="I29" s="114">
        <f t="shared" si="0"/>
        <v>10.7</v>
      </c>
      <c r="J29" s="115" t="s">
        <v>976</v>
      </c>
      <c r="K29" s="115" t="s">
        <v>977</v>
      </c>
      <c r="L29" s="114"/>
      <c r="M29" s="114" t="s">
        <v>391</v>
      </c>
      <c r="N29" s="114"/>
    </row>
    <row r="30" spans="1:14" ht="30" customHeight="1">
      <c r="A30" s="114">
        <v>11</v>
      </c>
      <c r="B30" s="115" t="s">
        <v>488</v>
      </c>
      <c r="C30" s="114" t="s">
        <v>308</v>
      </c>
      <c r="D30" s="114">
        <v>16</v>
      </c>
      <c r="E30" s="114">
        <v>6</v>
      </c>
      <c r="F30" s="114" t="s">
        <v>289</v>
      </c>
      <c r="G30" s="114">
        <v>40</v>
      </c>
      <c r="H30" s="114">
        <v>75</v>
      </c>
      <c r="I30" s="114">
        <f t="shared" si="0"/>
        <v>11.5</v>
      </c>
      <c r="J30" s="115" t="s">
        <v>978</v>
      </c>
      <c r="K30" s="115" t="s">
        <v>979</v>
      </c>
      <c r="L30" s="114"/>
      <c r="M30" s="114"/>
      <c r="N30" s="114"/>
    </row>
    <row r="31" spans="1:14">
      <c r="A31" s="116"/>
      <c r="B31" s="116"/>
      <c r="C31" s="116"/>
      <c r="D31" s="116" t="s">
        <v>321</v>
      </c>
      <c r="E31" s="116">
        <f>SUM(E20:E30)</f>
        <v>45</v>
      </c>
      <c r="F31" s="116"/>
      <c r="G31" s="116"/>
      <c r="H31" s="116"/>
      <c r="I31" s="116">
        <f>ROUND(SUM(I20:I30),0)</f>
        <v>106</v>
      </c>
    </row>
    <row r="33" spans="1:1">
      <c r="A33" s="107" t="s">
        <v>980</v>
      </c>
    </row>
    <row r="34" spans="1:1">
      <c r="A34" s="117" t="s">
        <v>981</v>
      </c>
    </row>
    <row r="35" spans="1:1">
      <c r="A35" s="117" t="s">
        <v>1467</v>
      </c>
    </row>
    <row r="36" spans="1:1">
      <c r="A36" s="117" t="s">
        <v>1392</v>
      </c>
    </row>
    <row r="37" spans="1:1">
      <c r="A37" s="117" t="s">
        <v>982</v>
      </c>
    </row>
    <row r="38" spans="1:1">
      <c r="A38" s="117" t="s">
        <v>983</v>
      </c>
    </row>
    <row r="39" spans="1:1">
      <c r="A39" s="117" t="s">
        <v>984</v>
      </c>
    </row>
    <row r="41" spans="1:1">
      <c r="A41" s="107" t="s">
        <v>954</v>
      </c>
    </row>
    <row r="42" spans="1:1">
      <c r="A42" s="117" t="s">
        <v>1468</v>
      </c>
    </row>
    <row r="43" spans="1:1">
      <c r="A43" s="117" t="s">
        <v>985</v>
      </c>
    </row>
    <row r="44" spans="1:1">
      <c r="A44" s="117" t="s">
        <v>986</v>
      </c>
    </row>
    <row r="46" spans="1:1">
      <c r="A46" s="107" t="s">
        <v>987</v>
      </c>
    </row>
    <row r="47" spans="1:1">
      <c r="A47" s="117" t="s">
        <v>1469</v>
      </c>
    </row>
    <row r="48" spans="1:1">
      <c r="A48" s="117" t="s">
        <v>988</v>
      </c>
    </row>
    <row r="49" spans="1:3">
      <c r="A49" s="117" t="s">
        <v>989</v>
      </c>
    </row>
    <row r="51" spans="1:3">
      <c r="C51" s="118" t="s">
        <v>990</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49"/>
  <sheetViews>
    <sheetView workbookViewId="0">
      <selection activeCell="D21" sqref="D21"/>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991</v>
      </c>
    </row>
    <row r="4" spans="1:14">
      <c r="A4" s="107" t="s">
        <v>992</v>
      </c>
    </row>
    <row r="5" spans="1:14">
      <c r="A5" s="110" t="s">
        <v>1517</v>
      </c>
    </row>
    <row r="6" spans="1:14">
      <c r="A6" s="110" t="s">
        <v>963</v>
      </c>
    </row>
    <row r="7" spans="1:14">
      <c r="A7" s="110" t="s">
        <v>993</v>
      </c>
    </row>
    <row r="9" spans="1:14">
      <c r="A9" s="107" t="s">
        <v>252</v>
      </c>
    </row>
    <row r="10" spans="1:14" ht="15" customHeight="1">
      <c r="A10" s="111" t="s">
        <v>253</v>
      </c>
      <c r="B10" s="111" t="s">
        <v>76</v>
      </c>
      <c r="C10" s="111" t="s">
        <v>254</v>
      </c>
      <c r="D10" s="111" t="s">
        <v>255</v>
      </c>
      <c r="E10" s="111" t="s">
        <v>148</v>
      </c>
      <c r="F10" s="111" t="s">
        <v>256</v>
      </c>
      <c r="G10" s="111" t="s">
        <v>257</v>
      </c>
      <c r="H10" s="111" t="s">
        <v>258</v>
      </c>
      <c r="I10" s="111" t="s">
        <v>259</v>
      </c>
      <c r="J10" s="111" t="s">
        <v>261</v>
      </c>
      <c r="K10" s="111" t="s">
        <v>262</v>
      </c>
      <c r="L10" s="111" t="s">
        <v>263</v>
      </c>
      <c r="M10" s="111" t="s">
        <v>264</v>
      </c>
      <c r="N10" s="111" t="s">
        <v>265</v>
      </c>
    </row>
    <row r="11" spans="1:14" ht="30" customHeight="1">
      <c r="A11" s="114">
        <v>1</v>
      </c>
      <c r="B11" s="115" t="s">
        <v>1319</v>
      </c>
      <c r="C11" s="114" t="s">
        <v>1509</v>
      </c>
      <c r="D11" s="144">
        <f>시작중량_설정!$E$11</f>
        <v>60</v>
      </c>
      <c r="E11" s="114">
        <v>4</v>
      </c>
      <c r="F11" s="114">
        <v>8</v>
      </c>
      <c r="G11" s="114">
        <v>40</v>
      </c>
      <c r="H11" s="114">
        <v>150</v>
      </c>
      <c r="I11" s="114">
        <f t="shared" ref="I11:I21" si="0">IF(E11=0,0,ROUND((E11*(G11+H11)+N11)/60,1))</f>
        <v>12.7</v>
      </c>
      <c r="J11" s="115" t="s">
        <v>1595</v>
      </c>
      <c r="K11" s="115" t="s">
        <v>1510</v>
      </c>
      <c r="L11" s="114" t="s">
        <v>1512</v>
      </c>
      <c r="M11" s="114"/>
      <c r="N11" s="114"/>
    </row>
    <row r="12" spans="1:14" ht="30" customHeight="1">
      <c r="A12" s="114">
        <v>2</v>
      </c>
      <c r="B12" s="115" t="s">
        <v>1497</v>
      </c>
      <c r="C12" s="114" t="s">
        <v>1509</v>
      </c>
      <c r="D12" s="114">
        <v>18</v>
      </c>
      <c r="E12" s="114">
        <v>3</v>
      </c>
      <c r="F12" s="114" t="s">
        <v>1513</v>
      </c>
      <c r="G12" s="114">
        <v>40</v>
      </c>
      <c r="H12" s="114">
        <v>150</v>
      </c>
      <c r="I12" s="114">
        <f t="shared" si="0"/>
        <v>9.5</v>
      </c>
      <c r="J12" s="134" t="s">
        <v>1514</v>
      </c>
      <c r="K12" s="115" t="s">
        <v>1498</v>
      </c>
      <c r="L12" s="114" t="s">
        <v>1511</v>
      </c>
      <c r="M12" s="114"/>
      <c r="N12" s="114"/>
    </row>
    <row r="13" spans="1:14" ht="30" customHeight="1">
      <c r="A13" s="114">
        <v>3</v>
      </c>
      <c r="B13" s="115" t="s">
        <v>1251</v>
      </c>
      <c r="C13" s="114" t="s">
        <v>1252</v>
      </c>
      <c r="D13" s="114">
        <v>55</v>
      </c>
      <c r="E13" s="114">
        <v>2</v>
      </c>
      <c r="F13" s="114" t="s">
        <v>1253</v>
      </c>
      <c r="G13" s="114">
        <v>40</v>
      </c>
      <c r="H13" s="114">
        <v>120</v>
      </c>
      <c r="I13" s="114">
        <f t="shared" ref="I13" si="1">IF(E13=0,0,ROUND((E13*(G13+H13)+N13)/60,1))</f>
        <v>5.3</v>
      </c>
      <c r="J13" s="115" t="s">
        <v>1528</v>
      </c>
      <c r="K13" s="115" t="s">
        <v>1254</v>
      </c>
      <c r="L13" s="114"/>
      <c r="M13" s="114"/>
      <c r="N13" s="114"/>
    </row>
    <row r="14" spans="1:14" ht="30" customHeight="1">
      <c r="A14" s="114">
        <v>4</v>
      </c>
      <c r="B14" s="115" t="s">
        <v>472</v>
      </c>
      <c r="C14" s="114" t="s">
        <v>267</v>
      </c>
      <c r="D14" s="114">
        <v>32</v>
      </c>
      <c r="E14" s="114">
        <v>4</v>
      </c>
      <c r="F14" s="114" t="s">
        <v>278</v>
      </c>
      <c r="G14" s="114">
        <v>60</v>
      </c>
      <c r="H14" s="114">
        <v>120</v>
      </c>
      <c r="I14" s="114">
        <f t="shared" si="0"/>
        <v>12</v>
      </c>
      <c r="J14" s="115" t="s">
        <v>1449</v>
      </c>
      <c r="K14" s="115" t="s">
        <v>995</v>
      </c>
      <c r="L14" s="114"/>
      <c r="M14" s="114"/>
      <c r="N14" s="114"/>
    </row>
    <row r="15" spans="1:14" ht="30" customHeight="1">
      <c r="A15" s="114">
        <v>5</v>
      </c>
      <c r="B15" s="115" t="s">
        <v>1526</v>
      </c>
      <c r="C15" s="114" t="s">
        <v>282</v>
      </c>
      <c r="D15" s="144">
        <f>시작중량_설정!$E$18</f>
        <v>50</v>
      </c>
      <c r="E15" s="114">
        <v>3</v>
      </c>
      <c r="F15" s="114">
        <v>15</v>
      </c>
      <c r="G15" s="114">
        <v>40</v>
      </c>
      <c r="H15" s="114">
        <v>75</v>
      </c>
      <c r="I15" s="114">
        <f t="shared" si="0"/>
        <v>6.8</v>
      </c>
      <c r="J15" s="115" t="s">
        <v>1629</v>
      </c>
      <c r="K15" s="115" t="s">
        <v>1527</v>
      </c>
      <c r="L15" s="114"/>
      <c r="M15" s="114"/>
      <c r="N15" s="114">
        <v>60</v>
      </c>
    </row>
    <row r="16" spans="1:14" ht="30" customHeight="1">
      <c r="A16" s="114">
        <v>6</v>
      </c>
      <c r="B16" s="115" t="s">
        <v>484</v>
      </c>
      <c r="C16" s="114" t="s">
        <v>407</v>
      </c>
      <c r="D16" s="114">
        <v>20</v>
      </c>
      <c r="E16" s="114">
        <v>3</v>
      </c>
      <c r="F16" s="114" t="s">
        <v>350</v>
      </c>
      <c r="G16" s="114">
        <v>40</v>
      </c>
      <c r="H16" s="114">
        <v>90</v>
      </c>
      <c r="I16" s="114">
        <f t="shared" si="0"/>
        <v>6.5</v>
      </c>
      <c r="J16" s="115" t="s">
        <v>996</v>
      </c>
      <c r="K16" s="115" t="s">
        <v>997</v>
      </c>
      <c r="L16" s="114"/>
      <c r="M16" s="114"/>
      <c r="N16" s="114"/>
    </row>
    <row r="17" spans="1:14" ht="30" customHeight="1">
      <c r="A17" s="114">
        <v>7</v>
      </c>
      <c r="B17" s="115" t="s">
        <v>1455</v>
      </c>
      <c r="C17" s="114" t="s">
        <v>345</v>
      </c>
      <c r="D17" s="114">
        <v>20</v>
      </c>
      <c r="E17" s="114">
        <v>5</v>
      </c>
      <c r="F17" s="114" t="s">
        <v>274</v>
      </c>
      <c r="G17" s="114">
        <v>40</v>
      </c>
      <c r="H17" s="114">
        <v>75</v>
      </c>
      <c r="I17" s="114">
        <f t="shared" si="0"/>
        <v>10.6</v>
      </c>
      <c r="J17" s="115" t="s">
        <v>1565</v>
      </c>
      <c r="K17" s="115" t="s">
        <v>1456</v>
      </c>
      <c r="L17" s="114"/>
      <c r="M17" s="114"/>
      <c r="N17" s="114">
        <v>60</v>
      </c>
    </row>
    <row r="18" spans="1:14" ht="30" customHeight="1">
      <c r="A18" s="114">
        <v>8</v>
      </c>
      <c r="B18" s="115" t="s">
        <v>481</v>
      </c>
      <c r="C18" s="114" t="s">
        <v>269</v>
      </c>
      <c r="D18" s="114">
        <v>30</v>
      </c>
      <c r="E18" s="114">
        <v>3</v>
      </c>
      <c r="F18" s="114" t="s">
        <v>274</v>
      </c>
      <c r="G18" s="114">
        <v>40</v>
      </c>
      <c r="H18" s="114">
        <v>75</v>
      </c>
      <c r="I18" s="114">
        <f t="shared" si="0"/>
        <v>6.8</v>
      </c>
      <c r="J18" s="115" t="s">
        <v>998</v>
      </c>
      <c r="K18" s="115" t="s">
        <v>999</v>
      </c>
      <c r="L18" s="114"/>
      <c r="M18" s="114"/>
      <c r="N18" s="114">
        <v>60</v>
      </c>
    </row>
    <row r="19" spans="1:14" ht="30" customHeight="1">
      <c r="A19" s="114">
        <v>9</v>
      </c>
      <c r="B19" s="115" t="s">
        <v>1000</v>
      </c>
      <c r="C19" s="114" t="s">
        <v>295</v>
      </c>
      <c r="D19" s="114">
        <v>15</v>
      </c>
      <c r="E19" s="114">
        <v>3</v>
      </c>
      <c r="F19" s="145" t="s">
        <v>1652</v>
      </c>
      <c r="G19" s="114">
        <v>40</v>
      </c>
      <c r="H19" s="114">
        <v>10</v>
      </c>
      <c r="I19" s="114">
        <f t="shared" si="0"/>
        <v>2.5</v>
      </c>
      <c r="J19" s="115" t="s">
        <v>1653</v>
      </c>
      <c r="K19" s="115" t="s">
        <v>1001</v>
      </c>
      <c r="L19" s="114"/>
      <c r="M19" s="114" t="s">
        <v>391</v>
      </c>
      <c r="N19" s="114"/>
    </row>
    <row r="20" spans="1:14" ht="30" customHeight="1">
      <c r="A20" s="114">
        <v>10</v>
      </c>
      <c r="B20" s="115" t="s">
        <v>594</v>
      </c>
      <c r="C20" s="114" t="s">
        <v>295</v>
      </c>
      <c r="D20" s="114">
        <v>15</v>
      </c>
      <c r="E20" s="114">
        <v>3</v>
      </c>
      <c r="F20" s="145" t="s">
        <v>1652</v>
      </c>
      <c r="G20" s="114">
        <v>40</v>
      </c>
      <c r="H20" s="114">
        <v>60</v>
      </c>
      <c r="I20" s="114">
        <f t="shared" si="0"/>
        <v>5</v>
      </c>
      <c r="J20" s="115" t="s">
        <v>1654</v>
      </c>
      <c r="K20" s="115" t="s">
        <v>1002</v>
      </c>
      <c r="L20" s="114"/>
      <c r="M20" s="114" t="s">
        <v>391</v>
      </c>
      <c r="N20" s="114"/>
    </row>
    <row r="21" spans="1:14" ht="30" customHeight="1">
      <c r="A21" s="114">
        <v>11</v>
      </c>
      <c r="B21" s="115" t="s">
        <v>318</v>
      </c>
      <c r="C21" s="114" t="s">
        <v>313</v>
      </c>
      <c r="D21" s="114">
        <v>20</v>
      </c>
      <c r="E21" s="114">
        <v>3</v>
      </c>
      <c r="F21" s="114" t="s">
        <v>289</v>
      </c>
      <c r="G21" s="114">
        <v>40</v>
      </c>
      <c r="H21" s="114">
        <v>60</v>
      </c>
      <c r="I21" s="114">
        <f t="shared" si="0"/>
        <v>5</v>
      </c>
      <c r="J21" s="115" t="s">
        <v>1500</v>
      </c>
      <c r="K21" s="115" t="s">
        <v>1003</v>
      </c>
      <c r="L21" s="114"/>
      <c r="M21" s="114"/>
      <c r="N21" s="114"/>
    </row>
    <row r="22" spans="1:14">
      <c r="A22" s="116"/>
      <c r="B22" s="116"/>
      <c r="C22" s="116"/>
      <c r="D22" s="116" t="s">
        <v>321</v>
      </c>
      <c r="E22" s="116">
        <f>SUM(E11:E21)</f>
        <v>36</v>
      </c>
      <c r="F22" s="116"/>
      <c r="G22" s="116"/>
      <c r="H22" s="116"/>
      <c r="I22" s="116">
        <f>ROUND(SUM(I11:I21),0)</f>
        <v>83</v>
      </c>
    </row>
    <row r="24" spans="1:14">
      <c r="A24" s="107" t="s">
        <v>1004</v>
      </c>
    </row>
    <row r="25" spans="1:14">
      <c r="A25" s="117" t="s">
        <v>1005</v>
      </c>
    </row>
    <row r="26" spans="1:14">
      <c r="A26" s="117" t="s">
        <v>1006</v>
      </c>
    </row>
    <row r="27" spans="1:14">
      <c r="A27" s="117" t="s">
        <v>1007</v>
      </c>
    </row>
    <row r="28" spans="1:14">
      <c r="A28" s="117" t="s">
        <v>1519</v>
      </c>
    </row>
    <row r="29" spans="1:14">
      <c r="A29" s="117" t="s">
        <v>1008</v>
      </c>
    </row>
    <row r="31" spans="1:14">
      <c r="A31" s="107" t="s">
        <v>1009</v>
      </c>
    </row>
    <row r="32" spans="1:14">
      <c r="A32" s="117" t="s">
        <v>1010</v>
      </c>
    </row>
    <row r="33" spans="1:1">
      <c r="A33" s="117" t="s">
        <v>1255</v>
      </c>
    </row>
    <row r="34" spans="1:1">
      <c r="A34" s="117" t="s">
        <v>1011</v>
      </c>
    </row>
    <row r="36" spans="1:1">
      <c r="A36" s="107" t="s">
        <v>954</v>
      </c>
    </row>
    <row r="37" spans="1:1">
      <c r="A37" s="117" t="s">
        <v>1450</v>
      </c>
    </row>
    <row r="38" spans="1:1">
      <c r="A38" s="117" t="s">
        <v>1012</v>
      </c>
    </row>
    <row r="39" spans="1:1">
      <c r="A39" s="117" t="s">
        <v>1515</v>
      </c>
    </row>
    <row r="41" spans="1:1">
      <c r="A41" s="107" t="s">
        <v>987</v>
      </c>
    </row>
    <row r="42" spans="1:1">
      <c r="A42" s="117" t="s">
        <v>1529</v>
      </c>
    </row>
    <row r="43" spans="1:1">
      <c r="A43" s="117" t="s">
        <v>1013</v>
      </c>
    </row>
    <row r="44" spans="1:1">
      <c r="A44" s="117" t="s">
        <v>1499</v>
      </c>
    </row>
    <row r="45" spans="1:1">
      <c r="A45" s="117" t="s">
        <v>1256</v>
      </c>
    </row>
    <row r="46" spans="1:1">
      <c r="A46" s="117" t="s">
        <v>1014</v>
      </c>
    </row>
    <row r="47" spans="1:1">
      <c r="A47" s="117" t="s">
        <v>989</v>
      </c>
    </row>
    <row r="49" spans="3:3">
      <c r="C49" s="118" t="s">
        <v>1015</v>
      </c>
    </row>
  </sheetData>
  <phoneticPr fontId="29" type="noConversion"/>
  <hyperlinks>
    <hyperlink ref="J12" r:id="rId1" display="https://www.youtube.com/shorts/KGkE5bXQR24, 명치가 의자 최상단 높이에 맞게 설정" xr:uid="{FB7A3E7E-E2D3-45DE-85C6-B3A6CD805B29}"/>
  </hyperlink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1EB96-3FB4-4EEC-91DF-8F1D1DE0F64B}">
  <dimension ref="A1:E19"/>
  <sheetViews>
    <sheetView workbookViewId="0">
      <selection activeCell="C30" sqref="C30"/>
    </sheetView>
  </sheetViews>
  <sheetFormatPr defaultRowHeight="15"/>
  <cols>
    <col min="1" max="1" width="14.7109375" customWidth="1"/>
    <col min="2" max="2" width="36.7109375" customWidth="1"/>
    <col min="3" max="3" width="22.7109375" customWidth="1"/>
    <col min="4" max="4" width="14.7109375" customWidth="1"/>
    <col min="5" max="5" width="24.7109375" customWidth="1"/>
  </cols>
  <sheetData>
    <row r="1" spans="1:5" ht="18.75">
      <c r="A1" s="128" t="s">
        <v>1384</v>
      </c>
    </row>
    <row r="2" spans="1:5">
      <c r="A2" t="s">
        <v>1365</v>
      </c>
    </row>
    <row r="4" spans="1:5">
      <c r="A4" s="99" t="s">
        <v>1385</v>
      </c>
    </row>
    <row r="5" spans="1:5">
      <c r="A5" s="140" t="s">
        <v>1366</v>
      </c>
      <c r="B5" s="140" t="s">
        <v>1367</v>
      </c>
      <c r="C5" s="140" t="s">
        <v>1368</v>
      </c>
      <c r="D5" s="140" t="s">
        <v>1369</v>
      </c>
      <c r="E5" s="140" t="s">
        <v>1267</v>
      </c>
    </row>
    <row r="6" spans="1:5">
      <c r="A6" s="139">
        <v>46301</v>
      </c>
      <c r="B6" t="s">
        <v>1370</v>
      </c>
      <c r="C6" t="s">
        <v>1371</v>
      </c>
      <c r="D6" t="s">
        <v>28</v>
      </c>
      <c r="E6" t="s">
        <v>1372</v>
      </c>
    </row>
    <row r="7" spans="1:5">
      <c r="A7" s="139">
        <v>46307</v>
      </c>
      <c r="B7" t="s">
        <v>1373</v>
      </c>
      <c r="C7" t="s">
        <v>1371</v>
      </c>
      <c r="D7" t="s">
        <v>28</v>
      </c>
      <c r="E7" t="s">
        <v>1372</v>
      </c>
    </row>
    <row r="8" spans="1:5">
      <c r="A8" s="139">
        <v>46319</v>
      </c>
      <c r="B8" t="s">
        <v>1373</v>
      </c>
      <c r="C8" t="s">
        <v>1371</v>
      </c>
      <c r="D8" t="s">
        <v>1374</v>
      </c>
      <c r="E8" t="s">
        <v>1372</v>
      </c>
    </row>
    <row r="10" spans="1:5">
      <c r="A10" s="99" t="s">
        <v>1262</v>
      </c>
    </row>
    <row r="11" spans="1:5">
      <c r="A11" t="s">
        <v>1375</v>
      </c>
    </row>
    <row r="12" spans="1:5">
      <c r="A12" t="s">
        <v>1376</v>
      </c>
    </row>
    <row r="13" spans="1:5">
      <c r="A13" t="s">
        <v>1377</v>
      </c>
    </row>
    <row r="14" spans="1:5">
      <c r="A14" t="s">
        <v>1378</v>
      </c>
    </row>
    <row r="15" spans="1:5">
      <c r="A15" t="s">
        <v>1379</v>
      </c>
    </row>
    <row r="16" spans="1:5">
      <c r="A16" t="s">
        <v>1380</v>
      </c>
    </row>
    <row r="17" spans="1:1">
      <c r="A17" t="s">
        <v>1381</v>
      </c>
    </row>
    <row r="18" spans="1:1">
      <c r="A18" t="s">
        <v>1382</v>
      </c>
    </row>
    <row r="19" spans="1:1">
      <c r="A19" t="s">
        <v>1383</v>
      </c>
    </row>
  </sheetData>
  <phoneticPr fontId="29"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50"/>
  <sheetViews>
    <sheetView workbookViewId="0">
      <selection activeCell="D25" sqref="D25"/>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1476</v>
      </c>
    </row>
    <row r="4" spans="1:3">
      <c r="A4" s="107" t="s">
        <v>329</v>
      </c>
    </row>
    <row r="5" spans="1:3">
      <c r="A5" s="108" t="s">
        <v>255</v>
      </c>
      <c r="B5" s="108" t="s">
        <v>330</v>
      </c>
      <c r="C5" s="108" t="s">
        <v>148</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25</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31</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37</v>
      </c>
      <c r="B9" s="109">
        <v>2</v>
      </c>
      <c r="C9" s="109">
        <v>1</v>
      </c>
    </row>
    <row r="10" spans="1:3">
      <c r="A10" s="109">
        <f>시작중량_설정!$E$9</f>
        <v>41</v>
      </c>
      <c r="B10" s="109">
        <v>8</v>
      </c>
      <c r="C10" s="109">
        <v>4</v>
      </c>
    </row>
    <row r="12" spans="1:3">
      <c r="A12" s="107" t="s">
        <v>332</v>
      </c>
    </row>
    <row r="13" spans="1:3">
      <c r="A13" s="110" t="s">
        <v>963</v>
      </c>
    </row>
    <row r="14" spans="1:3">
      <c r="A14" s="110" t="s">
        <v>335</v>
      </c>
    </row>
    <row r="16" spans="1:3">
      <c r="A16" s="107" t="s">
        <v>252</v>
      </c>
    </row>
    <row r="17" spans="1:14" ht="15" customHeight="1">
      <c r="A17" s="111" t="s">
        <v>253</v>
      </c>
      <c r="B17" s="111" t="s">
        <v>76</v>
      </c>
      <c r="C17" s="111" t="s">
        <v>254</v>
      </c>
      <c r="D17" s="111" t="s">
        <v>255</v>
      </c>
      <c r="E17" s="111" t="s">
        <v>148</v>
      </c>
      <c r="F17" s="111" t="s">
        <v>256</v>
      </c>
      <c r="G17" s="111" t="s">
        <v>257</v>
      </c>
      <c r="H17" s="111" t="s">
        <v>258</v>
      </c>
      <c r="I17" s="111" t="s">
        <v>259</v>
      </c>
      <c r="J17" s="111" t="s">
        <v>261</v>
      </c>
      <c r="K17" s="111" t="s">
        <v>262</v>
      </c>
      <c r="L17" s="111" t="s">
        <v>263</v>
      </c>
      <c r="M17" s="111" t="s">
        <v>264</v>
      </c>
      <c r="N17" s="111" t="s">
        <v>265</v>
      </c>
    </row>
    <row r="18" spans="1:14" ht="30" customHeight="1">
      <c r="A18" s="112">
        <v>1</v>
      </c>
      <c r="B18" s="113" t="s">
        <v>86</v>
      </c>
      <c r="C18" s="112" t="s">
        <v>337</v>
      </c>
      <c r="D18" s="112">
        <f>시작중량_설정!$E$9</f>
        <v>41</v>
      </c>
      <c r="E18" s="112">
        <v>4</v>
      </c>
      <c r="F18" s="112">
        <v>8</v>
      </c>
      <c r="G18" s="112">
        <v>50</v>
      </c>
      <c r="H18" s="112">
        <v>180</v>
      </c>
      <c r="I18" s="112">
        <f t="shared" ref="I18:I22" si="0">IF(E18=0,0,ROUND((E18*(G18+H18)+N18)/60,1))</f>
        <v>15.3</v>
      </c>
      <c r="J18" s="113" t="s">
        <v>1547</v>
      </c>
      <c r="K18" s="113" t="s">
        <v>1016</v>
      </c>
      <c r="L18" s="112" t="s">
        <v>1017</v>
      </c>
      <c r="M18" s="112"/>
      <c r="N18" s="112"/>
    </row>
    <row r="19" spans="1:14" ht="30" customHeight="1">
      <c r="A19" s="114">
        <v>2</v>
      </c>
      <c r="B19" s="115" t="s">
        <v>517</v>
      </c>
      <c r="C19" s="114" t="s">
        <v>349</v>
      </c>
      <c r="D19" s="144">
        <f>시작중량_설정!$E$12</f>
        <v>42</v>
      </c>
      <c r="E19" s="114">
        <v>3</v>
      </c>
      <c r="F19" s="114">
        <v>10</v>
      </c>
      <c r="G19" s="114">
        <v>40</v>
      </c>
      <c r="H19" s="114">
        <v>150</v>
      </c>
      <c r="I19" s="114">
        <f t="shared" si="0"/>
        <v>9.5</v>
      </c>
      <c r="J19" s="115" t="s">
        <v>1596</v>
      </c>
      <c r="K19" s="115" t="s">
        <v>1018</v>
      </c>
      <c r="L19" s="114"/>
      <c r="M19" s="114"/>
      <c r="N19" s="114"/>
    </row>
    <row r="20" spans="1:14" ht="30" customHeight="1">
      <c r="A20" s="114">
        <v>3</v>
      </c>
      <c r="B20" s="115" t="s">
        <v>586</v>
      </c>
      <c r="C20" s="114" t="s">
        <v>349</v>
      </c>
      <c r="D20" s="114">
        <v>10</v>
      </c>
      <c r="E20" s="114">
        <v>3</v>
      </c>
      <c r="F20" s="114" t="s">
        <v>350</v>
      </c>
      <c r="G20" s="114">
        <v>40</v>
      </c>
      <c r="H20" s="114">
        <v>105</v>
      </c>
      <c r="I20" s="114">
        <f t="shared" si="0"/>
        <v>7.3</v>
      </c>
      <c r="J20" s="115" t="s">
        <v>1019</v>
      </c>
      <c r="K20" s="115" t="s">
        <v>1020</v>
      </c>
      <c r="L20" s="114"/>
      <c r="M20" s="114"/>
      <c r="N20" s="114"/>
    </row>
    <row r="21" spans="1:14" ht="30" customHeight="1">
      <c r="A21" s="114">
        <v>4</v>
      </c>
      <c r="B21" s="115" t="s">
        <v>343</v>
      </c>
      <c r="C21" s="114" t="s">
        <v>337</v>
      </c>
      <c r="D21" s="114">
        <v>55</v>
      </c>
      <c r="E21" s="114">
        <v>3</v>
      </c>
      <c r="F21" s="114" t="s">
        <v>274</v>
      </c>
      <c r="G21" s="114">
        <v>40</v>
      </c>
      <c r="H21" s="114">
        <v>120</v>
      </c>
      <c r="I21" s="114">
        <f t="shared" si="0"/>
        <v>8</v>
      </c>
      <c r="J21" s="115" t="s">
        <v>1021</v>
      </c>
      <c r="K21" s="115" t="s">
        <v>1022</v>
      </c>
      <c r="L21" s="114" t="s">
        <v>1023</v>
      </c>
      <c r="M21" s="114"/>
      <c r="N21" s="114"/>
    </row>
    <row r="22" spans="1:14" ht="30" customHeight="1">
      <c r="A22" s="114">
        <v>5</v>
      </c>
      <c r="B22" s="115" t="s">
        <v>1024</v>
      </c>
      <c r="C22" s="114" t="s">
        <v>354</v>
      </c>
      <c r="D22" s="114">
        <v>5</v>
      </c>
      <c r="E22" s="114">
        <v>4</v>
      </c>
      <c r="F22" s="114" t="s">
        <v>304</v>
      </c>
      <c r="G22" s="114">
        <v>60</v>
      </c>
      <c r="H22" s="114">
        <v>60</v>
      </c>
      <c r="I22" s="114">
        <f t="shared" si="0"/>
        <v>8</v>
      </c>
      <c r="J22" s="115" t="s">
        <v>1228</v>
      </c>
      <c r="K22" s="115" t="s">
        <v>1025</v>
      </c>
      <c r="L22" s="114"/>
      <c r="M22" s="114"/>
      <c r="N22" s="114"/>
    </row>
    <row r="23" spans="1:14" ht="30" customHeight="1">
      <c r="A23" s="114">
        <v>6</v>
      </c>
      <c r="B23" s="115" t="s">
        <v>1233</v>
      </c>
      <c r="C23" s="114" t="s">
        <v>1238</v>
      </c>
      <c r="D23" s="114">
        <v>10</v>
      </c>
      <c r="E23" s="114">
        <v>3</v>
      </c>
      <c r="F23" s="114" t="s">
        <v>1234</v>
      </c>
      <c r="G23" s="114">
        <v>60</v>
      </c>
      <c r="H23" s="114">
        <v>60</v>
      </c>
      <c r="I23" s="114">
        <f>IF(E23=0,0,ROUND((E23*(G23+H23)+N23)/60,1))</f>
        <v>6</v>
      </c>
      <c r="J23" s="115" t="s">
        <v>1235</v>
      </c>
      <c r="K23" s="115" t="s">
        <v>1239</v>
      </c>
      <c r="L23" s="114"/>
      <c r="M23" s="114"/>
      <c r="N23" s="114"/>
    </row>
    <row r="24" spans="1:14" ht="30" customHeight="1">
      <c r="A24" s="114">
        <v>7</v>
      </c>
      <c r="B24" s="135" t="s">
        <v>1334</v>
      </c>
      <c r="C24" s="114" t="s">
        <v>1229</v>
      </c>
      <c r="D24" s="114">
        <v>8</v>
      </c>
      <c r="E24" s="114">
        <v>3</v>
      </c>
      <c r="F24" s="114" t="s">
        <v>1230</v>
      </c>
      <c r="G24" s="114">
        <v>40</v>
      </c>
      <c r="H24" s="114">
        <v>60</v>
      </c>
      <c r="I24" s="114">
        <f>IF(E24=0,0,ROUND((E24*(G24+H24)+N24)/60,1))</f>
        <v>6</v>
      </c>
      <c r="J24" s="115" t="s">
        <v>1231</v>
      </c>
      <c r="K24" s="115" t="s">
        <v>1232</v>
      </c>
      <c r="L24" s="114"/>
      <c r="M24" s="114"/>
      <c r="N24" s="114">
        <v>60</v>
      </c>
    </row>
    <row r="25" spans="1:14" ht="30" customHeight="1">
      <c r="A25" s="114">
        <v>8</v>
      </c>
      <c r="B25" s="115" t="s">
        <v>1240</v>
      </c>
      <c r="C25" s="114" t="s">
        <v>1238</v>
      </c>
      <c r="D25" s="114">
        <v>35</v>
      </c>
      <c r="E25" s="114">
        <v>4</v>
      </c>
      <c r="F25" s="114" t="s">
        <v>1230</v>
      </c>
      <c r="G25" s="114">
        <v>40</v>
      </c>
      <c r="H25" s="114">
        <v>60</v>
      </c>
      <c r="I25" s="114">
        <f>IF(E25=0,0,ROUND((E25*(G25+H25)+N25)/60,1))</f>
        <v>6.7</v>
      </c>
      <c r="J25" s="115" t="s">
        <v>1320</v>
      </c>
      <c r="K25" s="115" t="s">
        <v>1241</v>
      </c>
      <c r="L25" s="114"/>
      <c r="M25" s="114"/>
      <c r="N25" s="114"/>
    </row>
    <row r="26" spans="1:14" ht="30" customHeight="1">
      <c r="A26" s="114">
        <v>9</v>
      </c>
      <c r="B26" s="115" t="s">
        <v>1570</v>
      </c>
      <c r="C26" s="114" t="s">
        <v>285</v>
      </c>
      <c r="D26" s="144">
        <f>시작중량_설정!$E$19</f>
        <v>0</v>
      </c>
      <c r="E26" s="114">
        <v>4</v>
      </c>
      <c r="F26" s="114">
        <v>15</v>
      </c>
      <c r="G26" s="114">
        <v>40</v>
      </c>
      <c r="H26" s="114">
        <v>60</v>
      </c>
      <c r="I26" s="114">
        <f>IF(E26=0,0,ROUND((E26*(G26+H26)+N26)/60,1))</f>
        <v>6.7</v>
      </c>
      <c r="J26" s="115" t="s">
        <v>1634</v>
      </c>
      <c r="K26" s="115" t="s">
        <v>1571</v>
      </c>
      <c r="L26" s="114"/>
      <c r="M26" s="114"/>
      <c r="N26" s="114"/>
    </row>
    <row r="27" spans="1:14" ht="30" customHeight="1">
      <c r="A27" s="114">
        <v>10</v>
      </c>
      <c r="B27" s="115" t="s">
        <v>533</v>
      </c>
      <c r="C27" s="114" t="s">
        <v>299</v>
      </c>
      <c r="D27" s="114">
        <v>20</v>
      </c>
      <c r="E27" s="114">
        <v>3</v>
      </c>
      <c r="F27" s="114">
        <v>12</v>
      </c>
      <c r="G27" s="114">
        <v>40</v>
      </c>
      <c r="H27" s="114">
        <v>60</v>
      </c>
      <c r="I27" s="114">
        <f t="shared" ref="I27:I28" si="1">IF(E27=0,0,ROUND((E27*(G27+H27)+N27)/60,1))</f>
        <v>5</v>
      </c>
      <c r="J27" s="115" t="s">
        <v>1474</v>
      </c>
      <c r="K27" s="115" t="s">
        <v>1043</v>
      </c>
      <c r="L27" s="114"/>
      <c r="M27" s="114"/>
      <c r="N27" s="114"/>
    </row>
    <row r="28" spans="1:14" ht="30" customHeight="1">
      <c r="A28" s="114">
        <v>11</v>
      </c>
      <c r="B28" s="115" t="s">
        <v>298</v>
      </c>
      <c r="C28" s="114" t="s">
        <v>299</v>
      </c>
      <c r="D28" s="114" t="s">
        <v>283</v>
      </c>
      <c r="E28" s="114">
        <v>3</v>
      </c>
      <c r="F28" s="114" t="s">
        <v>289</v>
      </c>
      <c r="G28" s="114">
        <v>40</v>
      </c>
      <c r="H28" s="114">
        <v>60</v>
      </c>
      <c r="I28" s="114">
        <f t="shared" si="1"/>
        <v>5</v>
      </c>
      <c r="J28" s="115" t="s">
        <v>1475</v>
      </c>
      <c r="K28" s="115" t="s">
        <v>1044</v>
      </c>
      <c r="L28" s="114"/>
      <c r="M28" s="114"/>
      <c r="N28" s="114"/>
    </row>
    <row r="29" spans="1:14">
      <c r="A29" s="116"/>
      <c r="B29" s="116"/>
      <c r="C29" s="116"/>
      <c r="D29" s="116" t="s">
        <v>321</v>
      </c>
      <c r="E29" s="116">
        <f>SUM(E18:E28)</f>
        <v>37</v>
      </c>
      <c r="F29" s="116"/>
      <c r="G29" s="116"/>
      <c r="H29" s="116"/>
      <c r="I29" s="116">
        <f>ROUND(SUM(I18:I28),0)</f>
        <v>84</v>
      </c>
    </row>
    <row r="31" spans="1:14">
      <c r="A31" s="107" t="s">
        <v>1026</v>
      </c>
    </row>
    <row r="32" spans="1:14">
      <c r="A32" s="117" t="s">
        <v>981</v>
      </c>
    </row>
    <row r="33" spans="1:1">
      <c r="A33" s="117" t="s">
        <v>1027</v>
      </c>
    </row>
    <row r="34" spans="1:1">
      <c r="A34" s="117" t="s">
        <v>1028</v>
      </c>
    </row>
    <row r="35" spans="1:1">
      <c r="A35" s="117" t="s">
        <v>1029</v>
      </c>
    </row>
    <row r="37" spans="1:1">
      <c r="A37" s="107" t="s">
        <v>1030</v>
      </c>
    </row>
    <row r="38" spans="1:1">
      <c r="A38" s="117" t="s">
        <v>1031</v>
      </c>
    </row>
    <row r="39" spans="1:1">
      <c r="A39" s="117" t="s">
        <v>1032</v>
      </c>
    </row>
    <row r="41" spans="1:1">
      <c r="A41" s="107" t="s">
        <v>954</v>
      </c>
    </row>
    <row r="42" spans="1:1">
      <c r="A42" s="117" t="s">
        <v>1490</v>
      </c>
    </row>
    <row r="43" spans="1:1">
      <c r="A43" s="117" t="s">
        <v>1033</v>
      </c>
    </row>
    <row r="44" spans="1:1">
      <c r="A44" s="117" t="s">
        <v>1477</v>
      </c>
    </row>
    <row r="46" spans="1:1">
      <c r="A46" s="107" t="s">
        <v>1236</v>
      </c>
    </row>
    <row r="47" spans="1:1">
      <c r="A47" s="117" t="s">
        <v>1237</v>
      </c>
    </row>
    <row r="48" spans="1:1">
      <c r="A48" s="117" t="s">
        <v>1034</v>
      </c>
    </row>
    <row r="50" spans="3:3">
      <c r="C50" s="118" t="s">
        <v>1242</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64"/>
  <sheetViews>
    <sheetView workbookViewId="0">
      <selection activeCell="D23" sqref="D23"/>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1478</v>
      </c>
    </row>
    <row r="4" spans="1:14">
      <c r="A4" s="107" t="s">
        <v>992</v>
      </c>
    </row>
    <row r="5" spans="1:14">
      <c r="A5" s="110" t="s">
        <v>1428</v>
      </c>
    </row>
    <row r="6" spans="1:14">
      <c r="A6" s="110" t="s">
        <v>1429</v>
      </c>
    </row>
    <row r="7" spans="1:14">
      <c r="A7" s="110" t="s">
        <v>335</v>
      </c>
    </row>
    <row r="9" spans="1:14">
      <c r="A9" s="107" t="s">
        <v>252</v>
      </c>
    </row>
    <row r="10" spans="1:14" ht="15" customHeight="1">
      <c r="A10" s="111" t="s">
        <v>253</v>
      </c>
      <c r="B10" s="111" t="s">
        <v>76</v>
      </c>
      <c r="C10" s="111" t="s">
        <v>254</v>
      </c>
      <c r="D10" s="111" t="s">
        <v>255</v>
      </c>
      <c r="E10" s="111" t="s">
        <v>148</v>
      </c>
      <c r="F10" s="111" t="s">
        <v>256</v>
      </c>
      <c r="G10" s="111" t="s">
        <v>257</v>
      </c>
      <c r="H10" s="111" t="s">
        <v>258</v>
      </c>
      <c r="I10" s="111" t="s">
        <v>259</v>
      </c>
      <c r="J10" s="111" t="s">
        <v>261</v>
      </c>
      <c r="K10" s="111" t="s">
        <v>262</v>
      </c>
      <c r="L10" s="111" t="s">
        <v>263</v>
      </c>
      <c r="M10" s="111" t="s">
        <v>264</v>
      </c>
      <c r="N10" s="111" t="s">
        <v>265</v>
      </c>
    </row>
    <row r="11" spans="1:14" ht="30" customHeight="1">
      <c r="A11" s="114">
        <v>1</v>
      </c>
      <c r="B11" s="115" t="s">
        <v>556</v>
      </c>
      <c r="C11" s="114" t="s">
        <v>375</v>
      </c>
      <c r="D11" s="144">
        <f>시작중량_설정!$E$16</f>
        <v>25</v>
      </c>
      <c r="E11" s="114">
        <v>4</v>
      </c>
      <c r="F11" s="114">
        <v>12</v>
      </c>
      <c r="G11" s="114">
        <v>40</v>
      </c>
      <c r="H11" s="114">
        <v>120</v>
      </c>
      <c r="I11" s="114">
        <f>IF(E11=0,0,ROUND((E11*(G11+H11)+N11)/60,1))</f>
        <v>10.7</v>
      </c>
      <c r="J11" s="115" t="s">
        <v>1619</v>
      </c>
      <c r="K11" s="115" t="s">
        <v>1074</v>
      </c>
      <c r="L11" s="114"/>
      <c r="M11" s="114"/>
      <c r="N11" s="114"/>
    </row>
    <row r="12" spans="1:14" ht="30" customHeight="1">
      <c r="A12" s="114">
        <v>2</v>
      </c>
      <c r="B12" s="115" t="s">
        <v>492</v>
      </c>
      <c r="C12" s="114" t="s">
        <v>393</v>
      </c>
      <c r="D12" s="114">
        <v>15</v>
      </c>
      <c r="E12" s="114">
        <v>3</v>
      </c>
      <c r="F12" s="114" t="s">
        <v>304</v>
      </c>
      <c r="G12" s="114">
        <v>60</v>
      </c>
      <c r="H12" s="114">
        <v>75</v>
      </c>
      <c r="I12" s="114">
        <f>IF(E12=0,0,ROUND((E12*(G12+H12)+N12)/60,1))</f>
        <v>6.8</v>
      </c>
      <c r="J12" s="115" t="s">
        <v>1408</v>
      </c>
      <c r="K12" s="115" t="s">
        <v>1075</v>
      </c>
      <c r="L12" s="114"/>
      <c r="M12" s="114"/>
      <c r="N12" s="114"/>
    </row>
    <row r="13" spans="1:14" ht="30" customHeight="1">
      <c r="A13" s="114">
        <v>3</v>
      </c>
      <c r="B13" s="115" t="s">
        <v>387</v>
      </c>
      <c r="C13" s="114" t="s">
        <v>388</v>
      </c>
      <c r="D13" s="114">
        <v>40</v>
      </c>
      <c r="E13" s="114">
        <v>4</v>
      </c>
      <c r="F13" s="114" t="s">
        <v>289</v>
      </c>
      <c r="G13" s="114">
        <v>40</v>
      </c>
      <c r="H13" s="114">
        <v>10</v>
      </c>
      <c r="I13" s="114">
        <f>IF(E13=0,0,ROUND((E13*(G13+H13)+N13)/60,1))</f>
        <v>3.3</v>
      </c>
      <c r="J13" s="115" t="s">
        <v>1409</v>
      </c>
      <c r="K13" s="115" t="s">
        <v>975</v>
      </c>
      <c r="L13" s="114"/>
      <c r="M13" s="114" t="s">
        <v>391</v>
      </c>
      <c r="N13" s="114"/>
    </row>
    <row r="14" spans="1:14" ht="30" customHeight="1">
      <c r="A14" s="114">
        <v>4</v>
      </c>
      <c r="B14" s="115" t="s">
        <v>392</v>
      </c>
      <c r="C14" s="114" t="s">
        <v>393</v>
      </c>
      <c r="D14" s="114">
        <v>60</v>
      </c>
      <c r="E14" s="114">
        <v>4</v>
      </c>
      <c r="F14" s="114" t="s">
        <v>289</v>
      </c>
      <c r="G14" s="114">
        <v>40</v>
      </c>
      <c r="H14" s="114">
        <v>120</v>
      </c>
      <c r="I14" s="114">
        <f>IF(E14=0,0,ROUND((E14*(G14+H14)+N14)/60,1))</f>
        <v>10.7</v>
      </c>
      <c r="J14" s="115" t="s">
        <v>1427</v>
      </c>
      <c r="K14" s="115" t="s">
        <v>977</v>
      </c>
      <c r="L14" s="114"/>
      <c r="M14" s="114" t="s">
        <v>391</v>
      </c>
      <c r="N14" s="114"/>
    </row>
    <row r="15" spans="1:14" ht="30" customHeight="1">
      <c r="A15" s="114">
        <v>5</v>
      </c>
      <c r="B15" s="115" t="s">
        <v>567</v>
      </c>
      <c r="C15" s="114" t="s">
        <v>369</v>
      </c>
      <c r="D15" s="114">
        <v>47</v>
      </c>
      <c r="E15" s="114">
        <v>3</v>
      </c>
      <c r="F15" s="114" t="s">
        <v>350</v>
      </c>
      <c r="G15" s="114">
        <v>40</v>
      </c>
      <c r="H15" s="114">
        <v>120</v>
      </c>
      <c r="I15" s="114">
        <f t="shared" ref="I15" si="0">IF(E15=0,0,ROUND((E15*(G15+H15)+N15)/60,1))</f>
        <v>8</v>
      </c>
      <c r="J15" s="115" t="s">
        <v>1466</v>
      </c>
      <c r="K15" s="115" t="s">
        <v>968</v>
      </c>
      <c r="L15" s="114"/>
      <c r="M15" s="114"/>
      <c r="N15" s="114"/>
    </row>
    <row r="16" spans="1:14" ht="30" customHeight="1">
      <c r="A16" s="114">
        <v>6</v>
      </c>
      <c r="B16" s="115" t="s">
        <v>588</v>
      </c>
      <c r="C16" s="114" t="s">
        <v>345</v>
      </c>
      <c r="D16" s="144">
        <f>시작중량_설정!$E$20</f>
        <v>15</v>
      </c>
      <c r="E16" s="114">
        <v>4</v>
      </c>
      <c r="F16" s="114">
        <v>10</v>
      </c>
      <c r="G16" s="114">
        <v>40</v>
      </c>
      <c r="H16" s="114">
        <v>75</v>
      </c>
      <c r="I16" s="114">
        <f t="shared" ref="I16:I23" si="1">IF(E16=0,0,ROUND((E16*(G16+H16)+N16)/60,1))</f>
        <v>8.6999999999999993</v>
      </c>
      <c r="J16" s="115" t="s">
        <v>1639</v>
      </c>
      <c r="K16" s="115" t="s">
        <v>1461</v>
      </c>
      <c r="L16" s="114"/>
      <c r="M16" s="114"/>
      <c r="N16" s="114">
        <v>60</v>
      </c>
    </row>
    <row r="17" spans="1:14" ht="30" customHeight="1">
      <c r="A17" s="114">
        <v>7</v>
      </c>
      <c r="B17" s="115" t="s">
        <v>591</v>
      </c>
      <c r="C17" s="114" t="s">
        <v>269</v>
      </c>
      <c r="D17" s="114">
        <v>6</v>
      </c>
      <c r="E17" s="114">
        <v>4</v>
      </c>
      <c r="F17" s="114" t="s">
        <v>274</v>
      </c>
      <c r="G17" s="114">
        <v>40</v>
      </c>
      <c r="H17" s="114">
        <v>75</v>
      </c>
      <c r="I17" s="114">
        <f t="shared" si="1"/>
        <v>7.7</v>
      </c>
      <c r="J17" s="115" t="s">
        <v>1321</v>
      </c>
      <c r="K17" s="115" t="s">
        <v>1035</v>
      </c>
      <c r="L17" s="114"/>
      <c r="M17" s="114"/>
      <c r="N17" s="114"/>
    </row>
    <row r="18" spans="1:14" ht="30" customHeight="1">
      <c r="A18" s="114">
        <v>8</v>
      </c>
      <c r="B18" s="115" t="s">
        <v>1399</v>
      </c>
      <c r="C18" s="114" t="s">
        <v>269</v>
      </c>
      <c r="D18" s="114">
        <v>8</v>
      </c>
      <c r="E18" s="114">
        <v>3</v>
      </c>
      <c r="F18" s="114" t="s">
        <v>274</v>
      </c>
      <c r="G18" s="114">
        <v>40</v>
      </c>
      <c r="H18" s="114">
        <v>75</v>
      </c>
      <c r="I18" s="114">
        <f t="shared" si="1"/>
        <v>5.8</v>
      </c>
      <c r="J18" s="115" t="s">
        <v>1401</v>
      </c>
      <c r="K18" s="115" t="s">
        <v>1400</v>
      </c>
      <c r="L18" s="114"/>
      <c r="M18" s="114"/>
      <c r="N18" s="114"/>
    </row>
    <row r="19" spans="1:14" ht="30" customHeight="1">
      <c r="A19" s="114">
        <v>9</v>
      </c>
      <c r="B19" s="115" t="s">
        <v>439</v>
      </c>
      <c r="C19" s="114" t="s">
        <v>295</v>
      </c>
      <c r="D19" s="144">
        <f>시작중량_설정!$E$21</f>
        <v>15</v>
      </c>
      <c r="E19" s="114">
        <v>3</v>
      </c>
      <c r="F19" s="114">
        <v>12</v>
      </c>
      <c r="G19" s="114">
        <v>40</v>
      </c>
      <c r="H19" s="114">
        <v>70</v>
      </c>
      <c r="I19" s="114">
        <f t="shared" si="1"/>
        <v>5.5</v>
      </c>
      <c r="J19" s="115" t="s">
        <v>1643</v>
      </c>
      <c r="K19" s="115" t="s">
        <v>1036</v>
      </c>
      <c r="L19" s="114"/>
      <c r="M19" s="114"/>
      <c r="N19" s="114"/>
    </row>
    <row r="20" spans="1:14" ht="30" customHeight="1">
      <c r="A20" s="114">
        <v>10</v>
      </c>
      <c r="B20" s="115" t="s">
        <v>1000</v>
      </c>
      <c r="C20" s="114" t="s">
        <v>295</v>
      </c>
      <c r="D20" s="114">
        <v>10</v>
      </c>
      <c r="E20" s="114">
        <v>0</v>
      </c>
      <c r="F20" s="145" t="s">
        <v>1652</v>
      </c>
      <c r="G20" s="114">
        <v>40</v>
      </c>
      <c r="H20" s="114">
        <v>10</v>
      </c>
      <c r="I20" s="114">
        <f t="shared" si="1"/>
        <v>0</v>
      </c>
      <c r="J20" s="115" t="s">
        <v>1655</v>
      </c>
      <c r="K20" s="115" t="s">
        <v>1001</v>
      </c>
      <c r="L20" s="114"/>
      <c r="M20" s="114" t="s">
        <v>391</v>
      </c>
      <c r="N20" s="114"/>
    </row>
    <row r="21" spans="1:14" ht="30" customHeight="1">
      <c r="A21" s="114">
        <v>11</v>
      </c>
      <c r="B21" s="115" t="s">
        <v>594</v>
      </c>
      <c r="C21" s="114" t="s">
        <v>295</v>
      </c>
      <c r="D21" s="114">
        <v>7.5</v>
      </c>
      <c r="E21" s="114">
        <v>3</v>
      </c>
      <c r="F21" s="145" t="s">
        <v>1652</v>
      </c>
      <c r="G21" s="114">
        <v>40</v>
      </c>
      <c r="H21" s="114">
        <v>60</v>
      </c>
      <c r="I21" s="114">
        <f t="shared" si="1"/>
        <v>5</v>
      </c>
      <c r="J21" s="115" t="s">
        <v>1656</v>
      </c>
      <c r="K21" s="115" t="s">
        <v>1002</v>
      </c>
      <c r="L21" s="114"/>
      <c r="M21" s="114" t="s">
        <v>391</v>
      </c>
      <c r="N21" s="114"/>
    </row>
    <row r="22" spans="1:14" ht="30" customHeight="1">
      <c r="A22" s="114">
        <v>12</v>
      </c>
      <c r="B22" s="115" t="s">
        <v>1037</v>
      </c>
      <c r="C22" s="114" t="s">
        <v>912</v>
      </c>
      <c r="D22" s="114">
        <v>2.5</v>
      </c>
      <c r="E22" s="114">
        <v>3</v>
      </c>
      <c r="F22" s="114" t="s">
        <v>289</v>
      </c>
      <c r="G22" s="114">
        <v>40</v>
      </c>
      <c r="H22" s="114">
        <v>60</v>
      </c>
      <c r="I22" s="114">
        <f t="shared" si="1"/>
        <v>5</v>
      </c>
      <c r="J22" s="115" t="s">
        <v>1038</v>
      </c>
      <c r="K22" s="115" t="s">
        <v>1039</v>
      </c>
      <c r="L22" s="114"/>
      <c r="M22" s="114"/>
      <c r="N22" s="114"/>
    </row>
    <row r="23" spans="1:14" ht="30" customHeight="1">
      <c r="A23" s="114">
        <v>13</v>
      </c>
      <c r="B23" s="115" t="s">
        <v>1040</v>
      </c>
      <c r="C23" s="114" t="s">
        <v>912</v>
      </c>
      <c r="D23" s="114">
        <v>2.5</v>
      </c>
      <c r="E23" s="114">
        <v>3</v>
      </c>
      <c r="F23" s="114" t="s">
        <v>289</v>
      </c>
      <c r="G23" s="114">
        <v>40</v>
      </c>
      <c r="H23" s="114">
        <v>60</v>
      </c>
      <c r="I23" s="114">
        <f t="shared" si="1"/>
        <v>5</v>
      </c>
      <c r="J23" s="115" t="s">
        <v>1041</v>
      </c>
      <c r="K23" s="115" t="s">
        <v>1042</v>
      </c>
      <c r="L23" s="114"/>
      <c r="M23" s="114"/>
      <c r="N23" s="114"/>
    </row>
    <row r="24" spans="1:14">
      <c r="A24" s="116"/>
      <c r="B24" s="116"/>
      <c r="C24" s="116"/>
      <c r="D24" s="116" t="s">
        <v>321</v>
      </c>
      <c r="E24" s="116">
        <f>SUM(E11:E23)</f>
        <v>41</v>
      </c>
      <c r="F24" s="116"/>
      <c r="G24" s="116"/>
      <c r="H24" s="116"/>
      <c r="I24" s="116">
        <f>ROUND(SUM(I11:I23),0)</f>
        <v>82</v>
      </c>
    </row>
    <row r="26" spans="1:14">
      <c r="A26" s="107" t="s">
        <v>1411</v>
      </c>
    </row>
    <row r="27" spans="1:14">
      <c r="A27" s="117" t="s">
        <v>1479</v>
      </c>
    </row>
    <row r="28" spans="1:14">
      <c r="A28" s="117" t="s">
        <v>1045</v>
      </c>
    </row>
    <row r="29" spans="1:14">
      <c r="A29" s="117" t="s">
        <v>1046</v>
      </c>
    </row>
    <row r="31" spans="1:14">
      <c r="A31" s="107" t="s">
        <v>1480</v>
      </c>
    </row>
    <row r="32" spans="1:14">
      <c r="A32" s="117" t="s">
        <v>1047</v>
      </c>
    </row>
    <row r="33" spans="1:1">
      <c r="A33" s="117" t="s">
        <v>1048</v>
      </c>
    </row>
    <row r="34" spans="1:1">
      <c r="A34" s="117" t="s">
        <v>1049</v>
      </c>
    </row>
    <row r="35" spans="1:1">
      <c r="A35" s="117" t="s">
        <v>1050</v>
      </c>
    </row>
    <row r="36" spans="1:1">
      <c r="A36" s="117" t="s">
        <v>1051</v>
      </c>
    </row>
    <row r="38" spans="1:1">
      <c r="A38" s="107" t="s">
        <v>954</v>
      </c>
    </row>
    <row r="39" spans="1:1">
      <c r="A39" s="117" t="s">
        <v>1481</v>
      </c>
    </row>
    <row r="40" spans="1:1">
      <c r="A40" s="117" t="s">
        <v>1482</v>
      </c>
    </row>
    <row r="42" spans="1:1">
      <c r="A42" s="107" t="s">
        <v>1052</v>
      </c>
    </row>
    <row r="43" spans="1:1">
      <c r="A43" s="117" t="s">
        <v>1430</v>
      </c>
    </row>
    <row r="44" spans="1:1">
      <c r="A44" s="117" t="s">
        <v>1053</v>
      </c>
    </row>
    <row r="45" spans="1:1">
      <c r="A45" s="117" t="s">
        <v>1054</v>
      </c>
    </row>
    <row r="47" spans="1:1">
      <c r="A47" s="107" t="s">
        <v>987</v>
      </c>
    </row>
    <row r="48" spans="1:1">
      <c r="A48" s="117" t="s">
        <v>1055</v>
      </c>
    </row>
    <row r="49" spans="1:3">
      <c r="A49" s="117" t="s">
        <v>1056</v>
      </c>
    </row>
    <row r="50" spans="1:3">
      <c r="A50" s="117" t="s">
        <v>1057</v>
      </c>
    </row>
    <row r="51" spans="1:3">
      <c r="A51" s="117" t="s">
        <v>1058</v>
      </c>
    </row>
    <row r="52" spans="1:3">
      <c r="A52" s="117" t="s">
        <v>989</v>
      </c>
    </row>
    <row r="54" spans="1:3">
      <c r="C54" s="118" t="s">
        <v>1059</v>
      </c>
    </row>
    <row r="56" spans="1:3">
      <c r="A56" s="131" t="s">
        <v>1415</v>
      </c>
    </row>
    <row r="57" spans="1:3">
      <c r="A57" t="s">
        <v>1434</v>
      </c>
    </row>
    <row r="58" spans="1:3">
      <c r="A58" t="s">
        <v>1412</v>
      </c>
    </row>
    <row r="59" spans="1:3">
      <c r="A59" t="s">
        <v>1413</v>
      </c>
    </row>
    <row r="60" spans="1:3">
      <c r="A60" t="s">
        <v>1431</v>
      </c>
    </row>
    <row r="61" spans="1:3">
      <c r="A61" t="s">
        <v>1432</v>
      </c>
    </row>
    <row r="62" spans="1:3">
      <c r="A62" t="s">
        <v>1435</v>
      </c>
    </row>
    <row r="63" spans="1:3">
      <c r="A63" t="s">
        <v>1470</v>
      </c>
    </row>
    <row r="64" spans="1:3">
      <c r="C64" t="s">
        <v>1414</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79"/>
  <sheetViews>
    <sheetView topLeftCell="A20" workbookViewId="0">
      <selection activeCell="D38" sqref="D38"/>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1060</v>
      </c>
    </row>
    <row r="4" spans="1:3">
      <c r="A4" s="107" t="s">
        <v>549</v>
      </c>
    </row>
    <row r="5" spans="1:3">
      <c r="A5" s="108" t="s">
        <v>255</v>
      </c>
      <c r="B5" s="108" t="s">
        <v>330</v>
      </c>
      <c r="C5" s="108" t="s">
        <v>148</v>
      </c>
    </row>
    <row r="6" spans="1:3">
      <c r="A6" s="109">
        <f>MAX(20,(MROUND(시작중량_설정!$E$8*0.4,1)+(MOD(MROUND(시작중량_설정!$E$8*0.4,1),5)=4)))</f>
        <v>32</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48</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60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72</v>
      </c>
      <c r="B9" s="109">
        <v>2</v>
      </c>
      <c r="C9" s="109">
        <v>1</v>
      </c>
    </row>
    <row r="10" spans="1:3">
      <c r="A10" s="109">
        <f>시작중량_설정!$E$8</f>
        <v>80</v>
      </c>
      <c r="B10" s="109">
        <v>5</v>
      </c>
      <c r="C10" s="109">
        <v>1</v>
      </c>
    </row>
    <row r="12" spans="1:3">
      <c r="A12" s="107" t="s">
        <v>1440</v>
      </c>
    </row>
    <row r="13" spans="1:3">
      <c r="A13" s="108" t="s">
        <v>255</v>
      </c>
      <c r="B13" s="108" t="s">
        <v>330</v>
      </c>
      <c r="C13" s="108" t="s">
        <v>148</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f>IF(MAX(20,(MROUND(시작중량_설정!$E$10*0.75,1)+(MOD(MROUND(시작중량_설정!$E$10*0.75,1),5)=4)))&lt;=MAX(20,(MROUND(시작중량_설정!$E$10*0.6,1)+(MOD(MROUND(시작중량_설정!$E$10*0.6,1),5)=4))),"생략",MAX(20,(MROUND(시작중량_설정!$E$10*0.75,1)+(MOD(MROUND(시작중량_설정!$E$10*0.75,1),5)=4))))</f>
        <v>23</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28</v>
      </c>
      <c r="B17" s="109">
        <v>2</v>
      </c>
      <c r="C17" s="109">
        <v>1</v>
      </c>
    </row>
    <row r="18" spans="1:14">
      <c r="A18" s="109">
        <f>시작중량_설정!$E$10</f>
        <v>31</v>
      </c>
      <c r="B18" s="109">
        <v>8</v>
      </c>
      <c r="C18" s="109">
        <v>3</v>
      </c>
    </row>
    <row r="20" spans="1:14">
      <c r="A20" s="107" t="s">
        <v>1061</v>
      </c>
    </row>
    <row r="21" spans="1:14">
      <c r="A21" s="110" t="s">
        <v>1062</v>
      </c>
    </row>
    <row r="22" spans="1:14">
      <c r="A22" s="110" t="s">
        <v>963</v>
      </c>
    </row>
    <row r="23" spans="1:14">
      <c r="A23" s="110" t="s">
        <v>1063</v>
      </c>
    </row>
    <row r="24" spans="1:14">
      <c r="A24" s="110" t="s">
        <v>335</v>
      </c>
    </row>
    <row r="26" spans="1:14">
      <c r="A26" s="107" t="s">
        <v>252</v>
      </c>
    </row>
    <row r="27" spans="1:14" ht="15" customHeight="1">
      <c r="A27" s="111" t="s">
        <v>253</v>
      </c>
      <c r="B27" s="111" t="s">
        <v>76</v>
      </c>
      <c r="C27" s="111" t="s">
        <v>254</v>
      </c>
      <c r="D27" s="111" t="s">
        <v>255</v>
      </c>
      <c r="E27" s="111" t="s">
        <v>148</v>
      </c>
      <c r="F27" s="111" t="s">
        <v>256</v>
      </c>
      <c r="G27" s="111" t="s">
        <v>257</v>
      </c>
      <c r="H27" s="111" t="s">
        <v>258</v>
      </c>
      <c r="I27" s="111" t="s">
        <v>259</v>
      </c>
      <c r="J27" s="111" t="s">
        <v>261</v>
      </c>
      <c r="K27" s="111" t="s">
        <v>262</v>
      </c>
      <c r="L27" s="111" t="s">
        <v>263</v>
      </c>
      <c r="M27" s="111" t="s">
        <v>264</v>
      </c>
      <c r="N27" s="111" t="s">
        <v>265</v>
      </c>
    </row>
    <row r="28" spans="1:14" ht="30" customHeight="1">
      <c r="A28" s="112">
        <v>1</v>
      </c>
      <c r="B28" s="113" t="s">
        <v>84</v>
      </c>
      <c r="C28" s="112" t="s">
        <v>313</v>
      </c>
      <c r="D28" s="112">
        <f>시작중량_설정!$E$8</f>
        <v>80</v>
      </c>
      <c r="E28" s="112">
        <v>1</v>
      </c>
      <c r="F28" s="112">
        <v>5</v>
      </c>
      <c r="G28" s="112">
        <v>30</v>
      </c>
      <c r="H28" s="112">
        <v>180</v>
      </c>
      <c r="I28" s="112">
        <f t="shared" ref="I28:I38" si="0">IF(E28=0,0,ROUND((E28*(G28+H28)+N28)/60,1))</f>
        <v>3.5</v>
      </c>
      <c r="J28" s="113" t="s">
        <v>1064</v>
      </c>
      <c r="K28" s="113" t="s">
        <v>1065</v>
      </c>
      <c r="L28" s="112"/>
      <c r="M28" s="112"/>
      <c r="N28" s="112"/>
    </row>
    <row r="29" spans="1:14" ht="30" customHeight="1">
      <c r="A29" s="114">
        <v>2</v>
      </c>
      <c r="B29" s="115" t="s">
        <v>1066</v>
      </c>
      <c r="C29" s="114" t="s">
        <v>313</v>
      </c>
      <c r="D29" s="114">
        <f>MAX(20,MROUND(시작중량_설정!$E$8*0.82,1))</f>
        <v>66</v>
      </c>
      <c r="E29" s="114">
        <v>2</v>
      </c>
      <c r="F29" s="114">
        <v>5</v>
      </c>
      <c r="G29" s="114">
        <v>30</v>
      </c>
      <c r="H29" s="114">
        <v>180</v>
      </c>
      <c r="I29" s="114">
        <f t="shared" si="0"/>
        <v>7</v>
      </c>
      <c r="J29" s="115" t="s">
        <v>1525</v>
      </c>
      <c r="K29" s="115" t="s">
        <v>1067</v>
      </c>
      <c r="L29" s="114"/>
      <c r="M29" s="114"/>
      <c r="N29" s="114"/>
    </row>
    <row r="30" spans="1:14" ht="30" customHeight="1">
      <c r="A30" s="114">
        <v>3</v>
      </c>
      <c r="B30" s="115" t="s">
        <v>559</v>
      </c>
      <c r="C30" s="114" t="s">
        <v>384</v>
      </c>
      <c r="D30" s="144">
        <f>시작중량_설정!$E$15</f>
        <v>50</v>
      </c>
      <c r="E30" s="114">
        <v>3</v>
      </c>
      <c r="F30" s="114">
        <v>10</v>
      </c>
      <c r="G30" s="114">
        <v>45</v>
      </c>
      <c r="H30" s="114">
        <v>150</v>
      </c>
      <c r="I30" s="114">
        <f t="shared" si="0"/>
        <v>9.8000000000000007</v>
      </c>
      <c r="J30" s="115" t="s">
        <v>1614</v>
      </c>
      <c r="K30" s="115" t="s">
        <v>1068</v>
      </c>
      <c r="L30" s="114"/>
      <c r="M30" s="114"/>
      <c r="N30" s="114"/>
    </row>
    <row r="31" spans="1:14" ht="30" customHeight="1">
      <c r="A31" s="114">
        <v>4</v>
      </c>
      <c r="B31" s="115" t="s">
        <v>1069</v>
      </c>
      <c r="C31" s="114" t="s">
        <v>375</v>
      </c>
      <c r="D31" s="144">
        <f>시작중량_설정!$E$14</f>
        <v>140</v>
      </c>
      <c r="E31" s="114">
        <v>4</v>
      </c>
      <c r="F31" s="114">
        <v>10</v>
      </c>
      <c r="G31" s="114">
        <v>45</v>
      </c>
      <c r="H31" s="114">
        <v>150</v>
      </c>
      <c r="I31" s="114">
        <f t="shared" si="0"/>
        <v>13</v>
      </c>
      <c r="J31" s="115" t="s">
        <v>1610</v>
      </c>
      <c r="K31" s="115" t="s">
        <v>1070</v>
      </c>
      <c r="L31" s="114"/>
      <c r="M31" s="114"/>
      <c r="N31" s="114"/>
    </row>
    <row r="32" spans="1:14" ht="30" customHeight="1">
      <c r="A32" s="114">
        <v>5</v>
      </c>
      <c r="B32" s="115" t="s">
        <v>562</v>
      </c>
      <c r="C32" s="114" t="s">
        <v>384</v>
      </c>
      <c r="D32" s="114">
        <v>30</v>
      </c>
      <c r="E32" s="114">
        <v>3</v>
      </c>
      <c r="F32" s="145" t="s">
        <v>350</v>
      </c>
      <c r="G32" s="114">
        <v>60</v>
      </c>
      <c r="H32" s="114">
        <v>120</v>
      </c>
      <c r="I32" s="114">
        <f t="shared" si="0"/>
        <v>9</v>
      </c>
      <c r="J32" s="115" t="s">
        <v>1651</v>
      </c>
      <c r="K32" s="115" t="s">
        <v>1071</v>
      </c>
      <c r="L32" s="114"/>
      <c r="M32" s="114"/>
      <c r="N32" s="114"/>
    </row>
    <row r="33" spans="1:14" ht="30" customHeight="1">
      <c r="A33" s="112">
        <v>6</v>
      </c>
      <c r="B33" s="113" t="s">
        <v>1441</v>
      </c>
      <c r="C33" s="112" t="s">
        <v>429</v>
      </c>
      <c r="D33" s="112">
        <f>시작중량_설정!$E$10</f>
        <v>31</v>
      </c>
      <c r="E33" s="112">
        <v>3</v>
      </c>
      <c r="F33" s="112">
        <v>8</v>
      </c>
      <c r="G33" s="112">
        <v>50</v>
      </c>
      <c r="H33" s="112">
        <v>180</v>
      </c>
      <c r="I33" s="112">
        <f t="shared" si="0"/>
        <v>11.5</v>
      </c>
      <c r="J33" s="113" t="s">
        <v>1531</v>
      </c>
      <c r="K33" s="113" t="s">
        <v>1532</v>
      </c>
      <c r="L33" s="112" t="s">
        <v>507</v>
      </c>
      <c r="M33" s="112"/>
      <c r="N33" s="112"/>
    </row>
    <row r="34" spans="1:14" ht="30" customHeight="1">
      <c r="A34" s="114">
        <v>7</v>
      </c>
      <c r="B34" s="135" t="s">
        <v>1536</v>
      </c>
      <c r="C34" s="114" t="s">
        <v>1537</v>
      </c>
      <c r="D34" s="114">
        <v>14</v>
      </c>
      <c r="E34" s="114">
        <v>3</v>
      </c>
      <c r="F34" s="114" t="s">
        <v>1513</v>
      </c>
      <c r="G34" s="114">
        <v>40</v>
      </c>
      <c r="H34" s="114">
        <v>120</v>
      </c>
      <c r="I34" s="114">
        <f t="shared" si="0"/>
        <v>8</v>
      </c>
      <c r="J34" s="115" t="s">
        <v>1538</v>
      </c>
      <c r="K34" s="115" t="s">
        <v>1539</v>
      </c>
      <c r="L34" s="114"/>
      <c r="M34" s="114"/>
      <c r="N34" s="114"/>
    </row>
    <row r="35" spans="1:14" ht="30" customHeight="1">
      <c r="A35" s="114">
        <v>8</v>
      </c>
      <c r="B35" s="115" t="s">
        <v>1533</v>
      </c>
      <c r="C35" s="114" t="s">
        <v>1229</v>
      </c>
      <c r="D35" s="114">
        <v>8</v>
      </c>
      <c r="E35" s="114">
        <v>3</v>
      </c>
      <c r="F35" s="114" t="s">
        <v>1230</v>
      </c>
      <c r="G35" s="114">
        <v>40</v>
      </c>
      <c r="H35" s="114">
        <v>60</v>
      </c>
      <c r="I35" s="114">
        <f t="shared" si="0"/>
        <v>6</v>
      </c>
      <c r="J35" s="115" t="s">
        <v>1534</v>
      </c>
      <c r="K35" s="115" t="s">
        <v>1535</v>
      </c>
      <c r="L35" s="114"/>
      <c r="M35" s="114"/>
      <c r="N35" s="114">
        <v>60</v>
      </c>
    </row>
    <row r="36" spans="1:14" ht="30" customHeight="1">
      <c r="A36" s="114">
        <v>9</v>
      </c>
      <c r="B36" s="115" t="s">
        <v>523</v>
      </c>
      <c r="C36" s="114" t="s">
        <v>358</v>
      </c>
      <c r="D36" s="114">
        <v>15</v>
      </c>
      <c r="E36" s="114">
        <v>3</v>
      </c>
      <c r="F36" s="114" t="s">
        <v>289</v>
      </c>
      <c r="G36" s="114">
        <v>40</v>
      </c>
      <c r="H36" s="114">
        <v>60</v>
      </c>
      <c r="I36" s="114">
        <f t="shared" si="0"/>
        <v>5</v>
      </c>
      <c r="J36" s="115" t="s">
        <v>1072</v>
      </c>
      <c r="K36" s="115" t="s">
        <v>1073</v>
      </c>
      <c r="L36" s="114"/>
      <c r="M36" s="114"/>
      <c r="N36" s="114"/>
    </row>
    <row r="37" spans="1:14" ht="30" customHeight="1">
      <c r="A37" s="114">
        <v>10</v>
      </c>
      <c r="B37" s="115" t="s">
        <v>1572</v>
      </c>
      <c r="C37" s="114" t="s">
        <v>285</v>
      </c>
      <c r="D37" s="114">
        <v>10</v>
      </c>
      <c r="E37" s="114">
        <v>3</v>
      </c>
      <c r="F37" s="114" t="s">
        <v>303</v>
      </c>
      <c r="G37" s="114">
        <v>40</v>
      </c>
      <c r="H37" s="114">
        <v>60</v>
      </c>
      <c r="I37" s="114">
        <f>IF(E37=0,0,ROUND((E37*(G37+H37)+N37)/60,1))</f>
        <v>5</v>
      </c>
      <c r="J37" s="115" t="s">
        <v>1573</v>
      </c>
      <c r="K37" s="115" t="s">
        <v>1574</v>
      </c>
      <c r="L37" s="114"/>
      <c r="M37" s="114"/>
      <c r="N37" s="114"/>
    </row>
    <row r="38" spans="1:14" ht="30" customHeight="1">
      <c r="A38" s="114">
        <v>11</v>
      </c>
      <c r="B38" s="115" t="s">
        <v>307</v>
      </c>
      <c r="C38" s="114" t="s">
        <v>308</v>
      </c>
      <c r="D38" s="114">
        <v>16</v>
      </c>
      <c r="E38" s="114">
        <v>6</v>
      </c>
      <c r="F38" s="114" t="s">
        <v>289</v>
      </c>
      <c r="G38" s="114">
        <v>40</v>
      </c>
      <c r="H38" s="114">
        <v>75</v>
      </c>
      <c r="I38" s="114">
        <f t="shared" si="0"/>
        <v>11.5</v>
      </c>
      <c r="J38" s="115" t="s">
        <v>1076</v>
      </c>
      <c r="K38" s="115" t="s">
        <v>1077</v>
      </c>
      <c r="L38" s="114"/>
      <c r="M38" s="114"/>
      <c r="N38" s="114"/>
    </row>
    <row r="39" spans="1:14">
      <c r="A39" s="116"/>
      <c r="B39" s="116"/>
      <c r="C39" s="116"/>
      <c r="D39" s="116" t="s">
        <v>321</v>
      </c>
      <c r="E39" s="116">
        <f>SUM(E28:E38)</f>
        <v>34</v>
      </c>
      <c r="F39" s="116"/>
      <c r="G39" s="116"/>
      <c r="H39" s="116"/>
      <c r="I39" s="116">
        <f>ROUND(SUM(I28:I38),0)</f>
        <v>89</v>
      </c>
    </row>
    <row r="41" spans="1:14">
      <c r="A41" s="107" t="s">
        <v>1078</v>
      </c>
    </row>
    <row r="42" spans="1:14">
      <c r="A42" s="117" t="s">
        <v>1079</v>
      </c>
    </row>
    <row r="43" spans="1:14">
      <c r="A43" s="117" t="s">
        <v>1080</v>
      </c>
    </row>
    <row r="44" spans="1:14">
      <c r="A44" s="117" t="s">
        <v>1081</v>
      </c>
    </row>
    <row r="45" spans="1:14">
      <c r="A45" s="117" t="s">
        <v>1442</v>
      </c>
    </row>
    <row r="46" spans="1:14">
      <c r="A46" s="117" t="s">
        <v>1443</v>
      </c>
    </row>
    <row r="47" spans="1:14">
      <c r="A47" s="117" t="s">
        <v>1416</v>
      </c>
    </row>
    <row r="49" spans="1:1">
      <c r="A49" s="107" t="s">
        <v>1082</v>
      </c>
    </row>
    <row r="50" spans="1:1">
      <c r="A50" s="117" t="s">
        <v>1083</v>
      </c>
    </row>
    <row r="51" spans="1:1">
      <c r="A51" s="117" t="s">
        <v>1417</v>
      </c>
    </row>
    <row r="52" spans="1:1">
      <c r="A52" s="117" t="s">
        <v>1084</v>
      </c>
    </row>
    <row r="53" spans="1:1">
      <c r="A53" s="117" t="s">
        <v>1418</v>
      </c>
    </row>
    <row r="54" spans="1:1">
      <c r="A54" s="117" t="s">
        <v>1419</v>
      </c>
    </row>
    <row r="56" spans="1:1">
      <c r="A56" s="107" t="s">
        <v>1085</v>
      </c>
    </row>
    <row r="57" spans="1:1">
      <c r="A57" s="117" t="s">
        <v>1086</v>
      </c>
    </row>
    <row r="58" spans="1:1">
      <c r="A58" s="117" t="s">
        <v>1087</v>
      </c>
    </row>
    <row r="59" spans="1:1">
      <c r="A59" s="117" t="s">
        <v>1088</v>
      </c>
    </row>
    <row r="60" spans="1:1">
      <c r="A60" s="117" t="s">
        <v>1089</v>
      </c>
    </row>
    <row r="61" spans="1:1">
      <c r="A61" s="117" t="s">
        <v>1471</v>
      </c>
    </row>
    <row r="63" spans="1:1">
      <c r="A63" s="107" t="s">
        <v>1090</v>
      </c>
    </row>
    <row r="64" spans="1:1">
      <c r="A64" s="117" t="s">
        <v>1091</v>
      </c>
    </row>
    <row r="65" spans="1:3">
      <c r="A65" s="117" t="s">
        <v>1092</v>
      </c>
    </row>
    <row r="66" spans="1:3">
      <c r="A66" s="117" t="s">
        <v>1093</v>
      </c>
    </row>
    <row r="68" spans="1:3">
      <c r="A68" s="107" t="s">
        <v>954</v>
      </c>
    </row>
    <row r="69" spans="1:3">
      <c r="A69" s="117" t="s">
        <v>1541</v>
      </c>
    </row>
    <row r="70" spans="1:3">
      <c r="A70" s="117" t="s">
        <v>1542</v>
      </c>
    </row>
    <row r="72" spans="1:3">
      <c r="A72" s="107" t="s">
        <v>987</v>
      </c>
    </row>
    <row r="73" spans="1:3">
      <c r="A73" s="117" t="s">
        <v>1540</v>
      </c>
    </row>
    <row r="74" spans="1:3">
      <c r="A74" s="117" t="s">
        <v>1094</v>
      </c>
    </row>
    <row r="75" spans="1:3">
      <c r="A75" s="117" t="s">
        <v>1095</v>
      </c>
    </row>
    <row r="76" spans="1:3">
      <c r="A76" s="117" t="s">
        <v>1420</v>
      </c>
    </row>
    <row r="77" spans="1:3">
      <c r="A77" s="117" t="s">
        <v>989</v>
      </c>
    </row>
    <row r="79" spans="1:3">
      <c r="C79" s="118" t="s">
        <v>1096</v>
      </c>
    </row>
  </sheetData>
  <phoneticPr fontId="29"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54"/>
  <sheetViews>
    <sheetView tabSelected="1" workbookViewId="0">
      <selection activeCell="D23" sqref="D23"/>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1097</v>
      </c>
    </row>
    <row r="4" spans="1:14">
      <c r="A4" s="107" t="s">
        <v>992</v>
      </c>
    </row>
    <row r="5" spans="1:14">
      <c r="A5" s="110" t="s">
        <v>1098</v>
      </c>
    </row>
    <row r="6" spans="1:14">
      <c r="A6" s="110" t="s">
        <v>963</v>
      </c>
    </row>
    <row r="7" spans="1:14">
      <c r="A7" s="110" t="s">
        <v>993</v>
      </c>
    </row>
    <row r="9" spans="1:14">
      <c r="A9" s="107" t="s">
        <v>252</v>
      </c>
    </row>
    <row r="10" spans="1:14" ht="15" customHeight="1">
      <c r="A10" s="111" t="s">
        <v>253</v>
      </c>
      <c r="B10" s="111" t="s">
        <v>76</v>
      </c>
      <c r="C10" s="111" t="s">
        <v>254</v>
      </c>
      <c r="D10" s="111" t="s">
        <v>255</v>
      </c>
      <c r="E10" s="111" t="s">
        <v>148</v>
      </c>
      <c r="F10" s="111" t="s">
        <v>256</v>
      </c>
      <c r="G10" s="111" t="s">
        <v>257</v>
      </c>
      <c r="H10" s="111" t="s">
        <v>258</v>
      </c>
      <c r="I10" s="111" t="s">
        <v>259</v>
      </c>
      <c r="J10" s="111" t="s">
        <v>261</v>
      </c>
      <c r="K10" s="111" t="s">
        <v>262</v>
      </c>
      <c r="L10" s="111" t="s">
        <v>263</v>
      </c>
      <c r="M10" s="111" t="s">
        <v>264</v>
      </c>
      <c r="N10" s="111" t="s">
        <v>265</v>
      </c>
    </row>
    <row r="11" spans="1:14" ht="30" customHeight="1">
      <c r="A11" s="114">
        <v>1</v>
      </c>
      <c r="B11" s="115" t="s">
        <v>266</v>
      </c>
      <c r="C11" s="114" t="s">
        <v>267</v>
      </c>
      <c r="D11" s="114">
        <v>45</v>
      </c>
      <c r="E11" s="114">
        <v>4</v>
      </c>
      <c r="F11" s="114" t="s">
        <v>268</v>
      </c>
      <c r="G11" s="114">
        <v>35</v>
      </c>
      <c r="H11" s="114">
        <v>150</v>
      </c>
      <c r="I11" s="114">
        <f t="shared" ref="I11:I24" si="0">IF(E11=0,0,ROUND((E11*(G11+H11)+N11)/60,1))</f>
        <v>12.3</v>
      </c>
      <c r="J11" s="115" t="s">
        <v>1099</v>
      </c>
      <c r="K11" s="115" t="s">
        <v>1100</v>
      </c>
      <c r="L11" s="114" t="s">
        <v>994</v>
      </c>
      <c r="M11" s="114"/>
      <c r="N11" s="114"/>
    </row>
    <row r="12" spans="1:14" ht="30" customHeight="1">
      <c r="A12" s="114">
        <v>2</v>
      </c>
      <c r="B12" s="115" t="s">
        <v>1597</v>
      </c>
      <c r="C12" s="114" t="s">
        <v>349</v>
      </c>
      <c r="D12" s="144">
        <f>시작중량_설정!$E$22</f>
        <v>40</v>
      </c>
      <c r="E12" s="114">
        <v>3</v>
      </c>
      <c r="F12" s="114">
        <v>8</v>
      </c>
      <c r="G12" s="114">
        <v>40</v>
      </c>
      <c r="H12" s="114">
        <v>150</v>
      </c>
      <c r="I12" s="114">
        <f>IF(E12=0,0,ROUND((E12*(G12+H12)+N12)/60,1))</f>
        <v>9.5</v>
      </c>
      <c r="J12" s="115" t="s">
        <v>1649</v>
      </c>
      <c r="K12" s="115" t="s">
        <v>1598</v>
      </c>
      <c r="L12" s="114"/>
      <c r="M12" s="114"/>
      <c r="N12" s="114"/>
    </row>
    <row r="13" spans="1:14" ht="30" customHeight="1">
      <c r="A13" s="114">
        <v>3</v>
      </c>
      <c r="B13" s="115" t="s">
        <v>1101</v>
      </c>
      <c r="C13" s="114" t="s">
        <v>267</v>
      </c>
      <c r="D13" s="114">
        <v>40</v>
      </c>
      <c r="E13" s="114">
        <v>3</v>
      </c>
      <c r="F13" s="114" t="s">
        <v>274</v>
      </c>
      <c r="G13" s="114">
        <v>40</v>
      </c>
      <c r="H13" s="114">
        <v>120</v>
      </c>
      <c r="I13" s="114">
        <f t="shared" si="0"/>
        <v>8</v>
      </c>
      <c r="J13" s="115" t="s">
        <v>1518</v>
      </c>
      <c r="K13" s="115" t="s">
        <v>1102</v>
      </c>
      <c r="L13" s="114"/>
      <c r="M13" s="114"/>
      <c r="N13" s="114"/>
    </row>
    <row r="14" spans="1:14" ht="30" customHeight="1">
      <c r="A14" s="114">
        <v>4</v>
      </c>
      <c r="B14" s="115" t="s">
        <v>427</v>
      </c>
      <c r="C14" s="114" t="s">
        <v>337</v>
      </c>
      <c r="D14" s="114">
        <v>35</v>
      </c>
      <c r="E14" s="114">
        <v>4</v>
      </c>
      <c r="F14" s="114" t="s">
        <v>289</v>
      </c>
      <c r="G14" s="114">
        <v>40</v>
      </c>
      <c r="H14" s="114">
        <v>105</v>
      </c>
      <c r="I14" s="114">
        <f>IF(E14=0,0,ROUND((E14*(G14+H14)+N14)/60,1))</f>
        <v>9.6999999999999993</v>
      </c>
      <c r="J14" s="115" t="s">
        <v>1492</v>
      </c>
      <c r="K14" s="115" t="s">
        <v>1108</v>
      </c>
      <c r="L14" s="114"/>
      <c r="M14" s="114"/>
      <c r="N14" s="114"/>
    </row>
    <row r="15" spans="1:14" ht="30" customHeight="1">
      <c r="A15" s="114">
        <v>5</v>
      </c>
      <c r="B15" s="115" t="s">
        <v>1103</v>
      </c>
      <c r="C15" s="114" t="s">
        <v>267</v>
      </c>
      <c r="D15" s="114">
        <v>55</v>
      </c>
      <c r="E15" s="114">
        <v>3</v>
      </c>
      <c r="F15" s="114" t="s">
        <v>274</v>
      </c>
      <c r="G15" s="114">
        <v>40</v>
      </c>
      <c r="H15" s="114">
        <v>120</v>
      </c>
      <c r="I15" s="114">
        <f t="shared" si="0"/>
        <v>9</v>
      </c>
      <c r="J15" s="115" t="s">
        <v>1305</v>
      </c>
      <c r="K15" s="115" t="s">
        <v>1104</v>
      </c>
      <c r="L15" s="114"/>
      <c r="M15" s="114"/>
      <c r="N15" s="114">
        <v>60</v>
      </c>
    </row>
    <row r="16" spans="1:14" ht="30" customHeight="1">
      <c r="A16" s="114">
        <v>6</v>
      </c>
      <c r="B16" s="115" t="s">
        <v>520</v>
      </c>
      <c r="C16" s="114" t="s">
        <v>337</v>
      </c>
      <c r="D16" s="114">
        <v>10</v>
      </c>
      <c r="E16" s="114">
        <v>3</v>
      </c>
      <c r="F16" s="114" t="s">
        <v>289</v>
      </c>
      <c r="G16" s="114">
        <v>40</v>
      </c>
      <c r="H16" s="114">
        <v>105</v>
      </c>
      <c r="I16" s="114">
        <f>IF(E16=0,0,ROUND((E16*(G16+H16)+N16)/60,1))</f>
        <v>8.3000000000000007</v>
      </c>
      <c r="J16" s="115" t="s">
        <v>1493</v>
      </c>
      <c r="K16" s="115" t="s">
        <v>1109</v>
      </c>
      <c r="L16" s="114"/>
      <c r="M16" s="114"/>
      <c r="N16" s="114">
        <v>60</v>
      </c>
    </row>
    <row r="17" spans="1:14" ht="30" customHeight="1">
      <c r="A17" s="114">
        <v>7</v>
      </c>
      <c r="B17" s="115" t="s">
        <v>1306</v>
      </c>
      <c r="C17" s="114" t="s">
        <v>1252</v>
      </c>
      <c r="D17" s="114">
        <v>20</v>
      </c>
      <c r="E17" s="114">
        <v>2</v>
      </c>
      <c r="F17" s="114" t="s">
        <v>1230</v>
      </c>
      <c r="G17" s="114">
        <v>40</v>
      </c>
      <c r="H17" s="114">
        <v>75</v>
      </c>
      <c r="I17" s="114">
        <f t="shared" ref="I17" si="1">IF(E17=0,0,ROUND((E17*(G17+H17)+N17)/60,1))</f>
        <v>3.8</v>
      </c>
      <c r="J17" s="115" t="s">
        <v>1307</v>
      </c>
      <c r="K17" s="115" t="s">
        <v>1308</v>
      </c>
      <c r="L17" s="114"/>
      <c r="M17" s="114"/>
      <c r="N17" s="114"/>
    </row>
    <row r="18" spans="1:14" ht="30" customHeight="1">
      <c r="A18" s="114">
        <v>8</v>
      </c>
      <c r="B18" s="115" t="s">
        <v>417</v>
      </c>
      <c r="C18" s="114" t="s">
        <v>418</v>
      </c>
      <c r="D18" s="144">
        <f>시작중량_설정!$E$17</f>
        <v>25</v>
      </c>
      <c r="E18" s="114">
        <v>3</v>
      </c>
      <c r="F18" s="114">
        <v>15</v>
      </c>
      <c r="G18" s="114">
        <v>40</v>
      </c>
      <c r="H18" s="114">
        <v>75</v>
      </c>
      <c r="I18" s="114">
        <f t="shared" si="0"/>
        <v>5.8</v>
      </c>
      <c r="J18" s="115" t="s">
        <v>1624</v>
      </c>
      <c r="K18" s="115" t="s">
        <v>1105</v>
      </c>
      <c r="L18" s="114"/>
      <c r="M18" s="114"/>
      <c r="N18" s="114"/>
    </row>
    <row r="19" spans="1:14" ht="30" customHeight="1">
      <c r="A19" s="114">
        <v>9</v>
      </c>
      <c r="B19" s="115" t="s">
        <v>288</v>
      </c>
      <c r="C19" s="114" t="s">
        <v>282</v>
      </c>
      <c r="D19" s="114">
        <v>25</v>
      </c>
      <c r="E19" s="114">
        <v>3</v>
      </c>
      <c r="F19" s="114" t="s">
        <v>289</v>
      </c>
      <c r="G19" s="114">
        <v>45</v>
      </c>
      <c r="H19" s="114">
        <v>60</v>
      </c>
      <c r="I19" s="114">
        <f t="shared" si="0"/>
        <v>5.3</v>
      </c>
      <c r="J19" s="115" t="s">
        <v>1106</v>
      </c>
      <c r="K19" s="115" t="s">
        <v>1107</v>
      </c>
      <c r="L19" s="114"/>
      <c r="M19" s="114"/>
      <c r="N19" s="114"/>
    </row>
    <row r="20" spans="1:14" ht="30" customHeight="1">
      <c r="A20" s="114">
        <v>10</v>
      </c>
      <c r="B20" s="115" t="s">
        <v>1560</v>
      </c>
      <c r="C20" s="114" t="s">
        <v>345</v>
      </c>
      <c r="D20" s="114">
        <v>25</v>
      </c>
      <c r="E20" s="114">
        <v>3</v>
      </c>
      <c r="F20" s="114" t="s">
        <v>303</v>
      </c>
      <c r="G20" s="114">
        <v>40</v>
      </c>
      <c r="H20" s="114">
        <v>70</v>
      </c>
      <c r="I20" s="114">
        <f t="shared" si="0"/>
        <v>5.5</v>
      </c>
      <c r="J20" s="115" t="s">
        <v>1562</v>
      </c>
      <c r="K20" s="115" t="s">
        <v>1110</v>
      </c>
      <c r="L20" s="114"/>
      <c r="M20" s="114"/>
      <c r="N20" s="114"/>
    </row>
    <row r="21" spans="1:14" ht="30" customHeight="1">
      <c r="A21" s="114">
        <v>11</v>
      </c>
      <c r="B21" s="115" t="s">
        <v>1111</v>
      </c>
      <c r="C21" s="114" t="s">
        <v>269</v>
      </c>
      <c r="D21" s="114">
        <v>25</v>
      </c>
      <c r="E21" s="114">
        <v>3</v>
      </c>
      <c r="F21" s="114" t="s">
        <v>274</v>
      </c>
      <c r="G21" s="114">
        <v>40</v>
      </c>
      <c r="H21" s="114">
        <v>75</v>
      </c>
      <c r="I21" s="114">
        <f t="shared" si="0"/>
        <v>5.8</v>
      </c>
      <c r="J21" s="75" t="s">
        <v>1260</v>
      </c>
      <c r="K21" s="115" t="s">
        <v>1112</v>
      </c>
      <c r="L21" s="114"/>
      <c r="M21" s="114"/>
      <c r="N21" s="114"/>
    </row>
    <row r="22" spans="1:14" ht="30" customHeight="1">
      <c r="A22" s="114">
        <v>12</v>
      </c>
      <c r="B22" s="115" t="s">
        <v>1000</v>
      </c>
      <c r="C22" s="114" t="s">
        <v>295</v>
      </c>
      <c r="D22" s="114">
        <v>20</v>
      </c>
      <c r="E22" s="114">
        <v>2</v>
      </c>
      <c r="F22" s="145" t="s">
        <v>1652</v>
      </c>
      <c r="G22" s="114">
        <v>40</v>
      </c>
      <c r="H22" s="114">
        <v>10</v>
      </c>
      <c r="I22" s="114">
        <f t="shared" si="0"/>
        <v>1.7</v>
      </c>
      <c r="J22" s="115" t="s">
        <v>1657</v>
      </c>
      <c r="K22" s="115" t="s">
        <v>1001</v>
      </c>
      <c r="L22" s="114"/>
      <c r="M22" s="114" t="s">
        <v>391</v>
      </c>
      <c r="N22" s="114"/>
    </row>
    <row r="23" spans="1:14" ht="30" customHeight="1">
      <c r="A23" s="114">
        <v>13</v>
      </c>
      <c r="B23" s="115" t="s">
        <v>594</v>
      </c>
      <c r="C23" s="114" t="s">
        <v>295</v>
      </c>
      <c r="D23" s="114">
        <v>15</v>
      </c>
      <c r="E23" s="114">
        <v>3</v>
      </c>
      <c r="F23" s="145" t="s">
        <v>1652</v>
      </c>
      <c r="G23" s="114">
        <v>40</v>
      </c>
      <c r="H23" s="114">
        <v>60</v>
      </c>
      <c r="I23" s="114">
        <f t="shared" si="0"/>
        <v>5</v>
      </c>
      <c r="J23" s="115" t="s">
        <v>1654</v>
      </c>
      <c r="K23" s="115" t="s">
        <v>1002</v>
      </c>
      <c r="L23" s="114"/>
      <c r="M23" s="114" t="s">
        <v>391</v>
      </c>
      <c r="N23" s="114"/>
    </row>
    <row r="24" spans="1:14" ht="30" customHeight="1">
      <c r="A24" s="114">
        <v>14</v>
      </c>
      <c r="B24" s="115" t="s">
        <v>318</v>
      </c>
      <c r="C24" s="114" t="s">
        <v>313</v>
      </c>
      <c r="D24" s="114">
        <v>12</v>
      </c>
      <c r="E24" s="114">
        <v>3</v>
      </c>
      <c r="F24" s="114" t="s">
        <v>289</v>
      </c>
      <c r="G24" s="114">
        <v>40</v>
      </c>
      <c r="H24" s="114">
        <v>60</v>
      </c>
      <c r="I24" s="114">
        <f t="shared" si="0"/>
        <v>5</v>
      </c>
      <c r="J24" s="115" t="s">
        <v>1113</v>
      </c>
      <c r="K24" s="115" t="s">
        <v>1114</v>
      </c>
      <c r="L24" s="114"/>
      <c r="M24" s="114"/>
      <c r="N24" s="114"/>
    </row>
    <row r="25" spans="1:14">
      <c r="A25" s="116"/>
      <c r="B25" s="116"/>
      <c r="C25" s="116"/>
      <c r="D25" s="116" t="s">
        <v>321</v>
      </c>
      <c r="E25" s="116">
        <f>SUM(E11:E24)</f>
        <v>42</v>
      </c>
      <c r="F25" s="116"/>
      <c r="G25" s="116"/>
      <c r="H25" s="116"/>
      <c r="I25" s="116">
        <f>ROUND(SUM(I11:I24),0)</f>
        <v>95</v>
      </c>
    </row>
    <row r="27" spans="1:14">
      <c r="A27" s="107" t="s">
        <v>1115</v>
      </c>
    </row>
    <row r="28" spans="1:14">
      <c r="A28" s="117" t="s">
        <v>1116</v>
      </c>
    </row>
    <row r="29" spans="1:14">
      <c r="A29" s="117" t="s">
        <v>1117</v>
      </c>
    </row>
    <row r="30" spans="1:14">
      <c r="A30" s="117" t="s">
        <v>1118</v>
      </c>
    </row>
    <row r="31" spans="1:14">
      <c r="A31" s="117" t="s">
        <v>1507</v>
      </c>
    </row>
    <row r="32" spans="1:14">
      <c r="A32" s="117" t="s">
        <v>1119</v>
      </c>
    </row>
    <row r="34" spans="1:1">
      <c r="A34" s="107" t="s">
        <v>1120</v>
      </c>
    </row>
    <row r="35" spans="1:1">
      <c r="A35" s="117" t="s">
        <v>1494</v>
      </c>
    </row>
    <row r="36" spans="1:1">
      <c r="A36" s="117" t="s">
        <v>1121</v>
      </c>
    </row>
    <row r="37" spans="1:1">
      <c r="A37" s="117" t="s">
        <v>1599</v>
      </c>
    </row>
    <row r="38" spans="1:1">
      <c r="A38" s="117" t="s">
        <v>1561</v>
      </c>
    </row>
    <row r="40" spans="1:1">
      <c r="A40" s="107" t="s">
        <v>954</v>
      </c>
    </row>
    <row r="41" spans="1:1">
      <c r="A41" s="117" t="s">
        <v>1462</v>
      </c>
    </row>
    <row r="42" spans="1:1">
      <c r="A42" s="117" t="s">
        <v>1313</v>
      </c>
    </row>
    <row r="43" spans="1:1">
      <c r="A43" s="117" t="s">
        <v>1314</v>
      </c>
    </row>
    <row r="45" spans="1:1">
      <c r="A45" s="107" t="s">
        <v>987</v>
      </c>
    </row>
    <row r="46" spans="1:1">
      <c r="A46" s="117" t="s">
        <v>1122</v>
      </c>
    </row>
    <row r="47" spans="1:1">
      <c r="A47" s="117" t="s">
        <v>1123</v>
      </c>
    </row>
    <row r="48" spans="1:1">
      <c r="A48" s="117" t="s">
        <v>1124</v>
      </c>
    </row>
    <row r="49" spans="1:3">
      <c r="A49" s="117" t="s">
        <v>1495</v>
      </c>
    </row>
    <row r="50" spans="1:3">
      <c r="A50" s="117" t="s">
        <v>1125</v>
      </c>
    </row>
    <row r="51" spans="1:3">
      <c r="A51" s="117" t="s">
        <v>1126</v>
      </c>
    </row>
    <row r="52" spans="1:3">
      <c r="A52" s="117" t="s">
        <v>989</v>
      </c>
    </row>
    <row r="54" spans="1:3">
      <c r="C54" s="118" t="s">
        <v>1309</v>
      </c>
    </row>
  </sheetData>
  <phoneticPr fontId="29" type="noConversion"/>
  <hyperlinks>
    <hyperlink ref="J21" r:id="rId1" xr:uid="{23C18850-0E04-48B0-9034-D4ACB8232A2D}"/>
  </hyperlink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4DDD8-3AB2-43B2-A3B8-DBF53736B372}">
  <dimension ref="A1:F36"/>
  <sheetViews>
    <sheetView workbookViewId="0">
      <selection activeCell="A35" sqref="A35:XFD35"/>
    </sheetView>
  </sheetViews>
  <sheetFormatPr defaultRowHeight="12.75"/>
  <cols>
    <col min="1" max="1" width="14.7109375" style="127" customWidth="1"/>
    <col min="2" max="2" width="30.7109375" style="127" customWidth="1"/>
    <col min="3" max="5" width="14.7109375" style="127" customWidth="1"/>
    <col min="6" max="6" width="50.7109375" style="127" customWidth="1"/>
    <col min="7" max="16384" width="9.140625" style="127"/>
  </cols>
  <sheetData>
    <row r="1" spans="1:6" ht="18.75">
      <c r="A1" s="128" t="s">
        <v>1335</v>
      </c>
    </row>
    <row r="2" spans="1:6">
      <c r="A2" s="127" t="s">
        <v>1261</v>
      </c>
    </row>
    <row r="4" spans="1:6" ht="15">
      <c r="A4" s="99" t="s">
        <v>1262</v>
      </c>
    </row>
    <row r="5" spans="1:6">
      <c r="A5" s="129" t="s">
        <v>2</v>
      </c>
      <c r="B5" s="129" t="s">
        <v>145</v>
      </c>
      <c r="C5" s="130"/>
      <c r="D5" s="130"/>
      <c r="E5" s="130"/>
      <c r="F5" s="129" t="s">
        <v>5</v>
      </c>
    </row>
    <row r="6" spans="1:6">
      <c r="A6" s="127" t="s">
        <v>894</v>
      </c>
      <c r="B6" s="151" t="s">
        <v>1263</v>
      </c>
      <c r="C6" s="151"/>
      <c r="D6" s="151"/>
      <c r="E6" s="151"/>
      <c r="F6" s="127" t="s">
        <v>1264</v>
      </c>
    </row>
    <row r="7" spans="1:6">
      <c r="A7" s="127" t="s">
        <v>76</v>
      </c>
      <c r="B7" s="151" t="s">
        <v>1265</v>
      </c>
      <c r="C7" s="151"/>
      <c r="D7" s="151"/>
      <c r="E7" s="151"/>
      <c r="F7" s="127" t="s">
        <v>1266</v>
      </c>
    </row>
    <row r="8" spans="1:6">
      <c r="A8" s="127" t="s">
        <v>1267</v>
      </c>
      <c r="B8" s="151" t="s">
        <v>1268</v>
      </c>
      <c r="C8" s="151"/>
      <c r="D8" s="151"/>
      <c r="E8" s="151"/>
      <c r="F8" s="127" t="s">
        <v>1269</v>
      </c>
    </row>
    <row r="9" spans="1:6">
      <c r="A9" s="127" t="s">
        <v>1270</v>
      </c>
      <c r="B9" s="151" t="s">
        <v>1271</v>
      </c>
      <c r="C9" s="151"/>
      <c r="D9" s="151"/>
      <c r="E9" s="151"/>
      <c r="F9" s="127" t="s">
        <v>1272</v>
      </c>
    </row>
    <row r="10" spans="1:6">
      <c r="A10" s="127" t="s">
        <v>1273</v>
      </c>
      <c r="B10" s="151" t="s">
        <v>1336</v>
      </c>
      <c r="C10" s="151"/>
      <c r="D10" s="151"/>
      <c r="E10" s="151"/>
      <c r="F10" s="127" t="s">
        <v>1337</v>
      </c>
    </row>
    <row r="11" spans="1:6">
      <c r="A11" s="127" t="s">
        <v>1274</v>
      </c>
      <c r="B11" s="151" t="s">
        <v>1275</v>
      </c>
      <c r="C11" s="151"/>
      <c r="D11" s="151"/>
      <c r="E11" s="151"/>
      <c r="F11" s="127" t="s">
        <v>1330</v>
      </c>
    </row>
    <row r="12" spans="1:6">
      <c r="A12" s="127" t="s">
        <v>9</v>
      </c>
      <c r="B12" s="151" t="s">
        <v>1276</v>
      </c>
      <c r="C12" s="151"/>
      <c r="D12" s="151"/>
      <c r="E12" s="151"/>
      <c r="F12" s="127" t="s">
        <v>1331</v>
      </c>
    </row>
    <row r="13" spans="1:6">
      <c r="A13" s="127" t="s">
        <v>1277</v>
      </c>
      <c r="B13" s="151" t="s">
        <v>1338</v>
      </c>
      <c r="C13" s="151"/>
      <c r="D13" s="151"/>
      <c r="E13" s="151"/>
      <c r="F13" s="127" t="s">
        <v>1297</v>
      </c>
    </row>
    <row r="14" spans="1:6">
      <c r="A14" s="127" t="s">
        <v>1278</v>
      </c>
      <c r="B14" s="151" t="s">
        <v>1332</v>
      </c>
      <c r="C14" s="151"/>
      <c r="D14" s="151"/>
      <c r="E14" s="151"/>
      <c r="F14" s="127" t="s">
        <v>1279</v>
      </c>
    </row>
    <row r="16" spans="1:6" ht="15">
      <c r="A16" s="131" t="s">
        <v>1339</v>
      </c>
    </row>
    <row r="17" spans="1:6">
      <c r="A17" s="129" t="s">
        <v>1340</v>
      </c>
      <c r="B17" s="129" t="s">
        <v>1341</v>
      </c>
      <c r="C17" s="129" t="s">
        <v>1280</v>
      </c>
      <c r="D17" s="129" t="s">
        <v>1281</v>
      </c>
      <c r="E17" s="129" t="s">
        <v>1282</v>
      </c>
      <c r="F17" s="129" t="s">
        <v>1283</v>
      </c>
    </row>
    <row r="18" spans="1:6">
      <c r="A18" s="132">
        <v>1</v>
      </c>
      <c r="B18" s="136">
        <v>46298</v>
      </c>
      <c r="C18" s="132">
        <v>24</v>
      </c>
      <c r="D18" s="132">
        <f t="shared" ref="D18:D35" si="0">C18*2</f>
        <v>48</v>
      </c>
      <c r="E18" s="132"/>
    </row>
    <row r="19" spans="1:6">
      <c r="A19" s="132">
        <v>2</v>
      </c>
      <c r="B19" s="136">
        <v>46302</v>
      </c>
      <c r="C19" s="132">
        <v>26</v>
      </c>
      <c r="D19" s="132">
        <f t="shared" si="0"/>
        <v>52</v>
      </c>
      <c r="E19" s="132"/>
    </row>
    <row r="20" spans="1:6">
      <c r="A20" s="132">
        <v>3</v>
      </c>
      <c r="B20" s="136">
        <v>46305</v>
      </c>
      <c r="C20" s="132">
        <v>28</v>
      </c>
      <c r="D20" s="132">
        <f t="shared" si="0"/>
        <v>56</v>
      </c>
      <c r="E20" s="132"/>
    </row>
    <row r="21" spans="1:6">
      <c r="A21" s="132">
        <v>4</v>
      </c>
      <c r="B21" s="136">
        <v>46309</v>
      </c>
      <c r="C21" s="132">
        <v>30</v>
      </c>
      <c r="D21" s="132">
        <f t="shared" si="0"/>
        <v>60</v>
      </c>
      <c r="E21" s="132"/>
    </row>
    <row r="22" spans="1:6">
      <c r="A22" s="132">
        <v>5</v>
      </c>
      <c r="B22" s="136">
        <v>46312</v>
      </c>
      <c r="C22" s="132">
        <v>30</v>
      </c>
      <c r="D22" s="132">
        <f t="shared" si="0"/>
        <v>60</v>
      </c>
      <c r="E22" s="132"/>
    </row>
    <row r="23" spans="1:6">
      <c r="A23" s="132">
        <v>6</v>
      </c>
      <c r="B23" s="136">
        <v>46316</v>
      </c>
      <c r="C23" s="132">
        <v>30</v>
      </c>
      <c r="D23" s="132">
        <f t="shared" si="0"/>
        <v>60</v>
      </c>
      <c r="E23" s="132"/>
    </row>
    <row r="24" spans="1:6">
      <c r="A24" s="132">
        <v>7</v>
      </c>
      <c r="B24" s="136">
        <v>46319</v>
      </c>
      <c r="C24" s="132">
        <v>32</v>
      </c>
      <c r="D24" s="132">
        <f t="shared" si="0"/>
        <v>64</v>
      </c>
      <c r="E24" s="132"/>
    </row>
    <row r="25" spans="1:6">
      <c r="A25" s="132">
        <v>8</v>
      </c>
      <c r="B25" s="136">
        <v>46323</v>
      </c>
      <c r="C25" s="132">
        <v>34</v>
      </c>
      <c r="D25" s="132">
        <f t="shared" si="0"/>
        <v>68</v>
      </c>
      <c r="E25" s="132"/>
    </row>
    <row r="26" spans="1:6">
      <c r="A26" s="132">
        <v>9</v>
      </c>
      <c r="B26" s="136">
        <v>46326</v>
      </c>
      <c r="C26" s="132">
        <v>36</v>
      </c>
      <c r="D26" s="132">
        <f t="shared" si="0"/>
        <v>72</v>
      </c>
      <c r="E26" s="132"/>
    </row>
    <row r="27" spans="1:6">
      <c r="A27" s="132">
        <v>10</v>
      </c>
      <c r="B27" s="136">
        <v>46330</v>
      </c>
      <c r="C27" s="132">
        <v>36</v>
      </c>
      <c r="D27" s="132">
        <f t="shared" si="0"/>
        <v>72</v>
      </c>
      <c r="E27" s="132"/>
    </row>
    <row r="28" spans="1:6">
      <c r="A28" s="132">
        <v>11</v>
      </c>
      <c r="B28" s="136">
        <v>46333</v>
      </c>
      <c r="C28" s="132">
        <v>36</v>
      </c>
      <c r="D28" s="132">
        <f t="shared" si="0"/>
        <v>72</v>
      </c>
      <c r="E28" s="132"/>
    </row>
    <row r="29" spans="1:6">
      <c r="A29" s="132">
        <v>12</v>
      </c>
      <c r="B29" s="136">
        <v>46337</v>
      </c>
      <c r="C29" s="132">
        <v>36</v>
      </c>
      <c r="D29" s="132">
        <f t="shared" si="0"/>
        <v>72</v>
      </c>
      <c r="E29" s="132"/>
    </row>
    <row r="30" spans="1:6">
      <c r="A30" s="132">
        <v>13</v>
      </c>
      <c r="B30" s="136">
        <v>46340</v>
      </c>
      <c r="C30" s="132">
        <v>36</v>
      </c>
      <c r="D30" s="132">
        <f t="shared" si="0"/>
        <v>72</v>
      </c>
      <c r="E30" s="132"/>
    </row>
    <row r="31" spans="1:6">
      <c r="A31" s="132">
        <v>14</v>
      </c>
      <c r="B31" s="136">
        <v>46344</v>
      </c>
      <c r="C31" s="132">
        <v>36</v>
      </c>
      <c r="D31" s="132">
        <f t="shared" si="0"/>
        <v>72</v>
      </c>
      <c r="E31" s="132"/>
    </row>
    <row r="32" spans="1:6">
      <c r="A32" s="132">
        <v>15</v>
      </c>
      <c r="B32" s="136">
        <v>46347</v>
      </c>
      <c r="C32" s="132">
        <v>36</v>
      </c>
      <c r="D32" s="132">
        <f t="shared" si="0"/>
        <v>72</v>
      </c>
      <c r="E32" s="132"/>
    </row>
    <row r="33" spans="1:5">
      <c r="A33" s="132">
        <v>16</v>
      </c>
      <c r="B33" s="136">
        <v>46351</v>
      </c>
      <c r="C33" s="132">
        <v>36</v>
      </c>
      <c r="D33" s="132">
        <f t="shared" si="0"/>
        <v>72</v>
      </c>
      <c r="E33" s="132"/>
    </row>
    <row r="34" spans="1:5">
      <c r="A34" s="132">
        <v>17</v>
      </c>
      <c r="B34" s="136">
        <v>46354</v>
      </c>
      <c r="C34" s="132">
        <v>36</v>
      </c>
      <c r="D34" s="132">
        <f t="shared" si="0"/>
        <v>72</v>
      </c>
      <c r="E34" s="132"/>
    </row>
    <row r="35" spans="1:5">
      <c r="A35" s="132">
        <v>18</v>
      </c>
      <c r="B35" s="136">
        <v>46358</v>
      </c>
      <c r="C35" s="132">
        <v>36</v>
      </c>
      <c r="D35" s="132">
        <f t="shared" si="0"/>
        <v>72</v>
      </c>
      <c r="E35" s="132"/>
    </row>
    <row r="36" spans="1:5">
      <c r="A36" s="127" t="s">
        <v>1342</v>
      </c>
    </row>
  </sheetData>
  <mergeCells count="9">
    <mergeCell ref="B12:E12"/>
    <mergeCell ref="B13:E13"/>
    <mergeCell ref="B14:E14"/>
    <mergeCell ref="B6:E6"/>
    <mergeCell ref="B7:E7"/>
    <mergeCell ref="B8:E8"/>
    <mergeCell ref="B9:E9"/>
    <mergeCell ref="B10:E10"/>
    <mergeCell ref="B11:E11"/>
  </mergeCells>
  <phoneticPr fontId="29"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2FE5C-3816-4CFA-A88D-950DD0B7A491}">
  <dimension ref="A1:J90"/>
  <sheetViews>
    <sheetView workbookViewId="0">
      <selection activeCell="I15" sqref="I15"/>
    </sheetView>
  </sheetViews>
  <sheetFormatPr defaultRowHeight="12.75"/>
  <cols>
    <col min="1" max="1" width="12.7109375" style="127" customWidth="1"/>
    <col min="2" max="2" width="14.7109375" style="127" customWidth="1"/>
    <col min="3" max="6" width="12.7109375" style="127" customWidth="1"/>
    <col min="7" max="8" width="13.7109375" style="127" customWidth="1"/>
    <col min="9" max="9" width="14.7109375" style="127" customWidth="1"/>
    <col min="10" max="16384" width="9.140625" style="127"/>
  </cols>
  <sheetData>
    <row r="1" spans="1:10" ht="18.75">
      <c r="A1" s="128" t="s">
        <v>1354</v>
      </c>
    </row>
    <row r="2" spans="1:10">
      <c r="A2" s="127" t="s">
        <v>1355</v>
      </c>
    </row>
    <row r="4" spans="1:10" ht="15">
      <c r="A4" s="99" t="s">
        <v>894</v>
      </c>
    </row>
    <row r="5" spans="1:10">
      <c r="A5" s="129" t="s">
        <v>894</v>
      </c>
      <c r="B5" s="129" t="s">
        <v>1284</v>
      </c>
      <c r="C5" s="130"/>
      <c r="D5" s="130"/>
      <c r="E5" s="130"/>
      <c r="F5" s="130"/>
      <c r="G5" s="130"/>
      <c r="H5" s="130"/>
      <c r="I5" s="129" t="s">
        <v>5</v>
      </c>
    </row>
    <row r="6" spans="1:10">
      <c r="A6" s="127" t="s">
        <v>899</v>
      </c>
      <c r="B6" s="151" t="s">
        <v>1285</v>
      </c>
      <c r="C6" s="151"/>
      <c r="D6" s="151"/>
      <c r="E6" s="151"/>
      <c r="F6" s="151"/>
      <c r="G6" s="151"/>
      <c r="H6" s="151"/>
      <c r="I6" s="127" t="s">
        <v>1286</v>
      </c>
    </row>
    <row r="7" spans="1:10">
      <c r="A7" s="127" t="s">
        <v>902</v>
      </c>
      <c r="B7" s="151" t="s">
        <v>1287</v>
      </c>
      <c r="C7" s="151"/>
      <c r="D7" s="151"/>
      <c r="E7" s="151"/>
      <c r="F7" s="151"/>
      <c r="G7" s="151"/>
      <c r="H7" s="151"/>
      <c r="I7" s="127" t="s">
        <v>1288</v>
      </c>
    </row>
    <row r="8" spans="1:10">
      <c r="A8" s="127" t="s">
        <v>905</v>
      </c>
      <c r="B8" s="151" t="s">
        <v>1287</v>
      </c>
      <c r="C8" s="151"/>
      <c r="D8" s="151"/>
      <c r="E8" s="151"/>
      <c r="F8" s="151"/>
      <c r="G8" s="151"/>
      <c r="H8" s="151"/>
      <c r="I8" s="127" t="s">
        <v>1288</v>
      </c>
    </row>
    <row r="9" spans="1:10">
      <c r="A9" s="127" t="s">
        <v>907</v>
      </c>
      <c r="B9" s="151" t="s">
        <v>28</v>
      </c>
      <c r="C9" s="151"/>
      <c r="D9" s="151"/>
      <c r="E9" s="151"/>
      <c r="F9" s="151"/>
      <c r="G9" s="151"/>
      <c r="H9" s="151"/>
      <c r="I9" s="127" t="s">
        <v>1289</v>
      </c>
    </row>
    <row r="10" spans="1:10">
      <c r="A10" s="127" t="s">
        <v>909</v>
      </c>
      <c r="B10" s="151" t="s">
        <v>1285</v>
      </c>
      <c r="C10" s="151"/>
      <c r="D10" s="151"/>
      <c r="E10" s="151"/>
      <c r="F10" s="151"/>
      <c r="G10" s="151"/>
      <c r="H10" s="151"/>
      <c r="I10" s="127" t="s">
        <v>1290</v>
      </c>
    </row>
    <row r="11" spans="1:10">
      <c r="A11" s="127" t="s">
        <v>912</v>
      </c>
      <c r="B11" s="151" t="s">
        <v>1287</v>
      </c>
      <c r="C11" s="151"/>
      <c r="D11" s="151"/>
      <c r="E11" s="151"/>
      <c r="F11" s="151"/>
      <c r="G11" s="151"/>
      <c r="H11" s="151"/>
      <c r="I11" s="127" t="s">
        <v>1288</v>
      </c>
    </row>
    <row r="12" spans="1:10">
      <c r="A12" s="127" t="s">
        <v>915</v>
      </c>
      <c r="B12" s="151" t="s">
        <v>1291</v>
      </c>
      <c r="C12" s="151"/>
      <c r="D12" s="151"/>
      <c r="E12" s="151"/>
      <c r="F12" s="151"/>
      <c r="G12" s="151"/>
      <c r="H12" s="151"/>
      <c r="I12" s="127" t="s">
        <v>1292</v>
      </c>
    </row>
    <row r="14" spans="1:10" ht="15">
      <c r="A14" s="131" t="s">
        <v>1344</v>
      </c>
    </row>
    <row r="15" spans="1:10">
      <c r="A15" s="129" t="s">
        <v>1345</v>
      </c>
      <c r="B15" s="129" t="s">
        <v>789</v>
      </c>
      <c r="C15" s="129" t="s">
        <v>1346</v>
      </c>
      <c r="D15" s="129" t="s">
        <v>1347</v>
      </c>
      <c r="E15" s="129" t="s">
        <v>1348</v>
      </c>
      <c r="F15" s="129" t="s">
        <v>1349</v>
      </c>
      <c r="G15" s="129" t="s">
        <v>1350</v>
      </c>
      <c r="H15" s="129" t="s">
        <v>1351</v>
      </c>
      <c r="I15" s="129" t="s">
        <v>1356</v>
      </c>
    </row>
    <row r="16" spans="1:10" ht="15">
      <c r="A16" s="137">
        <v>1</v>
      </c>
      <c r="B16" s="138">
        <v>46302</v>
      </c>
      <c r="C16" s="137">
        <v>16</v>
      </c>
      <c r="D16" s="137">
        <v>2</v>
      </c>
      <c r="E16" s="137">
        <v>2</v>
      </c>
      <c r="F16" s="137">
        <v>16</v>
      </c>
      <c r="G16" s="137">
        <v>3</v>
      </c>
      <c r="H16" s="137">
        <v>2</v>
      </c>
      <c r="I16" s="137" t="s">
        <v>1274</v>
      </c>
      <c r="J16"/>
    </row>
    <row r="17" spans="1:10" ht="15">
      <c r="A17" s="137">
        <v>2</v>
      </c>
      <c r="B17" s="138">
        <v>46305</v>
      </c>
      <c r="C17" s="137">
        <v>18</v>
      </c>
      <c r="D17" s="137">
        <v>2</v>
      </c>
      <c r="E17" s="137">
        <v>2</v>
      </c>
      <c r="F17" s="137">
        <v>18</v>
      </c>
      <c r="G17" s="137">
        <v>3</v>
      </c>
      <c r="H17" s="137">
        <v>2</v>
      </c>
      <c r="I17" s="137" t="s">
        <v>1274</v>
      </c>
      <c r="J17"/>
    </row>
    <row r="18" spans="1:10" ht="15">
      <c r="A18" s="137">
        <v>3</v>
      </c>
      <c r="B18" s="138">
        <v>46309</v>
      </c>
      <c r="C18" s="137">
        <v>20</v>
      </c>
      <c r="D18" s="137">
        <v>2</v>
      </c>
      <c r="E18" s="137">
        <v>2</v>
      </c>
      <c r="F18" s="137">
        <v>20</v>
      </c>
      <c r="G18" s="137">
        <v>3</v>
      </c>
      <c r="H18" s="137">
        <v>2</v>
      </c>
      <c r="I18" s="137" t="s">
        <v>1274</v>
      </c>
      <c r="J18"/>
    </row>
    <row r="19" spans="1:10" ht="15">
      <c r="A19" s="137">
        <v>4</v>
      </c>
      <c r="B19" s="138">
        <v>46312</v>
      </c>
      <c r="C19" s="137">
        <v>20</v>
      </c>
      <c r="D19" s="137">
        <v>2</v>
      </c>
      <c r="E19" s="137">
        <v>2</v>
      </c>
      <c r="F19" s="137">
        <v>20</v>
      </c>
      <c r="G19" s="137">
        <v>3</v>
      </c>
      <c r="H19" s="137">
        <v>2</v>
      </c>
      <c r="I19" s="137" t="s">
        <v>1274</v>
      </c>
      <c r="J19"/>
    </row>
    <row r="20" spans="1:10" ht="15">
      <c r="A20" s="137">
        <v>5</v>
      </c>
      <c r="B20" s="138">
        <v>46316</v>
      </c>
      <c r="C20" s="137">
        <v>20</v>
      </c>
      <c r="D20" s="137">
        <v>2</v>
      </c>
      <c r="E20" s="137">
        <v>2</v>
      </c>
      <c r="F20" s="137">
        <v>20</v>
      </c>
      <c r="G20" s="137">
        <v>3</v>
      </c>
      <c r="H20" s="137">
        <v>2</v>
      </c>
      <c r="I20" s="137" t="s">
        <v>1274</v>
      </c>
      <c r="J20"/>
    </row>
    <row r="21" spans="1:10" ht="15">
      <c r="A21" s="137">
        <v>6</v>
      </c>
      <c r="B21" s="138">
        <v>46319</v>
      </c>
      <c r="C21" s="137">
        <v>22</v>
      </c>
      <c r="D21" s="137">
        <v>2</v>
      </c>
      <c r="E21" s="137">
        <v>2</v>
      </c>
      <c r="F21" s="137">
        <v>22</v>
      </c>
      <c r="G21" s="137">
        <v>4</v>
      </c>
      <c r="H21" s="137">
        <v>2</v>
      </c>
      <c r="I21" s="137" t="s">
        <v>1274</v>
      </c>
      <c r="J21"/>
    </row>
    <row r="22" spans="1:10" ht="15">
      <c r="A22" s="137">
        <v>7</v>
      </c>
      <c r="B22" s="138">
        <v>46323</v>
      </c>
      <c r="C22" s="137">
        <v>24</v>
      </c>
      <c r="D22" s="137">
        <v>2</v>
      </c>
      <c r="E22" s="137">
        <v>2</v>
      </c>
      <c r="F22" s="137">
        <v>24</v>
      </c>
      <c r="G22" s="137">
        <v>4</v>
      </c>
      <c r="H22" s="137">
        <v>2</v>
      </c>
      <c r="I22" s="137" t="s">
        <v>1274</v>
      </c>
      <c r="J22"/>
    </row>
    <row r="23" spans="1:10" ht="15">
      <c r="A23" s="137">
        <v>8</v>
      </c>
      <c r="B23" s="138">
        <v>46326</v>
      </c>
      <c r="C23" s="137">
        <v>26</v>
      </c>
      <c r="D23" s="137">
        <v>2</v>
      </c>
      <c r="E23" s="137">
        <v>2</v>
      </c>
      <c r="F23" s="137">
        <v>26</v>
      </c>
      <c r="G23" s="137">
        <v>5</v>
      </c>
      <c r="H23" s="137">
        <v>2</v>
      </c>
      <c r="I23" s="137" t="s">
        <v>1274</v>
      </c>
      <c r="J23"/>
    </row>
    <row r="24" spans="1:10" ht="15">
      <c r="A24" s="137">
        <v>9</v>
      </c>
      <c r="B24" s="138">
        <v>46330</v>
      </c>
      <c r="C24" s="137">
        <v>28</v>
      </c>
      <c r="D24" s="137">
        <v>2</v>
      </c>
      <c r="E24" s="137">
        <v>2</v>
      </c>
      <c r="F24" s="137">
        <v>28</v>
      </c>
      <c r="G24" s="137">
        <v>5</v>
      </c>
      <c r="H24" s="137">
        <v>2</v>
      </c>
      <c r="I24" s="137" t="s">
        <v>1274</v>
      </c>
      <c r="J24"/>
    </row>
    <row r="25" spans="1:10" ht="15">
      <c r="A25" s="137">
        <v>10</v>
      </c>
      <c r="B25" s="138">
        <v>46333</v>
      </c>
      <c r="C25" s="137">
        <v>30</v>
      </c>
      <c r="D25" s="137">
        <v>2</v>
      </c>
      <c r="E25" s="137">
        <v>2</v>
      </c>
      <c r="F25" s="137">
        <v>30</v>
      </c>
      <c r="G25" s="137">
        <v>5</v>
      </c>
      <c r="H25" s="137">
        <v>2</v>
      </c>
      <c r="I25" s="137" t="s">
        <v>1274</v>
      </c>
      <c r="J25"/>
    </row>
    <row r="26" spans="1:10" ht="15">
      <c r="A26" s="137">
        <v>11</v>
      </c>
      <c r="B26" s="138">
        <v>46337</v>
      </c>
      <c r="C26" s="137">
        <v>32</v>
      </c>
      <c r="D26" s="137">
        <v>2</v>
      </c>
      <c r="E26" s="137">
        <v>2</v>
      </c>
      <c r="F26" s="137">
        <v>32</v>
      </c>
      <c r="G26" s="137">
        <v>5</v>
      </c>
      <c r="H26" s="137">
        <v>2</v>
      </c>
      <c r="I26" s="137" t="s">
        <v>1274</v>
      </c>
      <c r="J26"/>
    </row>
    <row r="27" spans="1:10" ht="15">
      <c r="A27" s="137">
        <v>12</v>
      </c>
      <c r="B27" s="138">
        <v>46340</v>
      </c>
      <c r="C27" s="137">
        <v>34</v>
      </c>
      <c r="D27" s="137">
        <v>2</v>
      </c>
      <c r="E27" s="137">
        <v>2</v>
      </c>
      <c r="F27" s="137">
        <v>34</v>
      </c>
      <c r="G27" s="137">
        <v>5</v>
      </c>
      <c r="H27" s="137">
        <v>2</v>
      </c>
      <c r="I27" s="137" t="s">
        <v>1274</v>
      </c>
      <c r="J27"/>
    </row>
    <row r="28" spans="1:10" ht="15">
      <c r="A28" s="137">
        <v>13</v>
      </c>
      <c r="B28" s="138">
        <v>46344</v>
      </c>
      <c r="C28" s="137">
        <v>36</v>
      </c>
      <c r="D28" s="137">
        <v>2</v>
      </c>
      <c r="E28" s="137">
        <v>2</v>
      </c>
      <c r="F28" s="137">
        <v>36</v>
      </c>
      <c r="G28" s="137">
        <v>5</v>
      </c>
      <c r="H28" s="137">
        <v>2</v>
      </c>
      <c r="I28" s="137" t="s">
        <v>1274</v>
      </c>
      <c r="J28"/>
    </row>
    <row r="29" spans="1:10" ht="15">
      <c r="A29" s="137">
        <v>14</v>
      </c>
      <c r="B29" s="138">
        <v>46347</v>
      </c>
      <c r="C29" s="137">
        <v>36</v>
      </c>
      <c r="D29" s="137">
        <v>3</v>
      </c>
      <c r="E29" s="137">
        <v>2</v>
      </c>
      <c r="F29" s="137">
        <v>36</v>
      </c>
      <c r="G29" s="137">
        <v>5</v>
      </c>
      <c r="H29" s="137">
        <v>2</v>
      </c>
      <c r="I29" s="137" t="s">
        <v>1274</v>
      </c>
      <c r="J29"/>
    </row>
    <row r="30" spans="1:10" ht="15">
      <c r="A30" s="137">
        <v>15</v>
      </c>
      <c r="B30" s="138">
        <v>46351</v>
      </c>
      <c r="C30" s="137">
        <v>36</v>
      </c>
      <c r="D30" s="137">
        <v>4</v>
      </c>
      <c r="E30" s="137">
        <v>2</v>
      </c>
      <c r="F30" s="137">
        <v>36</v>
      </c>
      <c r="G30" s="137">
        <v>5</v>
      </c>
      <c r="H30" s="137">
        <v>2</v>
      </c>
      <c r="I30" s="137" t="s">
        <v>1274</v>
      </c>
      <c r="J30"/>
    </row>
    <row r="31" spans="1:10" ht="15">
      <c r="A31" s="137">
        <v>16</v>
      </c>
      <c r="B31" s="138">
        <v>46354</v>
      </c>
      <c r="C31" s="137">
        <v>36</v>
      </c>
      <c r="D31" s="137">
        <v>5</v>
      </c>
      <c r="E31" s="137">
        <v>2</v>
      </c>
      <c r="F31" s="137">
        <v>36</v>
      </c>
      <c r="G31" s="137">
        <v>5</v>
      </c>
      <c r="H31" s="137">
        <v>2</v>
      </c>
      <c r="I31" s="137" t="s">
        <v>1274</v>
      </c>
      <c r="J31"/>
    </row>
    <row r="32" spans="1:10" ht="15">
      <c r="A32" s="137">
        <v>17</v>
      </c>
      <c r="B32" s="138">
        <v>46358</v>
      </c>
      <c r="C32" s="137">
        <v>36</v>
      </c>
      <c r="D32" s="137">
        <v>5</v>
      </c>
      <c r="E32" s="137">
        <v>2</v>
      </c>
      <c r="F32" s="137">
        <v>36</v>
      </c>
      <c r="G32" s="137">
        <v>5</v>
      </c>
      <c r="H32" s="137">
        <v>2</v>
      </c>
      <c r="I32" s="137" t="s">
        <v>1274</v>
      </c>
      <c r="J32"/>
    </row>
    <row r="33" spans="1:10" ht="15">
      <c r="A33" t="s">
        <v>1357</v>
      </c>
      <c r="B33"/>
      <c r="C33"/>
      <c r="D33"/>
      <c r="E33"/>
      <c r="F33"/>
      <c r="G33"/>
      <c r="H33"/>
      <c r="I33"/>
      <c r="J33"/>
    </row>
    <row r="34" spans="1:10" ht="15">
      <c r="A34"/>
      <c r="B34"/>
      <c r="C34"/>
      <c r="D34"/>
      <c r="E34"/>
      <c r="F34"/>
      <c r="G34"/>
      <c r="H34"/>
      <c r="I34"/>
      <c r="J34"/>
    </row>
    <row r="35" spans="1:10" ht="15">
      <c r="A35" t="s">
        <v>1262</v>
      </c>
      <c r="B35"/>
      <c r="C35"/>
      <c r="D35"/>
      <c r="E35"/>
      <c r="F35"/>
      <c r="G35"/>
      <c r="H35"/>
      <c r="I35"/>
      <c r="J35"/>
    </row>
    <row r="36" spans="1:10" ht="15">
      <c r="A36" t="s">
        <v>1358</v>
      </c>
      <c r="B36"/>
      <c r="C36"/>
      <c r="D36"/>
      <c r="E36"/>
      <c r="F36"/>
      <c r="G36"/>
      <c r="H36"/>
      <c r="I36"/>
      <c r="J36"/>
    </row>
    <row r="37" spans="1:10" ht="15">
      <c r="A37" t="s">
        <v>1363</v>
      </c>
      <c r="B37"/>
      <c r="C37"/>
      <c r="D37"/>
      <c r="E37"/>
      <c r="F37"/>
      <c r="G37"/>
      <c r="H37"/>
      <c r="I37"/>
      <c r="J37"/>
    </row>
    <row r="38" spans="1:10" ht="15">
      <c r="A38" t="s">
        <v>1359</v>
      </c>
      <c r="B38"/>
      <c r="C38"/>
      <c r="D38"/>
      <c r="E38"/>
      <c r="F38"/>
      <c r="G38"/>
      <c r="H38"/>
      <c r="I38"/>
      <c r="J38"/>
    </row>
    <row r="39" spans="1:10" ht="15">
      <c r="A39" t="s">
        <v>1360</v>
      </c>
      <c r="B39"/>
      <c r="C39"/>
      <c r="D39"/>
      <c r="E39"/>
      <c r="F39"/>
      <c r="G39"/>
      <c r="H39"/>
      <c r="I39"/>
      <c r="J39"/>
    </row>
    <row r="40" spans="1:10" ht="15">
      <c r="A40" t="s">
        <v>1325</v>
      </c>
      <c r="B40"/>
      <c r="C40"/>
      <c r="D40"/>
      <c r="E40"/>
      <c r="F40"/>
      <c r="G40"/>
      <c r="H40"/>
      <c r="I40"/>
      <c r="J40"/>
    </row>
    <row r="41" spans="1:10" ht="15">
      <c r="A41" t="s">
        <v>1326</v>
      </c>
      <c r="B41"/>
      <c r="C41"/>
      <c r="D41"/>
      <c r="E41"/>
      <c r="F41"/>
      <c r="G41"/>
      <c r="H41"/>
      <c r="I41"/>
      <c r="J41"/>
    </row>
    <row r="42" spans="1:10" ht="15">
      <c r="A42" t="s">
        <v>1327</v>
      </c>
      <c r="B42"/>
      <c r="C42"/>
      <c r="D42"/>
      <c r="E42"/>
      <c r="F42"/>
      <c r="G42"/>
      <c r="H42"/>
      <c r="I42"/>
      <c r="J42"/>
    </row>
    <row r="43" spans="1:10" ht="15">
      <c r="A43" t="s">
        <v>1328</v>
      </c>
      <c r="B43"/>
      <c r="C43"/>
      <c r="D43"/>
      <c r="E43"/>
      <c r="F43"/>
      <c r="G43"/>
      <c r="H43"/>
      <c r="I43"/>
      <c r="J43"/>
    </row>
    <row r="44" spans="1:10" ht="15">
      <c r="A44" t="s">
        <v>1329</v>
      </c>
      <c r="B44"/>
      <c r="C44"/>
      <c r="D44"/>
      <c r="E44"/>
      <c r="F44"/>
      <c r="G44"/>
      <c r="H44"/>
      <c r="I44"/>
      <c r="J44"/>
    </row>
    <row r="45" spans="1:10" ht="15">
      <c r="A45" t="s">
        <v>1361</v>
      </c>
      <c r="B45"/>
      <c r="C45"/>
      <c r="D45"/>
      <c r="E45"/>
      <c r="F45"/>
      <c r="G45"/>
      <c r="H45"/>
      <c r="I45"/>
      <c r="J45"/>
    </row>
    <row r="46" spans="1:10" ht="15">
      <c r="A46" t="s">
        <v>1352</v>
      </c>
      <c r="B46"/>
      <c r="C46"/>
      <c r="D46"/>
      <c r="E46"/>
      <c r="F46"/>
      <c r="G46"/>
      <c r="H46"/>
      <c r="I46"/>
      <c r="J46"/>
    </row>
    <row r="47" spans="1:10" ht="15">
      <c r="A47"/>
      <c r="B47"/>
      <c r="C47"/>
      <c r="D47"/>
      <c r="E47"/>
      <c r="F47"/>
      <c r="G47"/>
      <c r="H47"/>
      <c r="I47"/>
      <c r="J47"/>
    </row>
    <row r="48" spans="1:10" ht="15">
      <c r="A48"/>
      <c r="B48"/>
      <c r="C48"/>
      <c r="D48"/>
      <c r="E48"/>
      <c r="F48"/>
      <c r="G48"/>
      <c r="H48"/>
      <c r="I48"/>
      <c r="J48"/>
    </row>
    <row r="49" spans="1:10" ht="15">
      <c r="A49"/>
      <c r="B49"/>
      <c r="C49"/>
      <c r="D49"/>
      <c r="E49"/>
      <c r="F49"/>
      <c r="G49"/>
      <c r="H49"/>
      <c r="I49"/>
      <c r="J49"/>
    </row>
    <row r="50" spans="1:10" ht="15">
      <c r="A50"/>
      <c r="B50"/>
      <c r="C50"/>
      <c r="D50"/>
      <c r="E50"/>
      <c r="F50"/>
      <c r="G50"/>
      <c r="H50"/>
      <c r="I50"/>
      <c r="J50"/>
    </row>
    <row r="51" spans="1:10" ht="15">
      <c r="A51"/>
      <c r="B51"/>
      <c r="C51"/>
      <c r="D51"/>
      <c r="E51"/>
      <c r="F51"/>
      <c r="G51"/>
      <c r="H51"/>
      <c r="I51"/>
      <c r="J51"/>
    </row>
    <row r="52" spans="1:10" ht="15">
      <c r="A52"/>
      <c r="B52"/>
      <c r="C52"/>
      <c r="D52"/>
      <c r="E52"/>
      <c r="F52"/>
      <c r="G52"/>
      <c r="H52"/>
      <c r="I52"/>
      <c r="J52"/>
    </row>
    <row r="53" spans="1:10" ht="15">
      <c r="A53"/>
      <c r="B53"/>
      <c r="C53"/>
      <c r="D53"/>
      <c r="E53"/>
      <c r="F53"/>
      <c r="G53"/>
      <c r="H53"/>
      <c r="I53"/>
      <c r="J53"/>
    </row>
    <row r="54" spans="1:10" ht="15">
      <c r="A54"/>
      <c r="B54"/>
      <c r="C54"/>
      <c r="D54"/>
      <c r="E54"/>
      <c r="F54"/>
      <c r="G54"/>
      <c r="H54"/>
      <c r="I54"/>
      <c r="J54"/>
    </row>
    <row r="55" spans="1:10" ht="15">
      <c r="A55"/>
      <c r="B55"/>
      <c r="C55"/>
      <c r="D55"/>
      <c r="E55"/>
      <c r="F55"/>
      <c r="G55"/>
      <c r="H55"/>
      <c r="I55"/>
      <c r="J55"/>
    </row>
    <row r="56" spans="1:10" ht="15">
      <c r="A56"/>
      <c r="B56"/>
      <c r="C56"/>
      <c r="D56"/>
      <c r="E56"/>
      <c r="F56"/>
      <c r="G56"/>
      <c r="H56"/>
      <c r="I56"/>
      <c r="J56"/>
    </row>
    <row r="57" spans="1:10" ht="15">
      <c r="A57"/>
      <c r="B57"/>
      <c r="C57"/>
      <c r="D57"/>
      <c r="E57"/>
      <c r="F57"/>
      <c r="G57"/>
      <c r="H57"/>
      <c r="I57"/>
      <c r="J57"/>
    </row>
    <row r="58" spans="1:10" ht="15">
      <c r="A58"/>
      <c r="B58"/>
      <c r="C58"/>
      <c r="D58"/>
      <c r="E58"/>
      <c r="F58"/>
      <c r="G58"/>
      <c r="H58"/>
      <c r="I58"/>
      <c r="J58"/>
    </row>
    <row r="59" spans="1:10" ht="15">
      <c r="A59"/>
      <c r="B59"/>
      <c r="C59"/>
      <c r="D59"/>
      <c r="E59"/>
      <c r="F59"/>
      <c r="G59"/>
      <c r="H59"/>
      <c r="I59"/>
      <c r="J59"/>
    </row>
    <row r="60" spans="1:10" ht="15">
      <c r="A60"/>
      <c r="B60"/>
      <c r="C60"/>
      <c r="D60"/>
      <c r="E60"/>
      <c r="F60"/>
      <c r="G60"/>
      <c r="H60"/>
      <c r="I60"/>
      <c r="J60"/>
    </row>
    <row r="61" spans="1:10" ht="15">
      <c r="A61"/>
      <c r="B61"/>
      <c r="C61"/>
      <c r="D61"/>
      <c r="E61"/>
      <c r="F61"/>
      <c r="G61"/>
      <c r="H61"/>
      <c r="I61"/>
      <c r="J61"/>
    </row>
    <row r="62" spans="1:10" ht="15">
      <c r="A62"/>
      <c r="B62"/>
      <c r="C62"/>
      <c r="D62"/>
      <c r="E62"/>
      <c r="F62"/>
      <c r="G62"/>
      <c r="H62"/>
      <c r="I62"/>
      <c r="J62"/>
    </row>
    <row r="63" spans="1:10" ht="15">
      <c r="A63"/>
      <c r="B63"/>
      <c r="C63"/>
      <c r="D63"/>
      <c r="E63"/>
      <c r="F63"/>
      <c r="G63"/>
      <c r="H63"/>
      <c r="I63"/>
      <c r="J63"/>
    </row>
    <row r="64" spans="1:10" ht="15">
      <c r="A64"/>
      <c r="B64"/>
      <c r="C64"/>
      <c r="D64"/>
      <c r="E64"/>
      <c r="F64"/>
      <c r="G64"/>
      <c r="H64"/>
      <c r="I64"/>
      <c r="J64"/>
    </row>
    <row r="65" spans="1:10" ht="15">
      <c r="A65"/>
      <c r="B65"/>
      <c r="C65"/>
      <c r="D65"/>
      <c r="E65"/>
      <c r="F65"/>
      <c r="G65"/>
      <c r="H65"/>
      <c r="I65"/>
      <c r="J65"/>
    </row>
    <row r="66" spans="1:10" ht="15">
      <c r="A66"/>
      <c r="B66"/>
      <c r="C66"/>
      <c r="D66"/>
      <c r="E66"/>
      <c r="F66"/>
      <c r="G66"/>
      <c r="H66"/>
      <c r="I66"/>
      <c r="J66"/>
    </row>
    <row r="67" spans="1:10" ht="15">
      <c r="A67"/>
      <c r="B67"/>
      <c r="C67"/>
      <c r="D67"/>
      <c r="E67"/>
      <c r="F67"/>
      <c r="G67"/>
      <c r="H67"/>
      <c r="I67"/>
      <c r="J67"/>
    </row>
    <row r="68" spans="1:10" ht="15">
      <c r="A68"/>
      <c r="B68"/>
      <c r="C68"/>
      <c r="D68"/>
      <c r="E68"/>
      <c r="F68"/>
      <c r="G68"/>
      <c r="H68"/>
      <c r="I68"/>
      <c r="J68"/>
    </row>
    <row r="69" spans="1:10" ht="15">
      <c r="A69"/>
      <c r="B69"/>
      <c r="C69"/>
      <c r="D69"/>
      <c r="E69"/>
      <c r="F69"/>
      <c r="G69"/>
      <c r="H69"/>
      <c r="I69"/>
      <c r="J69"/>
    </row>
    <row r="70" spans="1:10" ht="15">
      <c r="A70"/>
      <c r="B70"/>
      <c r="C70"/>
      <c r="D70"/>
      <c r="E70"/>
      <c r="F70"/>
      <c r="G70"/>
      <c r="H70"/>
      <c r="I70"/>
      <c r="J70"/>
    </row>
    <row r="71" spans="1:10" ht="15">
      <c r="A71"/>
      <c r="B71"/>
      <c r="C71"/>
      <c r="D71"/>
      <c r="E71"/>
      <c r="F71"/>
      <c r="G71"/>
      <c r="H71"/>
      <c r="I71"/>
      <c r="J71"/>
    </row>
    <row r="72" spans="1:10" ht="15">
      <c r="A72"/>
      <c r="B72"/>
      <c r="C72"/>
      <c r="D72"/>
      <c r="E72"/>
      <c r="F72"/>
      <c r="G72"/>
      <c r="H72"/>
      <c r="I72"/>
      <c r="J72"/>
    </row>
    <row r="73" spans="1:10" ht="15">
      <c r="A73"/>
      <c r="B73"/>
      <c r="C73"/>
      <c r="D73"/>
      <c r="E73"/>
      <c r="F73"/>
      <c r="G73"/>
      <c r="H73"/>
      <c r="I73"/>
      <c r="J73"/>
    </row>
    <row r="74" spans="1:10" ht="15">
      <c r="A74"/>
      <c r="B74"/>
      <c r="C74"/>
      <c r="D74"/>
      <c r="E74"/>
      <c r="F74"/>
      <c r="G74"/>
      <c r="H74"/>
      <c r="I74"/>
      <c r="J74"/>
    </row>
    <row r="75" spans="1:10" ht="15">
      <c r="A75"/>
      <c r="B75"/>
      <c r="C75"/>
      <c r="D75"/>
      <c r="E75"/>
      <c r="F75"/>
      <c r="G75"/>
      <c r="H75"/>
      <c r="I75"/>
      <c r="J75"/>
    </row>
    <row r="76" spans="1:10" ht="15">
      <c r="A76"/>
      <c r="B76"/>
      <c r="C76"/>
      <c r="D76"/>
      <c r="E76"/>
      <c r="F76"/>
      <c r="G76"/>
      <c r="H76"/>
      <c r="I76"/>
      <c r="J76"/>
    </row>
    <row r="77" spans="1:10" ht="15">
      <c r="A77"/>
      <c r="B77"/>
      <c r="C77"/>
      <c r="D77"/>
      <c r="E77"/>
      <c r="F77"/>
      <c r="G77"/>
      <c r="H77"/>
      <c r="I77"/>
      <c r="J77"/>
    </row>
    <row r="78" spans="1:10" ht="15">
      <c r="A78"/>
      <c r="B78"/>
      <c r="C78"/>
      <c r="D78"/>
      <c r="E78"/>
      <c r="F78"/>
      <c r="G78"/>
      <c r="H78"/>
      <c r="I78"/>
      <c r="J78"/>
    </row>
    <row r="79" spans="1:10" ht="15">
      <c r="A79"/>
      <c r="B79"/>
      <c r="C79"/>
      <c r="D79"/>
      <c r="E79"/>
      <c r="F79"/>
      <c r="G79"/>
      <c r="H79"/>
      <c r="I79"/>
      <c r="J79"/>
    </row>
    <row r="80" spans="1:10" ht="15">
      <c r="A80"/>
      <c r="B80"/>
      <c r="C80"/>
      <c r="D80"/>
      <c r="E80"/>
      <c r="F80"/>
      <c r="G80"/>
      <c r="H80"/>
      <c r="I80"/>
      <c r="J80"/>
    </row>
    <row r="81" spans="1:10" ht="15">
      <c r="A81"/>
      <c r="B81"/>
      <c r="C81"/>
      <c r="D81"/>
      <c r="E81"/>
      <c r="F81"/>
      <c r="G81"/>
      <c r="H81"/>
      <c r="I81"/>
      <c r="J81"/>
    </row>
    <row r="82" spans="1:10" ht="15">
      <c r="A82"/>
      <c r="B82"/>
      <c r="C82"/>
      <c r="D82"/>
      <c r="E82"/>
      <c r="F82"/>
      <c r="G82"/>
      <c r="H82"/>
      <c r="I82"/>
      <c r="J82"/>
    </row>
    <row r="83" spans="1:10" ht="15">
      <c r="A83"/>
      <c r="B83"/>
      <c r="C83"/>
      <c r="D83"/>
      <c r="E83"/>
      <c r="F83"/>
      <c r="G83"/>
      <c r="H83"/>
      <c r="I83"/>
      <c r="J83"/>
    </row>
    <row r="84" spans="1:10" ht="15">
      <c r="A84"/>
      <c r="B84"/>
      <c r="C84"/>
      <c r="D84"/>
      <c r="E84"/>
      <c r="F84"/>
      <c r="G84"/>
      <c r="H84"/>
      <c r="I84"/>
      <c r="J84"/>
    </row>
    <row r="85" spans="1:10" ht="15">
      <c r="A85"/>
      <c r="B85"/>
      <c r="C85"/>
      <c r="D85"/>
      <c r="E85"/>
      <c r="F85"/>
      <c r="G85"/>
      <c r="H85"/>
      <c r="I85"/>
      <c r="J85"/>
    </row>
    <row r="86" spans="1:10" ht="15">
      <c r="A86"/>
      <c r="B86"/>
      <c r="C86"/>
      <c r="D86"/>
      <c r="E86"/>
      <c r="F86"/>
      <c r="G86"/>
      <c r="H86"/>
      <c r="I86"/>
      <c r="J86"/>
    </row>
    <row r="87" spans="1:10" ht="15">
      <c r="A87"/>
      <c r="B87"/>
      <c r="C87"/>
      <c r="D87"/>
      <c r="E87"/>
      <c r="F87"/>
      <c r="G87"/>
      <c r="H87"/>
      <c r="I87"/>
      <c r="J87"/>
    </row>
    <row r="88" spans="1:10" ht="15">
      <c r="A88"/>
      <c r="B88"/>
      <c r="C88"/>
      <c r="D88"/>
      <c r="E88"/>
      <c r="F88"/>
      <c r="G88"/>
      <c r="H88"/>
      <c r="I88"/>
      <c r="J88"/>
    </row>
    <row r="89" spans="1:10" ht="15">
      <c r="A89"/>
      <c r="B89"/>
      <c r="C89"/>
      <c r="D89"/>
      <c r="E89"/>
      <c r="F89"/>
      <c r="G89"/>
      <c r="H89"/>
      <c r="I89"/>
      <c r="J89"/>
    </row>
    <row r="90" spans="1:10" ht="15">
      <c r="A90"/>
      <c r="B90"/>
      <c r="C90"/>
      <c r="D90"/>
      <c r="E90"/>
      <c r="F90"/>
      <c r="G90"/>
      <c r="H90"/>
      <c r="I90"/>
      <c r="J90"/>
    </row>
  </sheetData>
  <mergeCells count="7">
    <mergeCell ref="B12:H12"/>
    <mergeCell ref="B6:H6"/>
    <mergeCell ref="B7:H7"/>
    <mergeCell ref="B8:H8"/>
    <mergeCell ref="B9:H9"/>
    <mergeCell ref="B10:H10"/>
    <mergeCell ref="B11:H11"/>
  </mergeCells>
  <phoneticPr fontId="29"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1" t="s">
        <v>2</v>
      </c>
      <c r="B4" s="111" t="s">
        <v>3</v>
      </c>
      <c r="C4" s="111" t="s">
        <v>4</v>
      </c>
      <c r="D4" s="111" t="s">
        <v>5</v>
      </c>
    </row>
    <row r="5" spans="1:4" ht="30" customHeight="1">
      <c r="A5" s="114" t="s">
        <v>6</v>
      </c>
      <c r="B5" s="120" t="s">
        <v>7</v>
      </c>
      <c r="C5" s="115" t="s">
        <v>7</v>
      </c>
      <c r="D5" s="115" t="s">
        <v>8</v>
      </c>
    </row>
    <row r="6" spans="1:4" ht="30" customHeight="1">
      <c r="A6" s="114" t="s">
        <v>9</v>
      </c>
      <c r="B6" s="120" t="s">
        <v>10</v>
      </c>
      <c r="C6" s="115" t="s">
        <v>11</v>
      </c>
      <c r="D6" s="115" t="s">
        <v>12</v>
      </c>
    </row>
    <row r="7" spans="1:4" ht="30" customHeight="1">
      <c r="A7" s="114" t="s">
        <v>13</v>
      </c>
      <c r="B7" s="120" t="s">
        <v>14</v>
      </c>
      <c r="C7" s="115" t="s">
        <v>1406</v>
      </c>
      <c r="D7" s="115" t="s">
        <v>1407</v>
      </c>
    </row>
    <row r="8" spans="1:4" ht="30" customHeight="1">
      <c r="A8" s="114" t="s">
        <v>15</v>
      </c>
      <c r="B8" s="120" t="s">
        <v>16</v>
      </c>
      <c r="C8" s="115" t="s">
        <v>17</v>
      </c>
      <c r="D8" s="115" t="s">
        <v>18</v>
      </c>
    </row>
    <row r="9" spans="1:4" ht="30" customHeight="1">
      <c r="A9" s="114" t="s">
        <v>19</v>
      </c>
      <c r="B9" s="120" t="s">
        <v>20</v>
      </c>
      <c r="C9" s="115" t="s">
        <v>21</v>
      </c>
      <c r="D9" s="115" t="s">
        <v>22</v>
      </c>
    </row>
    <row r="10" spans="1:4" ht="30" customHeight="1">
      <c r="A10" s="114" t="s">
        <v>23</v>
      </c>
      <c r="B10" s="120" t="s">
        <v>24</v>
      </c>
      <c r="C10" s="115" t="s">
        <v>1545</v>
      </c>
      <c r="D10" s="115" t="s">
        <v>25</v>
      </c>
    </row>
    <row r="11" spans="1:4" ht="30" customHeight="1">
      <c r="A11" s="114" t="s">
        <v>26</v>
      </c>
      <c r="B11" s="120" t="s">
        <v>27</v>
      </c>
      <c r="C11" s="115" t="s">
        <v>28</v>
      </c>
      <c r="D11" s="115" t="s">
        <v>29</v>
      </c>
    </row>
    <row r="12" spans="1:4" ht="30" customHeight="1">
      <c r="A12" s="114" t="s">
        <v>30</v>
      </c>
      <c r="B12" s="120" t="s">
        <v>31</v>
      </c>
      <c r="C12" s="115" t="s">
        <v>31</v>
      </c>
      <c r="D12" s="115" t="s">
        <v>32</v>
      </c>
    </row>
    <row r="13" spans="1:4" ht="30" customHeight="1">
      <c r="A13" s="114" t="s">
        <v>33</v>
      </c>
      <c r="B13" s="120" t="s">
        <v>34</v>
      </c>
      <c r="C13" s="115" t="s">
        <v>1294</v>
      </c>
      <c r="D13" s="115" t="s">
        <v>1489</v>
      </c>
    </row>
    <row r="14" spans="1:4" ht="30" customHeight="1">
      <c r="A14" s="114" t="s">
        <v>35</v>
      </c>
      <c r="B14" s="120" t="s">
        <v>36</v>
      </c>
      <c r="C14" s="115" t="s">
        <v>37</v>
      </c>
      <c r="D14" s="115" t="s">
        <v>1505</v>
      </c>
    </row>
    <row r="17" spans="1:1">
      <c r="A17" s="107" t="s">
        <v>38</v>
      </c>
    </row>
    <row r="18" spans="1:1">
      <c r="A18" s="123" t="s">
        <v>39</v>
      </c>
    </row>
    <row r="19" spans="1:1">
      <c r="A19" s="123" t="s">
        <v>40</v>
      </c>
    </row>
    <row r="20" spans="1:1">
      <c r="A20" s="123" t="s">
        <v>41</v>
      </c>
    </row>
    <row r="21" spans="1:1">
      <c r="A21" s="123" t="s">
        <v>42</v>
      </c>
    </row>
    <row r="22" spans="1:1">
      <c r="A22" s="123" t="s">
        <v>43</v>
      </c>
    </row>
    <row r="24" spans="1:1">
      <c r="A24" s="107" t="s">
        <v>44</v>
      </c>
    </row>
    <row r="25" spans="1:1">
      <c r="A25" s="123" t="s">
        <v>45</v>
      </c>
    </row>
    <row r="26" spans="1:1">
      <c r="A26" s="123" t="s">
        <v>46</v>
      </c>
    </row>
    <row r="27" spans="1:1">
      <c r="A27" s="123" t="s">
        <v>47</v>
      </c>
    </row>
    <row r="29" spans="1:1">
      <c r="A29" s="107" t="s">
        <v>48</v>
      </c>
    </row>
    <row r="30" spans="1:1">
      <c r="A30" s="123" t="s">
        <v>49</v>
      </c>
    </row>
    <row r="31" spans="1:1">
      <c r="A31" s="123" t="s">
        <v>50</v>
      </c>
    </row>
    <row r="32" spans="1:1">
      <c r="A32" s="123" t="s">
        <v>51</v>
      </c>
    </row>
    <row r="33" spans="1:1">
      <c r="A33" s="123" t="s">
        <v>52</v>
      </c>
    </row>
    <row r="35" spans="1:1">
      <c r="A35" s="107" t="s">
        <v>53</v>
      </c>
    </row>
    <row r="36" spans="1:1">
      <c r="A36" s="123" t="s">
        <v>54</v>
      </c>
    </row>
    <row r="37" spans="1:1">
      <c r="A37" s="123" t="s">
        <v>55</v>
      </c>
    </row>
    <row r="38" spans="1:1">
      <c r="A38" s="123" t="s">
        <v>1426</v>
      </c>
    </row>
    <row r="39" spans="1:1">
      <c r="A39" s="123" t="s">
        <v>56</v>
      </c>
    </row>
    <row r="40" spans="1:1">
      <c r="A40" s="123" t="s">
        <v>57</v>
      </c>
    </row>
    <row r="42" spans="1:1">
      <c r="A42" s="107" t="s">
        <v>58</v>
      </c>
    </row>
    <row r="43" spans="1:1">
      <c r="A43" s="123" t="s">
        <v>59</v>
      </c>
    </row>
    <row r="44" spans="1:1">
      <c r="A44" s="123" t="s">
        <v>1546</v>
      </c>
    </row>
    <row r="45" spans="1:1">
      <c r="A45" s="123" t="s">
        <v>60</v>
      </c>
    </row>
    <row r="46" spans="1:1">
      <c r="A46" s="123" t="s">
        <v>1304</v>
      </c>
    </row>
    <row r="47" spans="1:1">
      <c r="A47" s="123" t="s">
        <v>1300</v>
      </c>
    </row>
    <row r="48" spans="1:1">
      <c r="A48" s="123" t="s">
        <v>61</v>
      </c>
    </row>
    <row r="49" spans="1:1">
      <c r="A49" s="123" t="s">
        <v>62</v>
      </c>
    </row>
    <row r="50" spans="1:1">
      <c r="A50" s="123" t="s">
        <v>63</v>
      </c>
    </row>
    <row r="52" spans="1:1">
      <c r="A52" s="107" t="s">
        <v>64</v>
      </c>
    </row>
    <row r="53" spans="1:1">
      <c r="A53" s="123" t="s">
        <v>65</v>
      </c>
    </row>
    <row r="54" spans="1:1">
      <c r="A54" s="123" t="s">
        <v>66</v>
      </c>
    </row>
    <row r="55" spans="1:1">
      <c r="A55" s="123" t="s">
        <v>1504</v>
      </c>
    </row>
    <row r="56" spans="1:1">
      <c r="A56" s="123" t="s">
        <v>67</v>
      </c>
    </row>
    <row r="58" spans="1:1">
      <c r="A58" s="107" t="s">
        <v>68</v>
      </c>
    </row>
    <row r="59" spans="1:1">
      <c r="A59" s="123" t="s">
        <v>69</v>
      </c>
    </row>
    <row r="60" spans="1:1">
      <c r="A60" s="123" t="s">
        <v>70</v>
      </c>
    </row>
    <row r="61" spans="1:1">
      <c r="A61" s="123" t="s">
        <v>71</v>
      </c>
    </row>
  </sheetData>
  <phoneticPr fontId="29" type="noConversion"/>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81"/>
  <sheetViews>
    <sheetView workbookViewId="0">
      <selection activeCell="M14" sqref="M14"/>
    </sheetView>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1127</v>
      </c>
    </row>
    <row r="2" spans="1:8">
      <c r="A2" s="119" t="s">
        <v>1128</v>
      </c>
    </row>
    <row r="3" spans="1:8">
      <c r="A3" s="119" t="s">
        <v>635</v>
      </c>
      <c r="F3" s="107">
        <f ca="1">COUNTIF($E$7:$E$98,"?")</f>
        <v>0</v>
      </c>
    </row>
    <row r="4" spans="1:8">
      <c r="A4" s="119" t="s">
        <v>1129</v>
      </c>
    </row>
    <row r="6" spans="1:8">
      <c r="A6" s="111" t="s">
        <v>1130</v>
      </c>
      <c r="B6" s="111" t="s">
        <v>638</v>
      </c>
      <c r="C6" s="111" t="s">
        <v>639</v>
      </c>
      <c r="D6" s="111" t="s">
        <v>640</v>
      </c>
      <c r="E6" s="111" t="s">
        <v>641</v>
      </c>
      <c r="F6" s="111" t="s">
        <v>642</v>
      </c>
      <c r="G6" s="111" t="s">
        <v>643</v>
      </c>
      <c r="H6" s="111" t="s">
        <v>644</v>
      </c>
    </row>
    <row r="7" spans="1:8" ht="51">
      <c r="A7" s="114" t="s">
        <v>1131</v>
      </c>
      <c r="B7" s="115" t="s">
        <v>86</v>
      </c>
      <c r="C7" s="114" t="s">
        <v>345</v>
      </c>
      <c r="D7" s="114">
        <v>0.5</v>
      </c>
      <c r="E7" s="114">
        <f t="shared" ref="E7:E44" ca="1" si="0">IFERROR(INDEX(INDIRECT("'"&amp;$A7&amp;"'!$E$1:$E$60"),MATCH($B7,INDIRECT("'"&amp;$A7&amp;"'!$B$1:$B$60"),0)),"?")</f>
        <v>4</v>
      </c>
      <c r="F7" s="114">
        <f t="shared" ref="F7:F43" ca="1" si="1">IF(ISNUMBER(E7),$D7*E7,0)</f>
        <v>2</v>
      </c>
      <c r="G7" s="114" t="s">
        <v>659</v>
      </c>
      <c r="H7" s="115" t="s">
        <v>1457</v>
      </c>
    </row>
    <row r="8" spans="1:8">
      <c r="A8" s="114" t="s">
        <v>1131</v>
      </c>
      <c r="B8" s="115" t="s">
        <v>517</v>
      </c>
      <c r="C8" s="114" t="s">
        <v>345</v>
      </c>
      <c r="D8" s="114">
        <v>0.5</v>
      </c>
      <c r="E8" s="114">
        <f t="shared" ca="1" si="0"/>
        <v>3</v>
      </c>
      <c r="F8" s="114">
        <f t="shared" ca="1" si="1"/>
        <v>1.5</v>
      </c>
      <c r="G8" s="114" t="s">
        <v>659</v>
      </c>
      <c r="H8" s="115" t="s">
        <v>1132</v>
      </c>
    </row>
    <row r="9" spans="1:8">
      <c r="A9" s="114" t="s">
        <v>1131</v>
      </c>
      <c r="B9" s="115" t="s">
        <v>343</v>
      </c>
      <c r="C9" s="114" t="s">
        <v>345</v>
      </c>
      <c r="D9" s="114">
        <v>0.5</v>
      </c>
      <c r="E9" s="114">
        <f t="shared" ca="1" si="0"/>
        <v>3</v>
      </c>
      <c r="F9" s="114">
        <f t="shared" ca="1" si="1"/>
        <v>1.5</v>
      </c>
      <c r="G9" s="114" t="s">
        <v>659</v>
      </c>
      <c r="H9" s="115" t="s">
        <v>1133</v>
      </c>
    </row>
    <row r="10" spans="1:8" ht="51">
      <c r="A10" s="114" t="s">
        <v>1134</v>
      </c>
      <c r="B10" s="115" t="s">
        <v>508</v>
      </c>
      <c r="C10" s="114" t="s">
        <v>345</v>
      </c>
      <c r="D10" s="114">
        <v>0.2</v>
      </c>
      <c r="E10" s="114">
        <f t="shared" ca="1" si="0"/>
        <v>4</v>
      </c>
      <c r="F10" s="114">
        <f t="shared" ca="1" si="1"/>
        <v>0.8</v>
      </c>
      <c r="G10" s="114" t="s">
        <v>659</v>
      </c>
      <c r="H10" s="115" t="s">
        <v>1559</v>
      </c>
    </row>
    <row r="11" spans="1:8" ht="63.75">
      <c r="A11" s="114" t="s">
        <v>1135</v>
      </c>
      <c r="B11" s="115" t="s">
        <v>1441</v>
      </c>
      <c r="C11" s="114" t="s">
        <v>345</v>
      </c>
      <c r="D11" s="114">
        <v>0.2</v>
      </c>
      <c r="E11" s="114">
        <f t="shared" ca="1" si="0"/>
        <v>3</v>
      </c>
      <c r="F11" s="114">
        <f t="shared" ca="1" si="1"/>
        <v>0.60000000000000009</v>
      </c>
      <c r="G11" s="114" t="s">
        <v>659</v>
      </c>
      <c r="H11" s="115" t="s">
        <v>1563</v>
      </c>
    </row>
    <row r="12" spans="1:8" ht="25.5">
      <c r="A12" s="114" t="s">
        <v>1136</v>
      </c>
      <c r="B12" s="115" t="s">
        <v>266</v>
      </c>
      <c r="C12" s="114" t="s">
        <v>269</v>
      </c>
      <c r="D12" s="114">
        <v>0.5</v>
      </c>
      <c r="E12" s="114">
        <f t="shared" ca="1" si="0"/>
        <v>4</v>
      </c>
      <c r="F12" s="114">
        <f t="shared" ca="1" si="1"/>
        <v>2</v>
      </c>
      <c r="G12" s="114" t="s">
        <v>659</v>
      </c>
      <c r="H12" s="115" t="s">
        <v>1137</v>
      </c>
    </row>
    <row r="13" spans="1:8" ht="25.5">
      <c r="A13" s="114" t="s">
        <v>1136</v>
      </c>
      <c r="B13" s="115" t="s">
        <v>1103</v>
      </c>
      <c r="C13" s="114" t="s">
        <v>269</v>
      </c>
      <c r="D13" s="114">
        <v>0.5</v>
      </c>
      <c r="E13" s="114">
        <f t="shared" ca="1" si="0"/>
        <v>3</v>
      </c>
      <c r="F13" s="114">
        <f t="shared" ca="1" si="1"/>
        <v>1.5</v>
      </c>
      <c r="G13" s="114" t="s">
        <v>659</v>
      </c>
      <c r="H13" s="115" t="s">
        <v>1138</v>
      </c>
    </row>
    <row r="14" spans="1:8" ht="25.5">
      <c r="A14" s="114" t="s">
        <v>1136</v>
      </c>
      <c r="B14" s="115" t="s">
        <v>1101</v>
      </c>
      <c r="C14" s="114" t="s">
        <v>269</v>
      </c>
      <c r="D14" s="114">
        <v>0.2</v>
      </c>
      <c r="E14" s="114">
        <f t="shared" ca="1" si="0"/>
        <v>3</v>
      </c>
      <c r="F14" s="114">
        <f t="shared" ca="1" si="1"/>
        <v>0.60000000000000009</v>
      </c>
      <c r="G14" s="114" t="s">
        <v>659</v>
      </c>
      <c r="H14" s="115" t="s">
        <v>1139</v>
      </c>
    </row>
    <row r="15" spans="1:8" ht="25.5">
      <c r="A15" s="114" t="s">
        <v>1140</v>
      </c>
      <c r="B15" s="115" t="s">
        <v>472</v>
      </c>
      <c r="C15" s="114" t="s">
        <v>269</v>
      </c>
      <c r="D15" s="114">
        <v>0.33</v>
      </c>
      <c r="E15" s="114">
        <f t="shared" ca="1" si="0"/>
        <v>4</v>
      </c>
      <c r="F15" s="114">
        <f t="shared" ca="1" si="1"/>
        <v>1.32</v>
      </c>
      <c r="G15" s="114" t="s">
        <v>659</v>
      </c>
      <c r="H15" s="115" t="s">
        <v>1141</v>
      </c>
    </row>
    <row r="16" spans="1:8" ht="51">
      <c r="A16" s="114" t="s">
        <v>1140</v>
      </c>
      <c r="B16" s="115" t="s">
        <v>1251</v>
      </c>
      <c r="C16" s="114" t="s">
        <v>269</v>
      </c>
      <c r="D16" s="114">
        <v>0.33</v>
      </c>
      <c r="E16" s="114">
        <f t="shared" ca="1" si="0"/>
        <v>2</v>
      </c>
      <c r="F16" s="114">
        <f t="shared" ref="F16" ca="1" si="2">IF(ISNUMBER(E16),$D16*E16,0)</f>
        <v>0.66</v>
      </c>
      <c r="G16" s="114" t="s">
        <v>659</v>
      </c>
      <c r="H16" s="115" t="s">
        <v>1257</v>
      </c>
    </row>
    <row r="17" spans="1:8" ht="25.5">
      <c r="A17" s="114" t="s">
        <v>1140</v>
      </c>
      <c r="B17" s="115" t="s">
        <v>1497</v>
      </c>
      <c r="C17" s="114" t="s">
        <v>269</v>
      </c>
      <c r="D17" s="114">
        <v>0.2</v>
      </c>
      <c r="E17" s="114">
        <f t="shared" ca="1" si="0"/>
        <v>3</v>
      </c>
      <c r="F17" s="114">
        <f t="shared" ca="1" si="1"/>
        <v>0.60000000000000009</v>
      </c>
      <c r="G17" s="114" t="s">
        <v>659</v>
      </c>
      <c r="H17" s="115" t="s">
        <v>1142</v>
      </c>
    </row>
    <row r="18" spans="1:8" ht="38.25">
      <c r="A18" s="114" t="s">
        <v>1140</v>
      </c>
      <c r="B18" s="115" t="s">
        <v>465</v>
      </c>
      <c r="C18" s="114" t="s">
        <v>269</v>
      </c>
      <c r="D18" s="114">
        <v>0.2</v>
      </c>
      <c r="E18" s="114">
        <f t="shared" ca="1" si="0"/>
        <v>4</v>
      </c>
      <c r="F18" s="114">
        <f t="shared" ca="1" si="1"/>
        <v>0.8</v>
      </c>
      <c r="G18" s="114" t="s">
        <v>659</v>
      </c>
      <c r="H18" s="115" t="s">
        <v>1143</v>
      </c>
    </row>
    <row r="19" spans="1:8" ht="25.5">
      <c r="A19" s="114" t="s">
        <v>1144</v>
      </c>
      <c r="B19" s="115" t="s">
        <v>439</v>
      </c>
      <c r="C19" s="114" t="s">
        <v>269</v>
      </c>
      <c r="D19" s="114">
        <v>0.2</v>
      </c>
      <c r="E19" s="114">
        <f t="shared" ca="1" si="0"/>
        <v>3</v>
      </c>
      <c r="F19" s="114">
        <f t="shared" ca="1" si="1"/>
        <v>0.60000000000000009</v>
      </c>
      <c r="G19" s="114" t="s">
        <v>659</v>
      </c>
      <c r="H19" s="115" t="s">
        <v>1145</v>
      </c>
    </row>
    <row r="20" spans="1:8" ht="38.25">
      <c r="A20" s="114" t="s">
        <v>1144</v>
      </c>
      <c r="B20" s="115" t="s">
        <v>1399</v>
      </c>
      <c r="C20" s="114" t="s">
        <v>295</v>
      </c>
      <c r="D20" s="114">
        <v>0.5</v>
      </c>
      <c r="E20" s="114">
        <f t="shared" ca="1" si="0"/>
        <v>3</v>
      </c>
      <c r="F20" s="114">
        <f t="shared" ca="1" si="1"/>
        <v>1.5</v>
      </c>
      <c r="G20" s="114" t="s">
        <v>659</v>
      </c>
      <c r="H20" s="115" t="s">
        <v>1402</v>
      </c>
    </row>
    <row r="21" spans="1:8" ht="25.5">
      <c r="A21" s="114" t="s">
        <v>1131</v>
      </c>
      <c r="B21" s="115" t="s">
        <v>86</v>
      </c>
      <c r="C21" s="114" t="s">
        <v>429</v>
      </c>
      <c r="D21" s="114">
        <v>0.33</v>
      </c>
      <c r="E21" s="114">
        <f t="shared" ca="1" si="0"/>
        <v>4</v>
      </c>
      <c r="F21" s="114">
        <f t="shared" ca="1" si="1"/>
        <v>1.32</v>
      </c>
      <c r="G21" s="114" t="s">
        <v>659</v>
      </c>
      <c r="H21" s="115" t="s">
        <v>1146</v>
      </c>
    </row>
    <row r="22" spans="1:8">
      <c r="A22" s="114" t="s">
        <v>1131</v>
      </c>
      <c r="B22" s="115" t="s">
        <v>517</v>
      </c>
      <c r="C22" s="114" t="s">
        <v>429</v>
      </c>
      <c r="D22" s="114">
        <v>0.5</v>
      </c>
      <c r="E22" s="114">
        <f t="shared" ca="1" si="0"/>
        <v>3</v>
      </c>
      <c r="F22" s="114">
        <f t="shared" ca="1" si="1"/>
        <v>1.5</v>
      </c>
      <c r="G22" s="114" t="s">
        <v>659</v>
      </c>
      <c r="H22" s="115" t="s">
        <v>1147</v>
      </c>
    </row>
    <row r="23" spans="1:8">
      <c r="A23" s="114" t="s">
        <v>1131</v>
      </c>
      <c r="B23" s="115" t="s">
        <v>343</v>
      </c>
      <c r="C23" s="114" t="s">
        <v>429</v>
      </c>
      <c r="D23" s="114">
        <v>0.2</v>
      </c>
      <c r="E23" s="114">
        <f t="shared" ca="1" si="0"/>
        <v>3</v>
      </c>
      <c r="F23" s="114">
        <f t="shared" ca="1" si="1"/>
        <v>0.60000000000000009</v>
      </c>
      <c r="G23" s="114" t="s">
        <v>659</v>
      </c>
      <c r="H23" s="115" t="s">
        <v>1148</v>
      </c>
    </row>
    <row r="24" spans="1:8">
      <c r="A24" s="114" t="s">
        <v>1131</v>
      </c>
      <c r="B24" s="115" t="s">
        <v>586</v>
      </c>
      <c r="C24" s="114" t="s">
        <v>429</v>
      </c>
      <c r="D24" s="114">
        <v>0.2</v>
      </c>
      <c r="E24" s="114">
        <f t="shared" ca="1" si="0"/>
        <v>3</v>
      </c>
      <c r="F24" s="114">
        <f t="shared" ca="1" si="1"/>
        <v>0.60000000000000009</v>
      </c>
      <c r="G24" s="114" t="s">
        <v>659</v>
      </c>
      <c r="H24" s="115" t="s">
        <v>1149</v>
      </c>
    </row>
    <row r="25" spans="1:8">
      <c r="A25" s="114" t="s">
        <v>1136</v>
      </c>
      <c r="B25" s="115" t="s">
        <v>427</v>
      </c>
      <c r="C25" s="114" t="s">
        <v>429</v>
      </c>
      <c r="D25" s="114">
        <v>0.2</v>
      </c>
      <c r="E25" s="114">
        <f t="shared" ca="1" si="0"/>
        <v>4</v>
      </c>
      <c r="F25" s="114">
        <f t="shared" ca="1" si="1"/>
        <v>0.8</v>
      </c>
      <c r="G25" s="114" t="s">
        <v>659</v>
      </c>
      <c r="H25" s="115" t="s">
        <v>1150</v>
      </c>
    </row>
    <row r="26" spans="1:8" ht="25.5">
      <c r="A26" s="114" t="s">
        <v>1136</v>
      </c>
      <c r="B26" s="115" t="s">
        <v>1597</v>
      </c>
      <c r="C26" s="114" t="s">
        <v>429</v>
      </c>
      <c r="D26" s="114">
        <v>0.5</v>
      </c>
      <c r="E26" s="114">
        <f t="shared" ca="1" si="0"/>
        <v>3</v>
      </c>
      <c r="F26" s="114">
        <f t="shared" ca="1" si="1"/>
        <v>1.5</v>
      </c>
      <c r="G26" s="114" t="s">
        <v>659</v>
      </c>
      <c r="H26" s="115" t="s">
        <v>1151</v>
      </c>
    </row>
    <row r="27" spans="1:8" ht="25.5">
      <c r="A27" s="114" t="s">
        <v>1136</v>
      </c>
      <c r="B27" s="115" t="s">
        <v>1597</v>
      </c>
      <c r="C27" s="114" t="s">
        <v>345</v>
      </c>
      <c r="D27" s="114">
        <v>0.5</v>
      </c>
      <c r="E27" s="114">
        <f t="shared" ca="1" si="0"/>
        <v>3</v>
      </c>
      <c r="F27" s="114">
        <f t="shared" ca="1" si="1"/>
        <v>1.5</v>
      </c>
      <c r="G27" s="114" t="s">
        <v>659</v>
      </c>
      <c r="H27" s="115" t="s">
        <v>1152</v>
      </c>
    </row>
    <row r="28" spans="1:8" ht="25.5">
      <c r="A28" s="114" t="s">
        <v>1136</v>
      </c>
      <c r="B28" s="115" t="s">
        <v>288</v>
      </c>
      <c r="C28" s="114" t="s">
        <v>358</v>
      </c>
      <c r="D28" s="114">
        <v>0.5</v>
      </c>
      <c r="E28" s="114">
        <f t="shared" ca="1" si="0"/>
        <v>3</v>
      </c>
      <c r="F28" s="114">
        <f t="shared" ca="1" si="1"/>
        <v>1.5</v>
      </c>
      <c r="G28" s="114" t="s">
        <v>659</v>
      </c>
      <c r="H28" s="115" t="s">
        <v>1153</v>
      </c>
    </row>
    <row r="29" spans="1:8" ht="51">
      <c r="A29" s="114" t="s">
        <v>1317</v>
      </c>
      <c r="B29" s="115" t="s">
        <v>1497</v>
      </c>
      <c r="C29" s="114" t="s">
        <v>358</v>
      </c>
      <c r="D29" s="114">
        <v>0.33</v>
      </c>
      <c r="E29" s="114">
        <f t="shared" ca="1" si="0"/>
        <v>3</v>
      </c>
      <c r="F29" s="114">
        <f t="shared" ref="F29:F30" ca="1" si="3">IF(ISNUMBER(E29),$D29*E29,0)</f>
        <v>0.99</v>
      </c>
      <c r="G29" s="114" t="s">
        <v>659</v>
      </c>
      <c r="H29" s="115" t="s">
        <v>1318</v>
      </c>
    </row>
    <row r="30" spans="1:8" ht="25.5">
      <c r="A30" s="114" t="s">
        <v>1317</v>
      </c>
      <c r="B30" s="115" t="s">
        <v>1319</v>
      </c>
      <c r="C30" s="114" t="s">
        <v>358</v>
      </c>
      <c r="D30" s="114">
        <v>0.33</v>
      </c>
      <c r="E30" s="114">
        <f t="shared" ca="1" si="0"/>
        <v>4</v>
      </c>
      <c r="F30" s="114">
        <f t="shared" ca="1" si="3"/>
        <v>1.32</v>
      </c>
      <c r="G30" s="114" t="s">
        <v>659</v>
      </c>
      <c r="H30" s="115" t="s">
        <v>1502</v>
      </c>
    </row>
    <row r="31" spans="1:8" ht="51">
      <c r="A31" s="114" t="s">
        <v>1135</v>
      </c>
      <c r="B31" s="115" t="s">
        <v>1441</v>
      </c>
      <c r="C31" s="114" t="s">
        <v>354</v>
      </c>
      <c r="D31" s="114">
        <v>0.5</v>
      </c>
      <c r="E31" s="114">
        <f t="shared" ca="1" si="0"/>
        <v>3</v>
      </c>
      <c r="F31" s="114">
        <f t="shared" ca="1" si="1"/>
        <v>1.5</v>
      </c>
      <c r="G31" s="114" t="s">
        <v>659</v>
      </c>
      <c r="H31" s="115" t="s">
        <v>1548</v>
      </c>
    </row>
    <row r="32" spans="1:8" ht="38.25">
      <c r="A32" s="114" t="s">
        <v>1134</v>
      </c>
      <c r="B32" s="115" t="s">
        <v>508</v>
      </c>
      <c r="C32" s="114" t="s">
        <v>354</v>
      </c>
      <c r="D32" s="114">
        <v>0.33</v>
      </c>
      <c r="E32" s="114">
        <f t="shared" ca="1" si="0"/>
        <v>4</v>
      </c>
      <c r="F32" s="114">
        <f t="shared" ca="1" si="1"/>
        <v>1.32</v>
      </c>
      <c r="G32" s="114" t="s">
        <v>659</v>
      </c>
      <c r="H32" s="115" t="s">
        <v>1154</v>
      </c>
    </row>
    <row r="33" spans="1:8" ht="38.25">
      <c r="A33" s="114" t="s">
        <v>1134</v>
      </c>
      <c r="B33" s="115" t="s">
        <v>1388</v>
      </c>
      <c r="C33" s="114" t="s">
        <v>407</v>
      </c>
      <c r="D33" s="114">
        <v>0.33</v>
      </c>
      <c r="E33" s="114">
        <f t="shared" ca="1" si="0"/>
        <v>3</v>
      </c>
      <c r="F33" s="114">
        <f t="shared" ca="1" si="1"/>
        <v>0.99</v>
      </c>
      <c r="G33" s="114" t="s">
        <v>659</v>
      </c>
      <c r="H33" s="115" t="s">
        <v>1391</v>
      </c>
    </row>
    <row r="34" spans="1:8" ht="25.5">
      <c r="A34" s="114" t="s">
        <v>1135</v>
      </c>
      <c r="B34" s="115" t="s">
        <v>1069</v>
      </c>
      <c r="C34" s="114" t="s">
        <v>369</v>
      </c>
      <c r="D34" s="114">
        <v>0.33</v>
      </c>
      <c r="E34" s="114">
        <f t="shared" ca="1" si="0"/>
        <v>4</v>
      </c>
      <c r="F34" s="114">
        <f t="shared" ca="1" si="1"/>
        <v>1.32</v>
      </c>
      <c r="G34" s="114" t="s">
        <v>659</v>
      </c>
      <c r="H34" s="115" t="s">
        <v>1155</v>
      </c>
    </row>
    <row r="35" spans="1:8" ht="25.5">
      <c r="A35" s="114" t="s">
        <v>1140</v>
      </c>
      <c r="B35" s="115" t="s">
        <v>1497</v>
      </c>
      <c r="C35" s="114" t="s">
        <v>267</v>
      </c>
      <c r="D35" s="114">
        <v>0.5</v>
      </c>
      <c r="E35" s="114">
        <f t="shared" ca="1" si="0"/>
        <v>3</v>
      </c>
      <c r="F35" s="114">
        <f t="shared" ca="1" si="1"/>
        <v>1.5</v>
      </c>
      <c r="G35" s="114" t="s">
        <v>659</v>
      </c>
      <c r="H35" s="115" t="s">
        <v>1156</v>
      </c>
    </row>
    <row r="36" spans="1:8" ht="25.5">
      <c r="A36" s="114" t="s">
        <v>1140</v>
      </c>
      <c r="B36" s="115" t="s">
        <v>465</v>
      </c>
      <c r="C36" s="114" t="s">
        <v>267</v>
      </c>
      <c r="D36" s="114">
        <v>0.5</v>
      </c>
      <c r="E36" s="114">
        <f t="shared" ca="1" si="0"/>
        <v>4</v>
      </c>
      <c r="F36" s="114">
        <f t="shared" ca="1" si="1"/>
        <v>2</v>
      </c>
      <c r="G36" s="114" t="s">
        <v>659</v>
      </c>
      <c r="H36" s="115" t="s">
        <v>1156</v>
      </c>
    </row>
    <row r="37" spans="1:8" ht="38.25">
      <c r="A37" s="114" t="s">
        <v>1135</v>
      </c>
      <c r="B37" s="115" t="s">
        <v>84</v>
      </c>
      <c r="C37" s="114" t="s">
        <v>267</v>
      </c>
      <c r="D37" s="114">
        <v>0</v>
      </c>
      <c r="E37" s="114">
        <f t="shared" ca="1" si="0"/>
        <v>1</v>
      </c>
      <c r="F37" s="114">
        <f t="shared" ca="1" si="1"/>
        <v>0</v>
      </c>
      <c r="G37" s="114" t="s">
        <v>659</v>
      </c>
      <c r="H37" s="115" t="s">
        <v>1316</v>
      </c>
    </row>
    <row r="38" spans="1:8">
      <c r="A38" s="114" t="s">
        <v>1135</v>
      </c>
      <c r="B38" s="115" t="s">
        <v>1441</v>
      </c>
      <c r="C38" s="114" t="s">
        <v>407</v>
      </c>
      <c r="D38" s="114">
        <v>0.2</v>
      </c>
      <c r="E38" s="114">
        <f t="shared" ca="1" si="0"/>
        <v>3</v>
      </c>
      <c r="F38" s="114">
        <f t="shared" ca="1" si="1"/>
        <v>0.60000000000000009</v>
      </c>
      <c r="G38" s="114" t="s">
        <v>659</v>
      </c>
      <c r="H38" s="115" t="s">
        <v>1157</v>
      </c>
    </row>
    <row r="39" spans="1:8">
      <c r="A39" s="114" t="s">
        <v>1140</v>
      </c>
      <c r="B39" s="115" t="s">
        <v>1497</v>
      </c>
      <c r="C39" s="114" t="s">
        <v>407</v>
      </c>
      <c r="D39" s="114">
        <v>0.2</v>
      </c>
      <c r="E39" s="114">
        <f t="shared" ca="1" si="0"/>
        <v>3</v>
      </c>
      <c r="F39" s="114">
        <f t="shared" ca="1" si="1"/>
        <v>0.60000000000000009</v>
      </c>
      <c r="G39" s="114" t="s">
        <v>659</v>
      </c>
      <c r="H39" s="115" t="s">
        <v>1158</v>
      </c>
    </row>
    <row r="40" spans="1:8" ht="25.5">
      <c r="A40" s="114" t="s">
        <v>1135</v>
      </c>
      <c r="B40" s="115" t="s">
        <v>84</v>
      </c>
      <c r="C40" s="114" t="s">
        <v>407</v>
      </c>
      <c r="D40" s="114">
        <v>0</v>
      </c>
      <c r="E40" s="114">
        <f t="shared" ca="1" si="0"/>
        <v>1</v>
      </c>
      <c r="F40" s="114">
        <f t="shared" ca="1" si="1"/>
        <v>0</v>
      </c>
      <c r="G40" s="114" t="s">
        <v>659</v>
      </c>
      <c r="H40" s="115" t="s">
        <v>1159</v>
      </c>
    </row>
    <row r="41" spans="1:8">
      <c r="A41" s="114" t="s">
        <v>1136</v>
      </c>
      <c r="B41" s="115" t="s">
        <v>266</v>
      </c>
      <c r="C41" s="114" t="s">
        <v>418</v>
      </c>
      <c r="D41" s="114">
        <v>0.2</v>
      </c>
      <c r="E41" s="114">
        <f t="shared" ca="1" si="0"/>
        <v>4</v>
      </c>
      <c r="F41" s="114">
        <f t="shared" ca="1" si="1"/>
        <v>0.8</v>
      </c>
      <c r="G41" s="114" t="s">
        <v>659</v>
      </c>
      <c r="H41" s="115" t="s">
        <v>1160</v>
      </c>
    </row>
    <row r="42" spans="1:8">
      <c r="A42" s="114" t="s">
        <v>1136</v>
      </c>
      <c r="B42" s="115" t="s">
        <v>1103</v>
      </c>
      <c r="C42" s="114" t="s">
        <v>418</v>
      </c>
      <c r="D42" s="114">
        <v>0.2</v>
      </c>
      <c r="E42" s="114">
        <f t="shared" ca="1" si="0"/>
        <v>3</v>
      </c>
      <c r="F42" s="114">
        <f t="shared" ca="1" si="1"/>
        <v>0.60000000000000009</v>
      </c>
      <c r="G42" s="114" t="s">
        <v>659</v>
      </c>
      <c r="H42" s="115" t="s">
        <v>1161</v>
      </c>
    </row>
    <row r="43" spans="1:8">
      <c r="A43" s="114" t="s">
        <v>1136</v>
      </c>
      <c r="B43" s="115" t="s">
        <v>1101</v>
      </c>
      <c r="C43" s="114" t="s">
        <v>418</v>
      </c>
      <c r="D43" s="114">
        <v>0.2</v>
      </c>
      <c r="E43" s="114">
        <f t="shared" ca="1" si="0"/>
        <v>3</v>
      </c>
      <c r="F43" s="114">
        <f t="shared" ca="1" si="1"/>
        <v>0.60000000000000009</v>
      </c>
      <c r="G43" s="114" t="s">
        <v>659</v>
      </c>
      <c r="H43" s="115" t="s">
        <v>1162</v>
      </c>
    </row>
    <row r="44" spans="1:8" ht="25.5">
      <c r="A44" s="114" t="s">
        <v>1136</v>
      </c>
      <c r="B44" s="115" t="s">
        <v>1306</v>
      </c>
      <c r="C44" s="114" t="s">
        <v>418</v>
      </c>
      <c r="D44" s="114">
        <v>0.2</v>
      </c>
      <c r="E44" s="114">
        <f t="shared" ca="1" si="0"/>
        <v>2</v>
      </c>
      <c r="F44" s="114">
        <f t="shared" ref="F44" ca="1" si="4">IF(ISNUMBER(E44),$D44*E44,0)</f>
        <v>0.4</v>
      </c>
      <c r="G44" s="114" t="s">
        <v>659</v>
      </c>
      <c r="H44" s="115" t="s">
        <v>1310</v>
      </c>
    </row>
    <row r="45" spans="1:8" ht="25.5">
      <c r="A45" s="114" t="s">
        <v>1140</v>
      </c>
      <c r="B45" s="115" t="s">
        <v>465</v>
      </c>
      <c r="C45" s="114" t="s">
        <v>418</v>
      </c>
      <c r="D45" s="114">
        <v>0.2</v>
      </c>
      <c r="E45" s="114">
        <f t="shared" ref="E45:E81" ca="1" si="5">IFERROR(INDEX(INDIRECT("'"&amp;$A45&amp;"'!$E$1:$E$60"),MATCH($B45,INDIRECT("'"&amp;$A45&amp;"'!$B$1:$B$60"),0)),"?")</f>
        <v>4</v>
      </c>
      <c r="F45" s="114">
        <f t="shared" ref="F45:F78" ca="1" si="6">IF(ISNUMBER(E45),$D45*E45,0)</f>
        <v>0.8</v>
      </c>
      <c r="G45" s="114" t="s">
        <v>659</v>
      </c>
      <c r="H45" s="115" t="s">
        <v>1163</v>
      </c>
    </row>
    <row r="46" spans="1:8" ht="38.25">
      <c r="A46" s="114" t="s">
        <v>1131</v>
      </c>
      <c r="B46" s="115" t="s">
        <v>1233</v>
      </c>
      <c r="C46" s="114" t="s">
        <v>282</v>
      </c>
      <c r="D46" s="114">
        <v>0.33</v>
      </c>
      <c r="E46" s="114">
        <f t="shared" ca="1" si="5"/>
        <v>3</v>
      </c>
      <c r="F46" s="114">
        <f t="shared" ca="1" si="6"/>
        <v>0.99</v>
      </c>
      <c r="G46" s="114" t="s">
        <v>659</v>
      </c>
      <c r="H46" s="115" t="s">
        <v>1164</v>
      </c>
    </row>
    <row r="47" spans="1:8">
      <c r="A47" s="114" t="s">
        <v>1135</v>
      </c>
      <c r="B47" s="115" t="s">
        <v>523</v>
      </c>
      <c r="C47" s="114" t="s">
        <v>282</v>
      </c>
      <c r="D47" s="114">
        <v>0.33</v>
      </c>
      <c r="E47" s="114">
        <f t="shared" ca="1" si="5"/>
        <v>3</v>
      </c>
      <c r="F47" s="114">
        <f t="shared" ca="1" si="6"/>
        <v>0.99</v>
      </c>
      <c r="G47" s="114" t="s">
        <v>659</v>
      </c>
      <c r="H47" s="115" t="s">
        <v>1165</v>
      </c>
    </row>
    <row r="48" spans="1:8">
      <c r="A48" s="114" t="s">
        <v>1134</v>
      </c>
      <c r="B48" s="115" t="s">
        <v>970</v>
      </c>
      <c r="C48" s="114" t="s">
        <v>282</v>
      </c>
      <c r="D48" s="114">
        <v>0.33</v>
      </c>
      <c r="E48" s="114">
        <f t="shared" ca="1" si="5"/>
        <v>6</v>
      </c>
      <c r="F48" s="114">
        <f t="shared" ca="1" si="6"/>
        <v>1.98</v>
      </c>
      <c r="G48" s="114" t="s">
        <v>659</v>
      </c>
      <c r="H48" s="115" t="s">
        <v>1165</v>
      </c>
    </row>
    <row r="49" spans="1:8" ht="25.5">
      <c r="A49" s="114" t="s">
        <v>1243</v>
      </c>
      <c r="B49" s="115" t="s">
        <v>970</v>
      </c>
      <c r="C49" s="114" t="s">
        <v>282</v>
      </c>
      <c r="D49" s="114">
        <v>0.33</v>
      </c>
      <c r="E49" s="114">
        <f t="shared" ca="1" si="5"/>
        <v>4</v>
      </c>
      <c r="F49" s="114">
        <f t="shared" ref="F49" ca="1" si="7">IF(ISNUMBER(E49),$D49*E49,0)</f>
        <v>1.32</v>
      </c>
      <c r="G49" s="114" t="s">
        <v>659</v>
      </c>
      <c r="H49" s="115" t="s">
        <v>1244</v>
      </c>
    </row>
    <row r="50" spans="1:8">
      <c r="A50" s="114" t="s">
        <v>1140</v>
      </c>
      <c r="B50" s="115" t="s">
        <v>472</v>
      </c>
      <c r="C50" s="114" t="s">
        <v>282</v>
      </c>
      <c r="D50" s="114">
        <v>0.5</v>
      </c>
      <c r="E50" s="114">
        <f t="shared" ca="1" si="5"/>
        <v>4</v>
      </c>
      <c r="F50" s="114">
        <f t="shared" ca="1" si="6"/>
        <v>2</v>
      </c>
      <c r="G50" s="114" t="s">
        <v>659</v>
      </c>
      <c r="H50" s="115" t="s">
        <v>1166</v>
      </c>
    </row>
    <row r="51" spans="1:8" ht="25.5">
      <c r="A51" s="114" t="s">
        <v>1140</v>
      </c>
      <c r="B51" s="115" t="s">
        <v>1251</v>
      </c>
      <c r="C51" s="114" t="s">
        <v>282</v>
      </c>
      <c r="D51" s="114">
        <v>0.5</v>
      </c>
      <c r="E51" s="114">
        <f t="shared" ca="1" si="5"/>
        <v>2</v>
      </c>
      <c r="F51" s="114">
        <f t="shared" ref="F51" ca="1" si="8">IF(ISNUMBER(E51),$D51*E51,0)</f>
        <v>1</v>
      </c>
      <c r="G51" s="114" t="s">
        <v>659</v>
      </c>
      <c r="H51" s="115" t="s">
        <v>1258</v>
      </c>
    </row>
    <row r="52" spans="1:8" ht="38.25">
      <c r="A52" s="114" t="s">
        <v>1134</v>
      </c>
      <c r="B52" s="115" t="s">
        <v>82</v>
      </c>
      <c r="C52" s="114" t="s">
        <v>313</v>
      </c>
      <c r="D52" s="114">
        <v>0</v>
      </c>
      <c r="E52" s="114">
        <f t="shared" ca="1" si="5"/>
        <v>5</v>
      </c>
      <c r="F52" s="114">
        <f t="shared" ca="1" si="6"/>
        <v>0</v>
      </c>
      <c r="G52" s="114" t="s">
        <v>659</v>
      </c>
      <c r="H52" s="115" t="s">
        <v>1167</v>
      </c>
    </row>
    <row r="53" spans="1:8" ht="38.25">
      <c r="A53" s="114" t="s">
        <v>1140</v>
      </c>
      <c r="B53" s="115" t="s">
        <v>1497</v>
      </c>
      <c r="C53" s="114" t="s">
        <v>313</v>
      </c>
      <c r="D53" s="114">
        <v>0</v>
      </c>
      <c r="E53" s="114">
        <f t="shared" ca="1" si="5"/>
        <v>3</v>
      </c>
      <c r="F53" s="114">
        <f t="shared" ca="1" si="6"/>
        <v>0</v>
      </c>
      <c r="G53" s="114" t="s">
        <v>659</v>
      </c>
      <c r="H53" s="115" t="s">
        <v>1501</v>
      </c>
    </row>
    <row r="54" spans="1:8" ht="25.5">
      <c r="A54" s="114" t="s">
        <v>1136</v>
      </c>
      <c r="B54" s="115" t="s">
        <v>417</v>
      </c>
      <c r="C54" s="114" t="s">
        <v>313</v>
      </c>
      <c r="D54" s="114">
        <v>0</v>
      </c>
      <c r="E54" s="114">
        <f t="shared" ca="1" si="5"/>
        <v>3</v>
      </c>
      <c r="F54" s="114">
        <f t="shared" ca="1" si="6"/>
        <v>0</v>
      </c>
      <c r="G54" s="114" t="s">
        <v>659</v>
      </c>
      <c r="H54" s="115" t="s">
        <v>1315</v>
      </c>
    </row>
    <row r="55" spans="1:8" ht="51">
      <c r="A55" s="114" t="s">
        <v>1135</v>
      </c>
      <c r="B55" s="115" t="s">
        <v>559</v>
      </c>
      <c r="C55" s="114" t="s">
        <v>313</v>
      </c>
      <c r="D55" s="114">
        <v>0.5</v>
      </c>
      <c r="E55" s="114">
        <f t="shared" ca="1" si="5"/>
        <v>3</v>
      </c>
      <c r="F55" s="114">
        <f t="shared" ca="1" si="6"/>
        <v>1.5</v>
      </c>
      <c r="G55" s="114" t="s">
        <v>659</v>
      </c>
      <c r="H55" s="115" t="s">
        <v>1168</v>
      </c>
    </row>
    <row r="56" spans="1:8" ht="25.5">
      <c r="A56" s="114" t="s">
        <v>1140</v>
      </c>
      <c r="B56" s="115" t="s">
        <v>484</v>
      </c>
      <c r="C56" s="114" t="s">
        <v>313</v>
      </c>
      <c r="D56" s="114">
        <v>0</v>
      </c>
      <c r="E56" s="114">
        <f t="shared" ca="1" si="5"/>
        <v>3</v>
      </c>
      <c r="F56" s="114">
        <f t="shared" ca="1" si="6"/>
        <v>0</v>
      </c>
      <c r="G56" s="114" t="s">
        <v>659</v>
      </c>
      <c r="H56" s="115" t="s">
        <v>1169</v>
      </c>
    </row>
    <row r="57" spans="1:8">
      <c r="A57" s="114" t="s">
        <v>1134</v>
      </c>
      <c r="B57" s="115" t="s">
        <v>82</v>
      </c>
      <c r="C57" s="114" t="s">
        <v>375</v>
      </c>
      <c r="D57" s="114">
        <v>0.5</v>
      </c>
      <c r="E57" s="114">
        <f t="shared" ca="1" si="5"/>
        <v>5</v>
      </c>
      <c r="F57" s="114">
        <f t="shared" ca="1" si="6"/>
        <v>2.5</v>
      </c>
      <c r="G57" s="114" t="s">
        <v>659</v>
      </c>
      <c r="H57" s="115" t="s">
        <v>681</v>
      </c>
    </row>
    <row r="58" spans="1:8">
      <c r="A58" s="114" t="s">
        <v>1135</v>
      </c>
      <c r="B58" s="115" t="s">
        <v>84</v>
      </c>
      <c r="C58" s="114" t="s">
        <v>375</v>
      </c>
      <c r="D58" s="114">
        <v>0.5</v>
      </c>
      <c r="E58" s="114">
        <f t="shared" ca="1" si="5"/>
        <v>1</v>
      </c>
      <c r="F58" s="114">
        <f t="shared" ca="1" si="6"/>
        <v>0.5</v>
      </c>
      <c r="G58" s="114" t="s">
        <v>659</v>
      </c>
      <c r="H58" s="115" t="s">
        <v>1170</v>
      </c>
    </row>
    <row r="59" spans="1:8" ht="25.5">
      <c r="A59" s="114" t="s">
        <v>1135</v>
      </c>
      <c r="B59" s="115" t="s">
        <v>1066</v>
      </c>
      <c r="C59" s="114" t="s">
        <v>375</v>
      </c>
      <c r="D59" s="114">
        <v>0.5</v>
      </c>
      <c r="E59" s="114">
        <f t="shared" ca="1" si="5"/>
        <v>2</v>
      </c>
      <c r="F59" s="114">
        <f t="shared" ca="1" si="6"/>
        <v>1</v>
      </c>
      <c r="G59" s="114" t="s">
        <v>659</v>
      </c>
      <c r="H59" s="115" t="s">
        <v>1523</v>
      </c>
    </row>
    <row r="60" spans="1:8">
      <c r="A60" s="114" t="s">
        <v>1134</v>
      </c>
      <c r="B60" s="115" t="s">
        <v>374</v>
      </c>
      <c r="C60" s="114" t="s">
        <v>375</v>
      </c>
      <c r="D60" s="114">
        <v>0.33</v>
      </c>
      <c r="E60" s="114">
        <f t="shared" ca="1" si="5"/>
        <v>4</v>
      </c>
      <c r="F60" s="114">
        <f t="shared" ca="1" si="6"/>
        <v>1.32</v>
      </c>
      <c r="G60" s="114" t="s">
        <v>659</v>
      </c>
      <c r="H60" s="115" t="s">
        <v>682</v>
      </c>
    </row>
    <row r="61" spans="1:8">
      <c r="A61" s="114" t="s">
        <v>1135</v>
      </c>
      <c r="B61" s="115" t="s">
        <v>559</v>
      </c>
      <c r="C61" s="114" t="s">
        <v>375</v>
      </c>
      <c r="D61" s="114">
        <v>0.5</v>
      </c>
      <c r="E61" s="114">
        <f t="shared" ca="1" si="5"/>
        <v>3</v>
      </c>
      <c r="F61" s="114">
        <f t="shared" ca="1" si="6"/>
        <v>1.5</v>
      </c>
      <c r="G61" s="114" t="s">
        <v>659</v>
      </c>
      <c r="H61" s="115" t="s">
        <v>1171</v>
      </c>
    </row>
    <row r="62" spans="1:8" ht="38.25">
      <c r="A62" s="114" t="s">
        <v>1410</v>
      </c>
      <c r="B62" s="115" t="s">
        <v>556</v>
      </c>
      <c r="C62" s="114" t="s">
        <v>384</v>
      </c>
      <c r="D62" s="114">
        <v>0.2</v>
      </c>
      <c r="E62" s="114">
        <f t="shared" ca="1" si="5"/>
        <v>4</v>
      </c>
      <c r="F62" s="114">
        <f t="shared" ca="1" si="6"/>
        <v>0.8</v>
      </c>
      <c r="G62" s="114" t="s">
        <v>659</v>
      </c>
      <c r="H62" s="115" t="s">
        <v>1172</v>
      </c>
    </row>
    <row r="63" spans="1:8" ht="38.25">
      <c r="A63" s="114" t="s">
        <v>1135</v>
      </c>
      <c r="B63" s="115" t="s">
        <v>84</v>
      </c>
      <c r="C63" s="114" t="s">
        <v>384</v>
      </c>
      <c r="D63" s="114">
        <v>0.33</v>
      </c>
      <c r="E63" s="114">
        <f t="shared" ca="1" si="5"/>
        <v>1</v>
      </c>
      <c r="F63" s="114">
        <f t="shared" ca="1" si="6"/>
        <v>0.33</v>
      </c>
      <c r="G63" s="114" t="s">
        <v>659</v>
      </c>
      <c r="H63" s="115" t="s">
        <v>1173</v>
      </c>
    </row>
    <row r="64" spans="1:8" ht="25.5">
      <c r="A64" s="114" t="s">
        <v>1135</v>
      </c>
      <c r="B64" s="115" t="s">
        <v>1066</v>
      </c>
      <c r="C64" s="114" t="s">
        <v>384</v>
      </c>
      <c r="D64" s="114">
        <v>0.33</v>
      </c>
      <c r="E64" s="114">
        <f t="shared" ca="1" si="5"/>
        <v>2</v>
      </c>
      <c r="F64" s="114">
        <f t="shared" ca="1" si="6"/>
        <v>0.66</v>
      </c>
      <c r="G64" s="114" t="s">
        <v>659</v>
      </c>
      <c r="H64" s="115" t="s">
        <v>1174</v>
      </c>
    </row>
    <row r="65" spans="1:8" ht="51">
      <c r="A65" s="114" t="s">
        <v>1135</v>
      </c>
      <c r="B65" s="115" t="s">
        <v>1069</v>
      </c>
      <c r="C65" s="114" t="s">
        <v>384</v>
      </c>
      <c r="D65" s="114">
        <v>0.2</v>
      </c>
      <c r="E65" s="114">
        <f t="shared" ca="1" si="5"/>
        <v>4</v>
      </c>
      <c r="F65" s="114">
        <f t="shared" ca="1" si="6"/>
        <v>0.8</v>
      </c>
      <c r="G65" s="114" t="s">
        <v>659</v>
      </c>
      <c r="H65" s="115" t="s">
        <v>1175</v>
      </c>
    </row>
    <row r="66" spans="1:8" ht="38.25">
      <c r="A66" s="114" t="s">
        <v>1134</v>
      </c>
      <c r="B66" s="115" t="s">
        <v>82</v>
      </c>
      <c r="C66" s="114" t="s">
        <v>388</v>
      </c>
      <c r="D66" s="114">
        <v>0.33</v>
      </c>
      <c r="E66" s="114">
        <f t="shared" ca="1" si="5"/>
        <v>5</v>
      </c>
      <c r="F66" s="114">
        <f t="shared" ca="1" si="6"/>
        <v>1.6500000000000001</v>
      </c>
      <c r="G66" s="114" t="s">
        <v>659</v>
      </c>
      <c r="H66" s="115" t="s">
        <v>1176</v>
      </c>
    </row>
    <row r="67" spans="1:8" ht="25.5">
      <c r="A67" s="114" t="s">
        <v>1134</v>
      </c>
      <c r="B67" s="115" t="s">
        <v>374</v>
      </c>
      <c r="C67" s="114" t="s">
        <v>388</v>
      </c>
      <c r="D67" s="114">
        <v>0.33</v>
      </c>
      <c r="E67" s="114">
        <f t="shared" ca="1" si="5"/>
        <v>4</v>
      </c>
      <c r="F67" s="114">
        <f t="shared" ca="1" si="6"/>
        <v>1.32</v>
      </c>
      <c r="G67" s="114" t="s">
        <v>659</v>
      </c>
      <c r="H67" s="115" t="s">
        <v>1177</v>
      </c>
    </row>
    <row r="68" spans="1:8" ht="25.5">
      <c r="A68" s="114" t="s">
        <v>1135</v>
      </c>
      <c r="B68" s="115" t="s">
        <v>1069</v>
      </c>
      <c r="C68" s="114" t="s">
        <v>388</v>
      </c>
      <c r="D68" s="114">
        <v>0.33</v>
      </c>
      <c r="E68" s="114">
        <f t="shared" ca="1" si="5"/>
        <v>4</v>
      </c>
      <c r="F68" s="114">
        <f t="shared" ca="1" si="6"/>
        <v>1.32</v>
      </c>
      <c r="G68" s="114" t="s">
        <v>659</v>
      </c>
      <c r="H68" s="115" t="s">
        <v>1178</v>
      </c>
    </row>
    <row r="69" spans="1:8">
      <c r="A69" s="114" t="s">
        <v>1140</v>
      </c>
      <c r="B69" s="115" t="s">
        <v>481</v>
      </c>
      <c r="C69" s="114" t="s">
        <v>295</v>
      </c>
      <c r="D69" s="114">
        <v>0.33</v>
      </c>
      <c r="E69" s="114">
        <f t="shared" ca="1" si="5"/>
        <v>3</v>
      </c>
      <c r="F69" s="114">
        <f t="shared" ca="1" si="6"/>
        <v>0.99</v>
      </c>
      <c r="G69" s="114" t="s">
        <v>659</v>
      </c>
      <c r="H69" s="115" t="s">
        <v>662</v>
      </c>
    </row>
    <row r="70" spans="1:8">
      <c r="A70" s="114" t="s">
        <v>1144</v>
      </c>
      <c r="B70" s="115" t="s">
        <v>591</v>
      </c>
      <c r="C70" s="114" t="s">
        <v>295</v>
      </c>
      <c r="D70" s="114">
        <v>0.33</v>
      </c>
      <c r="E70" s="114">
        <f t="shared" ca="1" si="5"/>
        <v>4</v>
      </c>
      <c r="F70" s="114">
        <f t="shared" ca="1" si="6"/>
        <v>1.32</v>
      </c>
      <c r="G70" s="114" t="s">
        <v>659</v>
      </c>
      <c r="H70" s="115" t="s">
        <v>662</v>
      </c>
    </row>
    <row r="71" spans="1:8">
      <c r="A71" s="114" t="s">
        <v>1136</v>
      </c>
      <c r="B71" s="115" t="s">
        <v>1111</v>
      </c>
      <c r="C71" s="114" t="s">
        <v>295</v>
      </c>
      <c r="D71" s="114">
        <v>0.33</v>
      </c>
      <c r="E71" s="114">
        <f t="shared" ca="1" si="5"/>
        <v>3</v>
      </c>
      <c r="F71" s="114">
        <f t="shared" ca="1" si="6"/>
        <v>0.99</v>
      </c>
      <c r="G71" s="114" t="s">
        <v>659</v>
      </c>
      <c r="H71" s="115" t="s">
        <v>1179</v>
      </c>
    </row>
    <row r="72" spans="1:8" ht="38.25">
      <c r="A72" s="114" t="s">
        <v>1131</v>
      </c>
      <c r="B72" s="115" t="s">
        <v>86</v>
      </c>
      <c r="C72" s="114" t="s">
        <v>349</v>
      </c>
      <c r="D72" s="114">
        <v>0</v>
      </c>
      <c r="E72" s="114">
        <f t="shared" ca="1" si="5"/>
        <v>4</v>
      </c>
      <c r="F72" s="114">
        <f t="shared" ca="1" si="6"/>
        <v>0</v>
      </c>
      <c r="G72" s="114" t="s">
        <v>659</v>
      </c>
      <c r="H72" s="115" t="s">
        <v>1180</v>
      </c>
    </row>
    <row r="73" spans="1:8" ht="25.5">
      <c r="A73" s="114" t="s">
        <v>1136</v>
      </c>
      <c r="B73" s="115" t="s">
        <v>427</v>
      </c>
      <c r="C73" s="114" t="s">
        <v>349</v>
      </c>
      <c r="D73" s="114">
        <v>0</v>
      </c>
      <c r="E73" s="114">
        <f t="shared" ca="1" si="5"/>
        <v>4</v>
      </c>
      <c r="F73" s="114">
        <f t="shared" ca="1" si="6"/>
        <v>0</v>
      </c>
      <c r="G73" s="114" t="s">
        <v>659</v>
      </c>
      <c r="H73" s="115" t="s">
        <v>1181</v>
      </c>
    </row>
    <row r="74" spans="1:8" ht="25.5">
      <c r="A74" s="114" t="s">
        <v>1131</v>
      </c>
      <c r="B74" s="115" t="s">
        <v>517</v>
      </c>
      <c r="C74" s="114" t="s">
        <v>337</v>
      </c>
      <c r="D74" s="114">
        <v>0</v>
      </c>
      <c r="E74" s="114">
        <f t="shared" ca="1" si="5"/>
        <v>3</v>
      </c>
      <c r="F74" s="114">
        <f t="shared" ca="1" si="6"/>
        <v>0</v>
      </c>
      <c r="G74" s="114" t="s">
        <v>659</v>
      </c>
      <c r="H74" s="115" t="s">
        <v>1182</v>
      </c>
    </row>
    <row r="75" spans="1:8">
      <c r="A75" s="114" t="s">
        <v>1131</v>
      </c>
      <c r="B75" s="115" t="s">
        <v>586</v>
      </c>
      <c r="C75" s="114" t="s">
        <v>337</v>
      </c>
      <c r="D75" s="114">
        <v>0.2</v>
      </c>
      <c r="E75" s="114">
        <f t="shared" ca="1" si="5"/>
        <v>3</v>
      </c>
      <c r="F75" s="114">
        <f t="shared" ca="1" si="6"/>
        <v>0.60000000000000009</v>
      </c>
      <c r="G75" s="114" t="s">
        <v>659</v>
      </c>
      <c r="H75" s="115" t="s">
        <v>1183</v>
      </c>
    </row>
    <row r="76" spans="1:8">
      <c r="A76" s="114" t="s">
        <v>1134</v>
      </c>
      <c r="B76" s="115" t="s">
        <v>82</v>
      </c>
      <c r="C76" s="114" t="s">
        <v>299</v>
      </c>
      <c r="D76" s="114">
        <v>0</v>
      </c>
      <c r="E76" s="114">
        <f t="shared" ca="1" si="5"/>
        <v>5</v>
      </c>
      <c r="F76" s="114">
        <f t="shared" ca="1" si="6"/>
        <v>0</v>
      </c>
      <c r="G76" s="114" t="s">
        <v>659</v>
      </c>
      <c r="H76" s="115" t="s">
        <v>1184</v>
      </c>
    </row>
    <row r="77" spans="1:8">
      <c r="A77" s="114" t="s">
        <v>1134</v>
      </c>
      <c r="B77" s="115" t="s">
        <v>488</v>
      </c>
      <c r="C77" s="114" t="s">
        <v>308</v>
      </c>
      <c r="D77" s="114">
        <v>0</v>
      </c>
      <c r="E77" s="114">
        <f t="shared" ca="1" si="5"/>
        <v>6</v>
      </c>
      <c r="F77" s="114">
        <f t="shared" ca="1" si="6"/>
        <v>0</v>
      </c>
      <c r="G77" s="114" t="s">
        <v>659</v>
      </c>
      <c r="H77" s="115" t="s">
        <v>1185</v>
      </c>
    </row>
    <row r="78" spans="1:8" ht="25.5">
      <c r="A78" s="114" t="s">
        <v>1144</v>
      </c>
      <c r="B78" s="115" t="s">
        <v>1037</v>
      </c>
      <c r="C78" s="114" t="s">
        <v>912</v>
      </c>
      <c r="D78" s="114">
        <v>0</v>
      </c>
      <c r="E78" s="114">
        <f t="shared" ca="1" si="5"/>
        <v>3</v>
      </c>
      <c r="F78" s="114">
        <f t="shared" ca="1" si="6"/>
        <v>0</v>
      </c>
      <c r="G78" s="114" t="s">
        <v>659</v>
      </c>
      <c r="H78" s="115" t="s">
        <v>1186</v>
      </c>
    </row>
    <row r="79" spans="1:8" ht="25.5">
      <c r="A79" s="114" t="s">
        <v>1549</v>
      </c>
      <c r="B79" s="115" t="s">
        <v>1536</v>
      </c>
      <c r="C79" s="114" t="s">
        <v>1550</v>
      </c>
      <c r="D79" s="114">
        <v>0.5</v>
      </c>
      <c r="E79" s="114">
        <f t="shared" ca="1" si="5"/>
        <v>3</v>
      </c>
      <c r="F79" s="114">
        <f t="shared" ref="F79:F81" ca="1" si="9">IF(ISNUMBER(E79),$D79*E79,0)</f>
        <v>1.5</v>
      </c>
      <c r="G79" s="114" t="s">
        <v>1551</v>
      </c>
      <c r="H79" s="115" t="s">
        <v>1552</v>
      </c>
    </row>
    <row r="80" spans="1:8" ht="38.25">
      <c r="A80" s="114" t="s">
        <v>1549</v>
      </c>
      <c r="B80" s="115" t="s">
        <v>1536</v>
      </c>
      <c r="C80" s="114" t="s">
        <v>1229</v>
      </c>
      <c r="D80" s="114">
        <v>0.5</v>
      </c>
      <c r="E80" s="114">
        <f t="shared" ca="1" si="5"/>
        <v>3</v>
      </c>
      <c r="F80" s="114">
        <f t="shared" ca="1" si="9"/>
        <v>1.5</v>
      </c>
      <c r="G80" s="114" t="s">
        <v>1551</v>
      </c>
      <c r="H80" s="115" t="s">
        <v>1553</v>
      </c>
    </row>
    <row r="81" spans="1:8" ht="25.5">
      <c r="A81" s="114" t="s">
        <v>1549</v>
      </c>
      <c r="B81" s="115" t="s">
        <v>1536</v>
      </c>
      <c r="C81" s="114" t="s">
        <v>1554</v>
      </c>
      <c r="D81" s="114">
        <v>0.2</v>
      </c>
      <c r="E81" s="114">
        <f t="shared" ca="1" si="5"/>
        <v>3</v>
      </c>
      <c r="F81" s="114">
        <f t="shared" ca="1" si="9"/>
        <v>0.60000000000000009</v>
      </c>
      <c r="G81" s="114" t="s">
        <v>1551</v>
      </c>
      <c r="H81" s="115" t="s">
        <v>1555</v>
      </c>
    </row>
  </sheetData>
  <phoneticPr fontId="29" type="noConversion"/>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72"/>
  <sheetViews>
    <sheetView workbookViewId="0">
      <selection activeCell="M19" sqref="M19"/>
    </sheetView>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1187</v>
      </c>
    </row>
    <row r="2" spans="1:9">
      <c r="A2" s="119" t="s">
        <v>1188</v>
      </c>
    </row>
    <row r="4" spans="1:9">
      <c r="A4" s="111" t="s">
        <v>254</v>
      </c>
      <c r="B4" s="111" t="s">
        <v>732</v>
      </c>
      <c r="C4" s="111" t="s">
        <v>733</v>
      </c>
      <c r="D4" s="111" t="s">
        <v>734</v>
      </c>
      <c r="E4" s="111" t="s">
        <v>735</v>
      </c>
      <c r="F4" s="111" t="s">
        <v>736</v>
      </c>
    </row>
    <row r="5" spans="1:9" ht="30" customHeight="1">
      <c r="A5" s="114" t="s">
        <v>349</v>
      </c>
      <c r="B5" s="114">
        <f>SUMIFS(복귀_토_하체전면!$E:$E,복귀_토_하체전면!$C:$C,$A5)+SUMIFS(복귀_일_수평당기기!$E:$E,복귀_일_수평당기기!$C:$C,$A5)+SUMIFS(복귀_월_가슴!$E:$E,복귀_월_가슴!$C:$C,$A5)+SUMIFS(복귀_화_팔!$E:$E,복귀_화_팔!$C:$C,$A5)+SUMIFS(복귀_수_하체후면!$E:$E,복귀_수_하체후면!$C:$C,$A5)+SUMIFS(복귀_목_수직당기기!$E:$E,복귀_목_수직당기기!$C:$C,$A5)</f>
        <v>9</v>
      </c>
      <c r="C5" s="114">
        <f ca="1">MROUND(SUMIFS(복귀_간접계수맵!$F$7:$F$98,복귀_간접계수맵!$C$7:$C$98,$A5),0.5)</f>
        <v>0</v>
      </c>
      <c r="D5" s="114">
        <f t="shared" ref="D5:D26" ca="1" si="0">B5+C5</f>
        <v>9</v>
      </c>
      <c r="E5" s="114" t="str">
        <f t="shared" ref="E5:E26" ca="1" si="1">IF(D5&gt;20,"과다 점검",IF(D5&gt;=10,"충분",IF(D5&gt;=8,"하한",IF(D5&gt;=1,"보완 필요","미배치"))))</f>
        <v>하한</v>
      </c>
      <c r="F5" s="115" t="s">
        <v>1601</v>
      </c>
      <c r="H5" s="124" t="s">
        <v>738</v>
      </c>
      <c r="I5" s="125">
        <f ca="1">SUM(D5:D6)</f>
        <v>23.5</v>
      </c>
    </row>
    <row r="6" spans="1:9" ht="30" customHeight="1">
      <c r="A6" s="114" t="s">
        <v>337</v>
      </c>
      <c r="B6" s="114">
        <f>SUMIFS(복귀_토_하체전면!$E:$E,복귀_토_하체전면!$C:$C,$A6)+SUMIFS(복귀_일_수평당기기!$E:$E,복귀_일_수평당기기!$C:$C,$A6)+SUMIFS(복귀_월_가슴!$E:$E,복귀_월_가슴!$C:$C,$A6)+SUMIFS(복귀_화_팔!$E:$E,복귀_화_팔!$C:$C,$A6)+SUMIFS(복귀_수_하체후면!$E:$E,복귀_수_하체후면!$C:$C,$A6)+SUMIFS(복귀_목_수직당기기!$E:$E,복귀_목_수직당기기!$C:$C,$A6)</f>
        <v>14</v>
      </c>
      <c r="C6" s="114">
        <f ca="1">MROUND(SUMIFS(복귀_간접계수맵!$F$7:$F$98,복귀_간접계수맵!$C$7:$C$98,$A6),0.5)</f>
        <v>0.5</v>
      </c>
      <c r="D6" s="114">
        <f t="shared" ca="1" si="0"/>
        <v>14.5</v>
      </c>
      <c r="E6" s="114" t="str">
        <f t="shared" ca="1" si="1"/>
        <v>충분</v>
      </c>
      <c r="F6" s="115" t="s">
        <v>1189</v>
      </c>
    </row>
    <row r="7" spans="1:9" ht="30" customHeight="1">
      <c r="A7" s="114" t="s">
        <v>267</v>
      </c>
      <c r="B7" s="114">
        <f>SUMIFS(복귀_토_하체전면!$E:$E,복귀_토_하체전면!$C:$C,$A7)+SUMIFS(복귀_일_수평당기기!$E:$E,복귀_일_수평당기기!$C:$C,$A7)+SUMIFS(복귀_월_가슴!$E:$E,복귀_월_가슴!$C:$C,$A7)+SUMIFS(복귀_화_팔!$E:$E,복귀_화_팔!$C:$C,$A7)+SUMIFS(복귀_수_하체후면!$E:$E,복귀_수_하체후면!$C:$C,$A7)+SUMIFS(복귀_목_수직당기기!$E:$E,복귀_목_수직당기기!$C:$C,$A7)</f>
        <v>18</v>
      </c>
      <c r="C7" s="114">
        <f ca="1">MROUND(SUMIFS(복귀_간접계수맵!$F$7:$F$98,복귀_간접계수맵!$C$7:$C$98,$A7),0.5)</f>
        <v>3.5</v>
      </c>
      <c r="D7" s="114">
        <f t="shared" ca="1" si="0"/>
        <v>21.5</v>
      </c>
      <c r="E7" s="114" t="str">
        <f t="shared" ca="1" si="1"/>
        <v>과다 점검</v>
      </c>
      <c r="F7" s="115" t="s">
        <v>1520</v>
      </c>
      <c r="H7" s="124" t="s">
        <v>1190</v>
      </c>
      <c r="I7" s="125">
        <f ca="1">SUM(D7:D10)</f>
        <v>55</v>
      </c>
    </row>
    <row r="8" spans="1:9" ht="30" customHeight="1">
      <c r="A8" s="114" t="s">
        <v>407</v>
      </c>
      <c r="B8" s="114">
        <f>SUMIFS(복귀_토_하체전면!$E:$E,복귀_토_하체전면!$C:$C,$A8)+SUMIFS(복귀_일_수평당기기!$E:$E,복귀_일_수평당기기!$C:$C,$A8)+SUMIFS(복귀_월_가슴!$E:$E,복귀_월_가슴!$C:$C,$A8)+SUMIFS(복귀_화_팔!$E:$E,복귀_화_팔!$C:$C,$A8)+SUMIFS(복귀_수_하체후면!$E:$E,복귀_수_하체후면!$C:$C,$A8)+SUMIFS(복귀_목_수직당기기!$E:$E,복귀_목_수직당기기!$C:$C,$A8)</f>
        <v>3</v>
      </c>
      <c r="C8" s="114">
        <f ca="1">MROUND(SUMIFS(복귀_간접계수맵!$F$7:$F$98,복귀_간접계수맵!$C$7:$C$98,$A8),0.5)</f>
        <v>3</v>
      </c>
      <c r="D8" s="114">
        <f t="shared" ca="1" si="0"/>
        <v>6</v>
      </c>
      <c r="E8" s="114" t="str">
        <f t="shared" ca="1" si="1"/>
        <v>보완 필요</v>
      </c>
      <c r="F8" s="115" t="s">
        <v>1503</v>
      </c>
      <c r="H8" s="124" t="s">
        <v>1191</v>
      </c>
      <c r="I8" s="125">
        <f>SUM(복귀_일_수평당기기!E11:E15,복귀_목_수직당기기!E11,복귀_목_수직당기기!E13,복귀_목_수직당기기!E15,복귀_목_수직당기기!E17)</f>
        <v>28</v>
      </c>
    </row>
    <row r="9" spans="1:9" ht="30" customHeight="1">
      <c r="A9" s="114" t="s">
        <v>418</v>
      </c>
      <c r="B9" s="114">
        <f>SUMIFS(복귀_토_하체전면!$E:$E,복귀_토_하체전면!$C:$C,$A9)+SUMIFS(복귀_일_수평당기기!$E:$E,복귀_일_수평당기기!$C:$C,$A9)+SUMIFS(복귀_월_가슴!$E:$E,복귀_월_가슴!$C:$C,$A9)+SUMIFS(복귀_화_팔!$E:$E,복귀_화_팔!$C:$C,$A9)+SUMIFS(복귀_수_하체후면!$E:$E,복귀_수_하체후면!$C:$C,$A9)+SUMIFS(복귀_목_수직당기기!$E:$E,복귀_목_수직당기기!$C:$C,$A9)</f>
        <v>3</v>
      </c>
      <c r="C9" s="114">
        <f ca="1">MROUND(SUMIFS(복귀_간접계수맵!$F$7:$F$98,복귀_간접계수맵!$C$7:$C$98,$A9),0.5)</f>
        <v>3</v>
      </c>
      <c r="D9" s="114">
        <f t="shared" ca="1" si="0"/>
        <v>6</v>
      </c>
      <c r="E9" s="114" t="str">
        <f t="shared" ca="1" si="1"/>
        <v>보완 필요</v>
      </c>
      <c r="F9" s="115" t="s">
        <v>1311</v>
      </c>
    </row>
    <row r="10" spans="1:9" ht="30" customHeight="1">
      <c r="A10" s="114" t="s">
        <v>282</v>
      </c>
      <c r="B10" s="114">
        <f>SUMIFS(복귀_토_하체전면!$E:$E,복귀_토_하체전면!$C:$C,$A10)+SUMIFS(복귀_일_수평당기기!$E:$E,복귀_일_수평당기기!$C:$C,$A10)+SUMIFS(복귀_월_가슴!$E:$E,복귀_월_가슴!$C:$C,$A10)+SUMIFS(복귀_화_팔!$E:$E,복귀_화_팔!$C:$C,$A10)+SUMIFS(복귀_수_하체후면!$E:$E,복귀_수_하체후면!$C:$C,$A10)+SUMIFS(복귀_목_수직당기기!$E:$E,복귀_목_수직당기기!$C:$C,$A10)</f>
        <v>13</v>
      </c>
      <c r="C10" s="114">
        <f ca="1">MROUND(SUMIFS(복귀_간접계수맵!$F$7:$F$98,복귀_간접계수맵!$C$7:$C$98,$A10),0.5)</f>
        <v>8.5</v>
      </c>
      <c r="D10" s="114">
        <f t="shared" ca="1" si="0"/>
        <v>21.5</v>
      </c>
      <c r="E10" s="114" t="str">
        <f t="shared" ca="1" si="1"/>
        <v>과다 점검</v>
      </c>
      <c r="F10" s="115" t="s">
        <v>1521</v>
      </c>
    </row>
    <row r="11" spans="1:9" ht="30" customHeight="1">
      <c r="A11" s="114" t="s">
        <v>313</v>
      </c>
      <c r="B11" s="114">
        <f>SUMIFS(복귀_토_하체전면!$E:$E,복귀_토_하체전면!$C:$C,$A11)+SUMIFS(복귀_일_수평당기기!$E:$E,복귀_일_수평당기기!$C:$C,$A11)+SUMIFS(복귀_월_가슴!$E:$E,복귀_월_가슴!$C:$C,$A11)+SUMIFS(복귀_화_팔!$E:$E,복귀_화_팔!$C:$C,$A11)+SUMIFS(복귀_수_하체후면!$E:$E,복귀_수_하체후면!$C:$C,$A11)+SUMIFS(복귀_목_수직당기기!$E:$E,복귀_목_수직당기기!$C:$C,$A11)</f>
        <v>9</v>
      </c>
      <c r="C11" s="114">
        <f ca="1">MROUND(SUMIFS(복귀_간접계수맵!$F$7:$F$98,복귀_간접계수맵!$C$7:$C$98,$A11),0.5)</f>
        <v>1.5</v>
      </c>
      <c r="D11" s="114">
        <f t="shared" ca="1" si="0"/>
        <v>10.5</v>
      </c>
      <c r="E11" s="114" t="str">
        <f t="shared" ca="1" si="1"/>
        <v>충분</v>
      </c>
      <c r="F11" s="115" t="s">
        <v>1463</v>
      </c>
    </row>
    <row r="12" spans="1:9" ht="30" customHeight="1">
      <c r="A12" s="114" t="s">
        <v>429</v>
      </c>
      <c r="B12" s="114">
        <f>SUMIFS(복귀_토_하체전면!$E:$E,복귀_토_하체전면!$C:$C,$A12)+SUMIFS(복귀_일_수평당기기!$E:$E,복귀_일_수평당기기!$C:$C,$A12)+SUMIFS(복귀_월_가슴!$E:$E,복귀_월_가슴!$C:$C,$A12)+SUMIFS(복귀_화_팔!$E:$E,복귀_화_팔!$C:$C,$A12)+SUMIFS(복귀_수_하체후면!$E:$E,복귀_수_하체후면!$C:$C,$A12)+SUMIFS(복귀_목_수직당기기!$E:$E,복귀_목_수직당기기!$C:$C,$A12)</f>
        <v>10</v>
      </c>
      <c r="C12" s="114">
        <f ca="1">MROUND(SUMIFS(복귀_간접계수맵!$F$7:$F$98,복귀_간접계수맵!$C$7:$C$98,$A12),0.5)</f>
        <v>6.5</v>
      </c>
      <c r="D12" s="114">
        <f t="shared" ca="1" si="0"/>
        <v>16.5</v>
      </c>
      <c r="E12" s="114" t="str">
        <f t="shared" ca="1" si="1"/>
        <v>충분</v>
      </c>
      <c r="F12" s="115" t="s">
        <v>1556</v>
      </c>
    </row>
    <row r="13" spans="1:9" ht="30" customHeight="1">
      <c r="A13" s="114" t="s">
        <v>354</v>
      </c>
      <c r="B13" s="114">
        <f>SUMIFS(복귀_토_하체전면!$E:$E,복귀_토_하체전면!$C:$C,$A13)+SUMIFS(복귀_일_수평당기기!$E:$E,복귀_일_수평당기기!$C:$C,$A13)+SUMIFS(복귀_월_가슴!$E:$E,복귀_월_가슴!$C:$C,$A13)+SUMIFS(복귀_화_팔!$E:$E,복귀_화_팔!$C:$C,$A13)+SUMIFS(복귀_수_하체후면!$E:$E,복귀_수_하체후면!$C:$C,$A13)+SUMIFS(복귀_목_수직당기기!$E:$E,복귀_목_수직당기기!$C:$C,$A13)</f>
        <v>16</v>
      </c>
      <c r="C13" s="114">
        <f ca="1">MROUND(SUMIFS(복귀_간접계수맵!$F$7:$F$98,복귀_간접계수맵!$C$7:$C$98,$A13),0.5)</f>
        <v>4.5</v>
      </c>
      <c r="D13" s="114">
        <f t="shared" ca="1" si="0"/>
        <v>20.5</v>
      </c>
      <c r="E13" s="114" t="str">
        <f t="shared" ca="1" si="1"/>
        <v>과다 점검</v>
      </c>
      <c r="F13" s="115" t="s">
        <v>1557</v>
      </c>
    </row>
    <row r="14" spans="1:9" ht="30" customHeight="1">
      <c r="A14" s="114" t="s">
        <v>358</v>
      </c>
      <c r="B14" s="114">
        <f>SUMIFS(복귀_토_하체전면!$E:$E,복귀_토_하체전면!$C:$C,$A14)+SUMIFS(복귀_일_수평당기기!$E:$E,복귀_일_수평당기기!$C:$C,$A14)+SUMIFS(복귀_월_가슴!$E:$E,복귀_월_가슴!$C:$C,$A14)+SUMIFS(복귀_화_팔!$E:$E,복귀_화_팔!$C:$C,$A14)+SUMIFS(복귀_수_하체후면!$E:$E,복귀_수_하체후면!$C:$C,$A14)+SUMIFS(복귀_목_수직당기기!$E:$E,복귀_목_수직당기기!$C:$C,$A14)</f>
        <v>16</v>
      </c>
      <c r="C14" s="114">
        <f ca="1">MROUND(SUMIFS(복귀_간접계수맵!$F$7:$F$98,복귀_간접계수맵!$C$7:$C$98,$A14),0.5)</f>
        <v>4</v>
      </c>
      <c r="D14" s="114">
        <f t="shared" ca="1" si="0"/>
        <v>20</v>
      </c>
      <c r="E14" s="114" t="str">
        <f t="shared" ca="1" si="1"/>
        <v>충분</v>
      </c>
      <c r="F14" s="115" t="s">
        <v>1397</v>
      </c>
    </row>
    <row r="15" spans="1:9" ht="30" customHeight="1">
      <c r="A15" s="114" t="s">
        <v>285</v>
      </c>
      <c r="B15" s="114">
        <f>SUMIFS(복귀_토_하체전면!$E:$E,복귀_토_하체전면!$C:$C,$A15)+SUMIFS(복귀_일_수평당기기!$E:$E,복귀_일_수평당기기!$C:$C,$A15)+SUMIFS(복귀_월_가슴!$E:$E,복귀_월_가슴!$C:$C,$A15)+SUMIFS(복귀_화_팔!$E:$E,복귀_화_팔!$C:$C,$A15)+SUMIFS(복귀_수_하체후면!$E:$E,복귀_수_하체후면!$C:$C,$A15)+SUMIFS(복귀_목_수직당기기!$E:$E,복귀_목_수직당기기!$C:$C,$A15)</f>
        <v>9</v>
      </c>
      <c r="C15" s="114">
        <f>MROUND(SUMIFS(복귀_간접계수맵!$F$7:$F$98,복귀_간접계수맵!$C$7:$C$98,$A15),0.5)</f>
        <v>0</v>
      </c>
      <c r="D15" s="114">
        <f t="shared" ref="D15" si="2">B15+C15</f>
        <v>9</v>
      </c>
      <c r="E15" s="114" t="str">
        <f t="shared" ref="E15" si="3">IF(D15&gt;20,"과다 점검",IF(D15&gt;=10,"충분",IF(D15&gt;=8,"하한",IF(D15&gt;=1,"보완 필요","미배치"))))</f>
        <v>하한</v>
      </c>
      <c r="F15" s="115" t="s">
        <v>1575</v>
      </c>
    </row>
    <row r="16" spans="1:9" ht="30" customHeight="1">
      <c r="A16" s="114" t="s">
        <v>369</v>
      </c>
      <c r="B16" s="114">
        <f>SUMIFS(복귀_토_하체전면!$E:$E,복귀_토_하체전면!$C:$C,$A16)+SUMIFS(복귀_일_수평당기기!$E:$E,복귀_일_수평당기기!$C:$C,$A16)+SUMIFS(복귀_월_가슴!$E:$E,복귀_월_가슴!$C:$C,$A16)+SUMIFS(복귀_화_팔!$E:$E,복귀_화_팔!$C:$C,$A16)+SUMIFS(복귀_수_하체후면!$E:$E,복귀_수_하체후면!$C:$C,$A16)+SUMIFS(복귀_목_수직당기기!$E:$E,복귀_목_수직당기기!$C:$C,$A16)</f>
        <v>12</v>
      </c>
      <c r="C16" s="114">
        <f ca="1">MROUND(SUMIFS(복귀_간접계수맵!$F$7:$F$98,복귀_간접계수맵!$C$7:$C$98,$A16),0.5)</f>
        <v>1.5</v>
      </c>
      <c r="D16" s="114">
        <f t="shared" ca="1" si="0"/>
        <v>13.5</v>
      </c>
      <c r="E16" s="114" t="str">
        <f t="shared" ca="1" si="1"/>
        <v>충분</v>
      </c>
      <c r="F16" s="115" t="s">
        <v>1472</v>
      </c>
      <c r="H16" s="124" t="s">
        <v>1192</v>
      </c>
      <c r="I16" s="125">
        <f ca="1">SUM(D16:D17,D20)</f>
        <v>38</v>
      </c>
    </row>
    <row r="17" spans="1:6" ht="30" customHeight="1">
      <c r="A17" s="114" t="s">
        <v>384</v>
      </c>
      <c r="B17" s="114">
        <f>SUMIFS(복귀_토_하체전면!$E:$E,복귀_토_하체전면!$C:$C,$A17)+SUMIFS(복귀_일_수평당기기!$E:$E,복귀_일_수평당기기!$C:$C,$A17)+SUMIFS(복귀_월_가슴!$E:$E,복귀_월_가슴!$C:$C,$A17)+SUMIFS(복귀_화_팔!$E:$E,복귀_화_팔!$C:$C,$A17)+SUMIFS(복귀_수_하체후면!$E:$E,복귀_수_하체후면!$C:$C,$A17)+SUMIFS(복귀_목_수직당기기!$E:$E,복귀_목_수직당기기!$C:$C,$A17)</f>
        <v>10</v>
      </c>
      <c r="C17" s="114">
        <f ca="1">MROUND(SUMIFS(복귀_간접계수맵!$F$7:$F$98,복귀_간접계수맵!$C$7:$C$98,$A17),0.5)</f>
        <v>2.5</v>
      </c>
      <c r="D17" s="114">
        <f t="shared" ca="1" si="0"/>
        <v>12.5</v>
      </c>
      <c r="E17" s="114" t="str">
        <f t="shared" ca="1" si="1"/>
        <v>충분</v>
      </c>
      <c r="F17" s="115" t="s">
        <v>1438</v>
      </c>
    </row>
    <row r="18" spans="1:6" ht="30" customHeight="1">
      <c r="A18" s="114" t="s">
        <v>375</v>
      </c>
      <c r="B18" s="114">
        <f>SUMIFS(복귀_토_하체전면!$E:$E,복귀_토_하체전면!$C:$C,$A18)+SUMIFS(복귀_일_수평당기기!$E:$E,복귀_일_수평당기기!$C:$C,$A18)+SUMIFS(복귀_월_가슴!$E:$E,복귀_월_가슴!$C:$C,$A18)+SUMIFS(복귀_화_팔!$E:$E,복귀_화_팔!$C:$C,$A18)+SUMIFS(복귀_수_하체후면!$E:$E,복귀_수_하체후면!$C:$C,$A18)+SUMIFS(복귀_목_수직당기기!$E:$E,복귀_목_수직당기기!$C:$C,$A18)</f>
        <v>8</v>
      </c>
      <c r="C18" s="114">
        <f ca="1">MROUND(SUMIFS(복귀_간접계수맵!$F$7:$F$98,복귀_간접계수맵!$C$7:$C$98,$A18),0.5)</f>
        <v>7</v>
      </c>
      <c r="D18" s="114">
        <f t="shared" ca="1" si="0"/>
        <v>15</v>
      </c>
      <c r="E18" s="114" t="str">
        <f t="shared" ca="1" si="1"/>
        <v>충분</v>
      </c>
      <c r="F18" s="115" t="s">
        <v>1436</v>
      </c>
    </row>
    <row r="19" spans="1:6" ht="30" customHeight="1">
      <c r="A19" s="114" t="s">
        <v>393</v>
      </c>
      <c r="B19" s="114">
        <f>SUMIFS(복귀_토_하체전면!$E:$E,복귀_토_하체전면!$C:$C,$A19)+SUMIFS(복귀_일_수평당기기!$E:$E,복귀_일_수평당기기!$C:$C,$A19)+SUMIFS(복귀_월_가슴!$E:$E,복귀_월_가슴!$C:$C,$A19)+SUMIFS(복귀_화_팔!$E:$E,복귀_화_팔!$C:$C,$A19)+SUMIFS(복귀_수_하체후면!$E:$E,복귀_수_하체후면!$C:$C,$A19)+SUMIFS(복귀_목_수직당기기!$E:$E,복귀_목_수직당기기!$C:$C,$A19)</f>
        <v>11</v>
      </c>
      <c r="C19" s="114">
        <f>MROUND(SUMIFS(복귀_간접계수맵!$F$7:$F$98,복귀_간접계수맵!$C$7:$C$98,$A19),0.5)</f>
        <v>0</v>
      </c>
      <c r="D19" s="114">
        <f t="shared" si="0"/>
        <v>11</v>
      </c>
      <c r="E19" s="114" t="str">
        <f t="shared" si="1"/>
        <v>충분</v>
      </c>
      <c r="F19" s="115" t="s">
        <v>1423</v>
      </c>
    </row>
    <row r="20" spans="1:6" ht="30" customHeight="1">
      <c r="A20" s="114" t="s">
        <v>308</v>
      </c>
      <c r="B20" s="114">
        <f>SUMIFS(복귀_토_하체전면!$E:$E,복귀_토_하체전면!$C:$C,$A20)+SUMIFS(복귀_일_수평당기기!$E:$E,복귀_일_수평당기기!$C:$C,$A20)+SUMIFS(복귀_월_가슴!$E:$E,복귀_월_가슴!$C:$C,$A20)+SUMIFS(복귀_화_팔!$E:$E,복귀_화_팔!$C:$C,$A20)+SUMIFS(복귀_수_하체후면!$E:$E,복귀_수_하체후면!$C:$C,$A20)+SUMIFS(복귀_목_수직당기기!$E:$E,복귀_목_수직당기기!$C:$C,$A20)</f>
        <v>12</v>
      </c>
      <c r="C20" s="114">
        <f ca="1">MROUND(SUMIFS(복귀_간접계수맵!$F$7:$F$98,복귀_간접계수맵!$C$7:$C$98,$A20),0.5)</f>
        <v>0</v>
      </c>
      <c r="D20" s="114">
        <f t="shared" ca="1" si="0"/>
        <v>12</v>
      </c>
      <c r="E20" s="114" t="str">
        <f t="shared" ca="1" si="1"/>
        <v>충분</v>
      </c>
      <c r="F20" s="115" t="s">
        <v>1193</v>
      </c>
    </row>
    <row r="21" spans="1:6" ht="30" customHeight="1">
      <c r="A21" s="114" t="s">
        <v>269</v>
      </c>
      <c r="B21" s="114">
        <f>SUMIFS(복귀_토_하체전면!$E:$E,복귀_토_하체전면!$C:$C,$A21)+SUMIFS(복귀_일_수평당기기!$E:$E,복귀_일_수평당기기!$C:$C,$A21)+SUMIFS(복귀_월_가슴!$E:$E,복귀_월_가슴!$C:$C,$A21)+SUMIFS(복귀_화_팔!$E:$E,복귀_화_팔!$C:$C,$A21)+SUMIFS(복귀_수_하체후면!$E:$E,복귀_수_하체후면!$C:$C,$A21)+SUMIFS(복귀_목_수직당기기!$E:$E,복귀_목_수직당기기!$C:$C,$A21)</f>
        <v>13</v>
      </c>
      <c r="C21" s="114">
        <f ca="1">MROUND(SUMIFS(복귀_간접계수맵!$F$7:$F$98,복귀_간접계수맵!$C$7:$C$98,$A21),0.5)</f>
        <v>8</v>
      </c>
      <c r="D21" s="114">
        <f t="shared" ca="1" si="0"/>
        <v>21</v>
      </c>
      <c r="E21" s="114" t="str">
        <f t="shared" ca="1" si="1"/>
        <v>과다 점검</v>
      </c>
      <c r="F21" s="115" t="s">
        <v>1404</v>
      </c>
    </row>
    <row r="22" spans="1:6" ht="30" customHeight="1">
      <c r="A22" s="114" t="s">
        <v>345</v>
      </c>
      <c r="B22" s="114">
        <f>SUMIFS(복귀_토_하체전면!$E:$E,복귀_토_하체전면!$C:$C,$A22)+SUMIFS(복귀_일_수평당기기!$E:$E,복귀_일_수평당기기!$C:$C,$A22)+SUMIFS(복귀_월_가슴!$E:$E,복귀_월_가슴!$C:$C,$A22)+SUMIFS(복귀_화_팔!$E:$E,복귀_화_팔!$C:$C,$A22)+SUMIFS(복귀_수_하체후면!$E:$E,복귀_수_하체후면!$C:$C,$A22)+SUMIFS(복귀_목_수직당기기!$E:$E,복귀_목_수직당기기!$C:$C,$A22)</f>
        <v>12</v>
      </c>
      <c r="C22" s="114">
        <f ca="1">MROUND(SUMIFS(복귀_간접계수맵!$F$7:$F$98,복귀_간접계수맵!$C$7:$C$98,$A22),0.5)</f>
        <v>9.5</v>
      </c>
      <c r="D22" s="114">
        <f t="shared" ca="1" si="0"/>
        <v>21.5</v>
      </c>
      <c r="E22" s="114" t="str">
        <f t="shared" ca="1" si="1"/>
        <v>과다 점검</v>
      </c>
      <c r="F22" s="115" t="s">
        <v>1564</v>
      </c>
    </row>
    <row r="23" spans="1:6" ht="30" customHeight="1">
      <c r="A23" s="114" t="s">
        <v>295</v>
      </c>
      <c r="B23" s="114">
        <f>SUMIFS(복귀_토_하체전면!$E:$E,복귀_토_하체전면!$C:$C,$A23)+SUMIFS(복귀_일_수평당기기!$E:$E,복귀_일_수평당기기!$C:$C,$A23)+SUMIFS(복귀_월_가슴!$E:$E,복귀_월_가슴!$C:$C,$A23)+SUMIFS(복귀_화_팔!$E:$E,복귀_화_팔!$C:$C,$A23)+SUMIFS(복귀_수_하체후면!$E:$E,복귀_수_하체후면!$C:$C,$A23)+SUMIFS(복귀_목_수직당기기!$E:$E,복귀_목_수직당기기!$C:$C,$A23)</f>
        <v>17</v>
      </c>
      <c r="C23" s="114">
        <f ca="1">MROUND(SUMIFS(복귀_간접계수맵!$F$7:$F$98,복귀_간접계수맵!$C$7:$C$98,$A23),0.5)</f>
        <v>5</v>
      </c>
      <c r="D23" s="114">
        <f t="shared" ca="1" si="0"/>
        <v>22</v>
      </c>
      <c r="E23" s="114" t="str">
        <f t="shared" ca="1" si="1"/>
        <v>과다 점검</v>
      </c>
      <c r="F23" s="115" t="s">
        <v>1405</v>
      </c>
    </row>
    <row r="24" spans="1:6" ht="30" customHeight="1">
      <c r="A24" s="114" t="s">
        <v>299</v>
      </c>
      <c r="B24" s="114">
        <f>SUMIFS(복귀_토_하체전면!$E:$E,복귀_토_하체전면!$C:$C,$A24)+SUMIFS(복귀_일_수평당기기!$E:$E,복귀_일_수평당기기!$C:$C,$A24)+SUMIFS(복귀_월_가슴!$E:$E,복귀_월_가슴!$C:$C,$A24)+SUMIFS(복귀_화_팔!$E:$E,복귀_화_팔!$C:$C,$A24)+SUMIFS(복귀_수_하체후면!$E:$E,복귀_수_하체후면!$C:$C,$A24)+SUMIFS(복귀_목_수직당기기!$E:$E,복귀_목_수직당기기!$C:$C,$A24)</f>
        <v>6</v>
      </c>
      <c r="C24" s="114">
        <f ca="1">MROUND(SUMIFS(복귀_간접계수맵!$F$7:$F$98,복귀_간접계수맵!$C$7:$C$98,$A24),0.5)</f>
        <v>0</v>
      </c>
      <c r="D24" s="114">
        <f t="shared" ca="1" si="0"/>
        <v>6</v>
      </c>
      <c r="E24" s="114" t="str">
        <f t="shared" ca="1" si="1"/>
        <v>보완 필요</v>
      </c>
      <c r="F24" s="115" t="s">
        <v>1488</v>
      </c>
    </row>
    <row r="25" spans="1:6" ht="30" customHeight="1">
      <c r="A25" s="114" t="s">
        <v>388</v>
      </c>
      <c r="B25" s="114">
        <f>SUMIFS(복귀_토_하체전면!$E:$E,복귀_토_하체전면!$C:$C,$A25)+SUMIFS(복귀_일_수평당기기!$E:$E,복귀_일_수평당기기!$C:$C,$A25)+SUMIFS(복귀_월_가슴!$E:$E,복귀_월_가슴!$C:$C,$A25)+SUMIFS(복귀_화_팔!$E:$E,복귀_화_팔!$C:$C,$A25)+SUMIFS(복귀_수_하체후면!$E:$E,복귀_수_하체후면!$C:$C,$A25)+SUMIFS(복귀_목_수직당기기!$E:$E,복귀_목_수직당기기!$C:$C,$A25)</f>
        <v>8</v>
      </c>
      <c r="C25" s="114">
        <f ca="1">MROUND(SUMIFS(복귀_간접계수맵!$F$7:$F$98,복귀_간접계수맵!$C$7:$C$98,$A25),0.5)</f>
        <v>4.5</v>
      </c>
      <c r="D25" s="114">
        <f t="shared" ca="1" si="0"/>
        <v>12.5</v>
      </c>
      <c r="E25" s="114" t="str">
        <f t="shared" ca="1" si="1"/>
        <v>충분</v>
      </c>
      <c r="F25" s="115" t="s">
        <v>1424</v>
      </c>
    </row>
    <row r="26" spans="1:6" ht="30" customHeight="1">
      <c r="A26" s="114" t="s">
        <v>912</v>
      </c>
      <c r="B26" s="114">
        <f>SUMIFS(복귀_토_하체전면!$E:$E,복귀_토_하체전면!$C:$C,$A26)+SUMIFS(복귀_일_수평당기기!$E:$E,복귀_일_수평당기기!$C:$C,$A26)+SUMIFS(복귀_월_가슴!$E:$E,복귀_월_가슴!$C:$C,$A26)+SUMIFS(복귀_화_팔!$E:$E,복귀_화_팔!$C:$C,$A26)+SUMIFS(복귀_수_하체후면!$E:$E,복귀_수_하체후면!$C:$C,$A26)+SUMIFS(복귀_목_수직당기기!$E:$E,복귀_목_수직당기기!$C:$C,$A26)</f>
        <v>6</v>
      </c>
      <c r="C26" s="114">
        <f ca="1">MROUND(SUMIFS(복귀_간접계수맵!$F$7:$F$98,복귀_간접계수맵!$C$7:$C$98,$A26),0.5)</f>
        <v>0</v>
      </c>
      <c r="D26" s="114">
        <f t="shared" ca="1" si="0"/>
        <v>6</v>
      </c>
      <c r="E26" s="114" t="str">
        <f t="shared" ca="1" si="1"/>
        <v>보완 필요</v>
      </c>
      <c r="F26" s="115" t="s">
        <v>1194</v>
      </c>
    </row>
    <row r="27" spans="1:6">
      <c r="A27" s="107" t="s">
        <v>759</v>
      </c>
      <c r="B27" s="116">
        <f>SUM(B5:B26)</f>
        <v>235</v>
      </c>
      <c r="D27" s="116">
        <f ca="1">SUM(D5:D26)</f>
        <v>308</v>
      </c>
    </row>
    <row r="29" spans="1:6">
      <c r="A29" s="107" t="s">
        <v>760</v>
      </c>
    </row>
    <row r="30" spans="1:6">
      <c r="A30" s="123" t="s">
        <v>1195</v>
      </c>
    </row>
    <row r="31" spans="1:6">
      <c r="A31" s="123" t="s">
        <v>1196</v>
      </c>
    </row>
    <row r="32" spans="1:6">
      <c r="A32" s="123" t="s">
        <v>1197</v>
      </c>
    </row>
    <row r="33" spans="1:1">
      <c r="A33" s="123" t="s">
        <v>1198</v>
      </c>
    </row>
    <row r="35" spans="1:1">
      <c r="A35" s="107" t="s">
        <v>1199</v>
      </c>
    </row>
    <row r="36" spans="1:1">
      <c r="A36" s="123" t="s">
        <v>1200</v>
      </c>
    </row>
    <row r="37" spans="1:1">
      <c r="A37" s="123" t="s">
        <v>1201</v>
      </c>
    </row>
    <row r="38" spans="1:1">
      <c r="A38" s="123" t="s">
        <v>1202</v>
      </c>
    </row>
    <row r="39" spans="1:1">
      <c r="A39" s="123" t="s">
        <v>1203</v>
      </c>
    </row>
    <row r="40" spans="1:1">
      <c r="A40" s="123" t="s">
        <v>1204</v>
      </c>
    </row>
    <row r="41" spans="1:1">
      <c r="A41" s="123" t="s">
        <v>1205</v>
      </c>
    </row>
    <row r="42" spans="1:1">
      <c r="A42" s="123" t="s">
        <v>1206</v>
      </c>
    </row>
    <row r="43" spans="1:1">
      <c r="A43" s="123" t="s">
        <v>1207</v>
      </c>
    </row>
    <row r="44" spans="1:1">
      <c r="A44" s="123" t="s">
        <v>1208</v>
      </c>
    </row>
    <row r="45" spans="1:1">
      <c r="A45" s="123" t="s">
        <v>1324</v>
      </c>
    </row>
    <row r="47" spans="1:1">
      <c r="A47" s="107" t="s">
        <v>1209</v>
      </c>
    </row>
    <row r="48" spans="1:1">
      <c r="A48" s="123" t="s">
        <v>1210</v>
      </c>
    </row>
    <row r="49" spans="1:1">
      <c r="A49" s="123" t="s">
        <v>1211</v>
      </c>
    </row>
    <row r="50" spans="1:1">
      <c r="A50" s="123" t="s">
        <v>1212</v>
      </c>
    </row>
    <row r="51" spans="1:1">
      <c r="A51" s="123" t="s">
        <v>1213</v>
      </c>
    </row>
    <row r="53" spans="1:1">
      <c r="A53" s="107" t="s">
        <v>1214</v>
      </c>
    </row>
    <row r="54" spans="1:1">
      <c r="A54" s="123" t="s">
        <v>1215</v>
      </c>
    </row>
    <row r="55" spans="1:1">
      <c r="A55" s="123" t="s">
        <v>1458</v>
      </c>
    </row>
    <row r="56" spans="1:1">
      <c r="A56" s="123" t="s">
        <v>1216</v>
      </c>
    </row>
    <row r="57" spans="1:1">
      <c r="A57" s="123" t="s">
        <v>1217</v>
      </c>
    </row>
    <row r="58" spans="1:1">
      <c r="A58" s="123" t="s">
        <v>1218</v>
      </c>
    </row>
    <row r="59" spans="1:1">
      <c r="A59" s="123" t="s">
        <v>1219</v>
      </c>
    </row>
    <row r="60" spans="1:1">
      <c r="A60" s="123" t="s">
        <v>1295</v>
      </c>
    </row>
    <row r="61" spans="1:1">
      <c r="A61" s="123" t="s">
        <v>1220</v>
      </c>
    </row>
    <row r="62" spans="1:1">
      <c r="A62" s="123" t="s">
        <v>1398</v>
      </c>
    </row>
    <row r="63" spans="1:1">
      <c r="A63" s="123" t="s">
        <v>1454</v>
      </c>
    </row>
    <row r="65" spans="1:1">
      <c r="A65" s="107" t="s">
        <v>1221</v>
      </c>
    </row>
    <row r="66" spans="1:1">
      <c r="A66" s="123" t="s">
        <v>1222</v>
      </c>
    </row>
    <row r="67" spans="1:1">
      <c r="A67" s="123" t="s">
        <v>1223</v>
      </c>
    </row>
    <row r="68" spans="1:1">
      <c r="A68" s="123" t="s">
        <v>1224</v>
      </c>
    </row>
    <row r="69" spans="1:1">
      <c r="A69" s="123" t="s">
        <v>1225</v>
      </c>
    </row>
    <row r="70" spans="1:1">
      <c r="A70" s="123" t="s">
        <v>1226</v>
      </c>
    </row>
    <row r="71" spans="1:1">
      <c r="A71" s="123" t="s">
        <v>1425</v>
      </c>
    </row>
    <row r="72" spans="1:1">
      <c r="A72" s="123" t="s">
        <v>1227</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27</vt:i4>
      </vt:variant>
    </vt:vector>
  </HeadingPairs>
  <TitlesOfParts>
    <vt:vector size="27"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복귀_일_수평당기기</vt:lpstr>
      <vt:lpstr>복귀_집계단</vt:lpstr>
      <vt:lpstr>복귀_월_가슴</vt:lpstr>
      <vt:lpstr>복귀_화_팔</vt:lpstr>
      <vt:lpstr>복귀_수_하체후면</vt:lpstr>
      <vt:lpstr>복귀_목_수직당기기</vt:lpstr>
      <vt:lpstr>복귀_캐리</vt:lpstr>
      <vt:lpstr>복귀_스텝박스</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2026-10-23T19:16:02Z</dcterms:modified>
  <dc:language>en-US</dc:language>
</cp:coreProperties>
</file>