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2bc197408547891/Desktop/운동/"/>
    </mc:Choice>
  </mc:AlternateContent>
  <xr:revisionPtr revIDLastSave="30" documentId="13_ncr:1_{721FE110-B732-4B30-A8F5-2007FAAB75A3}" xr6:coauthVersionLast="47" xr6:coauthVersionMax="47" xr10:uidLastSave="{227D4087-DFF4-45A5-AF6E-05FCBA819130}"/>
  <bookViews>
    <workbookView xWindow="-120" yWindow="-120" windowWidth="38640" windowHeight="21120" tabRatio="883" activeTab="3" xr2:uid="{00000000-000D-0000-FFFF-FFFF00000000}"/>
  </bookViews>
  <sheets>
    <sheet name="시작중량_설정" sheetId="1" r:id="rId1"/>
    <sheet name="주간계획" sheetId="2" r:id="rId2"/>
    <sheet name="월_당기기A" sheetId="3" r:id="rId3"/>
    <sheet name="화_밀기A" sheetId="4" r:id="rId4"/>
    <sheet name="수_하체A" sheetId="5" r:id="rId5"/>
    <sheet name="목_당기기B" sheetId="6" r:id="rId6"/>
    <sheet name="금_밀기B" sheetId="7" r:id="rId7"/>
    <sheet name="토_하체B" sheetId="8" r:id="rId8"/>
    <sheet name="간접계수맵" sheetId="9" r:id="rId9"/>
    <sheet name="세트검산" sheetId="10" r:id="rId10"/>
    <sheet name="증량기록" sheetId="11" r:id="rId11"/>
    <sheet name="9월이후조정" sheetId="12" r:id="rId12"/>
    <sheet name="복귀_주간계획" sheetId="13" r:id="rId13"/>
    <sheet name="복귀_화_상체밀기" sheetId="14" r:id="rId14"/>
    <sheet name="복귀_토_하체" sheetId="15" r:id="rId15"/>
    <sheet name="복귀_일_등" sheetId="16" r:id="rId16"/>
    <sheet name="복귀_증량원칙" sheetId="17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" i="11" l="1"/>
  <c r="E13" i="16"/>
  <c r="E12" i="13" s="1"/>
  <c r="E12" i="15"/>
  <c r="E11" i="14"/>
  <c r="E11" i="13"/>
  <c r="E7" i="13"/>
  <c r="E13" i="13" s="1"/>
  <c r="B24" i="10"/>
  <c r="C23" i="10"/>
  <c r="B23" i="10"/>
  <c r="D23" i="10" s="1"/>
  <c r="E23" i="10" s="1"/>
  <c r="B22" i="10"/>
  <c r="B21" i="10"/>
  <c r="B20" i="10"/>
  <c r="C19" i="10"/>
  <c r="B19" i="10"/>
  <c r="D19" i="10" s="1"/>
  <c r="E19" i="10" s="1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E23" i="8"/>
  <c r="E10" i="2" s="1"/>
  <c r="E29" i="7"/>
  <c r="E9" i="2" s="1"/>
  <c r="E14" i="6"/>
  <c r="E8" i="2" s="1"/>
  <c r="E23" i="5"/>
  <c r="E7" i="2" s="1"/>
  <c r="A6" i="5"/>
  <c r="E26" i="4"/>
  <c r="E15" i="3"/>
  <c r="E6" i="2"/>
  <c r="E5" i="2"/>
  <c r="E40" i="1"/>
  <c r="C40" i="1"/>
  <c r="B40" i="1"/>
  <c r="E10" i="1"/>
  <c r="A7" i="7" s="1"/>
  <c r="C10" i="1"/>
  <c r="C9" i="1"/>
  <c r="C8" i="1"/>
  <c r="E7" i="1"/>
  <c r="D15" i="5" s="1"/>
  <c r="C7" i="1"/>
  <c r="C12" i="11"/>
  <c r="B42" i="1" s="1"/>
  <c r="I11" i="11"/>
  <c r="I12" i="11" s="1"/>
  <c r="G11" i="11"/>
  <c r="E9" i="1" s="1"/>
  <c r="C11" i="11"/>
  <c r="B41" i="1" s="1"/>
  <c r="I10" i="11"/>
  <c r="G10" i="11"/>
  <c r="D40" i="1" s="1"/>
  <c r="E10" i="11"/>
  <c r="E11" i="11" s="1"/>
  <c r="C10" i="11"/>
  <c r="E28" i="9"/>
  <c r="E41" i="9"/>
  <c r="E51" i="9"/>
  <c r="E49" i="9"/>
  <c r="E31" i="9"/>
  <c r="E53" i="9"/>
  <c r="E25" i="9"/>
  <c r="E56" i="9"/>
  <c r="E16" i="9"/>
  <c r="E13" i="9"/>
  <c r="E47" i="9"/>
  <c r="E35" i="9"/>
  <c r="E42" i="9"/>
  <c r="E34" i="9"/>
  <c r="E40" i="9"/>
  <c r="E22" i="9"/>
  <c r="E48" i="9"/>
  <c r="E57" i="9"/>
  <c r="E14" i="9"/>
  <c r="E11" i="9"/>
  <c r="E9" i="9"/>
  <c r="E15" i="9"/>
  <c r="E18" i="9"/>
  <c r="E37" i="9"/>
  <c r="E54" i="9"/>
  <c r="E50" i="9"/>
  <c r="E24" i="9"/>
  <c r="E29" i="9"/>
  <c r="E33" i="9"/>
  <c r="E46" i="9"/>
  <c r="E45" i="9"/>
  <c r="E12" i="9"/>
  <c r="E52" i="9"/>
  <c r="E26" i="9"/>
  <c r="E30" i="9"/>
  <c r="E8" i="9"/>
  <c r="E21" i="9"/>
  <c r="E38" i="9"/>
  <c r="E39" i="9"/>
  <c r="E10" i="9"/>
  <c r="E36" i="9"/>
  <c r="E17" i="9"/>
  <c r="E23" i="9"/>
  <c r="E32" i="9"/>
  <c r="E27" i="9"/>
  <c r="E43" i="9"/>
  <c r="E20" i="9"/>
  <c r="E55" i="9"/>
  <c r="E44" i="9"/>
  <c r="E19" i="9"/>
  <c r="E7" i="9"/>
  <c r="B25" i="10" l="1"/>
  <c r="E12" i="2"/>
  <c r="F42" i="9"/>
  <c r="F12" i="9"/>
  <c r="F24" i="9"/>
  <c r="F54" i="9"/>
  <c r="F14" i="9"/>
  <c r="F32" i="9"/>
  <c r="F50" i="9"/>
  <c r="F45" i="9"/>
  <c r="C6" i="10" s="1"/>
  <c r="D6" i="10" s="1"/>
  <c r="E6" i="10" s="1"/>
  <c r="F21" i="9"/>
  <c r="C13" i="10" s="1"/>
  <c r="D13" i="10" s="1"/>
  <c r="E13" i="10" s="1"/>
  <c r="F18" i="9"/>
  <c r="F30" i="9"/>
  <c r="F48" i="9"/>
  <c r="F13" i="9"/>
  <c r="F25" i="9"/>
  <c r="F49" i="9"/>
  <c r="C9" i="10" s="1"/>
  <c r="D9" i="10" s="1"/>
  <c r="E9" i="10" s="1"/>
  <c r="F9" i="9"/>
  <c r="F27" i="9"/>
  <c r="F51" i="9"/>
  <c r="F10" i="9"/>
  <c r="F16" i="9"/>
  <c r="F22" i="9"/>
  <c r="C14" i="10" s="1"/>
  <c r="D14" i="10" s="1"/>
  <c r="E14" i="10" s="1"/>
  <c r="F28" i="9"/>
  <c r="F34" i="9"/>
  <c r="F40" i="9"/>
  <c r="C7" i="10" s="1"/>
  <c r="D7" i="10" s="1"/>
  <c r="F46" i="9"/>
  <c r="F52" i="9"/>
  <c r="F36" i="9"/>
  <c r="F7" i="9"/>
  <c r="F19" i="9"/>
  <c r="F31" i="9"/>
  <c r="F37" i="9"/>
  <c r="F43" i="9"/>
  <c r="F55" i="9"/>
  <c r="F8" i="9"/>
  <c r="F20" i="9"/>
  <c r="F26" i="9"/>
  <c r="F38" i="9"/>
  <c r="C15" i="10" s="1"/>
  <c r="D15" i="10" s="1"/>
  <c r="F44" i="9"/>
  <c r="C5" i="10" s="1"/>
  <c r="D5" i="10" s="1"/>
  <c r="F56" i="9"/>
  <c r="F15" i="9"/>
  <c r="F33" i="9"/>
  <c r="F39" i="9"/>
  <c r="C18" i="10" s="1"/>
  <c r="D18" i="10" s="1"/>
  <c r="E18" i="10" s="1"/>
  <c r="F57" i="9"/>
  <c r="F11" i="9"/>
  <c r="F17" i="9"/>
  <c r="F23" i="9"/>
  <c r="F29" i="9"/>
  <c r="F35" i="9"/>
  <c r="F41" i="9"/>
  <c r="F47" i="9"/>
  <c r="F53" i="9"/>
  <c r="I13" i="11"/>
  <c r="E42" i="1"/>
  <c r="E8" i="1"/>
  <c r="C41" i="1"/>
  <c r="E12" i="11"/>
  <c r="A7" i="4"/>
  <c r="D20" i="4"/>
  <c r="A6" i="4"/>
  <c r="A10" i="4"/>
  <c r="D5" i="14"/>
  <c r="A9" i="4"/>
  <c r="A8" i="4"/>
  <c r="G12" i="11"/>
  <c r="A9" i="7"/>
  <c r="C13" i="11"/>
  <c r="A7" i="5"/>
  <c r="D20" i="7"/>
  <c r="A10" i="7"/>
  <c r="D5" i="15"/>
  <c r="D11" i="15"/>
  <c r="A8" i="7"/>
  <c r="A8" i="5"/>
  <c r="D41" i="1"/>
  <c r="A9" i="5"/>
  <c r="E41" i="1"/>
  <c r="A10" i="5"/>
  <c r="A6" i="7"/>
  <c r="C24" i="10" l="1"/>
  <c r="D24" i="10" s="1"/>
  <c r="E24" i="10" s="1"/>
  <c r="C11" i="10"/>
  <c r="D11" i="10" s="1"/>
  <c r="E11" i="10" s="1"/>
  <c r="C12" i="10"/>
  <c r="D12" i="10" s="1"/>
  <c r="E12" i="10" s="1"/>
  <c r="E7" i="10"/>
  <c r="E15" i="10"/>
  <c r="C17" i="10"/>
  <c r="D17" i="10" s="1"/>
  <c r="C21" i="10"/>
  <c r="D21" i="10" s="1"/>
  <c r="E21" i="10" s="1"/>
  <c r="C14" i="11"/>
  <c r="B43" i="1"/>
  <c r="C16" i="10"/>
  <c r="D16" i="10" s="1"/>
  <c r="E16" i="10" s="1"/>
  <c r="G13" i="11"/>
  <c r="D42" i="1"/>
  <c r="C42" i="1"/>
  <c r="E13" i="11"/>
  <c r="I14" i="11"/>
  <c r="E43" i="1"/>
  <c r="C22" i="10"/>
  <c r="D22" i="10" s="1"/>
  <c r="E22" i="10" s="1"/>
  <c r="F58" i="9"/>
  <c r="C20" i="10"/>
  <c r="D20" i="10" s="1"/>
  <c r="E20" i="10" s="1"/>
  <c r="C10" i="10"/>
  <c r="D10" i="10" s="1"/>
  <c r="E10" i="10" s="1"/>
  <c r="A9" i="8"/>
  <c r="D5" i="16"/>
  <c r="A8" i="8"/>
  <c r="A7" i="8"/>
  <c r="A6" i="8"/>
  <c r="D15" i="8"/>
  <c r="A10" i="8"/>
  <c r="H5" i="10"/>
  <c r="I5" i="10" s="1"/>
  <c r="E5" i="10"/>
  <c r="C8" i="10"/>
  <c r="D8" i="10" s="1"/>
  <c r="E8" i="10" s="1"/>
  <c r="H7" i="10" l="1"/>
  <c r="D43" i="1"/>
  <c r="G14" i="11"/>
  <c r="B44" i="1"/>
  <c r="C15" i="11"/>
  <c r="H17" i="10"/>
  <c r="E17" i="10"/>
  <c r="H15" i="10"/>
  <c r="D25" i="10"/>
  <c r="E44" i="1"/>
  <c r="I15" i="11"/>
  <c r="E14" i="11"/>
  <c r="C43" i="1"/>
  <c r="E15" i="11" l="1"/>
  <c r="C44" i="1"/>
  <c r="D44" i="1"/>
  <c r="G15" i="11"/>
  <c r="E45" i="1"/>
  <c r="I16" i="11"/>
  <c r="B45" i="1"/>
  <c r="C16" i="11"/>
  <c r="C17" i="11" l="1"/>
  <c r="B46" i="1"/>
  <c r="E46" i="1"/>
  <c r="I17" i="11"/>
  <c r="G16" i="11"/>
  <c r="D45" i="1"/>
  <c r="C45" i="1"/>
  <c r="E16" i="11"/>
  <c r="E17" i="11" l="1"/>
  <c r="C46" i="1"/>
  <c r="D46" i="1"/>
  <c r="G17" i="11"/>
  <c r="I18" i="11"/>
  <c r="E47" i="1"/>
  <c r="C18" i="11"/>
  <c r="B47" i="1"/>
  <c r="B48" i="1" l="1"/>
  <c r="C19" i="11"/>
  <c r="I19" i="11"/>
  <c r="E48" i="1"/>
  <c r="D47" i="1"/>
  <c r="G18" i="11"/>
  <c r="C47" i="1"/>
  <c r="E18" i="11"/>
  <c r="C48" i="1" l="1"/>
  <c r="E19" i="11"/>
  <c r="G19" i="11"/>
  <c r="D48" i="1"/>
  <c r="I20" i="11"/>
  <c r="E49" i="1"/>
  <c r="C20" i="11"/>
  <c r="B49" i="1"/>
  <c r="C21" i="11" l="1"/>
  <c r="B51" i="1" s="1"/>
  <c r="B50" i="1"/>
  <c r="E50" i="1"/>
  <c r="I21" i="11"/>
  <c r="E51" i="1" s="1"/>
  <c r="D49" i="1"/>
  <c r="G20" i="11"/>
  <c r="E20" i="11"/>
  <c r="C49" i="1"/>
  <c r="E21" i="11" l="1"/>
  <c r="C51" i="1" s="1"/>
  <c r="C50" i="1"/>
  <c r="D50" i="1"/>
  <c r="G21" i="11"/>
  <c r="D51" i="1" s="1"/>
</calcChain>
</file>

<file path=xl/sharedStrings.xml><?xml version="1.0" encoding="utf-8"?>
<sst xmlns="http://schemas.openxmlformats.org/spreadsheetml/2006/main" count="1217" uniqueCount="673">
  <si>
    <t>시작 중량 설정 — 5년 공백 후 복귀</t>
  </si>
  <si>
    <t>노란 칸 두 곳만 채우면 각 요일 시트의 웜업 램프와 본세트 중량이 전부 자동 계산됩니다.</t>
  </si>
  <si>
    <t>현재 주차</t>
  </si>
  <si>
    <t>← 매주 이 숫자만 바꾸면 요일 시트 중량이 그 주에 맞게 갱신됩니다 (1~12)</t>
  </si>
  <si>
    <t>종목</t>
  </si>
  <si>
    <r>
      <rPr>
        <b/>
        <sz val="10"/>
        <color rgb="FFFFFFFF"/>
        <rFont val="Arial"/>
        <family val="2"/>
        <charset val="1"/>
      </rPr>
      <t>5</t>
    </r>
    <r>
      <rPr>
        <b/>
        <sz val="10"/>
        <color rgb="FFFFFFFF"/>
        <rFont val="Noto Sans CJK SC"/>
        <family val="2"/>
      </rPr>
      <t>년 전 중량</t>
    </r>
  </si>
  <si>
    <t>권장 시작 (40%)</t>
  </si>
  <si>
    <t>시작 중량 ★입력★</t>
  </si>
  <si>
    <t>현재 작업중량</t>
  </si>
  <si>
    <t>본세트</t>
  </si>
  <si>
    <t>스쿼트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</si>
  <si>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5</t>
    </r>
    <r>
      <rPr>
        <sz val="10"/>
        <rFont val="Noto Sans CJK SC"/>
        <family val="2"/>
      </rPr>
      <t>세트</t>
    </r>
  </si>
  <si>
    <t>데드리프트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</si>
  <si>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1</t>
    </r>
    <r>
      <rPr>
        <sz val="10"/>
        <rFont val="Noto Sans CJK SC"/>
        <family val="2"/>
      </rPr>
      <t>세트</t>
    </r>
  </si>
  <si>
    <t>벤치프레스</t>
  </si>
  <si>
    <t>밀리터리 프레스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</si>
  <si>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3</t>
    </r>
    <r>
      <rPr>
        <sz val="10"/>
        <rFont val="Noto Sans CJK SC"/>
        <family val="2"/>
      </rPr>
      <t>세트</t>
    </r>
  </si>
  <si>
    <t>↑ 여기에 숫자를 직접 입력</t>
  </si>
  <si>
    <r>
      <rPr>
        <b/>
        <sz val="11"/>
        <rFont val="Arial"/>
        <family val="2"/>
        <charset val="1"/>
      </rPr>
      <t>D</t>
    </r>
    <r>
      <rPr>
        <b/>
        <sz val="11"/>
        <rFont val="Noto Sans CJK SC"/>
        <family val="2"/>
      </rPr>
      <t>열</t>
    </r>
    <r>
      <rPr>
        <b/>
        <sz val="11"/>
        <rFont val="Arial"/>
        <family val="2"/>
        <charset val="1"/>
      </rPr>
      <t>(</t>
    </r>
    <r>
      <rPr>
        <b/>
        <sz val="11"/>
        <rFont val="Noto Sans CJK SC"/>
        <family val="2"/>
      </rPr>
      <t>시작 중량</t>
    </r>
    <r>
      <rPr>
        <b/>
        <sz val="11"/>
        <rFont val="Arial"/>
        <family val="2"/>
        <charset val="1"/>
      </rPr>
      <t>)</t>
    </r>
    <r>
      <rPr>
        <b/>
        <sz val="11"/>
        <rFont val="Noto Sans CJK SC"/>
        <family val="2"/>
      </rPr>
      <t>을 바꾸는 법</t>
    </r>
  </si>
  <si>
    <r>
      <rPr>
        <i/>
        <sz val="9"/>
        <color rgb="FF595959"/>
        <rFont val="Arial"/>
        <family val="2"/>
        <charset val="1"/>
      </rPr>
      <t xml:space="preserve">· D7~D10 </t>
    </r>
    <r>
      <rPr>
        <i/>
        <sz val="9"/>
        <color rgb="FF595959"/>
        <rFont val="Noto Sans CJK SC"/>
        <family val="2"/>
      </rPr>
      <t>노란 칸에 원하는 숫자를 그냥 입력하면 됩니다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수식이 아니라 일반 숫자입니다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</si>
  <si>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예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스쿼트를 </t>
    </r>
    <r>
      <rPr>
        <i/>
        <sz val="9"/>
        <color rgb="FF595959"/>
        <rFont val="Arial"/>
        <family val="2"/>
        <charset val="1"/>
      </rPr>
      <t>30kg</t>
    </r>
    <r>
      <rPr>
        <i/>
        <sz val="9"/>
        <color rgb="FF595959"/>
        <rFont val="Noto Sans CJK SC"/>
        <family val="2"/>
      </rPr>
      <t xml:space="preserve">으로 시작하고 싶으면 </t>
    </r>
    <r>
      <rPr>
        <i/>
        <sz val="9"/>
        <color rgb="FF595959"/>
        <rFont val="Arial"/>
        <family val="2"/>
        <charset val="1"/>
      </rPr>
      <t>D7</t>
    </r>
    <r>
      <rPr>
        <i/>
        <sz val="9"/>
        <color rgb="FF595959"/>
        <rFont val="Noto Sans CJK SC"/>
        <family val="2"/>
      </rPr>
      <t xml:space="preserve">에 </t>
    </r>
    <r>
      <rPr>
        <i/>
        <sz val="9"/>
        <color rgb="FF595959"/>
        <rFont val="Arial"/>
        <family val="2"/>
        <charset val="1"/>
      </rPr>
      <t>30</t>
    </r>
    <r>
      <rPr>
        <i/>
        <sz val="9"/>
        <color rgb="FF595959"/>
        <rFont val="Noto Sans CJK SC"/>
        <family val="2"/>
      </rPr>
      <t>을 입력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나머지는 전부 자동으로 따라옵니다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</si>
  <si>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C</t>
    </r>
    <r>
      <rPr>
        <i/>
        <sz val="9"/>
        <color rgb="FF595959"/>
        <rFont val="Noto Sans CJK SC"/>
        <family val="2"/>
      </rPr>
      <t>열은 참고용 계산값이므로 건드리지 않아도 됩니다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</si>
  <si>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그리고 </t>
    </r>
    <r>
      <rPr>
        <i/>
        <sz val="9"/>
        <color rgb="FF595959"/>
        <rFont val="Arial"/>
        <family val="2"/>
        <charset val="1"/>
      </rPr>
      <t>C4</t>
    </r>
    <r>
      <rPr>
        <i/>
        <sz val="9"/>
        <color rgb="FF595959"/>
        <rFont val="Noto Sans CJK SC"/>
        <family val="2"/>
      </rPr>
      <t xml:space="preserve">의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현재 주차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 xml:space="preserve">는 매주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씩 올려주는 칸입니다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두 곳 외에는 손댈 필요가 없습니다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</si>
  <si>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5</t>
    </r>
    <r>
      <rPr>
        <b/>
        <sz val="11"/>
        <rFont val="Noto Sans CJK SC"/>
        <family val="2"/>
      </rPr>
      <t>년 공백 후 시작 중량 잡는 법</t>
    </r>
  </si>
  <si>
    <r>
      <rPr>
        <i/>
        <sz val="9"/>
        <color rgb="FF595959"/>
        <rFont val="Arial"/>
        <family val="2"/>
        <charset val="1"/>
      </rPr>
      <t>· 5</t>
    </r>
    <r>
      <rPr>
        <i/>
        <sz val="9"/>
        <color rgb="FF595959"/>
        <rFont val="Noto Sans CJK SC"/>
        <family val="2"/>
      </rPr>
      <t xml:space="preserve">년 쉬었으면 근력보다 관절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인대와 폼 감각이 먼저 무너져 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근육은 빨리 돌아오지만 이쪽은 느리다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</si>
  <si>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벤치와 프레스는 빈 봉</t>
    </r>
    <r>
      <rPr>
        <i/>
        <sz val="9"/>
        <color rgb="FF595959"/>
        <rFont val="Arial"/>
        <family val="2"/>
        <charset val="1"/>
      </rPr>
      <t>(20kg)</t>
    </r>
    <r>
      <rPr>
        <i/>
        <sz val="9"/>
        <color rgb="FF595959"/>
        <rFont val="Noto Sans CJK SC"/>
        <family val="2"/>
      </rPr>
      <t>에서 시작하는 것이 맞다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이것이 과한 것이 아니라 정상이다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</si>
  <si>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기준</t>
    </r>
    <r>
      <rPr>
        <i/>
        <sz val="9"/>
        <color rgb="FF595959"/>
        <rFont val="Arial"/>
        <family val="2"/>
        <charset val="1"/>
      </rPr>
      <t>: 10</t>
    </r>
    <r>
      <rPr>
        <i/>
        <sz val="9"/>
        <color rgb="FF595959"/>
        <rFont val="Noto Sans CJK SC"/>
        <family val="2"/>
      </rPr>
      <t xml:space="preserve">회는 할 수 있을 것 같은 무게로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회만 하는 것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여유가 크게 느껴져야 맞다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</si>
  <si>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첫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주는 훈련이 아니라 재적응 기간으로 본다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가볍다고 느껴도 그대로 간다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</si>
  <si>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너무 가볍게 시작해서 잃는 것은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주뿐이다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너무 무겁게 시작하면 몇 달을 잃는다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</si>
  <si>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5</t>
    </r>
    <r>
      <rPr>
        <i/>
        <sz val="9"/>
        <color rgb="FF595959"/>
        <rFont val="Noto Sans CJK SC"/>
        <family val="2"/>
      </rPr>
      <t>년 전 중량은 참고치일 뿐 목표가 아니다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다만 한 번 만들어본 근력은 처음 만들 때보다 빠르게 돌아온다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</si>
  <si>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주당 </t>
    </r>
    <r>
      <rPr>
        <i/>
        <sz val="9"/>
        <color rgb="FF595959"/>
        <rFont val="Arial"/>
        <family val="2"/>
        <charset val="1"/>
      </rPr>
      <t>2.5kg</t>
    </r>
    <r>
      <rPr>
        <i/>
        <sz val="9"/>
        <color rgb="FF595959"/>
        <rFont val="Noto Sans CJK SC"/>
        <family val="2"/>
      </rPr>
      <t xml:space="preserve">씩만 올라가도 </t>
    </r>
    <r>
      <rPr>
        <i/>
        <sz val="9"/>
        <color rgb="FF595959"/>
        <rFont val="Arial"/>
        <family val="2"/>
        <charset val="1"/>
      </rPr>
      <t>20</t>
    </r>
    <r>
      <rPr>
        <i/>
        <sz val="9"/>
        <color rgb="FF595959"/>
        <rFont val="Noto Sans CJK SC"/>
        <family val="2"/>
      </rPr>
      <t>주면 스쿼트가 예전 중량에 닿는다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조급해할 이유가 없다</t>
    </r>
    <r>
      <rPr>
        <i/>
        <sz val="9"/>
        <color rgb="FF595959"/>
        <rFont val="Arial"/>
        <family val="2"/>
        <charset val="1"/>
      </rPr>
      <t>.</t>
    </r>
  </si>
  <si>
    <t>사용법</t>
  </si>
  <si>
    <r>
      <rPr>
        <i/>
        <sz val="9"/>
        <color rgb="FF595959"/>
        <rFont val="Arial"/>
        <family val="2"/>
        <charset val="1"/>
      </rPr>
      <t>· 1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>: D7~D10</t>
    </r>
    <r>
      <rPr>
        <i/>
        <sz val="9"/>
        <color rgb="FF595959"/>
        <rFont val="Noto Sans CJK SC"/>
        <family val="2"/>
      </rPr>
      <t xml:space="preserve">에 시작 중량을 입력한다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기본값은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 xml:space="preserve">년 전 중량의 </t>
    </r>
    <r>
      <rPr>
        <i/>
        <sz val="9"/>
        <color rgb="FF595959"/>
        <rFont val="Arial"/>
        <family val="2"/>
        <charset val="1"/>
      </rPr>
      <t>40%).</t>
    </r>
  </si>
  <si>
    <r>
      <rPr>
        <i/>
        <sz val="9"/>
        <color rgb="FF595959"/>
        <rFont val="Arial"/>
        <family val="2"/>
        <charset val="1"/>
      </rPr>
      <t>· 2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증량기록 시트에서 매주 달성 여부에 </t>
    </r>
    <r>
      <rPr>
        <i/>
        <sz val="9"/>
        <color rgb="FF595959"/>
        <rFont val="Arial"/>
        <family val="2"/>
        <charset val="1"/>
      </rPr>
      <t>O / X</t>
    </r>
    <r>
      <rPr>
        <i/>
        <sz val="9"/>
        <color rgb="FF595959"/>
        <rFont val="Noto Sans CJK SC"/>
        <family val="2"/>
      </rPr>
      <t>를 입력한다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</si>
  <si>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3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>: C4</t>
    </r>
    <r>
      <rPr>
        <i/>
        <sz val="9"/>
        <color rgb="FF595959"/>
        <rFont val="Noto Sans CJK SC"/>
        <family val="2"/>
      </rPr>
      <t>의 현재 주차를 바꾸면 요일 시트의 웜업과 본세트 중량이 자동으로 따라온다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</si>
  <si>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웜업은 작업중량의 </t>
    </r>
    <r>
      <rPr>
        <i/>
        <sz val="9"/>
        <color rgb="FF595959"/>
        <rFont val="Arial"/>
        <family val="2"/>
        <charset val="1"/>
      </rPr>
      <t>40 / 60 / 75 / 90%</t>
    </r>
    <r>
      <rPr>
        <i/>
        <sz val="9"/>
        <color rgb="FF595959"/>
        <rFont val="Noto Sans CJK SC"/>
        <family val="2"/>
      </rPr>
      <t xml:space="preserve">로 자동 계산되며 </t>
    </r>
    <r>
      <rPr>
        <i/>
        <sz val="9"/>
        <color rgb="FF595959"/>
        <rFont val="Arial"/>
        <family val="2"/>
        <charset val="1"/>
      </rPr>
      <t xml:space="preserve">2.5kg </t>
    </r>
    <r>
      <rPr>
        <i/>
        <sz val="9"/>
        <color rgb="FF595959"/>
        <rFont val="Noto Sans CJK SC"/>
        <family val="2"/>
      </rPr>
      <t>단위로 반올림된다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</si>
  <si>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중량이 낮아 앞 세트와 겹치는 웜업은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생략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으로 자동 표시된다 — 웜업 세트 수가 스스로 조정된다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</si>
  <si>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20</t>
    </r>
    <r>
      <rPr>
        <i/>
        <sz val="9"/>
        <color rgb="FF595959"/>
        <rFont val="Noto Sans CJK SC"/>
        <family val="2"/>
      </rPr>
      <t>으로 표시되면 빈 봉이라는 뜻이다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</si>
  <si>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12</t>
    </r>
    <r>
      <rPr>
        <b/>
        <sz val="11"/>
        <rFont val="Noto Sans CJK SC"/>
        <family val="2"/>
      </rPr>
      <t xml:space="preserve">주 예상 진행 </t>
    </r>
    <r>
      <rPr>
        <b/>
        <sz val="11"/>
        <rFont val="Arial"/>
        <family val="2"/>
        <charset val="1"/>
      </rPr>
      <t xml:space="preserve">(X </t>
    </r>
    <r>
      <rPr>
        <b/>
        <sz val="11"/>
        <rFont val="Noto Sans CJK SC"/>
        <family val="2"/>
      </rPr>
      <t>입력이 없을 때</t>
    </r>
    <r>
      <rPr>
        <b/>
        <sz val="11"/>
        <rFont val="Arial"/>
        <family val="2"/>
        <charset val="1"/>
      </rPr>
      <t>)</t>
    </r>
  </si>
  <si>
    <t>주차</t>
  </si>
  <si>
    <r>
      <rPr>
        <b/>
        <sz val="10"/>
        <rFont val="Arial"/>
        <family val="2"/>
        <charset val="1"/>
      </rPr>
      <t>1</t>
    </r>
    <r>
      <rPr>
        <b/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</si>
  <si>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2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</si>
  <si>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3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</si>
  <si>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4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</si>
  <si>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</si>
  <si>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6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</si>
  <si>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7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</si>
  <si>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</si>
  <si>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9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</si>
  <si>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10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</si>
  <si>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11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</si>
  <si>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주차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</si>
  <si>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위 표는 </t>
    </r>
    <r>
      <rPr>
        <i/>
        <sz val="9"/>
        <color rgb="FF595959"/>
        <rFont val="Arial"/>
        <family val="2"/>
        <charset val="1"/>
      </rPr>
      <t xml:space="preserve">X </t>
    </r>
    <r>
      <rPr>
        <i/>
        <sz val="9"/>
        <color rgb="FF595959"/>
        <rFont val="Noto Sans CJK SC"/>
        <family val="2"/>
      </rPr>
      <t>입력이 없다고 가정한 계획선이다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실제 진행은 증량기록 시트가 결정한다</t>
    </r>
    <r>
      <rPr>
        <i/>
        <sz val="9"/>
        <color rgb="FF595959"/>
        <rFont val="Arial"/>
        <family val="2"/>
        <charset val="1"/>
      </rPr>
      <t>.</t>
    </r>
  </si>
  <si>
    <t>운동 프로그램 — 주 6일 (당기기 · 밀기 · 하체 × 2)</t>
  </si>
  <si>
    <t>적용 시기: 재택 근무 기간 (~9월)  |  주 6일 / 1일 1세션  |  1주차부터 설계 볼륨 100% (볼륨램프 해제)</t>
  </si>
  <si>
    <t>요일</t>
  </si>
  <si>
    <t>내용</t>
  </si>
  <si>
    <t>메인 리프트</t>
  </si>
  <si>
    <t>주요 근육군</t>
  </si>
  <si>
    <t>세트</t>
  </si>
  <si>
    <t>예상 시간</t>
  </si>
  <si>
    <t>월</t>
  </si>
  <si>
    <t>당기기 A (수직)</t>
  </si>
  <si>
    <t>—</t>
  </si>
  <si>
    <t>광배 · 이두 · 전완 · 기립근</t>
  </si>
  <si>
    <t>약 65분</t>
  </si>
  <si>
    <t>화</t>
  </si>
  <si>
    <t>밀기 A (수평)</t>
  </si>
  <si>
    <t>벤치프레스 5×5</t>
  </si>
  <si>
    <t>흉근 · 삼두 · 측면삼각</t>
  </si>
  <si>
    <t>약 60분</t>
  </si>
  <si>
    <t>수</t>
  </si>
  <si>
    <t>하체 A (무릎)</t>
  </si>
  <si>
    <t>스쿼트 5×5</t>
  </si>
  <si>
    <t>대퇴사두 · 햄스트링 · 둔근</t>
  </si>
  <si>
    <t>약 70분</t>
  </si>
  <si>
    <t>목</t>
  </si>
  <si>
    <t>당기기 B (수평)</t>
  </si>
  <si>
    <t>광배 · 능형근 · 승모 · 이두</t>
  </si>
  <si>
    <t>금</t>
  </si>
  <si>
    <t>밀기 B (수직)</t>
  </si>
  <si>
    <t>밀리터리 5×3</t>
  </si>
  <si>
    <t>삼각근 · 흉근 상부 · 승모(하부)</t>
  </si>
  <si>
    <t>토</t>
  </si>
  <si>
    <t>하체 B (고관절)</t>
  </si>
  <si>
    <t>데드리프트 1×5</t>
  </si>
  <si>
    <t>둔근 · 햄스트링 · 대퇴사두</t>
  </si>
  <si>
    <t>일</t>
  </si>
  <si>
    <t>휴식</t>
  </si>
  <si>
    <t>합계</t>
  </si>
  <si>
    <t>배치 논리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</si>
  <si>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스쿼트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수</t>
    </r>
    <r>
      <rPr>
        <sz val="11"/>
        <rFont val="Arial"/>
        <family val="2"/>
        <charset val="1"/>
      </rPr>
      <t xml:space="preserve">) → </t>
    </r>
    <r>
      <rPr>
        <sz val="11"/>
        <rFont val="Noto Sans CJK SC"/>
        <family val="2"/>
      </rPr>
      <t>데드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토</t>
    </r>
    <r>
      <rPr>
        <sz val="11"/>
        <rFont val="Arial"/>
        <family val="2"/>
        <charset val="1"/>
      </rPr>
      <t>) 3</t>
    </r>
    <r>
      <rPr>
        <sz val="11"/>
        <rFont val="Noto Sans CJK SC"/>
        <family val="2"/>
      </rPr>
      <t>일 간격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데드 다음날은 일요일 휴식 — 척추에 가장 안전한 자리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</si>
  <si>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벤치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화</t>
    </r>
    <r>
      <rPr>
        <sz val="11"/>
        <rFont val="Arial"/>
        <family val="2"/>
        <charset val="1"/>
      </rPr>
      <t xml:space="preserve">) → </t>
    </r>
    <r>
      <rPr>
        <sz val="11"/>
        <rFont val="Noto Sans CJK SC"/>
        <family val="2"/>
      </rPr>
      <t>밀리터리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금</t>
    </r>
    <r>
      <rPr>
        <sz val="11"/>
        <rFont val="Arial"/>
        <family val="2"/>
        <charset val="1"/>
      </rPr>
      <t>) 3</t>
    </r>
    <r>
      <rPr>
        <sz val="11"/>
        <rFont val="Noto Sans CJK SC"/>
        <family val="2"/>
      </rPr>
      <t>일 간격</t>
    </r>
    <r>
      <rPr>
        <sz val="11"/>
        <rFont val="Arial"/>
        <family val="2"/>
        <charset val="1"/>
      </rPr>
      <t>. 5</t>
    </r>
    <r>
      <rPr>
        <sz val="11"/>
        <rFont val="Noto Sans CJK SC"/>
        <family val="2"/>
      </rPr>
      <t xml:space="preserve">일 버전의 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전날 벤치 여파로 프레스 무게가 덜 나온다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는 대가가 사라졌다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</si>
  <si>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월요일은 당기기 — 월요일 벤치 자리 경쟁을 피한다는 원래 논리 그대로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</si>
  <si>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당기기 </t>
    </r>
    <r>
      <rPr>
        <sz val="11"/>
        <rFont val="Arial"/>
        <family val="2"/>
        <charset val="1"/>
      </rPr>
      <t>A(</t>
    </r>
    <r>
      <rPr>
        <sz val="11"/>
        <rFont val="Noto Sans CJK SC"/>
        <family val="2"/>
      </rPr>
      <t>수직</t>
    </r>
    <r>
      <rPr>
        <sz val="11"/>
        <rFont val="Arial"/>
        <family val="2"/>
        <charset val="1"/>
      </rPr>
      <t>) / B(</t>
    </r>
    <r>
      <rPr>
        <sz val="11"/>
        <rFont val="Noto Sans CJK SC"/>
        <family val="2"/>
      </rPr>
      <t>수평</t>
    </r>
    <r>
      <rPr>
        <sz val="11"/>
        <rFont val="Arial"/>
        <family val="2"/>
        <charset val="1"/>
      </rPr>
      <t xml:space="preserve">), </t>
    </r>
    <r>
      <rPr>
        <sz val="11"/>
        <rFont val="Noto Sans CJK SC"/>
        <family val="2"/>
      </rPr>
      <t xml:space="preserve">밀기 </t>
    </r>
    <r>
      <rPr>
        <sz val="11"/>
        <rFont val="Arial"/>
        <family val="2"/>
        <charset val="1"/>
      </rPr>
      <t>A(</t>
    </r>
    <r>
      <rPr>
        <sz val="11"/>
        <rFont val="Noto Sans CJK SC"/>
        <family val="2"/>
      </rPr>
      <t>수평</t>
    </r>
    <r>
      <rPr>
        <sz val="11"/>
        <rFont val="Arial"/>
        <family val="2"/>
        <charset val="1"/>
      </rPr>
      <t>) / B(</t>
    </r>
    <r>
      <rPr>
        <sz val="11"/>
        <rFont val="Noto Sans CJK SC"/>
        <family val="2"/>
      </rPr>
      <t>수직</t>
    </r>
    <r>
      <rPr>
        <sz val="11"/>
        <rFont val="Arial"/>
        <family val="2"/>
        <charset val="1"/>
      </rPr>
      <t xml:space="preserve">), </t>
    </r>
    <r>
      <rPr>
        <sz val="11"/>
        <rFont val="Noto Sans CJK SC"/>
        <family val="2"/>
      </rPr>
      <t xml:space="preserve">하체 </t>
    </r>
    <r>
      <rPr>
        <sz val="11"/>
        <rFont val="Arial"/>
        <family val="2"/>
        <charset val="1"/>
      </rPr>
      <t>A(</t>
    </r>
    <r>
      <rPr>
        <sz val="11"/>
        <rFont val="Noto Sans CJK SC"/>
        <family val="2"/>
      </rPr>
      <t>무릎</t>
    </r>
    <r>
      <rPr>
        <sz val="11"/>
        <rFont val="Arial"/>
        <family val="2"/>
        <charset val="1"/>
      </rPr>
      <t>) / B(</t>
    </r>
    <r>
      <rPr>
        <sz val="11"/>
        <rFont val="Noto Sans CJK SC"/>
        <family val="2"/>
      </rPr>
      <t>고관절</t>
    </r>
    <r>
      <rPr>
        <sz val="11"/>
        <rFont val="Arial"/>
        <family val="2"/>
        <charset val="1"/>
      </rPr>
      <t>).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</si>
  <si>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같은 부위를 </t>
    </r>
    <r>
      <rPr>
        <sz val="11"/>
        <rFont val="Arial"/>
        <family val="2"/>
        <charset val="1"/>
      </rPr>
      <t>3</t>
    </r>
    <r>
      <rPr>
        <sz val="11"/>
        <rFont val="Noto Sans CJK SC"/>
        <family val="2"/>
      </rPr>
      <t>일 뒤에 다시 치되 각도를 바꾼다 — 같은 자극의 반복이 아니라 다른 축의 자극</t>
    </r>
    <r>
      <rPr>
        <sz val="11"/>
        <rFont val="Arial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</si>
  <si>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기립근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데드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토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덤벨 </t>
    </r>
    <r>
      <rPr>
        <sz val="11"/>
        <color theme="1"/>
        <rFont val="Calibri"/>
        <family val="2"/>
        <charset val="1"/>
      </rPr>
      <t>RDL(</t>
    </r>
    <r>
      <rPr>
        <sz val="11"/>
        <color theme="1"/>
        <rFont val="Noto Sans CJK SC"/>
        <family val="2"/>
      </rPr>
      <t>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회</t>
    </r>
    <r>
      <rPr>
        <sz val="11"/>
        <color theme="1"/>
        <rFont val="Calibri"/>
        <family val="2"/>
        <charset val="1"/>
      </rPr>
      <t>. RDL</t>
    </r>
    <r>
      <rPr>
        <sz val="11"/>
        <color theme="1"/>
        <rFont val="Noto Sans CJK SC"/>
        <family val="2"/>
      </rPr>
      <t xml:space="preserve">은 </t>
    </r>
    <r>
      <rPr>
        <sz val="11"/>
        <color theme="1"/>
        <rFont val="Calibri"/>
        <family val="2"/>
        <charset val="1"/>
      </rPr>
      <t>20kg</t>
    </r>
    <r>
      <rPr>
        <sz val="11"/>
        <color theme="1"/>
        <rFont val="Noto Sans CJK SC"/>
        <family val="2"/>
      </rPr>
      <t>으로 가볍게 — 척추 부하가 아니라 자세 유지가 목적</t>
    </r>
    <r>
      <rPr>
        <sz val="11"/>
        <color theme="1"/>
        <rFont val="Calibri"/>
        <family val="2"/>
        <charset val="1"/>
      </rPr>
      <t>.</t>
    </r>
  </si>
  <si>
    <r>
      <rPr>
        <b/>
        <sz val="11"/>
        <rFont val="Arial"/>
        <family val="2"/>
        <charset val="1"/>
      </rPr>
      <t>5</t>
    </r>
    <r>
      <rPr>
        <b/>
        <sz val="11"/>
        <rFont val="Noto Sans CJK SC"/>
        <family val="2"/>
      </rPr>
      <t>일 버전과의 차이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</si>
  <si>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총 세트 </t>
    </r>
    <r>
      <rPr>
        <sz val="11"/>
        <rFont val="Arial"/>
        <family val="2"/>
        <charset val="1"/>
      </rPr>
      <t>140 (v18). v17 143</t>
    </r>
    <r>
      <rPr>
        <sz val="11"/>
        <rFont val="Noto Sans CJK SC"/>
        <family val="2"/>
      </rPr>
      <t xml:space="preserve">에서 스캡 풀업 </t>
    </r>
    <r>
      <rPr>
        <sz val="11"/>
        <rFont val="Arial"/>
        <family val="2"/>
        <charset val="1"/>
      </rPr>
      <t>3</t>
    </r>
    <r>
      <rPr>
        <sz val="11"/>
        <rFont val="Noto Sans CJK SC"/>
        <family val="2"/>
      </rPr>
      <t>세트를 월 웜업으로 전환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카운트 제외</t>
    </r>
    <r>
      <rPr>
        <sz val="11"/>
        <rFont val="Arial"/>
        <family val="2"/>
        <charset val="1"/>
      </rPr>
      <t xml:space="preserve">). </t>
    </r>
    <r>
      <rPr>
        <sz val="11"/>
        <rFont val="Noto Sans CJK SC"/>
        <family val="2"/>
      </rPr>
      <t>세션 조정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 xml:space="preserve">라잉 트라이셉스 화→금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케이블 힙 외전 수→토 — 배치 사유가 소멸했던 두 종목만 이동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</si>
  <si>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세션당 세트 </t>
    </r>
    <r>
      <rPr>
        <sz val="11"/>
        <rFont val="Arial"/>
        <family val="2"/>
        <charset val="1"/>
      </rPr>
      <t>22~25 (5</t>
    </r>
    <r>
      <rPr>
        <sz val="11"/>
        <rFont val="Noto Sans CJK SC"/>
        <family val="2"/>
      </rPr>
      <t xml:space="preserve">일 버전은 </t>
    </r>
    <r>
      <rPr>
        <sz val="11"/>
        <rFont val="Arial"/>
        <family val="2"/>
        <charset val="1"/>
      </rPr>
      <t xml:space="preserve">23~43). </t>
    </r>
    <r>
      <rPr>
        <sz val="11"/>
        <rFont val="Noto Sans CJK SC"/>
        <family val="2"/>
      </rPr>
      <t xml:space="preserve">토요일 </t>
    </r>
    <r>
      <rPr>
        <sz val="11"/>
        <rFont val="Arial"/>
        <family val="2"/>
        <charset val="1"/>
      </rPr>
      <t>43</t>
    </r>
    <r>
      <rPr>
        <sz val="11"/>
        <rFont val="Noto Sans CJK SC"/>
        <family val="2"/>
      </rPr>
      <t>세트 문제가 사라졌다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</si>
  <si>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주요 부위 빈도 주 </t>
    </r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 xml:space="preserve">회 → 주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한 세션 부위당 </t>
    </r>
    <r>
      <rPr>
        <sz val="11"/>
        <rFont val="Arial"/>
        <family val="2"/>
        <charset val="1"/>
      </rPr>
      <t>8~9</t>
    </r>
    <r>
      <rPr>
        <sz val="11"/>
        <rFont val="Noto Sans CJK SC"/>
        <family val="2"/>
      </rPr>
      <t xml:space="preserve">세트 상한 — 예외는 화요일 흉근 합산 </t>
    </r>
    <r>
      <rPr>
        <sz val="11"/>
        <rFont val="Arial"/>
        <family val="2"/>
        <charset val="1"/>
      </rPr>
      <t>12</t>
    </r>
    <r>
      <rPr>
        <sz val="11"/>
        <rFont val="Noto Sans CJK SC"/>
        <family val="2"/>
      </rPr>
      <t>세트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 xml:space="preserve">프레스 </t>
    </r>
    <r>
      <rPr>
        <sz val="11"/>
        <rFont val="Arial"/>
        <family val="2"/>
        <charset val="1"/>
      </rPr>
      <t xml:space="preserve">8 + </t>
    </r>
    <r>
      <rPr>
        <sz val="11"/>
        <rFont val="Noto Sans CJK SC"/>
        <family val="2"/>
      </rPr>
      <t xml:space="preserve">상부 편향 플라이 </t>
    </r>
    <r>
      <rPr>
        <sz val="11"/>
        <rFont val="Arial"/>
        <family val="2"/>
        <charset val="1"/>
      </rPr>
      <t>4)</t>
    </r>
    <r>
      <rPr>
        <sz val="11"/>
        <rFont val="Noto Sans CJK SC"/>
        <family val="2"/>
      </rPr>
      <t>로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>고립 플라이는 프레스와 피로 중첩이 작아 허용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후반 세트 질이 떨어지면 플라이를 금요일로 옮긴다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</si>
  <si>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대가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 xml:space="preserve">휴식일이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일 → </t>
    </r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>일</t>
    </r>
    <r>
      <rPr>
        <sz val="11"/>
        <rFont val="Arial"/>
        <family val="2"/>
        <charset val="1"/>
      </rPr>
      <t>. 6</t>
    </r>
    <r>
      <rPr>
        <sz val="11"/>
        <rFont val="Noto Sans CJK SC"/>
        <family val="2"/>
      </rPr>
      <t>일 연속 훈련은 회복이 따라오는지 직접 확인해야 한다</t>
    </r>
    <r>
      <rPr>
        <sz val="11"/>
        <rFont val="Arial"/>
        <family val="2"/>
        <charset val="1"/>
      </rPr>
      <t>.</t>
    </r>
  </si>
  <si>
    <t>빈도를 올린 이유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</si>
  <si>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한 세션에서 부위당 대략 </t>
    </r>
    <r>
      <rPr>
        <sz val="11"/>
        <rFont val="Arial"/>
        <family val="2"/>
        <charset val="1"/>
      </rPr>
      <t>8~10</t>
    </r>
    <r>
      <rPr>
        <sz val="11"/>
        <rFont val="Noto Sans CJK SC"/>
        <family val="2"/>
      </rPr>
      <t>세트를 넘어가면 뒤쪽 세트는 앞의 피로 위에 얹혀 자극당 값이 떨어진다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</si>
  <si>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5</t>
    </r>
    <r>
      <rPr>
        <sz val="11"/>
        <rFont val="Noto Sans CJK SC"/>
        <family val="2"/>
      </rPr>
      <t xml:space="preserve">일 버전의 흉근 </t>
    </r>
    <r>
      <rPr>
        <sz val="11"/>
        <rFont val="Arial"/>
        <family val="2"/>
        <charset val="1"/>
      </rPr>
      <t xml:space="preserve">20 / </t>
    </r>
    <r>
      <rPr>
        <sz val="11"/>
        <rFont val="Noto Sans CJK SC"/>
        <family val="2"/>
      </rPr>
      <t xml:space="preserve">삼각근 </t>
    </r>
    <r>
      <rPr>
        <sz val="11"/>
        <rFont val="Arial"/>
        <family val="2"/>
        <charset val="1"/>
      </rPr>
      <t xml:space="preserve">21 / </t>
    </r>
    <r>
      <rPr>
        <sz val="11"/>
        <rFont val="Noto Sans CJK SC"/>
        <family val="2"/>
      </rPr>
      <t xml:space="preserve">광배 </t>
    </r>
    <r>
      <rPr>
        <sz val="11"/>
        <rFont val="Arial"/>
        <family val="2"/>
        <charset val="1"/>
      </rPr>
      <t>14</t>
    </r>
    <r>
      <rPr>
        <sz val="11"/>
        <rFont val="Noto Sans CJK SC"/>
        <family val="2"/>
      </rPr>
      <t>는 그 구간을 넘어서 있었다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</si>
  <si>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다만 </t>
    </r>
    <r>
      <rPr>
        <sz val="11"/>
        <rFont val="Arial"/>
        <family val="2"/>
        <charset val="1"/>
      </rPr>
      <t>"20</t>
    </r>
    <r>
      <rPr>
        <sz val="11"/>
        <rFont val="Noto Sans CJK SC"/>
        <family val="2"/>
      </rPr>
      <t xml:space="preserve">세트 </t>
    </r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 xml:space="preserve">회보다 </t>
    </r>
    <r>
      <rPr>
        <sz val="11"/>
        <rFont val="Arial"/>
        <family val="2"/>
        <charset val="1"/>
      </rPr>
      <t>10</t>
    </r>
    <r>
      <rPr>
        <sz val="11"/>
        <rFont val="Noto Sans CJK SC"/>
        <family val="2"/>
      </rPr>
      <t xml:space="preserve">세트씩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회가 낫다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는 직접 검증된 결과가 아니라 추론이다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견고한 것은 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빈도를 올려도 손해는 없다</t>
    </r>
    <r>
      <rPr>
        <sz val="11"/>
        <rFont val="Arial"/>
        <family val="2"/>
        <charset val="1"/>
      </rPr>
      <t xml:space="preserve">" </t>
    </r>
    <r>
      <rPr>
        <sz val="11"/>
        <rFont val="Noto Sans CJK SC"/>
        <family val="2"/>
      </rPr>
      <t>정도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</si>
  <si>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5</t>
    </r>
    <r>
      <rPr>
        <sz val="11"/>
        <rFont val="Noto Sans CJK SC"/>
        <family val="2"/>
      </rPr>
      <t>년 공백 구간에서는 동작 반복 횟수 자체가 중요하다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벤치</t>
    </r>
    <r>
      <rPr>
        <sz val="11"/>
        <rFont val="Arial"/>
        <family val="2"/>
        <charset val="1"/>
      </rPr>
      <t>·</t>
    </r>
    <r>
      <rPr>
        <sz val="11"/>
        <rFont val="Noto Sans CJK SC"/>
        <family val="2"/>
      </rPr>
      <t>스쿼트 폼을 다시 배우는 시기이므로 빈도가 그 자체로 이득</t>
    </r>
    <r>
      <rPr>
        <sz val="11"/>
        <rFont val="Arial"/>
        <family val="2"/>
        <charset val="1"/>
      </rPr>
      <t>.</t>
    </r>
  </si>
  <si>
    <t>범례</t>
  </si>
  <si>
    <t>파란 글씨 = 직접 입력하는 값 · 검은 글씨 = 수식 (건드리지 말 것) · 노란 칸 = 매주 채워 넣는 칸</t>
  </si>
  <si>
    <t>E열 = 설계 세트 (100% 고정). 볼륨 램프 미사용 — 1주차부터 이 값 그대로 수행.</t>
  </si>
  <si>
    <t>주의</t>
  </si>
  <si>
    <r>
      <rPr>
        <sz val="11"/>
        <rFont val="Arial"/>
        <family val="2"/>
        <charset val="1"/>
      </rPr>
      <t>· 6</t>
    </r>
    <r>
      <rPr>
        <sz val="11"/>
        <rFont val="Noto Sans CJK SC"/>
        <family val="2"/>
      </rPr>
      <t xml:space="preserve">일 연속은 </t>
    </r>
    <r>
      <rPr>
        <sz val="11"/>
        <rFont val="Arial"/>
        <family val="2"/>
        <charset val="1"/>
      </rPr>
      <t>5</t>
    </r>
    <r>
      <rPr>
        <sz val="11"/>
        <rFont val="Noto Sans CJK SC"/>
        <family val="2"/>
      </rPr>
      <t>년 공백에서 회복이 미지수다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첫 </t>
    </r>
    <r>
      <rPr>
        <sz val="11"/>
        <rFont val="Arial"/>
        <family val="2"/>
        <charset val="1"/>
      </rPr>
      <t>3~4</t>
    </r>
    <r>
      <rPr>
        <sz val="11"/>
        <rFont val="Noto Sans CJK SC"/>
        <family val="2"/>
      </rPr>
      <t>주를 회복 확인 구간으로 쓸 것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</si>
  <si>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판단 기준</t>
    </r>
    <r>
      <rPr>
        <sz val="11"/>
        <rFont val="Arial"/>
        <family val="2"/>
        <charset val="1"/>
      </rPr>
      <t>: 3</t>
    </r>
    <r>
      <rPr>
        <sz val="11"/>
        <rFont val="Noto Sans CJK SC"/>
        <family val="2"/>
      </rPr>
      <t xml:space="preserve">주차에 접어들었는데 이전 세션의 근육통이 안 빠지거나 메인 리프트에 </t>
    </r>
    <r>
      <rPr>
        <sz val="11"/>
        <rFont val="Arial"/>
        <family val="2"/>
        <charset val="1"/>
      </rPr>
      <t>X</t>
    </r>
    <r>
      <rPr>
        <sz val="11"/>
        <rFont val="Noto Sans CJK SC"/>
        <family val="2"/>
      </rPr>
      <t xml:space="preserve">가 연속으로 뜨면 주 </t>
    </r>
    <r>
      <rPr>
        <sz val="11"/>
        <rFont val="Arial"/>
        <family val="2"/>
        <charset val="1"/>
      </rPr>
      <t>5</t>
    </r>
    <r>
      <rPr>
        <sz val="11"/>
        <rFont val="Noto Sans CJK SC"/>
        <family val="2"/>
      </rPr>
      <t>일로 내린다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</si>
  <si>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5</t>
    </r>
    <r>
      <rPr>
        <sz val="11"/>
        <rFont val="Noto Sans CJK SC"/>
        <family val="2"/>
      </rPr>
      <t xml:space="preserve">일로 내릴 때는 하체 </t>
    </r>
    <r>
      <rPr>
        <sz val="11"/>
        <rFont val="Arial"/>
        <family val="2"/>
        <charset val="1"/>
      </rPr>
      <t>B</t>
    </r>
    <r>
      <rPr>
        <sz val="11"/>
        <rFont val="Noto Sans CJK SC"/>
        <family val="2"/>
      </rPr>
      <t xml:space="preserve">를 빼고 그 종목을 하체 </t>
    </r>
    <r>
      <rPr>
        <sz val="11"/>
        <rFont val="Arial"/>
        <family val="2"/>
        <charset val="1"/>
      </rPr>
      <t>A</t>
    </r>
    <r>
      <rPr>
        <sz val="11"/>
        <rFont val="Noto Sans CJK SC"/>
        <family val="2"/>
      </rPr>
      <t xml:space="preserve">와 당기기 </t>
    </r>
    <r>
      <rPr>
        <sz val="11"/>
        <rFont val="Arial"/>
        <family val="2"/>
        <charset val="1"/>
      </rPr>
      <t>B</t>
    </r>
    <r>
      <rPr>
        <sz val="11"/>
        <rFont val="Noto Sans CJK SC"/>
        <family val="2"/>
      </rPr>
      <t xml:space="preserve">에 나눠 붙인다 — 데드는 당기기 </t>
    </r>
    <r>
      <rPr>
        <sz val="11"/>
        <rFont val="Arial"/>
        <family val="2"/>
        <charset val="1"/>
      </rPr>
      <t>B</t>
    </r>
    <r>
      <rPr>
        <sz val="11"/>
        <rFont val="Noto Sans CJK SC"/>
        <family val="2"/>
      </rPr>
      <t>로</t>
    </r>
    <r>
      <rPr>
        <sz val="11"/>
        <rFont val="Arial"/>
        <family val="2"/>
        <charset val="1"/>
      </rPr>
      <t>.</t>
    </r>
  </si>
  <si>
    <t>월요일 — 당기기 A (수직)</t>
  </si>
  <si>
    <t>광배 위쪽 · 견갑골 하강 · 이두. 목요일 당기기 B(수평)와 각도를 나눈다.</t>
  </si>
  <si>
    <r>
      <rPr>
        <sz val="11"/>
        <color theme="1"/>
        <rFont val="Noto Sans CJK SC"/>
        <family val="2"/>
      </rPr>
      <t xml:space="preserve">웜업 — 스캡 풀업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 xml:space="preserve">세트 </t>
    </r>
    <r>
      <rPr>
        <sz val="11"/>
        <color theme="1"/>
        <rFont val="Calibri"/>
        <family val="2"/>
        <charset val="1"/>
      </rPr>
      <t>× 5~8 (</t>
    </r>
    <r>
      <rPr>
        <sz val="11"/>
        <color theme="1"/>
        <rFont val="Noto Sans CJK SC"/>
        <family val="2"/>
      </rPr>
      <t>세트 카운트 제외</t>
    </r>
    <r>
      <rPr>
        <sz val="11"/>
        <color theme="1"/>
        <rFont val="Calibri"/>
        <family val="2"/>
        <charset val="1"/>
      </rPr>
      <t xml:space="preserve">): </t>
    </r>
    <r>
      <rPr>
        <sz val="11"/>
        <color theme="1"/>
        <rFont val="Noto Sans CJK SC"/>
        <family val="2"/>
      </rPr>
      <t>팔은 편 채 견갑골만 하강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여유 있게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 xml:space="preserve">실패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>회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>전 종료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>친업 직전 견갑 하강 프라이밍</t>
    </r>
    <r>
      <rPr>
        <sz val="11"/>
        <color theme="1"/>
        <rFont val="Calibri"/>
        <family val="2"/>
        <charset val="1"/>
      </rPr>
      <t>.</t>
    </r>
  </si>
  <si>
    <t>운동 구성</t>
  </si>
  <si>
    <t>#</t>
  </si>
  <si>
    <t>근육군</t>
  </si>
  <si>
    <t>중량(Kg)</t>
  </si>
  <si>
    <t>횟수</t>
  </si>
  <si>
    <t>간접 자극</t>
  </si>
  <si>
    <t>메모</t>
  </si>
  <si>
    <t>대체 종목</t>
  </si>
  <si>
    <t>친업 (어시스트 가능)</t>
  </si>
  <si>
    <t>광배</t>
  </si>
  <si>
    <t>6~8</t>
  </si>
  <si>
    <t>이두</t>
  </si>
  <si>
    <t>수직 당기기 메인. 광배 위쪽 섬유 비중이 큼</t>
  </si>
  <si>
    <t>어시스트 풀업 머신 (개수가 안 나올 때) / 뉴트럴 그립 친업 (팔꿈치가 편함) / 랫풀다운</t>
  </si>
  <si>
    <t>랫풀다운</t>
  </si>
  <si>
    <t>8~12</t>
  </si>
  <si>
    <t>친업 뒤에 무게 조절 수단으로. 그립을 친업과 다르게 (친업이 언더면 여기선 오버)</t>
  </si>
  <si>
    <t>뉴트럴 그립 랫풀다운 / 원암 랫풀다운 (좌우 독립) / 케이블 풀오버 (이두 개입 최소)</t>
  </si>
  <si>
    <t>스캡 풀업</t>
  </si>
  <si>
    <t>승모(하부)</t>
  </si>
  <si>
    <t>맨몸</t>
  </si>
  <si>
    <t>8~10</t>
  </si>
  <si>
    <t>전거근</t>
  </si>
  <si>
    <t>친업 직전 배치. 팔은 편 채 견갑골만 아래로 — 광배에 묻히지 않는다 [v18 웜업 전환 — 3행 웜업 참조. 카운트 제외]</t>
  </si>
  <si>
    <t>스캡 랫풀다운 (앉아서) / 어시스트 풀업 머신에서 스캡 풀업 / 바에 매달려 정지 3초</t>
  </si>
  <si>
    <t>페이스풀</t>
  </si>
  <si>
    <t>승모(중부)·능형근</t>
  </si>
  <si>
    <t>10~15</t>
  </si>
  <si>
    <t>12~15</t>
  </si>
  <si>
    <t>삼각근(후면) · 외회전근</t>
  </si>
  <si>
    <t>수평 후인 + 외회전. 랫풀다운과 같은 케이블 스테이션에서 높이만 올려 이어서 한다. 팔꿈치를 어깨 높이로 유지하고 마지막에 손등이 뒤로 돌아갈 때까지 외회전을 끝낼 것 — 외회전을 빼면 그냥 후면삼각 종목이 되어 목요일과 겹친다. 무게 욕심 내면 승모 상부가 다 가져간다. 수직 당기기 날이지만 승모 중부 주 2회(목요일과 3일 간격)를 만들기 위한 배치이며, 10~15kg으로 가벼워 친업·랫풀다운의 광배 자극과 경쟁하지 않는다. 덤벨 RDL과 같은 성격의 예외 배치.</t>
  </si>
  <si>
    <t>로프 페이스풀 (1순위) / 밴드 페이스풀 (케이블 자리가 없을 때) / 리버스 펙덱을 팔 편 채로 + 케이블 외회전 별도 (외회전 성분을 분리 수행)</t>
  </si>
  <si>
    <t>바벨 컬</t>
  </si>
  <si>
    <t>30~35</t>
  </si>
  <si>
    <t>전완</t>
  </si>
  <si>
    <t>당기기 뒤 이두. 반동 쓰지 말 것 [v17 제외 — 이두 간접 7세트로 충족, 인클라인·프리쳐 유지]</t>
  </si>
  <si>
    <r>
      <rPr>
        <sz val="11"/>
        <rFont val="Arial"/>
        <family val="2"/>
        <charset val="1"/>
      </rPr>
      <t>EZ</t>
    </r>
    <r>
      <rPr>
        <sz val="11"/>
        <rFont val="Noto Sans CJK SC"/>
        <family val="2"/>
      </rPr>
      <t xml:space="preserve">바 컬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손목이 편함</t>
    </r>
    <r>
      <rPr>
        <sz val="11"/>
        <rFont val="Arial"/>
        <family val="2"/>
        <charset val="1"/>
      </rPr>
      <t xml:space="preserve">) / </t>
    </r>
    <r>
      <rPr>
        <sz val="11"/>
        <rFont val="Noto Sans CJK SC"/>
        <family val="2"/>
      </rPr>
      <t xml:space="preserve">케이블 컬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전 구간 장력</t>
    </r>
    <r>
      <rPr>
        <sz val="11"/>
        <rFont val="Arial"/>
        <family val="2"/>
        <charset val="1"/>
      </rPr>
      <t xml:space="preserve">) / </t>
    </r>
    <r>
      <rPr>
        <sz val="11"/>
        <rFont val="Noto Sans CJK SC"/>
        <family val="2"/>
      </rPr>
      <t xml:space="preserve">해머 컬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상완요골근 동시</t>
    </r>
    <r>
      <rPr>
        <sz val="11"/>
        <rFont val="Arial"/>
        <family val="2"/>
        <charset val="1"/>
      </rPr>
      <t>)</t>
    </r>
  </si>
  <si>
    <t>인클라인 덤벨 컬</t>
  </si>
  <si>
    <t>늘어난 구간을 쓰는 종목. 프리쳐(목)와 각도를 나눈다</t>
  </si>
  <si>
    <t>케이블 컬 (뒤로 물러서서 스트레치 확보) / 스파이더 컬 / 원암 인클라인 덤벨 컬</t>
  </si>
  <si>
    <t>리버스 리스트익스텐션 컬</t>
  </si>
  <si>
    <t>15</t>
  </si>
  <si>
    <t>손목 신근. 타이핑으로 약해지는 쪽이라 비중을 더 준다</t>
  </si>
  <si>
    <t>케이블 리버스 리스트 컬 / 리버스 EZ바 컬 (상완요골근까지) / 덤벨로 한 손씩</t>
  </si>
  <si>
    <t>행잉 레그 레이즈</t>
  </si>
  <si>
    <t>복부</t>
  </si>
  <si>
    <t>복부 굴곡(하부). 그립이 이미 지쳐 있으면 캡틴 체어로</t>
  </si>
  <si>
    <t>캡틴 체어 레그 레이즈 / 인클라인 벤치 리버스 크런치 / 라잉 레그 레이즈</t>
  </si>
  <si>
    <t>덤벨 루마니안 데드리프트</t>
  </si>
  <si>
    <t>기립근</t>
  </si>
  <si>
    <t>12</t>
  </si>
  <si>
    <t>둔근·햄스트링</t>
  </si>
  <si>
    <t>(원래는 백 익스텐션)기립근 보조. 20kg으로 가볍게 — 무게를 올리면 햄스트링 종목이 되고 척추 부하도 같이 올라간다. 데드(토)와 이틀 간격이라 이 자리가 맞다</t>
  </si>
  <si>
    <t>케이블 풀스루 (척추 압박 최소) / 굿모닝 (빈 봉~40kg, 가볍게) / 45도 하이퍼익스텐션 벤치 (있는 경우) / 스티프 레그드 데드리프트. 어느 쪽이든 가볍게 — 성장이 아니라 자세 유지가 목적</t>
  </si>
  <si>
    <t>세트 합계</t>
  </si>
  <si>
    <t>화요일 — 밀기 A (수평)</t>
  </si>
  <si>
    <t>벤치 5×5가 이 프로그램의 최우선 종목. 금요일 밀기 B(수직)와 각도를 나눈다.</t>
  </si>
  <si>
    <t>메인: 벤치프레스</t>
  </si>
  <si>
    <t>반복</t>
  </si>
  <si>
    <r>
      <rPr>
        <sz val="11"/>
        <rFont val="Arial"/>
        <family val="2"/>
        <charset val="1"/>
      </rPr>
      <t>↑ '</t>
    </r>
    <r>
      <rPr>
        <sz val="11"/>
        <rFont val="Noto Sans CJK SC"/>
        <family val="2"/>
      </rPr>
      <t>시작중량</t>
    </r>
    <r>
      <rPr>
        <sz val="11"/>
        <rFont val="Arial"/>
        <family val="2"/>
        <charset val="1"/>
      </rPr>
      <t>_</t>
    </r>
    <r>
      <rPr>
        <sz val="11"/>
        <rFont val="Noto Sans CJK SC"/>
        <family val="2"/>
      </rPr>
      <t>설정</t>
    </r>
    <r>
      <rPr>
        <sz val="11"/>
        <rFont val="Arial"/>
        <family val="2"/>
        <charset val="1"/>
      </rPr>
      <t>'</t>
    </r>
    <r>
      <rPr>
        <sz val="11"/>
        <rFont val="Noto Sans CJK SC"/>
        <family val="2"/>
      </rPr>
      <t>과 자동 연동</t>
    </r>
    <r>
      <rPr>
        <sz val="11"/>
        <rFont val="Arial"/>
        <family val="2"/>
        <charset val="1"/>
      </rPr>
      <t xml:space="preserve">. 20 = </t>
    </r>
    <r>
      <rPr>
        <sz val="11"/>
        <rFont val="Noto Sans CJK SC"/>
        <family val="2"/>
      </rPr>
      <t>빈 봉</t>
    </r>
    <r>
      <rPr>
        <sz val="11"/>
        <rFont val="Arial"/>
        <family val="2"/>
        <charset val="1"/>
      </rPr>
      <t>. '</t>
    </r>
    <r>
      <rPr>
        <sz val="11"/>
        <rFont val="Noto Sans CJK SC"/>
        <family val="2"/>
      </rPr>
      <t>생략</t>
    </r>
    <r>
      <rPr>
        <sz val="11"/>
        <rFont val="Arial"/>
        <family val="2"/>
        <charset val="1"/>
      </rPr>
      <t>'</t>
    </r>
    <r>
      <rPr>
        <sz val="11"/>
        <rFont val="Noto Sans CJK SC"/>
        <family val="2"/>
      </rPr>
      <t>은 앞 세트와 중량이 겹쳐 불필요하다는 뜻</t>
    </r>
    <r>
      <rPr>
        <sz val="11"/>
        <rFont val="Arial"/>
        <family val="2"/>
        <charset val="1"/>
      </rPr>
      <t>.</t>
    </r>
  </si>
  <si>
    <t>웜업 — 회전근개 (세트 카운트 제외)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</si>
  <si>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케이블 외회전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세트 </t>
    </r>
    <r>
      <rPr>
        <sz val="11"/>
        <rFont val="Arial"/>
        <family val="2"/>
        <charset val="1"/>
      </rPr>
      <t>× 12~15</t>
    </r>
    <r>
      <rPr>
        <sz val="11"/>
        <rFont val="Noto Sans CJK SC"/>
        <family val="2"/>
      </rPr>
      <t>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팔꿈치 </t>
    </r>
    <r>
      <rPr>
        <sz val="11"/>
        <rFont val="Arial"/>
        <family val="2"/>
        <charset val="1"/>
      </rPr>
      <t>90</t>
    </r>
    <r>
      <rPr>
        <sz val="11"/>
        <rFont val="Noto Sans CJK SC"/>
        <family val="2"/>
      </rPr>
      <t>도로 접어 옆구리에 붙이고 바깥으로만 회전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</si>
  <si>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매우 가볍게 — </t>
    </r>
    <r>
      <rPr>
        <sz val="11"/>
        <rFont val="Arial"/>
        <family val="2"/>
        <charset val="1"/>
      </rPr>
      <t xml:space="preserve">2.5~5kg. </t>
    </r>
    <r>
      <rPr>
        <sz val="11"/>
        <rFont val="Noto Sans CJK SC"/>
        <family val="2"/>
      </rPr>
      <t>무거우면 광배와 후면 삼각근이 대신 일하며 목적을 잃는다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</si>
  <si>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근비대 항목이 아니라 관절 준비 항목이므로 세트 합계에 넣지 않는다</t>
    </r>
    <r>
      <rPr>
        <sz val="11"/>
        <rFont val="Arial"/>
        <family val="2"/>
        <charset val="1"/>
      </rPr>
      <t>.</t>
    </r>
  </si>
  <si>
    <t>벤치프레스 (본세트)</t>
  </si>
  <si>
    <t>흉근(중하부)</t>
  </si>
  <si>
    <t>5</t>
  </si>
  <si>
    <t>삼두·전면삼각</t>
  </si>
  <si>
    <t>현재 최우선 종목. 주당 2.25kg 마이크로로딩. 여기가 무너지면 그 주 나머지를 줄인다</t>
  </si>
  <si>
    <t>스미스 벤치프레스 (궤도 고정) / 체스트 프레스 머신 / 플로어 프레스 (어깨가 아플 때)</t>
  </si>
  <si>
    <t>딥스</t>
  </si>
  <si>
    <r>
      <rPr>
        <sz val="11"/>
        <rFont val="맑은 고딕"/>
        <family val="3"/>
        <charset val="129"/>
      </rPr>
      <t>75 6</t>
    </r>
    <r>
      <rPr>
        <sz val="11"/>
        <rFont val="Noto Sans CJK SC"/>
        <family val="2"/>
      </rPr>
      <t>개밖에 못함</t>
    </r>
  </si>
  <si>
    <t>삼두</t>
  </si>
  <si>
    <t>상체 앞으로 기울여 흉근 비중 확보. 쉬워지면 벨트로 중량 추가</t>
  </si>
  <si>
    <t>어시스트 딥스 머신 / 디클라인 덤벨 프레스 / 체스트 딥스 머신</t>
  </si>
  <si>
    <t>인클라인 덤벨 플라이</t>
  </si>
  <si>
    <t>흉근(상부)</t>
  </si>
  <si>
    <t>10~12</t>
  </si>
  <si>
    <t>프레싱 뒤 고립. 늘어난 구간에서 멈추지 말고 부드럽게</t>
  </si>
  <si>
    <t>케이블 크로스오버 (아래→위) / 펙덱 플라이 (등받이를 눕혀 인클라인 각으로) / 인클라인 머신 플라이</t>
  </si>
  <si>
    <t>라잉 트라이셉스 익스텐션</t>
  </si>
  <si>
    <t>늘어난 구간을 쓰는 삼두 종목. 푸쉬다운(금)과 각도를 나눈다 [v18 금요일로 이동 — 푸쉬다운 제외로 화 배치 사유(각도 분담) 소멸]</t>
  </si>
  <si>
    <t>오버헤드 케이블 익스텐션 / 스컬크러셔 / 클로즈그립 벤치프레스 (중량 가능)</t>
  </si>
  <si>
    <t>레터럴 레이즈</t>
  </si>
  <si>
    <t>삼각근(측면)</t>
  </si>
  <si>
    <t>덤벨은 아래 구간에 저항이 안 걸린다 — 원암 케이블(금)이 그 구간을 메운다</t>
  </si>
  <si>
    <t>케이블 레터럴 레이즈 (전 구간 장력) / 레터럴 레이즈 머신 / 라잉 레터럴</t>
  </si>
  <si>
    <t>리버스 펙덱플라이</t>
  </si>
  <si>
    <t>삼각근(후면)</t>
  </si>
  <si>
    <t>수요일 — 하체 A (무릎 지배)</t>
  </si>
  <si>
    <t>스쿼트 · 레그프레스 중심. 토요일 하체 B(고관절 지배)와 3일 간격.</t>
  </si>
  <si>
    <t>메인: 스쿼트</t>
  </si>
  <si>
    <t>스쿼트 (본세트)</t>
  </si>
  <si>
    <t>대퇴사두</t>
  </si>
  <si>
    <t>둔근·기립근</t>
  </si>
  <si>
    <t>무릎 지배 메인. 데드(토)와 3일 간격이라 기립근이 회복된 상태에서 친다</t>
  </si>
  <si>
    <t>스미스 스쿼트 / 핵 스쿼트 (대퇴사두 집중) / 프론트 스쿼트 / 벨트 스쿼트 (척추 부하 없음)</t>
  </si>
  <si>
    <t>레그 프레스</t>
  </si>
  <si>
    <t>둔근</t>
  </si>
  <si>
    <t>수/토 3+3 분할. 궤도 고정이라 대퇴사두가 확실히 한계까지 간다. 발판 위치는 중간</t>
  </si>
  <si>
    <t>핵 스쿼트 / 레그 익스텐션 (완전 고립) / 프론트 스쿼트</t>
  </si>
  <si>
    <t>불가리안 스플릿 스쿼트</t>
  </si>
  <si>
    <r>
      <rPr>
        <sz val="11"/>
        <rFont val="Arial"/>
        <family val="2"/>
        <charset val="1"/>
      </rPr>
      <t>10 (</t>
    </r>
    <r>
      <rPr>
        <sz val="11"/>
        <rFont val="Noto Sans CJK SC"/>
        <family val="2"/>
      </rPr>
      <t>좌우</t>
    </r>
    <r>
      <rPr>
        <sz val="11"/>
        <rFont val="Arial"/>
        <family val="2"/>
        <charset val="1"/>
      </rPr>
      <t>)</t>
    </r>
  </si>
  <si>
    <t>대퇴사두·중둔근</t>
  </si>
  <si>
    <t>한 다리 지지라 관상면 안정화가 함께 들어온다</t>
  </si>
  <si>
    <t>덤벨 런지 / 워킹 런지 / 스텝업 / 리버스 런지 (무릎 부담 ↓)</t>
  </si>
  <si>
    <t>레그 컬</t>
  </si>
  <si>
    <t>햄스트링</t>
  </si>
  <si>
    <t>무릎 굴곡. 토요일 RDL(고관절 신전)과 기능이 다르다 — 둘 다 필요</t>
  </si>
  <si>
    <t>라잉 레그 컬 · 시티드 레그 컬 (시티드가 늘어난 구간을 더 씀) / 노르딕 햄 컬</t>
  </si>
  <si>
    <t>이너 타이</t>
  </si>
  <si>
    <t>내전근</t>
  </si>
  <si>
    <t>내전근 직접 종목은 이것뿐. 스쿼트·레그프레스가 어느 정도 커버한다</t>
  </si>
  <si>
    <t>와이드 스탠스 레그 프레스 / 코사크 스쿼트 / 케이블 힙 내전</t>
  </si>
  <si>
    <t>케이블 힙 외전</t>
  </si>
  <si>
    <t>중둔근</t>
  </si>
  <si>
    <r>
      <rPr>
        <sz val="11"/>
        <rFont val="Arial"/>
        <family val="2"/>
        <charset val="1"/>
      </rPr>
      <t>12~15 (</t>
    </r>
    <r>
      <rPr>
        <sz val="11"/>
        <rFont val="Noto Sans CJK SC"/>
        <family val="2"/>
      </rPr>
      <t>좌우</t>
    </r>
    <r>
      <rPr>
        <sz val="11"/>
        <rFont val="Arial"/>
        <family val="2"/>
        <charset val="1"/>
      </rPr>
      <t>)</t>
    </r>
  </si>
  <si>
    <t>관상면 외전. 토요일에서 이동. 앉는 시간이 길면 대둔근보다 중둔근이 먼저 잠든다 [v18 토요일로 이동 — 수요일 배치 사유(5일 버전 토 과부하) 소멸, 고관절 날로 복귀]</t>
  </si>
  <si>
    <t>밴드 몬스터 워크 / 사이드 라잉 힙 외전 / 힙 어브덕션 머신</t>
  </si>
  <si>
    <t>카프 레이즈 (스탠딩)</t>
  </si>
  <si>
    <t>종아리</t>
  </si>
  <si>
    <t>무릎 편 상태 — 비복근 주도. 토요일 시티드(가자미근)와 역할이 다르다</t>
  </si>
  <si>
    <t>스탠딩 카프 레이즈 머신 / 레그 프레스 발판 끝에서 / 스미스 카프 레이즈</t>
  </si>
  <si>
    <t>플랭크(중량)</t>
  </si>
  <si>
    <r>
      <rPr>
        <sz val="11"/>
        <rFont val="Arial"/>
        <family val="2"/>
        <charset val="1"/>
      </rPr>
      <t>30</t>
    </r>
    <r>
      <rPr>
        <sz val="11"/>
        <rFont val="Noto Sans CJK SC"/>
        <family val="2"/>
      </rPr>
      <t>초</t>
    </r>
  </si>
  <si>
    <t>항신전. 다음날이 당기기 B라 브레이싱 손실이 문제되지 않는다</t>
  </si>
  <si>
    <t>애브 롤아웃 / 사이드 플랭크 / 팔로프 프레스 (항회전)</t>
  </si>
  <si>
    <t>목요일 — 당기기 B (수평)</t>
  </si>
  <si>
    <t>로우 · 견갑골 후인 · 이두 · 전완. 월요일 당기기 A(수직)와 각도를 나눈다.</t>
  </si>
  <si>
    <r>
      <rPr>
        <sz val="11"/>
        <color theme="1"/>
        <rFont val="Noto Sans CJK SC"/>
        <family val="2"/>
      </rPr>
      <t xml:space="preserve">웜업 — 밴드 풀 어파트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 xml:space="preserve">세트 </t>
    </r>
    <r>
      <rPr>
        <sz val="11"/>
        <color theme="1"/>
        <rFont val="Calibri"/>
        <family val="2"/>
        <charset val="1"/>
      </rPr>
      <t>× 15 (</t>
    </r>
    <r>
      <rPr>
        <sz val="11"/>
        <color theme="1"/>
        <rFont val="Noto Sans CJK SC"/>
        <family val="2"/>
      </rPr>
      <t>세트 카운트 제외</t>
    </r>
    <r>
      <rPr>
        <sz val="11"/>
        <color theme="1"/>
        <rFont val="Calibri"/>
        <family val="2"/>
        <charset val="1"/>
      </rPr>
      <t xml:space="preserve">): </t>
    </r>
    <r>
      <rPr>
        <sz val="11"/>
        <color theme="1"/>
        <rFont val="Noto Sans CJK SC"/>
        <family val="2"/>
      </rPr>
      <t>가볍게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>견갑골 후인 프라이밍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대체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케이블 스캡 로우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>아주 가벼운 페이스풀</t>
    </r>
    <r>
      <rPr>
        <sz val="11"/>
        <color theme="1"/>
        <rFont val="Calibri"/>
        <family val="2"/>
        <charset val="1"/>
      </rPr>
      <t>.</t>
    </r>
  </si>
  <si>
    <t>해머 스트랭스 로우</t>
  </si>
  <si>
    <t>중부승모·이두</t>
  </si>
  <si>
    <t>수평 당기기 메인. 가슴이 받쳐져 허리 부담이 없다</t>
  </si>
  <si>
    <t>체스트 서포티드 로우 / 티바 로우 / 펜들레이 로우 (척추 부하 ↑) / 바벨 로우</t>
  </si>
  <si>
    <t>시티드 케이블 로우</t>
  </si>
  <si>
    <t>해머와 그립을 다르게 (해머가 뉴트럴이면 여기선 와이드). 광배 아래쪽 섬유</t>
  </si>
  <si>
    <t>원암 케이블 로우 (좌우 독립) / 덤벨 로우 / 머신 로우</t>
  </si>
  <si>
    <t>시티드 케이블 로우 스캡 슈러그</t>
  </si>
  <si>
    <t>후면 삼각근</t>
  </si>
  <si>
    <t>2번 시티드 케이블 로우에서 무게만 내려 이어서 한다 (자리 이동 없음). 팔꿈치 각도를 세트 내내 고정하고 견갑골만 뒤로 — 가동범위 2~3cm, 모은 자리에서 1초 정지. 상체를 뒤로 눕히면 하부 승모 각도가 되고, 팔을 당기면 광배로 넘어간다. 케이블이라 수축 지점에서도 장력이 유지되고 핀 단위 미세 증량이 된다 (플레이트 로드 머신은 이 무게대에서 계단이 너무 큼).</t>
  </si>
  <si>
    <t>해머 스트랭스 로우에서 팔 편 채 견갑골만 — 가슴 패드가 상체를 고정해줘 자세 잡기는 더 쉬우나 무게 미세 조정이 어렵다 / 리버스 펙덱을 팔 편 채로 / 켈소 슈러그 (받침 벤치가 있을 때)</t>
  </si>
  <si>
    <t>케이블 리버스 플라이</t>
  </si>
  <si>
    <t>중부승모·능형근</t>
  </si>
  <si>
    <t>후면 삼각근은 프레스로 자라지 않는다 — 반드시 별도로 센다 [v17 제외 — 화 리버스 펙덱 4 · 금 벤트오버 3, 3일 간격 주 2회로 재편]</t>
  </si>
  <si>
    <t>리버스 펙덱 (자세 유지가 쉬워 사실상 상위 호환) / 페이스풀 / 인클라인 벤치 리어델트 레이즈</t>
  </si>
  <si>
    <t>프리쳐 컬</t>
  </si>
  <si>
    <t>20~25</t>
  </si>
  <si>
    <t>반동이 차단되는 종목. 인클라인(월)과 각도를 나눈다</t>
  </si>
  <si>
    <r>
      <rPr>
        <sz val="11"/>
        <rFont val="Arial"/>
        <family val="2"/>
        <charset val="1"/>
      </rPr>
      <t>EZ</t>
    </r>
    <r>
      <rPr>
        <sz val="11"/>
        <rFont val="Noto Sans CJK SC"/>
        <family val="2"/>
      </rPr>
      <t xml:space="preserve">바 프리처 컬 </t>
    </r>
    <r>
      <rPr>
        <sz val="11"/>
        <rFont val="Arial"/>
        <family val="2"/>
        <charset val="1"/>
      </rPr>
      <t xml:space="preserve">/ </t>
    </r>
    <r>
      <rPr>
        <sz val="11"/>
        <rFont val="Noto Sans CJK SC"/>
        <family val="2"/>
      </rPr>
      <t xml:space="preserve">머신 프리처 컬 </t>
    </r>
    <r>
      <rPr>
        <sz val="11"/>
        <rFont val="Arial"/>
        <family val="2"/>
        <charset val="1"/>
      </rPr>
      <t xml:space="preserve">/ </t>
    </r>
    <r>
      <rPr>
        <sz val="11"/>
        <rFont val="Noto Sans CJK SC"/>
        <family val="2"/>
      </rPr>
      <t>컨센트레이션 컬</t>
    </r>
  </si>
  <si>
    <t>시티드 리스트 컬</t>
  </si>
  <si>
    <t>손목 굴근. 월요일 리버스와 대항쌍 [v17 감량 4→3 — 전완 실질 8로 자체 하한 유지]</t>
  </si>
  <si>
    <t>덤벨 리스트 컬 (한 손씩) / 케이블 리스트 컬 / 비하인드백 리스트 컬</t>
  </si>
  <si>
    <t>트랩바 슈러그</t>
  </si>
  <si>
    <t>승모(상부)</t>
  </si>
  <si>
    <t>전완 · 기립근</t>
  </si>
  <si>
    <t>몸 옆에서 잡는 중립 그립이라 견갑골이 전인되지 않는다 — 바벨(몸 앞)보다 승모 상부 섬유 방향에 맞고 가동범위도 더 나온다. 어깨를 위로만, 돌리지 말 것 (회전은 가동범위를 늘리는 게 아니라 견봉하 공간만 좁힌다). 맨 위에서 1초 정지 — 정지 없이 하면 반동으로 끝난다. 턱은 당기고 목은 중립 (목을 앞으로 빼면 경추 신전근이 일한다). 그립이 승모보다 먼저 나가므로 스트랩 권장 — 전완은 이미 주 7세트 직접으로 충족돼 여기서 그립을 훈련할 이유가 없다. #7 자리인 이유: 앞의 로우 7세트 + 스캡 슈러그로 그립이 지쳐 있어 프리쳐 컬·리스트 컬보다 뒤에 와야 연쇄 피해가 없다. 금요일 오버헤드 슈러그(승모 하부·상방회전)와는 다른 근육이므로 대체가 아니라 추가다.</t>
  </si>
  <si>
    <t>덤벨 슈러그 (트랩바 없을 때 — 몸 옆 그립 동일) / 스미스 슈러그 (궤도 고정) / 바벨 슈러그 (몸 앞이라 가동범위 약간 손해) / 케이블 슈러그</t>
  </si>
  <si>
    <t>중량 크런치</t>
  </si>
  <si>
    <t>복부 굴곡(상부). 월요일 레그레이즈(하부)와 나눈다</t>
  </si>
  <si>
    <t>케이블 크런치 (점진적 과부하에 최적 — 1순위) / 압도미널 크런치 머신 / 인클라인 싯업</t>
  </si>
  <si>
    <t>금요일 — 밀기 B (수직)</t>
  </si>
  <si>
    <t>오버헤드 프레싱 · 흉근 상부 · 어깨 측면/후면. 벤치(화)와 3일 간격이라 무게가 온전히 나온다.</t>
  </si>
  <si>
    <t>메인: 밀리터리 프레스</t>
  </si>
  <si>
    <t>밀리터리 프레스 (본세트)</t>
  </si>
  <si>
    <t>삼각근(전면)</t>
  </si>
  <si>
    <t>삼두 · 삼각근(측면)</t>
  </si>
  <si>
    <t>벤치와 3일 간격 — 5일 버전의 "전날 벤치 여파" 문제가 사라진 자리. 팔꿈치 다 내리지 말 것</t>
  </si>
  <si>
    <t>스미스 오버헤드 프레스 / 숄더 프레스 머신 / 덤벨 숄더 프레스 (가동범위 ↑) / 아놀드 프레스</t>
  </si>
  <si>
    <t>머신 숄더 프레스</t>
  </si>
  <si>
    <t>승모 · 삼각근(측면)</t>
  </si>
  <si>
    <t>주동은 전면이나 오버헤드라 측면도 상당히 쓴다. 그립 넓게 — 좁으면 승모가 대신 일한다</t>
  </si>
  <si>
    <t>덤벨 숄더 프레스 / 스미스 오버헤드 프레스 / 아놀드 프레스</t>
  </si>
  <si>
    <t>오버헤드 슈러그(스미스)</t>
  </si>
  <si>
    <t>머신 숄더 프레스 직후 — 오버헤드 각도가 이미 나와 있어 세팅 이동이 없다. 팔꿈치 편 채 견갑골만 2~3cm 위로. 팔꿈치가 굽으면 그건 프레스지 슈러그가 아니다</t>
  </si>
  <si>
    <t>스미스 오버헤드 슈러그 (1순위 — 궤도 고정으로 안정화 부담 없음) / 숄더 프레스 머신에서 팔 편 채 밀어올리기 / 덤벨 오버헤드 슈러그 (좌우 독립이나 안정화가 먼저 한계에 닿는다) / 케틀벨 보텀업 홀드</t>
  </si>
  <si>
    <t>헤머스트랭스 체스트 프레스</t>
  </si>
  <si>
    <t>20~24</t>
  </si>
  <si>
    <t>좌우 독립 + 궤도 고정. 벤치(화)가 수평 메인이므로 여기선 보조 볼륨 [v17 제외 — 흉근 합산 천장(19→16) 감량, 벤치·딥스·인클라인이 담당]</t>
  </si>
  <si>
    <t>케이블 체스트 프레스 (전 구간 장력) / 덤벨 프레스 (가동범위 ↑) / 스미스 벤치는 대체 불가</t>
  </si>
  <si>
    <t>인클라인 벤치프레스 머신</t>
  </si>
  <si>
    <t>40~45</t>
  </si>
  <si>
    <t>쇄골지. 오버헤드 프레싱과 각도가 이어져 세팅 이동이 적다</t>
  </si>
  <si>
    <t>인클라인 스미스 프레스 / 인클라인 덤벨 프레스 (가동범위 ↑) / 인클라인 체스트 프레스 머신</t>
  </si>
  <si>
    <t>벤트오버 레터럴 레이즈 머신</t>
  </si>
  <si>
    <t>수평 외전. 목요일 케이블 리버스 플라이와 주 2회로 나눠 배치</t>
  </si>
  <si>
    <t>리버스 펙덱 / 케이블 리버스 플라이 / 인클라인 벤치에 엎드려 덤벨 리어델트</t>
  </si>
  <si>
    <t>원암 사이드 케이블 레터럴 레이즈</t>
  </si>
  <si>
    <t>몸을 반대로 기울여 늘어난 위치부터 부하. 덤벨 레터럴(화)이 못 거는 구간</t>
  </si>
  <si>
    <t>케이블 원암 레터럴 레이즈 (최우선) / 원암 레터럴 레이즈 머신</t>
  </si>
  <si>
    <t>프론 Y 레이즈</t>
  </si>
  <si>
    <t>2~5</t>
  </si>
  <si>
    <t>벤트오버 레터럴과 같은 인클라인 벤치 — 세팅 그대로 이어서. 매우 가볍게. 오버헤드 슈러그가 상방회전, 이쪽은 하강 — 역할이 다르다</t>
  </si>
  <si>
    <t>케이블 Y 레이즈 / 페이스풀 (마지막에 견갑골 하강) / 프론 스윔</t>
  </si>
  <si>
    <t>늘어난 구간 삼두 — 화요일에서 이동 (v18). 푸쉬다운 제외로 화 고정 사유가 소멸, 유일한 삼두 고립을 프레싱 전부 마친 뒤 마지막에. 팔꿈치 시큰하면 EZ바나 오버헤드 케이블로. (이 자리의 케이블 푸쉬다운은 v17 제외 — 삼두 간접 9로 충족)</t>
  </si>
  <si>
    <t>오버헤드 케이블 익스텐션 / 스컬크러셔 / EZ바 라잉 익스텐션</t>
  </si>
  <si>
    <t>하부 승모 — 세 패턴 (v3)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</si>
  <si>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하부 승모의 일은 두 갈래다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>견갑골 하강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>그리고 팔이 올라갈 때의 상방회전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</si>
  <si>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스캡 풀업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월 웜업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 xml:space="preserve">순수 하강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프론 </t>
    </r>
    <r>
      <rPr>
        <sz val="11"/>
        <rFont val="Arial"/>
        <family val="2"/>
        <charset val="1"/>
      </rPr>
      <t>Y(</t>
    </r>
    <r>
      <rPr>
        <sz val="11"/>
        <rFont val="Noto Sans CJK SC"/>
        <family val="2"/>
      </rPr>
      <t>금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 xml:space="preserve">하강 </t>
    </r>
    <r>
      <rPr>
        <sz val="11"/>
        <rFont val="Arial"/>
        <family val="2"/>
        <charset val="1"/>
      </rPr>
      <t xml:space="preserve">+ </t>
    </r>
    <r>
      <rPr>
        <sz val="11"/>
        <rFont val="Noto Sans CJK SC"/>
        <family val="2"/>
      </rPr>
      <t xml:space="preserve">후인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오버헤드 슈러그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금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>상방회전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</si>
  <si>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상방회전은 팔이 머리 위로 간 각도에서만 훈련된다 — 지금까지 프로그램에 통째로 비어 있던 패턴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</si>
  <si>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전거근이 함께 온다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전거근이 약하면 하부 승모를 키워도 견갑골이 제 위치로 안 간다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</si>
  <si>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가동범위가 아주 작다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견갑골만 </t>
    </r>
    <r>
      <rPr>
        <sz val="11"/>
        <rFont val="Arial"/>
        <family val="2"/>
        <charset val="1"/>
      </rPr>
      <t xml:space="preserve">2~3cm </t>
    </r>
    <r>
      <rPr>
        <sz val="11"/>
        <rFont val="Noto Sans CJK SC"/>
        <family val="2"/>
      </rPr>
      <t>올렸다 내리는 동작이고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>그 이상은 팔꿈치가 굽은 것이다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</si>
  <si>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무게는 오버헤드로 안정적으로 지지할 수 있는 것보다 가볍게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스미스나 머신 권장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</si>
  <si>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하부 승모는 무게로 밀어붙일 수 없다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과부하는 정지 </t>
    </r>
    <r>
      <rPr>
        <sz val="11"/>
        <rFont val="Arial"/>
        <family val="2"/>
        <charset val="1"/>
      </rPr>
      <t>2~3</t>
    </r>
    <r>
      <rPr>
        <sz val="11"/>
        <rFont val="Noto Sans CJK SC"/>
        <family val="2"/>
      </rPr>
      <t xml:space="preserve">초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하강 </t>
    </r>
    <r>
      <rPr>
        <sz val="11"/>
        <rFont val="Arial"/>
        <family val="2"/>
        <charset val="1"/>
      </rPr>
      <t>3</t>
    </r>
    <r>
      <rPr>
        <sz val="11"/>
        <rFont val="Noto Sans CJK SC"/>
        <family val="2"/>
      </rPr>
      <t xml:space="preserve">초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반복 수 확장으로</t>
    </r>
    <r>
      <rPr>
        <sz val="11"/>
        <rFont val="Arial"/>
        <family val="2"/>
        <charset val="1"/>
      </rPr>
      <t>.</t>
    </r>
  </si>
  <si>
    <t>토요일 — 하체 B (고관절 지배)</t>
  </si>
  <si>
    <t>데드 · 힙 힌지 · 둔근. 수요일 하체 A(무릎 지배)와 3일 간격. 다음날 완전 휴식.</t>
  </si>
  <si>
    <t>메인: 데드리프트</t>
  </si>
  <si>
    <t>데드리프트 (본세트)</t>
  </si>
  <si>
    <t>광배·햄스트링·둔근</t>
  </si>
  <si>
    <t>주 1회. 다음날이 휴식이라 이 자리가 가장 안전하다. 기립근 보조는 월요일 덤벨 RDL이 맡는다</t>
  </si>
  <si>
    <t>트랩바 데드리프트 (요추 전단력 ↓) / 랙풀 (무릎 위에서 시작) / 스모 데드리프트</t>
  </si>
  <si>
    <t>힙 쓰러스트</t>
  </si>
  <si>
    <t>둔근 메인. 무겁게. 데드 뒤라 둔근이 예열된 상태</t>
  </si>
  <si>
    <t>힙 쓰러스트 머신 / 스미스 힙 쓰러스트 / 글룻 브릿지</t>
  </si>
  <si>
    <t>루마니안 데드리프트</t>
  </si>
  <si>
    <t>8</t>
  </si>
  <si>
    <t>고관절 신전. 수요일 레그 컬(무릎 굴곡)과 기능이 다르다</t>
  </si>
  <si>
    <t>덤벨 RDL (좌우 독립) / 스티프 레그드 데드리프트 / 케이블 풀스루 (허리 부담 최소)</t>
  </si>
  <si>
    <t>원 레그 컬</t>
  </si>
  <si>
    <t>10</t>
  </si>
  <si>
    <t>레그 컬의 좌우 독립 버전. 약한 쪽이 강한 쪽에 묻히지 않는다</t>
  </si>
  <si>
    <t>싱글 레그 라잉 컬 / 싱글 레그 시티드 컬 / 케이블 레그 컬</t>
  </si>
  <si>
    <t>레그 익스텐션</t>
  </si>
  <si>
    <t>대퇴사두 주 2회를 만들기 위한 배치. 수요일 스쿼트 볼륨과 3일 간격</t>
  </si>
  <si>
    <t>싱글 레그 익스텐션 / 시시 스쿼트 / 레그 프레스 발판 높게</t>
  </si>
  <si>
    <t>수/토 3+3 분할. 데드·힙 이후라 대퇴가 예열된 상태에서 궤도 고정으로 확실히 간다</t>
  </si>
  <si>
    <t>핵 스쿼트 / 레그 익스텐션 / 프론트 스쿼트 / 45도 레그 프레스</t>
  </si>
  <si>
    <t>시티드 카프 레이즈</t>
  </si>
  <si>
    <t>무릎 굽힘 — 가자미근 주도. 수요일 스탠딩(비복근)과 역할이 다르다</t>
  </si>
  <si>
    <t>시티드 카프 레이즈 머신 (1순위) / 레그 프레스에서 무릎 굽힌 채 / 덤벨을 무릎에 올리고</t>
  </si>
  <si>
    <t>관상면 외전 — 고관절 날로 복귀 (v18). 5일 버전 토요일 과부하 때문에 수요일로 갔던 종목이나 그 사유 소멸. 앉는 시간이 길면 대둔근보다 중둔근이 먼저 잠든다. (이 자리의 트렁크 로테이션은 v17 제외 — 복부 직접 8 유지)</t>
  </si>
  <si>
    <t>간접 세트 계수 맵 — 세트검산 간접 열(C)의 계산 원천</t>
  </si>
  <si>
    <t>각 줄 = "이 종목이 → 이 근육에 → 계수만큼 기여". 원천세트는 요일 시트 E열(설계 볼륨)에서 이름 매칭으로 자동 산출, 간접세트 = 계수 × 원천세트. 세트검산 C열이 이 표를 근육별 SUMIFS로 합산한다. E열 설계 세트 변경 시 자동 갱신. (세트검산 표시값은 0.5 단위 반올림)</t>
  </si>
  <si>
    <t>계수 규칙(상한 0.5):  0.5 = 명확한 협력근(능동 수축·신전) · 0.33 = 부분 협력(관여하나 비주도) · 0.2 = 약한 자극(고장력 등척성 또는 미미한 동적 관여) · 0 = 순수 그립·안정화(자극 없음).   파란 계수 = 수정 가능 · 출처 G = 프로그램 선언(초록) / C = Claude 추가(주황)</t>
  </si>
  <si>
    <t>원천요일</t>
  </si>
  <si>
    <t>원천종목</t>
  </si>
  <si>
    <t>대상근육</t>
  </si>
  <si>
    <t>계수</t>
  </si>
  <si>
    <t>원천세트</t>
  </si>
  <si>
    <t>간접세트</t>
  </si>
  <si>
    <t>출처</t>
  </si>
  <si>
    <t>계수 근거</t>
  </si>
  <si>
    <t>월_당기기A</t>
  </si>
  <si>
    <t>G</t>
  </si>
  <si>
    <t>당기기 중 이두 능동 굴곡 — 강한 협력</t>
  </si>
  <si>
    <t>당기기 중 이두 능동 굴곡</t>
  </si>
  <si>
    <t>목_당기기B</t>
  </si>
  <si>
    <t>로우 중 이두 능동 굴곡</t>
  </si>
  <si>
    <t>화_밀기A</t>
  </si>
  <si>
    <t>프레스 중 삼두 신전 — 강한 협력</t>
  </si>
  <si>
    <t>딥스는 삼두 스트레치+신전 강함</t>
  </si>
  <si>
    <t>금_밀기B</t>
  </si>
  <si>
    <t>오버헤드 프레스 삼두 신전</t>
  </si>
  <si>
    <t>프레스 중 삼두 신전</t>
  </si>
  <si>
    <t>컬 중 상완요골근 동적 굴곡 — 부분 협력</t>
  </si>
  <si>
    <t>상완요골근 동적 굴곡</t>
  </si>
  <si>
    <t>순수 그립 유지(스트랩 권장) — 성장 자극 없음</t>
  </si>
  <si>
    <t>벤치 중 전면삼각 능동 관여</t>
  </si>
  <si>
    <t>인클라인은 전면삼각 관여 큼</t>
  </si>
  <si>
    <t>오버헤드 프레스 측면삼각 능동 관여</t>
  </si>
  <si>
    <t>페이스풀 중 후면삼각 능동 수축</t>
  </si>
  <si>
    <r>
      <rPr>
        <sz val="9"/>
        <color rgb="FF566573"/>
        <rFont val="Arial"/>
        <family val="2"/>
        <charset val="1"/>
      </rPr>
      <t>Y</t>
    </r>
    <r>
      <rPr>
        <sz val="9"/>
        <color rgb="FF566573"/>
        <rFont val="Noto Sans CJK SC"/>
        <family val="2"/>
      </rPr>
      <t>레이즈 후면삼각 능동 관여</t>
    </r>
  </si>
  <si>
    <t>견갑 후인 능동 수축</t>
  </si>
  <si>
    <t>토_하체B</t>
  </si>
  <si>
    <t>고관절 신전 협력</t>
  </si>
  <si>
    <t>힌지 — 햄스트링 준주동</t>
  </si>
  <si>
    <t>수_하체A</t>
  </si>
  <si>
    <t>고관절 신전 능동 — 강한 협력</t>
  </si>
  <si>
    <t>둔근 관여하나 스쿼트보다 부분적</t>
  </si>
  <si>
    <t>고관절 신전 — 준주동</t>
  </si>
  <si>
    <t>힌지 고관절 신전 능동</t>
  </si>
  <si>
    <t>힌지 고관절 신전</t>
  </si>
  <si>
    <t>고장력 등척성 — 척추 중립 받치기(길이변화 작음)</t>
  </si>
  <si>
    <t>고장력 등척성 — 중량 받치기</t>
  </si>
  <si>
    <r>
      <rPr>
        <sz val="9"/>
        <color rgb="FF566573"/>
        <rFont val="Arial"/>
        <family val="2"/>
        <charset val="1"/>
      </rPr>
      <t>RDL</t>
    </r>
    <r>
      <rPr>
        <sz val="9"/>
        <color rgb="FF566573"/>
        <rFont val="Noto Sans CJK SC"/>
        <family val="2"/>
      </rPr>
      <t>은 기립근 동적 신전</t>
    </r>
    <r>
      <rPr>
        <sz val="9"/>
        <color rgb="FF566573"/>
        <rFont val="Arial"/>
        <family val="2"/>
        <charset val="1"/>
      </rPr>
      <t>·</t>
    </r>
    <r>
      <rPr>
        <sz val="9"/>
        <color rgb="FF566573"/>
        <rFont val="Noto Sans CJK SC"/>
        <family val="2"/>
      </rPr>
      <t>수축 — 등척성 아님</t>
    </r>
  </si>
  <si>
    <t>스플릿 스쿼트 대퇴사두 동적 작동</t>
  </si>
  <si>
    <t>관상면 안정화 부하 — 부분 관여</t>
  </si>
  <si>
    <t>C</t>
  </si>
  <si>
    <t>고장력 등척성 — 바를 몸쪽에 고정(길이변화 작음)</t>
  </si>
  <si>
    <t>대내전근은 고관절 신전근 — 깊은 스쿼트서 동적 작동</t>
  </si>
  <si>
    <t>부분 관여</t>
  </si>
  <si>
    <t>단측 부하 부분 관여</t>
  </si>
  <si>
    <t>플랫 벤치의 상부 섬유 미미한 동적 관여</t>
  </si>
  <si>
    <t>인클라인의 중하부 섬유 미미한 관여</t>
  </si>
  <si>
    <t>로우 중 상부승모 약한 등척성</t>
  </si>
  <si>
    <t>오버헤드 상방회전 약한 관여</t>
  </si>
  <si>
    <t>고장력 등척성 견갑대 유지</t>
  </si>
  <si>
    <t>당기기 중 견갑 하강 약한 관여</t>
  </si>
  <si>
    <t>로우 중 하부승모 약한 관여</t>
  </si>
  <si>
    <t>리버스 펙덱 견갑 후인 — 능형·중부승모 부분 협력</t>
  </si>
  <si>
    <t>둔근 관여하나 스쿼트보다 부분적 (토요일 분할분)</t>
  </si>
  <si>
    <t>부분 관여 (토요일 분할분)</t>
  </si>
  <si>
    <t>오버헤드 프레스 삼두 신전 — 기존 프레스 삼두 엣지(0.5)와 일관</t>
  </si>
  <si>
    <t>체스트 프레스 삼두 신전 — 기존 프레스 삼두 엣지(0.5)와 일관</t>
  </si>
  <si>
    <t>딥스는 전면삼각 부차 관여 — 벤치 상부흉근(0.2)과 같은 약관여 등급</t>
  </si>
  <si>
    <t>수평 프레스 전면삼각 관여 — 벤치·인클라인 머신과 같은 0.5 등급</t>
  </si>
  <si>
    <t>간접 총합</t>
  </si>
  <si>
    <t>근육군별 주간 세트 — 검산</t>
  </si>
  <si>
    <t>세트는 근육군 단위로 센다. '하체 20세트'는 의미 없는 숫자 — 대퇴 18 / 햄스트링 2여도 하체 20이 된다. 집계는 E열(설계 세트) 기준이다. 간접·실질은 0.5 단위 반올림으로 표시한다 — 메모의 계산 원값과 ±0.25 이내 차이가 날 수 있다.</t>
  </si>
  <si>
    <t>직접 세트</t>
  </si>
  <si>
    <t>간접 추정</t>
  </si>
  <si>
    <t>실질</t>
  </si>
  <si>
    <t>판정</t>
  </si>
  <si>
    <t>간접 출처 / 비고</t>
  </si>
  <si>
    <t>플랫 벤치 5세트가 쇄골지에도 일부 기여</t>
  </si>
  <si>
    <t>흉근 합산(상+중하)</t>
  </si>
  <si>
    <t>인클라인 벤치프레스 머신 0.2×4=0.8 — 흉늑지 약관여</t>
  </si>
  <si>
    <t>데드리프트의 광배 등척성 유지 — 주 1세트뿐이라 0으로 하향(계수 0). 직접 14세트로 이미 충분.</t>
  </si>
  <si>
    <t>등</t>
  </si>
  <si>
    <t>직접: 트랩바 슈러그(목) 2세트. 간접: 해머 로우 0.2×4=0.8 · 밀리터리 0.2×3=0.6 · 데드 0.2×1=0.2 = 1.6. 실질 3.6 — 하한(8) 미만. 3~4주 뒤 자극 부족하면 화_밀기A에 2세트 추가해 주 2회로.</t>
  </si>
  <si>
    <t>친업 0.2×4=0.8 + 해머 로우 0.2×4=0.8 = 1.6 — 견갑 하강은 동작 개시 관여라 약계수</t>
  </si>
  <si>
    <t>해머 로우 0.5×4=2 + 시티드 케이블 로우 0.5×3=1.5 + 리버스 펙덱(화) 0.33×4=1.32 = 4.82 — 전부 견갑 후인 계열. (목 케이블 리버스 플라이는 v17 제외로 간접에서 빠짐)</t>
  </si>
  <si>
    <t>스쿼트 0.2×5=1(등척성) + RDL(토) 0.5×3=1.5(동적) + 트랩바 슈러그 0.2×2=0.4 = 2.9</t>
  </si>
  <si>
    <t>벤치 0.5×5=2.5 + 인클라인 머신 0.5×4=2 + 딥스 0.2×3=0.6 = 5.1 (머신 숄더·밀리터리는 직접 전면 분류 · 헤머 체스트는 v17 제외)</t>
  </si>
  <si>
    <t>밀리터리 프레스 0.5×3=1.5. (머신 숄더 프레스는 직접 전면삼각으로 분류 — 측면 간접엔 미포함.)</t>
  </si>
  <si>
    <t>페이스풀(월) 0.5×3=1.5 + 프론 Y(금) 0.5×2=1.0 = 2.5. 후면삼각은 프레스로 안 자라 직접 7세트(화 리버스 펙덱 4 · 금 벤트오버 3 — 3일 간격 주 2회)로 별도 확보. 목 케이블 리버스 플라이는 v17 제외.</t>
  </si>
  <si>
    <t>하체(대퇴·햄·종아리)</t>
  </si>
  <si>
    <t>힙 쓰러스트 0.5×4=2 + 데드 0.5×1=0.5 + 덤벨 RDL(월) 0.5×3=1.5 = 4</t>
  </si>
  <si>
    <t>스쿼트 0.5×5=2.5 + 데드 0.5×1=0.5 + RDL(토) 0.5×3=1.5 + 덤벨 RDL(월) 0.5×3=1.5 + 레그 프레스(수·토) 0.33×6=1.98 = 7.98</t>
  </si>
  <si>
    <t>불가리안 0.33×4=1.32 — 한 다리 지지 관상면 안정화. 스쿼트·레그프레스는 양측 지지라 계수 없음</t>
  </si>
  <si>
    <t>직접 세트 내역: 수 스탠딩 카프 3 (무릎 편 상태 — 비복근) · 토 시티드 카프 3 (무릎 굽힘 — 가자미근). 간접 출처는 없음 — 스쿼트·레그프레스의 발목 관여는 실패지점 근처까지 가지 않아 0으로 둔다.</t>
  </si>
  <si>
    <t>친업 0.5×4=2 + 랫풀다운 0.5×3=1.5 + 해머 로우 0.5×4=2 + 시티드 케이블 로우 0.5×3=1.5 = 7</t>
  </si>
  <si>
    <t>프레스 전 종목 0.5 — 벤치 2.5 · 딥스 1.5 · 밀리터리 1.5 · 머신 숄더 1.5 · 인클라인 머신 2 = 9 (헤머 체스트는 v17 제외)</t>
  </si>
  <si>
    <t>인클라인 덤벨 컬 · 프리쳐 컬 0.33×각3 = 1.98 (바벨 컬은 v17 제외). 순수 그립(데드·로우·친업·트랩바)은 규칙상 0 — 성장 자극 없음</t>
  </si>
  <si>
    <t>스쿼트 · 데드의 코어 브레이싱은 등척성 안정화이며 실패지점 근처까지 가지 않아 0으로 하향. 직접 11세트로 충족.</t>
  </si>
  <si>
    <t>스쿼트 · 레그 프레스 · 불가리안의 벌어진 스탠스 구간</t>
  </si>
  <si>
    <t>직접 세트 총계</t>
  </si>
  <si>
    <t>기준선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</si>
  <si>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10~20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 xml:space="preserve">성장 구간 </t>
    </r>
    <r>
      <rPr>
        <i/>
        <sz val="9"/>
        <color rgb="FF595959"/>
        <rFont val="Arial"/>
        <family val="2"/>
        <charset val="1"/>
      </rPr>
      <t xml:space="preserve">(20 </t>
    </r>
    <r>
      <rPr>
        <i/>
        <sz val="9"/>
        <color rgb="FF595959"/>
        <rFont val="Noto Sans CJK SC"/>
        <family val="2"/>
      </rPr>
      <t xml:space="preserve">초과 시 판정에 </t>
    </r>
    <r>
      <rPr>
        <i/>
        <sz val="9"/>
        <color rgb="FF595959"/>
        <rFont val="Arial"/>
        <family val="2"/>
        <charset val="1"/>
      </rPr>
      <t>"</t>
    </r>
    <r>
      <rPr>
        <i/>
        <sz val="9"/>
        <color rgb="FF595959"/>
        <rFont val="Noto Sans CJK SC"/>
        <family val="2"/>
      </rPr>
      <t>과다 점검</t>
    </r>
    <r>
      <rPr>
        <i/>
        <sz val="9"/>
        <color rgb="FF595959"/>
        <rFont val="Arial"/>
        <family val="2"/>
        <charset val="1"/>
      </rPr>
      <t xml:space="preserve">" </t>
    </r>
    <r>
      <rPr>
        <i/>
        <sz val="9"/>
        <color rgb="FF595959"/>
        <rFont val="Noto Sans CJK SC"/>
        <family val="2"/>
      </rPr>
      <t>표시</t>
    </r>
    <r>
      <rPr>
        <i/>
        <sz val="9"/>
        <color rgb="FF595959"/>
        <rFont val="Arial"/>
        <family val="2"/>
        <charset val="1"/>
      </rPr>
      <t>)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</si>
  <si>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유지 하한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</si>
  <si>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실패지점 </t>
    </r>
    <r>
      <rPr>
        <i/>
        <sz val="9"/>
        <color rgb="FF595959"/>
        <rFont val="Arial"/>
        <family val="2"/>
        <charset val="1"/>
      </rPr>
      <t>2~3</t>
    </r>
    <r>
      <rPr>
        <i/>
        <sz val="9"/>
        <color rgb="FF595959"/>
        <rFont val="Noto Sans CJK SC"/>
        <family val="2"/>
      </rPr>
      <t xml:space="preserve">회 이내 세트만 카운트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웜업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여유 세트 제외</t>
    </r>
    <r>
      <rPr>
        <i/>
        <sz val="9"/>
        <color rgb="FF595959"/>
        <rFont val="Arial"/>
        <family val="2"/>
        <charset val="1"/>
      </rPr>
      <t>)</t>
    </r>
  </si>
  <si>
    <t>따로 세야 하는 경우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</si>
  <si>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판단 기준은 하나 — 다른 종목이 그 부위를 대신 키워주는가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</si>
  <si>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안 키워주면 따로 센다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햄스트링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스쿼트로 안 자람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후면 삼각근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프레스로 안 자람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종아리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</si>
  <si>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키워주면 합쳐 판단한다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흉근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광배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 — 하나의 근육이며 함께 수축한다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표의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 분리 행은 분포 점검용이며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총량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 xml:space="preserve">상한 판단은 합산 기준으로 본다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흉근 합산은 </t>
    </r>
    <r>
      <rPr>
        <i/>
        <sz val="9"/>
        <color rgb="FF595959"/>
        <rFont val="Arial"/>
        <family val="2"/>
        <charset val="1"/>
      </rPr>
      <t>H5</t>
    </r>
    <r>
      <rPr>
        <i/>
        <sz val="9"/>
        <color rgb="FF595959"/>
        <rFont val="Noto Sans CJK SC"/>
        <family val="2"/>
      </rPr>
      <t xml:space="preserve">에 상시 표시 — 현재 직접 </t>
    </r>
    <r>
      <rPr>
        <i/>
        <sz val="9"/>
        <color rgb="FF595959"/>
        <rFont val="Arial"/>
        <family val="2"/>
        <charset val="1"/>
      </rPr>
      <t xml:space="preserve">16 · </t>
    </r>
    <r>
      <rPr>
        <i/>
        <sz val="9"/>
        <color rgb="FF595959"/>
        <rFont val="Noto Sans CJK SC"/>
        <family val="2"/>
      </rPr>
      <t xml:space="preserve">실질 </t>
    </r>
    <r>
      <rPr>
        <i/>
        <sz val="9"/>
        <color rgb="FF595959"/>
        <rFont val="Arial"/>
        <family val="2"/>
        <charset val="1"/>
      </rPr>
      <t>18).</t>
    </r>
  </si>
  <si>
    <t>현재 보완 필요 항목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</si>
  <si>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종아리 </t>
    </r>
    <r>
      <rPr>
        <i/>
        <sz val="9"/>
        <color rgb="FF595959"/>
        <rFont val="Arial"/>
        <family val="2"/>
        <charset val="1"/>
      </rPr>
      <t xml:space="preserve">(2026-08): </t>
    </r>
    <r>
      <rPr>
        <i/>
        <sz val="9"/>
        <color rgb="FF595959"/>
        <rFont val="Noto Sans CJK SC"/>
        <family val="2"/>
      </rPr>
      <t xml:space="preserve">수 스탠딩 카프 </t>
    </r>
    <r>
      <rPr>
        <i/>
        <sz val="9"/>
        <color rgb="FF595959"/>
        <rFont val="Arial"/>
        <family val="2"/>
        <charset val="1"/>
      </rPr>
      <t xml:space="preserve">3 + </t>
    </r>
    <r>
      <rPr>
        <i/>
        <sz val="9"/>
        <color rgb="FF595959"/>
        <rFont val="Noto Sans CJK SC"/>
        <family val="2"/>
      </rPr>
      <t xml:space="preserve">토 시티드 카프 </t>
    </r>
    <r>
      <rPr>
        <i/>
        <sz val="9"/>
        <color rgb="FF595959"/>
        <rFont val="Arial"/>
        <family val="2"/>
        <charset val="1"/>
      </rPr>
      <t xml:space="preserve">3 =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>세트 — 유지 하한</t>
    </r>
    <r>
      <rPr>
        <i/>
        <sz val="9"/>
        <color rgb="FF595959"/>
        <rFont val="Arial"/>
        <family val="2"/>
        <charset val="1"/>
      </rPr>
      <t xml:space="preserve">(8) </t>
    </r>
    <r>
      <rPr>
        <i/>
        <sz val="9"/>
        <color rgb="FF595959"/>
        <rFont val="Noto Sans CJK SC"/>
        <family val="2"/>
      </rPr>
      <t>미달</t>
    </r>
    <r>
      <rPr>
        <i/>
        <sz val="9"/>
        <color rgb="FF595959"/>
        <rFont val="Arial"/>
        <family val="2"/>
        <charset val="1"/>
      </rPr>
      <t>. 8</t>
    </r>
    <r>
      <rPr>
        <i/>
        <sz val="9"/>
        <color rgb="FF595959"/>
        <rFont val="Noto Sans CJK SC"/>
        <family val="2"/>
      </rPr>
      <t xml:space="preserve">로 올리려면 각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>세트로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</si>
  <si>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일 버전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당기기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밀기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>× 2). 5</t>
    </r>
    <r>
      <rPr>
        <i/>
        <sz val="9"/>
        <color rgb="FF595959"/>
        <rFont val="Noto Sans CJK SC"/>
        <family val="2"/>
      </rPr>
      <t xml:space="preserve">일 </t>
    </r>
    <r>
      <rPr>
        <i/>
        <sz val="9"/>
        <color rgb="FF595959"/>
        <rFont val="Arial"/>
        <family val="2"/>
        <charset val="1"/>
      </rPr>
      <t xml:space="preserve">147 → </t>
    </r>
    <r>
      <rPr>
        <i/>
        <sz val="9"/>
        <color rgb="FF595959"/>
        <rFont val="Noto Sans CJK SC"/>
        <family val="2"/>
      </rPr>
      <t xml:space="preserve">재편 </t>
    </r>
    <r>
      <rPr>
        <i/>
        <sz val="9"/>
        <color rgb="FF595959"/>
        <rFont val="Arial"/>
        <family val="2"/>
        <charset val="1"/>
      </rPr>
      <t>159 → v17 143 → v18 140 (</t>
    </r>
    <r>
      <rPr>
        <i/>
        <sz val="9"/>
        <color rgb="FF595959"/>
        <rFont val="Noto Sans CJK SC"/>
        <family val="2"/>
      </rPr>
      <t>스캡 풀업 웜업 전환</t>
    </r>
    <r>
      <rPr>
        <i/>
        <sz val="9"/>
        <color rgb="FF595959"/>
        <rFont val="Arial"/>
        <family val="2"/>
        <charset val="1"/>
      </rPr>
      <t>).</t>
    </r>
  </si>
  <si>
    <t>· 하부 승모: 프론 Y(하강+후인) 2 + 오버헤드 슈러그(상방회전) 3 = 직접 5. 스캡 풀업(하강)은 v18에서 월 웜업으로 전환 — 패턴은 매주 유지되나 카운트 제외.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</si>
  <si>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중둔근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종아리는 하한</t>
    </r>
    <r>
      <rPr>
        <i/>
        <sz val="9"/>
        <color rgb="FF595959"/>
        <rFont val="Arial"/>
        <family val="2"/>
        <charset val="1"/>
      </rPr>
      <t xml:space="preserve">(8) </t>
    </r>
    <r>
      <rPr>
        <i/>
        <sz val="9"/>
        <color rgb="FF595959"/>
        <rFont val="Noto Sans CJK SC"/>
        <family val="2"/>
      </rPr>
      <t xml:space="preserve">미달이지만 성장이 아닌 유지 목적 — 계수 </t>
    </r>
    <r>
      <rPr>
        <i/>
        <sz val="9"/>
        <color rgb="FF595959"/>
        <rFont val="Arial"/>
        <family val="2"/>
        <charset val="1"/>
      </rPr>
      <t>0</t>
    </r>
    <r>
      <rPr>
        <i/>
        <sz val="9"/>
        <color rgb="FF595959"/>
        <rFont val="Noto Sans CJK SC"/>
        <family val="2"/>
      </rPr>
      <t>으로 둔 양측 지지 안정화 자극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스쿼트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레그프레스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까지 감안한 판단이다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내전근은 실질 </t>
    </r>
    <r>
      <rPr>
        <i/>
        <sz val="9"/>
        <color rgb="FF595959"/>
        <rFont val="Arial"/>
        <family val="2"/>
        <charset val="1"/>
      </rPr>
      <t>10</t>
    </r>
    <r>
      <rPr>
        <i/>
        <sz val="9"/>
        <color rgb="FF595959"/>
        <rFont val="Noto Sans CJK SC"/>
        <family val="2"/>
      </rPr>
      <t xml:space="preserve">으로 충분에 진입 </t>
    </r>
    <r>
      <rPr>
        <i/>
        <sz val="9"/>
        <color rgb="FF595959"/>
        <rFont val="Arial"/>
        <family val="2"/>
        <charset val="1"/>
      </rPr>
      <t>(v14).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</si>
  <si>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승모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중부</t>
    </r>
    <r>
      <rPr>
        <i/>
        <sz val="9"/>
        <color rgb="FF595959"/>
        <rFont val="Arial"/>
        <family val="2"/>
        <charset val="1"/>
      </rPr>
      <t>)·</t>
    </r>
    <r>
      <rPr>
        <i/>
        <sz val="9"/>
        <color rgb="FF595959"/>
        <rFont val="Noto Sans CJK SC"/>
        <family val="2"/>
      </rPr>
      <t xml:space="preserve">능형근 보강 </t>
    </r>
    <r>
      <rPr>
        <i/>
        <sz val="9"/>
        <color rgb="FF595959"/>
        <rFont val="Arial"/>
        <family val="2"/>
        <charset val="1"/>
      </rPr>
      <t xml:space="preserve">(2026-08): </t>
    </r>
    <r>
      <rPr>
        <i/>
        <sz val="9"/>
        <color rgb="FF595959"/>
        <rFont val="Noto Sans CJK SC"/>
        <family val="2"/>
      </rPr>
      <t xml:space="preserve">직접 종목이 목요일 켈소 슈러그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세트뿐이라 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회였다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켈소는 받침 벤치가 필요해 시티드 케이블 로우 스캡 슈러그로 교체하고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 xml:space="preserve">월요일에 페이스풀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세트를 추가해 직접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 확보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총 직접 세트 </t>
    </r>
    <r>
      <rPr>
        <i/>
        <sz val="9"/>
        <color rgb="FF595959"/>
        <rFont val="Arial"/>
        <family val="2"/>
        <charset val="1"/>
      </rPr>
      <t xml:space="preserve">140 (v18 — </t>
    </r>
    <r>
      <rPr>
        <i/>
        <sz val="9"/>
        <color rgb="FF595959"/>
        <rFont val="Noto Sans CJK SC"/>
        <family val="2"/>
      </rPr>
      <t>스캡 풀업 웜업 전환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</si>
  <si>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승모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상부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 xml:space="preserve">신설 </t>
    </r>
    <r>
      <rPr>
        <i/>
        <sz val="9"/>
        <color rgb="FF595959"/>
        <rFont val="Arial"/>
        <family val="2"/>
        <charset val="1"/>
      </rPr>
      <t xml:space="preserve">(2026-08): </t>
    </r>
    <r>
      <rPr>
        <i/>
        <sz val="9"/>
        <color rgb="FF595959"/>
        <rFont val="Noto Sans CJK SC"/>
        <family val="2"/>
      </rPr>
      <t>이전에는 항목 자체가 없었다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목요일 트랩바 슈러그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 xml:space="preserve">세트 — 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금요일 오버헤드 슈러그는 승모 하부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상방회전이라 대체가 아니라 별개 근육이므로 그대로 유지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실질 </t>
    </r>
    <r>
      <rPr>
        <i/>
        <sz val="9"/>
        <color rgb="FF595959"/>
        <rFont val="Arial"/>
        <family val="2"/>
        <charset val="1"/>
      </rPr>
      <t xml:space="preserve">3.6 — </t>
    </r>
    <r>
      <rPr>
        <i/>
        <sz val="9"/>
        <color rgb="FF595959"/>
        <rFont val="Noto Sans CJK SC"/>
        <family val="2"/>
      </rPr>
      <t xml:space="preserve">하한 미만 —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 뒤 자극이 부족하면 화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밀기</t>
    </r>
    <r>
      <rPr>
        <i/>
        <sz val="9"/>
        <color rgb="FF595959"/>
        <rFont val="Arial"/>
        <family val="2"/>
        <charset val="1"/>
      </rPr>
      <t>A</t>
    </r>
    <r>
      <rPr>
        <i/>
        <sz val="9"/>
        <color rgb="FF595959"/>
        <rFont val="Noto Sans CJK SC"/>
        <family val="2"/>
      </rPr>
      <t xml:space="preserve">에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세트 추가</t>
    </r>
    <r>
      <rPr>
        <i/>
        <sz val="9"/>
        <color rgb="FF595959"/>
        <rFont val="Arial"/>
        <family val="2"/>
        <charset val="1"/>
      </rPr>
      <t>.</t>
    </r>
  </si>
  <si>
    <t>웜업 · 관절 준비 항목 (세트 카운트 제외)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</si>
  <si>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견갑 프라이밍 웜업 — 월 스캡 풀업 </t>
    </r>
    <r>
      <rPr>
        <i/>
        <sz val="9"/>
        <color rgb="FF595959"/>
        <rFont val="Arial"/>
        <family val="2"/>
        <charset val="1"/>
      </rPr>
      <t>2 (</t>
    </r>
    <r>
      <rPr>
        <i/>
        <sz val="9"/>
        <color rgb="FF595959"/>
        <rFont val="Noto Sans CJK SC"/>
        <family val="2"/>
      </rPr>
      <t>하강</t>
    </r>
    <r>
      <rPr>
        <i/>
        <sz val="9"/>
        <color rgb="FF595959"/>
        <rFont val="Arial"/>
        <family val="2"/>
        <charset val="1"/>
      </rPr>
      <t xml:space="preserve">) · </t>
    </r>
    <r>
      <rPr>
        <i/>
        <sz val="9"/>
        <color rgb="FF595959"/>
        <rFont val="Noto Sans CJK SC"/>
        <family val="2"/>
      </rPr>
      <t>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 xml:space="preserve">금 케이블 외회전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 xml:space="preserve">씩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목 밴드 풀 어파트 </t>
    </r>
    <r>
      <rPr>
        <i/>
        <sz val="9"/>
        <color rgb="FF595959"/>
        <rFont val="Arial"/>
        <family val="2"/>
        <charset val="1"/>
      </rPr>
      <t>2 (</t>
    </r>
    <r>
      <rPr>
        <i/>
        <sz val="9"/>
        <color rgb="FF595959"/>
        <rFont val="Noto Sans CJK SC"/>
        <family val="2"/>
      </rPr>
      <t>후인</t>
    </r>
    <r>
      <rPr>
        <i/>
        <sz val="9"/>
        <color rgb="FF595959"/>
        <rFont val="Arial"/>
        <family val="2"/>
        <charset val="1"/>
      </rPr>
      <t xml:space="preserve">). </t>
    </r>
    <r>
      <rPr>
        <i/>
        <sz val="9"/>
        <color rgb="FF595959"/>
        <rFont val="Noto Sans CJK SC"/>
        <family val="2"/>
      </rPr>
      <t>네 상체일 전부 그날 패턴의 웜업 보유</t>
    </r>
    <r>
      <rPr>
        <i/>
        <sz val="9"/>
        <color rgb="FF595959"/>
        <rFont val="Arial"/>
        <family val="2"/>
        <charset val="1"/>
      </rPr>
      <t>. (</t>
    </r>
    <r>
      <rPr>
        <i/>
        <sz val="9"/>
        <color rgb="FF595959"/>
        <rFont val="Noto Sans CJK SC"/>
        <family val="2"/>
      </rPr>
      <t>월요일 페이스풀은 실제 부하 카운트 세트이므로 여기서 제외</t>
    </r>
    <r>
      <rPr>
        <i/>
        <sz val="9"/>
        <color rgb="FF595959"/>
        <rFont val="Arial"/>
        <family val="2"/>
        <charset val="1"/>
      </rPr>
      <t>)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</si>
  <si>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근육군 표에 넣지 않는 이유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실패지점 근처까지 가지 않는 웜업 세트는 카운트 대상이 아니다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</si>
  <si>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벤트오버 레터럴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 xml:space="preserve">세트와 리버스 펙덱은 수평 외전이라 외회전을 대신하지 못한다 — 부하가 걸린 외회전 종목은 월요일 페이스풀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세트가 유일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이전에는 직접 </t>
    </r>
    <r>
      <rPr>
        <i/>
        <sz val="9"/>
        <color rgb="FF595959"/>
        <rFont val="Arial"/>
        <family val="2"/>
        <charset val="1"/>
      </rPr>
      <t>0</t>
    </r>
    <r>
      <rPr>
        <i/>
        <sz val="9"/>
        <color rgb="FF595959"/>
        <rFont val="Noto Sans CJK SC"/>
        <family val="2"/>
      </rPr>
      <t>세트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</si>
  <si>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벤치 </t>
    </r>
    <r>
      <rPr>
        <i/>
        <sz val="9"/>
        <color rgb="FF595959"/>
        <rFont val="Arial"/>
        <family val="2"/>
        <charset val="1"/>
      </rPr>
      <t>5×5</t>
    </r>
    <r>
      <rPr>
        <i/>
        <sz val="9"/>
        <color rgb="FF595959"/>
        <rFont val="Noto Sans CJK SC"/>
        <family val="2"/>
      </rPr>
      <t xml:space="preserve">가 최우선 종목이고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주간 계속 오른다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근비대가 아니라 어깨 관절 유지 목적</t>
    </r>
    <r>
      <rPr>
        <i/>
        <sz val="9"/>
        <color rgb="FF595959"/>
        <rFont val="Arial"/>
        <family val="2"/>
        <charset val="1"/>
      </rPr>
      <t>.</t>
    </r>
  </si>
  <si>
    <t>메인 리프트 증량 기록</t>
  </si>
  <si>
    <t>기본은 계획대로 증량. 목표 반복을 못 채운 주에만 해당 칸에 X를 입력하면 그 중량이 유지됩니다.</t>
  </si>
  <si>
    <t>증량 설정 — 종목별</t>
  </si>
  <si>
    <t>데드리프트 주당 증량 (kg)</t>
  </si>
  <si>
    <t>가장 큰 근육군 · 회복 여력 최대</t>
  </si>
  <si>
    <t>스쿼트 주당 증량 (kg)</t>
  </si>
  <si>
    <t>하체 — 복귀 구간에서는 빠르게 오른다</t>
  </si>
  <si>
    <t>벤치프레스 주당 증량 (kg)</t>
  </si>
  <si>
    <t>마이크로플레이트 1.125kg × 2</t>
  </si>
  <si>
    <t>밀리터리 프레스 주당 증량 (kg)</t>
  </si>
  <si>
    <t>가장 작은 근육군 — 절대값이 작아 2.25kg은 과함</t>
  </si>
  <si>
    <t>날짜</t>
  </si>
  <si>
    <t>스쿼트 목표</t>
  </si>
  <si>
    <t>미달 시 X</t>
  </si>
  <si>
    <t>데드 목표</t>
  </si>
  <si>
    <t>벤치 목표</t>
  </si>
  <si>
    <t>프레스 목표</t>
  </si>
  <si>
    <r>
      <rPr>
        <sz val="10"/>
        <rFont val="Arial"/>
        <family val="2"/>
        <charset val="1"/>
      </rPr>
      <t>1</t>
    </r>
    <r>
      <rPr>
        <sz val="10"/>
        <rFont val="Noto Sans CJK SC"/>
        <family val="2"/>
      </rPr>
      <t>주차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</si>
  <si>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공란 또는 </t>
    </r>
    <r>
      <rPr>
        <i/>
        <sz val="9"/>
        <color rgb="FF595959"/>
        <rFont val="Arial"/>
        <family val="2"/>
        <charset val="1"/>
      </rPr>
      <t xml:space="preserve">O = </t>
    </r>
    <r>
      <rPr>
        <i/>
        <sz val="9"/>
        <color rgb="FF595959"/>
        <rFont val="Noto Sans CJK SC"/>
        <family val="2"/>
      </rPr>
      <t>계획대로 증량</t>
    </r>
    <r>
      <rPr>
        <i/>
        <sz val="9"/>
        <color rgb="FF595959"/>
        <rFont val="Arial"/>
        <family val="2"/>
        <charset val="1"/>
      </rPr>
      <t xml:space="preserve">. X = </t>
    </r>
    <r>
      <rPr>
        <i/>
        <sz val="9"/>
        <color rgb="FF595959"/>
        <rFont val="Noto Sans CJK SC"/>
        <family val="2"/>
      </rPr>
      <t>그 중량을 다음 주에도 유지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</si>
  <si>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1</t>
    </r>
    <r>
      <rPr>
        <i/>
        <sz val="9"/>
        <color rgb="FF595959"/>
        <rFont val="Noto Sans CJK SC"/>
        <family val="2"/>
      </rPr>
      <t xml:space="preserve">주차 중량은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시작중량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설정</t>
    </r>
    <r>
      <rPr>
        <i/>
        <sz val="9"/>
        <color rgb="FF595959"/>
        <rFont val="Arial"/>
        <family val="2"/>
        <charset val="1"/>
      </rPr>
      <t xml:space="preserve">' </t>
    </r>
    <r>
      <rPr>
        <i/>
        <sz val="9"/>
        <color rgb="FF595959"/>
        <rFont val="Noto Sans CJK SC"/>
        <family val="2"/>
      </rPr>
      <t xml:space="preserve">시트 </t>
    </r>
    <r>
      <rPr>
        <i/>
        <sz val="9"/>
        <color rgb="FF595959"/>
        <rFont val="Arial"/>
        <family val="2"/>
        <charset val="1"/>
      </rPr>
      <t>D</t>
    </r>
    <r>
      <rPr>
        <i/>
        <sz val="9"/>
        <color rgb="FF595959"/>
        <rFont val="Noto Sans CJK SC"/>
        <family val="2"/>
      </rPr>
      <t>열과 연동됨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여기서 직접 수정하지 말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</si>
  <si>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같은 종목에 </t>
    </r>
    <r>
      <rPr>
        <i/>
        <sz val="9"/>
        <color rgb="FF595959"/>
        <rFont val="Arial"/>
        <family val="2"/>
        <charset val="1"/>
      </rPr>
      <t>X</t>
    </r>
    <r>
      <rPr>
        <i/>
        <sz val="9"/>
        <color rgb="FF595959"/>
        <rFont val="Noto Sans CJK SC"/>
        <family val="2"/>
      </rPr>
      <t xml:space="preserve">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주 연속이면 그 종목만 </t>
    </r>
    <r>
      <rPr>
        <i/>
        <sz val="9"/>
        <color rgb="FF595959"/>
        <rFont val="Arial"/>
        <family val="2"/>
        <charset val="1"/>
      </rPr>
      <t xml:space="preserve">10% </t>
    </r>
    <r>
      <rPr>
        <i/>
        <sz val="9"/>
        <color rgb="FF595959"/>
        <rFont val="Noto Sans CJK SC"/>
        <family val="2"/>
      </rPr>
      <t>디로드 후 재상승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</si>
  <si>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증량폭을 종목별로 나눈 이유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절대값이 같아도 부담이 전혀 다르다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</si>
  <si>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20kg </t>
    </r>
    <r>
      <rPr>
        <i/>
        <sz val="9"/>
        <color rgb="FF595959"/>
        <rFont val="Noto Sans CJK SC"/>
        <family val="2"/>
      </rPr>
      <t xml:space="preserve">프레스에 </t>
    </r>
    <r>
      <rPr>
        <i/>
        <sz val="9"/>
        <color rgb="FF595959"/>
        <rFont val="Arial"/>
        <family val="2"/>
        <charset val="1"/>
      </rPr>
      <t>2.25kg</t>
    </r>
    <r>
      <rPr>
        <i/>
        <sz val="9"/>
        <color rgb="FF595959"/>
        <rFont val="Noto Sans CJK SC"/>
        <family val="2"/>
      </rPr>
      <t xml:space="preserve">은 </t>
    </r>
    <r>
      <rPr>
        <i/>
        <sz val="9"/>
        <color rgb="FF595959"/>
        <rFont val="Arial"/>
        <family val="2"/>
        <charset val="1"/>
      </rPr>
      <t xml:space="preserve">11% </t>
    </r>
    <r>
      <rPr>
        <i/>
        <sz val="9"/>
        <color rgb="FF595959"/>
        <rFont val="Noto Sans CJK SC"/>
        <family val="2"/>
      </rPr>
      <t>증가지만</t>
    </r>
    <r>
      <rPr>
        <i/>
        <sz val="9"/>
        <color rgb="FF595959"/>
        <rFont val="Arial"/>
        <family val="2"/>
        <charset val="1"/>
      </rPr>
      <t xml:space="preserve">, 105kg </t>
    </r>
    <r>
      <rPr>
        <i/>
        <sz val="9"/>
        <color rgb="FF595959"/>
        <rFont val="Noto Sans CJK SC"/>
        <family val="2"/>
      </rPr>
      <t xml:space="preserve">데드에 </t>
    </r>
    <r>
      <rPr>
        <i/>
        <sz val="9"/>
        <color rgb="FF595959"/>
        <rFont val="Arial"/>
        <family val="2"/>
        <charset val="1"/>
      </rPr>
      <t>2.5kg</t>
    </r>
    <r>
      <rPr>
        <i/>
        <sz val="9"/>
        <color rgb="FF595959"/>
        <rFont val="Noto Sans CJK SC"/>
        <family val="2"/>
      </rPr>
      <t xml:space="preserve">은 </t>
    </r>
    <r>
      <rPr>
        <i/>
        <sz val="9"/>
        <color rgb="FF595959"/>
        <rFont val="Arial"/>
        <family val="2"/>
        <charset val="1"/>
      </rPr>
      <t>2.4%</t>
    </r>
    <r>
      <rPr>
        <i/>
        <sz val="9"/>
        <color rgb="FF595959"/>
        <rFont val="Noto Sans CJK SC"/>
        <family val="2"/>
      </rPr>
      <t>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</si>
  <si>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균일 증량을 쓰면 작은 종목만 비현실적으로 빨리 오르고 큰 종목은 제자리에 머문다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</si>
  <si>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>5kg</t>
    </r>
    <r>
      <rPr>
        <i/>
        <sz val="9"/>
        <color rgb="FF595959"/>
        <rFont val="Noto Sans CJK SC"/>
        <family val="2"/>
      </rPr>
      <t>이 커 보이지만 복귀 구간 첫 두세 달은 정상 범위다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근력을 새로 만드는 것이 아니라 되찾는 구간이기 때문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</si>
  <si>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이 속도가 버거워지면</t>
    </r>
    <r>
      <rPr>
        <i/>
        <sz val="9"/>
        <color rgb="FF595959"/>
        <rFont val="Arial"/>
        <family val="2"/>
        <charset val="1"/>
      </rPr>
      <t>(X</t>
    </r>
    <r>
      <rPr>
        <i/>
        <sz val="9"/>
        <color rgb="FF595959"/>
        <rFont val="Noto Sans CJK SC"/>
        <family val="2"/>
      </rPr>
      <t>가 반복되면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해당 칸 숫자를 절반으로 내린다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</si>
  <si>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4"/>
        <rFont val="Arial"/>
        <family val="2"/>
        <charset val="1"/>
      </rPr>
      <t>9</t>
    </r>
    <r>
      <rPr>
        <b/>
        <sz val="14"/>
        <rFont val="Noto Sans CJK SC"/>
        <family val="2"/>
      </rPr>
      <t>월 이후 — 현장 복귀 시 조정</t>
    </r>
  </si>
  <si>
    <t>이 프로그램은 재택 = 생활 부하 0 전제. 현장 복귀 시 그대로 쓰면 과부하.</t>
  </si>
  <si>
    <t>부위 / 항목</t>
  </si>
  <si>
    <t>조정</t>
  </si>
  <si>
    <t>이유</t>
  </si>
  <si>
    <t>감축</t>
  </si>
  <si>
    <t>일이 하루 종일 채움 — 들고 · 당기고 · 버티는 동작 전부</t>
  </si>
  <si>
    <t>하체</t>
  </si>
  <si>
    <t>서 있기 · 걷기로 이미 볼륨 누적</t>
  </si>
  <si>
    <t>대폭 감축</t>
  </si>
  <si>
    <t>데드 주 1회 유지가 상한. 현장 일이 허리를 이미 소모시킴</t>
  </si>
  <si>
    <t>프레싱 (벤치 · 프레스)</t>
  </si>
  <si>
    <t>유지</t>
  </si>
  <si>
    <t>현장 일이 채워주지 않는 유일한 영역</t>
  </si>
  <si>
    <t>후면 삼각근 · 코어</t>
  </si>
  <si>
    <t>당기고 버티는 동작만으로는 안 채워짐</t>
  </si>
  <si>
    <t>빈도</t>
  </si>
  <si>
    <t>주 6회 → 주 3회</t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</si>
  <si>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시간 근무 기준</t>
    </r>
    <r>
      <rPr>
        <sz val="10"/>
        <rFont val="Arial"/>
        <family val="2"/>
        <charset val="1"/>
      </rPr>
      <t>. 12</t>
    </r>
    <r>
      <rPr>
        <sz val="10"/>
        <rFont val="Noto Sans CJK SC"/>
        <family val="2"/>
      </rPr>
      <t>시간 근무일과 그 다음날은 회피</t>
    </r>
  </si>
  <si>
    <t>메인 리프트 배치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</si>
  <si>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근무일 회피</t>
    </r>
  </si>
  <si>
    <t>허리가 안 돌아온 상태에서 치는 것이 가장 위험</t>
  </si>
  <si>
    <t>판단 기준</t>
  </si>
  <si>
    <t>다음 근무일 아침 허리 상태</t>
  </si>
  <si>
    <t>뻐근하면 그 주 무게가 과했던 것. 어떤 프로그램 표보다 정확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</si>
  <si>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같은 프로그램이라도 생활 부하에 따라 적정선이 움직인다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</si>
  <si>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지금은 쌓는 시기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복귀 후는 지키는 시기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</si>
  <si>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재택 기간에 근력 베이스를 만들어두면 복귀 후에는 유지 모드로만 가도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</si>
  <si>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헬스보다 중요한 것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일하는 중간의 움직임</t>
    </r>
    <r>
      <rPr>
        <i/>
        <sz val="9"/>
        <color rgb="FF595959"/>
        <rFont val="Arial"/>
        <family val="2"/>
        <charset val="1"/>
      </rPr>
      <t>. 50</t>
    </r>
    <r>
      <rPr>
        <i/>
        <sz val="9"/>
        <color rgb="FF595959"/>
        <rFont val="Noto Sans CJK SC"/>
        <family val="2"/>
      </rPr>
      <t xml:space="preserve">분 앉으면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분 일어나기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 xml:space="preserve">하루 </t>
    </r>
    <r>
      <rPr>
        <i/>
        <sz val="9"/>
        <color rgb="FF595959"/>
        <rFont val="Arial"/>
        <family val="2"/>
        <charset val="1"/>
      </rPr>
      <t>30</t>
    </r>
    <r>
      <rPr>
        <i/>
        <sz val="9"/>
        <color rgb="FF595959"/>
        <rFont val="Noto Sans CJK SC"/>
        <family val="2"/>
      </rPr>
      <t>분 걷기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</si>
  <si>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헬스는 하루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 xml:space="preserve">시간이고 앉아 있는 건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시간 — 총량으로 보면 앉은 시간이 이긴다</t>
    </r>
    <r>
      <rPr>
        <i/>
        <sz val="9"/>
        <color rgb="FF595959"/>
        <rFont val="Arial"/>
        <family val="2"/>
        <charset val="1"/>
      </rPr>
      <t>.</t>
    </r>
  </si>
  <si>
    <t>→ 실제 요일 배치와 종목표는 '복귀_주간계획' 이하 4개 탭에 작성됨.</t>
  </si>
  <si>
    <r>
      <rPr>
        <b/>
        <sz val="11"/>
        <rFont val="Arial"/>
        <family val="2"/>
        <charset val="1"/>
      </rPr>
      <t>9</t>
    </r>
    <r>
      <rPr>
        <b/>
        <sz val="11"/>
        <rFont val="Noto Sans CJK SC"/>
        <family val="2"/>
      </rPr>
      <t xml:space="preserve">월 전 완충 구간 </t>
    </r>
    <r>
      <rPr>
        <b/>
        <sz val="11"/>
        <rFont val="Arial"/>
        <family val="2"/>
        <charset val="1"/>
      </rPr>
      <t xml:space="preserve">(v15 </t>
    </r>
    <r>
      <rPr>
        <b/>
        <sz val="11"/>
        <rFont val="Noto Sans CJK SC"/>
        <family val="2"/>
      </rPr>
      <t>추가</t>
    </r>
    <r>
      <rPr>
        <b/>
        <sz val="11"/>
        <rFont val="Arial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</si>
  <si>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재택 </t>
    </r>
    <r>
      <rPr>
        <sz val="11"/>
        <color theme="1"/>
        <rFont val="Calibri"/>
        <family val="2"/>
        <charset val="1"/>
      </rPr>
      <t>140</t>
    </r>
    <r>
      <rPr>
        <sz val="11"/>
        <color theme="1"/>
        <rFont val="Noto Sans CJK SC"/>
        <family val="2"/>
      </rPr>
      <t xml:space="preserve">세트 → 복귀 </t>
    </r>
    <r>
      <rPr>
        <sz val="11"/>
        <color theme="1"/>
        <rFont val="Calibri"/>
        <family val="2"/>
        <charset val="1"/>
      </rPr>
      <t>66</t>
    </r>
    <r>
      <rPr>
        <sz val="11"/>
        <color theme="1"/>
        <rFont val="Noto Sans CJK SC"/>
        <family val="2"/>
      </rPr>
      <t>세트 감축은 유지 하한 밴드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 xml:space="preserve">성장 볼륨의 </t>
    </r>
    <r>
      <rPr>
        <sz val="11"/>
        <color theme="1"/>
        <rFont val="Calibri"/>
        <family val="2"/>
        <charset val="1"/>
      </rPr>
      <t>1/3~1/2 = 47~70</t>
    </r>
    <r>
      <rPr>
        <sz val="11"/>
        <color theme="1"/>
        <rFont val="Noto Sans CJK SC"/>
        <family val="2"/>
      </rPr>
      <t>세트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>안이다 — 하한 아래로 떨어지는 구조가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그래도 급락보다 완충이 안전하다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</si>
  <si>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복귀 </t>
    </r>
    <r>
      <rPr>
        <sz val="11"/>
        <color theme="1"/>
        <rFont val="Calibri"/>
        <family val="2"/>
        <charset val="1"/>
      </rPr>
      <t>2~3</t>
    </r>
    <r>
      <rPr>
        <sz val="11"/>
        <color theme="1"/>
        <rFont val="Noto Sans CJK SC"/>
        <family val="2"/>
      </rPr>
      <t xml:space="preserve">주 전을 완충 구간으로 둘 것 — 주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 xml:space="preserve">회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약 </t>
    </r>
    <r>
      <rPr>
        <sz val="11"/>
        <color theme="1"/>
        <rFont val="Calibri"/>
        <family val="2"/>
        <charset val="1"/>
      </rPr>
      <t>90</t>
    </r>
    <r>
      <rPr>
        <sz val="11"/>
        <color theme="1"/>
        <rFont val="Noto Sans CJK SC"/>
        <family val="2"/>
      </rPr>
      <t>세트로 한 단계 걸치고 내려간다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</si>
  <si>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감축 순서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팔 전용 → 전완 → 등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하체 보조 종목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메인 리프트와 프레싱은 마지막까지 유지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</si>
  <si>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완충 구간에서 중량은 내리지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볼륨만 줄이고 강도를 유지해야 근력이 남는다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</si>
  <si>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복귀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CJK SC"/>
        <family val="2"/>
      </rPr>
      <t>주간계획의 현재 수치</t>
    </r>
    <r>
      <rPr>
        <sz val="11"/>
        <color theme="1"/>
        <rFont val="Calibri"/>
        <family val="2"/>
        <charset val="1"/>
      </rPr>
      <t>: 140 → 66</t>
    </r>
    <r>
      <rPr>
        <sz val="11"/>
        <color theme="1"/>
        <rFont val="Noto Sans CJK SC"/>
        <family val="2"/>
      </rPr>
      <t xml:space="preserve">세트 </t>
    </r>
    <r>
      <rPr>
        <sz val="11"/>
        <color theme="1"/>
        <rFont val="Calibri"/>
        <family val="2"/>
        <charset val="1"/>
      </rPr>
      <t xml:space="preserve">(53% </t>
    </r>
    <r>
      <rPr>
        <sz val="11"/>
        <color theme="1"/>
        <rFont val="Noto Sans CJK SC"/>
        <family val="2"/>
      </rPr>
      <t>감축</t>
    </r>
    <r>
      <rPr>
        <sz val="11"/>
        <color theme="1"/>
        <rFont val="Calibri"/>
        <family val="2"/>
        <charset val="1"/>
      </rPr>
      <t>).</t>
    </r>
  </si>
  <si>
    <t>현장 복귀 버전 — 주간 계획</t>
  </si>
  <si>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 xml:space="preserve">시간 근무 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</t>
    </r>
    <r>
      <rPr>
        <i/>
        <sz val="9"/>
        <color rgb="FF595959"/>
        <rFont val="Arial"/>
        <family val="2"/>
        <charset val="1"/>
      </rPr>
      <t xml:space="preserve">) · </t>
    </r>
    <r>
      <rPr>
        <i/>
        <sz val="9"/>
        <color rgb="FF595959"/>
        <rFont val="Noto Sans CJK SC"/>
        <family val="2"/>
      </rPr>
      <t xml:space="preserve">나머지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시간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토요일 오전 근무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일요일 휴무</t>
    </r>
  </si>
  <si>
    <t>훈련 주 3회 — 화 · 토 · 일</t>
  </si>
  <si>
    <t>근무 (패턴 A: 수·목)</t>
  </si>
  <si>
    <t>근무 (패턴 B: 목·금)</t>
  </si>
  <si>
    <t>훈련</t>
  </si>
  <si>
    <t>비고</t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</si>
  <si>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시간</t>
    </r>
  </si>
  <si>
    <t>주말 이틀 연속 훈련 뒤 회복일</t>
  </si>
  <si>
    <t>상체 밀기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</si>
  <si>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 구간 직전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프레싱은 현장 일과 회복 경쟁 없음</t>
    </r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</si>
  <si>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</t>
    </r>
  </si>
  <si>
    <t>패턴에 따라 12시간 — 양쪽 다 안전한 날이 아님</t>
  </si>
  <si>
    <t>양 패턴 공통 12시간</t>
  </si>
  <si>
    <t>패턴 A라도 전날이 12시간이라 회복 미완</t>
  </si>
  <si>
    <t>오전</t>
  </si>
  <si>
    <t>오전 근무 후. 다음날 완충 있음</t>
  </si>
  <si>
    <t>휴무</t>
  </si>
  <si>
    <t>완전 휴무일 — 데드리프트를 여기에 배치</t>
  </si>
  <si>
    <t>요일 선정 논리</t>
  </si>
  <si>
    <r>
      <rPr>
        <i/>
        <sz val="9"/>
        <color rgb="FF595959"/>
        <rFont val="Arial"/>
        <family val="2"/>
        <charset val="1"/>
      </rPr>
      <t>· 12</t>
    </r>
    <r>
      <rPr>
        <i/>
        <sz val="9"/>
        <color rgb="FF595959"/>
        <rFont val="Noto Sans CJK SC"/>
        <family val="2"/>
      </rPr>
      <t>시간 근무가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금으로 걸리므로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양 패턴 모두 안전한 날은 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일뿐이다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</si>
  <si>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금요일은 패턴 </t>
    </r>
    <r>
      <rPr>
        <i/>
        <sz val="9"/>
        <color rgb="FF595959"/>
        <rFont val="Arial"/>
        <family val="2"/>
        <charset val="1"/>
      </rPr>
      <t>A</t>
    </r>
    <r>
      <rPr>
        <i/>
        <sz val="9"/>
        <color rgb="FF595959"/>
        <rFont val="Noto Sans CJK SC"/>
        <family val="2"/>
      </rPr>
      <t xml:space="preserve">에서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시간이지만 전날이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시간이라 회복이 안 된 상태 — 제외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</si>
  <si>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월요일은 일요일 훈련 직후라 회복일로 비운다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</si>
  <si>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패턴이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금으로 바뀌어도 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일은 영향받지 않는다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이것이 이 조합을 고른 이유</t>
    </r>
    <r>
      <rPr>
        <i/>
        <sz val="9"/>
        <color rgb="FF595959"/>
        <rFont val="Arial"/>
        <family val="2"/>
        <charset val="1"/>
      </rPr>
      <t>.</t>
    </r>
  </si>
  <si>
    <t>종목 배치 논리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</si>
  <si>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화요일에 상체 밀기 — 다음이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 구간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프레싱은 현장 일이 쓰지 않는 영역이라 겹치지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</si>
  <si>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여기에 등이나 하체를 두면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근무를 망친다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</si>
  <si>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토요일에 하체 — 오전 근무 후이나 다음날 일요일이 완충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</si>
  <si>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일요일에 등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>데드 — 완전 휴무일이라 전날 밤 회복 후 시작하고 하루가 통째로 남는다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</si>
  <si>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스쿼트</t>
    </r>
    <r>
      <rPr>
        <i/>
        <sz val="9"/>
        <color rgb="FF595959"/>
        <rFont val="Arial"/>
        <family val="2"/>
        <charset val="1"/>
      </rPr>
      <t xml:space="preserve">) → </t>
    </r>
    <r>
      <rPr>
        <i/>
        <sz val="9"/>
        <color rgb="FF595959"/>
        <rFont val="Noto Sans CJK SC"/>
        <family val="2"/>
      </rPr>
      <t>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데드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순서가 그 반대보다 낫다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데드 다음날 스쿼트는 허리가 안 받쳐준다</t>
    </r>
    <r>
      <rPr>
        <i/>
        <sz val="9"/>
        <color rgb="FF595959"/>
        <rFont val="Arial"/>
        <family val="2"/>
        <charset val="1"/>
      </rPr>
      <t>.</t>
    </r>
  </si>
  <si>
    <t>재택 버전과의 차이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</si>
  <si>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140</t>
    </r>
    <r>
      <rPr>
        <i/>
        <sz val="9"/>
        <color rgb="FF595959"/>
        <rFont val="Noto Sans CJK SC"/>
        <family val="2"/>
      </rPr>
      <t xml:space="preserve">세트 → 주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66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(53% </t>
    </r>
    <r>
      <rPr>
        <i/>
        <sz val="9"/>
        <color rgb="FF595959"/>
        <rFont val="Noto Sans CJK SC"/>
        <family val="2"/>
      </rPr>
      <t>감축</t>
    </r>
    <r>
      <rPr>
        <i/>
        <sz val="9"/>
        <color rgb="FF595959"/>
        <rFont val="Arial"/>
        <family val="2"/>
        <charset val="1"/>
      </rPr>
      <t>). 9</t>
    </r>
    <r>
      <rPr>
        <i/>
        <sz val="9"/>
        <color rgb="FF595959"/>
        <rFont val="Noto Sans CJK SC"/>
        <family val="2"/>
      </rPr>
      <t xml:space="preserve">월 전 </t>
    </r>
    <r>
      <rPr>
        <i/>
        <sz val="9"/>
        <color rgb="FF595959"/>
        <rFont val="Arial"/>
        <family val="2"/>
        <charset val="1"/>
      </rPr>
      <t>2~3</t>
    </r>
    <r>
      <rPr>
        <i/>
        <sz val="9"/>
        <color rgb="FF595959"/>
        <rFont val="Noto Sans CJK SC"/>
        <family val="2"/>
      </rPr>
      <t xml:space="preserve">주는 주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 xml:space="preserve">회로 완충 — 당기기 </t>
    </r>
    <r>
      <rPr>
        <i/>
        <sz val="9"/>
        <color rgb="FF595959"/>
        <rFont val="Arial"/>
        <family val="2"/>
        <charset val="1"/>
      </rPr>
      <t>B·</t>
    </r>
    <r>
      <rPr>
        <i/>
        <sz val="9"/>
        <color rgb="FF595959"/>
        <rFont val="Noto Sans CJK SC"/>
        <family val="2"/>
      </rPr>
      <t xml:space="preserve">밀기 </t>
    </r>
    <r>
      <rPr>
        <i/>
        <sz val="9"/>
        <color rgb="FF595959"/>
        <rFont val="Arial"/>
        <family val="2"/>
        <charset val="1"/>
      </rPr>
      <t>B</t>
    </r>
    <r>
      <rPr>
        <i/>
        <sz val="9"/>
        <color rgb="FF595959"/>
        <rFont val="Noto Sans CJK SC"/>
        <family val="2"/>
      </rPr>
      <t xml:space="preserve">를 빼면 </t>
    </r>
    <r>
      <rPr>
        <i/>
        <sz val="9"/>
        <color rgb="FF595959"/>
        <rFont val="Arial"/>
        <family val="2"/>
        <charset val="1"/>
      </rPr>
      <t>93</t>
    </r>
    <r>
      <rPr>
        <i/>
        <sz val="9"/>
        <color rgb="FF595959"/>
        <rFont val="Noto Sans CJK SC"/>
        <family val="2"/>
      </rPr>
      <t>으로 완충 목표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약 </t>
    </r>
    <r>
      <rPr>
        <i/>
        <sz val="9"/>
        <color rgb="FF595959"/>
        <rFont val="Arial"/>
        <family val="2"/>
        <charset val="1"/>
      </rPr>
      <t>90)</t>
    </r>
    <r>
      <rPr>
        <i/>
        <sz val="9"/>
        <color rgb="FF595959"/>
        <rFont val="Noto Sans CJK SC"/>
        <family val="2"/>
      </rPr>
      <t>에 바로 닿는다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</si>
  <si>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기립근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전완 감축 — 현장 일이 하루 종일 채우는 부위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</si>
  <si>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프레싱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어깨 후면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코어 유지 — 현장 일이 채우지 않는 부위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</si>
  <si>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전완 전용 종목만 삭제 — 그립은 현장에서 온종일 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이두 </t>
    </r>
    <r>
      <rPr>
        <i/>
        <sz val="9"/>
        <color rgb="FF595959"/>
        <rFont val="Arial"/>
        <family val="2"/>
        <charset val="1"/>
      </rPr>
      <t xml:space="preserve">3 · </t>
    </r>
    <r>
      <rPr>
        <i/>
        <sz val="9"/>
        <color rgb="FF595959"/>
        <rFont val="Noto Sans CJK SC"/>
        <family val="2"/>
      </rPr>
      <t xml:space="preserve">삼두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은 유지 목적으로 남겼다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재택 이두 </t>
    </r>
    <r>
      <rPr>
        <i/>
        <sz val="9"/>
        <color rgb="FF595959"/>
        <rFont val="Arial"/>
        <family val="2"/>
        <charset val="1"/>
      </rPr>
      <t xml:space="preserve">6 · </t>
    </r>
    <r>
      <rPr>
        <i/>
        <sz val="9"/>
        <color rgb="FF595959"/>
        <rFont val="Noto Sans CJK SC"/>
        <family val="2"/>
      </rPr>
      <t xml:space="preserve">삼두 </t>
    </r>
    <r>
      <rPr>
        <i/>
        <sz val="9"/>
        <color rgb="FF595959"/>
        <rFont val="Arial"/>
        <family val="2"/>
        <charset val="1"/>
      </rPr>
      <t>4 = 10</t>
    </r>
    <r>
      <rPr>
        <i/>
        <sz val="9"/>
        <color rgb="FF595959"/>
        <rFont val="Noto Sans CJK SC"/>
        <family val="2"/>
      </rPr>
      <t xml:space="preserve">세트 →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>세트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</si>
  <si>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종목은 재택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>일 프로그램에 있는 것으로 구성했다 — 유일한 예외인 스미스 오버헤드 프레스도 밀리터리의 대체 목록에 있던 궤도 고정 버전이라 새로 익힐 동작이 없다</t>
    </r>
    <r>
      <rPr>
        <i/>
        <sz val="9"/>
        <color rgb="FF595959"/>
        <rFont val="Arial"/>
        <family val="2"/>
        <charset val="1"/>
      </rPr>
      <t>.</t>
    </r>
  </si>
  <si>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 xml:space="preserve">무거운 프리웨이트는 스쿼트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 xml:space="preserve">벤치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>데드 셋뿐이다</t>
    </r>
    <r>
      <rPr>
        <sz val="9"/>
        <color rgb="FF595959"/>
        <rFont val="Arial"/>
        <family val="2"/>
        <charset val="1"/>
      </rPr>
      <t xml:space="preserve">. </t>
    </r>
    <r>
      <rPr>
        <sz val="9"/>
        <color rgb="FF595959"/>
        <rFont val="Noto Sans CJK SC"/>
        <family val="2"/>
      </rPr>
      <t>밀리터리는 스미스</t>
    </r>
    <r>
      <rPr>
        <sz val="9"/>
        <color rgb="FF595959"/>
        <rFont val="Arial"/>
        <family val="2"/>
        <charset val="1"/>
      </rPr>
      <t xml:space="preserve">, </t>
    </r>
    <r>
      <rPr>
        <sz val="9"/>
        <color rgb="FF595959"/>
        <rFont val="Noto Sans CJK SC"/>
        <family val="2"/>
      </rPr>
      <t xml:space="preserve">나머지는 전부 머신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>케이블 — 현장 일이 안정화 근육을 이미 하루치 쓰고 온다</t>
    </r>
    <r>
      <rPr>
        <sz val="9"/>
        <color rgb="FF595959"/>
        <rFont val="Arial"/>
        <family val="2"/>
        <charset val="1"/>
      </rPr>
      <t>.</t>
    </r>
  </si>
  <si>
    <t>화요일 — 상체 밀기 (8시간 근무 후)</t>
  </si>
  <si>
    <t>현장 일이 채워주지 않는 유일한 영역. 감축의 예외 — 재택 버전과 거의 동일하게 유지한다.</t>
  </si>
  <si>
    <t>최우선 종목. 재택에서 도달한 중량을 그대로 이어간다 — 낮출 이유 없음</t>
  </si>
  <si>
    <t>스미스 벤치 / 체스트 프레스 머신</t>
  </si>
  <si>
    <t>좌우 독립 + 궤도 고정. 재택 금요일과 같은 종목이라 새로 익힐 것이 없다</t>
  </si>
  <si>
    <t>케이블 체스트 프레스 (전 구간 장력) / 덤벨 프레스 (가동범위 ↑)</t>
  </si>
  <si>
    <t>쇄골지. 바벨 인클라인보다 어깨 앞쪽 부담이 적어 근무일 사이에 넣기 좋다</t>
  </si>
  <si>
    <t>인클라인 스미스 프레스 / 인클라인 덤벨 프레스</t>
  </si>
  <si>
    <t>프레싱 끝에 삼두. 재택 4세트 → 3세트. 팔꿈치가 시큰하면 EZ바로 바꾸거나 케이블 푸쉬다운으로</t>
  </si>
  <si>
    <t>EZ바 라잉 익스텐션 (손목·팔꿈치 부담 ↓) / 케이블 오버헤드 익스텐션 / 케이블 푸쉬다운</t>
  </si>
  <si>
    <t>간접 자극이 0인 부위 — 직접 세트로만 채워짐</t>
  </si>
  <si>
    <t>케이블 레터럴 레이즈</t>
  </si>
  <si>
    <t>현장 자세가 앞으로 말리므로 오히려 더 필요해짐</t>
  </si>
  <si>
    <t>리버스 펙덱 / 케이블 리버스 플라이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</si>
  <si>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배치 이유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</si>
  <si>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다음이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 구간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인데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프레싱은 현장 일이 쓰지 않는 영역이라 겹치지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</si>
  <si>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여기에 등이나 하체를 두면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근무일을 망친다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자리는 상체 밀기 전용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</si>
  <si>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실패지점은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회 남기고 종료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재택 버전</t>
    </r>
    <r>
      <rPr>
        <i/>
        <sz val="9"/>
        <color rgb="FF595959"/>
        <rFont val="Arial"/>
        <family val="2"/>
        <charset val="1"/>
      </rPr>
      <t>(2~3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보다 한 단계 더 보수적으로</t>
    </r>
    <r>
      <rPr>
        <i/>
        <sz val="9"/>
        <color rgb="FF595959"/>
        <rFont val="Arial"/>
        <family val="2"/>
        <charset val="1"/>
      </rPr>
      <t>.</t>
    </r>
  </si>
  <si>
    <t>토요일 — 하체 (오전 근무 후)</t>
  </si>
  <si>
    <t>스쿼트만 프리웨이트로 두고 나머지는 전부 머신. 다음날 데드가 있으므로 힌지를 빼서 기립근 부하를 0에 가깝게 만든다.</t>
  </si>
  <si>
    <t>유일한 프리웨이트. 재택 5×5 → 3×5로 감축. 서 있기·걷기로 하체 볼륨이 이미 누적됨</t>
  </si>
  <si>
    <t>레그 프레스 (허리 부담 시 1순위) / 스미스 스쿼트 / 핵 스쿼트</t>
  </si>
  <si>
    <t>스쿼트 뒤 사두 볼륨을 척추 부하 없이 채운다. 발 위치를 높게 두면 둔근·햄스트링도 걸린다</t>
  </si>
  <si>
    <t>핵 스쿼트 / 45도 레그 프레스 / 스미스 스쿼트</t>
  </si>
  <si>
    <t>사두 고립. 스쿼트 뒤 남은 볼륨을 척추 부하 없이 채운다</t>
  </si>
  <si>
    <t>레그 프레스 (고립은 아니나 궤도 고정) / 시시 스쿼트 머신</t>
  </si>
  <si>
    <t>시티드로 하면 고관절이 굽어 햄스트링이 늘어난 구간에서 훈련된다 — 원 레그 컬(라잉 계열)과 각도가 나뉜다</t>
  </si>
  <si>
    <t>시티드 레그 컬 (1순위 — 각도가 갈린다) / 라잉 레그 컬</t>
  </si>
  <si>
    <t>루마니안 데드 대체. 힌지를 빼서 다음날 데드가 온전히 나온다. 편측이라 좌우 차이도 잡힌다</t>
  </si>
  <si>
    <t>라잉 / 시티드 레그 컬 (양측) / 케이블 풀스루</t>
  </si>
  <si>
    <t>앉아서 하는 쪽. 온종일 서 있던 날 스탠딩보다 부담이 적다</t>
  </si>
  <si>
    <t>스탠딩 카프 레이즈 머신 / 레그 프레스 카프 레이즈</t>
  </si>
  <si>
    <t>스미스 오버헤드 프레스</t>
  </si>
  <si>
    <t>밀리터리 대체. 궤도가 고정돼 안정화 부담이 없으면서 중량은 바벨처럼 세므로 증량기록이 그대로 살아 있다</t>
  </si>
  <si>
    <t>머신 숄더 프레스 (완전 머신을 원할 때 — 단 증량 추적은 끊긴다) / 덤벨 숄더 프레스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</si>
  <si>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허리가 부담되면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</si>
  <si>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스쿼트를 레그 프레스로 교체하면 기립근이 완전히 빠져 다음날 데드가 온전히 나온다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</si>
  <si>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 연속은 이상적이지 않으나 이 근무 스케줄에서는 다른 선택지가 없다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스쿼트를 </t>
    </r>
    <r>
      <rPr>
        <i/>
        <sz val="9"/>
        <color rgb="FF595959"/>
        <rFont val="Arial"/>
        <family val="2"/>
        <charset val="1"/>
      </rPr>
      <t>3×5</t>
    </r>
    <r>
      <rPr>
        <i/>
        <sz val="9"/>
        <color rgb="FF595959"/>
        <rFont val="Noto Sans CJK SC"/>
        <family val="2"/>
      </rPr>
      <t>로 낮춘 것이 그 보정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</si>
  <si>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스쿼트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 xml:space="preserve">) → </t>
    </r>
    <r>
      <rPr>
        <i/>
        <sz val="9"/>
        <color rgb="FF595959"/>
        <rFont val="Noto Sans CJK SC"/>
        <family val="2"/>
      </rPr>
      <t>데드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일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순서가 그 반대보다 낫다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데드 다음날 스쿼트는 허리가 받쳐주지 않는다</t>
    </r>
    <r>
      <rPr>
        <i/>
        <sz val="9"/>
        <color rgb="FF595959"/>
        <rFont val="Arial"/>
        <family val="2"/>
        <charset val="1"/>
      </rPr>
      <t>.</t>
    </r>
  </si>
  <si>
    <t>일요일 — 등 (완전 휴무일)</t>
  </si>
  <si>
    <t>완전 휴무일이라 회복된 상태에서 시작하고 하루가 통째로 남는다. 데드리프트는 반드시 이 날.</t>
  </si>
  <si>
    <t>재택에서 도달한 중량을 그대로 이어간다. 주 1회 · 1세트를 넘기지 않는다</t>
  </si>
  <si>
    <t>트랩바 데드 (요추 전단력 ↓) / 랙풀</t>
  </si>
  <si>
    <t>체스트 서포티드라 척추 부하가 없다. 현장에서 허리를 쓰고 온 주에 바벨 로우보다 안전</t>
  </si>
  <si>
    <t>시티드 케이블 로우 / 티바 로우 / 바벨 로우 (허리에 여유가 있는 주)</t>
  </si>
  <si>
    <t>수평 당기기 보강. 해머 로우와 그립·각도를 다르게 (해머가 뉴트럴이면 여기선 와이드)</t>
  </si>
  <si>
    <t>머신 로우 / 원암 케이블 로우 (좌우 독립)</t>
  </si>
  <si>
    <t>수직 당기기. 그립이 지쳐 있으면 주저 말고 어시스트 머신으로</t>
  </si>
  <si>
    <t>어시스트 풀업 머신 (1순위 — 그립 부담 ↓) / 랫풀다운</t>
  </si>
  <si>
    <t>수직 당기기를 무게로 조절하는 자리</t>
  </si>
  <si>
    <t>뉴트럴 그립 랫풀다운 / 원암 랫풀다운 / 케이블 풀오버</t>
  </si>
  <si>
    <t>현장 자세가 견갑골을 올리고 앞으로 말므로 유지</t>
  </si>
  <si>
    <t>케이블 Y 레이즈 / 페이스풀</t>
  </si>
  <si>
    <t>당기기 끝에 이두. 팔이 패드에 고정돼 반동이 안 된다. 당기기 간접만으로는 유지 하한에 딱 걸침</t>
  </si>
  <si>
    <t>케이블 컬 (전 구간 장력) / 머신 컬 / EZ바 프리쳐 컬 (손목이 편함)</t>
  </si>
  <si>
    <t>복귀판에 코어가 통째로 비어 있었다. 현장 일은 코어를 버티게만 하지 굴곡시키지 않는다</t>
  </si>
  <si>
    <t>케이블 크런치 (머신) / 앱스 머신 / 캡틴 체어 니 레이즈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</si>
  <si>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데드리프트 운용 규칙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</si>
  <si>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무게는 재택에서 도달한 중량을 그대로 이어간다</t>
    </r>
    <r>
      <rPr>
        <i/>
        <sz val="9"/>
        <color rgb="FF595959"/>
        <rFont val="Arial"/>
        <family val="2"/>
        <charset val="1"/>
      </rPr>
      <t>. D5</t>
    </r>
    <r>
      <rPr>
        <i/>
        <sz val="9"/>
        <color rgb="FF595959"/>
        <rFont val="Noto Sans CJK SC"/>
        <family val="2"/>
      </rPr>
      <t>가 시작중량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설정의 현재 작업중량과 연동돼 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</si>
  <si>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다음날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월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 xml:space="preserve">이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시간 근무라 완충이 하루뿐이다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>, 1</t>
    </r>
    <r>
      <rPr>
        <i/>
        <sz val="9"/>
        <color rgb="FF595959"/>
        <rFont val="Noto Sans CJK SC"/>
        <family val="2"/>
      </rPr>
      <t>세트를 넘기지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</si>
  <si>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허리가 무거운 주에는 트랩바로 바꾸거나 건너뛴다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건너뛰는 것이 규율이지 나태가 아니다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</si>
  <si>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등 볼륨을 유지한 이유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</si>
  <si>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광배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 xml:space="preserve">현장 일의 상시 부하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실질은 충분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완전 휴무일이라 재택 </t>
    </r>
    <r>
      <rPr>
        <i/>
        <sz val="9"/>
        <color rgb="FF595959"/>
        <rFont val="Arial"/>
        <family val="2"/>
        <charset val="1"/>
      </rPr>
      <t>14</t>
    </r>
    <r>
      <rPr>
        <i/>
        <sz val="9"/>
        <color rgb="FF595959"/>
        <rFont val="Noto Sans CJK SC"/>
        <family val="2"/>
      </rPr>
      <t>세트에서 소폭만 감축했다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</si>
  <si>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단</t>
    </r>
    <r>
      <rPr>
        <i/>
        <sz val="9"/>
        <color rgb="FF595959"/>
        <rFont val="Arial"/>
        <family val="2"/>
        <charset val="1"/>
      </rPr>
      <t>, 12</t>
    </r>
    <r>
      <rPr>
        <i/>
        <sz val="9"/>
        <color rgb="FF595959"/>
        <rFont val="Noto Sans CJK SC"/>
        <family val="2"/>
      </rPr>
      <t>시간 근무일 바로 다음날이 일요일이 되는 주에는 데드를 빼거나 트랩바로 대체할 것</t>
    </r>
    <r>
      <rPr>
        <i/>
        <sz val="9"/>
        <color rgb="FF595959"/>
        <rFont val="Arial"/>
        <family val="2"/>
        <charset val="1"/>
      </rPr>
      <t>.</t>
    </r>
  </si>
  <si>
    <t>현장 복귀 버전 — 증량 및 판단 기준</t>
  </si>
  <si>
    <t>재택 버전의 주 5kg 선형 증량은 현장 일과 병행할 수 없다. 폭을 절반으로 줄이되 매주 올리는 방식은 유지한다.</t>
  </si>
  <si>
    <t>항목</t>
  </si>
  <si>
    <t>재택 버전</t>
  </si>
  <si>
    <t>복귀 버전</t>
  </si>
  <si>
    <t>주 6회</t>
  </si>
  <si>
    <t>주 3회 (화·토·일)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</si>
  <si>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근무일과 그 다음날을 피하면 남는 날이 화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토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일뿐</t>
    </r>
  </si>
  <si>
    <t>총 세트</t>
  </si>
  <si>
    <r>
      <rPr>
        <sz val="10"/>
        <rFont val="Arial"/>
        <family val="2"/>
        <charset val="1"/>
      </rPr>
      <t>153</t>
    </r>
    <r>
      <rPr>
        <sz val="10"/>
        <rFont val="Noto Sans CJK SC"/>
        <family val="2"/>
      </rPr>
      <t>세트</t>
    </r>
  </si>
  <si>
    <t>약 66세트</t>
  </si>
  <si>
    <t>현장 일이 등·하체·기립근·전완에 하루치를 얹는다</t>
  </si>
  <si>
    <t>증량 주기</t>
  </si>
  <si>
    <t>매주</t>
  </si>
  <si>
    <t>매주 (폭 절반)</t>
  </si>
  <si>
    <t>2주에 한 번 크게보다 매주 조금씩이 낫다. 못 채운 주는 증량기록에 X만 넣으면 유지된다</t>
  </si>
  <si>
    <t>증량 폭</t>
  </si>
  <si>
    <t>하체 5 / 벤치 2.25 / 프레스 1.25</t>
  </si>
  <si>
    <t>하체 2.5 / 벤치 1.125 / 프레스 1.25</t>
  </si>
  <si>
    <t>마이크로플레이트 활용. 주 3회면 각 리프트가 주 1회뿐 — 폭을 줄여 그 1회를 확실히 채운다</t>
  </si>
  <si>
    <t>실패지점</t>
  </si>
  <si>
    <r>
      <rPr>
        <sz val="10"/>
        <rFont val="Arial"/>
        <family val="2"/>
        <charset val="1"/>
      </rPr>
      <t>2~3</t>
    </r>
    <r>
      <rPr>
        <sz val="10"/>
        <rFont val="Noto Sans CJK SC"/>
        <family val="2"/>
      </rPr>
      <t>회 남기고</t>
    </r>
  </si>
  <si>
    <r>
      <rPr>
        <sz val="10"/>
        <rFont val="Arial"/>
        <family val="2"/>
        <charset val="1"/>
      </rPr>
      <t>3~4</t>
    </r>
    <r>
      <rPr>
        <sz val="10"/>
        <rFont val="Noto Sans CJK SC"/>
        <family val="2"/>
      </rPr>
      <t>회 남기고</t>
    </r>
  </si>
  <si>
    <t>다음날 현장에서 청구서로 돌아온다</t>
  </si>
  <si>
    <r>
      <rPr>
        <sz val="10"/>
        <rFont val="Arial"/>
        <family val="2"/>
        <charset val="1"/>
      </rPr>
      <t xml:space="preserve">1×5 · </t>
    </r>
    <r>
      <rPr>
        <sz val="10"/>
        <rFont val="Noto Sans CJK SC"/>
        <family val="2"/>
      </rPr>
      <t xml:space="preserve">주 </t>
    </r>
    <r>
      <rPr>
        <sz val="10"/>
        <rFont val="Arial"/>
        <family val="2"/>
        <charset val="1"/>
      </rPr>
      <t>+5kg</t>
    </r>
  </si>
  <si>
    <r>
      <rPr>
        <sz val="10"/>
        <rFont val="Arial"/>
        <family val="2"/>
        <charset val="1"/>
      </rPr>
      <t xml:space="preserve">1×5 · </t>
    </r>
    <r>
      <rPr>
        <sz val="10"/>
        <rFont val="Noto Sans CJK SC"/>
        <family val="2"/>
      </rPr>
      <t xml:space="preserve">주 </t>
    </r>
    <r>
      <rPr>
        <sz val="10"/>
        <rFont val="Arial"/>
        <family val="2"/>
        <charset val="1"/>
      </rPr>
      <t>+2.5kg</t>
    </r>
  </si>
  <si>
    <t>중량은 9월 복귀 시점의 도달 중량에서 계속. 낮출 이유 없음</t>
  </si>
  <si>
    <t>5×5</t>
  </si>
  <si>
    <t>3×5</t>
  </si>
  <si>
    <t>서 있기·걷기로 하체 볼륨이 이미 누적</t>
  </si>
  <si>
    <t>팔 전용 종목</t>
  </si>
  <si>
    <r>
      <rPr>
        <sz val="10"/>
        <rFont val="Arial"/>
        <family val="2"/>
        <charset val="1"/>
      </rPr>
      <t>25</t>
    </r>
    <r>
      <rPr>
        <sz val="10"/>
        <rFont val="Noto Sans CJK SC"/>
        <family val="2"/>
      </rPr>
      <t>세트</t>
    </r>
  </si>
  <si>
    <r>
      <rPr>
        <sz val="10"/>
        <rFont val="Arial"/>
        <family val="2"/>
        <charset val="1"/>
      </rPr>
      <t>6</t>
    </r>
    <r>
      <rPr>
        <sz val="10"/>
        <rFont val="Noto Sans CJK SC"/>
        <family val="2"/>
      </rPr>
      <t xml:space="preserve">세트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 xml:space="preserve">이두 </t>
    </r>
    <r>
      <rPr>
        <sz val="10"/>
        <rFont val="Arial"/>
        <family val="2"/>
        <charset val="1"/>
      </rPr>
      <t xml:space="preserve">3 · </t>
    </r>
    <r>
      <rPr>
        <sz val="10"/>
        <rFont val="Noto Sans CJK SC"/>
        <family val="2"/>
      </rPr>
      <t xml:space="preserve">삼두 </t>
    </r>
    <r>
      <rPr>
        <sz val="10"/>
        <rFont val="Arial"/>
        <family val="2"/>
        <charset val="1"/>
      </rPr>
      <t>3)</t>
    </r>
  </si>
  <si>
    <t>전완만 삭제 — 그립은 현장에서 온종일 쓴다. 이두·삼두 굴곡/신전은 현장에서 거의 안 나오므로 유지분만 남긴다</t>
  </si>
  <si>
    <t>장비</t>
  </si>
  <si>
    <t>프리웨이트 중심</t>
  </si>
  <si>
    <t>머신 · 케이블 중심 (스쿼트 · 벤치 · 데드 제외)</t>
  </si>
  <si>
    <t>현장 일이 안정화 근육을 이미 하루치 쓴다. 남은 힘을 표적 근육에만 쓰는 편이 남는다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</si>
  <si>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유일한 지표는 다음 근무일 아침의 허리 상태다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</si>
  <si>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뻐근하면 그 주 무게가 과했던 것 — 다음 주에 내린다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어떤 프로그램 표보다 정확하다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</si>
  <si>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몸 상태가 안 좋은 날은 건너뛴다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회 중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회만 가는 주가 있어도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</si>
  <si>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그것은 의지박약이 아니라 그 상황에서의 규율이다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</si>
  <si>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12</t>
    </r>
    <r>
      <rPr>
        <i/>
        <sz val="9"/>
        <color rgb="FF595959"/>
        <rFont val="Noto Sans CJK SC"/>
        <family val="2"/>
      </rPr>
      <t>시간 근무일이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목인지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금인지에 관계없이 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 배치는 유효하다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</si>
  <si>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다만 근무 패턴이 이 두 가지에서 벗어나면 요일부터 다시 짜야 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</si>
  <si>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복귀 후의 목표는 성장이 아니라 유지다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재택 기간에 쌓은 근력 베이스를 지키는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</si>
  <si>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쌓는 시기와 지키는 시기는 다르게 설계해야 한다</t>
    </r>
    <r>
      <rPr>
        <i/>
        <sz val="9"/>
        <color rgb="FF595959"/>
        <rFont val="Arial"/>
        <family val="2"/>
        <charset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</si>
</sst>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4">
    <font>
      <sz val="11"/>
      <color theme="1"/>
      <name val="Calibri"/>
      <family val="2"/>
      <charset val="1"/>
    </font>
    <font>
      <b/>
      <sz val="14"/>
      <name val="Noto Sans CJK SC"/>
      <family val="2"/>
      <charset val="1"/>
    </font>
    <font>
      <i/>
      <sz val="9"/>
      <color rgb="FF595959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Noto Sans CJK SC"/>
      <family val="2"/>
    </font>
    <font>
      <i/>
      <sz val="9"/>
      <color rgb="FF595959"/>
      <name val="Arial"/>
      <family val="2"/>
      <charset val="1"/>
    </font>
    <font>
      <b/>
      <sz val="11"/>
      <name val="Arial"/>
      <family val="2"/>
      <charset val="1"/>
    </font>
    <font>
      <b/>
      <sz val="11"/>
      <name val="Noto Sans CJK SC"/>
      <family val="2"/>
    </font>
    <font>
      <i/>
      <sz val="9"/>
      <color rgb="FF595959"/>
      <name val="Noto Sans CJK SC"/>
      <family val="2"/>
    </font>
    <font>
      <b/>
      <sz val="10"/>
      <name val="Noto Sans CJK SC"/>
      <family val="2"/>
    </font>
    <font>
      <b/>
      <sz val="13"/>
      <name val="Noto Sans CJK SC"/>
      <family val="2"/>
      <charset val="1"/>
    </font>
    <font>
      <sz val="11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sz val="11"/>
      <name val="Arial"/>
      <family val="2"/>
      <charset val="1"/>
    </font>
    <font>
      <b/>
      <sz val="10"/>
      <name val="Noto Sans CJK SC"/>
      <family val="2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b/>
      <sz val="11"/>
      <color rgb="FFFFFFFF"/>
      <name val="Arial"/>
      <family val="2"/>
      <charset val="1"/>
    </font>
    <font>
      <sz val="11"/>
      <name val="Noto Sans CJK SC"/>
      <family val="3"/>
      <charset val="129"/>
    </font>
    <font>
      <b/>
      <sz val="11"/>
      <color rgb="FF000000"/>
      <name val="Noto Sans CJK SC"/>
      <family val="2"/>
      <charset val="1"/>
    </font>
    <font>
      <b/>
      <sz val="11"/>
      <color rgb="FF000000"/>
      <name val="Arial"/>
      <family val="2"/>
      <charset val="1"/>
    </font>
    <font>
      <sz val="11"/>
      <name val="맑은 고딕"/>
      <family val="3"/>
      <charset val="129"/>
    </font>
    <font>
      <sz val="9"/>
      <color rgb="FF7F8C8D"/>
      <name val="Noto Sans CJK SC"/>
      <family val="2"/>
      <charset val="1"/>
    </font>
    <font>
      <i/>
      <sz val="9"/>
      <color rgb="FF7F8C8D"/>
      <name val="Noto Sans CJK SC"/>
      <family val="2"/>
      <charset val="1"/>
    </font>
    <font>
      <sz val="9"/>
      <color rgb="FF1F4E3D"/>
      <name val="Arial"/>
      <family val="2"/>
      <charset val="1"/>
    </font>
    <font>
      <sz val="9"/>
      <color rgb="FF566573"/>
      <name val="Noto Sans CJK SC"/>
      <family val="2"/>
      <charset val="1"/>
    </font>
    <font>
      <sz val="9"/>
      <color rgb="FF566573"/>
      <name val="Arial"/>
      <family val="2"/>
      <charset val="1"/>
    </font>
    <font>
      <sz val="9"/>
      <color rgb="FF566573"/>
      <name val="Noto Sans CJK SC"/>
      <family val="2"/>
    </font>
    <font>
      <sz val="9"/>
      <color rgb="FFB9770E"/>
      <name val="Arial"/>
      <family val="2"/>
      <charset val="1"/>
    </font>
    <font>
      <sz val="11"/>
      <color theme="1"/>
      <name val="Noto Sans CJK SC"/>
      <family val="2"/>
      <charset val="1"/>
    </font>
    <font>
      <b/>
      <sz val="14"/>
      <name val="Arial"/>
      <family val="2"/>
      <charset val="1"/>
    </font>
    <font>
      <b/>
      <sz val="14"/>
      <name val="Noto Sans CJK SC"/>
      <family val="2"/>
    </font>
    <font>
      <sz val="9"/>
      <color rgb="FF595959"/>
      <name val="Arial"/>
      <family val="2"/>
      <charset val="1"/>
    </font>
    <font>
      <sz val="9"/>
      <color rgb="FF595959"/>
      <name val="Noto Sans CJK SC"/>
      <family val="2"/>
    </font>
    <font>
      <sz val="10"/>
      <color rgb="FF000000"/>
      <name val="Noto Sans CJK SC"/>
      <charset val="1"/>
    </font>
    <font>
      <sz val="10"/>
      <color rgb="FF000000"/>
      <name val="Noto Sans CJK SC"/>
      <family val="2"/>
      <charset val="1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4495E"/>
      </patternFill>
    </fill>
    <fill>
      <patternFill patternType="solid">
        <fgColor rgb="FFE2EFDA"/>
        <bgColor rgb="FFF2F2F2"/>
      </patternFill>
    </fill>
    <fill>
      <patternFill patternType="solid">
        <fgColor rgb="FFD9D9D9"/>
        <bgColor rgb="FFD5D8DC"/>
      </patternFill>
    </fill>
    <fill>
      <patternFill patternType="solid">
        <fgColor rgb="FFFEF9E7"/>
        <bgColor rgb="FFFFFFFF"/>
      </patternFill>
    </fill>
    <fill>
      <patternFill patternType="solid">
        <fgColor rgb="FF34495E"/>
        <bgColor rgb="FF40404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3" fillId="0" borderId="0" xfId="0" applyFont="1"/>
    <xf numFmtId="0" fontId="10" fillId="4" borderId="1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9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/>
    <xf numFmtId="0" fontId="18" fillId="0" borderId="0" xfId="0" applyFont="1" applyAlignment="1">
      <alignment horizontal="left" vertical="center" wrapText="1"/>
    </xf>
    <xf numFmtId="0" fontId="23" fillId="0" borderId="0" xfId="0" applyFont="1"/>
    <xf numFmtId="0" fontId="24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2" fontId="13" fillId="4" borderId="1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center" vertical="center"/>
    </xf>
    <xf numFmtId="2" fontId="20" fillId="4" borderId="1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0" xfId="0" applyFont="1"/>
    <xf numFmtId="0" fontId="27" fillId="4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8" fillId="0" borderId="2" xfId="0" applyFont="1" applyBorder="1"/>
    <xf numFmtId="2" fontId="4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2" fillId="0" borderId="2" xfId="0" applyFont="1" applyBorder="1"/>
    <xf numFmtId="0" fontId="33" fillId="0" borderId="2" xfId="0" applyFont="1" applyBorder="1"/>
    <xf numFmtId="0" fontId="35" fillId="0" borderId="2" xfId="0" applyFont="1" applyBorder="1" applyAlignment="1">
      <alignment horizontal="center"/>
    </xf>
    <xf numFmtId="2" fontId="13" fillId="0" borderId="0" xfId="0" applyNumberFormat="1" applyFont="1"/>
    <xf numFmtId="0" fontId="8" fillId="0" borderId="1" xfId="0" applyFont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vertical="center"/>
    </xf>
    <xf numFmtId="0" fontId="36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4" fillId="0" borderId="1" xfId="0" applyFont="1" applyBorder="1" applyAlignment="1">
      <alignment horizontal="left" vertical="center" wrapText="1"/>
    </xf>
    <xf numFmtId="0" fontId="37" fillId="0" borderId="0" xfId="0" applyFont="1"/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0" xfId="0" applyFont="1"/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39" fillId="0" borderId="0" xfId="0" applyFont="1"/>
    <xf numFmtId="2" fontId="8" fillId="4" borderId="1" xfId="0" applyNumberFormat="1" applyFont="1" applyFill="1" applyBorder="1" applyAlignment="1">
      <alignment horizontal="center" vertical="center"/>
    </xf>
    <xf numFmtId="0" fontId="21" fillId="0" borderId="0" xfId="0" applyFont="1"/>
    <xf numFmtId="2" fontId="8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41" fillId="0" borderId="0" xfId="0" applyFont="1"/>
    <xf numFmtId="0" fontId="42" fillId="0" borderId="0" xfId="0" applyFont="1"/>
    <xf numFmtId="0" fontId="29" fillId="0" borderId="0" xfId="0" applyFont="1" applyAlignment="1">
      <alignment vertical="top" wrapText="1"/>
    </xf>
    <xf numFmtId="0" fontId="30" fillId="6" borderId="0" xfId="0" applyFont="1" applyFill="1" applyAlignment="1">
      <alignment vertical="top" wrapText="1"/>
    </xf>
    <xf numFmtId="0" fontId="36" fillId="0" borderId="3" xfId="0" applyFont="1" applyBorder="1" applyAlignment="1">
      <alignment horizontal="center" vertical="center"/>
    </xf>
  </cellXfs>
  <cellStyles count="1">
    <cellStyle name="표준" xfId="0" builtinId="0"/>
  </cellStyles>
  <dxfs count="6"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ill>
        <patternFill>
          <bgColor rgb="FFD9D9D9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BFBFBF"/>
      <rgbColor rgb="FF7F8C8D"/>
      <rgbColor rgb="FF9999FF"/>
      <rgbColor rgb="FF595959"/>
      <rgbColor rgb="FFFEF9E7"/>
      <rgbColor rgb="FFF2F2F2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566573"/>
      <rgbColor rgb="FF95A5A6"/>
      <rgbColor rgb="FF1F4E3D"/>
      <rgbColor rgb="FF339966"/>
      <rgbColor rgb="FF003300"/>
      <rgbColor rgb="FF333300"/>
      <rgbColor rgb="FF993300"/>
      <rgbColor rgb="FF993366"/>
      <rgbColor rgb="FF34495E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zoomScaleNormal="100" workbookViewId="0">
      <selection activeCell="F15" sqref="F15"/>
    </sheetView>
  </sheetViews>
  <sheetFormatPr defaultColWidth="8.7109375" defaultRowHeight="15"/>
  <cols>
    <col min="1" max="1" width="18" customWidth="1"/>
    <col min="2" max="2" width="14" customWidth="1"/>
    <col min="3" max="6" width="16" customWidth="1"/>
  </cols>
  <sheetData>
    <row r="1" spans="1:6" ht="21" customHeight="1">
      <c r="A1" s="1" t="s">
        <v>0</v>
      </c>
    </row>
    <row r="2" spans="1:6" ht="15" customHeight="1">
      <c r="A2" s="2" t="s">
        <v>1</v>
      </c>
    </row>
    <row r="4" spans="1:6" ht="15" customHeight="1">
      <c r="A4" s="3" t="s">
        <v>2</v>
      </c>
      <c r="C4" s="4">
        <v>2</v>
      </c>
      <c r="D4" s="2" t="s">
        <v>3</v>
      </c>
    </row>
    <row r="6" spans="1:6" ht="15" customHeight="1">
      <c r="A6" s="5" t="s">
        <v>4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spans="1:6" ht="15" customHeight="1">
      <c r="A7" s="7" t="s">
        <v>10</v>
      </c>
      <c r="B7" s="7">
        <v>92.5</v>
      </c>
      <c r="C7" s="8">
        <f>MAX(20,MROUND(B7*0.4,2.5))</f>
        <v>37.5</v>
      </c>
      <c r="D7" s="4">
        <v>37.5</v>
      </c>
      <c r="E7" s="9">
        <f>INDEX(증량기록!$C$10:$C$21,$C$4)</f>
        <v>42.5</v>
      </c>
      <c r="F7" s="8" t="s">
        <v>11</v>
      </c>
    </row>
    <row r="8" spans="1:6" ht="15" customHeight="1">
      <c r="A8" s="7" t="s">
        <v>12</v>
      </c>
      <c r="B8" s="7">
        <v>105</v>
      </c>
      <c r="C8" s="8">
        <f>MAX(20,MROUND(B8*0.4,2.5))</f>
        <v>42.5</v>
      </c>
      <c r="D8" s="4">
        <v>42.5</v>
      </c>
      <c r="E8" s="9">
        <f>INDEX(증량기록!$E$10:$E$21,$C$4)</f>
        <v>47.5</v>
      </c>
      <c r="F8" s="8" t="s">
        <v>13</v>
      </c>
    </row>
    <row r="9" spans="1:6" ht="15" customHeight="1">
      <c r="A9" s="7" t="s">
        <v>14</v>
      </c>
      <c r="B9" s="7">
        <v>47.25</v>
      </c>
      <c r="C9" s="8">
        <f>MAX(20,MROUND(B9*0.4,2.5))</f>
        <v>20</v>
      </c>
      <c r="D9" s="4">
        <v>22.5</v>
      </c>
      <c r="E9" s="9">
        <f>INDEX(증량기록!$G$10:$G$21,$C$4)</f>
        <v>24.75</v>
      </c>
      <c r="F9" s="8" t="s">
        <v>11</v>
      </c>
    </row>
    <row r="10" spans="1:6" ht="15" customHeight="1">
      <c r="A10" s="7" t="s">
        <v>15</v>
      </c>
      <c r="B10" s="7">
        <v>40</v>
      </c>
      <c r="C10" s="8">
        <f>MAX(20,MROUND(B10*0.4,2.5))</f>
        <v>20</v>
      </c>
      <c r="D10" s="4">
        <v>20</v>
      </c>
      <c r="E10" s="9">
        <f>INDEX(증량기록!$I$10:$I$21,$C$4)</f>
        <v>21.25</v>
      </c>
      <c r="F10" s="8" t="s">
        <v>16</v>
      </c>
    </row>
    <row r="11" spans="1:6" ht="15" customHeight="1">
      <c r="D11" s="10" t="s">
        <v>17</v>
      </c>
    </row>
    <row r="12" spans="1:6" ht="15" customHeight="1">
      <c r="A12" s="11"/>
    </row>
    <row r="13" spans="1:6" ht="32.25" customHeight="1">
      <c r="A13" s="12" t="s">
        <v>18</v>
      </c>
    </row>
    <row r="14" spans="1:6" ht="51.75" customHeight="1">
      <c r="A14" s="11" t="s">
        <v>19</v>
      </c>
    </row>
    <row r="15" spans="1:6" ht="51.75" customHeight="1">
      <c r="A15" s="11" t="s">
        <v>20</v>
      </c>
    </row>
    <row r="16" spans="1:6" ht="64.5" customHeight="1">
      <c r="A16" s="11" t="s">
        <v>21</v>
      </c>
    </row>
    <row r="17" spans="1:1" ht="51.75" customHeight="1">
      <c r="A17" s="11" t="s">
        <v>22</v>
      </c>
    </row>
    <row r="18" spans="1:1" ht="51.75" customHeight="1">
      <c r="A18" s="11"/>
    </row>
    <row r="19" spans="1:1" ht="15" customHeight="1">
      <c r="A19" s="12" t="s">
        <v>23</v>
      </c>
    </row>
    <row r="20" spans="1:1" ht="77.25" customHeight="1">
      <c r="A20" s="11" t="s">
        <v>24</v>
      </c>
    </row>
    <row r="21" spans="1:1" ht="51.75" customHeight="1">
      <c r="A21" s="11" t="s">
        <v>25</v>
      </c>
    </row>
    <row r="22" spans="1:1" ht="15" customHeight="1">
      <c r="A22" s="11" t="s">
        <v>26</v>
      </c>
    </row>
    <row r="23" spans="1:1" ht="16.5" customHeight="1">
      <c r="A23" s="11" t="s">
        <v>27</v>
      </c>
    </row>
    <row r="24" spans="1:1" ht="51.75" customHeight="1">
      <c r="A24" s="11" t="s">
        <v>28</v>
      </c>
    </row>
    <row r="25" spans="1:1" ht="39" customHeight="1">
      <c r="A25" s="11"/>
    </row>
    <row r="26" spans="1:1" ht="64.5" customHeight="1">
      <c r="A26" s="11" t="s">
        <v>29</v>
      </c>
    </row>
    <row r="27" spans="1:1" ht="15" customHeight="1">
      <c r="A27" s="11" t="s">
        <v>30</v>
      </c>
    </row>
    <row r="28" spans="1:1" ht="60" customHeight="1">
      <c r="A28" s="11"/>
    </row>
    <row r="29" spans="1:1" ht="51.75" customHeight="1">
      <c r="A29" s="13" t="s">
        <v>31</v>
      </c>
    </row>
    <row r="30" spans="1:1" ht="51.75" customHeight="1">
      <c r="A30" s="11" t="s">
        <v>32</v>
      </c>
    </row>
    <row r="31" spans="1:1" ht="64.5" customHeight="1">
      <c r="A31" s="11" t="s">
        <v>33</v>
      </c>
    </row>
    <row r="32" spans="1:1" ht="64.5" customHeight="1">
      <c r="A32" s="11" t="s">
        <v>34</v>
      </c>
    </row>
    <row r="33" spans="1:5" ht="15" customHeight="1">
      <c r="A33" s="11"/>
    </row>
    <row r="34" spans="1:5" ht="51.75" customHeight="1">
      <c r="A34" s="11" t="s">
        <v>35</v>
      </c>
    </row>
    <row r="35" spans="1:5" ht="64.5" customHeight="1">
      <c r="A35" s="11" t="s">
        <v>36</v>
      </c>
    </row>
    <row r="36" spans="1:5" ht="26.25" customHeight="1">
      <c r="A36" s="11" t="s">
        <v>37</v>
      </c>
    </row>
    <row r="38" spans="1:5" ht="16.5" customHeight="1">
      <c r="A38" s="14" t="s">
        <v>38</v>
      </c>
    </row>
    <row r="39" spans="1:5" ht="15" customHeight="1">
      <c r="A39" s="5" t="s">
        <v>39</v>
      </c>
      <c r="B39" s="5" t="s">
        <v>10</v>
      </c>
      <c r="C39" s="5" t="s">
        <v>12</v>
      </c>
      <c r="D39" s="5" t="s">
        <v>14</v>
      </c>
      <c r="E39" s="5" t="s">
        <v>15</v>
      </c>
    </row>
    <row r="40" spans="1:5" ht="15" customHeight="1">
      <c r="A40" s="15" t="s">
        <v>40</v>
      </c>
      <c r="B40" s="9">
        <f>증량기록!C10</f>
        <v>37.5</v>
      </c>
      <c r="C40" s="9">
        <f>증량기록!E10</f>
        <v>42.5</v>
      </c>
      <c r="D40" s="9">
        <f>증량기록!G10</f>
        <v>22.5</v>
      </c>
      <c r="E40" s="9">
        <f>증량기록!I10</f>
        <v>20</v>
      </c>
    </row>
    <row r="41" spans="1:5" ht="15" customHeight="1">
      <c r="A41" s="8" t="s">
        <v>41</v>
      </c>
      <c r="B41" s="16">
        <f>증량기록!C11</f>
        <v>42.5</v>
      </c>
      <c r="C41" s="16">
        <f>증량기록!E11</f>
        <v>47.5</v>
      </c>
      <c r="D41" s="16">
        <f>증량기록!G11</f>
        <v>24.75</v>
      </c>
      <c r="E41" s="16">
        <f>증량기록!I11</f>
        <v>21.25</v>
      </c>
    </row>
    <row r="42" spans="1:5" ht="15" customHeight="1">
      <c r="A42" s="8" t="s">
        <v>42</v>
      </c>
      <c r="B42" s="16">
        <f>증량기록!C12</f>
        <v>47.5</v>
      </c>
      <c r="C42" s="16">
        <f>증량기록!E12</f>
        <v>52.5</v>
      </c>
      <c r="D42" s="16">
        <f>증량기록!G12</f>
        <v>27</v>
      </c>
      <c r="E42" s="16">
        <f>증량기록!I12</f>
        <v>22.5</v>
      </c>
    </row>
    <row r="43" spans="1:5" ht="15" customHeight="1">
      <c r="A43" s="8" t="s">
        <v>43</v>
      </c>
      <c r="B43" s="16">
        <f>증량기록!C13</f>
        <v>52.5</v>
      </c>
      <c r="C43" s="16">
        <f>증량기록!E13</f>
        <v>57.5</v>
      </c>
      <c r="D43" s="16">
        <f>증량기록!G13</f>
        <v>29.25</v>
      </c>
      <c r="E43" s="16">
        <f>증량기록!I13</f>
        <v>23.75</v>
      </c>
    </row>
    <row r="44" spans="1:5" ht="15" customHeight="1">
      <c r="A44" s="8" t="s">
        <v>44</v>
      </c>
      <c r="B44" s="16">
        <f>증량기록!C14</f>
        <v>57.5</v>
      </c>
      <c r="C44" s="16">
        <f>증량기록!E14</f>
        <v>62.5</v>
      </c>
      <c r="D44" s="16">
        <f>증량기록!G14</f>
        <v>31.5</v>
      </c>
      <c r="E44" s="16">
        <f>증량기록!I14</f>
        <v>25</v>
      </c>
    </row>
    <row r="45" spans="1:5" ht="15" customHeight="1">
      <c r="A45" s="8" t="s">
        <v>45</v>
      </c>
      <c r="B45" s="16">
        <f>증량기록!C15</f>
        <v>62.5</v>
      </c>
      <c r="C45" s="16">
        <f>증량기록!E15</f>
        <v>67.5</v>
      </c>
      <c r="D45" s="16">
        <f>증량기록!G15</f>
        <v>33.75</v>
      </c>
      <c r="E45" s="16">
        <f>증량기록!I15</f>
        <v>26.25</v>
      </c>
    </row>
    <row r="46" spans="1:5" ht="15" customHeight="1">
      <c r="A46" s="8" t="s">
        <v>46</v>
      </c>
      <c r="B46" s="16">
        <f>증량기록!C16</f>
        <v>67.5</v>
      </c>
      <c r="C46" s="16">
        <f>증량기록!E16</f>
        <v>72.5</v>
      </c>
      <c r="D46" s="16">
        <f>증량기록!G16</f>
        <v>36</v>
      </c>
      <c r="E46" s="16">
        <f>증량기록!I16</f>
        <v>27.5</v>
      </c>
    </row>
    <row r="47" spans="1:5" ht="15" customHeight="1">
      <c r="A47" s="8" t="s">
        <v>47</v>
      </c>
      <c r="B47" s="16">
        <f>증량기록!C17</f>
        <v>72.5</v>
      </c>
      <c r="C47" s="16">
        <f>증량기록!E17</f>
        <v>77.5</v>
      </c>
      <c r="D47" s="16">
        <f>증량기록!G17</f>
        <v>38.25</v>
      </c>
      <c r="E47" s="16">
        <f>증량기록!I17</f>
        <v>28.75</v>
      </c>
    </row>
    <row r="48" spans="1:5" ht="15" customHeight="1">
      <c r="A48" s="8" t="s">
        <v>48</v>
      </c>
      <c r="B48" s="16">
        <f>증량기록!C18</f>
        <v>77.5</v>
      </c>
      <c r="C48" s="16">
        <f>증량기록!E18</f>
        <v>82.5</v>
      </c>
      <c r="D48" s="16">
        <f>증량기록!G18</f>
        <v>40.5</v>
      </c>
      <c r="E48" s="16">
        <f>증량기록!I18</f>
        <v>30</v>
      </c>
    </row>
    <row r="49" spans="1:5" ht="15" customHeight="1">
      <c r="A49" s="8" t="s">
        <v>49</v>
      </c>
      <c r="B49" s="16">
        <f>증량기록!C19</f>
        <v>82.5</v>
      </c>
      <c r="C49" s="16">
        <f>증량기록!E19</f>
        <v>87.5</v>
      </c>
      <c r="D49" s="16">
        <f>증량기록!G19</f>
        <v>42.75</v>
      </c>
      <c r="E49" s="16">
        <f>증량기록!I19</f>
        <v>31.25</v>
      </c>
    </row>
    <row r="50" spans="1:5" ht="15" customHeight="1">
      <c r="A50" s="8" t="s">
        <v>50</v>
      </c>
      <c r="B50" s="16">
        <f>증량기록!C20</f>
        <v>87.5</v>
      </c>
      <c r="C50" s="16">
        <f>증량기록!E20</f>
        <v>92.5</v>
      </c>
      <c r="D50" s="16">
        <f>증량기록!G20</f>
        <v>45</v>
      </c>
      <c r="E50" s="16">
        <f>증량기록!I20</f>
        <v>32.5</v>
      </c>
    </row>
    <row r="51" spans="1:5" ht="15" customHeight="1">
      <c r="A51" s="8" t="s">
        <v>51</v>
      </c>
      <c r="B51" s="16">
        <f>증량기록!C21</f>
        <v>92.5</v>
      </c>
      <c r="C51" s="16">
        <f>증량기록!E21</f>
        <v>97.5</v>
      </c>
      <c r="D51" s="16">
        <f>증량기록!G21</f>
        <v>47.25</v>
      </c>
      <c r="E51" s="16">
        <f>증량기록!I21</f>
        <v>33.75</v>
      </c>
    </row>
    <row r="53" spans="1:5" ht="51.75" customHeight="1">
      <c r="A53" s="11" t="s">
        <v>52</v>
      </c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5" width="28" customWidth="1"/>
    <col min="6" max="6" width="12" customWidth="1"/>
  </cols>
  <sheetData>
    <row r="1" spans="1:6" ht="18" customHeight="1">
      <c r="A1" s="17" t="s">
        <v>53</v>
      </c>
    </row>
    <row r="2" spans="1:6" ht="15" customHeight="1">
      <c r="A2" s="18" t="s">
        <v>54</v>
      </c>
    </row>
    <row r="4" spans="1:6" ht="15" customHeight="1">
      <c r="A4" s="19" t="s">
        <v>55</v>
      </c>
      <c r="B4" s="19" t="s">
        <v>56</v>
      </c>
      <c r="C4" s="19" t="s">
        <v>57</v>
      </c>
      <c r="D4" s="19" t="s">
        <v>58</v>
      </c>
      <c r="E4" s="19" t="s">
        <v>59</v>
      </c>
      <c r="F4" s="19" t="s">
        <v>60</v>
      </c>
    </row>
    <row r="5" spans="1:6" ht="15" customHeight="1">
      <c r="A5" s="20" t="s">
        <v>61</v>
      </c>
      <c r="B5" s="21" t="s">
        <v>62</v>
      </c>
      <c r="C5" s="22" t="s">
        <v>63</v>
      </c>
      <c r="D5" s="21" t="s">
        <v>64</v>
      </c>
      <c r="E5" s="20">
        <f>월_당기기A!$E$15</f>
        <v>22</v>
      </c>
      <c r="F5" s="20" t="s">
        <v>65</v>
      </c>
    </row>
    <row r="6" spans="1:6" ht="15" customHeight="1">
      <c r="A6" s="20" t="s">
        <v>66</v>
      </c>
      <c r="B6" s="21" t="s">
        <v>67</v>
      </c>
      <c r="C6" s="21" t="s">
        <v>68</v>
      </c>
      <c r="D6" s="21" t="s">
        <v>69</v>
      </c>
      <c r="E6" s="20">
        <f>화_밀기A!$E$26</f>
        <v>22</v>
      </c>
      <c r="F6" s="20" t="s">
        <v>70</v>
      </c>
    </row>
    <row r="7" spans="1:6" ht="15" customHeight="1">
      <c r="A7" s="20" t="s">
        <v>71</v>
      </c>
      <c r="B7" s="21" t="s">
        <v>72</v>
      </c>
      <c r="C7" s="21" t="s">
        <v>73</v>
      </c>
      <c r="D7" s="21" t="s">
        <v>74</v>
      </c>
      <c r="E7" s="20">
        <f>수_하체A!$E$23</f>
        <v>25</v>
      </c>
      <c r="F7" s="20" t="s">
        <v>75</v>
      </c>
    </row>
    <row r="8" spans="1:6" ht="15" customHeight="1">
      <c r="A8" s="23" t="s">
        <v>76</v>
      </c>
      <c r="B8" s="24" t="s">
        <v>77</v>
      </c>
      <c r="C8" s="25" t="s">
        <v>63</v>
      </c>
      <c r="D8" s="24" t="s">
        <v>78</v>
      </c>
      <c r="E8" s="23">
        <f>목_당기기B!$E$14</f>
        <v>22</v>
      </c>
      <c r="F8" s="20" t="s">
        <v>65</v>
      </c>
    </row>
    <row r="9" spans="1:6" ht="15" customHeight="1">
      <c r="A9" s="20" t="s">
        <v>79</v>
      </c>
      <c r="B9" s="21" t="s">
        <v>80</v>
      </c>
      <c r="C9" s="21" t="s">
        <v>81</v>
      </c>
      <c r="D9" s="21" t="s">
        <v>82</v>
      </c>
      <c r="E9" s="20">
        <f>금_밀기B!$E$29</f>
        <v>25</v>
      </c>
      <c r="F9" s="20" t="s">
        <v>75</v>
      </c>
    </row>
    <row r="10" spans="1:6" ht="15" customHeight="1">
      <c r="A10" s="20" t="s">
        <v>83</v>
      </c>
      <c r="B10" s="21" t="s">
        <v>84</v>
      </c>
      <c r="C10" s="21" t="s">
        <v>85</v>
      </c>
      <c r="D10" s="21" t="s">
        <v>86</v>
      </c>
      <c r="E10" s="20">
        <f>토_하체B!$E$23</f>
        <v>24</v>
      </c>
      <c r="F10" s="20" t="s">
        <v>75</v>
      </c>
    </row>
    <row r="11" spans="1:6" ht="15" customHeight="1">
      <c r="A11" s="23" t="s">
        <v>87</v>
      </c>
      <c r="B11" s="24" t="s">
        <v>88</v>
      </c>
      <c r="C11" s="25" t="s">
        <v>63</v>
      </c>
      <c r="D11" s="25" t="s">
        <v>63</v>
      </c>
      <c r="E11" s="23">
        <v>0</v>
      </c>
      <c r="F11" s="26" t="s">
        <v>63</v>
      </c>
    </row>
    <row r="12" spans="1:6" ht="15" customHeight="1">
      <c r="A12" s="27" t="s">
        <v>89</v>
      </c>
      <c r="B12" s="28"/>
      <c r="C12" s="29"/>
      <c r="D12" s="28"/>
      <c r="E12" s="27">
        <f>SUM(E5:E11)</f>
        <v>140</v>
      </c>
    </row>
    <row r="14" spans="1:6" ht="16.5" customHeight="1">
      <c r="A14" s="13" t="s">
        <v>90</v>
      </c>
    </row>
    <row r="15" spans="1:6" ht="89.25" customHeight="1">
      <c r="A15" s="30" t="s">
        <v>91</v>
      </c>
    </row>
    <row r="16" spans="1:6" ht="76.5" customHeight="1">
      <c r="A16" s="30" t="s">
        <v>92</v>
      </c>
    </row>
    <row r="17" spans="1:1" ht="38.25" customHeight="1">
      <c r="A17" s="30" t="s">
        <v>93</v>
      </c>
    </row>
    <row r="18" spans="1:1" ht="114.75" customHeight="1">
      <c r="A18" s="30" t="s">
        <v>94</v>
      </c>
    </row>
    <row r="19" spans="1:1" ht="16.5" customHeight="1">
      <c r="A19" s="31" t="s">
        <v>95</v>
      </c>
    </row>
    <row r="20" spans="1:1" ht="16.5" customHeight="1">
      <c r="A20" t="s">
        <v>96</v>
      </c>
    </row>
    <row r="21" spans="1:1" ht="15" customHeight="1">
      <c r="A21" s="14" t="s">
        <v>97</v>
      </c>
    </row>
    <row r="22" spans="1:1" ht="15" customHeight="1">
      <c r="A22" s="31" t="s">
        <v>98</v>
      </c>
    </row>
    <row r="23" spans="1:1" ht="15" customHeight="1">
      <c r="A23" s="31" t="s">
        <v>99</v>
      </c>
    </row>
    <row r="24" spans="1:1" ht="15" customHeight="1">
      <c r="A24" s="31" t="s">
        <v>100</v>
      </c>
    </row>
    <row r="25" spans="1:1" ht="16.5" customHeight="1">
      <c r="A25" s="31" t="s">
        <v>101</v>
      </c>
    </row>
    <row r="26" spans="1:1" ht="15" customHeight="1">
      <c r="A26" s="2"/>
    </row>
    <row r="27" spans="1:1" ht="15" customHeight="1">
      <c r="A27" s="3" t="s">
        <v>102</v>
      </c>
    </row>
    <row r="28" spans="1:1" ht="79.5" customHeight="1">
      <c r="A28" s="30" t="s">
        <v>103</v>
      </c>
    </row>
    <row r="29" spans="1:1" ht="64.5" customHeight="1">
      <c r="A29" s="30" t="s">
        <v>104</v>
      </c>
    </row>
    <row r="30" spans="1:1" ht="90" customHeight="1">
      <c r="A30" s="30" t="s">
        <v>105</v>
      </c>
    </row>
    <row r="31" spans="1:1" ht="102.75" customHeight="1">
      <c r="A31" s="30" t="s">
        <v>106</v>
      </c>
    </row>
    <row r="32" spans="1:1" ht="100.5" customHeight="1">
      <c r="A32" s="11"/>
    </row>
    <row r="33" spans="1:1" ht="15" customHeight="1">
      <c r="A33" s="13" t="s">
        <v>107</v>
      </c>
    </row>
    <row r="34" spans="1:1" ht="90" customHeight="1">
      <c r="A34" s="32" t="s">
        <v>108</v>
      </c>
    </row>
    <row r="35" spans="1:1" ht="51.75" customHeight="1">
      <c r="A35" s="32" t="s">
        <v>109</v>
      </c>
    </row>
    <row r="36" spans="1:1" ht="77.25" customHeight="1">
      <c r="A36" s="11"/>
    </row>
    <row r="37" spans="1:1" ht="64.5" customHeight="1">
      <c r="A37" s="13" t="s">
        <v>110</v>
      </c>
    </row>
    <row r="38" spans="1:1" ht="16.5" customHeight="1">
      <c r="A38" s="31" t="s">
        <v>111</v>
      </c>
    </row>
    <row r="39" spans="1:1" ht="16.5" customHeight="1">
      <c r="A39" s="31" t="s">
        <v>112</v>
      </c>
    </row>
    <row r="40" spans="1:1" ht="16.5" customHeight="1">
      <c r="A40" s="31" t="s">
        <v>113</v>
      </c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zoomScaleNormal="100" workbookViewId="0">
      <pane ySplit="5" topLeftCell="A6" activePane="bottomLeft" state="frozen"/>
      <selection pane="bottomLeft" activeCell="C21" sqref="C21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9" ht="19.5" customHeight="1">
      <c r="A1" s="17" t="s">
        <v>114</v>
      </c>
    </row>
    <row r="2" spans="1:9" ht="16.5" customHeight="1">
      <c r="A2" s="18" t="s">
        <v>115</v>
      </c>
    </row>
    <row r="3" spans="1:9">
      <c r="A3" s="33" t="s">
        <v>116</v>
      </c>
    </row>
    <row r="4" spans="1:9" ht="15" customHeight="1">
      <c r="A4" s="3" t="s">
        <v>117</v>
      </c>
    </row>
    <row r="5" spans="1:9" ht="16.5" customHeight="1">
      <c r="A5" s="34" t="s">
        <v>118</v>
      </c>
      <c r="B5" s="35" t="s">
        <v>4</v>
      </c>
      <c r="C5" s="35" t="s">
        <v>119</v>
      </c>
      <c r="D5" s="35" t="s">
        <v>120</v>
      </c>
      <c r="E5" s="35" t="s">
        <v>59</v>
      </c>
      <c r="F5" s="35" t="s">
        <v>121</v>
      </c>
      <c r="G5" s="35" t="s">
        <v>122</v>
      </c>
      <c r="H5" s="35" t="s">
        <v>123</v>
      </c>
      <c r="I5" s="35" t="s">
        <v>124</v>
      </c>
    </row>
    <row r="6" spans="1:9" ht="16.5" customHeight="1">
      <c r="A6" s="20">
        <v>1</v>
      </c>
      <c r="B6" s="21" t="s">
        <v>125</v>
      </c>
      <c r="C6" s="20" t="s">
        <v>126</v>
      </c>
      <c r="D6" s="20">
        <v>60</v>
      </c>
      <c r="E6" s="20">
        <v>4</v>
      </c>
      <c r="F6" s="26" t="s">
        <v>127</v>
      </c>
      <c r="G6" s="21" t="s">
        <v>128</v>
      </c>
      <c r="H6" s="21" t="s">
        <v>129</v>
      </c>
      <c r="I6" s="21" t="s">
        <v>130</v>
      </c>
    </row>
    <row r="7" spans="1:9" ht="16.5" customHeight="1">
      <c r="A7" s="20">
        <v>2</v>
      </c>
      <c r="B7" s="21" t="s">
        <v>131</v>
      </c>
      <c r="C7" s="20" t="s">
        <v>126</v>
      </c>
      <c r="D7" s="26">
        <v>40</v>
      </c>
      <c r="E7" s="20">
        <v>3</v>
      </c>
      <c r="F7" s="26" t="s">
        <v>132</v>
      </c>
      <c r="G7" s="21" t="s">
        <v>128</v>
      </c>
      <c r="H7" s="21" t="s">
        <v>133</v>
      </c>
      <c r="I7" s="21" t="s">
        <v>134</v>
      </c>
    </row>
    <row r="8" spans="1:9" ht="16.5" customHeight="1">
      <c r="A8" s="20">
        <v>3</v>
      </c>
      <c r="B8" s="21" t="s">
        <v>135</v>
      </c>
      <c r="C8" s="20" t="s">
        <v>136</v>
      </c>
      <c r="D8" s="20" t="s">
        <v>137</v>
      </c>
      <c r="E8" s="20">
        <v>0</v>
      </c>
      <c r="F8" s="26" t="s">
        <v>138</v>
      </c>
      <c r="G8" s="21" t="s">
        <v>139</v>
      </c>
      <c r="H8" s="21" t="s">
        <v>140</v>
      </c>
      <c r="I8" s="21" t="s">
        <v>141</v>
      </c>
    </row>
    <row r="9" spans="1:9" ht="16.5" customHeight="1">
      <c r="A9" s="20">
        <v>4</v>
      </c>
      <c r="B9" s="21" t="s">
        <v>142</v>
      </c>
      <c r="C9" s="20" t="s">
        <v>143</v>
      </c>
      <c r="D9" s="20">
        <v>20</v>
      </c>
      <c r="E9" s="20">
        <v>3</v>
      </c>
      <c r="F9" s="26" t="s">
        <v>145</v>
      </c>
      <c r="G9" s="21" t="s">
        <v>146</v>
      </c>
      <c r="H9" s="21" t="s">
        <v>147</v>
      </c>
      <c r="I9" s="21" t="s">
        <v>148</v>
      </c>
    </row>
    <row r="10" spans="1:9" ht="16.5" customHeight="1">
      <c r="A10" s="20">
        <v>5</v>
      </c>
      <c r="B10" s="21" t="s">
        <v>149</v>
      </c>
      <c r="C10" s="20" t="s">
        <v>128</v>
      </c>
      <c r="D10" s="26" t="s">
        <v>150</v>
      </c>
      <c r="E10" s="20">
        <v>0</v>
      </c>
      <c r="F10" s="26" t="s">
        <v>132</v>
      </c>
      <c r="G10" s="21" t="s">
        <v>151</v>
      </c>
      <c r="H10" s="21" t="s">
        <v>152</v>
      </c>
      <c r="I10" s="22" t="s">
        <v>153</v>
      </c>
    </row>
    <row r="11" spans="1:9" ht="16.5" customHeight="1">
      <c r="A11" s="20">
        <v>6</v>
      </c>
      <c r="B11" s="21" t="s">
        <v>154</v>
      </c>
      <c r="C11" s="20" t="s">
        <v>128</v>
      </c>
      <c r="D11" s="26">
        <v>6</v>
      </c>
      <c r="E11" s="20">
        <v>3</v>
      </c>
      <c r="F11" s="26" t="s">
        <v>132</v>
      </c>
      <c r="G11" s="21" t="s">
        <v>151</v>
      </c>
      <c r="H11" s="21" t="s">
        <v>155</v>
      </c>
      <c r="I11" s="21" t="s">
        <v>156</v>
      </c>
    </row>
    <row r="12" spans="1:9" ht="16.5" customHeight="1">
      <c r="A12" s="20">
        <v>7</v>
      </c>
      <c r="B12" s="21" t="s">
        <v>157</v>
      </c>
      <c r="C12" s="20" t="s">
        <v>151</v>
      </c>
      <c r="D12" s="20">
        <v>10</v>
      </c>
      <c r="E12" s="20">
        <v>3</v>
      </c>
      <c r="F12" s="26" t="s">
        <v>158</v>
      </c>
      <c r="G12" s="21"/>
      <c r="H12" s="21" t="s">
        <v>159</v>
      </c>
      <c r="I12" s="21" t="s">
        <v>160</v>
      </c>
    </row>
    <row r="13" spans="1:9" ht="15" customHeight="1">
      <c r="A13" s="20">
        <v>8</v>
      </c>
      <c r="B13" s="21" t="s">
        <v>161</v>
      </c>
      <c r="C13" s="20" t="s">
        <v>162</v>
      </c>
      <c r="D13" s="20" t="s">
        <v>137</v>
      </c>
      <c r="E13" s="20">
        <v>3</v>
      </c>
      <c r="F13" s="26" t="s">
        <v>144</v>
      </c>
      <c r="G13" s="21"/>
      <c r="H13" s="21" t="s">
        <v>163</v>
      </c>
      <c r="I13" s="21" t="s">
        <v>164</v>
      </c>
    </row>
    <row r="14" spans="1:9" ht="15" customHeight="1">
      <c r="A14" s="20">
        <v>9</v>
      </c>
      <c r="B14" s="21" t="s">
        <v>165</v>
      </c>
      <c r="C14" s="20" t="s">
        <v>166</v>
      </c>
      <c r="D14" s="20">
        <v>20</v>
      </c>
      <c r="E14" s="20">
        <v>3</v>
      </c>
      <c r="F14" s="26" t="s">
        <v>167</v>
      </c>
      <c r="G14" s="21" t="s">
        <v>168</v>
      </c>
      <c r="H14" s="36" t="s">
        <v>169</v>
      </c>
      <c r="I14" s="36" t="s">
        <v>170</v>
      </c>
    </row>
    <row r="15" spans="1:9" ht="15" customHeight="1">
      <c r="D15" s="37" t="s">
        <v>171</v>
      </c>
      <c r="E15" s="38">
        <f>SUM(E6:E14)</f>
        <v>22</v>
      </c>
    </row>
  </sheetData>
  <phoneticPr fontId="43" type="noConversion"/>
  <conditionalFormatting sqref="A6:K14">
    <cfRule type="expression" dxfId="5" priority="2">
      <formula>$E6=0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tabSelected="1" zoomScaleNormal="100" workbookViewId="0">
      <pane ySplit="19" topLeftCell="A20" activePane="bottomLeft" state="frozen"/>
      <selection pane="bottomLeft" activeCell="E24" sqref="E24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3" ht="19.5" customHeight="1">
      <c r="A1" s="17" t="s">
        <v>172</v>
      </c>
    </row>
    <row r="2" spans="1:3" ht="16.5" customHeight="1">
      <c r="A2" s="18" t="s">
        <v>173</v>
      </c>
    </row>
    <row r="4" spans="1:3" ht="16.5" customHeight="1">
      <c r="A4" s="3" t="s">
        <v>174</v>
      </c>
    </row>
    <row r="5" spans="1:3" ht="16.5" customHeight="1">
      <c r="A5" s="19" t="s">
        <v>120</v>
      </c>
      <c r="B5" s="19" t="s">
        <v>175</v>
      </c>
      <c r="C5" s="19" t="s">
        <v>59</v>
      </c>
    </row>
    <row r="6" spans="1:3" ht="15" customHeight="1">
      <c r="A6" s="20">
        <f>MAX(20,MROUND(시작중량_설정!$E$9*0.4,2.5))</f>
        <v>20</v>
      </c>
      <c r="B6" s="20">
        <v>5</v>
      </c>
      <c r="C6" s="20">
        <v>2</v>
      </c>
    </row>
    <row r="7" spans="1:3" ht="15" customHeight="1">
      <c r="A7" s="20" t="str">
        <f>IF(MAX(20,MROUND(시작중량_설정!$E$9*0.6,2.5))&lt;=MAX(20,MROUND(시작중량_설정!$E$9*0.4,2.5)),"생략",MAX(20,MROUND(시작중량_설정!$E$9*0.6,2.5)))</f>
        <v>생략</v>
      </c>
      <c r="B7" s="20">
        <v>5</v>
      </c>
      <c r="C7" s="20">
        <v>1</v>
      </c>
    </row>
    <row r="8" spans="1:3" ht="15" customHeight="1">
      <c r="A8" s="20" t="str">
        <f>IF(MAX(20,MROUND(시작중량_설정!$E$9*0.75,2.5))&lt;=MAX(20,MROUND(시작중량_설정!$E$9*0.6,2.5)),"생략",MAX(20,MROUND(시작중량_설정!$E$9*0.75,2.5)))</f>
        <v>생략</v>
      </c>
      <c r="B8" s="20">
        <v>3</v>
      </c>
      <c r="C8" s="20">
        <v>1</v>
      </c>
    </row>
    <row r="9" spans="1:3" ht="15" customHeight="1">
      <c r="A9" s="20">
        <f>IF(MAX(20,MROUND(시작중량_설정!$E$9*0.9,2.5))&lt;=MAX(20,MROUND(시작중량_설정!$E$9*0.75,2.5)),"생략",MAX(20,MROUND(시작중량_설정!$E$9*0.9,2.5)))</f>
        <v>22.5</v>
      </c>
      <c r="B9" s="20">
        <v>2</v>
      </c>
      <c r="C9" s="20">
        <v>1</v>
      </c>
    </row>
    <row r="10" spans="1:3" ht="15" customHeight="1">
      <c r="A10" s="39">
        <f>시작중량_설정!$E$9</f>
        <v>24.75</v>
      </c>
      <c r="B10" s="27">
        <v>5</v>
      </c>
      <c r="C10" s="27">
        <v>5</v>
      </c>
    </row>
    <row r="11" spans="1:3" ht="16.5" customHeight="1">
      <c r="A11" s="31" t="s">
        <v>176</v>
      </c>
    </row>
    <row r="13" spans="1:3" ht="16.5" customHeight="1">
      <c r="A13" s="3" t="s">
        <v>177</v>
      </c>
    </row>
    <row r="14" spans="1:3" ht="16.5" customHeight="1">
      <c r="A14" s="31" t="s">
        <v>178</v>
      </c>
    </row>
    <row r="15" spans="1:3" ht="16.5" customHeight="1">
      <c r="A15" s="31" t="s">
        <v>179</v>
      </c>
    </row>
    <row r="16" spans="1:3" ht="16.5" customHeight="1">
      <c r="A16" s="31" t="s">
        <v>180</v>
      </c>
    </row>
    <row r="18" spans="1:9" ht="15" customHeight="1">
      <c r="A18" s="3" t="s">
        <v>117</v>
      </c>
    </row>
    <row r="19" spans="1:9" ht="16.5" customHeight="1">
      <c r="A19" s="34" t="s">
        <v>118</v>
      </c>
      <c r="B19" s="35" t="s">
        <v>4</v>
      </c>
      <c r="C19" s="35" t="s">
        <v>119</v>
      </c>
      <c r="D19" s="35" t="s">
        <v>120</v>
      </c>
      <c r="E19" s="35" t="s">
        <v>59</v>
      </c>
      <c r="F19" s="35" t="s">
        <v>121</v>
      </c>
      <c r="G19" s="35" t="s">
        <v>122</v>
      </c>
      <c r="H19" s="35" t="s">
        <v>123</v>
      </c>
      <c r="I19" s="35" t="s">
        <v>124</v>
      </c>
    </row>
    <row r="20" spans="1:9" ht="16.5" customHeight="1">
      <c r="A20" s="40">
        <v>1</v>
      </c>
      <c r="B20" s="41" t="s">
        <v>181</v>
      </c>
      <c r="C20" s="42" t="s">
        <v>182</v>
      </c>
      <c r="D20" s="43">
        <f>시작중량_설정!$E$9</f>
        <v>24.75</v>
      </c>
      <c r="E20" s="42">
        <v>5</v>
      </c>
      <c r="F20" s="40" t="s">
        <v>183</v>
      </c>
      <c r="G20" s="41" t="s">
        <v>184</v>
      </c>
      <c r="H20" s="41" t="s">
        <v>185</v>
      </c>
      <c r="I20" s="41" t="s">
        <v>186</v>
      </c>
    </row>
    <row r="21" spans="1:9" ht="16.5" customHeight="1">
      <c r="A21" s="20">
        <v>2</v>
      </c>
      <c r="B21" s="21" t="s">
        <v>187</v>
      </c>
      <c r="C21" s="20" t="s">
        <v>182</v>
      </c>
      <c r="D21" s="44" t="s">
        <v>188</v>
      </c>
      <c r="E21" s="20">
        <v>3</v>
      </c>
      <c r="F21" s="26" t="s">
        <v>138</v>
      </c>
      <c r="G21" s="21" t="s">
        <v>189</v>
      </c>
      <c r="H21" s="21" t="s">
        <v>190</v>
      </c>
      <c r="I21" s="21" t="s">
        <v>191</v>
      </c>
    </row>
    <row r="22" spans="1:9" ht="16.5" customHeight="1">
      <c r="A22" s="20">
        <v>3</v>
      </c>
      <c r="B22" s="21" t="s">
        <v>192</v>
      </c>
      <c r="C22" s="20" t="s">
        <v>193</v>
      </c>
      <c r="D22" s="26">
        <v>6</v>
      </c>
      <c r="E22" s="20">
        <v>4</v>
      </c>
      <c r="F22" s="26" t="s">
        <v>194</v>
      </c>
      <c r="G22" s="21"/>
      <c r="H22" s="21" t="s">
        <v>195</v>
      </c>
      <c r="I22" s="21" t="s">
        <v>196</v>
      </c>
    </row>
    <row r="23" spans="1:9" ht="16.5" customHeight="1">
      <c r="A23" s="20">
        <v>4</v>
      </c>
      <c r="B23" s="21" t="s">
        <v>197</v>
      </c>
      <c r="C23" s="20" t="s">
        <v>189</v>
      </c>
      <c r="D23" s="26">
        <v>10</v>
      </c>
      <c r="E23" s="20">
        <v>0</v>
      </c>
      <c r="F23" s="26" t="s">
        <v>132</v>
      </c>
      <c r="G23" s="21"/>
      <c r="H23" s="21" t="s">
        <v>198</v>
      </c>
      <c r="I23" s="21" t="s">
        <v>199</v>
      </c>
    </row>
    <row r="24" spans="1:9" ht="16.5" customHeight="1">
      <c r="A24" s="20">
        <v>5</v>
      </c>
      <c r="B24" s="21" t="s">
        <v>200</v>
      </c>
      <c r="C24" s="20" t="s">
        <v>201</v>
      </c>
      <c r="D24" s="26">
        <v>5</v>
      </c>
      <c r="E24" s="20">
        <v>6</v>
      </c>
      <c r="F24" s="26" t="s">
        <v>145</v>
      </c>
      <c r="G24" s="21"/>
      <c r="H24" s="21" t="s">
        <v>202</v>
      </c>
      <c r="I24" s="21" t="s">
        <v>203</v>
      </c>
    </row>
    <row r="25" spans="1:9" ht="16.5" customHeight="1">
      <c r="A25" s="20">
        <v>6</v>
      </c>
      <c r="B25" s="21" t="s">
        <v>204</v>
      </c>
      <c r="C25" s="45" t="s">
        <v>205</v>
      </c>
      <c r="D25" s="26">
        <v>20</v>
      </c>
      <c r="E25" s="20">
        <v>4</v>
      </c>
      <c r="F25" s="26" t="s">
        <v>145</v>
      </c>
      <c r="G25" s="21"/>
      <c r="H25" s="21"/>
      <c r="I25" s="21"/>
    </row>
    <row r="26" spans="1:9" ht="15" customHeight="1">
      <c r="D26" s="3" t="s">
        <v>171</v>
      </c>
      <c r="E26" s="27">
        <f>SUM(E20:E25)</f>
        <v>22</v>
      </c>
    </row>
  </sheetData>
  <phoneticPr fontId="43" type="noConversion"/>
  <conditionalFormatting sqref="A20:K25">
    <cfRule type="expression" dxfId="4" priority="2">
      <formula>$E20=0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zoomScaleNormal="100" workbookViewId="0">
      <pane ySplit="14" topLeftCell="A15" activePane="bottomLeft" state="frozen"/>
      <selection pane="bottomLeft" activeCell="H34" sqref="H34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9" ht="19.5" customHeight="1">
      <c r="A1" s="17" t="s">
        <v>206</v>
      </c>
    </row>
    <row r="2" spans="1:9" ht="16.5" customHeight="1">
      <c r="A2" s="18" t="s">
        <v>207</v>
      </c>
    </row>
    <row r="4" spans="1:9" ht="16.5" customHeight="1">
      <c r="A4" s="3" t="s">
        <v>208</v>
      </c>
    </row>
    <row r="5" spans="1:9" ht="16.5" customHeight="1">
      <c r="A5" s="19" t="s">
        <v>120</v>
      </c>
      <c r="B5" s="19" t="s">
        <v>175</v>
      </c>
      <c r="C5" s="19" t="s">
        <v>59</v>
      </c>
    </row>
    <row r="6" spans="1:9" ht="15" customHeight="1">
      <c r="A6" s="20">
        <f>MAX(20,MROUND(시작중량_설정!$E$7*0.4,2.5))</f>
        <v>20</v>
      </c>
      <c r="B6" s="20">
        <v>5</v>
      </c>
      <c r="C6" s="20">
        <v>2</v>
      </c>
    </row>
    <row r="7" spans="1:9" ht="15" customHeight="1">
      <c r="A7" s="20">
        <f>IF(MAX(20,MROUND(시작중량_설정!$E$7*0.6,2.5))&lt;=MAX(20,MROUND(시작중량_설정!$E$7*0.4,2.5)),"생략",MAX(20,MROUND(시작중량_설정!$E$7*0.6,2.5)))</f>
        <v>25</v>
      </c>
      <c r="B7" s="20">
        <v>5</v>
      </c>
      <c r="C7" s="20">
        <v>1</v>
      </c>
    </row>
    <row r="8" spans="1:9" ht="15" customHeight="1">
      <c r="A8" s="20">
        <f>IF(MAX(20,MROUND(시작중량_설정!$E$7*0.75,2.5))&lt;=MAX(20,MROUND(시작중량_설정!$E$7*0.6,2.5)),"생략",MAX(20,MROUND(시작중량_설정!$E$7*0.75,2.5)))</f>
        <v>32.5</v>
      </c>
      <c r="B8" s="20">
        <v>3</v>
      </c>
      <c r="C8" s="20">
        <v>1</v>
      </c>
    </row>
    <row r="9" spans="1:9" ht="15" customHeight="1">
      <c r="A9" s="20">
        <f>IF(MAX(20,MROUND(시작중량_설정!$E$7*0.9,2.5))&lt;=MAX(20,MROUND(시작중량_설정!$E$7*0.75,2.5)),"생략",MAX(20,MROUND(시작중량_설정!$E$7*0.9,2.5)))</f>
        <v>37.5</v>
      </c>
      <c r="B9" s="20">
        <v>2</v>
      </c>
      <c r="C9" s="20">
        <v>1</v>
      </c>
    </row>
    <row r="10" spans="1:9" ht="15" customHeight="1">
      <c r="A10" s="39">
        <f>시작중량_설정!$E$7</f>
        <v>42.5</v>
      </c>
      <c r="B10" s="27">
        <v>5</v>
      </c>
      <c r="C10" s="27">
        <v>5</v>
      </c>
    </row>
    <row r="11" spans="1:9" ht="16.5" customHeight="1">
      <c r="A11" s="31" t="s">
        <v>176</v>
      </c>
    </row>
    <row r="13" spans="1:9" ht="15" customHeight="1">
      <c r="A13" s="3" t="s">
        <v>117</v>
      </c>
    </row>
    <row r="14" spans="1:9" ht="16.5" customHeight="1">
      <c r="A14" s="34" t="s">
        <v>118</v>
      </c>
      <c r="B14" s="35" t="s">
        <v>4</v>
      </c>
      <c r="C14" s="35" t="s">
        <v>119</v>
      </c>
      <c r="D14" s="35" t="s">
        <v>120</v>
      </c>
      <c r="E14" s="35" t="s">
        <v>59</v>
      </c>
      <c r="F14" s="35" t="s">
        <v>121</v>
      </c>
      <c r="G14" s="35" t="s">
        <v>122</v>
      </c>
      <c r="H14" s="35" t="s">
        <v>123</v>
      </c>
      <c r="I14" s="35" t="s">
        <v>124</v>
      </c>
    </row>
    <row r="15" spans="1:9" ht="16.5" customHeight="1">
      <c r="A15" s="42">
        <v>1</v>
      </c>
      <c r="B15" s="41" t="s">
        <v>209</v>
      </c>
      <c r="C15" s="42" t="s">
        <v>210</v>
      </c>
      <c r="D15" s="43">
        <f>시작중량_설정!$E$7</f>
        <v>42.5</v>
      </c>
      <c r="E15" s="42">
        <v>5</v>
      </c>
      <c r="F15" s="40" t="s">
        <v>183</v>
      </c>
      <c r="G15" s="41" t="s">
        <v>211</v>
      </c>
      <c r="H15" s="41" t="s">
        <v>212</v>
      </c>
      <c r="I15" s="41" t="s">
        <v>213</v>
      </c>
    </row>
    <row r="16" spans="1:9" ht="16.5" customHeight="1">
      <c r="A16" s="20">
        <v>2</v>
      </c>
      <c r="B16" s="21" t="s">
        <v>214</v>
      </c>
      <c r="C16" s="20" t="s">
        <v>210</v>
      </c>
      <c r="D16" s="26">
        <v>90</v>
      </c>
      <c r="E16" s="20">
        <v>3</v>
      </c>
      <c r="F16" s="26" t="s">
        <v>132</v>
      </c>
      <c r="G16" s="21" t="s">
        <v>215</v>
      </c>
      <c r="H16" s="21" t="s">
        <v>216</v>
      </c>
      <c r="I16" s="21" t="s">
        <v>217</v>
      </c>
    </row>
    <row r="17" spans="1:9" ht="16.5" customHeight="1">
      <c r="A17" s="20">
        <v>3</v>
      </c>
      <c r="B17" s="21" t="s">
        <v>218</v>
      </c>
      <c r="C17" s="20" t="s">
        <v>215</v>
      </c>
      <c r="D17" s="20">
        <v>15</v>
      </c>
      <c r="E17" s="20">
        <v>4</v>
      </c>
      <c r="F17" s="26" t="s">
        <v>219</v>
      </c>
      <c r="G17" s="21" t="s">
        <v>220</v>
      </c>
      <c r="H17" s="21" t="s">
        <v>221</v>
      </c>
      <c r="I17" s="21" t="s">
        <v>222</v>
      </c>
    </row>
    <row r="18" spans="1:9" ht="16.5" customHeight="1">
      <c r="A18" s="20">
        <v>4</v>
      </c>
      <c r="B18" s="21" t="s">
        <v>223</v>
      </c>
      <c r="C18" s="20" t="s">
        <v>224</v>
      </c>
      <c r="D18" s="26">
        <v>35</v>
      </c>
      <c r="E18" s="20">
        <v>4</v>
      </c>
      <c r="F18" s="26" t="s">
        <v>194</v>
      </c>
      <c r="G18" s="21"/>
      <c r="H18" s="21" t="s">
        <v>225</v>
      </c>
      <c r="I18" s="21" t="s">
        <v>226</v>
      </c>
    </row>
    <row r="19" spans="1:9" ht="16.5" customHeight="1">
      <c r="A19" s="20">
        <v>5</v>
      </c>
      <c r="B19" s="21" t="s">
        <v>227</v>
      </c>
      <c r="C19" s="20" t="s">
        <v>228</v>
      </c>
      <c r="D19" s="26">
        <v>32</v>
      </c>
      <c r="E19" s="20">
        <v>4</v>
      </c>
      <c r="F19" s="26" t="s">
        <v>145</v>
      </c>
      <c r="G19" s="21"/>
      <c r="H19" s="21" t="s">
        <v>229</v>
      </c>
      <c r="I19" s="21" t="s">
        <v>230</v>
      </c>
    </row>
    <row r="20" spans="1:9" ht="16.5" customHeight="1">
      <c r="A20" s="20">
        <v>6</v>
      </c>
      <c r="B20" s="21" t="s">
        <v>231</v>
      </c>
      <c r="C20" s="20" t="s">
        <v>232</v>
      </c>
      <c r="D20" s="26" t="s">
        <v>63</v>
      </c>
      <c r="E20" s="20">
        <v>0</v>
      </c>
      <c r="F20" s="26" t="s">
        <v>233</v>
      </c>
      <c r="G20" s="21"/>
      <c r="H20" s="21" t="s">
        <v>234</v>
      </c>
      <c r="I20" s="21" t="s">
        <v>235</v>
      </c>
    </row>
    <row r="21" spans="1:9" ht="16.5" customHeight="1">
      <c r="A21" s="20">
        <v>7</v>
      </c>
      <c r="B21" s="21" t="s">
        <v>236</v>
      </c>
      <c r="C21" s="20" t="s">
        <v>237</v>
      </c>
      <c r="D21" s="26" t="s">
        <v>63</v>
      </c>
      <c r="E21" s="20">
        <v>3</v>
      </c>
      <c r="F21" s="26" t="s">
        <v>145</v>
      </c>
      <c r="G21" s="21"/>
      <c r="H21" s="21" t="s">
        <v>238</v>
      </c>
      <c r="I21" s="21" t="s">
        <v>239</v>
      </c>
    </row>
    <row r="22" spans="1:9" ht="15" customHeight="1">
      <c r="A22" s="20">
        <v>8</v>
      </c>
      <c r="B22" s="36" t="s">
        <v>240</v>
      </c>
      <c r="C22" s="20" t="s">
        <v>162</v>
      </c>
      <c r="D22" s="26">
        <v>5</v>
      </c>
      <c r="E22" s="20">
        <v>2</v>
      </c>
      <c r="F22" s="26" t="s">
        <v>241</v>
      </c>
      <c r="G22" s="21"/>
      <c r="H22" s="21" t="s">
        <v>242</v>
      </c>
      <c r="I22" s="21" t="s">
        <v>243</v>
      </c>
    </row>
    <row r="23" spans="1:9" ht="15" customHeight="1">
      <c r="D23" s="3" t="s">
        <v>171</v>
      </c>
      <c r="E23" s="27">
        <f>SUM(E15:E22)</f>
        <v>25</v>
      </c>
    </row>
  </sheetData>
  <phoneticPr fontId="43" type="noConversion"/>
  <conditionalFormatting sqref="A15:K22">
    <cfRule type="expression" dxfId="3" priority="2">
      <formula>$E15=0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zoomScaleNormal="100" workbookViewId="0">
      <pane ySplit="5" topLeftCell="A6" activePane="bottomLeft" state="frozen"/>
      <selection pane="bottomLeft" activeCell="D14" sqref="D14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9" ht="19.5" customHeight="1">
      <c r="A1" s="17" t="s">
        <v>244</v>
      </c>
    </row>
    <row r="2" spans="1:9" ht="16.5" customHeight="1">
      <c r="A2" s="18" t="s">
        <v>245</v>
      </c>
    </row>
    <row r="3" spans="1:9">
      <c r="A3" s="33" t="s">
        <v>246</v>
      </c>
    </row>
    <row r="4" spans="1:9" ht="15" customHeight="1">
      <c r="A4" s="3" t="s">
        <v>117</v>
      </c>
    </row>
    <row r="5" spans="1:9" ht="16.5" customHeight="1">
      <c r="A5" s="34" t="s">
        <v>118</v>
      </c>
      <c r="B5" s="35" t="s">
        <v>4</v>
      </c>
      <c r="C5" s="35" t="s">
        <v>119</v>
      </c>
      <c r="D5" s="35" t="s">
        <v>120</v>
      </c>
      <c r="E5" s="35" t="s">
        <v>59</v>
      </c>
      <c r="F5" s="35" t="s">
        <v>121</v>
      </c>
      <c r="G5" s="35" t="s">
        <v>122</v>
      </c>
      <c r="H5" s="35" t="s">
        <v>123</v>
      </c>
      <c r="I5" s="35" t="s">
        <v>124</v>
      </c>
    </row>
    <row r="6" spans="1:9" ht="16.5" customHeight="1">
      <c r="A6" s="20">
        <v>1</v>
      </c>
      <c r="B6" s="21" t="s">
        <v>247</v>
      </c>
      <c r="C6" s="20" t="s">
        <v>126</v>
      </c>
      <c r="D6" s="26">
        <v>30</v>
      </c>
      <c r="E6" s="20">
        <v>4</v>
      </c>
      <c r="F6" s="26" t="s">
        <v>138</v>
      </c>
      <c r="G6" s="21" t="s">
        <v>248</v>
      </c>
      <c r="H6" s="21" t="s">
        <v>249</v>
      </c>
      <c r="I6" s="21" t="s">
        <v>250</v>
      </c>
    </row>
    <row r="7" spans="1:9" ht="16.5" customHeight="1">
      <c r="A7" s="20">
        <v>2</v>
      </c>
      <c r="B7" s="21" t="s">
        <v>251</v>
      </c>
      <c r="C7" s="20" t="s">
        <v>126</v>
      </c>
      <c r="D7" s="26">
        <v>32</v>
      </c>
      <c r="E7" s="20">
        <v>3</v>
      </c>
      <c r="F7" s="26" t="s">
        <v>132</v>
      </c>
      <c r="G7" s="21" t="s">
        <v>248</v>
      </c>
      <c r="H7" s="21" t="s">
        <v>252</v>
      </c>
      <c r="I7" s="21" t="s">
        <v>253</v>
      </c>
    </row>
    <row r="8" spans="1:9" ht="16.5" customHeight="1">
      <c r="A8" s="20">
        <v>3</v>
      </c>
      <c r="B8" s="21" t="s">
        <v>254</v>
      </c>
      <c r="C8" s="20" t="s">
        <v>143</v>
      </c>
      <c r="D8" s="20">
        <v>27</v>
      </c>
      <c r="E8" s="20">
        <v>4</v>
      </c>
      <c r="F8" s="26" t="s">
        <v>145</v>
      </c>
      <c r="G8" s="21" t="s">
        <v>255</v>
      </c>
      <c r="H8" s="21" t="s">
        <v>256</v>
      </c>
      <c r="I8" s="21" t="s">
        <v>257</v>
      </c>
    </row>
    <row r="9" spans="1:9" ht="16.5" customHeight="1">
      <c r="A9" s="20">
        <v>4</v>
      </c>
      <c r="B9" s="21" t="s">
        <v>258</v>
      </c>
      <c r="C9" s="20" t="s">
        <v>205</v>
      </c>
      <c r="D9" s="26" t="s">
        <v>145</v>
      </c>
      <c r="E9" s="20">
        <v>0</v>
      </c>
      <c r="F9" s="26" t="s">
        <v>167</v>
      </c>
      <c r="G9" s="21" t="s">
        <v>259</v>
      </c>
      <c r="H9" s="21" t="s">
        <v>260</v>
      </c>
      <c r="I9" s="21" t="s">
        <v>261</v>
      </c>
    </row>
    <row r="10" spans="1:9" ht="16.5" customHeight="1">
      <c r="A10" s="20">
        <v>5</v>
      </c>
      <c r="B10" s="21" t="s">
        <v>262</v>
      </c>
      <c r="C10" s="20" t="s">
        <v>128</v>
      </c>
      <c r="D10" s="26">
        <v>20</v>
      </c>
      <c r="E10" s="20">
        <v>3</v>
      </c>
      <c r="F10" s="26" t="s">
        <v>132</v>
      </c>
      <c r="G10" s="21" t="s">
        <v>151</v>
      </c>
      <c r="H10" s="21" t="s">
        <v>264</v>
      </c>
      <c r="I10" s="22" t="s">
        <v>265</v>
      </c>
    </row>
    <row r="11" spans="1:9" ht="16.5" customHeight="1">
      <c r="A11" s="20">
        <v>6</v>
      </c>
      <c r="B11" s="21" t="s">
        <v>266</v>
      </c>
      <c r="C11" s="20" t="s">
        <v>151</v>
      </c>
      <c r="D11" s="20">
        <v>8</v>
      </c>
      <c r="E11" s="20">
        <v>3</v>
      </c>
      <c r="F11" s="26" t="s">
        <v>158</v>
      </c>
      <c r="G11" s="21"/>
      <c r="H11" s="21" t="s">
        <v>267</v>
      </c>
      <c r="I11" s="21" t="s">
        <v>268</v>
      </c>
    </row>
    <row r="12" spans="1:9" ht="16.5" customHeight="1">
      <c r="A12" s="20">
        <v>7</v>
      </c>
      <c r="B12" s="21" t="s">
        <v>269</v>
      </c>
      <c r="C12" s="20" t="s">
        <v>270</v>
      </c>
      <c r="D12" s="20">
        <v>10</v>
      </c>
      <c r="E12" s="20">
        <v>2</v>
      </c>
      <c r="F12" s="26" t="s">
        <v>194</v>
      </c>
      <c r="G12" s="21" t="s">
        <v>271</v>
      </c>
      <c r="H12" s="21" t="s">
        <v>272</v>
      </c>
      <c r="I12" s="21" t="s">
        <v>273</v>
      </c>
    </row>
    <row r="13" spans="1:9" ht="15" customHeight="1">
      <c r="A13" s="20">
        <v>8</v>
      </c>
      <c r="B13" s="21" t="s">
        <v>274</v>
      </c>
      <c r="C13" s="20" t="s">
        <v>162</v>
      </c>
      <c r="D13" s="20">
        <v>5</v>
      </c>
      <c r="E13" s="20">
        <v>3</v>
      </c>
      <c r="F13" s="26" t="s">
        <v>167</v>
      </c>
      <c r="G13" s="21"/>
      <c r="H13" s="21" t="s">
        <v>275</v>
      </c>
      <c r="I13" s="21" t="s">
        <v>276</v>
      </c>
    </row>
    <row r="14" spans="1:9" ht="15" customHeight="1">
      <c r="D14" s="3" t="s">
        <v>171</v>
      </c>
      <c r="E14" s="27">
        <f>SUM(E6:E13)</f>
        <v>22</v>
      </c>
    </row>
  </sheetData>
  <phoneticPr fontId="43" type="noConversion"/>
  <conditionalFormatting sqref="A6:K13">
    <cfRule type="expression" dxfId="2" priority="2">
      <formula>$E6=0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8"/>
  <sheetViews>
    <sheetView zoomScaleNormal="100" workbookViewId="0">
      <pane ySplit="19" topLeftCell="A20" activePane="bottomLeft" state="frozen"/>
      <selection pane="bottomLeft" activeCell="H41" sqref="H41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3" ht="19.5" customHeight="1">
      <c r="A1" s="17" t="s">
        <v>277</v>
      </c>
    </row>
    <row r="2" spans="1:3" ht="16.5" customHeight="1">
      <c r="A2" s="18" t="s">
        <v>278</v>
      </c>
    </row>
    <row r="4" spans="1:3" ht="16.5" customHeight="1">
      <c r="A4" s="3" t="s">
        <v>279</v>
      </c>
    </row>
    <row r="5" spans="1:3" ht="16.5" customHeight="1">
      <c r="A5" s="19" t="s">
        <v>120</v>
      </c>
      <c r="B5" s="19" t="s">
        <v>175</v>
      </c>
      <c r="C5" s="19" t="s">
        <v>59</v>
      </c>
    </row>
    <row r="6" spans="1:3" ht="15" customHeight="1">
      <c r="A6" s="20">
        <f>MAX(20,MROUND(시작중량_설정!$E$10*0.4,2.5))</f>
        <v>20</v>
      </c>
      <c r="B6" s="20">
        <v>5</v>
      </c>
      <c r="C6" s="20">
        <v>2</v>
      </c>
    </row>
    <row r="7" spans="1:3" ht="15" customHeight="1">
      <c r="A7" s="20" t="str">
        <f>IF(MAX(20,MROUND(시작중량_설정!$E$10*0.6,2.5))&lt;=MAX(20,MROUND(시작중량_설정!$E$10*0.4,2.5)),"생략",MAX(20,MROUND(시작중량_설정!$E$10*0.6,2.5)))</f>
        <v>생략</v>
      </c>
      <c r="B7" s="20">
        <v>5</v>
      </c>
      <c r="C7" s="20">
        <v>1</v>
      </c>
    </row>
    <row r="8" spans="1:3" ht="15" customHeight="1">
      <c r="A8" s="20" t="str">
        <f>IF(MAX(20,MROUND(시작중량_설정!$E$10*0.75,2.5))&lt;=MAX(20,MROUND(시작중량_설정!$E$10*0.6,2.5)),"생략",MAX(20,MROUND(시작중량_설정!$E$10*0.75,2.5)))</f>
        <v>생략</v>
      </c>
      <c r="B8" s="20">
        <v>3</v>
      </c>
      <c r="C8" s="20">
        <v>1</v>
      </c>
    </row>
    <row r="9" spans="1:3" ht="15" customHeight="1">
      <c r="A9" s="20" t="str">
        <f>IF(MAX(20,MROUND(시작중량_설정!$E$10*0.9,2.5))&lt;=MAX(20,MROUND(시작중량_설정!$E$10*0.75,2.5)),"생략",MAX(20,MROUND(시작중량_설정!$E$10*0.9,2.5)))</f>
        <v>생략</v>
      </c>
      <c r="B9" s="20">
        <v>2</v>
      </c>
      <c r="C9" s="20">
        <v>1</v>
      </c>
    </row>
    <row r="10" spans="1:3" ht="15" customHeight="1">
      <c r="A10" s="39">
        <f>시작중량_설정!$E$10</f>
        <v>21.25</v>
      </c>
      <c r="B10" s="27">
        <v>5</v>
      </c>
      <c r="C10" s="27">
        <v>3</v>
      </c>
    </row>
    <row r="11" spans="1:3" ht="16.5" customHeight="1">
      <c r="A11" s="31" t="s">
        <v>176</v>
      </c>
    </row>
    <row r="13" spans="1:3" ht="16.5" customHeight="1">
      <c r="A13" s="3" t="s">
        <v>177</v>
      </c>
    </row>
    <row r="14" spans="1:3" ht="16.5" customHeight="1">
      <c r="A14" s="31" t="s">
        <v>178</v>
      </c>
    </row>
    <row r="15" spans="1:3" ht="16.5" customHeight="1">
      <c r="A15" s="31" t="s">
        <v>179</v>
      </c>
    </row>
    <row r="16" spans="1:3" ht="16.5" customHeight="1">
      <c r="A16" s="31" t="s">
        <v>180</v>
      </c>
    </row>
    <row r="18" spans="1:9" ht="15" customHeight="1">
      <c r="A18" s="3" t="s">
        <v>117</v>
      </c>
    </row>
    <row r="19" spans="1:9" ht="16.5" customHeight="1">
      <c r="A19" s="34" t="s">
        <v>118</v>
      </c>
      <c r="B19" s="35" t="s">
        <v>4</v>
      </c>
      <c r="C19" s="35" t="s">
        <v>119</v>
      </c>
      <c r="D19" s="35" t="s">
        <v>120</v>
      </c>
      <c r="E19" s="35" t="s">
        <v>59</v>
      </c>
      <c r="F19" s="35" t="s">
        <v>121</v>
      </c>
      <c r="G19" s="35" t="s">
        <v>122</v>
      </c>
      <c r="H19" s="35" t="s">
        <v>123</v>
      </c>
      <c r="I19" s="35" t="s">
        <v>124</v>
      </c>
    </row>
    <row r="20" spans="1:9" ht="16.5" customHeight="1">
      <c r="A20" s="42">
        <v>1</v>
      </c>
      <c r="B20" s="41" t="s">
        <v>280</v>
      </c>
      <c r="C20" s="42" t="s">
        <v>281</v>
      </c>
      <c r="D20" s="43">
        <f>시작중량_설정!$E$10</f>
        <v>21.25</v>
      </c>
      <c r="E20" s="42">
        <v>3</v>
      </c>
      <c r="F20" s="40" t="s">
        <v>183</v>
      </c>
      <c r="G20" s="41" t="s">
        <v>282</v>
      </c>
      <c r="H20" s="41" t="s">
        <v>283</v>
      </c>
      <c r="I20" s="41" t="s">
        <v>284</v>
      </c>
    </row>
    <row r="21" spans="1:9" ht="16.5" customHeight="1">
      <c r="A21" s="20">
        <v>2</v>
      </c>
      <c r="B21" s="21" t="s">
        <v>285</v>
      </c>
      <c r="C21" s="20" t="s">
        <v>281</v>
      </c>
      <c r="D21" s="20">
        <v>15</v>
      </c>
      <c r="E21" s="20">
        <v>3</v>
      </c>
      <c r="F21" s="26" t="s">
        <v>167</v>
      </c>
      <c r="G21" s="21" t="s">
        <v>286</v>
      </c>
      <c r="H21" s="21" t="s">
        <v>287</v>
      </c>
      <c r="I21" s="21" t="s">
        <v>288</v>
      </c>
    </row>
    <row r="22" spans="1:9" ht="16.5" customHeight="1">
      <c r="A22" s="20">
        <v>3</v>
      </c>
      <c r="B22" s="36" t="s">
        <v>289</v>
      </c>
      <c r="C22" s="20" t="s">
        <v>136</v>
      </c>
      <c r="D22" s="20">
        <v>10</v>
      </c>
      <c r="E22" s="20">
        <v>3</v>
      </c>
      <c r="F22" s="26" t="s">
        <v>145</v>
      </c>
      <c r="G22" s="21" t="s">
        <v>139</v>
      </c>
      <c r="H22" s="21" t="s">
        <v>290</v>
      </c>
      <c r="I22" s="21" t="s">
        <v>291</v>
      </c>
    </row>
    <row r="23" spans="1:9" ht="16.5" customHeight="1">
      <c r="A23" s="20">
        <v>4</v>
      </c>
      <c r="B23" s="21" t="s">
        <v>292</v>
      </c>
      <c r="C23" s="20" t="s">
        <v>182</v>
      </c>
      <c r="D23" s="26">
        <v>15</v>
      </c>
      <c r="E23" s="20">
        <v>2</v>
      </c>
      <c r="F23" s="26" t="s">
        <v>132</v>
      </c>
      <c r="G23" s="21" t="s">
        <v>189</v>
      </c>
      <c r="H23" s="21" t="s">
        <v>294</v>
      </c>
      <c r="I23" s="21" t="s">
        <v>295</v>
      </c>
    </row>
    <row r="24" spans="1:9" ht="16.5" customHeight="1">
      <c r="A24" s="20">
        <v>5</v>
      </c>
      <c r="B24" s="21" t="s">
        <v>296</v>
      </c>
      <c r="C24" s="20" t="s">
        <v>193</v>
      </c>
      <c r="D24" s="26">
        <v>30</v>
      </c>
      <c r="E24" s="20">
        <v>4</v>
      </c>
      <c r="F24" s="26" t="s">
        <v>138</v>
      </c>
      <c r="G24" s="21" t="s">
        <v>184</v>
      </c>
      <c r="H24" s="21" t="s">
        <v>298</v>
      </c>
      <c r="I24" s="21" t="s">
        <v>299</v>
      </c>
    </row>
    <row r="25" spans="1:9" ht="16.5" customHeight="1">
      <c r="A25" s="20">
        <v>6</v>
      </c>
      <c r="B25" s="21" t="s">
        <v>300</v>
      </c>
      <c r="C25" s="20" t="s">
        <v>205</v>
      </c>
      <c r="D25" s="26">
        <v>10</v>
      </c>
      <c r="E25" s="20">
        <v>3</v>
      </c>
      <c r="F25" s="26" t="s">
        <v>145</v>
      </c>
      <c r="G25" s="21"/>
      <c r="H25" s="21" t="s">
        <v>301</v>
      </c>
      <c r="I25" s="21" t="s">
        <v>302</v>
      </c>
    </row>
    <row r="26" spans="1:9" ht="16.5" customHeight="1">
      <c r="A26" s="20">
        <v>7</v>
      </c>
      <c r="B26" s="21" t="s">
        <v>303</v>
      </c>
      <c r="C26" s="20" t="s">
        <v>201</v>
      </c>
      <c r="D26" s="26">
        <v>5</v>
      </c>
      <c r="E26" s="20">
        <v>3</v>
      </c>
      <c r="F26" s="26" t="s">
        <v>194</v>
      </c>
      <c r="G26" s="21"/>
      <c r="H26" s="21" t="s">
        <v>304</v>
      </c>
      <c r="I26" s="21" t="s">
        <v>305</v>
      </c>
    </row>
    <row r="27" spans="1:9" ht="16.5" customHeight="1">
      <c r="A27" s="20">
        <v>8</v>
      </c>
      <c r="B27" s="21" t="s">
        <v>306</v>
      </c>
      <c r="C27" s="20" t="s">
        <v>136</v>
      </c>
      <c r="D27" s="26" t="s">
        <v>307</v>
      </c>
      <c r="E27" s="20">
        <v>0</v>
      </c>
      <c r="F27" s="26" t="s">
        <v>145</v>
      </c>
      <c r="G27" s="21" t="s">
        <v>255</v>
      </c>
      <c r="H27" s="21" t="s">
        <v>308</v>
      </c>
      <c r="I27" s="21" t="s">
        <v>309</v>
      </c>
    </row>
    <row r="28" spans="1:9" ht="15" customHeight="1">
      <c r="A28" s="20">
        <v>9</v>
      </c>
      <c r="B28" s="21" t="s">
        <v>197</v>
      </c>
      <c r="C28" s="20" t="s">
        <v>189</v>
      </c>
      <c r="D28" s="26">
        <v>15</v>
      </c>
      <c r="E28" s="20">
        <v>4</v>
      </c>
      <c r="F28" s="26" t="s">
        <v>132</v>
      </c>
      <c r="G28" s="21"/>
      <c r="H28" s="21" t="s">
        <v>310</v>
      </c>
      <c r="I28" s="21" t="s">
        <v>311</v>
      </c>
    </row>
    <row r="29" spans="1:9" ht="15" customHeight="1">
      <c r="D29" s="46" t="s">
        <v>171</v>
      </c>
      <c r="E29" s="47">
        <f>SUM(E20:E28)</f>
        <v>25</v>
      </c>
    </row>
    <row r="31" spans="1:9" ht="16.5" customHeight="1">
      <c r="A31" s="3" t="s">
        <v>312</v>
      </c>
    </row>
    <row r="32" spans="1:9" ht="16.5" customHeight="1">
      <c r="A32" s="31" t="s">
        <v>313</v>
      </c>
    </row>
    <row r="33" spans="1:1" ht="16.5" customHeight="1">
      <c r="A33" s="31" t="s">
        <v>314</v>
      </c>
    </row>
    <row r="34" spans="1:1" ht="16.5" customHeight="1">
      <c r="A34" s="31" t="s">
        <v>315</v>
      </c>
    </row>
    <row r="35" spans="1:1" ht="16.5" customHeight="1">
      <c r="A35" s="31" t="s">
        <v>316</v>
      </c>
    </row>
    <row r="36" spans="1:1" ht="16.5" customHeight="1">
      <c r="A36" s="31" t="s">
        <v>317</v>
      </c>
    </row>
    <row r="37" spans="1:1" ht="16.5" customHeight="1">
      <c r="A37" s="31" t="s">
        <v>318</v>
      </c>
    </row>
    <row r="38" spans="1:1" ht="16.5" customHeight="1">
      <c r="A38" s="31" t="s">
        <v>319</v>
      </c>
    </row>
  </sheetData>
  <phoneticPr fontId="43" type="noConversion"/>
  <conditionalFormatting sqref="A20:K28">
    <cfRule type="expression" dxfId="1" priority="2">
      <formula>$E20=0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4"/>
  <sheetViews>
    <sheetView zoomScaleNormal="100" workbookViewId="0">
      <pane ySplit="14" topLeftCell="A15" activePane="bottomLeft" state="frozen"/>
      <selection pane="bottomLeft" activeCell="G28" sqref="G28"/>
    </sheetView>
  </sheetViews>
  <sheetFormatPr defaultColWidth="8.7109375" defaultRowHeight="15"/>
  <cols>
    <col min="1" max="1" width="7.1406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9" ht="19.5" customHeight="1">
      <c r="A1" s="17" t="s">
        <v>320</v>
      </c>
    </row>
    <row r="2" spans="1:9" ht="16.5" customHeight="1">
      <c r="A2" s="18" t="s">
        <v>321</v>
      </c>
    </row>
    <row r="4" spans="1:9" ht="16.5" customHeight="1">
      <c r="A4" s="3" t="s">
        <v>322</v>
      </c>
    </row>
    <row r="5" spans="1:9" ht="16.5" customHeight="1">
      <c r="A5" s="19" t="s">
        <v>120</v>
      </c>
      <c r="B5" s="19" t="s">
        <v>175</v>
      </c>
      <c r="C5" s="19" t="s">
        <v>59</v>
      </c>
    </row>
    <row r="6" spans="1:9" ht="15" customHeight="1">
      <c r="A6" s="20">
        <f>MAX(20,MROUND(시작중량_설정!$E$8*0.4,2.5))</f>
        <v>20</v>
      </c>
      <c r="B6" s="20">
        <v>5</v>
      </c>
      <c r="C6" s="20">
        <v>2</v>
      </c>
    </row>
    <row r="7" spans="1:9" ht="15" customHeight="1">
      <c r="A7" s="20">
        <f>IF(MAX(20,MROUND(시작중량_설정!$E$8*0.6,2.5))&lt;=MAX(20,MROUND(시작중량_설정!$E$8*0.4,2.5)),"생략",MAX(20,MROUND(시작중량_설정!$E$8*0.6,2.5)))</f>
        <v>27.5</v>
      </c>
      <c r="B7" s="20">
        <v>5</v>
      </c>
      <c r="C7" s="20">
        <v>1</v>
      </c>
    </row>
    <row r="8" spans="1:9" ht="15" customHeight="1">
      <c r="A8" s="20">
        <f>IF(MAX(20,MROUND(시작중량_설정!$E$8*0.75,2.5))&lt;=MAX(20,MROUND(시작중량_설정!$E$8*0.6,2.5)),"생략",MAX(20,MROUND(시작중량_설정!$E$8*0.75,2.5)))</f>
        <v>35</v>
      </c>
      <c r="B8" s="20">
        <v>3</v>
      </c>
      <c r="C8" s="20">
        <v>1</v>
      </c>
    </row>
    <row r="9" spans="1:9" ht="15" customHeight="1">
      <c r="A9" s="20">
        <f>IF(MAX(20,MROUND(시작중량_설정!$E$8*0.9,2.5))&lt;=MAX(20,MROUND(시작중량_설정!$E$8*0.75,2.5)),"생략",MAX(20,MROUND(시작중량_설정!$E$8*0.9,2.5)))</f>
        <v>42.5</v>
      </c>
      <c r="B9" s="20">
        <v>2</v>
      </c>
      <c r="C9" s="20">
        <v>1</v>
      </c>
    </row>
    <row r="10" spans="1:9" ht="15" customHeight="1">
      <c r="A10" s="39">
        <f>시작중량_설정!$E$8</f>
        <v>47.5</v>
      </c>
      <c r="B10" s="27">
        <v>5</v>
      </c>
      <c r="C10" s="27">
        <v>1</v>
      </c>
    </row>
    <row r="11" spans="1:9" ht="16.5" customHeight="1">
      <c r="A11" s="31" t="s">
        <v>176</v>
      </c>
    </row>
    <row r="13" spans="1:9" ht="15" customHeight="1">
      <c r="A13" s="3" t="s">
        <v>117</v>
      </c>
    </row>
    <row r="14" spans="1:9" ht="16.5" customHeight="1">
      <c r="A14" s="34" t="s">
        <v>118</v>
      </c>
      <c r="B14" s="35" t="s">
        <v>4</v>
      </c>
      <c r="C14" s="35" t="s">
        <v>119</v>
      </c>
      <c r="D14" s="35" t="s">
        <v>120</v>
      </c>
      <c r="E14" s="35" t="s">
        <v>59</v>
      </c>
      <c r="F14" s="35" t="s">
        <v>121</v>
      </c>
      <c r="G14" s="35" t="s">
        <v>122</v>
      </c>
      <c r="H14" s="35" t="s">
        <v>123</v>
      </c>
      <c r="I14" s="35" t="s">
        <v>124</v>
      </c>
    </row>
    <row r="15" spans="1:9" ht="16.5" customHeight="1">
      <c r="A15" s="42">
        <v>1</v>
      </c>
      <c r="B15" s="41" t="s">
        <v>323</v>
      </c>
      <c r="C15" s="42" t="s">
        <v>166</v>
      </c>
      <c r="D15" s="43">
        <f>시작중량_설정!$E$8</f>
        <v>47.5</v>
      </c>
      <c r="E15" s="42">
        <v>1</v>
      </c>
      <c r="F15" s="40" t="s">
        <v>183</v>
      </c>
      <c r="G15" s="41" t="s">
        <v>324</v>
      </c>
      <c r="H15" s="41" t="s">
        <v>325</v>
      </c>
      <c r="I15" s="41" t="s">
        <v>326</v>
      </c>
    </row>
    <row r="16" spans="1:9" ht="16.5" customHeight="1">
      <c r="A16" s="20">
        <v>2</v>
      </c>
      <c r="B16" s="21" t="s">
        <v>327</v>
      </c>
      <c r="C16" s="20" t="s">
        <v>215</v>
      </c>
      <c r="D16" s="26">
        <v>25</v>
      </c>
      <c r="E16" s="20">
        <v>4</v>
      </c>
      <c r="F16" s="26" t="s">
        <v>132</v>
      </c>
      <c r="G16" s="21" t="s">
        <v>224</v>
      </c>
      <c r="H16" s="21" t="s">
        <v>328</v>
      </c>
      <c r="I16" s="21" t="s">
        <v>329</v>
      </c>
    </row>
    <row r="17" spans="1:9" ht="16.5" customHeight="1">
      <c r="A17" s="20">
        <v>3</v>
      </c>
      <c r="B17" s="21" t="s">
        <v>330</v>
      </c>
      <c r="C17" s="20" t="s">
        <v>224</v>
      </c>
      <c r="D17" s="20">
        <v>35</v>
      </c>
      <c r="E17" s="20">
        <v>3</v>
      </c>
      <c r="F17" s="26" t="s">
        <v>331</v>
      </c>
      <c r="G17" s="21" t="s">
        <v>211</v>
      </c>
      <c r="H17" s="21" t="s">
        <v>332</v>
      </c>
      <c r="I17" s="21" t="s">
        <v>333</v>
      </c>
    </row>
    <row r="18" spans="1:9" ht="16.5" customHeight="1">
      <c r="A18" s="20">
        <v>4</v>
      </c>
      <c r="B18" s="21" t="s">
        <v>334</v>
      </c>
      <c r="C18" s="20" t="s">
        <v>224</v>
      </c>
      <c r="D18" s="26">
        <v>15</v>
      </c>
      <c r="E18" s="20">
        <v>3</v>
      </c>
      <c r="F18" s="26" t="s">
        <v>335</v>
      </c>
      <c r="G18" s="21"/>
      <c r="H18" s="21" t="s">
        <v>336</v>
      </c>
      <c r="I18" s="21" t="s">
        <v>337</v>
      </c>
    </row>
    <row r="19" spans="1:9" ht="16.5" customHeight="1">
      <c r="A19" s="20">
        <v>5</v>
      </c>
      <c r="B19" s="21" t="s">
        <v>338</v>
      </c>
      <c r="C19" s="20" t="s">
        <v>210</v>
      </c>
      <c r="D19" s="26">
        <v>42</v>
      </c>
      <c r="E19" s="20">
        <v>4</v>
      </c>
      <c r="F19" s="26" t="s">
        <v>194</v>
      </c>
      <c r="G19" s="21"/>
      <c r="H19" s="21" t="s">
        <v>339</v>
      </c>
      <c r="I19" s="21" t="s">
        <v>340</v>
      </c>
    </row>
    <row r="20" spans="1:9" ht="16.5" customHeight="1">
      <c r="A20" s="20">
        <v>6</v>
      </c>
      <c r="B20" s="21" t="s">
        <v>214</v>
      </c>
      <c r="C20" s="20" t="s">
        <v>210</v>
      </c>
      <c r="D20" s="26">
        <v>90</v>
      </c>
      <c r="E20" s="20">
        <v>3</v>
      </c>
      <c r="F20" s="26" t="s">
        <v>132</v>
      </c>
      <c r="G20" s="21" t="s">
        <v>215</v>
      </c>
      <c r="H20" s="21" t="s">
        <v>341</v>
      </c>
      <c r="I20" s="21" t="s">
        <v>342</v>
      </c>
    </row>
    <row r="21" spans="1:9" ht="16.5" customHeight="1">
      <c r="A21" s="20">
        <v>7</v>
      </c>
      <c r="B21" s="21" t="s">
        <v>343</v>
      </c>
      <c r="C21" s="20" t="s">
        <v>237</v>
      </c>
      <c r="D21" s="26">
        <v>8</v>
      </c>
      <c r="E21" s="20">
        <v>3</v>
      </c>
      <c r="F21" s="26" t="s">
        <v>145</v>
      </c>
      <c r="G21" s="21"/>
      <c r="H21" s="21" t="s">
        <v>344</v>
      </c>
      <c r="I21" s="21" t="s">
        <v>345</v>
      </c>
    </row>
    <row r="22" spans="1:9" ht="16.5" customHeight="1">
      <c r="A22" s="20">
        <v>8</v>
      </c>
      <c r="B22" s="21" t="s">
        <v>231</v>
      </c>
      <c r="C22" s="20" t="s">
        <v>232</v>
      </c>
      <c r="D22" s="26">
        <v>15</v>
      </c>
      <c r="E22" s="20">
        <v>3</v>
      </c>
      <c r="F22" s="26" t="s">
        <v>233</v>
      </c>
      <c r="G22" s="21"/>
      <c r="H22" s="21" t="s">
        <v>346</v>
      </c>
      <c r="I22" s="21" t="s">
        <v>235</v>
      </c>
    </row>
    <row r="23" spans="1:9" ht="16.5" customHeight="1">
      <c r="D23" s="3" t="s">
        <v>171</v>
      </c>
      <c r="E23" s="27">
        <f>SUM(E15:E22)</f>
        <v>24</v>
      </c>
    </row>
    <row r="24" spans="1:9" ht="15" customHeight="1"/>
  </sheetData>
  <phoneticPr fontId="43" type="noConversion"/>
  <conditionalFormatting sqref="A15:K22">
    <cfRule type="expression" dxfId="0" priority="2">
      <formula>$E15=0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8"/>
  <sheetViews>
    <sheetView topLeftCell="A8" zoomScaleNormal="100" workbookViewId="0">
      <selection activeCell="P37" sqref="P37"/>
    </sheetView>
  </sheetViews>
  <sheetFormatPr defaultColWidth="8.7109375" defaultRowHeight="15"/>
  <cols>
    <col min="1" max="1" width="14" customWidth="1"/>
    <col min="2" max="2" width="26" customWidth="1"/>
    <col min="3" max="3" width="18" customWidth="1"/>
    <col min="4" max="4" width="7" customWidth="1"/>
    <col min="5" max="6" width="9" customWidth="1"/>
    <col min="7" max="7" width="7" customWidth="1"/>
    <col min="8" max="8" width="42" customWidth="1"/>
  </cols>
  <sheetData>
    <row r="1" spans="1:8" ht="19.5" customHeight="1">
      <c r="A1" s="17" t="s">
        <v>347</v>
      </c>
    </row>
    <row r="2" spans="1:8" ht="30" customHeight="1">
      <c r="A2" s="86" t="s">
        <v>348</v>
      </c>
      <c r="B2" s="86"/>
      <c r="C2" s="86"/>
      <c r="D2" s="86"/>
      <c r="E2" s="86"/>
      <c r="F2" s="86"/>
      <c r="G2" s="86"/>
      <c r="H2" s="86"/>
    </row>
    <row r="4" spans="1:8" ht="39.75" customHeight="1">
      <c r="A4" s="87" t="s">
        <v>349</v>
      </c>
      <c r="B4" s="87"/>
      <c r="C4" s="87"/>
      <c r="D4" s="87"/>
      <c r="E4" s="87"/>
      <c r="F4" s="87"/>
      <c r="G4" s="87"/>
      <c r="H4" s="87"/>
    </row>
    <row r="6" spans="1:8" ht="15" customHeight="1">
      <c r="A6" s="48" t="s">
        <v>350</v>
      </c>
      <c r="B6" s="48" t="s">
        <v>351</v>
      </c>
      <c r="C6" s="48" t="s">
        <v>352</v>
      </c>
      <c r="D6" s="48" t="s">
        <v>353</v>
      </c>
      <c r="E6" s="48" t="s">
        <v>354</v>
      </c>
      <c r="F6" s="48" t="s">
        <v>355</v>
      </c>
      <c r="G6" s="48" t="s">
        <v>356</v>
      </c>
      <c r="H6" s="48" t="s">
        <v>357</v>
      </c>
    </row>
    <row r="7" spans="1:8" ht="15" customHeight="1">
      <c r="A7" s="49" t="s">
        <v>358</v>
      </c>
      <c r="B7" s="49" t="s">
        <v>125</v>
      </c>
      <c r="C7" s="49" t="s">
        <v>128</v>
      </c>
      <c r="D7" s="50">
        <v>0.5</v>
      </c>
      <c r="E7" s="51">
        <f t="shared" ref="E7:E38" ca="1" si="0">IFERROR(INDEX(INDIRECT("'"&amp;$A7&amp;"'!$E$1:$E$45"),MATCH($B7,INDIRECT("'"&amp;$A7&amp;"'!$B$1:$B$45"),0)),"?")</f>
        <v>4</v>
      </c>
      <c r="F7" s="52">
        <f t="shared" ref="F7:F38" ca="1" si="1">IF(ISNUMBER(E7),$D7*E7,0)</f>
        <v>2</v>
      </c>
      <c r="G7" s="53" t="s">
        <v>359</v>
      </c>
      <c r="H7" s="54" t="s">
        <v>360</v>
      </c>
    </row>
    <row r="8" spans="1:8" ht="15" customHeight="1">
      <c r="A8" s="49" t="s">
        <v>358</v>
      </c>
      <c r="B8" s="49" t="s">
        <v>131</v>
      </c>
      <c r="C8" s="49" t="s">
        <v>128</v>
      </c>
      <c r="D8" s="50">
        <v>0.5</v>
      </c>
      <c r="E8" s="51">
        <f t="shared" ca="1" si="0"/>
        <v>3</v>
      </c>
      <c r="F8" s="52">
        <f t="shared" ca="1" si="1"/>
        <v>1.5</v>
      </c>
      <c r="G8" s="53" t="s">
        <v>359</v>
      </c>
      <c r="H8" s="54" t="s">
        <v>361</v>
      </c>
    </row>
    <row r="9" spans="1:8" ht="15" customHeight="1">
      <c r="A9" s="49" t="s">
        <v>362</v>
      </c>
      <c r="B9" s="49" t="s">
        <v>247</v>
      </c>
      <c r="C9" s="49" t="s">
        <v>128</v>
      </c>
      <c r="D9" s="50">
        <v>0.5</v>
      </c>
      <c r="E9" s="51">
        <f t="shared" ca="1" si="0"/>
        <v>4</v>
      </c>
      <c r="F9" s="52">
        <f t="shared" ca="1" si="1"/>
        <v>2</v>
      </c>
      <c r="G9" s="53" t="s">
        <v>359</v>
      </c>
      <c r="H9" s="54" t="s">
        <v>363</v>
      </c>
    </row>
    <row r="10" spans="1:8" ht="15" customHeight="1">
      <c r="A10" s="49" t="s">
        <v>362</v>
      </c>
      <c r="B10" s="49" t="s">
        <v>251</v>
      </c>
      <c r="C10" s="49" t="s">
        <v>128</v>
      </c>
      <c r="D10" s="50">
        <v>0.5</v>
      </c>
      <c r="E10" s="51">
        <f t="shared" ca="1" si="0"/>
        <v>3</v>
      </c>
      <c r="F10" s="52">
        <f t="shared" ca="1" si="1"/>
        <v>1.5</v>
      </c>
      <c r="G10" s="53" t="s">
        <v>359</v>
      </c>
      <c r="H10" s="54" t="s">
        <v>363</v>
      </c>
    </row>
    <row r="11" spans="1:8" ht="15" customHeight="1">
      <c r="A11" s="49" t="s">
        <v>364</v>
      </c>
      <c r="B11" s="49" t="s">
        <v>181</v>
      </c>
      <c r="C11" s="49" t="s">
        <v>189</v>
      </c>
      <c r="D11" s="50">
        <v>0.5</v>
      </c>
      <c r="E11" s="51">
        <f t="shared" ca="1" si="0"/>
        <v>5</v>
      </c>
      <c r="F11" s="52">
        <f t="shared" ca="1" si="1"/>
        <v>2.5</v>
      </c>
      <c r="G11" s="53" t="s">
        <v>359</v>
      </c>
      <c r="H11" s="54" t="s">
        <v>365</v>
      </c>
    </row>
    <row r="12" spans="1:8" ht="15" customHeight="1">
      <c r="A12" s="49" t="s">
        <v>364</v>
      </c>
      <c r="B12" s="49" t="s">
        <v>187</v>
      </c>
      <c r="C12" s="49" t="s">
        <v>189</v>
      </c>
      <c r="D12" s="50">
        <v>0.5</v>
      </c>
      <c r="E12" s="51">
        <f t="shared" ca="1" si="0"/>
        <v>3</v>
      </c>
      <c r="F12" s="52">
        <f t="shared" ca="1" si="1"/>
        <v>1.5</v>
      </c>
      <c r="G12" s="53" t="s">
        <v>359</v>
      </c>
      <c r="H12" s="54" t="s">
        <v>366</v>
      </c>
    </row>
    <row r="13" spans="1:8" ht="15" customHeight="1">
      <c r="A13" s="49" t="s">
        <v>367</v>
      </c>
      <c r="B13" s="49" t="s">
        <v>280</v>
      </c>
      <c r="C13" s="49" t="s">
        <v>189</v>
      </c>
      <c r="D13" s="50">
        <v>0.5</v>
      </c>
      <c r="E13" s="51">
        <f t="shared" ca="1" si="0"/>
        <v>3</v>
      </c>
      <c r="F13" s="52">
        <f t="shared" ca="1" si="1"/>
        <v>1.5</v>
      </c>
      <c r="G13" s="53" t="s">
        <v>359</v>
      </c>
      <c r="H13" s="54" t="s">
        <v>368</v>
      </c>
    </row>
    <row r="14" spans="1:8" ht="15" customHeight="1">
      <c r="A14" s="49" t="s">
        <v>367</v>
      </c>
      <c r="B14" s="49" t="s">
        <v>296</v>
      </c>
      <c r="C14" s="49" t="s">
        <v>189</v>
      </c>
      <c r="D14" s="50">
        <v>0.5</v>
      </c>
      <c r="E14" s="51">
        <f t="shared" ca="1" si="0"/>
        <v>4</v>
      </c>
      <c r="F14" s="52">
        <f t="shared" ca="1" si="1"/>
        <v>2</v>
      </c>
      <c r="G14" s="53" t="s">
        <v>359</v>
      </c>
      <c r="H14" s="54" t="s">
        <v>369</v>
      </c>
    </row>
    <row r="15" spans="1:8" ht="15" customHeight="1">
      <c r="A15" s="49" t="s">
        <v>358</v>
      </c>
      <c r="B15" s="49" t="s">
        <v>154</v>
      </c>
      <c r="C15" s="49" t="s">
        <v>151</v>
      </c>
      <c r="D15" s="50">
        <v>0.33</v>
      </c>
      <c r="E15" s="51">
        <f t="shared" ca="1" si="0"/>
        <v>3</v>
      </c>
      <c r="F15" s="52">
        <f t="shared" ca="1" si="1"/>
        <v>0.99</v>
      </c>
      <c r="G15" s="53" t="s">
        <v>359</v>
      </c>
      <c r="H15" s="54" t="s">
        <v>370</v>
      </c>
    </row>
    <row r="16" spans="1:8" ht="15" customHeight="1">
      <c r="A16" s="49" t="s">
        <v>358</v>
      </c>
      <c r="B16" s="49" t="s">
        <v>149</v>
      </c>
      <c r="C16" s="49" t="s">
        <v>151</v>
      </c>
      <c r="D16" s="50">
        <v>0.33</v>
      </c>
      <c r="E16" s="51">
        <f t="shared" ca="1" si="0"/>
        <v>0</v>
      </c>
      <c r="F16" s="52">
        <f t="shared" ca="1" si="1"/>
        <v>0</v>
      </c>
      <c r="G16" s="53" t="s">
        <v>359</v>
      </c>
      <c r="H16" s="54" t="s">
        <v>371</v>
      </c>
    </row>
    <row r="17" spans="1:8" ht="15" customHeight="1">
      <c r="A17" s="49" t="s">
        <v>362</v>
      </c>
      <c r="B17" s="49" t="s">
        <v>262</v>
      </c>
      <c r="C17" s="49" t="s">
        <v>151</v>
      </c>
      <c r="D17" s="50">
        <v>0.33</v>
      </c>
      <c r="E17" s="51">
        <f t="shared" ca="1" si="0"/>
        <v>3</v>
      </c>
      <c r="F17" s="52">
        <f t="shared" ca="1" si="1"/>
        <v>0.99</v>
      </c>
      <c r="G17" s="53" t="s">
        <v>359</v>
      </c>
      <c r="H17" s="54" t="s">
        <v>371</v>
      </c>
    </row>
    <row r="18" spans="1:8" ht="15" customHeight="1">
      <c r="A18" s="49" t="s">
        <v>362</v>
      </c>
      <c r="B18" s="49" t="s">
        <v>269</v>
      </c>
      <c r="C18" s="49" t="s">
        <v>151</v>
      </c>
      <c r="D18" s="50">
        <v>0</v>
      </c>
      <c r="E18" s="51">
        <f t="shared" ca="1" si="0"/>
        <v>2</v>
      </c>
      <c r="F18" s="52">
        <f t="shared" ca="1" si="1"/>
        <v>0</v>
      </c>
      <c r="G18" s="53" t="s">
        <v>359</v>
      </c>
      <c r="H18" s="54" t="s">
        <v>372</v>
      </c>
    </row>
    <row r="19" spans="1:8" ht="15" customHeight="1">
      <c r="A19" s="49" t="s">
        <v>364</v>
      </c>
      <c r="B19" s="49" t="s">
        <v>181</v>
      </c>
      <c r="C19" s="49" t="s">
        <v>281</v>
      </c>
      <c r="D19" s="50">
        <v>0.5</v>
      </c>
      <c r="E19" s="51">
        <f t="shared" ca="1" si="0"/>
        <v>5</v>
      </c>
      <c r="F19" s="52">
        <f t="shared" ca="1" si="1"/>
        <v>2.5</v>
      </c>
      <c r="G19" s="53" t="s">
        <v>359</v>
      </c>
      <c r="H19" s="54" t="s">
        <v>373</v>
      </c>
    </row>
    <row r="20" spans="1:8" ht="15" customHeight="1">
      <c r="A20" s="49" t="s">
        <v>367</v>
      </c>
      <c r="B20" s="49" t="s">
        <v>296</v>
      </c>
      <c r="C20" s="49" t="s">
        <v>281</v>
      </c>
      <c r="D20" s="50">
        <v>0.5</v>
      </c>
      <c r="E20" s="51">
        <f t="shared" ca="1" si="0"/>
        <v>4</v>
      </c>
      <c r="F20" s="52">
        <f t="shared" ca="1" si="1"/>
        <v>2</v>
      </c>
      <c r="G20" s="53" t="s">
        <v>359</v>
      </c>
      <c r="H20" s="54" t="s">
        <v>374</v>
      </c>
    </row>
    <row r="21" spans="1:8" ht="15" customHeight="1">
      <c r="A21" s="49" t="s">
        <v>367</v>
      </c>
      <c r="B21" s="49" t="s">
        <v>280</v>
      </c>
      <c r="C21" s="49" t="s">
        <v>201</v>
      </c>
      <c r="D21" s="50">
        <v>0.5</v>
      </c>
      <c r="E21" s="51">
        <f t="shared" ca="1" si="0"/>
        <v>3</v>
      </c>
      <c r="F21" s="52">
        <f t="shared" ca="1" si="1"/>
        <v>1.5</v>
      </c>
      <c r="G21" s="53" t="s">
        <v>359</v>
      </c>
      <c r="H21" s="54" t="s">
        <v>375</v>
      </c>
    </row>
    <row r="22" spans="1:8" ht="15" customHeight="1">
      <c r="A22" s="49" t="s">
        <v>358</v>
      </c>
      <c r="B22" s="49" t="s">
        <v>142</v>
      </c>
      <c r="C22" s="49" t="s">
        <v>205</v>
      </c>
      <c r="D22" s="50">
        <v>0.5</v>
      </c>
      <c r="E22" s="51">
        <f t="shared" ca="1" si="0"/>
        <v>3</v>
      </c>
      <c r="F22" s="52">
        <f t="shared" ca="1" si="1"/>
        <v>1.5</v>
      </c>
      <c r="G22" s="53" t="s">
        <v>359</v>
      </c>
      <c r="H22" s="54" t="s">
        <v>376</v>
      </c>
    </row>
    <row r="23" spans="1:8" ht="15" customHeight="1">
      <c r="A23" s="49" t="s">
        <v>367</v>
      </c>
      <c r="B23" s="49" t="s">
        <v>306</v>
      </c>
      <c r="C23" s="49" t="s">
        <v>205</v>
      </c>
      <c r="D23" s="50">
        <v>0.5</v>
      </c>
      <c r="E23" s="51">
        <f t="shared" ca="1" si="0"/>
        <v>0</v>
      </c>
      <c r="F23" s="52">
        <f t="shared" ca="1" si="1"/>
        <v>0</v>
      </c>
      <c r="G23" s="53" t="s">
        <v>359</v>
      </c>
      <c r="H23" s="55" t="s">
        <v>377</v>
      </c>
    </row>
    <row r="24" spans="1:8" ht="15" customHeight="1">
      <c r="A24" s="49" t="s">
        <v>362</v>
      </c>
      <c r="B24" s="49" t="s">
        <v>247</v>
      </c>
      <c r="C24" s="49" t="s">
        <v>143</v>
      </c>
      <c r="D24" s="50">
        <v>0.5</v>
      </c>
      <c r="E24" s="51">
        <f t="shared" ca="1" si="0"/>
        <v>4</v>
      </c>
      <c r="F24" s="52">
        <f t="shared" ca="1" si="1"/>
        <v>2</v>
      </c>
      <c r="G24" s="53" t="s">
        <v>359</v>
      </c>
      <c r="H24" s="54" t="s">
        <v>378</v>
      </c>
    </row>
    <row r="25" spans="1:8" ht="15" customHeight="1">
      <c r="A25" s="49" t="s">
        <v>362</v>
      </c>
      <c r="B25" s="49" t="s">
        <v>251</v>
      </c>
      <c r="C25" s="49" t="s">
        <v>143</v>
      </c>
      <c r="D25" s="50">
        <v>0.5</v>
      </c>
      <c r="E25" s="51">
        <f t="shared" ca="1" si="0"/>
        <v>3</v>
      </c>
      <c r="F25" s="52">
        <f t="shared" ca="1" si="1"/>
        <v>1.5</v>
      </c>
      <c r="G25" s="53" t="s">
        <v>359</v>
      </c>
      <c r="H25" s="54" t="s">
        <v>378</v>
      </c>
    </row>
    <row r="26" spans="1:8" ht="15" customHeight="1">
      <c r="A26" s="49" t="s">
        <v>362</v>
      </c>
      <c r="B26" s="49" t="s">
        <v>258</v>
      </c>
      <c r="C26" s="49" t="s">
        <v>143</v>
      </c>
      <c r="D26" s="50">
        <v>0.5</v>
      </c>
      <c r="E26" s="51">
        <f t="shared" ca="1" si="0"/>
        <v>0</v>
      </c>
      <c r="F26" s="52">
        <f t="shared" ca="1" si="1"/>
        <v>0</v>
      </c>
      <c r="G26" s="53" t="s">
        <v>359</v>
      </c>
      <c r="H26" s="54" t="s">
        <v>378</v>
      </c>
    </row>
    <row r="27" spans="1:8" ht="15" customHeight="1">
      <c r="A27" s="49" t="s">
        <v>379</v>
      </c>
      <c r="B27" s="49" t="s">
        <v>327</v>
      </c>
      <c r="C27" s="49" t="s">
        <v>224</v>
      </c>
      <c r="D27" s="50">
        <v>0.5</v>
      </c>
      <c r="E27" s="51">
        <f t="shared" ca="1" si="0"/>
        <v>4</v>
      </c>
      <c r="F27" s="52">
        <f t="shared" ca="1" si="1"/>
        <v>2</v>
      </c>
      <c r="G27" s="53" t="s">
        <v>359</v>
      </c>
      <c r="H27" s="54" t="s">
        <v>380</v>
      </c>
    </row>
    <row r="28" spans="1:8" ht="15" customHeight="1">
      <c r="A28" s="49" t="s">
        <v>379</v>
      </c>
      <c r="B28" s="49" t="s">
        <v>323</v>
      </c>
      <c r="C28" s="49" t="s">
        <v>224</v>
      </c>
      <c r="D28" s="50">
        <v>0.5</v>
      </c>
      <c r="E28" s="51">
        <f t="shared" ca="1" si="0"/>
        <v>1</v>
      </c>
      <c r="F28" s="52">
        <f t="shared" ca="1" si="1"/>
        <v>0.5</v>
      </c>
      <c r="G28" s="53" t="s">
        <v>359</v>
      </c>
      <c r="H28" s="54" t="s">
        <v>381</v>
      </c>
    </row>
    <row r="29" spans="1:8" ht="15" customHeight="1">
      <c r="A29" s="49" t="s">
        <v>358</v>
      </c>
      <c r="B29" s="49" t="s">
        <v>165</v>
      </c>
      <c r="C29" s="49" t="s">
        <v>224</v>
      </c>
      <c r="D29" s="50">
        <v>0.5</v>
      </c>
      <c r="E29" s="51">
        <f t="shared" ca="1" si="0"/>
        <v>3</v>
      </c>
      <c r="F29" s="52">
        <f t="shared" ca="1" si="1"/>
        <v>1.5</v>
      </c>
      <c r="G29" s="53" t="s">
        <v>359</v>
      </c>
      <c r="H29" s="54" t="s">
        <v>381</v>
      </c>
    </row>
    <row r="30" spans="1:8" ht="15" customHeight="1">
      <c r="A30" s="49" t="s">
        <v>382</v>
      </c>
      <c r="B30" s="49" t="s">
        <v>209</v>
      </c>
      <c r="C30" s="49" t="s">
        <v>215</v>
      </c>
      <c r="D30" s="50">
        <v>0.5</v>
      </c>
      <c r="E30" s="51">
        <f t="shared" ca="1" si="0"/>
        <v>5</v>
      </c>
      <c r="F30" s="52">
        <f t="shared" ca="1" si="1"/>
        <v>2.5</v>
      </c>
      <c r="G30" s="53" t="s">
        <v>359</v>
      </c>
      <c r="H30" s="54" t="s">
        <v>383</v>
      </c>
    </row>
    <row r="31" spans="1:8" ht="15" customHeight="1">
      <c r="A31" s="49" t="s">
        <v>382</v>
      </c>
      <c r="B31" s="49" t="s">
        <v>214</v>
      </c>
      <c r="C31" s="49" t="s">
        <v>215</v>
      </c>
      <c r="D31" s="50">
        <v>0.33</v>
      </c>
      <c r="E31" s="51">
        <f t="shared" ca="1" si="0"/>
        <v>3</v>
      </c>
      <c r="F31" s="52">
        <f t="shared" ca="1" si="1"/>
        <v>0.99</v>
      </c>
      <c r="G31" s="53" t="s">
        <v>359</v>
      </c>
      <c r="H31" s="54" t="s">
        <v>384</v>
      </c>
    </row>
    <row r="32" spans="1:8" ht="15" customHeight="1">
      <c r="A32" s="49" t="s">
        <v>379</v>
      </c>
      <c r="B32" s="49" t="s">
        <v>323</v>
      </c>
      <c r="C32" s="49" t="s">
        <v>215</v>
      </c>
      <c r="D32" s="50">
        <v>0.5</v>
      </c>
      <c r="E32" s="51">
        <f t="shared" ca="1" si="0"/>
        <v>1</v>
      </c>
      <c r="F32" s="52">
        <f t="shared" ca="1" si="1"/>
        <v>0.5</v>
      </c>
      <c r="G32" s="53" t="s">
        <v>359</v>
      </c>
      <c r="H32" s="54" t="s">
        <v>385</v>
      </c>
    </row>
    <row r="33" spans="1:8" ht="15" customHeight="1">
      <c r="A33" s="49" t="s">
        <v>379</v>
      </c>
      <c r="B33" s="49" t="s">
        <v>330</v>
      </c>
      <c r="C33" s="49" t="s">
        <v>215</v>
      </c>
      <c r="D33" s="50">
        <v>0.5</v>
      </c>
      <c r="E33" s="51">
        <f t="shared" ca="1" si="0"/>
        <v>3</v>
      </c>
      <c r="F33" s="52">
        <f t="shared" ca="1" si="1"/>
        <v>1.5</v>
      </c>
      <c r="G33" s="53" t="s">
        <v>359</v>
      </c>
      <c r="H33" s="54" t="s">
        <v>386</v>
      </c>
    </row>
    <row r="34" spans="1:8" ht="15" customHeight="1">
      <c r="A34" s="49" t="s">
        <v>358</v>
      </c>
      <c r="B34" s="49" t="s">
        <v>165</v>
      </c>
      <c r="C34" s="49" t="s">
        <v>215</v>
      </c>
      <c r="D34" s="50">
        <v>0.5</v>
      </c>
      <c r="E34" s="51">
        <f t="shared" ca="1" si="0"/>
        <v>3</v>
      </c>
      <c r="F34" s="52">
        <f t="shared" ca="1" si="1"/>
        <v>1.5</v>
      </c>
      <c r="G34" s="53" t="s">
        <v>359</v>
      </c>
      <c r="H34" s="54" t="s">
        <v>387</v>
      </c>
    </row>
    <row r="35" spans="1:8" ht="15" customHeight="1">
      <c r="A35" s="49" t="s">
        <v>382</v>
      </c>
      <c r="B35" s="49" t="s">
        <v>209</v>
      </c>
      <c r="C35" s="49" t="s">
        <v>166</v>
      </c>
      <c r="D35" s="50">
        <v>0.2</v>
      </c>
      <c r="E35" s="51">
        <f t="shared" ca="1" si="0"/>
        <v>5</v>
      </c>
      <c r="F35" s="52">
        <f t="shared" ca="1" si="1"/>
        <v>1</v>
      </c>
      <c r="G35" s="53" t="s">
        <v>359</v>
      </c>
      <c r="H35" s="54" t="s">
        <v>388</v>
      </c>
    </row>
    <row r="36" spans="1:8" ht="15" customHeight="1">
      <c r="A36" s="49" t="s">
        <v>362</v>
      </c>
      <c r="B36" s="49" t="s">
        <v>269</v>
      </c>
      <c r="C36" s="49" t="s">
        <v>166</v>
      </c>
      <c r="D36" s="50">
        <v>0.2</v>
      </c>
      <c r="E36" s="51">
        <f t="shared" ca="1" si="0"/>
        <v>2</v>
      </c>
      <c r="F36" s="52">
        <f t="shared" ca="1" si="1"/>
        <v>0.4</v>
      </c>
      <c r="G36" s="53" t="s">
        <v>359</v>
      </c>
      <c r="H36" s="54" t="s">
        <v>389</v>
      </c>
    </row>
    <row r="37" spans="1:8" ht="15" customHeight="1">
      <c r="A37" s="49" t="s">
        <v>379</v>
      </c>
      <c r="B37" s="49" t="s">
        <v>330</v>
      </c>
      <c r="C37" s="49" t="s">
        <v>166</v>
      </c>
      <c r="D37" s="50">
        <v>0.5</v>
      </c>
      <c r="E37" s="51">
        <f t="shared" ca="1" si="0"/>
        <v>3</v>
      </c>
      <c r="F37" s="52">
        <f t="shared" ca="1" si="1"/>
        <v>1.5</v>
      </c>
      <c r="G37" s="53" t="s">
        <v>359</v>
      </c>
      <c r="H37" s="55" t="s">
        <v>390</v>
      </c>
    </row>
    <row r="38" spans="1:8" ht="15" customHeight="1">
      <c r="A38" s="49" t="s">
        <v>382</v>
      </c>
      <c r="B38" s="49" t="s">
        <v>218</v>
      </c>
      <c r="C38" s="49" t="s">
        <v>210</v>
      </c>
      <c r="D38" s="50">
        <v>0.5</v>
      </c>
      <c r="E38" s="51">
        <f t="shared" ca="1" si="0"/>
        <v>4</v>
      </c>
      <c r="F38" s="52">
        <f t="shared" ca="1" si="1"/>
        <v>2</v>
      </c>
      <c r="G38" s="53" t="s">
        <v>359</v>
      </c>
      <c r="H38" s="54" t="s">
        <v>391</v>
      </c>
    </row>
    <row r="39" spans="1:8" ht="15" customHeight="1">
      <c r="A39" s="49" t="s">
        <v>382</v>
      </c>
      <c r="B39" s="49" t="s">
        <v>218</v>
      </c>
      <c r="C39" s="49" t="s">
        <v>232</v>
      </c>
      <c r="D39" s="50">
        <v>0.33</v>
      </c>
      <c r="E39" s="51">
        <f t="shared" ref="E39:E57" ca="1" si="2">IFERROR(INDEX(INDIRECT("'"&amp;$A39&amp;"'!$E$1:$E$45"),MATCH($B39,INDIRECT("'"&amp;$A39&amp;"'!$B$1:$B$45"),0)),"?")</f>
        <v>4</v>
      </c>
      <c r="F39" s="52">
        <f t="shared" ref="F39:F57" ca="1" si="3">IF(ISNUMBER(E39),$D39*E39,0)</f>
        <v>1.32</v>
      </c>
      <c r="G39" s="53" t="s">
        <v>359</v>
      </c>
      <c r="H39" s="54" t="s">
        <v>392</v>
      </c>
    </row>
    <row r="40" spans="1:8" ht="15" customHeight="1">
      <c r="A40" s="49" t="s">
        <v>379</v>
      </c>
      <c r="B40" s="49" t="s">
        <v>323</v>
      </c>
      <c r="C40" s="49" t="s">
        <v>126</v>
      </c>
      <c r="D40" s="50">
        <v>0</v>
      </c>
      <c r="E40" s="51">
        <f t="shared" ca="1" si="2"/>
        <v>1</v>
      </c>
      <c r="F40" s="52">
        <f t="shared" ca="1" si="3"/>
        <v>0</v>
      </c>
      <c r="G40" s="56" t="s">
        <v>393</v>
      </c>
      <c r="H40" s="54" t="s">
        <v>394</v>
      </c>
    </row>
    <row r="41" spans="1:8" ht="15" customHeight="1">
      <c r="A41" s="49" t="s">
        <v>382</v>
      </c>
      <c r="B41" s="49" t="s">
        <v>209</v>
      </c>
      <c r="C41" s="49" t="s">
        <v>228</v>
      </c>
      <c r="D41" s="50">
        <v>0.5</v>
      </c>
      <c r="E41" s="51">
        <f t="shared" ca="1" si="2"/>
        <v>5</v>
      </c>
      <c r="F41" s="52">
        <f t="shared" ca="1" si="3"/>
        <v>2.5</v>
      </c>
      <c r="G41" s="56" t="s">
        <v>393</v>
      </c>
      <c r="H41" s="54" t="s">
        <v>395</v>
      </c>
    </row>
    <row r="42" spans="1:8" ht="15" customHeight="1">
      <c r="A42" s="49" t="s">
        <v>382</v>
      </c>
      <c r="B42" s="49" t="s">
        <v>214</v>
      </c>
      <c r="C42" s="49" t="s">
        <v>228</v>
      </c>
      <c r="D42" s="50">
        <v>0.33</v>
      </c>
      <c r="E42" s="51">
        <f t="shared" ca="1" si="2"/>
        <v>3</v>
      </c>
      <c r="F42" s="52">
        <f t="shared" ca="1" si="3"/>
        <v>0.99</v>
      </c>
      <c r="G42" s="56" t="s">
        <v>393</v>
      </c>
      <c r="H42" s="54" t="s">
        <v>396</v>
      </c>
    </row>
    <row r="43" spans="1:8" ht="15" customHeight="1">
      <c r="A43" s="49" t="s">
        <v>382</v>
      </c>
      <c r="B43" s="49" t="s">
        <v>218</v>
      </c>
      <c r="C43" s="49" t="s">
        <v>228</v>
      </c>
      <c r="D43" s="50">
        <v>0.33</v>
      </c>
      <c r="E43" s="51">
        <f t="shared" ca="1" si="2"/>
        <v>4</v>
      </c>
      <c r="F43" s="52">
        <f t="shared" ca="1" si="3"/>
        <v>1.32</v>
      </c>
      <c r="G43" s="56" t="s">
        <v>393</v>
      </c>
      <c r="H43" s="54" t="s">
        <v>397</v>
      </c>
    </row>
    <row r="44" spans="1:8" ht="15" customHeight="1">
      <c r="A44" s="49" t="s">
        <v>364</v>
      </c>
      <c r="B44" s="49" t="s">
        <v>181</v>
      </c>
      <c r="C44" s="49" t="s">
        <v>193</v>
      </c>
      <c r="D44" s="50">
        <v>0.2</v>
      </c>
      <c r="E44" s="51">
        <f t="shared" ca="1" si="2"/>
        <v>5</v>
      </c>
      <c r="F44" s="52">
        <f t="shared" ca="1" si="3"/>
        <v>1</v>
      </c>
      <c r="G44" s="56" t="s">
        <v>393</v>
      </c>
      <c r="H44" s="54" t="s">
        <v>398</v>
      </c>
    </row>
    <row r="45" spans="1:8" ht="15" customHeight="1">
      <c r="A45" s="49" t="s">
        <v>367</v>
      </c>
      <c r="B45" s="49" t="s">
        <v>296</v>
      </c>
      <c r="C45" s="49" t="s">
        <v>182</v>
      </c>
      <c r="D45" s="50">
        <v>0.2</v>
      </c>
      <c r="E45" s="51">
        <f t="shared" ca="1" si="2"/>
        <v>4</v>
      </c>
      <c r="F45" s="52">
        <f t="shared" ca="1" si="3"/>
        <v>0.8</v>
      </c>
      <c r="G45" s="56" t="s">
        <v>393</v>
      </c>
      <c r="H45" s="54" t="s">
        <v>399</v>
      </c>
    </row>
    <row r="46" spans="1:8" ht="15" customHeight="1">
      <c r="A46" s="49" t="s">
        <v>362</v>
      </c>
      <c r="B46" s="49" t="s">
        <v>247</v>
      </c>
      <c r="C46" s="49" t="s">
        <v>270</v>
      </c>
      <c r="D46" s="50">
        <v>0.2</v>
      </c>
      <c r="E46" s="51">
        <f t="shared" ca="1" si="2"/>
        <v>4</v>
      </c>
      <c r="F46" s="52">
        <f t="shared" ca="1" si="3"/>
        <v>0.8</v>
      </c>
      <c r="G46" s="56" t="s">
        <v>393</v>
      </c>
      <c r="H46" s="54" t="s">
        <v>400</v>
      </c>
    </row>
    <row r="47" spans="1:8" ht="15" customHeight="1">
      <c r="A47" s="49" t="s">
        <v>367</v>
      </c>
      <c r="B47" s="49" t="s">
        <v>280</v>
      </c>
      <c r="C47" s="49" t="s">
        <v>270</v>
      </c>
      <c r="D47" s="50">
        <v>0.2</v>
      </c>
      <c r="E47" s="51">
        <f t="shared" ca="1" si="2"/>
        <v>3</v>
      </c>
      <c r="F47" s="52">
        <f t="shared" ca="1" si="3"/>
        <v>0.60000000000000009</v>
      </c>
      <c r="G47" s="56" t="s">
        <v>393</v>
      </c>
      <c r="H47" s="54" t="s">
        <v>401</v>
      </c>
    </row>
    <row r="48" spans="1:8" ht="15" customHeight="1">
      <c r="A48" s="49" t="s">
        <v>379</v>
      </c>
      <c r="B48" s="49" t="s">
        <v>323</v>
      </c>
      <c r="C48" s="49" t="s">
        <v>270</v>
      </c>
      <c r="D48" s="50">
        <v>0.2</v>
      </c>
      <c r="E48" s="51">
        <f t="shared" ca="1" si="2"/>
        <v>1</v>
      </c>
      <c r="F48" s="52">
        <f t="shared" ca="1" si="3"/>
        <v>0.2</v>
      </c>
      <c r="G48" s="56" t="s">
        <v>393</v>
      </c>
      <c r="H48" s="54" t="s">
        <v>402</v>
      </c>
    </row>
    <row r="49" spans="1:8" ht="15" customHeight="1">
      <c r="A49" s="49" t="s">
        <v>358</v>
      </c>
      <c r="B49" s="49" t="s">
        <v>125</v>
      </c>
      <c r="C49" s="49" t="s">
        <v>136</v>
      </c>
      <c r="D49" s="50">
        <v>0.2</v>
      </c>
      <c r="E49" s="51">
        <f t="shared" ca="1" si="2"/>
        <v>4</v>
      </c>
      <c r="F49" s="52">
        <f t="shared" ca="1" si="3"/>
        <v>0.8</v>
      </c>
      <c r="G49" s="56" t="s">
        <v>393</v>
      </c>
      <c r="H49" s="54" t="s">
        <v>403</v>
      </c>
    </row>
    <row r="50" spans="1:8" ht="15" customHeight="1">
      <c r="A50" s="49" t="s">
        <v>362</v>
      </c>
      <c r="B50" s="49" t="s">
        <v>247</v>
      </c>
      <c r="C50" s="49" t="s">
        <v>136</v>
      </c>
      <c r="D50" s="50">
        <v>0.2</v>
      </c>
      <c r="E50" s="51">
        <f t="shared" ca="1" si="2"/>
        <v>4</v>
      </c>
      <c r="F50" s="52">
        <f t="shared" ca="1" si="3"/>
        <v>0.8</v>
      </c>
      <c r="G50" s="56" t="s">
        <v>393</v>
      </c>
      <c r="H50" s="54" t="s">
        <v>404</v>
      </c>
    </row>
    <row r="51" spans="1:8" ht="15" customHeight="1">
      <c r="A51" s="49" t="s">
        <v>364</v>
      </c>
      <c r="B51" s="49" t="s">
        <v>204</v>
      </c>
      <c r="C51" s="49" t="s">
        <v>143</v>
      </c>
      <c r="D51" s="50">
        <v>0.33</v>
      </c>
      <c r="E51" s="51">
        <f t="shared" ca="1" si="2"/>
        <v>4</v>
      </c>
      <c r="F51" s="52">
        <f t="shared" ca="1" si="3"/>
        <v>1.32</v>
      </c>
      <c r="G51" s="56" t="s">
        <v>393</v>
      </c>
      <c r="H51" s="54" t="s">
        <v>405</v>
      </c>
    </row>
    <row r="52" spans="1:8" ht="15" customHeight="1">
      <c r="A52" s="49" t="s">
        <v>379</v>
      </c>
      <c r="B52" s="49" t="s">
        <v>214</v>
      </c>
      <c r="C52" s="49" t="s">
        <v>215</v>
      </c>
      <c r="D52" s="50">
        <v>0.33</v>
      </c>
      <c r="E52" s="51">
        <f t="shared" ca="1" si="2"/>
        <v>3</v>
      </c>
      <c r="F52" s="52">
        <f t="shared" ca="1" si="3"/>
        <v>0.99</v>
      </c>
      <c r="G52" s="56" t="s">
        <v>359</v>
      </c>
      <c r="H52" s="54" t="s">
        <v>406</v>
      </c>
    </row>
    <row r="53" spans="1:8" ht="15" customHeight="1">
      <c r="A53" s="49" t="s">
        <v>379</v>
      </c>
      <c r="B53" s="49" t="s">
        <v>214</v>
      </c>
      <c r="C53" s="49" t="s">
        <v>228</v>
      </c>
      <c r="D53" s="50">
        <v>0.33</v>
      </c>
      <c r="E53" s="51">
        <f t="shared" ca="1" si="2"/>
        <v>3</v>
      </c>
      <c r="F53" s="52">
        <f t="shared" ca="1" si="3"/>
        <v>0.99</v>
      </c>
      <c r="G53" s="56" t="s">
        <v>393</v>
      </c>
      <c r="H53" s="54" t="s">
        <v>407</v>
      </c>
    </row>
    <row r="54" spans="1:8" ht="15" customHeight="1">
      <c r="A54" s="49" t="s">
        <v>367</v>
      </c>
      <c r="B54" s="49" t="s">
        <v>285</v>
      </c>
      <c r="C54" s="49" t="s">
        <v>189</v>
      </c>
      <c r="D54" s="50">
        <v>0.5</v>
      </c>
      <c r="E54" s="51">
        <f t="shared" ca="1" si="2"/>
        <v>3</v>
      </c>
      <c r="F54" s="52">
        <f t="shared" ca="1" si="3"/>
        <v>1.5</v>
      </c>
      <c r="G54" s="56" t="s">
        <v>393</v>
      </c>
      <c r="H54" s="54" t="s">
        <v>408</v>
      </c>
    </row>
    <row r="55" spans="1:8" ht="15" customHeight="1">
      <c r="A55" s="49" t="s">
        <v>367</v>
      </c>
      <c r="B55" s="49" t="s">
        <v>292</v>
      </c>
      <c r="C55" s="49" t="s">
        <v>189</v>
      </c>
      <c r="D55" s="50">
        <v>0.5</v>
      </c>
      <c r="E55" s="51">
        <f t="shared" ca="1" si="2"/>
        <v>2</v>
      </c>
      <c r="F55" s="52">
        <f t="shared" ca="1" si="3"/>
        <v>1</v>
      </c>
      <c r="G55" s="56" t="s">
        <v>393</v>
      </c>
      <c r="H55" s="54" t="s">
        <v>409</v>
      </c>
    </row>
    <row r="56" spans="1:8" ht="15" customHeight="1">
      <c r="A56" s="49" t="s">
        <v>364</v>
      </c>
      <c r="B56" s="49" t="s">
        <v>187</v>
      </c>
      <c r="C56" s="49" t="s">
        <v>281</v>
      </c>
      <c r="D56" s="50">
        <v>0.2</v>
      </c>
      <c r="E56" s="51">
        <f t="shared" ca="1" si="2"/>
        <v>3</v>
      </c>
      <c r="F56" s="52">
        <f t="shared" ca="1" si="3"/>
        <v>0.60000000000000009</v>
      </c>
      <c r="G56" s="56" t="s">
        <v>393</v>
      </c>
      <c r="H56" s="54" t="s">
        <v>410</v>
      </c>
    </row>
    <row r="57" spans="1:8" ht="15" customHeight="1">
      <c r="A57" s="49" t="s">
        <v>367</v>
      </c>
      <c r="B57" s="49" t="s">
        <v>292</v>
      </c>
      <c r="C57" s="49" t="s">
        <v>281</v>
      </c>
      <c r="D57" s="50">
        <v>0.5</v>
      </c>
      <c r="E57" s="51">
        <f t="shared" ca="1" si="2"/>
        <v>2</v>
      </c>
      <c r="F57" s="52">
        <f t="shared" ca="1" si="3"/>
        <v>1</v>
      </c>
      <c r="G57" s="56" t="s">
        <v>393</v>
      </c>
      <c r="H57" s="54" t="s">
        <v>411</v>
      </c>
    </row>
    <row r="58" spans="1:8" ht="15" customHeight="1">
      <c r="E58" s="3" t="s">
        <v>412</v>
      </c>
      <c r="F58" s="57">
        <f ca="1">SUM(F7:F57)</f>
        <v>61.900000000000006</v>
      </c>
    </row>
  </sheetData>
  <mergeCells count="2">
    <mergeCell ref="A2:H2"/>
    <mergeCell ref="A4:H4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7"/>
  <sheetViews>
    <sheetView zoomScaleNormal="100" workbookViewId="0">
      <selection activeCell="G28" sqref="G28"/>
    </sheetView>
  </sheetViews>
  <sheetFormatPr defaultColWidth="8.7109375" defaultRowHeight="15"/>
  <cols>
    <col min="1" max="1" width="20" customWidth="1"/>
    <col min="2" max="3" width="12" customWidth="1"/>
    <col min="4" max="4" width="10" customWidth="1"/>
    <col min="5" max="5" width="14" customWidth="1"/>
    <col min="6" max="6" width="46" customWidth="1"/>
  </cols>
  <sheetData>
    <row r="1" spans="1:9" ht="18" customHeight="1">
      <c r="A1" s="1" t="s">
        <v>413</v>
      </c>
    </row>
    <row r="2" spans="1:9" ht="15" customHeight="1">
      <c r="A2" s="2" t="s">
        <v>414</v>
      </c>
    </row>
    <row r="4" spans="1:9" ht="15" customHeight="1">
      <c r="A4" s="5" t="s">
        <v>119</v>
      </c>
      <c r="B4" s="5" t="s">
        <v>415</v>
      </c>
      <c r="C4" s="5" t="s">
        <v>416</v>
      </c>
      <c r="D4" s="5" t="s">
        <v>417</v>
      </c>
      <c r="E4" s="5" t="s">
        <v>418</v>
      </c>
      <c r="F4" s="5" t="s">
        <v>419</v>
      </c>
    </row>
    <row r="5" spans="1:9" ht="15" customHeight="1">
      <c r="A5" s="58" t="s">
        <v>193</v>
      </c>
      <c r="B5" s="7">
        <f>SUMIFS(월_당기기A!$E:$E,월_당기기A!$C:$C,$A5)+SUMIFS(화_밀기A!$E:$E,화_밀기A!$C:$C,$A5)+SUMIFS(수_하체A!$E:$E,수_하체A!$C:$C,$A5)+SUMIFS(목_당기기B!$E:$E,목_당기기B!$C:$C,$A5)+SUMIFS(금_밀기B!$E:$E,금_밀기B!$C:$C,$A5)+SUMIFS(토_하체B!$E:$E,토_하체B!$C:$C,$A5)</f>
        <v>8</v>
      </c>
      <c r="C5" s="59">
        <f ca="1">MROUND(SUMIFS(간접계수맵!$F$7:$F$57,간접계수맵!$C$7:$C$57,$A5),0.5)</f>
        <v>1</v>
      </c>
      <c r="D5" s="60">
        <f t="shared" ref="D5:D24" ca="1" si="0">B5+C5</f>
        <v>9</v>
      </c>
      <c r="E5" s="7" t="str">
        <f t="shared" ref="E5:E24" ca="1" si="1">IF(D5&gt;20,"과다 점검",IF(D5&gt;=10,"충분",IF(D5&gt;=8,"하한",IF(D5&gt;=1,"보완 필요","미배치"))))</f>
        <v>하한</v>
      </c>
      <c r="F5" s="58" t="s">
        <v>420</v>
      </c>
      <c r="G5" s="88" t="s">
        <v>421</v>
      </c>
      <c r="H5" s="61">
        <f ca="1">SUM(D5:D6)</f>
        <v>20</v>
      </c>
      <c r="I5" t="str">
        <f ca="1">IF(H5&gt;20,"천장(20) 초과 — 화요일 예외 허용 · 세트 질 관찰","")</f>
        <v/>
      </c>
    </row>
    <row r="6" spans="1:9" ht="15" customHeight="1">
      <c r="A6" s="58" t="s">
        <v>182</v>
      </c>
      <c r="B6" s="7">
        <f>SUMIFS(월_당기기A!$E:$E,월_당기기A!$C:$C,$A6)+SUMIFS(화_밀기A!$E:$E,화_밀기A!$C:$C,$A6)+SUMIFS(수_하체A!$E:$E,수_하체A!$C:$C,$A6)+SUMIFS(목_당기기B!$E:$E,목_당기기B!$C:$C,$A6)+SUMIFS(금_밀기B!$E:$E,금_밀기B!$C:$C,$A6)+SUMIFS(토_하체B!$E:$E,토_하체B!$C:$C,$A6)</f>
        <v>10</v>
      </c>
      <c r="C6" s="59">
        <f ca="1">MROUND(SUMIFS(간접계수맵!$F$7:$F$57,간접계수맵!$C$7:$C$57,$A6),0.5)</f>
        <v>1</v>
      </c>
      <c r="D6" s="60">
        <f t="shared" ca="1" si="0"/>
        <v>11</v>
      </c>
      <c r="E6" s="7" t="str">
        <f t="shared" ca="1" si="1"/>
        <v>충분</v>
      </c>
      <c r="F6" s="58" t="s">
        <v>422</v>
      </c>
      <c r="G6" s="88"/>
    </row>
    <row r="7" spans="1:9" ht="15" customHeight="1">
      <c r="A7" s="58" t="s">
        <v>126</v>
      </c>
      <c r="B7" s="7">
        <f>SUMIFS(월_당기기A!$E:$E,월_당기기A!$C:$C,$A7)+SUMIFS(화_밀기A!$E:$E,화_밀기A!$C:$C,$A7)+SUMIFS(수_하체A!$E:$E,수_하체A!$C:$C,$A7)+SUMIFS(목_당기기B!$E:$E,목_당기기B!$C:$C,$A7)+SUMIFS(금_밀기B!$E:$E,금_밀기B!$C:$C,$A7)+SUMIFS(토_하체B!$E:$E,토_하체B!$C:$C,$A7)</f>
        <v>14</v>
      </c>
      <c r="C7" s="59">
        <f ca="1">MROUND(SUMIFS(간접계수맵!$F$7:$F$57,간접계수맵!$C$7:$C$57,$A7),0.5)</f>
        <v>0</v>
      </c>
      <c r="D7" s="60">
        <f t="shared" ca="1" si="0"/>
        <v>14</v>
      </c>
      <c r="E7" s="7" t="str">
        <f t="shared" ca="1" si="1"/>
        <v>충분</v>
      </c>
      <c r="F7" s="58" t="s">
        <v>423</v>
      </c>
      <c r="G7" s="88" t="s">
        <v>424</v>
      </c>
      <c r="H7" s="61">
        <f ca="1">SUM(D7:D10)</f>
        <v>34</v>
      </c>
    </row>
    <row r="8" spans="1:9" ht="15" customHeight="1">
      <c r="A8" s="58" t="s">
        <v>270</v>
      </c>
      <c r="B8" s="7">
        <f>SUMIFS(월_당기기A!$E:$E,월_당기기A!$C:$C,$A8)+SUMIFS(화_밀기A!$E:$E,화_밀기A!$C:$C,$A8)+SUMIFS(수_하체A!$E:$E,수_하체A!$C:$C,$A8)+SUMIFS(목_당기기B!$E:$E,목_당기기B!$C:$C,$A8)+SUMIFS(금_밀기B!$E:$E,금_밀기B!$C:$C,$A8)+SUMIFS(토_하체B!$E:$E,토_하체B!$C:$C,$A8)</f>
        <v>2</v>
      </c>
      <c r="C8" s="59">
        <f ca="1">MROUND(SUMIFS(간접계수맵!$F$7:$F$57,간접계수맵!$C$7:$C$57,$A8),0.5)</f>
        <v>1.5</v>
      </c>
      <c r="D8" s="60">
        <f t="shared" ca="1" si="0"/>
        <v>3.5</v>
      </c>
      <c r="E8" s="7" t="str">
        <f t="shared" ca="1" si="1"/>
        <v>보완 필요</v>
      </c>
      <c r="F8" s="58" t="s">
        <v>425</v>
      </c>
      <c r="G8" s="88"/>
    </row>
    <row r="9" spans="1:9" ht="15" customHeight="1">
      <c r="A9" s="58" t="s">
        <v>136</v>
      </c>
      <c r="B9" s="7">
        <f>SUMIFS(월_당기기A!$E:$E,월_당기기A!$C:$C,$A9)+SUMIFS(화_밀기A!$E:$E,화_밀기A!$C:$C,$A9)+SUMIFS(수_하체A!$E:$E,수_하체A!$C:$C,$A9)+SUMIFS(목_당기기B!$E:$E,목_당기기B!$C:$C,$A9)+SUMIFS(금_밀기B!$E:$E,금_밀기B!$C:$C,$A9)+SUMIFS(토_하체B!$E:$E,토_하체B!$C:$C,$A9)</f>
        <v>3</v>
      </c>
      <c r="C9" s="59">
        <f ca="1">MROUND(SUMIFS(간접계수맵!$F$7:$F$57,간접계수맵!$C$7:$C$57,$A9),0.5)</f>
        <v>1.5</v>
      </c>
      <c r="D9" s="60">
        <f t="shared" ca="1" si="0"/>
        <v>4.5</v>
      </c>
      <c r="E9" s="7" t="str">
        <f t="shared" ca="1" si="1"/>
        <v>보완 필요</v>
      </c>
      <c r="F9" s="58" t="s">
        <v>426</v>
      </c>
      <c r="G9" s="88"/>
    </row>
    <row r="10" spans="1:9" ht="15" customHeight="1">
      <c r="A10" s="58" t="s">
        <v>143</v>
      </c>
      <c r="B10" s="7">
        <f>SUMIFS(월_당기기A!$E:$E,월_당기기A!$C:$C,$A10)+SUMIFS(화_밀기A!$E:$E,화_밀기A!$C:$C,$A10)+SUMIFS(수_하체A!$E:$E,수_하체A!$C:$C,$A10)+SUMIFS(목_당기기B!$E:$E,목_당기기B!$C:$C,$A10)+SUMIFS(금_밀기B!$E:$E,금_밀기B!$C:$C,$A10)+SUMIFS(토_하체B!$E:$E,토_하체B!$C:$C,$A10)</f>
        <v>7</v>
      </c>
      <c r="C10" s="59">
        <f ca="1">MROUND(SUMIFS(간접계수맵!$F$7:$F$57,간접계수맵!$C$7:$C$57,$A10),0.5)</f>
        <v>5</v>
      </c>
      <c r="D10" s="60">
        <f t="shared" ca="1" si="0"/>
        <v>12</v>
      </c>
      <c r="E10" s="7" t="str">
        <f t="shared" ca="1" si="1"/>
        <v>충분</v>
      </c>
      <c r="F10" s="58" t="s">
        <v>427</v>
      </c>
      <c r="G10" s="88"/>
    </row>
    <row r="11" spans="1:9" ht="15" customHeight="1">
      <c r="A11" s="58" t="s">
        <v>166</v>
      </c>
      <c r="B11" s="7">
        <f>SUMIFS(월_당기기A!$E:$E,월_당기기A!$C:$C,$A11)+SUMIFS(화_밀기A!$E:$E,화_밀기A!$C:$C,$A11)+SUMIFS(수_하체A!$E:$E,수_하체A!$C:$C,$A11)+SUMIFS(목_당기기B!$E:$E,목_당기기B!$C:$C,$A11)+SUMIFS(금_밀기B!$E:$E,금_밀기B!$C:$C,$A11)+SUMIFS(토_하체B!$E:$E,토_하체B!$C:$C,$A11)</f>
        <v>4</v>
      </c>
      <c r="C11" s="59">
        <f ca="1">MROUND(SUMIFS(간접계수맵!$F$7:$F$57,간접계수맵!$C$7:$C$57,$A11),0.5)</f>
        <v>3</v>
      </c>
      <c r="D11" s="60">
        <f t="shared" ca="1" si="0"/>
        <v>7</v>
      </c>
      <c r="E11" s="7" t="str">
        <f t="shared" ca="1" si="1"/>
        <v>보완 필요</v>
      </c>
      <c r="F11" s="58" t="s">
        <v>428</v>
      </c>
      <c r="G11" s="62"/>
    </row>
    <row r="12" spans="1:9" ht="15" customHeight="1">
      <c r="A12" s="58" t="s">
        <v>281</v>
      </c>
      <c r="B12" s="7">
        <f>SUMIFS(월_당기기A!$E:$E,월_당기기A!$C:$C,$A12)+SUMIFS(화_밀기A!$E:$E,화_밀기A!$C:$C,$A12)+SUMIFS(수_하체A!$E:$E,수_하체A!$C:$C,$A12)+SUMIFS(목_당기기B!$E:$E,목_당기기B!$C:$C,$A12)+SUMIFS(금_밀기B!$E:$E,금_밀기B!$C:$C,$A12)+SUMIFS(토_하체B!$E:$E,토_하체B!$C:$C,$A12)</f>
        <v>6</v>
      </c>
      <c r="C12" s="59">
        <f ca="1">MROUND(SUMIFS(간접계수맵!$F$7:$F$57,간접계수맵!$C$7:$C$57,$A12),0.5)</f>
        <v>6</v>
      </c>
      <c r="D12" s="60">
        <f t="shared" ca="1" si="0"/>
        <v>12</v>
      </c>
      <c r="E12" s="7" t="str">
        <f t="shared" ca="1" si="1"/>
        <v>충분</v>
      </c>
      <c r="F12" s="58" t="s">
        <v>429</v>
      </c>
      <c r="G12" s="62"/>
    </row>
    <row r="13" spans="1:9" ht="15" customHeight="1">
      <c r="A13" s="58" t="s">
        <v>201</v>
      </c>
      <c r="B13" s="7">
        <f>SUMIFS(월_당기기A!$E:$E,월_당기기A!$C:$C,$A13)+SUMIFS(화_밀기A!$E:$E,화_밀기A!$C:$C,$A13)+SUMIFS(수_하체A!$E:$E,수_하체A!$C:$C,$A13)+SUMIFS(목_당기기B!$E:$E,목_당기기B!$C:$C,$A13)+SUMIFS(금_밀기B!$E:$E,금_밀기B!$C:$C,$A13)+SUMIFS(토_하체B!$E:$E,토_하체B!$C:$C,$A13)</f>
        <v>9</v>
      </c>
      <c r="C13" s="59">
        <f ca="1">MROUND(SUMIFS(간접계수맵!$F$7:$F$57,간접계수맵!$C$7:$C$57,$A13),0.5)</f>
        <v>1.5</v>
      </c>
      <c r="D13" s="60">
        <f t="shared" ca="1" si="0"/>
        <v>10.5</v>
      </c>
      <c r="E13" s="7" t="str">
        <f t="shared" ca="1" si="1"/>
        <v>충분</v>
      </c>
      <c r="F13" s="58" t="s">
        <v>430</v>
      </c>
      <c r="G13" s="62"/>
    </row>
    <row r="14" spans="1:9" ht="15" customHeight="1">
      <c r="A14" s="58" t="s">
        <v>205</v>
      </c>
      <c r="B14" s="7">
        <f>SUMIFS(월_당기기A!$E:$E,월_당기기A!$C:$C,$A14)+SUMIFS(화_밀기A!$E:$E,화_밀기A!$C:$C,$A14)+SUMIFS(수_하체A!$E:$E,수_하체A!$C:$C,$A14)+SUMIFS(목_당기기B!$E:$E,목_당기기B!$C:$C,$A14)+SUMIFS(금_밀기B!$E:$E,금_밀기B!$C:$C,$A14)+SUMIFS(토_하체B!$E:$E,토_하체B!$C:$C,$A14)</f>
        <v>7</v>
      </c>
      <c r="C14" s="59">
        <f ca="1">MROUND(SUMIFS(간접계수맵!$F$7:$F$57,간접계수맵!$C$7:$C$57,$A14),0.5)</f>
        <v>1.5</v>
      </c>
      <c r="D14" s="60">
        <f t="shared" ca="1" si="0"/>
        <v>8.5</v>
      </c>
      <c r="E14" s="7" t="str">
        <f t="shared" ca="1" si="1"/>
        <v>하한</v>
      </c>
      <c r="F14" s="58" t="s">
        <v>431</v>
      </c>
      <c r="G14" s="62"/>
      <c r="H14" s="61"/>
    </row>
    <row r="15" spans="1:9" ht="15" customHeight="1">
      <c r="A15" s="58" t="s">
        <v>210</v>
      </c>
      <c r="B15" s="7">
        <f>SUMIFS(월_당기기A!$E:$E,월_당기기A!$C:$C,$A15)+SUMIFS(화_밀기A!$E:$E,화_밀기A!$C:$C,$A15)+SUMIFS(수_하체A!$E:$E,수_하체A!$C:$C,$A15)+SUMIFS(목_당기기B!$E:$E,목_당기기B!$C:$C,$A15)+SUMIFS(금_밀기B!$E:$E,금_밀기B!$C:$C,$A15)+SUMIFS(토_하체B!$E:$E,토_하체B!$C:$C,$A15)</f>
        <v>15</v>
      </c>
      <c r="C15" s="59">
        <f ca="1">MROUND(SUMIFS(간접계수맵!$F$7:$F$57,간접계수맵!$C$7:$C$57,$A15),0.5)</f>
        <v>2</v>
      </c>
      <c r="D15" s="60">
        <f t="shared" ca="1" si="0"/>
        <v>17</v>
      </c>
      <c r="E15" s="7" t="str">
        <f t="shared" ca="1" si="1"/>
        <v>충분</v>
      </c>
      <c r="F15" s="58" t="s">
        <v>218</v>
      </c>
      <c r="G15" s="63" t="s">
        <v>432</v>
      </c>
      <c r="H15" s="61">
        <f ca="1">SUM(D15:D16,D19)</f>
        <v>37</v>
      </c>
    </row>
    <row r="16" spans="1:9" ht="15" customHeight="1">
      <c r="A16" s="58" t="s">
        <v>224</v>
      </c>
      <c r="B16" s="7">
        <f>SUMIFS(월_당기기A!$E:$E,월_당기기A!$C:$C,$A16)+SUMIFS(화_밀기A!$E:$E,화_밀기A!$C:$C,$A16)+SUMIFS(수_하체A!$E:$E,수_하체A!$C:$C,$A16)+SUMIFS(목_당기기B!$E:$E,목_당기기B!$C:$C,$A16)+SUMIFS(금_밀기B!$E:$E,금_밀기B!$C:$C,$A16)+SUMIFS(토_하체B!$E:$E,토_하체B!$C:$C,$A16)</f>
        <v>10</v>
      </c>
      <c r="C16" s="59">
        <f ca="1">MROUND(SUMIFS(간접계수맵!$F$7:$F$57,간접계수맵!$C$7:$C$57,$A16),0.5)</f>
        <v>4</v>
      </c>
      <c r="D16" s="60">
        <f t="shared" ca="1" si="0"/>
        <v>14</v>
      </c>
      <c r="E16" s="7" t="str">
        <f t="shared" ca="1" si="1"/>
        <v>충분</v>
      </c>
      <c r="F16" s="58" t="s">
        <v>433</v>
      </c>
      <c r="G16" s="62"/>
    </row>
    <row r="17" spans="1:8" ht="15" customHeight="1">
      <c r="A17" s="58" t="s">
        <v>215</v>
      </c>
      <c r="B17" s="7">
        <f>SUMIFS(월_당기기A!$E:$E,월_당기기A!$C:$C,$A17)+SUMIFS(화_밀기A!$E:$E,화_밀기A!$C:$C,$A17)+SUMIFS(수_하체A!$E:$E,수_하체A!$C:$C,$A17)+SUMIFS(목_당기기B!$E:$E,목_당기기B!$C:$C,$A17)+SUMIFS(금_밀기B!$E:$E,금_밀기B!$C:$C,$A17)+SUMIFS(토_하체B!$E:$E,토_하체B!$C:$C,$A17)</f>
        <v>8</v>
      </c>
      <c r="C17" s="59">
        <f ca="1">MROUND(SUMIFS(간접계수맵!$F$7:$F$57,간접계수맵!$C$7:$C$57,$A17),0.5)</f>
        <v>8</v>
      </c>
      <c r="D17" s="60">
        <f t="shared" ca="1" si="0"/>
        <v>16</v>
      </c>
      <c r="E17" s="7" t="str">
        <f t="shared" ca="1" si="1"/>
        <v>충분</v>
      </c>
      <c r="F17" s="58" t="s">
        <v>434</v>
      </c>
      <c r="G17" s="88" t="s">
        <v>215</v>
      </c>
      <c r="H17" s="61">
        <f ca="1">SUM(D17:D18)</f>
        <v>20.5</v>
      </c>
    </row>
    <row r="18" spans="1:8" ht="15" customHeight="1">
      <c r="A18" s="58" t="s">
        <v>232</v>
      </c>
      <c r="B18" s="7">
        <f>SUMIFS(월_당기기A!$E:$E,월_당기기A!$C:$C,$A18)+SUMIFS(화_밀기A!$E:$E,화_밀기A!$C:$C,$A18)+SUMIFS(수_하체A!$E:$E,수_하체A!$C:$C,$A18)+SUMIFS(목_당기기B!$E:$E,목_당기기B!$C:$C,$A18)+SUMIFS(금_밀기B!$E:$E,금_밀기B!$C:$C,$A18)+SUMIFS(토_하체B!$E:$E,토_하체B!$C:$C,$A18)</f>
        <v>3</v>
      </c>
      <c r="C18" s="59">
        <f ca="1">MROUND(SUMIFS(간접계수맵!$F$7:$F$57,간접계수맵!$C$7:$C$57,$A18),0.5)</f>
        <v>1.5</v>
      </c>
      <c r="D18" s="60">
        <f t="shared" ca="1" si="0"/>
        <v>4.5</v>
      </c>
      <c r="E18" s="7" t="str">
        <f t="shared" ca="1" si="1"/>
        <v>보완 필요</v>
      </c>
      <c r="F18" s="58" t="s">
        <v>435</v>
      </c>
      <c r="G18" s="88"/>
    </row>
    <row r="19" spans="1:8" ht="15" customHeight="1">
      <c r="A19" s="58" t="s">
        <v>237</v>
      </c>
      <c r="B19" s="7">
        <f>SUMIFS(월_당기기A!$E:$E,월_당기기A!$C:$C,$A19)+SUMIFS(화_밀기A!$E:$E,화_밀기A!$C:$C,$A19)+SUMIFS(수_하체A!$E:$E,수_하체A!$C:$C,$A19)+SUMIFS(목_당기기B!$E:$E,목_당기기B!$C:$C,$A19)+SUMIFS(금_밀기B!$E:$E,금_밀기B!$C:$C,$A19)+SUMIFS(토_하체B!$E:$E,토_하체B!$C:$C,$A19)</f>
        <v>6</v>
      </c>
      <c r="C19" s="59">
        <f>MROUND(SUMIFS(간접계수맵!$F$7:$F$57,간접계수맵!$C$7:$C$57,$A19),0.5)</f>
        <v>0</v>
      </c>
      <c r="D19" s="60">
        <f t="shared" si="0"/>
        <v>6</v>
      </c>
      <c r="E19" s="7" t="str">
        <f t="shared" si="1"/>
        <v>보완 필요</v>
      </c>
      <c r="F19" s="58" t="s">
        <v>436</v>
      </c>
      <c r="G19" s="62"/>
    </row>
    <row r="20" spans="1:8" ht="15" customHeight="1">
      <c r="A20" s="58" t="s">
        <v>128</v>
      </c>
      <c r="B20" s="7">
        <f>SUMIFS(월_당기기A!$E:$E,월_당기기A!$C:$C,$A20)+SUMIFS(화_밀기A!$E:$E,화_밀기A!$C:$C,$A20)+SUMIFS(수_하체A!$E:$E,수_하체A!$C:$C,$A20)+SUMIFS(목_당기기B!$E:$E,목_당기기B!$C:$C,$A20)+SUMIFS(금_밀기B!$E:$E,금_밀기B!$C:$C,$A20)+SUMIFS(토_하체B!$E:$E,토_하체B!$C:$C,$A20)</f>
        <v>6</v>
      </c>
      <c r="C20" s="59">
        <f ca="1">MROUND(SUMIFS(간접계수맵!$F$7:$F$57,간접계수맵!$C$7:$C$57,$A20),0.5)</f>
        <v>7</v>
      </c>
      <c r="D20" s="60">
        <f t="shared" ca="1" si="0"/>
        <v>13</v>
      </c>
      <c r="E20" s="7" t="str">
        <f t="shared" ca="1" si="1"/>
        <v>충분</v>
      </c>
      <c r="F20" s="58" t="s">
        <v>437</v>
      </c>
      <c r="G20" s="62"/>
    </row>
    <row r="21" spans="1:8" ht="15" customHeight="1">
      <c r="A21" s="58" t="s">
        <v>189</v>
      </c>
      <c r="B21" s="7">
        <f>SUMIFS(월_당기기A!$E:$E,월_당기기A!$C:$C,$A21)+SUMIFS(화_밀기A!$E:$E,화_밀기A!$C:$C,$A21)+SUMIFS(수_하체A!$E:$E,수_하체A!$C:$C,$A21)+SUMIFS(목_당기기B!$E:$E,목_당기기B!$C:$C,$A21)+SUMIFS(금_밀기B!$E:$E,금_밀기B!$C:$C,$A21)+SUMIFS(토_하체B!$E:$E,토_하체B!$C:$C,$A21)</f>
        <v>4</v>
      </c>
      <c r="C21" s="59">
        <f ca="1">MROUND(SUMIFS(간접계수맵!$F$7:$F$57,간접계수맵!$C$7:$C$57,$A21),0.5)</f>
        <v>10</v>
      </c>
      <c r="D21" s="60">
        <f t="shared" ca="1" si="0"/>
        <v>14</v>
      </c>
      <c r="E21" s="7" t="str">
        <f t="shared" ca="1" si="1"/>
        <v>충분</v>
      </c>
      <c r="F21" s="58" t="s">
        <v>438</v>
      </c>
      <c r="G21" s="62"/>
    </row>
    <row r="22" spans="1:8" ht="16.5" customHeight="1">
      <c r="A22" s="58" t="s">
        <v>151</v>
      </c>
      <c r="B22" s="7">
        <f>SUMIFS(월_당기기A!$E:$E,월_당기기A!$C:$C,$A22)+SUMIFS(화_밀기A!$E:$E,화_밀기A!$C:$C,$A22)+SUMIFS(수_하체A!$E:$E,수_하체A!$C:$C,$A22)+SUMIFS(목_당기기B!$E:$E,목_당기기B!$C:$C,$A22)+SUMIFS(금_밀기B!$E:$E,금_밀기B!$C:$C,$A22)+SUMIFS(토_하체B!$E:$E,토_하체B!$C:$C,$A22)</f>
        <v>6</v>
      </c>
      <c r="C22" s="59">
        <f ca="1">MROUND(SUMIFS(간접계수맵!$F$7:$F$57,간접계수맵!$C$7:$C$57,$A22),0.5)</f>
        <v>2</v>
      </c>
      <c r="D22" s="60">
        <f t="shared" ca="1" si="0"/>
        <v>8</v>
      </c>
      <c r="E22" s="7" t="str">
        <f t="shared" ca="1" si="1"/>
        <v>하한</v>
      </c>
      <c r="F22" s="58" t="s">
        <v>439</v>
      </c>
      <c r="G22" s="62"/>
    </row>
    <row r="23" spans="1:8" ht="24" customHeight="1">
      <c r="A23" s="58" t="s">
        <v>162</v>
      </c>
      <c r="B23" s="64">
        <f>SUMIFS(월_당기기A!$E:$E,월_당기기A!$C:$C,$A23)+SUMIFS(화_밀기A!$E:$E,화_밀기A!$C:$C,$A23)+SUMIFS(수_하체A!$E:$E,수_하체A!$C:$C,$A23)+SUMIFS(목_당기기B!$E:$E,목_당기기B!$C:$C,$A23)+SUMIFS(금_밀기B!$E:$E,금_밀기B!$C:$C,$A23)+SUMIFS(토_하체B!$E:$E,토_하체B!$C:$C,$A23)</f>
        <v>8</v>
      </c>
      <c r="C23" s="59">
        <f>MROUND(SUMIFS(간접계수맵!$F$7:$F$57,간접계수맵!$C$7:$C$57,$A23),0.5)</f>
        <v>0</v>
      </c>
      <c r="D23" s="60">
        <f t="shared" si="0"/>
        <v>8</v>
      </c>
      <c r="E23" s="7" t="str">
        <f t="shared" si="1"/>
        <v>하한</v>
      </c>
      <c r="F23" s="58" t="s">
        <v>440</v>
      </c>
      <c r="G23" s="62"/>
    </row>
    <row r="24" spans="1:8" ht="15" customHeight="1">
      <c r="A24" s="58" t="s">
        <v>228</v>
      </c>
      <c r="B24" s="64">
        <f>SUMIFS(월_당기기A!$E:$E,월_당기기A!$C:$C,$A24)+SUMIFS(화_밀기A!$E:$E,화_밀기A!$C:$C,$A24)+SUMIFS(수_하체A!$E:$E,수_하체A!$C:$C,$A24)+SUMIFS(목_당기기B!$E:$E,목_당기기B!$C:$C,$A24)+SUMIFS(금_밀기B!$E:$E,금_밀기B!$C:$C,$A24)+SUMIFS(토_하체B!$E:$E,토_하체B!$C:$C,$A24)</f>
        <v>4</v>
      </c>
      <c r="C24" s="59">
        <f ca="1">MROUND(SUMIFS(간접계수맵!$F$7:$F$57,간접계수맵!$C$7:$C$57,$A24),0.5)</f>
        <v>6</v>
      </c>
      <c r="D24" s="60">
        <f t="shared" ca="1" si="0"/>
        <v>10</v>
      </c>
      <c r="E24" s="7" t="str">
        <f t="shared" ca="1" si="1"/>
        <v>충분</v>
      </c>
      <c r="F24" s="58" t="s">
        <v>441</v>
      </c>
      <c r="G24" s="62"/>
    </row>
    <row r="25" spans="1:8" ht="36" customHeight="1">
      <c r="A25" s="65" t="s">
        <v>442</v>
      </c>
      <c r="B25" s="15">
        <f>SUM(B5:B24)</f>
        <v>140</v>
      </c>
      <c r="C25" s="66"/>
      <c r="D25" s="67">
        <f ca="1">SUM(D5:D24)</f>
        <v>202.5</v>
      </c>
      <c r="E25" s="66"/>
      <c r="F25" s="66"/>
    </row>
    <row r="26" spans="1:8" ht="15" customHeight="1">
      <c r="A26" s="13" t="s">
        <v>443</v>
      </c>
    </row>
    <row r="27" spans="1:8" ht="16.5" customHeight="1">
      <c r="A27" s="11" t="s">
        <v>444</v>
      </c>
    </row>
    <row r="28" spans="1:8" ht="36" customHeight="1">
      <c r="A28" s="11" t="s">
        <v>445</v>
      </c>
    </row>
    <row r="29" spans="1:8" ht="48" customHeight="1">
      <c r="A29" s="11" t="s">
        <v>446</v>
      </c>
    </row>
    <row r="30" spans="1:8" ht="48" customHeight="1">
      <c r="A30" s="68"/>
    </row>
    <row r="31" spans="1:8" ht="15" customHeight="1">
      <c r="A31" s="13" t="s">
        <v>447</v>
      </c>
    </row>
    <row r="32" spans="1:8" ht="16.5" customHeight="1">
      <c r="A32" s="11" t="s">
        <v>448</v>
      </c>
    </row>
    <row r="33" spans="1:1" ht="48" customHeight="1">
      <c r="A33" s="11" t="s">
        <v>449</v>
      </c>
    </row>
    <row r="34" spans="1:1" ht="48" customHeight="1">
      <c r="A34" s="11" t="s">
        <v>450</v>
      </c>
    </row>
    <row r="35" spans="1:1" ht="15" customHeight="1">
      <c r="A35" s="68"/>
    </row>
    <row r="36" spans="1:1" ht="48" customHeight="1">
      <c r="A36" s="13" t="s">
        <v>451</v>
      </c>
    </row>
    <row r="37" spans="1:1" ht="77.25" customHeight="1">
      <c r="A37" s="11" t="s">
        <v>452</v>
      </c>
    </row>
    <row r="38" spans="1:1" ht="48" customHeight="1">
      <c r="A38" s="11" t="s">
        <v>453</v>
      </c>
    </row>
    <row r="39" spans="1:1" ht="39" customHeight="1">
      <c r="A39" s="68" t="s">
        <v>454</v>
      </c>
    </row>
    <row r="40" spans="1:1" ht="45" customHeight="1">
      <c r="A40" s="11" t="s">
        <v>455</v>
      </c>
    </row>
    <row r="41" spans="1:1" ht="48" customHeight="1">
      <c r="A41" s="11" t="s">
        <v>456</v>
      </c>
    </row>
    <row r="42" spans="1:1" ht="48" customHeight="1">
      <c r="A42" s="11" t="s">
        <v>457</v>
      </c>
    </row>
    <row r="43" spans="1:1" ht="60" customHeight="1">
      <c r="A43" s="13" t="s">
        <v>458</v>
      </c>
    </row>
    <row r="44" spans="1:1" ht="48" customHeight="1">
      <c r="A44" s="11" t="s">
        <v>459</v>
      </c>
    </row>
    <row r="45" spans="1:1" ht="51.75" customHeight="1">
      <c r="A45" s="11" t="s">
        <v>460</v>
      </c>
    </row>
    <row r="46" spans="1:1" ht="90" customHeight="1">
      <c r="A46" s="11" t="s">
        <v>461</v>
      </c>
    </row>
    <row r="47" spans="1:1" ht="51.75" customHeight="1">
      <c r="A47" s="11" t="s">
        <v>462</v>
      </c>
    </row>
  </sheetData>
  <mergeCells count="3">
    <mergeCell ref="G5:G6"/>
    <mergeCell ref="G7:G10"/>
    <mergeCell ref="G17:G18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1"/>
  <sheetViews>
    <sheetView zoomScaleNormal="100" workbookViewId="0">
      <selection activeCell="F28" sqref="F28"/>
    </sheetView>
  </sheetViews>
  <sheetFormatPr defaultColWidth="8.7109375" defaultRowHeight="15"/>
  <cols>
    <col min="1" max="1" width="9" customWidth="1"/>
    <col min="2" max="2" width="12" customWidth="1"/>
    <col min="3" max="3" width="13" customWidth="1"/>
    <col min="4" max="4" width="8" customWidth="1"/>
    <col min="5" max="5" width="13" customWidth="1"/>
    <col min="6" max="6" width="8" customWidth="1"/>
    <col min="7" max="7" width="13" customWidth="1"/>
    <col min="8" max="8" width="8" customWidth="1"/>
    <col min="9" max="9" width="13" customWidth="1"/>
    <col min="10" max="10" width="8" customWidth="1"/>
    <col min="11" max="11" width="34" customWidth="1"/>
  </cols>
  <sheetData>
    <row r="1" spans="1:11" ht="18" customHeight="1">
      <c r="A1" s="1" t="s">
        <v>463</v>
      </c>
    </row>
    <row r="2" spans="1:11" ht="15" customHeight="1">
      <c r="A2" s="2" t="s">
        <v>464</v>
      </c>
    </row>
    <row r="4" spans="1:11" ht="15" customHeight="1">
      <c r="A4" s="3" t="s">
        <v>465</v>
      </c>
    </row>
    <row r="5" spans="1:11" ht="15" customHeight="1">
      <c r="A5" s="69" t="s">
        <v>466</v>
      </c>
      <c r="C5" s="4">
        <v>5</v>
      </c>
      <c r="D5" s="68" t="s">
        <v>467</v>
      </c>
    </row>
    <row r="6" spans="1:11" ht="15" customHeight="1">
      <c r="A6" s="69" t="s">
        <v>468</v>
      </c>
      <c r="C6" s="4">
        <v>5</v>
      </c>
      <c r="D6" s="68" t="s">
        <v>469</v>
      </c>
    </row>
    <row r="7" spans="1:11" ht="15" customHeight="1">
      <c r="A7" s="69" t="s">
        <v>470</v>
      </c>
      <c r="C7" s="4">
        <v>2.25</v>
      </c>
      <c r="D7" s="68" t="s">
        <v>471</v>
      </c>
      <c r="H7">
        <f>SUM(D7:D10)</f>
        <v>0</v>
      </c>
    </row>
    <row r="8" spans="1:11" ht="84" customHeight="1">
      <c r="A8" s="69" t="s">
        <v>472</v>
      </c>
      <c r="C8" s="4">
        <v>1.25</v>
      </c>
      <c r="D8" s="68" t="s">
        <v>473</v>
      </c>
    </row>
    <row r="9" spans="1:11" ht="15" customHeight="1">
      <c r="A9" s="5" t="s">
        <v>39</v>
      </c>
      <c r="B9" s="5" t="s">
        <v>474</v>
      </c>
      <c r="C9" s="5" t="s">
        <v>475</v>
      </c>
      <c r="D9" s="5" t="s">
        <v>476</v>
      </c>
      <c r="E9" s="5" t="s">
        <v>477</v>
      </c>
      <c r="F9" s="5" t="s">
        <v>476</v>
      </c>
      <c r="G9" s="5" t="s">
        <v>478</v>
      </c>
      <c r="H9" s="5" t="s">
        <v>476</v>
      </c>
      <c r="I9" s="5" t="s">
        <v>479</v>
      </c>
      <c r="J9" s="5" t="s">
        <v>476</v>
      </c>
      <c r="K9" s="5" t="s">
        <v>123</v>
      </c>
    </row>
    <row r="10" spans="1:11" ht="15" customHeight="1">
      <c r="A10" s="8" t="s">
        <v>480</v>
      </c>
      <c r="B10" s="4"/>
      <c r="C10" s="16">
        <f>시작중량_설정!$D$7</f>
        <v>37.5</v>
      </c>
      <c r="D10" s="4"/>
      <c r="E10" s="16">
        <f>시작중량_설정!$D$8</f>
        <v>42.5</v>
      </c>
      <c r="F10" s="4"/>
      <c r="G10" s="16">
        <f>시작중량_설정!$D$9</f>
        <v>22.5</v>
      </c>
      <c r="H10" s="4"/>
      <c r="I10" s="16">
        <f>시작중량_설정!$D$10</f>
        <v>20</v>
      </c>
      <c r="J10" s="4"/>
      <c r="K10" s="70"/>
    </row>
    <row r="11" spans="1:11" ht="15" customHeight="1">
      <c r="A11" s="8" t="s">
        <v>41</v>
      </c>
      <c r="B11" s="4"/>
      <c r="C11" s="16">
        <f t="shared" ref="C11:C21" si="0">IF(D10="X",C10,C10+$C$6)</f>
        <v>42.5</v>
      </c>
      <c r="D11" s="4"/>
      <c r="E11" s="16">
        <f t="shared" ref="E11:E21" si="1">IF(F10="X",E10,E10+$C$5)</f>
        <v>47.5</v>
      </c>
      <c r="F11" s="4"/>
      <c r="G11" s="16">
        <f t="shared" ref="G11:G21" si="2">IF(H10="X",G10,G10+$C$7)</f>
        <v>24.75</v>
      </c>
      <c r="H11" s="4"/>
      <c r="I11" s="16">
        <f t="shared" ref="I11:I21" si="3">IF(J10="X",I10,I10+$C$8)</f>
        <v>21.25</v>
      </c>
      <c r="J11" s="4"/>
      <c r="K11" s="70"/>
    </row>
    <row r="12" spans="1:11" ht="15" customHeight="1">
      <c r="A12" s="8" t="s">
        <v>42</v>
      </c>
      <c r="B12" s="4"/>
      <c r="C12" s="16">
        <f t="shared" si="0"/>
        <v>47.5</v>
      </c>
      <c r="D12" s="4"/>
      <c r="E12" s="16">
        <f t="shared" si="1"/>
        <v>52.5</v>
      </c>
      <c r="F12" s="4"/>
      <c r="G12" s="16">
        <f t="shared" si="2"/>
        <v>27</v>
      </c>
      <c r="H12" s="4"/>
      <c r="I12" s="16">
        <f t="shared" si="3"/>
        <v>22.5</v>
      </c>
      <c r="J12" s="4"/>
      <c r="K12" s="70"/>
    </row>
    <row r="13" spans="1:11" ht="15" customHeight="1">
      <c r="A13" s="8" t="s">
        <v>43</v>
      </c>
      <c r="B13" s="4"/>
      <c r="C13" s="16">
        <f t="shared" si="0"/>
        <v>52.5</v>
      </c>
      <c r="D13" s="4"/>
      <c r="E13" s="16">
        <f t="shared" si="1"/>
        <v>57.5</v>
      </c>
      <c r="F13" s="4"/>
      <c r="G13" s="16">
        <f t="shared" si="2"/>
        <v>29.25</v>
      </c>
      <c r="H13" s="4"/>
      <c r="I13" s="16">
        <f t="shared" si="3"/>
        <v>23.75</v>
      </c>
      <c r="J13" s="4"/>
      <c r="K13" s="70"/>
    </row>
    <row r="14" spans="1:11" ht="15" customHeight="1">
      <c r="A14" s="8" t="s">
        <v>44</v>
      </c>
      <c r="B14" s="4"/>
      <c r="C14" s="16">
        <f t="shared" si="0"/>
        <v>57.5</v>
      </c>
      <c r="D14" s="4"/>
      <c r="E14" s="16">
        <f t="shared" si="1"/>
        <v>62.5</v>
      </c>
      <c r="F14" s="4"/>
      <c r="G14" s="16">
        <f t="shared" si="2"/>
        <v>31.5</v>
      </c>
      <c r="H14" s="4"/>
      <c r="I14" s="16">
        <f t="shared" si="3"/>
        <v>25</v>
      </c>
      <c r="J14" s="4"/>
      <c r="K14" s="70"/>
    </row>
    <row r="15" spans="1:11" ht="15" customHeight="1">
      <c r="A15" s="8" t="s">
        <v>45</v>
      </c>
      <c r="B15" s="4"/>
      <c r="C15" s="16">
        <f t="shared" si="0"/>
        <v>62.5</v>
      </c>
      <c r="D15" s="4"/>
      <c r="E15" s="16">
        <f t="shared" si="1"/>
        <v>67.5</v>
      </c>
      <c r="F15" s="4"/>
      <c r="G15" s="16">
        <f t="shared" si="2"/>
        <v>33.75</v>
      </c>
      <c r="H15" s="4"/>
      <c r="I15" s="16">
        <f t="shared" si="3"/>
        <v>26.25</v>
      </c>
      <c r="J15" s="4"/>
      <c r="K15" s="70"/>
    </row>
    <row r="16" spans="1:11" ht="15" customHeight="1">
      <c r="A16" s="8" t="s">
        <v>46</v>
      </c>
      <c r="B16" s="4"/>
      <c r="C16" s="16">
        <f t="shared" si="0"/>
        <v>67.5</v>
      </c>
      <c r="D16" s="4"/>
      <c r="E16" s="16">
        <f t="shared" si="1"/>
        <v>72.5</v>
      </c>
      <c r="F16" s="4"/>
      <c r="G16" s="16">
        <f t="shared" si="2"/>
        <v>36</v>
      </c>
      <c r="H16" s="4"/>
      <c r="I16" s="16">
        <f t="shared" si="3"/>
        <v>27.5</v>
      </c>
      <c r="J16" s="4"/>
      <c r="K16" s="70"/>
    </row>
    <row r="17" spans="1:11" ht="15" customHeight="1">
      <c r="A17" s="8" t="s">
        <v>47</v>
      </c>
      <c r="B17" s="4"/>
      <c r="C17" s="16">
        <f t="shared" si="0"/>
        <v>72.5</v>
      </c>
      <c r="D17" s="4"/>
      <c r="E17" s="16">
        <f t="shared" si="1"/>
        <v>77.5</v>
      </c>
      <c r="F17" s="4"/>
      <c r="G17" s="16">
        <f t="shared" si="2"/>
        <v>38.25</v>
      </c>
      <c r="H17" s="4"/>
      <c r="I17" s="16">
        <f t="shared" si="3"/>
        <v>28.75</v>
      </c>
      <c r="J17" s="4"/>
      <c r="K17" s="70"/>
    </row>
    <row r="18" spans="1:11" ht="15" customHeight="1">
      <c r="A18" s="8" t="s">
        <v>48</v>
      </c>
      <c r="B18" s="4"/>
      <c r="C18" s="16">
        <f t="shared" si="0"/>
        <v>77.5</v>
      </c>
      <c r="D18" s="4"/>
      <c r="E18" s="16">
        <f t="shared" si="1"/>
        <v>82.5</v>
      </c>
      <c r="F18" s="4"/>
      <c r="G18" s="16">
        <f t="shared" si="2"/>
        <v>40.5</v>
      </c>
      <c r="H18" s="4"/>
      <c r="I18" s="16">
        <f t="shared" si="3"/>
        <v>30</v>
      </c>
      <c r="J18" s="4"/>
      <c r="K18" s="70"/>
    </row>
    <row r="19" spans="1:11" ht="15" customHeight="1">
      <c r="A19" s="8" t="s">
        <v>49</v>
      </c>
      <c r="B19" s="4"/>
      <c r="C19" s="16">
        <f t="shared" si="0"/>
        <v>82.5</v>
      </c>
      <c r="D19" s="4"/>
      <c r="E19" s="16">
        <f t="shared" si="1"/>
        <v>87.5</v>
      </c>
      <c r="F19" s="4"/>
      <c r="G19" s="16">
        <f t="shared" si="2"/>
        <v>42.75</v>
      </c>
      <c r="H19" s="4"/>
      <c r="I19" s="16">
        <f t="shared" si="3"/>
        <v>31.25</v>
      </c>
      <c r="J19" s="4"/>
      <c r="K19" s="70"/>
    </row>
    <row r="20" spans="1:11" ht="15" customHeight="1">
      <c r="A20" s="8" t="s">
        <v>50</v>
      </c>
      <c r="B20" s="4"/>
      <c r="C20" s="16">
        <f t="shared" si="0"/>
        <v>87.5</v>
      </c>
      <c r="D20" s="4"/>
      <c r="E20" s="16">
        <f t="shared" si="1"/>
        <v>92.5</v>
      </c>
      <c r="F20" s="4"/>
      <c r="G20" s="16">
        <f t="shared" si="2"/>
        <v>45</v>
      </c>
      <c r="H20" s="4"/>
      <c r="I20" s="16">
        <f t="shared" si="3"/>
        <v>32.5</v>
      </c>
      <c r="J20" s="4"/>
      <c r="K20" s="70"/>
    </row>
    <row r="21" spans="1:11" ht="15" customHeight="1">
      <c r="A21" s="8" t="s">
        <v>51</v>
      </c>
      <c r="B21" s="4"/>
      <c r="C21" s="16">
        <f t="shared" si="0"/>
        <v>92.5</v>
      </c>
      <c r="D21" s="4"/>
      <c r="E21" s="16">
        <f t="shared" si="1"/>
        <v>97.5</v>
      </c>
      <c r="F21" s="4"/>
      <c r="G21" s="16">
        <f t="shared" si="2"/>
        <v>47.25</v>
      </c>
      <c r="H21" s="4"/>
      <c r="I21" s="16">
        <f t="shared" si="3"/>
        <v>33.75</v>
      </c>
      <c r="J21" s="4"/>
      <c r="K21" s="70"/>
    </row>
    <row r="23" spans="1:11" ht="108" customHeight="1">
      <c r="A23" s="11" t="s">
        <v>481</v>
      </c>
    </row>
    <row r="24" spans="1:11" ht="84" customHeight="1">
      <c r="A24" s="11" t="s">
        <v>482</v>
      </c>
    </row>
    <row r="25" spans="1:11" ht="84" customHeight="1">
      <c r="A25" s="11" t="s">
        <v>483</v>
      </c>
    </row>
    <row r="26" spans="1:11" ht="120" customHeight="1">
      <c r="A26" s="11"/>
    </row>
    <row r="27" spans="1:11" ht="96" customHeight="1">
      <c r="A27" s="11" t="s">
        <v>484</v>
      </c>
    </row>
    <row r="28" spans="1:11" ht="108" customHeight="1">
      <c r="A28" s="11" t="s">
        <v>485</v>
      </c>
    </row>
    <row r="29" spans="1:11" ht="108" customHeight="1">
      <c r="A29" s="11" t="s">
        <v>486</v>
      </c>
    </row>
    <row r="30" spans="1:11" ht="156" customHeight="1">
      <c r="A30" s="11" t="s">
        <v>487</v>
      </c>
    </row>
    <row r="31" spans="1:11" ht="96" customHeight="1">
      <c r="A31" s="11" t="s">
        <v>488</v>
      </c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"/>
  <sheetViews>
    <sheetView zoomScaleNormal="100" workbookViewId="0"/>
  </sheetViews>
  <sheetFormatPr defaultColWidth="8.7109375" defaultRowHeight="15"/>
  <cols>
    <col min="1" max="2" width="26" customWidth="1"/>
    <col min="3" max="3" width="60" customWidth="1"/>
  </cols>
  <sheetData>
    <row r="1" spans="1:3" ht="18" customHeight="1">
      <c r="A1" s="71" t="s">
        <v>489</v>
      </c>
    </row>
    <row r="2" spans="1:3" ht="15" customHeight="1">
      <c r="A2" s="2" t="s">
        <v>490</v>
      </c>
    </row>
    <row r="4" spans="1:3" ht="15" customHeight="1">
      <c r="A4" s="5" t="s">
        <v>491</v>
      </c>
      <c r="B4" s="5" t="s">
        <v>492</v>
      </c>
      <c r="C4" s="5" t="s">
        <v>493</v>
      </c>
    </row>
    <row r="5" spans="1:3" ht="15" customHeight="1">
      <c r="A5" s="7" t="s">
        <v>424</v>
      </c>
      <c r="B5" s="7" t="s">
        <v>494</v>
      </c>
      <c r="C5" s="58" t="s">
        <v>495</v>
      </c>
    </row>
    <row r="6" spans="1:3" ht="15" customHeight="1">
      <c r="A6" s="7" t="s">
        <v>496</v>
      </c>
      <c r="B6" s="7" t="s">
        <v>494</v>
      </c>
      <c r="C6" s="58" t="s">
        <v>497</v>
      </c>
    </row>
    <row r="7" spans="1:3" ht="15" customHeight="1">
      <c r="A7" s="7" t="s">
        <v>166</v>
      </c>
      <c r="B7" s="7" t="s">
        <v>498</v>
      </c>
      <c r="C7" s="58" t="s">
        <v>499</v>
      </c>
    </row>
    <row r="8" spans="1:3" ht="15" customHeight="1">
      <c r="A8" s="72" t="s">
        <v>500</v>
      </c>
      <c r="B8" s="72" t="s">
        <v>501</v>
      </c>
      <c r="C8" s="73" t="s">
        <v>502</v>
      </c>
    </row>
    <row r="9" spans="1:3" ht="15" customHeight="1">
      <c r="A9" s="72" t="s">
        <v>503</v>
      </c>
      <c r="B9" s="72" t="s">
        <v>501</v>
      </c>
      <c r="C9" s="73" t="s">
        <v>504</v>
      </c>
    </row>
    <row r="10" spans="1:3" ht="15" customHeight="1">
      <c r="A10" s="7" t="s">
        <v>505</v>
      </c>
      <c r="B10" s="7" t="s">
        <v>506</v>
      </c>
      <c r="C10" s="74" t="s">
        <v>507</v>
      </c>
    </row>
    <row r="11" spans="1:3" ht="15" customHeight="1">
      <c r="A11" s="7" t="s">
        <v>508</v>
      </c>
      <c r="B11" s="8" t="s">
        <v>509</v>
      </c>
      <c r="C11" s="58" t="s">
        <v>510</v>
      </c>
    </row>
    <row r="12" spans="1:3" ht="15" customHeight="1">
      <c r="A12" s="7" t="s">
        <v>511</v>
      </c>
      <c r="B12" s="7" t="s">
        <v>512</v>
      </c>
      <c r="C12" s="58" t="s">
        <v>513</v>
      </c>
    </row>
    <row r="15" spans="1:3" ht="24" customHeight="1">
      <c r="A15" s="11" t="s">
        <v>514</v>
      </c>
    </row>
    <row r="16" spans="1:3" ht="24" customHeight="1">
      <c r="A16" s="11" t="s">
        <v>515</v>
      </c>
    </row>
    <row r="17" spans="1:1" ht="36" customHeight="1">
      <c r="A17" s="11" t="s">
        <v>516</v>
      </c>
    </row>
    <row r="18" spans="1:1" ht="15" customHeight="1">
      <c r="A18" s="68"/>
    </row>
    <row r="19" spans="1:1" ht="36" customHeight="1">
      <c r="A19" s="11" t="s">
        <v>517</v>
      </c>
    </row>
    <row r="20" spans="1:1" ht="36" customHeight="1">
      <c r="A20" s="11" t="s">
        <v>518</v>
      </c>
    </row>
    <row r="22" spans="1:1" ht="48" customHeight="1">
      <c r="A22" s="13" t="s">
        <v>519</v>
      </c>
    </row>
    <row r="24" spans="1:1" ht="16.5" customHeight="1">
      <c r="A24" s="14" t="s">
        <v>520</v>
      </c>
    </row>
    <row r="25" spans="1:1" ht="16.5" customHeight="1">
      <c r="A25" t="s">
        <v>521</v>
      </c>
    </row>
    <row r="26" spans="1:1" ht="16.5" customHeight="1">
      <c r="A26" t="s">
        <v>522</v>
      </c>
    </row>
    <row r="27" spans="1:1" ht="16.5" customHeight="1">
      <c r="A27" t="s">
        <v>523</v>
      </c>
    </row>
    <row r="28" spans="1:1" ht="16.5" customHeight="1">
      <c r="A28" t="s">
        <v>524</v>
      </c>
    </row>
    <row r="30" spans="1:1" ht="16.5" customHeight="1">
      <c r="A30" t="s">
        <v>525</v>
      </c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4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4" width="16" customWidth="1"/>
    <col min="5" max="5" width="10" customWidth="1"/>
    <col min="6" max="6" width="62" customWidth="1"/>
  </cols>
  <sheetData>
    <row r="1" spans="1:6" ht="17.25" customHeight="1">
      <c r="A1" s="1" t="s">
        <v>526</v>
      </c>
    </row>
    <row r="2" spans="1:6" ht="15" customHeight="1">
      <c r="A2" s="75" t="s">
        <v>527</v>
      </c>
    </row>
    <row r="3" spans="1:6" ht="16.5" customHeight="1">
      <c r="A3" s="3" t="s">
        <v>528</v>
      </c>
    </row>
    <row r="5" spans="1:6" ht="15" customHeight="1">
      <c r="A5" s="5" t="s">
        <v>55</v>
      </c>
      <c r="B5" s="5" t="s">
        <v>529</v>
      </c>
      <c r="C5" s="5" t="s">
        <v>530</v>
      </c>
      <c r="D5" s="5" t="s">
        <v>531</v>
      </c>
      <c r="E5" s="5" t="s">
        <v>59</v>
      </c>
      <c r="F5" s="5" t="s">
        <v>532</v>
      </c>
    </row>
    <row r="6" spans="1:6" ht="15" customHeight="1">
      <c r="A6" s="76" t="s">
        <v>61</v>
      </c>
      <c r="B6" s="77" t="s">
        <v>533</v>
      </c>
      <c r="C6" s="77" t="s">
        <v>533</v>
      </c>
      <c r="D6" s="76" t="s">
        <v>88</v>
      </c>
      <c r="E6" s="76">
        <v>0</v>
      </c>
      <c r="F6" s="78" t="s">
        <v>534</v>
      </c>
    </row>
    <row r="7" spans="1:6" ht="15" customHeight="1">
      <c r="A7" s="7" t="s">
        <v>66</v>
      </c>
      <c r="B7" s="8" t="s">
        <v>533</v>
      </c>
      <c r="C7" s="8" t="s">
        <v>533</v>
      </c>
      <c r="D7" s="72" t="s">
        <v>535</v>
      </c>
      <c r="E7" s="7">
        <f>복귀_화_상체밀기!$E$11</f>
        <v>22</v>
      </c>
      <c r="F7" s="74" t="s">
        <v>536</v>
      </c>
    </row>
    <row r="8" spans="1:6" ht="15" customHeight="1">
      <c r="A8" s="76" t="s">
        <v>71</v>
      </c>
      <c r="B8" s="77" t="s">
        <v>537</v>
      </c>
      <c r="C8" s="77" t="s">
        <v>533</v>
      </c>
      <c r="D8" s="76" t="s">
        <v>88</v>
      </c>
      <c r="E8" s="76">
        <v>0</v>
      </c>
      <c r="F8" s="78" t="s">
        <v>538</v>
      </c>
    </row>
    <row r="9" spans="1:6" ht="15" customHeight="1">
      <c r="A9" s="76" t="s">
        <v>76</v>
      </c>
      <c r="B9" s="77" t="s">
        <v>537</v>
      </c>
      <c r="C9" s="77" t="s">
        <v>537</v>
      </c>
      <c r="D9" s="76" t="s">
        <v>88</v>
      </c>
      <c r="E9" s="76">
        <v>0</v>
      </c>
      <c r="F9" s="78" t="s">
        <v>539</v>
      </c>
    </row>
    <row r="10" spans="1:6" ht="15" customHeight="1">
      <c r="A10" s="76" t="s">
        <v>79</v>
      </c>
      <c r="B10" s="77" t="s">
        <v>533</v>
      </c>
      <c r="C10" s="77" t="s">
        <v>537</v>
      </c>
      <c r="D10" s="76" t="s">
        <v>88</v>
      </c>
      <c r="E10" s="76">
        <v>0</v>
      </c>
      <c r="F10" s="78" t="s">
        <v>540</v>
      </c>
    </row>
    <row r="11" spans="1:6" ht="15" customHeight="1">
      <c r="A11" s="7" t="s">
        <v>83</v>
      </c>
      <c r="B11" s="7" t="s">
        <v>541</v>
      </c>
      <c r="C11" s="7" t="s">
        <v>541</v>
      </c>
      <c r="D11" s="72" t="s">
        <v>496</v>
      </c>
      <c r="E11" s="7">
        <f>복귀_토_하체!$E$12</f>
        <v>22</v>
      </c>
      <c r="F11" s="58" t="s">
        <v>542</v>
      </c>
    </row>
    <row r="12" spans="1:6" ht="15" customHeight="1">
      <c r="A12" s="7" t="s">
        <v>87</v>
      </c>
      <c r="B12" s="7" t="s">
        <v>543</v>
      </c>
      <c r="C12" s="7" t="s">
        <v>543</v>
      </c>
      <c r="D12" s="72" t="s">
        <v>424</v>
      </c>
      <c r="E12" s="7">
        <f>복귀_일_등!$E$13</f>
        <v>22</v>
      </c>
      <c r="F12" s="58" t="s">
        <v>544</v>
      </c>
    </row>
    <row r="13" spans="1:6" ht="15" customHeight="1">
      <c r="A13" s="28" t="s">
        <v>89</v>
      </c>
      <c r="B13" s="28"/>
      <c r="C13" s="28"/>
      <c r="D13" s="28"/>
      <c r="E13" s="28">
        <f>SUM(E6:E12)</f>
        <v>66</v>
      </c>
      <c r="F13" s="29"/>
    </row>
    <row r="15" spans="1:6" ht="48" customHeight="1">
      <c r="A15" s="13" t="s">
        <v>545</v>
      </c>
    </row>
    <row r="16" spans="1:6" ht="141" customHeight="1">
      <c r="A16" s="11" t="s">
        <v>546</v>
      </c>
    </row>
    <row r="17" spans="1:1" ht="126" customHeight="1">
      <c r="A17" s="11" t="s">
        <v>547</v>
      </c>
    </row>
    <row r="18" spans="1:1" ht="77.25" customHeight="1">
      <c r="A18" s="11" t="s">
        <v>548</v>
      </c>
    </row>
    <row r="19" spans="1:1" ht="115.5" customHeight="1">
      <c r="A19" s="11" t="s">
        <v>549</v>
      </c>
    </row>
    <row r="20" spans="1:1" ht="15" customHeight="1">
      <c r="A20" s="68"/>
    </row>
    <row r="21" spans="1:1" ht="48" customHeight="1">
      <c r="A21" s="13" t="s">
        <v>550</v>
      </c>
    </row>
    <row r="22" spans="1:1" ht="141" customHeight="1">
      <c r="A22" s="11" t="s">
        <v>551</v>
      </c>
    </row>
    <row r="23" spans="1:1" ht="77.25" customHeight="1">
      <c r="A23" s="11" t="s">
        <v>552</v>
      </c>
    </row>
    <row r="24" spans="1:1" ht="90" customHeight="1">
      <c r="A24" s="11" t="s">
        <v>553</v>
      </c>
    </row>
    <row r="25" spans="1:1" ht="128.25" customHeight="1">
      <c r="A25" s="11" t="s">
        <v>554</v>
      </c>
    </row>
    <row r="26" spans="1:1" ht="128.25" customHeight="1">
      <c r="A26" s="11" t="s">
        <v>555</v>
      </c>
    </row>
    <row r="27" spans="1:1" ht="15" customHeight="1">
      <c r="A27" s="68"/>
    </row>
    <row r="28" spans="1:1" ht="48" customHeight="1">
      <c r="A28" s="13" t="s">
        <v>556</v>
      </c>
    </row>
    <row r="29" spans="1:1" ht="75" customHeight="1">
      <c r="A29" s="11" t="s">
        <v>557</v>
      </c>
    </row>
    <row r="30" spans="1:1" ht="102.75" customHeight="1">
      <c r="A30" s="11" t="s">
        <v>558</v>
      </c>
    </row>
    <row r="31" spans="1:1" ht="90" customHeight="1">
      <c r="A31" s="11" t="s">
        <v>559</v>
      </c>
    </row>
    <row r="32" spans="1:1" ht="128.25" customHeight="1">
      <c r="A32" s="11" t="s">
        <v>560</v>
      </c>
    </row>
    <row r="33" spans="1:1" ht="144" customHeight="1">
      <c r="A33" s="11" t="s">
        <v>561</v>
      </c>
    </row>
    <row r="34" spans="1:1" ht="15" customHeight="1">
      <c r="A34" s="79" t="s">
        <v>562</v>
      </c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zoomScaleNormal="100" workbookViewId="0">
      <selection activeCell="F14" sqref="F14"/>
    </sheetView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563</v>
      </c>
    </row>
    <row r="2" spans="1:8" ht="15" customHeight="1">
      <c r="A2" s="2" t="s">
        <v>564</v>
      </c>
    </row>
    <row r="4" spans="1:8" ht="15" customHeight="1">
      <c r="A4" s="6" t="s">
        <v>118</v>
      </c>
      <c r="B4" s="5" t="s">
        <v>4</v>
      </c>
      <c r="C4" s="5" t="s">
        <v>119</v>
      </c>
      <c r="D4" s="5" t="s">
        <v>120</v>
      </c>
      <c r="E4" s="5" t="s">
        <v>59</v>
      </c>
      <c r="F4" s="5" t="s">
        <v>121</v>
      </c>
      <c r="G4" s="5" t="s">
        <v>123</v>
      </c>
      <c r="H4" s="5" t="s">
        <v>124</v>
      </c>
    </row>
    <row r="5" spans="1:8" ht="15" customHeight="1">
      <c r="A5" s="72">
        <v>1</v>
      </c>
      <c r="B5" s="73" t="s">
        <v>14</v>
      </c>
      <c r="C5" s="72" t="s">
        <v>182</v>
      </c>
      <c r="D5" s="80">
        <f>시작중량_설정!$E$9</f>
        <v>24.75</v>
      </c>
      <c r="E5" s="72">
        <v>5</v>
      </c>
      <c r="F5" s="64" t="s">
        <v>183</v>
      </c>
      <c r="G5" s="73" t="s">
        <v>565</v>
      </c>
      <c r="H5" s="73" t="s">
        <v>566</v>
      </c>
    </row>
    <row r="6" spans="1:8" ht="15" customHeight="1">
      <c r="A6" s="7">
        <v>2</v>
      </c>
      <c r="B6" s="58" t="s">
        <v>292</v>
      </c>
      <c r="C6" s="7" t="s">
        <v>182</v>
      </c>
      <c r="D6" s="8" t="s">
        <v>293</v>
      </c>
      <c r="E6" s="7">
        <v>3</v>
      </c>
      <c r="F6" s="8" t="s">
        <v>132</v>
      </c>
      <c r="G6" s="58" t="s">
        <v>567</v>
      </c>
      <c r="H6" s="58" t="s">
        <v>568</v>
      </c>
    </row>
    <row r="7" spans="1:8" ht="15" customHeight="1">
      <c r="A7" s="7">
        <v>3</v>
      </c>
      <c r="B7" s="58" t="s">
        <v>296</v>
      </c>
      <c r="C7" s="7" t="s">
        <v>193</v>
      </c>
      <c r="D7" s="8" t="s">
        <v>297</v>
      </c>
      <c r="E7" s="7">
        <v>3</v>
      </c>
      <c r="F7" s="8" t="s">
        <v>138</v>
      </c>
      <c r="G7" s="58" t="s">
        <v>569</v>
      </c>
      <c r="H7" s="58" t="s">
        <v>570</v>
      </c>
    </row>
    <row r="8" spans="1:8" ht="15" customHeight="1">
      <c r="A8" s="7">
        <v>4</v>
      </c>
      <c r="B8" s="58" t="s">
        <v>197</v>
      </c>
      <c r="C8" s="7" t="s">
        <v>189</v>
      </c>
      <c r="D8" s="8" t="s">
        <v>150</v>
      </c>
      <c r="E8" s="7">
        <v>3</v>
      </c>
      <c r="F8" s="8" t="s">
        <v>132</v>
      </c>
      <c r="G8" s="58" t="s">
        <v>571</v>
      </c>
      <c r="H8" s="58" t="s">
        <v>572</v>
      </c>
    </row>
    <row r="9" spans="1:8" ht="15" customHeight="1">
      <c r="A9" s="7">
        <v>5</v>
      </c>
      <c r="B9" s="58" t="s">
        <v>200</v>
      </c>
      <c r="C9" s="7" t="s">
        <v>201</v>
      </c>
      <c r="D9" s="8" t="s">
        <v>138</v>
      </c>
      <c r="E9" s="7">
        <v>4</v>
      </c>
      <c r="F9" s="8" t="s">
        <v>145</v>
      </c>
      <c r="G9" s="58" t="s">
        <v>573</v>
      </c>
      <c r="H9" s="58" t="s">
        <v>574</v>
      </c>
    </row>
    <row r="10" spans="1:8" ht="15" customHeight="1">
      <c r="A10" s="7">
        <v>6</v>
      </c>
      <c r="B10" s="58" t="s">
        <v>300</v>
      </c>
      <c r="C10" s="7" t="s">
        <v>205</v>
      </c>
      <c r="D10" s="8" t="s">
        <v>138</v>
      </c>
      <c r="E10" s="7">
        <v>4</v>
      </c>
      <c r="F10" s="8" t="s">
        <v>145</v>
      </c>
      <c r="G10" s="58" t="s">
        <v>575</v>
      </c>
      <c r="H10" s="58" t="s">
        <v>576</v>
      </c>
    </row>
    <row r="11" spans="1:8" ht="15" customHeight="1">
      <c r="D11" s="81" t="s">
        <v>171</v>
      </c>
      <c r="E11" s="28">
        <f>SUM(E5:E10)</f>
        <v>22</v>
      </c>
    </row>
    <row r="13" spans="1:8" ht="32.25" customHeight="1">
      <c r="A13" s="12" t="s">
        <v>577</v>
      </c>
    </row>
    <row r="14" spans="1:8" ht="278.25" customHeight="1">
      <c r="A14" s="11" t="s">
        <v>578</v>
      </c>
    </row>
    <row r="15" spans="1:8" ht="237.75" customHeight="1">
      <c r="A15" s="11" t="s">
        <v>579</v>
      </c>
    </row>
    <row r="16" spans="1:8" ht="237.75" customHeight="1">
      <c r="A16" s="11" t="s">
        <v>580</v>
      </c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7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581</v>
      </c>
    </row>
    <row r="2" spans="1:8" ht="15" customHeight="1">
      <c r="A2" s="2" t="s">
        <v>582</v>
      </c>
    </row>
    <row r="4" spans="1:8" ht="15" customHeight="1">
      <c r="A4" s="6" t="s">
        <v>118</v>
      </c>
      <c r="B4" s="5" t="s">
        <v>4</v>
      </c>
      <c r="C4" s="5" t="s">
        <v>119</v>
      </c>
      <c r="D4" s="5" t="s">
        <v>120</v>
      </c>
      <c r="E4" s="5" t="s">
        <v>59</v>
      </c>
      <c r="F4" s="5" t="s">
        <v>121</v>
      </c>
      <c r="G4" s="5" t="s">
        <v>123</v>
      </c>
      <c r="H4" s="5" t="s">
        <v>124</v>
      </c>
    </row>
    <row r="5" spans="1:8" ht="29.25" customHeight="1">
      <c r="A5" s="72">
        <v>1</v>
      </c>
      <c r="B5" s="73" t="s">
        <v>10</v>
      </c>
      <c r="C5" s="72" t="s">
        <v>210</v>
      </c>
      <c r="D5" s="80">
        <f>시작중량_설정!$E$7</f>
        <v>42.5</v>
      </c>
      <c r="E5" s="72">
        <v>3</v>
      </c>
      <c r="F5" s="64">
        <v>5</v>
      </c>
      <c r="G5" s="73" t="s">
        <v>583</v>
      </c>
      <c r="H5" s="73" t="s">
        <v>584</v>
      </c>
    </row>
    <row r="6" spans="1:8" ht="29.25" customHeight="1">
      <c r="A6" s="72">
        <v>2</v>
      </c>
      <c r="B6" s="73" t="s">
        <v>214</v>
      </c>
      <c r="C6" s="72" t="s">
        <v>210</v>
      </c>
      <c r="D6" s="80" t="s">
        <v>63</v>
      </c>
      <c r="E6" s="72">
        <v>4</v>
      </c>
      <c r="F6" s="64" t="s">
        <v>132</v>
      </c>
      <c r="G6" s="73" t="s">
        <v>585</v>
      </c>
      <c r="H6" s="73" t="s">
        <v>586</v>
      </c>
    </row>
    <row r="7" spans="1:8" ht="15" customHeight="1">
      <c r="A7" s="7">
        <v>3</v>
      </c>
      <c r="B7" s="58" t="s">
        <v>338</v>
      </c>
      <c r="C7" s="7" t="s">
        <v>210</v>
      </c>
      <c r="D7" s="8" t="s">
        <v>63</v>
      </c>
      <c r="E7" s="7">
        <v>3</v>
      </c>
      <c r="F7" s="8" t="s">
        <v>194</v>
      </c>
      <c r="G7" s="58" t="s">
        <v>587</v>
      </c>
      <c r="H7" s="58" t="s">
        <v>588</v>
      </c>
    </row>
    <row r="8" spans="1:8" ht="15" customHeight="1">
      <c r="A8" s="7">
        <v>4</v>
      </c>
      <c r="B8" s="58" t="s">
        <v>223</v>
      </c>
      <c r="C8" s="7" t="s">
        <v>224</v>
      </c>
      <c r="D8" s="8" t="s">
        <v>63</v>
      </c>
      <c r="E8" s="7">
        <v>3</v>
      </c>
      <c r="F8" s="8" t="s">
        <v>194</v>
      </c>
      <c r="G8" s="58" t="s">
        <v>589</v>
      </c>
      <c r="H8" s="58" t="s">
        <v>590</v>
      </c>
    </row>
    <row r="9" spans="1:8" ht="15" customHeight="1">
      <c r="A9" s="7">
        <v>5</v>
      </c>
      <c r="B9" s="58" t="s">
        <v>334</v>
      </c>
      <c r="C9" s="7" t="s">
        <v>224</v>
      </c>
      <c r="D9" s="8" t="s">
        <v>63</v>
      </c>
      <c r="E9" s="7">
        <v>3</v>
      </c>
      <c r="F9" s="8">
        <v>10</v>
      </c>
      <c r="G9" s="58" t="s">
        <v>591</v>
      </c>
      <c r="H9" s="58" t="s">
        <v>592</v>
      </c>
    </row>
    <row r="10" spans="1:8" ht="15" customHeight="1">
      <c r="A10" s="7">
        <v>6</v>
      </c>
      <c r="B10" s="58" t="s">
        <v>343</v>
      </c>
      <c r="C10" s="7" t="s">
        <v>237</v>
      </c>
      <c r="D10" s="8" t="s">
        <v>63</v>
      </c>
      <c r="E10" s="7">
        <v>3</v>
      </c>
      <c r="F10" s="8" t="s">
        <v>145</v>
      </c>
      <c r="G10" s="58" t="s">
        <v>593</v>
      </c>
      <c r="H10" s="58" t="s">
        <v>594</v>
      </c>
    </row>
    <row r="11" spans="1:8" ht="15" customHeight="1">
      <c r="A11" s="7">
        <v>7</v>
      </c>
      <c r="B11" s="58" t="s">
        <v>595</v>
      </c>
      <c r="C11" s="7" t="s">
        <v>281</v>
      </c>
      <c r="D11" s="82">
        <f>시작중량_설정!$E$10</f>
        <v>21.25</v>
      </c>
      <c r="E11" s="7">
        <v>3</v>
      </c>
      <c r="F11" s="8">
        <v>5</v>
      </c>
      <c r="G11" s="58" t="s">
        <v>596</v>
      </c>
      <c r="H11" s="58" t="s">
        <v>597</v>
      </c>
    </row>
    <row r="12" spans="1:8" ht="15" customHeight="1">
      <c r="D12" s="81" t="s">
        <v>171</v>
      </c>
      <c r="E12" s="28">
        <f>SUM(E5:E11)</f>
        <v>22</v>
      </c>
    </row>
    <row r="14" spans="1:8" ht="76.5" customHeight="1">
      <c r="A14" s="12" t="s">
        <v>598</v>
      </c>
    </row>
    <row r="15" spans="1:8" ht="265.5" customHeight="1">
      <c r="A15" s="11" t="s">
        <v>599</v>
      </c>
    </row>
    <row r="16" spans="1:8" ht="293.25" customHeight="1">
      <c r="A16" s="11" t="s">
        <v>600</v>
      </c>
    </row>
    <row r="17" spans="1:1" ht="276" customHeight="1">
      <c r="A17" s="11" t="s">
        <v>601</v>
      </c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3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602</v>
      </c>
    </row>
    <row r="2" spans="1:8" ht="15" customHeight="1">
      <c r="A2" s="2" t="s">
        <v>603</v>
      </c>
    </row>
    <row r="4" spans="1:8" ht="15" customHeight="1">
      <c r="A4" s="6" t="s">
        <v>118</v>
      </c>
      <c r="B4" s="5" t="s">
        <v>4</v>
      </c>
      <c r="C4" s="5" t="s">
        <v>119</v>
      </c>
      <c r="D4" s="5" t="s">
        <v>120</v>
      </c>
      <c r="E4" s="5" t="s">
        <v>59</v>
      </c>
      <c r="F4" s="5" t="s">
        <v>121</v>
      </c>
      <c r="G4" s="5" t="s">
        <v>123</v>
      </c>
      <c r="H4" s="5" t="s">
        <v>124</v>
      </c>
    </row>
    <row r="5" spans="1:8" ht="29.25" customHeight="1">
      <c r="A5" s="72">
        <v>1</v>
      </c>
      <c r="B5" s="73" t="s">
        <v>12</v>
      </c>
      <c r="C5" s="72" t="s">
        <v>166</v>
      </c>
      <c r="D5" s="83">
        <f>시작중량_설정!$E$8</f>
        <v>47.5</v>
      </c>
      <c r="E5" s="72">
        <v>1</v>
      </c>
      <c r="F5" s="64">
        <v>5</v>
      </c>
      <c r="G5" s="73" t="s">
        <v>604</v>
      </c>
      <c r="H5" s="73" t="s">
        <v>605</v>
      </c>
    </row>
    <row r="6" spans="1:8" ht="15" customHeight="1">
      <c r="A6" s="7">
        <v>2</v>
      </c>
      <c r="B6" s="58" t="s">
        <v>247</v>
      </c>
      <c r="C6" s="7" t="s">
        <v>126</v>
      </c>
      <c r="D6" s="8" t="s">
        <v>63</v>
      </c>
      <c r="E6" s="7">
        <v>3</v>
      </c>
      <c r="F6" s="8" t="s">
        <v>138</v>
      </c>
      <c r="G6" s="58" t="s">
        <v>606</v>
      </c>
      <c r="H6" s="58" t="s">
        <v>607</v>
      </c>
    </row>
    <row r="7" spans="1:8" ht="15" customHeight="1">
      <c r="A7" s="7">
        <v>3</v>
      </c>
      <c r="B7" s="58" t="s">
        <v>251</v>
      </c>
      <c r="C7" s="7" t="s">
        <v>126</v>
      </c>
      <c r="D7" s="7" t="s">
        <v>63</v>
      </c>
      <c r="E7" s="7">
        <v>3</v>
      </c>
      <c r="F7" s="8" t="s">
        <v>132</v>
      </c>
      <c r="G7" s="58" t="s">
        <v>608</v>
      </c>
      <c r="H7" s="58" t="s">
        <v>609</v>
      </c>
    </row>
    <row r="8" spans="1:8" ht="15" customHeight="1">
      <c r="A8" s="7">
        <v>4</v>
      </c>
      <c r="B8" s="58" t="s">
        <v>125</v>
      </c>
      <c r="C8" s="7" t="s">
        <v>126</v>
      </c>
      <c r="D8" s="7" t="s">
        <v>137</v>
      </c>
      <c r="E8" s="7">
        <v>3</v>
      </c>
      <c r="F8" s="8" t="s">
        <v>127</v>
      </c>
      <c r="G8" s="58" t="s">
        <v>610</v>
      </c>
      <c r="H8" s="58" t="s">
        <v>611</v>
      </c>
    </row>
    <row r="9" spans="1:8" ht="15" customHeight="1">
      <c r="A9" s="7">
        <v>5</v>
      </c>
      <c r="B9" s="58" t="s">
        <v>131</v>
      </c>
      <c r="C9" s="7" t="s">
        <v>126</v>
      </c>
      <c r="D9" s="8" t="s">
        <v>63</v>
      </c>
      <c r="E9" s="7">
        <v>3</v>
      </c>
      <c r="F9" s="8" t="s">
        <v>132</v>
      </c>
      <c r="G9" s="58" t="s">
        <v>612</v>
      </c>
      <c r="H9" s="58" t="s">
        <v>613</v>
      </c>
    </row>
    <row r="10" spans="1:8" ht="15" customHeight="1">
      <c r="A10" s="7">
        <v>6</v>
      </c>
      <c r="B10" s="58" t="s">
        <v>306</v>
      </c>
      <c r="C10" s="7" t="s">
        <v>136</v>
      </c>
      <c r="D10" s="8" t="s">
        <v>307</v>
      </c>
      <c r="E10" s="7">
        <v>3</v>
      </c>
      <c r="F10" s="8" t="s">
        <v>145</v>
      </c>
      <c r="G10" s="58" t="s">
        <v>614</v>
      </c>
      <c r="H10" s="58" t="s">
        <v>615</v>
      </c>
    </row>
    <row r="11" spans="1:8" ht="15" customHeight="1">
      <c r="A11" s="7">
        <v>7</v>
      </c>
      <c r="B11" s="58" t="s">
        <v>262</v>
      </c>
      <c r="C11" s="7" t="s">
        <v>128</v>
      </c>
      <c r="D11" s="8" t="s">
        <v>263</v>
      </c>
      <c r="E11" s="7">
        <v>3</v>
      </c>
      <c r="F11" s="8" t="s">
        <v>132</v>
      </c>
      <c r="G11" s="58" t="s">
        <v>616</v>
      </c>
      <c r="H11" s="58" t="s">
        <v>617</v>
      </c>
    </row>
    <row r="12" spans="1:8" ht="15" customHeight="1">
      <c r="A12" s="7">
        <v>8</v>
      </c>
      <c r="B12" s="58" t="s">
        <v>274</v>
      </c>
      <c r="C12" s="7" t="s">
        <v>162</v>
      </c>
      <c r="D12" s="7">
        <v>2.5</v>
      </c>
      <c r="E12" s="7">
        <v>3</v>
      </c>
      <c r="F12" s="7">
        <v>12</v>
      </c>
      <c r="G12" s="58" t="s">
        <v>618</v>
      </c>
      <c r="H12" s="58" t="s">
        <v>619</v>
      </c>
    </row>
    <row r="13" spans="1:8" ht="15" customHeight="1">
      <c r="D13" s="81" t="s">
        <v>171</v>
      </c>
      <c r="E13" s="28">
        <f>SUM(E5:E12)</f>
        <v>22</v>
      </c>
    </row>
    <row r="15" spans="1:8" ht="92.25" customHeight="1">
      <c r="A15" s="12" t="s">
        <v>620</v>
      </c>
    </row>
    <row r="16" spans="1:8" ht="233.25" customHeight="1">
      <c r="A16" s="11" t="s">
        <v>621</v>
      </c>
    </row>
    <row r="17" spans="1:1" ht="240" customHeight="1">
      <c r="A17" s="11" t="s">
        <v>622</v>
      </c>
    </row>
    <row r="18" spans="1:1" ht="278.25" customHeight="1">
      <c r="A18" s="11" t="s">
        <v>623</v>
      </c>
    </row>
    <row r="19" spans="1:1" ht="15" customHeight="1">
      <c r="A19" s="68"/>
    </row>
    <row r="20" spans="1:1" ht="95.25" customHeight="1">
      <c r="A20" s="12" t="s">
        <v>624</v>
      </c>
    </row>
    <row r="21" spans="1:1" ht="252.75" customHeight="1">
      <c r="A21" s="11" t="s">
        <v>625</v>
      </c>
    </row>
    <row r="22" spans="1:1" ht="237.75" customHeight="1">
      <c r="A22" s="11"/>
    </row>
    <row r="23" spans="1:1" ht="265.5" customHeight="1">
      <c r="A23" s="11" t="s">
        <v>626</v>
      </c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5"/>
  <sheetViews>
    <sheetView zoomScaleNormal="100" workbookViewId="0"/>
  </sheetViews>
  <sheetFormatPr defaultColWidth="8.7109375" defaultRowHeight="15"/>
  <cols>
    <col min="1" max="1" width="18" customWidth="1"/>
    <col min="2" max="3" width="22" customWidth="1"/>
    <col min="4" max="4" width="62" customWidth="1"/>
  </cols>
  <sheetData>
    <row r="1" spans="1:4" ht="17.25" customHeight="1">
      <c r="A1" s="1" t="s">
        <v>627</v>
      </c>
    </row>
    <row r="2" spans="1:4" ht="15" customHeight="1">
      <c r="A2" s="2" t="s">
        <v>628</v>
      </c>
    </row>
    <row r="4" spans="1:4" ht="15" customHeight="1">
      <c r="A4" s="5" t="s">
        <v>629</v>
      </c>
      <c r="B4" s="5" t="s">
        <v>630</v>
      </c>
      <c r="C4" s="5" t="s">
        <v>631</v>
      </c>
      <c r="D4" s="5" t="s">
        <v>493</v>
      </c>
    </row>
    <row r="5" spans="1:4" ht="15" customHeight="1">
      <c r="A5" s="7" t="s">
        <v>505</v>
      </c>
      <c r="B5" s="7" t="s">
        <v>632</v>
      </c>
      <c r="C5" s="7" t="s">
        <v>633</v>
      </c>
      <c r="D5" s="74" t="s">
        <v>634</v>
      </c>
    </row>
    <row r="6" spans="1:4" ht="15" customHeight="1">
      <c r="A6" s="7" t="s">
        <v>635</v>
      </c>
      <c r="B6" s="8" t="s">
        <v>636</v>
      </c>
      <c r="C6" s="7" t="s">
        <v>637</v>
      </c>
      <c r="D6" s="58" t="s">
        <v>638</v>
      </c>
    </row>
    <row r="7" spans="1:4" ht="15" customHeight="1">
      <c r="A7" s="7" t="s">
        <v>639</v>
      </c>
      <c r="B7" s="7" t="s">
        <v>640</v>
      </c>
      <c r="C7" s="7" t="s">
        <v>641</v>
      </c>
      <c r="D7" s="58" t="s">
        <v>642</v>
      </c>
    </row>
    <row r="8" spans="1:4" ht="15" customHeight="1">
      <c r="A8" s="7" t="s">
        <v>643</v>
      </c>
      <c r="B8" s="7" t="s">
        <v>644</v>
      </c>
      <c r="C8" s="7" t="s">
        <v>645</v>
      </c>
      <c r="D8" s="58" t="s">
        <v>646</v>
      </c>
    </row>
    <row r="9" spans="1:4" ht="15" customHeight="1">
      <c r="A9" s="7" t="s">
        <v>647</v>
      </c>
      <c r="B9" s="8" t="s">
        <v>648</v>
      </c>
      <c r="C9" s="8" t="s">
        <v>649</v>
      </c>
      <c r="D9" s="58" t="s">
        <v>650</v>
      </c>
    </row>
    <row r="10" spans="1:4" ht="15" customHeight="1">
      <c r="A10" s="7" t="s">
        <v>12</v>
      </c>
      <c r="B10" s="8" t="s">
        <v>651</v>
      </c>
      <c r="C10" s="8" t="s">
        <v>652</v>
      </c>
      <c r="D10" s="58" t="s">
        <v>653</v>
      </c>
    </row>
    <row r="11" spans="1:4" ht="15" customHeight="1">
      <c r="A11" s="7" t="s">
        <v>10</v>
      </c>
      <c r="B11" s="8" t="s">
        <v>654</v>
      </c>
      <c r="C11" s="8" t="s">
        <v>655</v>
      </c>
      <c r="D11" s="58" t="s">
        <v>656</v>
      </c>
    </row>
    <row r="12" spans="1:4" ht="15" customHeight="1">
      <c r="A12" s="7" t="s">
        <v>657</v>
      </c>
      <c r="B12" s="8" t="s">
        <v>658</v>
      </c>
      <c r="C12" s="8" t="s">
        <v>659</v>
      </c>
      <c r="D12" s="58" t="s">
        <v>660</v>
      </c>
    </row>
    <row r="13" spans="1:4" ht="15" customHeight="1">
      <c r="A13" s="84" t="s">
        <v>661</v>
      </c>
      <c r="B13" s="85" t="s">
        <v>662</v>
      </c>
      <c r="C13" s="85" t="s">
        <v>663</v>
      </c>
      <c r="D13" s="84" t="s">
        <v>664</v>
      </c>
    </row>
    <row r="15" spans="1:4" ht="15" customHeight="1">
      <c r="A15" s="3" t="s">
        <v>511</v>
      </c>
    </row>
    <row r="16" spans="1:4" ht="39" customHeight="1">
      <c r="A16" s="11" t="s">
        <v>665</v>
      </c>
    </row>
    <row r="17" spans="1:1" ht="51.75" customHeight="1">
      <c r="A17" s="11" t="s">
        <v>666</v>
      </c>
    </row>
    <row r="18" spans="1:1" ht="39" customHeight="1">
      <c r="A18" s="11" t="s">
        <v>667</v>
      </c>
    </row>
    <row r="19" spans="1:1" ht="39" customHeight="1">
      <c r="A19" s="11" t="s">
        <v>668</v>
      </c>
    </row>
    <row r="20" spans="1:1" ht="15" customHeight="1">
      <c r="A20" s="68"/>
    </row>
    <row r="21" spans="1:1" ht="51.75" customHeight="1">
      <c r="A21" s="11" t="s">
        <v>669</v>
      </c>
    </row>
    <row r="22" spans="1:1" ht="39" customHeight="1">
      <c r="A22" s="11" t="s">
        <v>670</v>
      </c>
    </row>
    <row r="23" spans="1:1" ht="15" customHeight="1">
      <c r="A23" s="68"/>
    </row>
    <row r="24" spans="1:1" ht="51.75" customHeight="1">
      <c r="A24" s="11" t="s">
        <v>671</v>
      </c>
    </row>
    <row r="25" spans="1:1" ht="39" customHeight="1">
      <c r="A25" s="11" t="s">
        <v>672</v>
      </c>
    </row>
  </sheetData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시작중량_설정</vt:lpstr>
      <vt:lpstr>주간계획</vt:lpstr>
      <vt:lpstr>월_당기기A</vt:lpstr>
      <vt:lpstr>화_밀기A</vt:lpstr>
      <vt:lpstr>수_하체A</vt:lpstr>
      <vt:lpstr>목_당기기B</vt:lpstr>
      <vt:lpstr>금_밀기B</vt:lpstr>
      <vt:lpstr>토_하체B</vt:lpstr>
      <vt:lpstr>간접계수맵</vt:lpstr>
      <vt:lpstr>세트검산</vt:lpstr>
      <vt:lpstr>증량기록</vt:lpstr>
      <vt:lpstr>9월이후조정</vt:lpstr>
      <vt:lpstr>복귀_주간계획</vt:lpstr>
      <vt:lpstr>복귀_화_상체밀기</vt:lpstr>
      <vt:lpstr>복귀_토_하체</vt:lpstr>
      <vt:lpstr>복귀_일_등</vt:lpstr>
      <vt:lpstr>복귀_증량원칙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승태 최</cp:lastModifiedBy>
  <cp:revision>0</cp:revision>
  <dcterms:created xsi:type="dcterms:W3CDTF">2026-07-28T16:37:37Z</dcterms:created>
  <dcterms:modified xsi:type="dcterms:W3CDTF">2026-08-17T15:28:47Z</dcterms:modified>
  <dc:language>en-US</dc:language>
</cp:coreProperties>
</file>