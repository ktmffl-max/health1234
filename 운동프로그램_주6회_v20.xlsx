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603" documentId="11_6AF0B42629B6F5CFF7DAC05DB27E968F34409905" xr6:coauthVersionLast="47" xr6:coauthVersionMax="47" xr10:uidLastSave="{5A10D329-DA1A-466C-9FD5-A42BE2F690ED}"/>
  <bookViews>
    <workbookView xWindow="-120" yWindow="-120" windowWidth="38640" windowHeight="21120" tabRatio="976" firstSheet="1" activeTab="22"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월_가슴" sheetId="18" r:id="rId18"/>
    <sheet name="복귀_화_팔" sheetId="19" r:id="rId19"/>
    <sheet name="복귀_수_하체후면" sheetId="20" r:id="rId20"/>
    <sheet name="복귀_목_수직당기기" sheetId="21" r:id="rId21"/>
    <sheet name="복귀_캐리" sheetId="25" r:id="rId22"/>
    <sheet name="복귀_천국의계단" sheetId="26" r:id="rId23"/>
    <sheet name="복귀_증량원칙" sheetId="22" r:id="rId24"/>
    <sheet name="복귀_간접계수맵" sheetId="23" r:id="rId25"/>
    <sheet name="복귀_세트검산" sheetId="24" r:id="rId2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9" i="26" l="1"/>
  <c r="G19" i="26"/>
  <c r="I19" i="26" s="1"/>
  <c r="H18" i="26"/>
  <c r="G18" i="26"/>
  <c r="I18" i="26" s="1"/>
  <c r="H17" i="26"/>
  <c r="G17" i="26"/>
  <c r="I17" i="26" s="1"/>
  <c r="H16" i="26"/>
  <c r="G16" i="26"/>
  <c r="I16" i="26" s="1"/>
  <c r="D27" i="25"/>
  <c r="D26" i="25"/>
  <c r="D25" i="25"/>
  <c r="D24" i="25"/>
  <c r="D23" i="25"/>
  <c r="D22" i="25"/>
  <c r="D21" i="25"/>
  <c r="D20" i="25"/>
  <c r="D19" i="25"/>
  <c r="D18" i="25"/>
  <c r="E46" i="23"/>
  <c r="F46" i="23" s="1"/>
  <c r="E16" i="23"/>
  <c r="F16" i="23" s="1"/>
  <c r="I13" i="17"/>
  <c r="E44" i="23"/>
  <c r="F44" i="23" s="1"/>
  <c r="E26" i="18"/>
  <c r="I25" i="18"/>
  <c r="I24" i="18"/>
  <c r="I23" i="18"/>
  <c r="B25" i="24"/>
  <c r="B24" i="24"/>
  <c r="B23" i="24"/>
  <c r="B22" i="24"/>
  <c r="B21" i="24"/>
  <c r="B20" i="24"/>
  <c r="B19" i="24"/>
  <c r="C18" i="24"/>
  <c r="B18" i="24"/>
  <c r="B17" i="24"/>
  <c r="B16" i="24"/>
  <c r="B15" i="24"/>
  <c r="B14" i="24"/>
  <c r="B13" i="24"/>
  <c r="B12" i="24"/>
  <c r="B11" i="24"/>
  <c r="B10" i="24"/>
  <c r="B9" i="24"/>
  <c r="I8" i="24"/>
  <c r="B8" i="24"/>
  <c r="B7" i="24"/>
  <c r="B6" i="24"/>
  <c r="B5" i="24"/>
  <c r="E73" i="23"/>
  <c r="F73" i="23" s="1"/>
  <c r="C25" i="24" s="1"/>
  <c r="E72" i="23"/>
  <c r="F72" i="23" s="1"/>
  <c r="C19" i="24" s="1"/>
  <c r="E71" i="23"/>
  <c r="F71" i="23" s="1"/>
  <c r="C23" i="24" s="1"/>
  <c r="E70" i="23"/>
  <c r="F70" i="23" s="1"/>
  <c r="E69" i="23"/>
  <c r="F69" i="23" s="1"/>
  <c r="E68" i="23"/>
  <c r="F68" i="23" s="1"/>
  <c r="E67" i="23"/>
  <c r="F67" i="23" s="1"/>
  <c r="E66" i="23"/>
  <c r="F66" i="23" s="1"/>
  <c r="E65" i="23"/>
  <c r="F65" i="23" s="1"/>
  <c r="E64" i="23"/>
  <c r="F64" i="23" s="1"/>
  <c r="C22" i="24" s="1"/>
  <c r="E63" i="23"/>
  <c r="F63" i="23" s="1"/>
  <c r="E62" i="23"/>
  <c r="F62" i="23" s="1"/>
  <c r="E61" i="23"/>
  <c r="F61" i="23" s="1"/>
  <c r="C24" i="24" s="1"/>
  <c r="E60" i="23"/>
  <c r="F60" i="23" s="1"/>
  <c r="E59" i="23"/>
  <c r="F59" i="23" s="1"/>
  <c r="E58" i="23"/>
  <c r="F58" i="23" s="1"/>
  <c r="E57" i="23"/>
  <c r="F57" i="23" s="1"/>
  <c r="E56" i="23"/>
  <c r="F56" i="23" s="1"/>
  <c r="E55" i="23"/>
  <c r="F55" i="23" s="1"/>
  <c r="E54" i="23"/>
  <c r="F54" i="23" s="1"/>
  <c r="E53" i="23"/>
  <c r="F53" i="23" s="1"/>
  <c r="E52" i="23"/>
  <c r="F52" i="23" s="1"/>
  <c r="E51" i="23"/>
  <c r="F51" i="23" s="1"/>
  <c r="E50" i="23"/>
  <c r="F50" i="23" s="1"/>
  <c r="E49" i="23"/>
  <c r="F49" i="23" s="1"/>
  <c r="E48" i="23"/>
  <c r="F48" i="23" s="1"/>
  <c r="E47" i="23"/>
  <c r="F47" i="23" s="1"/>
  <c r="E45" i="23"/>
  <c r="F45" i="23" s="1"/>
  <c r="E43" i="23"/>
  <c r="F43" i="23" s="1"/>
  <c r="E42" i="23"/>
  <c r="F42" i="23" s="1"/>
  <c r="E41" i="23"/>
  <c r="F41" i="23" s="1"/>
  <c r="C10" i="24" s="1"/>
  <c r="E40" i="23"/>
  <c r="F40" i="23" s="1"/>
  <c r="E39" i="23"/>
  <c r="F39" i="23" s="1"/>
  <c r="E38" i="23"/>
  <c r="F38" i="23" s="1"/>
  <c r="E37" i="23"/>
  <c r="F37" i="23" s="1"/>
  <c r="C9" i="24" s="1"/>
  <c r="E36" i="23"/>
  <c r="F36" i="23" s="1"/>
  <c r="E35" i="23"/>
  <c r="F35" i="23" s="1"/>
  <c r="E34" i="23"/>
  <c r="F34" i="23" s="1"/>
  <c r="E33" i="23"/>
  <c r="F33" i="23" s="1"/>
  <c r="E32" i="23"/>
  <c r="F32" i="23" s="1"/>
  <c r="E31" i="23"/>
  <c r="F31" i="23" s="1"/>
  <c r="E30" i="23"/>
  <c r="F30" i="23" s="1"/>
  <c r="C15" i="24" s="1"/>
  <c r="E29" i="23"/>
  <c r="F29" i="23" s="1"/>
  <c r="E28" i="23"/>
  <c r="F28" i="23" s="1"/>
  <c r="E27" i="23"/>
  <c r="F27" i="23" s="1"/>
  <c r="C14" i="24" s="1"/>
  <c r="E26" i="23"/>
  <c r="F26" i="23" s="1"/>
  <c r="E25" i="23"/>
  <c r="F25" i="23" s="1"/>
  <c r="E24" i="23"/>
  <c r="F24" i="23" s="1"/>
  <c r="E23" i="23"/>
  <c r="F23" i="23" s="1"/>
  <c r="E22" i="23"/>
  <c r="F22" i="23" s="1"/>
  <c r="E21" i="23"/>
  <c r="F21" i="23" s="1"/>
  <c r="E20" i="23"/>
  <c r="F20"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4" i="21"/>
  <c r="E11" i="15" s="1"/>
  <c r="I23" i="21"/>
  <c r="I22" i="21"/>
  <c r="I21" i="21"/>
  <c r="I20" i="21"/>
  <c r="I19" i="21"/>
  <c r="I18" i="21"/>
  <c r="I17" i="21"/>
  <c r="I16" i="21"/>
  <c r="I15" i="21"/>
  <c r="I14" i="21"/>
  <c r="I13" i="21"/>
  <c r="I12" i="21"/>
  <c r="I11" i="21"/>
  <c r="E41" i="20"/>
  <c r="E10" i="15" s="1"/>
  <c r="I40" i="20"/>
  <c r="I39" i="20"/>
  <c r="I38" i="20"/>
  <c r="I37" i="20"/>
  <c r="I36" i="20"/>
  <c r="I35" i="20"/>
  <c r="I34" i="20"/>
  <c r="I33" i="20"/>
  <c r="I32" i="20"/>
  <c r="I31" i="20"/>
  <c r="I30" i="20"/>
  <c r="I29" i="20"/>
  <c r="I28" i="20"/>
  <c r="I41" i="20" s="1"/>
  <c r="E20" i="19"/>
  <c r="E9" i="15" s="1"/>
  <c r="I19" i="19"/>
  <c r="I18" i="19"/>
  <c r="I17" i="19"/>
  <c r="I16" i="19"/>
  <c r="I15" i="19"/>
  <c r="I14" i="19"/>
  <c r="I13" i="19"/>
  <c r="I12" i="19"/>
  <c r="I11" i="19"/>
  <c r="I20" i="19" s="1"/>
  <c r="E8" i="15"/>
  <c r="I22" i="18"/>
  <c r="I21" i="18"/>
  <c r="I20" i="18"/>
  <c r="I19" i="18"/>
  <c r="I18" i="18"/>
  <c r="E22" i="17"/>
  <c r="E7" i="15" s="1"/>
  <c r="I21" i="17"/>
  <c r="I20" i="17"/>
  <c r="I19" i="17"/>
  <c r="I18" i="17"/>
  <c r="I17" i="17"/>
  <c r="I16" i="17"/>
  <c r="I15" i="17"/>
  <c r="I14" i="17"/>
  <c r="I12" i="17"/>
  <c r="I11" i="17"/>
  <c r="E30" i="16"/>
  <c r="E6" i="15" s="1"/>
  <c r="I29" i="16"/>
  <c r="I28" i="16"/>
  <c r="I27" i="16"/>
  <c r="I26" i="16"/>
  <c r="I25" i="16"/>
  <c r="I24"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C8" i="12"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C16" i="12"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I26" i="4" s="1"/>
  <c r="E17" i="3"/>
  <c r="I16" i="3"/>
  <c r="I15" i="3"/>
  <c r="I14" i="3"/>
  <c r="I13" i="3"/>
  <c r="I12" i="3"/>
  <c r="I11" i="3"/>
  <c r="I10" i="3"/>
  <c r="I9" i="3"/>
  <c r="I8" i="3"/>
  <c r="I7" i="3"/>
  <c r="I6" i="3"/>
  <c r="E13" i="2"/>
  <c r="E10" i="2"/>
  <c r="E8" i="2"/>
  <c r="E5" i="2"/>
  <c r="E43" i="1"/>
  <c r="D43" i="1"/>
  <c r="C43" i="1"/>
  <c r="B43" i="1"/>
  <c r="C10" i="1"/>
  <c r="C9" i="1"/>
  <c r="C8" i="1"/>
  <c r="C7" i="1"/>
  <c r="I23" i="9" l="1"/>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I26" i="18"/>
  <c r="C10" i="12"/>
  <c r="D10" i="12" s="1"/>
  <c r="J10" i="12" s="1"/>
  <c r="E10" i="12" s="1"/>
  <c r="D18" i="24"/>
  <c r="E18" i="24" s="1"/>
  <c r="C21" i="12"/>
  <c r="D21" i="12" s="1"/>
  <c r="J21" i="12" s="1"/>
  <c r="E21" i="12" s="1"/>
  <c r="C5" i="24"/>
  <c r="D5" i="24" s="1"/>
  <c r="C11" i="24"/>
  <c r="D11" i="24" s="1"/>
  <c r="E11" i="24" s="1"/>
  <c r="C11" i="12"/>
  <c r="D11" i="12" s="1"/>
  <c r="J11" i="12" s="1"/>
  <c r="E11" i="12" s="1"/>
  <c r="I24" i="21"/>
  <c r="I22" i="17"/>
  <c r="I30"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E12" i="13"/>
  <c r="C44" i="1"/>
  <c r="C12" i="13"/>
  <c r="B44" i="1"/>
  <c r="L24" i="12"/>
  <c r="L23" i="12"/>
  <c r="D23" i="12"/>
  <c r="J23" i="12" s="1"/>
  <c r="E23" i="12" s="1"/>
  <c r="L22" i="12"/>
  <c r="L21" i="12"/>
  <c r="L20" i="12"/>
  <c r="D19" i="12"/>
  <c r="J19" i="12" s="1"/>
  <c r="E19" i="12" s="1"/>
  <c r="L19" i="12"/>
  <c r="L18" i="12"/>
  <c r="D18" i="12"/>
  <c r="J18" i="12" s="1"/>
  <c r="E18" i="12" s="1"/>
  <c r="L17" i="12"/>
  <c r="L16" i="12"/>
  <c r="D16" i="12"/>
  <c r="J16" i="12" s="1"/>
  <c r="E16" i="12" s="1"/>
  <c r="L15" i="12"/>
  <c r="D15" i="12"/>
  <c r="L14" i="12"/>
  <c r="L13" i="12"/>
  <c r="L12" i="12"/>
  <c r="L11" i="12"/>
  <c r="L10" i="12"/>
  <c r="D9" i="12"/>
  <c r="J9" i="12" s="1"/>
  <c r="E9" i="12" s="1"/>
  <c r="L9" i="12"/>
  <c r="D8" i="12"/>
  <c r="J8" i="12" s="1"/>
  <c r="E8" i="12" s="1"/>
  <c r="L8" i="12"/>
  <c r="L7" i="12"/>
  <c r="D6" i="12"/>
  <c r="J6" i="12" s="1"/>
  <c r="E6" i="12" s="1"/>
  <c r="L6" i="12"/>
  <c r="B25" i="12"/>
  <c r="D5" i="12"/>
  <c r="L5" i="12"/>
  <c r="F3" i="11"/>
  <c r="F7" i="11"/>
  <c r="C20" i="12" s="1"/>
  <c r="D20" i="12" s="1"/>
  <c r="J20" i="12" s="1"/>
  <c r="E20" i="12" s="1"/>
  <c r="D25" i="24"/>
  <c r="E25" i="24" s="1"/>
  <c r="D24" i="24"/>
  <c r="E24" i="24" s="1"/>
  <c r="D23" i="24"/>
  <c r="E23" i="24" s="1"/>
  <c r="D22" i="24"/>
  <c r="E22" i="24" s="1"/>
  <c r="D19" i="24"/>
  <c r="E19" i="24" s="1"/>
  <c r="D15" i="24"/>
  <c r="D14" i="24"/>
  <c r="E14" i="24" s="1"/>
  <c r="D10" i="24"/>
  <c r="E10" i="24" s="1"/>
  <c r="D9" i="24"/>
  <c r="E9" i="24" s="1"/>
  <c r="C16" i="24"/>
  <c r="D16" i="24" s="1"/>
  <c r="E16" i="24" s="1"/>
  <c r="C8" i="24"/>
  <c r="D8" i="24" s="1"/>
  <c r="E8" i="24" s="1"/>
  <c r="C20" i="24"/>
  <c r="D20" i="24" s="1"/>
  <c r="E20" i="24" s="1"/>
  <c r="E13" i="15"/>
  <c r="C13" i="12"/>
  <c r="D13" i="12" s="1"/>
  <c r="J13" i="12" s="1"/>
  <c r="E13" i="12" s="1"/>
  <c r="E5" i="24" l="1"/>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I15" i="24"/>
  <c r="E15" i="24"/>
  <c r="I7" i="24"/>
  <c r="E7" i="24"/>
  <c r="I14" i="13" l="1"/>
  <c r="E46" i="1"/>
  <c r="G14" i="13"/>
  <c r="D46" i="1"/>
  <c r="E14" i="13"/>
  <c r="C46" i="1"/>
  <c r="C14" i="13"/>
  <c r="B46" i="1"/>
  <c r="H3" i="12"/>
  <c r="J3" i="12"/>
  <c r="I15" i="13" l="1"/>
  <c r="E10" i="1" s="1"/>
  <c r="E47" i="1"/>
  <c r="G15" i="13"/>
  <c r="E9" i="1" s="1"/>
  <c r="D47" i="1"/>
  <c r="E15" i="13"/>
  <c r="E8" i="1" s="1"/>
  <c r="C47" i="1"/>
  <c r="C15" i="13"/>
  <c r="E7" i="1" s="1"/>
  <c r="B47" i="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<sst xmlns="http://schemas.openxmlformats.org/spreadsheetml/2006/main" count="2816" uniqueCount="1492">
  <si>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</si>
  <si>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</si>
  <si>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</si>
  <si>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</si>
  <si>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</si>
  <si>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</si>
  <si>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</si>
  <si>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</si>
  <si>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</si>
  <si>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</si>
  <si>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</si>
  <si>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</si>
  <si>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</si>
  <si>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</si>
  <si>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</si>
  <si>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</si>
  <si>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</si>
  <si>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</si>
  <si>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</si>
  <si>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</si>
  <si>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</si>
  <si>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</si>
  <si>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</si>
  <si>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</si>
  <si>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</si>
  <si>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</si>
  <si>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</si>
  <si>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</si>
  <si>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</si>
  <si>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</si>
  <si>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</si>
  <si>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</si>
  <si>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</si>
  <si>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</si>
  <si>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</si>
  <si>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</si>
  <si>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</si>
  <si>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</si>
  <si>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</si>
  <si>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</si>
  <si>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</si>
  <si>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</si>
  <si>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</si>
  <si>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</si>
  <si>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</si>
  <si>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</si>
  <si>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</si>
  <si>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</si>
  <si>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</si>
  <si>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</si>
  <si>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</si>
  <si>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</si>
  <si>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</si>
  <si>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</si>
  <si>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</si>
  <si>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</si>
  <si>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</si>
  <si>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</si>
  <si>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</si>
  <si>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</si>
  <si>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</si>
  <si>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</si>
  <si>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</si>
  <si>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</si>
  <si>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</si>
  <si>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</si>
  <si>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기본 주기는 6주다. 토요일 스쿼트가 2주 연속 안 오르면 그 시점에 앞당긴다.</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</si>
  <si>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</si>
  <si>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</si>
  <si>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</si>
  <si>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</si>
  <si>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</si>
  <si>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</si>
  <si>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</si>
  <si>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</si>
  <si>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</si>
  <si>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</si>
  <si>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</si>
  <si>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</si>
  <si>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</si>
  <si>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</si>
  <si>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</si>
  <si>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</si>
  <si>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</si>
  <si>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</si>
  <si>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</si>
  <si>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</si>
  <si>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</si>
  <si>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</si>
  <si>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</si>
  <si>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</si>
  <si>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</si>
  <si>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</si>
  <si>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</si>
  <si>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</si>
  <si>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</si>
  <si>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</si>
  <si>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</si>
  <si>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</si>
  <si>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</si>
  <si>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</si>
  <si>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</si>
  <si>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</si>
  <si>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</si>
  <si>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</si>
  <si>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</si>
  <si>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</si>
  <si>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</si>
  <si>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</si>
  <si>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</si>
  <si>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</si>
  <si>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</si>
  <si>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</si>
  <si>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</si>
  <si>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</si>
  <si>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</si>
  <si>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</si>
  <si>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</si>
  <si>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</si>
  <si>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</si>
  <si>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</si>
  <si>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</si>
  <si>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</si>
  <si>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</si>
  <si>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</si>
  <si>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</si>
  <si>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</si>
  <si>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</si>
  <si>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</si>
  <si>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</si>
  <si>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</si>
  <si>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</si>
  <si>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</si>
  <si>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</si>
  <si>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</si>
  <si>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</si>
  <si>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</si>
  <si>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</si>
  <si>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</si>
  <si>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</si>
  <si>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</si>
  <si>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</si>
  <si>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</si>
  <si>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</si>
  <si>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</si>
  <si>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</si>
  <si>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</si>
  <si>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</si>
  <si>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</si>
  <si>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</si>
  <si>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</si>
  <si>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</si>
  <si>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</si>
  <si>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</si>
  <si>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</si>
  <si>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</si>
  <si>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</si>
  <si>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</si>
  <si>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</si>
  <si>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</si>
  <si>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</si>
  <si>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</si>
  <si>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</si>
  <si>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</si>
  <si>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</si>
  <si>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</si>
  <si>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</si>
  <si>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</si>
  <si>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</si>
  <si>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</si>
  <si>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</si>
  <si>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</si>
  <si>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</si>
  <si>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</si>
  <si>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</si>
  <si>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</si>
  <si>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</si>
  <si>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</si>
  <si>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</si>
  <si>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</si>
  <si>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</si>
  <si>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</si>
  <si>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</si>
  <si>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</si>
  <si>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</si>
  <si>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</si>
  <si>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</si>
  <si>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</si>
  <si>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</si>
  <si>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</si>
  <si>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</si>
  <si>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</si>
  <si>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</si>
  <si>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</si>
  <si>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</si>
  <si>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</si>
  <si>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</si>
  <si>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</si>
  <si>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</si>
  <si>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</si>
  <si>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</si>
  <si>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</si>
  <si>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</si>
  <si>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</si>
  <si>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</si>
  <si>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</si>
  <si>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</si>
  <si>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</si>
  <si>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</si>
  <si>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</si>
  <si>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</si>
  <si>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</si>
  <si>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</si>
  <si>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</si>
  <si>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</si>
  <si>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</si>
  <si>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</si>
  <si>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</si>
  <si>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</si>
  <si>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</si>
  <si>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</si>
  <si>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</si>
  <si>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</si>
  <si>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</si>
  <si>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</si>
  <si>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</si>
  <si>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</si>
  <si>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</si>
  <si>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</si>
  <si>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</si>
  <si>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</si>
  <si>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</si>
  <si>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</si>
  <si>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</si>
  <si>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</si>
  <si>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</si>
  <si>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</si>
  <si>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</si>
  <si>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</si>
  <si>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</si>
  <si>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</si>
  <si>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</si>
  <si>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</si>
  <si>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</si>
  <si>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</si>
  <si>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</si>
  <si>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</si>
  <si>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</si>
  <si>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</si>
  <si>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</si>
  <si>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</si>
  <si>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</si>
  <si>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</si>
  <si>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</si>
  <si>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</si>
  <si>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</si>
  <si>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</si>
  <si>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</si>
  <si>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</si>
  <si>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</si>
  <si>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</si>
  <si>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</si>
  <si>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</si>
  <si>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</si>
  <si>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</si>
  <si>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</si>
  <si>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</si>
  <si>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</si>
  <si>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</si>
  <si>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</si>
  <si>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</si>
  <si>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</si>
  <si>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</si>
  <si>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</si>
  <si>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</si>
  <si>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</si>
  <si>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</si>
  <si>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</si>
  <si>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</si>
  <si>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</si>
  <si>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</si>
  <si>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</si>
  <si>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</si>
  <si>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</si>
  <si>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</si>
  <si>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</si>
  <si>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</si>
  <si>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</si>
  <si>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</si>
  <si>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</si>
  <si>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</si>
  <si>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</si>
  <si>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</si>
  <si>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</si>
  <si>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</si>
  <si>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</si>
  <si>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</si>
  <si>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</si>
  <si>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</si>
  <si>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</si>
  <si>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</si>
  <si>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</si>
  <si>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</si>
  <si>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</si>
  <si>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</si>
  <si>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</si>
  <si>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</si>
  <si>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</si>
  <si>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</si>
  <si>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</si>
  <si>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</si>
  <si>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</si>
  <si>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</si>
  <si>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</si>
  <si>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</si>
  <si>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</si>
  <si>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</si>
  <si>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</si>
  <si>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</si>
  <si>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</si>
  <si>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</si>
  <si>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</si>
  <si>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</si>
  <si>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</si>
  <si>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</si>
  <si>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</si>
  <si>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</si>
  <si>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</si>
  <si>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</si>
  <si>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</si>
  <si>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</si>
  <si>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</si>
  <si>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</si>
  <si>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</si>
  <si>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</si>
  <si>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</si>
  <si>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</si>
  <si>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</si>
  <si>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</si>
  <si>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</si>
  <si>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</si>
  <si>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</si>
  <si>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</si>
  <si>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</si>
  <si>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</si>
  <si>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</si>
  <si>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</si>
  <si>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</si>
  <si>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</si>
  <si>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</si>
  <si>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</si>
  <si>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</si>
  <si>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</si>
  <si>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</si>
  <si>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</si>
  <si>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</si>
  <si>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</si>
  <si>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</si>
  <si>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</si>
  <si>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</si>
  <si>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</si>
  <si>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</si>
  <si>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</si>
  <si>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</si>
  <si>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</si>
  <si>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</si>
  <si>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</si>
  <si>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</si>
  <si>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</si>
  <si>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</si>
  <si>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</si>
  <si>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</si>
  <si>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</si>
  <si>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</si>
  <si>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</si>
  <si>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</si>
  <si>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</si>
  <si>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</si>
  <si>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</si>
  <si>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</si>
  <si>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</si>
  <si>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</si>
  <si>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</si>
  <si>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</si>
  <si>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</si>
  <si>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</si>
  <si>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</si>
  <si>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</si>
  <si>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</si>
  <si>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</si>
  <si>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</si>
  <si>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</si>
  <si>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</si>
  <si>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</si>
  <si>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</si>
  <si>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</si>
  <si>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</si>
  <si>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</si>
  <si>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</si>
  <si>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</si>
  <si>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</si>
  <si>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</si>
  <si>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</si>
  <si>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</si>
  <si>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</si>
  <si>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</si>
  <si>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</si>
  <si>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</si>
  <si>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</si>
  <si>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</si>
  <si>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</si>
  <si>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</si>
  <si>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</si>
  <si>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</si>
  <si>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</si>
  <si>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</si>
  <si>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</si>
  <si>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</si>
  <si>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</si>
  <si>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</si>
  <si>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</si>
  <si>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</si>
  <si>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</si>
  <si>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</si>
  <si>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</si>
  <si>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</si>
  <si>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</si>
  <si>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</si>
  <si>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</si>
  <si>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</si>
  <si>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</si>
  <si>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</si>
  <si>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</si>
  <si>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</si>
  <si>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</si>
  <si>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</si>
  <si>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</si>
  <si>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</si>
  <si>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</si>
  <si>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</si>
  <si>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</si>
  <si>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</si>
  <si>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</si>
  <si>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</si>
  <si>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</si>
  <si>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</si>
  <si>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</si>
  <si>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</si>
  <si>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</si>
  <si>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</si>
  <si>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</si>
  <si>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</si>
  <si>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</si>
  <si>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</si>
  <si>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</si>
  <si>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</si>
  <si>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</si>
  <si>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</si>
  <si>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</si>
  <si>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</si>
  <si>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</si>
  <si>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</si>
  <si>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</si>
  <si>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</si>
  <si>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</si>
  <si>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</si>
  <si>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</si>
  <si>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</si>
  <si>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</si>
  <si>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</si>
  <si>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</si>
  <si>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</si>
  <si>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</si>
  <si>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</si>
  <si>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</si>
  <si>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</si>
  <si>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</si>
  <si>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</si>
  <si>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</si>
  <si>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</si>
  <si>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</si>
  <si>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</si>
  <si>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</si>
  <si>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</si>
  <si>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</si>
  <si>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</si>
  <si>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</si>
  <si>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</si>
  <si>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</si>
  <si>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</si>
  <si>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</si>
  <si>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</si>
  <si>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</si>
  <si>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</si>
  <si>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</si>
  <si>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</si>
  <si>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</si>
  <si>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</si>
  <si>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</si>
  <si>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</si>
  <si>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</si>
  <si>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</si>
  <si>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</si>
  <si>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</si>
  <si>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</si>
  <si>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</si>
  <si>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</si>
  <si>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</si>
  <si>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</si>
  <si>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</si>
  <si>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</si>
  <si>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</si>
  <si>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</si>
  <si>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</si>
  <si>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</si>
  <si>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</si>
  <si>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</si>
  <si>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</si>
  <si>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</si>
  <si>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</si>
  <si>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</si>
  <si>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</si>
  <si>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</si>
  <si>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</si>
  <si>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</si>
  <si>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</si>
  <si>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</si>
  <si>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</si>
  <si>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</si>
  <si>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</si>
  <si>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</si>
  <si>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</si>
  <si>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</si>
  <si>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</si>
  <si>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</si>
  <si>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</si>
  <si>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</si>
  <si>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</si>
  <si>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</si>
  <si>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</si>
  <si>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</si>
  <si>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</si>
  <si>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</si>
  <si>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</si>
  <si>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</si>
  <si>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</si>
  <si>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</si>
  <si>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</si>
  <si>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</si>
  <si>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</si>
  <si>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</si>
  <si>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</si>
  <si>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</si>
  <si>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</si>
  <si>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</si>
  <si>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</si>
  <si>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</si>
  <si>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</si>
  <si>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</si>
  <si>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</si>
  <si>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</si>
  <si>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</si>
  <si>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</si>
  <si>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</si>
  <si>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</si>
  <si>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</si>
  <si>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</si>
  <si>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</si>
  <si>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</si>
  <si>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</si>
  <si>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</si>
  <si>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</si>
  <si>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</si>
  <si>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</si>
  <si>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</si>
  <si>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</si>
  <si>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</si>
  <si>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</si>
  <si>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</si>
  <si>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</si>
  <si>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</si>
  <si>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</si>
  <si>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</si>
  <si>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</si>
  <si>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</si>
  <si>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</si>
  <si>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</si>
  <si>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</si>
  <si>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</si>
  <si>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</si>
  <si>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</si>
  <si>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</si>
  <si>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</si>
  <si>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</si>
  <si>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</si>
  <si>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</si>
  <si>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</si>
  <si>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</si>
  <si>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</si>
  <si>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</si>
  <si>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</si>
  <si>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</si>
  <si>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</si>
  <si>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</si>
  <si>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</si>
  <si>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</si>
  <si>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</si>
  <si>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</si>
  <si>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</si>
  <si>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</si>
  <si>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</si>
  <si>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</si>
  <si>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</si>
  <si>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</si>
  <si>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</si>
  <si>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</si>
  <si>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</si>
  <si>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</si>
  <si>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</si>
  <si>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</si>
  <si>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</si>
  <si>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</si>
  <si>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</si>
  <si>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</si>
  <si>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</si>
  <si>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</si>
  <si>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</si>
  <si>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</si>
  <si>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</si>
  <si>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</si>
  <si>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</si>
  <si>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</si>
  <si>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</si>
  <si>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</si>
  <si>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</si>
  <si>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</si>
  <si>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</si>
  <si>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</si>
  <si>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</si>
  <si>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</si>
  <si>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</si>
  <si>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</si>
  <si>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</si>
  <si>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</si>
  <si>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</si>
  <si>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</si>
  <si>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</si>
  <si>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</si>
  <si>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</si>
  <si>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</si>
  <si>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</si>
  <si>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</si>
  <si>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</si>
  <si>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</si>
  <si>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</si>
  <si>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</si>
  <si>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</si>
  <si>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</si>
  <si>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</si>
  <si>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</si>
  <si>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</si>
  <si>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</si>
  <si>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</si>
  <si>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</si>
  <si>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</si>
  <si>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</si>
  <si>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</si>
  <si>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</si>
  <si>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</si>
  <si>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</si>
  <si>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</si>
  <si>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</si>
  <si>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</si>
  <si>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</si>
  <si>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</si>
  <si>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</si>
  <si>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</si>
  <si>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</si>
  <si>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</si>
  <si>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</si>
  <si>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</si>
  <si>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</si>
  <si>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</si>
  <si>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</si>
  <si>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</si>
  <si>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</si>
  <si>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</si>
  <si>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</si>
  <si>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</si>
  <si>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</si>
  <si>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</si>
  <si>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</si>
  <si>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</si>
  <si>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</si>
  <si>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</si>
  <si>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</si>
  <si>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</si>
  <si>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</si>
  <si>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</si>
  <si>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</si>
  <si>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</si>
  <si>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</si>
  <si>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</si>
  <si>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</si>
  <si>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</si>
  <si>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</si>
  <si>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</si>
  <si>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</si>
  <si>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</si>
  <si>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</si>
  <si>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</si>
  <si>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</si>
  <si>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</si>
  <si>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</si>
  <si>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</si>
  <si>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</si>
  <si>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</si>
  <si>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</si>
  <si>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</si>
  <si>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</si>
  <si>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</si>
  <si>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</si>
  <si>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</si>
  <si>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</si>
  <si>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</si>
  <si>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</si>
  <si>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</si>
  <si>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</si>
  <si>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</si>
  <si>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</si>
  <si>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</si>
  <si>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</si>
  <si>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</si>
  <si>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</si>
  <si>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</si>
  <si>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</si>
  <si>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</si>
  <si>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</si>
  <si>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</si>
  <si>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</si>
  <si>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</si>
  <si>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</si>
  <si>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</si>
  <si>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</si>
  <si>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</si>
  <si>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</si>
  <si>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</si>
  <si>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</si>
  <si>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</si>
  <si>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</si>
  <si>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</si>
  <si>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</si>
  <si>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</si>
  <si>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</si>
  <si>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</si>
  <si>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</si>
  <si>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</si>
  <si>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</si>
  <si>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</si>
  <si>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</si>
  <si>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</si>
  <si>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</si>
  <si>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</si>
  <si>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</si>
  <si>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</si>
  <si>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</si>
  <si>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</si>
  <si>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</si>
  <si>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</si>
  <si>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</si>
  <si>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</si>
  <si>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</si>
  <si>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</si>
  <si>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</si>
  <si>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</si>
  <si>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</si>
  <si>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</si>
  <si>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</si>
  <si>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</si>
  <si>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</si>
  <si>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</si>
  <si>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</si>
  <si>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</si>
  <si>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</si>
  <si>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</si>
  <si>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</si>
  <si>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</si>
  <si>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</si>
  <si>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</si>
  <si>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</si>
  <si>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</si>
  <si>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</si>
  <si>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</si>
  <si>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</si>
  <si>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</si>
  <si>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</si>
  <si>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</si>
  <si>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</si>
  <si>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</si>
  <si>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</si>
  <si>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</si>
  <si>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</si>
  <si>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</si>
  <si>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</si>
  <si>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</si>
  <si>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</si>
  <si>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</si>
  <si>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</si>
  <si>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</si>
  <si>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</si>
  <si>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</si>
  <si>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</si>
  <si>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</si>
  <si>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</si>
  <si>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</si>
  <si>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</si>
  <si>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</si>
  <si>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</si>
  <si>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</si>
  <si>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</si>
  <si>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</si>
  <si>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</si>
  <si>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</si>
  <si>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</si>
  <si>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</si>
  <si>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</si>
  <si>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</si>
  <si>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</si>
  <si>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</si>
  <si>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</si>
  <si>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</si>
  <si>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</si>
  <si>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</si>
  <si>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</si>
  <si>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</si>
  <si>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</si>
  <si>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</si>
  <si>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</si>
  <si>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</si>
  <si>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</si>
  <si>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</si>
  <si>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</si>
  <si>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</si>
  <si>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</si>
  <si>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</si>
  <si>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</si>
  <si>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</si>
  <si>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</si>
  <si>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</si>
  <si>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</si>
  <si>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</si>
  <si>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</si>
  <si>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</si>
  <si>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</si>
  <si>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</si>
  <si>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</si>
  <si>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</si>
  <si>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</si>
  <si>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</si>
  <si>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</si>
  <si>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</si>
  <si>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</si>
  <si>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</si>
  <si>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</si>
  <si>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</si>
  <si>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</si>
  <si>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</si>
  <si>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</si>
  <si>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</si>
  <si>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</si>
  <si>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</si>
  <si>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</si>
  <si>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</si>
  <si>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</si>
  <si>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</si>
  <si>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</si>
  <si>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</si>
  <si>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</si>
  <si>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</si>
  <si>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</si>
  <si>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</si>
  <si>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</si>
  <si>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</si>
  <si>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</si>
  <si>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</si>
  <si>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</si>
  <si>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</si>
  <si>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</si>
  <si>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</si>
  <si>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</si>
  <si>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</si>
  <si>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</si>
  <si>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</si>
  <si>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</si>
  <si>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</si>
  <si>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</si>
  <si>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</si>
  <si>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</si>
  <si>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</si>
  <si>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</si>
  <si>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</si>
  <si>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</si>
  <si>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</si>
  <si>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</si>
  <si>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</si>
  <si>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</si>
  <si>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</si>
  <si>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</si>
  <si>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</si>
  <si>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</si>
  <si>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101분</t>
  </si>
  <si>
    <t>스쿼트 5×5가 앞, 어깨 블록이 4~6번(프레스 · 레터럴 · 리버스 펙덱). 금요일 휴식 다음날이라 주 전체에서 가장 신선하다. 레그 컬 · 이너 · 아우터 · 카프는 어깨와 경쟁하지 않아 뒤로 보냈다 — 햄스트링 중량은 이 날이 가장 잘 나온다</t>
  </si>
  <si>
    <t>일</t>
  </si>
  <si>
    <t>당기기 수평</t>
  </si>
  <si>
    <t>등 수평 당기기 · 팔 삼두/이두</t>
  </si>
  <si>
    <t>무거운 로우 넷을 신선할 때 치는 날. 토요일 하체 전면 다음날이라 등 · 그립 · 기립근이 온전하다 — 스쿼트는 그 셋을 쓰지 않는다. 등 17 · 팔 6 · 전완 6(슈퍼세트) · 백 익스텐션 3이고 가슴이 없다</t>
  </si>
  <si>
    <t>월</t>
  </si>
  <si>
    <t>가슴 A</t>
  </si>
  <si>
    <t>가슴(상부 중심) · 어깨 측/후</t>
  </si>
  <si>
    <t>벤치 4×8이 앞(벤치만 8회다). 전면 삼각은 밀기 간접으로 5세트치가 차므로 어깨 블록에 프레스를 얹지 않는다</t>
  </si>
  <si>
    <t>화</t>
  </si>
  <si>
    <t>팔</t>
  </si>
  <si>
    <t>팔 삼두/이두/전완 · 목 · 복근</t>
  </si>
  <si>
    <t>수</t>
  </si>
  <si>
    <t>하체 후면</t>
  </si>
  <si>
    <t>하체 후면(햄 · 둔) · 어깨 전/측/후</t>
  </si>
  <si>
    <t>약 104분</t>
  </si>
  <si>
    <t>데드 톱1 + 백오프2 · 레그 프레스는 발을 발판 위쪽에(둔근) · 원 레그 컬로 좌우 균형 · 이너 · 아우터 슈퍼세트. 스미스 오버헤드 프레스가 어깨 블록 첫 종목 — 앞의 13세트가 전부 하체다</t>
  </si>
  <si>
    <t>목</t>
  </si>
  <si>
    <t>당기기 수직 + 가슴 B</t>
  </si>
  <si>
    <t>등 수직 당기기 · 가슴(상부 + 중하부) · 팔</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</si>
  <si>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</si>
  <si>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</si>
  <si>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</si>
  <si>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</si>
  <si>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</si>
  <si>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</si>
  <si>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</si>
  <si>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</si>
  <si>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</si>
  <si>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</si>
  <si>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</si>
  <si>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</si>
  <si>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</si>
  <si>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</si>
  <si>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</si>
  <si>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</si>
  <si>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</si>
  <si>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</si>
  <si>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</si>
  <si>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</si>
  <si>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</si>
  <si>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</si>
  <si>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</si>
  <si>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</si>
  <si>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</si>
  <si>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</si>
  <si>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</si>
  <si>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</si>
  <si>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</si>
  <si>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</si>
  <si>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</si>
  <si>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</si>
  <si>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</si>
  <si>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</si>
  <si>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</si>
  <si>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</si>
  <si>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</si>
  <si>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</si>
  <si>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</si>
  <si>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</si>
  <si>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</si>
  <si>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</si>
  <si>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</si>
  <si>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 등 블록 둘이 32(일) / 41(목)로 갈리는 것은 가슴 8세트가 목요일에 묶여 있어서다(사용자 지정 '목요일 가슴/등').</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</si>
  <si>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</si>
  <si>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</si>
  <si>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</si>
  <si>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</si>
  <si>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</si>
  <si>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</si>
  <si>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</si>
  <si>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</si>
  <si>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</si>
  <si>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</si>
  <si>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</si>
  <si>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</si>
  <si>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</si>
  <si>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</si>
  <si>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</si>
  <si>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</si>
  <si>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</si>
  <si>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</si>
  <si>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</si>
  <si>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</si>
  <si>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</si>
  <si>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</si>
  <si>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</si>
  <si>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</si>
  <si>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</si>
  <si>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</si>
  <si>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</si>
  <si>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</si>
  <si>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</si>
  <si>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</si>
  <si>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</si>
  <si>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</si>
  <si>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4~6번에 둔 이유 — 레그 컬 · 이너 · 아우터 타이 · 카프는 어깨와 경쟁하지 않는 고립이라 뒤로 보냈다. 어깨가 세션 맨 끝에 오면 하체 고립 15세트를 더 지나야 하고, 그 자리에서는 레터럴 중량이 먼저 떨어진다.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</si>
  <si>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</si>
  <si>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</si>
  <si>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</si>
  <si>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41세트 · 약 101분. 세션 상한 26세트를 넘지만 고립 소근육 29세트(익스텐션 3 · 레터럴 4 · 리버스 펙덱 4 · 레그 컬 4 · 이너 4 · 아우터 4 · 카프 6)는 예외로 본다 — 실질 12세트다. 카프가 3 → 6으로 올라 38 → 41이 됐다 (2026-10-02 사용자가 엑셀에서 직접 조정).</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</si>
  <si>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</si>
  <si>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</si>
  <si>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</si>
  <si>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</si>
  <si>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</si>
  <si>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</si>
  <si>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</si>
  <si>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</si>
  <si>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</si>
  <si>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</si>
  <si>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</si>
  <si>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</si>
  <si>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</si>
  <si>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</si>
  <si>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</si>
  <si>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</si>
  <si>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</si>
  <si>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</si>
  <si>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</si>
  <si>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</si>
  <si>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</si>
  <si>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</si>
  <si>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</si>
  <si>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</si>
  <si>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</si>
  <si>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</si>
  <si>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</si>
  <si>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</si>
  <si>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</si>
  <si>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</si>
  <si>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</si>
  <si>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</si>
  <si>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</si>
  <si>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</si>
  <si>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</si>
  <si>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</si>
  <si>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</si>
  <si>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</si>
  <si>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</si>
  <si>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</si>
  <si>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</si>
  <si>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</si>
  <si>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</si>
  <si>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</si>
  <si>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</si>
  <si>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</si>
  <si>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</si>
  <si>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</si>
  <si>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</si>
  <si>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</si>
  <si>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</si>
  <si>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</si>
  <si>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</si>
  <si>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</si>
  <si>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</si>
  <si>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</si>
  <si>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</si>
  <si>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</si>
  <si>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</si>
  <si>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5~7</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</si>
  <si>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</si>
  <si>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</si>
  <si>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</si>
  <si>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</si>
  <si>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</si>
  <si>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</si>
  <si>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</si>
  <si>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</si>
  <si>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</si>
  <si>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</si>
  <si>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</si>
  <si>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</si>
  <si>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</si>
  <si>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</si>
  <si>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</si>
  <si>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늘어난 구간 — 등받이에 기대 어깨가 뒤로 가면 이두 장두가 신장된다. 프리쳐 컬(짧아진 구간)과 각도를 나눈다.</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</si>
  <si>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</si>
  <si>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</si>
  <si>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</si>
  <si>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</si>
  <si>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</si>
  <si>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</si>
  <si>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</si>
  <si>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</si>
  <si>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</si>
  <si>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</si>
  <si>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</si>
  <si>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</si>
  <si>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</si>
  <si>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</si>
  <si>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</si>
  <si>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</si>
  <si>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</si>
  <si>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</si>
  <si>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</si>
  <si>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</si>
  <si>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</si>
  <si>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</si>
  <si>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</si>
  <si>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</si>
  <si>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</si>
  <si>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시티드 리스트 컬 손등 아래 ↔ 손등 위를 슈퍼세트(A)로 묶었다. 굴근 ↔ 신근 길항근 쌍이고 같은 자리 같은 바에서 그립만 뒤집는다 — 토요일 · 수요일의 이너 ↔ 아우터 타이와 같은 구조다.</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</si>
  <si>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</si>
  <si>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</si>
  <si>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</si>
  <si>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</si>
  <si>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</si>
  <si>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</si>
  <si>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</si>
  <si>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</si>
  <si>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</si>
  <si>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</si>
  <si>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</si>
  <si>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</si>
  <si>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</si>
  <si>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</si>
  <si>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</si>
  <si>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</si>
  <si>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</si>
  <si>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</si>
  <si>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</si>
  <si>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</si>
  <si>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</si>
  <si>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</si>
  <si>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</si>
  <si>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</si>
  <si>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</si>
  <si>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</si>
  <si>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</si>
  <si>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</si>
  <si>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</si>
  <si>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</si>
  <si>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</si>
  <si>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</si>
  <si>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</si>
  <si>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</si>
  <si>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</si>
  <si>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</si>
  <si>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</si>
  <si>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</si>
  <si>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</si>
  <si>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</si>
  <si>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</si>
  <si>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</si>
  <si>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</si>
  <si>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</si>
  <si>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</si>
  <si>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</si>
  <si>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이너 · 아우터 · 카프를 어깨 뒤로 보내 프레스 앞 누적을 13세트로 묶었다. 레그 프레스와 슈퍼세트가 들어오며 25가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</si>
  <si>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</si>
  <si>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</si>
  <si>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굴곡(원 레그 컬 3)을 같이 둬 햄스트링 · 둔근의 두 기능을 다 쓴다.</t>
  </si>
  <si>
    <t>· 햄스트링 주 10세트 중 6이 이 날이고 4는 토요일 레그 컬이다 — 2026-10-02에 햄스트링 빈도를 주 2회로 쪼갰다. 중량은 토요일(양측 4세트)이 밀고 이 날은 힌지 + 편측 균형을 맡는다.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</si>
  <si>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</si>
  <si>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</si>
  <si>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</si>
  <si>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</si>
  <si>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</si>
  <si>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</si>
  <si>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</si>
  <si>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</si>
  <si>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</si>
  <si>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</si>
  <si>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</si>
  <si>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</si>
  <si>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42세트 · 약 104분. 여섯 날 중 가장 크다 — 메인이 둘(데드 · 오버헤드 프레스) 있는 유일한 날이고 카프가 3 → 6으로 올랐다 (2026-10-02 사용자가 엑셀에서 직접 조정).</t>
  </si>
  <si>
    <t>· 고립 26세트를 빼면 실질 16세트다 — 어깨 블록 뒤 20세트(힙 쓰러스트 · 힙 외전 · 이너 · 아우터 · 카프)는 휴식이 짧아 41분이 든다. 메인 둘이 있으므로 웜업은 램프 두 블록을 따로 잡는다.</t>
  </si>
  <si>
    <t>· 레터럴 +60초 하나뿐이다. 마지막 세트에만 2단 — 레그 컬 드롭은 2026-10-02에 양측 레그 컬과 함께 토요일로 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</si>
  <si>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</si>
  <si>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</si>
  <si>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</si>
  <si>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</si>
  <si>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</si>
  <si>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</si>
  <si>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</si>
  <si>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</si>
  <si>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</si>
  <si>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넓은 엎침 그립 — 팔꿈치가 몸에서 벌어진 경로로 들어온다. 이두 관여가 가장 적은 수직 당기기다.</t>
  </si>
  <si>
    <t>오버그립 랫풀다운 (어깨너비 — 어깨가 불편할 때) / 풀업</t>
  </si>
  <si>
    <t>랫풀다운(언더그립 좁게 안쪽으로)</t>
  </si>
  <si>
    <t>짧고 깊은 쪽 — 뒤침 그립으로 좁게 잡아 어깨 신전 구간을 끝까지 쓴다. 이두 계수 0.5가 붙는 자리다.</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</si>
  <si>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</si>
  <si>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</si>
  <si>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</si>
  <si>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</si>
  <si>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</si>
  <si>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</si>
  <si>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</si>
  <si>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</si>
  <si>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</si>
  <si>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</si>
  <si>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</si>
  <si>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</si>
  <si>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</si>
  <si>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</si>
  <si>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</si>
  <si>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</si>
  <si>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</si>
  <si>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</si>
  <si>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</si>
  <si>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</si>
  <si>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</si>
  <si>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</si>
  <si>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</si>
  <si>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</si>
  <si>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</si>
  <si>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</si>
  <si>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</si>
  <si>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</si>
  <si>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44세트 · 약 99분. 전완 슈퍼세트 6 + 백 익스텐션 4 + 인클라인 벤치프레스(스미스) 3이 들어오고 언더그립 랫풀다운 3 → 4 · 디클라인 플라이 4 → 3 · 백 익스텐션 3 → 4로 조정됐다 (2026-10-02 사용자 지정).</t>
  </si>
  <si>
    <t>· 메인 리프트가 없으므로 세션 상한 26의 적용 대상이 아니다. 고립 29를 빼면 실질 15다.</t>
  </si>
  <si>
    <t>· 일요일(32세트 74분)과 합쳐 보면 등 블록 둘이 32/44로 갈린다 — 가슴 10세트가 이 날에 묶여 있어서다. 수요일 104분 · 토요일 101분 다음으로 99분이다.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</si>
  <si>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</si>
  <si>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</si>
  <si>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</si>
  <si>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</si>
  <si>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</si>
  <si>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</si>
  <si>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</si>
  <si>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</si>
  <si>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</si>
  <si>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</si>
  <si>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</si>
  <si>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</si>
  <si>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</si>
  <si>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</si>
  <si>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</si>
  <si>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</si>
  <si>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</si>
  <si>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</si>
  <si>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</si>
  <si>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</si>
  <si>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</si>
  <si>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</si>
  <si>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</si>
  <si>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</si>
  <si>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</si>
  <si>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</si>
  <si>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</si>
  <si>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</si>
  <si>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</si>
  <si>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</si>
  <si>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</si>
  <si>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</si>
  <si>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</si>
  <si>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</si>
  <si>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</si>
  <si>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</si>
  <si>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</si>
  <si>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</si>
  <si>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</si>
  <si>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광배 등척성 유지 — 직접 14세트로 이미 충분하므로 0</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</si>
  <si>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</si>
  <si>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</si>
  <si>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</si>
  <si>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</si>
  <si>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</si>
  <si>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</si>
  <si>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</si>
  <si>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</si>
  <si>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</si>
  <si>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</si>
  <si>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</si>
  <si>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상체 각도 유지 등척성</t>
  </si>
  <si>
    <t>선 자세 유지 등척성</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</si>
  <si>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</si>
  <si>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</si>
  <si>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</si>
  <si>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</si>
  <si>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</si>
  <si>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</si>
  <si>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</si>
  <si>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</si>
  <si>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</si>
  <si>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</si>
  <si>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</si>
  <si>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</si>
  <si>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</si>
  <si>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</si>
  <si>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</si>
  <si>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</si>
  <si>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</si>
  <si>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</si>
  <si>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</si>
  <si>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</si>
  <si>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</si>
  <si>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</si>
  <si>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</si>
  <si>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</si>
  <si>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</si>
  <si>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</si>
  <si>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</si>
  <si>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3세트: 목요일(수직) 오버헤드 슈러그 3 — 팔이 머리 위라 수직 날에 맞는다. 간접 2.8 — 친업 · 언더그립 랫풀다운 · 와이드 랫풀다운 · 해머 스트랭스 로우 각 0.2. 팔이 머리 위에 고정된 채 견갑을 내리는 종목이 이것뿐이다</t>
  </si>
  <si>
    <t>직접 10세트: 수요일 데드 톱 1 + 백오프 2 + 일요일 백 익스텐션 3 · 목요일 4(45도 · 맨몸) (재택도 당기기 두 날에 3세트씩 둔다 · 목요일만 4로 올린 것은 사용자 조정). 3 → 10으로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1.4 — 스미스 바벨 로우 · 오버헤드 슈러그 각 0.2 + 루마니안 데드 0.5×3.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</si>
  <si>
    <t>직접 6세트: 토요일 머신 숄더 프레스 3 · 수요일 스미스 오버헤드 프레스 3. 간접 6.5 — 벤치 0.33×4 + 인클라인 스미스 0.5×3 + 인클라인 머신 0.5×3 + 딥스 0.2×3 + 인클라인 플라이 0.2×3 + 펙덱 0.2×4. 월요일에 프레스를 안 얹은 이유가 이 간접이다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</si>
  <si>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</si>
  <si>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</si>
  <si>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2.4 — 백오프 0.33×2 + 데드 0.33×1 + 힙 쓰러스트 0.2×3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</si>
  <si>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7세트: 수요일 레그 프레스(발 높게) 4 · 힙 쓰러스트 3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</si>
  <si>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</si>
  <si>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</si>
  <si>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9세트: 일요일 프리쳐 컬 3 · 화요일 인클라인 덤벨 컬 3 · 목요일 케이블 드래그 컬 3 (6 → 9). 간접 7.3 — 당기기 6종목을 그립별로 (뒤침 0.5 · 뉴트럴 0.33 · 엎침 0.2) + 리버스컬 0.2×3. 짧아진 · 늘어난 · 중간 구간 셋으로 나눴다</t>
  </si>
  <si>
    <t>직접 9세트: 일요일 케이블 푸쉬다운 3 · 화요일 라잉 익스텐션 3 · 목요일 V바 푸쉬다운 3 (6 → 9). 간접 8.5 — 인클라인 머신(3) · 인클라인 스미스(3) · 딥스 · 머신 숄더 0.5씩 + 벤치(4) · 오버헤드 0.33씩(저반복 본세트 하향). 실질 17.5로 성장 구간 상단이고 천장까지 2.5다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</si>
  <si>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</si>
  <si>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</si>
  <si>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</si>
  <si>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</si>
  <si>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</si>
  <si>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</si>
  <si>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</si>
  <si>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</si>
  <si>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</si>
  <si>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</si>
  <si>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</si>
  <si>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</si>
  <si>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</si>
  <si>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</si>
  <si>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</si>
  <si>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</si>
  <si>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</si>
  <si>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</si>
  <si>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</si>
  <si>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</si>
  <si>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</si>
  <si>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</si>
  <si>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</si>
  <si>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</si>
  <si>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</si>
  <si>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</si>
  <si>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</si>
  <si>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</si>
  <si>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</si>
  <si>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</si>
  <si>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</si>
  <si>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</si>
  <si>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</si>
  <si>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</si>
  <si>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</si>
  <si>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</si>
  <si>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</si>
  <si>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</si>
  <si>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</si>
  <si>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</si>
  <si>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머신 레터럴 레이즈</t>
    <phoneticPr fontId="29" type="noConversion"/>
  </si>
  <si>
    <t>삼각근(측면)</t>
    <phoneticPr fontId="29" type="noConversion"/>
  </si>
  <si>
    <t>첫날 측정</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</si>
  <si>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</si>
  <si>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</si>
  <si>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</si>
  <si>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</si>
  <si>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</si>
  <si>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</si>
  <si>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</si>
  <si>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</si>
  <si>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측면 삼각은 간접 자극이 2.0세트뿐이라 직접 세트로만 채워진다. 토 4 · 월 7(원암 4 · 머신 3) · 수 3으로 나눠 주 14세트 · 실질 16 (2026-10-04 MAV 하단).</t>
    <phoneticPr fontId="29" type="noConversion"/>
  </si>
  <si>
    <t>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</si>
  <si>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직접 14세트: 토요일 레터럴 4 · 월요일 원암 케이블 레터럴 4 · 머신 레터럴 3 · 수요일 레터럴 3. 간접 2.0 — 오버헤드 프레스 0.33×3 + 머신 숄더 프레스 0.33×3. [2026-10-04 사용자 결정] 10 → 14로 실질 12.0 → 16.0, RP MAV 하단에 닿았다. 후면이 아니라 측면을 고른 이유 — 측면은 프레스 간접 2.0 말고 채울 길이가 없고, 후면은 넓은 그립 로우가 승모 중부로 계상돼 장부상 낮아 보일 뿐이다. 넣은 자리는 가장 작은 날인 월요일</t>
    <phoneticPr fontId="29" type="noConversion"/>
  </si>
  <si>
    <t>삼각근(후면)</t>
    <phoneticPr fontId="29" type="noConversion"/>
  </si>
  <si>
    <t>5~7</t>
    <phoneticPr fontId="29" type="noConversion"/>
  </si>
  <si>
    <t>리버스 펙덱 / 리어 델트 로우 (로프) / 페이스풀 (로프)</t>
    <phoneticPr fontId="29" type="noConversion"/>
  </si>
  <si>
    <t>리버스 펙덱</t>
    <phoneticPr fontId="29" type="noConversion"/>
  </si>
  <si>
    <t>[2026-10-04 사용자 요청] 후면 마무리 2세트.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</si>
  <si>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</si>
  <si>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</si>
  <si>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</si>
  <si>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</si>
  <si>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직접 12세트: 토요일 리버스 펙덱 4 · 월요일 원암 케이블 리버스 플라이 3 · 리버스 펙덱 2 · 수요일 벤트오버 레터럴 머신 3. 간접 1.5 — 목요일 페이스풀 0.5×3. 로우 계열은 전부 승모 중부 · 능형근으로 계상했다(일요일 넓은 그립 로우 7세트를 후면 0.33으로 치면 +2.3). [2026-10-04] 월요일 리버스 플라이를 원암으로(사용자 지정 — 집중이 더 잘 된다) · 같은 날 리버스 펙덱 2를 더했다(사용자 요청) — 10 → 12. 월요일 어깨 블록은 측 → 후 → 측 → 후로 교대한다</t>
    <phoneticPr fontId="29" type="noConversion"/>
  </si>
  <si>
    <t>· 삼각근 측면 16.0 · 후면 13.5 — 셋으로 나눠 주 3회. 2026-10-04에 둘 다 월요일에서 올렸다 — 측면 직접 10 → 14(MAV 하단) · 후면 10 → 12. 월요일 어깨 블록은 측 → 후 → 측 → 후 교대.</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</si>
  <si>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t>
    <phoneticPr fontId="29" type="noConversion"/>
  </si>
  <si>
    <t>약 63분</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</si>
  <si>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</si>
  <si>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세션 상한 26세트는 메인 리프트가 있는 날(토 · 월 · 수)에만 적용하고 고립 소근육은 예외로 센다 — 토요일은 고립 29를 빼면 실질 12, 수요일은 26을 빼면 16, 월요일은 15를 빼면 10이다. 메인이 없는 일 · 화 · 목은 상한의 적용 대상이 아니다.</t>
    <phoneticPr fontId="29" type="noConversion"/>
  </si>
  <si>
    <t>· 25세트 · 약 63분. 여섯 날 중 가장 작다 — 가슴 하나만 맡고 어깨가 측면 7 · 후면 5이다. 2026-10-04에 어깨 6 → 12(측면 +4 · 후면 +2)를 이 날에 넣은 것도 가장 작은 날이어서다. 어깨 블록은 측 → 후 → 측 → 후로 교대한다(사용자 지정).</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</si>
  <si>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</si>
  <si>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</si>
  <si>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</si>
  <si>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</si>
  <si>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</si>
  <si>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</si>
  <si>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</si>
  <si>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</si>
  <si>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</si>
  <si>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머신 로우 (뉴트럴 그립) / 체스트 서포티드 로우 (뉴트럴) / 원암 케이블 로우 4세트로 합치기</t>
    <phoneticPr fontId="29" type="noConversion"/>
  </si>
  <si>
    <t>[2026-10-04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4)이고 나머지 12세트는 목요일(수직)에 있다.</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</si>
  <si>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</si>
  <si>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그립이 이 날의 제약이다. 바벨 → 해머(서포티드) → 시티드(양팔) → 원암 → 스캡 슈러그 순으로 그립 부담이 줄어드는 순서다.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</si>
  <si>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</si>
  <si>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</si>
  <si>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</si>
  <si>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직접 16세트: 목요일(수직) 친업 4 · 와이드 오버그립 랫풀다운 4 · 언더그립 좁게 4 + 일요일(수평) 시티드 케이블 로우 2 · 원암 케이블 로우 2 (2026-10-02 사용자 조정 4세트 · 2026-10-04 양팔 2 + 원암 2로 분할).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</si>
  <si>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0.5×(2+2) + 리버스 펙덱 0.33×4 + 케이블 리버스 플라이 0.33×3 + 벤트오버 레터럴 0.33×3 (케이블 리버스 플라이는 경부하 리어델트라 2026-10-02에 0.5 → 0.33)</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</si>
  <si>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</si>
  <si>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 32세트 · 약 73분. 전완 슈퍼세트 6 + 백 익스텐션 3이 들어오고 원암 케이블 로우가 3 → 4로 올라 22 → 32가 됐다 (2026-10-02 사용자가 엑셀에서 직접 조정). 복합 11 / 고립 21이다.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</si>
  <si>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</si>
  <si>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약 486분 (8시간 6분)</t>
    <phoneticPr fontId="29" type="noConversion"/>
  </si>
  <si>
    <r>
      <t xml:space="preserve">https://www.youtube.com/shorts/KGkE5bXQR24, </t>
    </r>
    <r>
      <rPr>
        <u/>
        <sz val="11"/>
        <color theme="10"/>
        <rFont val="맑은 고딕"/>
        <family val="2"/>
        <charset val="129"/>
      </rPr>
      <t>명치가</t>
    </r>
    <r>
      <rPr>
        <u/>
        <sz val="11"/>
        <color theme="10"/>
        <rFont val="Calibri"/>
        <family val="2"/>
        <charset val="1"/>
      </rPr>
      <t xml:space="preserve"> </t>
    </r>
    <r>
      <rPr>
        <u/>
        <sz val="11"/>
        <color theme="10"/>
        <rFont val="맑은 고딕"/>
        <family val="2"/>
        <charset val="129"/>
      </rPr>
      <t>의자</t>
    </r>
    <r>
      <rPr>
        <u/>
        <sz val="11"/>
        <color theme="10"/>
        <rFont val="Calibri"/>
        <family val="2"/>
        <charset val="1"/>
      </rPr>
      <t xml:space="preserve"> </t>
    </r>
    <r>
      <rPr>
        <u/>
        <sz val="11"/>
        <color theme="10"/>
        <rFont val="맑은 고딕"/>
        <family val="2"/>
        <charset val="129"/>
      </rPr>
      <t>최상단</t>
    </r>
    <r>
      <rPr>
        <u/>
        <sz val="11"/>
        <color theme="10"/>
        <rFont val="Calibri"/>
        <family val="2"/>
        <charset val="1"/>
      </rPr>
      <t xml:space="preserve"> </t>
    </r>
    <r>
      <rPr>
        <u/>
        <sz val="11"/>
        <color theme="10"/>
        <rFont val="맑은 고딕"/>
        <family val="2"/>
        <charset val="129"/>
      </rPr>
      <t>높이에</t>
    </r>
    <r>
      <rPr>
        <u/>
        <sz val="11"/>
        <color theme="10"/>
        <rFont val="Calibri"/>
        <family val="2"/>
        <charset val="1"/>
      </rPr>
      <t xml:space="preserve"> </t>
    </r>
    <r>
      <rPr>
        <u/>
        <sz val="11"/>
        <color theme="10"/>
        <rFont val="맑은 고딕"/>
        <family val="2"/>
        <charset val="129"/>
      </rPr>
      <t>맞게</t>
    </r>
    <r>
      <rPr>
        <u/>
        <sz val="11"/>
        <color theme="10"/>
        <rFont val="Calibri"/>
        <family val="2"/>
        <charset val="1"/>
      </rPr>
      <t xml:space="preserve"> </t>
    </r>
    <r>
      <rPr>
        <u/>
        <sz val="11"/>
        <color theme="10"/>
        <rFont val="맑은 고딕"/>
        <family val="2"/>
        <charset val="129"/>
      </rPr>
      <t xml:space="preserve">설정, </t>
    </r>
    <r>
      <rPr>
        <u/>
        <sz val="11"/>
        <color theme="10"/>
        <rFont val="Calibri"/>
        <family val="2"/>
        <charset val="1"/>
      </rPr>
      <t>https://www.youtube.com/shorts/W0TMqVIhpcQ</t>
    </r>
    <phoneticPr fontId="29" type="noConversion"/>
  </si>
  <si>
    <t>https://www.youtube.com/shorts/UerYVESPi_E</t>
    <phoneticPr fontId="29" type="noConversion"/>
  </si>
  <si>
    <r>
      <rPr>
        <b/>
        <sz val="14"/>
        <color theme="1"/>
        <rFont val="Calibri"/>
        <family val="2"/>
        <charset val="1"/>
      </rPr>
      <t>캐리</t>
    </r>
    <r>
      <rPr>
        <b/>
        <sz val="14"/>
        <color theme="1"/>
        <rFont val="Calibri"/>
        <family val="2"/>
      </rPr>
      <t xml:space="preserve"> — </t>
    </r>
    <r>
      <rPr>
        <b/>
        <sz val="14"/>
        <color theme="1"/>
        <rFont val="Calibri"/>
        <family val="2"/>
        <charset val="1"/>
      </rPr>
      <t>무겁게</t>
    </r>
    <r>
      <rPr>
        <b/>
        <sz val="14"/>
        <color theme="1"/>
        <rFont val="Calibri"/>
        <family val="2"/>
      </rPr>
      <t xml:space="preserve"> </t>
    </r>
    <r>
      <rPr>
        <b/>
        <sz val="14"/>
        <color theme="1"/>
        <rFont val="Calibri"/>
        <family val="2"/>
        <charset val="1"/>
      </rPr>
      <t>들고</t>
    </r>
    <r>
      <rPr>
        <b/>
        <sz val="14"/>
        <color theme="1"/>
        <rFont val="Calibri"/>
        <family val="2"/>
      </rPr>
      <t xml:space="preserve"> </t>
    </r>
    <r>
      <rPr>
        <b/>
        <sz val="14"/>
        <color theme="1"/>
        <rFont val="Calibri"/>
        <family val="2"/>
        <charset val="1"/>
      </rPr>
      <t>걷기</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2026-10-04 </t>
    </r>
    <r>
      <rPr>
        <b/>
        <sz val="14"/>
        <color theme="1"/>
        <rFont val="Calibri"/>
        <family val="2"/>
        <charset val="1"/>
      </rPr>
      <t>신설</t>
    </r>
    <r>
      <rPr>
        <b/>
        <sz val="14"/>
        <color theme="1"/>
        <rFont val="Calibri"/>
        <family val="2"/>
      </rPr>
      <t>)</t>
    </r>
  </si>
  <si>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</si>
  <si>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</si>
  <si>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</si>
  <si>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</si>
  <si>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</si>
  <si>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</si>
  <si>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</si>
  <si>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</si>
  <si>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</si>
  <si>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</si>
  <si>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</si>
  <si>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</si>
  <si>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</si>
  <si>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4번 다 안 놓치면 다음 주 한 손 +2kg</t>
  </si>
  <si>
    <t>스트랩</t>
  </si>
  <si>
    <t>금지</t>
  </si>
  <si>
    <t>이 연습의 목적이 악력이다 (계단에서는 허용)</t>
  </si>
  <si>
    <t>무겁게는 주 2회까지</t>
  </si>
  <si>
    <t>재검토 조건</t>
  </si>
  <si>
    <t>2주 연속 정체 · 팔꿈치 안쪽/바깥쪽 통증</t>
  </si>
  <si>
    <t>순서</t>
  </si>
  <si>
    <t>캐리 → 계단(짧게)</t>
  </si>
  <si>
    <t>악력이 신선할 때 무거운 걸 먼저</t>
  </si>
  <si>
    <r>
      <rPr>
        <b/>
        <sz val="11"/>
        <color theme="1"/>
        <rFont val="Calibri"/>
        <family val="2"/>
        <charset val="1"/>
      </rPr>
      <t>진행표</t>
    </r>
    <r>
      <rPr>
        <b/>
        <sz val="11"/>
        <color theme="1"/>
        <rFont val="Calibri"/>
        <family val="2"/>
      </rPr>
      <t xml:space="preserve"> (</t>
    </r>
    <r>
      <rPr>
        <b/>
        <sz val="11"/>
        <color theme="1"/>
        <rFont val="Calibri"/>
        <family val="2"/>
        <charset val="1"/>
      </rPr>
      <t>주는</t>
    </r>
    <r>
      <rPr>
        <b/>
        <sz val="11"/>
        <color theme="1"/>
        <rFont val="Calibri"/>
        <family val="2"/>
      </rPr>
      <t xml:space="preserve"> </t>
    </r>
    <r>
      <rPr>
        <b/>
        <sz val="11"/>
        <color theme="1"/>
        <rFont val="Calibri"/>
        <family val="2"/>
        <charset val="1"/>
      </rPr>
      <t>토요일에</t>
    </r>
    <r>
      <rPr>
        <b/>
        <sz val="11"/>
        <color theme="1"/>
        <rFont val="Calibri"/>
        <family val="2"/>
      </rPr>
      <t xml:space="preserve"> </t>
    </r>
    <r>
      <rPr>
        <b/>
        <sz val="11"/>
        <color theme="1"/>
        <rFont val="Calibri"/>
        <family val="2"/>
        <charset val="1"/>
      </rPr>
      <t>넘어간다</t>
    </r>
    <r>
      <rPr>
        <b/>
        <sz val="11"/>
        <color theme="1"/>
        <rFont val="Calibri"/>
        <family val="2"/>
      </rPr>
      <t>)</t>
    </r>
  </si>
  <si>
    <r>
      <t>주</t>
    </r>
    <r>
      <rPr>
        <b/>
        <sz val="10"/>
        <color rgb="FFFFFFFF"/>
        <rFont val="Calibri"/>
        <family val="2"/>
      </rPr>
      <t xml:space="preserve"> </t>
    </r>
    <r>
      <rPr>
        <b/>
        <sz val="10"/>
        <color rgb="FFFFFFFF"/>
        <rFont val="Calibri"/>
        <family val="2"/>
        <charset val="1"/>
      </rPr>
      <t>시작</t>
    </r>
    <r>
      <rPr>
        <b/>
        <sz val="10"/>
        <color rgb="FFFFFFFF"/>
        <rFont val="Calibri"/>
        <family val="2"/>
      </rPr>
      <t>(</t>
    </r>
    <r>
      <rPr>
        <b/>
        <sz val="10"/>
        <color rgb="FFFFFFFF"/>
        <rFont val="Calibri"/>
        <family val="2"/>
        <charset val="1"/>
      </rPr>
      <t>토</t>
    </r>
    <r>
      <rPr>
        <b/>
        <sz val="10"/>
        <color rgb="FFFFFFFF"/>
        <rFont val="Calibri"/>
        <family val="2"/>
      </rPr>
      <t>)</t>
    </r>
  </si>
  <si>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</si>
  <si>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</si>
  <si>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</si>
  <si>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</si>
  <si>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하루 종일 오르내리는 지구력. 무게는 12~16kg에서 멈춘다 — 36kg은 복귀_캐리 몫. 세트 카운트 · 세트검산에는 넣지 않는다.</t>
  </si>
  <si>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</si>
  <si>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</si>
  <si>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</si>
  <si>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</si>
  <si>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</si>
  <si>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</si>
  <si>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</si>
  <si>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</si>
  <si>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</si>
  <si>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r>
      <t>4</t>
    </r>
    <r>
      <rPr>
        <b/>
        <sz val="11"/>
        <color theme="1"/>
        <rFont val="Calibri"/>
        <family val="2"/>
        <charset val="1"/>
      </rPr>
      <t>주</t>
    </r>
    <r>
      <rPr>
        <b/>
        <sz val="11"/>
        <color theme="1"/>
        <rFont val="Calibri"/>
        <family val="2"/>
      </rPr>
      <t xml:space="preserve"> </t>
    </r>
    <r>
      <rPr>
        <b/>
        <sz val="11"/>
        <color theme="1"/>
        <rFont val="Calibri"/>
        <family val="2"/>
        <charset val="1"/>
      </rPr>
      <t>램프</t>
    </r>
    <r>
      <rPr>
        <b/>
        <sz val="11"/>
        <color theme="1"/>
        <rFont val="Calibri"/>
        <family val="2"/>
      </rPr>
      <t xml:space="preserve"> (</t>
    </r>
    <r>
      <rPr>
        <b/>
        <sz val="11"/>
        <color theme="1"/>
        <rFont val="Calibri"/>
        <family val="2"/>
        <charset val="1"/>
      </rPr>
      <t>휴식은</t>
    </r>
    <r>
      <rPr>
        <b/>
        <sz val="11"/>
        <color theme="1"/>
        <rFont val="Calibri"/>
        <family val="2"/>
      </rPr>
      <t xml:space="preserve"> </t>
    </r>
    <r>
      <rPr>
        <b/>
        <sz val="11"/>
        <color theme="1"/>
        <rFont val="Calibri"/>
        <family val="2"/>
        <charset val="1"/>
      </rPr>
      <t>전부</t>
    </r>
    <r>
      <rPr>
        <b/>
        <sz val="11"/>
        <color theme="1"/>
        <rFont val="Calibri"/>
        <family val="2"/>
      </rPr>
      <t xml:space="preserve"> 60</t>
    </r>
    <r>
      <rPr>
        <b/>
        <sz val="11"/>
        <color theme="1"/>
        <rFont val="Calibri"/>
        <family val="2"/>
        <charset val="1"/>
      </rPr>
      <t>초</t>
    </r>
    <r>
      <rPr>
        <b/>
        <sz val="11"/>
        <color theme="1"/>
        <rFont val="Calibri"/>
        <family val="2"/>
      </rPr>
      <t>)</t>
    </r>
  </si>
  <si>
    <r>
      <t>덤벨</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</si>
  <si>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메인</t>
    </r>
    <r>
      <rPr>
        <b/>
        <sz val="10"/>
        <color rgb="FFFFFFFF"/>
        <rFont val="Calibri"/>
        <family val="2"/>
      </rPr>
      <t xml:space="preserve"> </t>
    </r>
    <r>
      <rPr>
        <b/>
        <sz val="10"/>
        <color rgb="FFFFFFFF"/>
        <rFont val="Calibri"/>
        <family val="2"/>
        <charset val="1"/>
      </rPr>
      <t>분</t>
    </r>
  </si>
  <si>
    <r>
      <t>메인</t>
    </r>
    <r>
      <rPr>
        <b/>
        <sz val="10"/>
        <color rgb="FFFFFFFF"/>
        <rFont val="Calibri"/>
        <family val="2"/>
      </rPr>
      <t xml:space="preserve"> </t>
    </r>
    <r>
      <rPr>
        <b/>
        <sz val="10"/>
        <color rgb="FFFFFFFF"/>
        <rFont val="Calibri"/>
        <family val="2"/>
        <charset val="1"/>
      </rPr>
      <t>세트</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</si>
  <si>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분</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</si>
  <si>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세트</t>
    </r>
  </si>
  <si>
    <r>
      <t>메인</t>
    </r>
    <r>
      <rPr>
        <b/>
        <sz val="10"/>
        <color rgb="FFFFFFFF"/>
        <rFont val="Calibri"/>
        <family val="2"/>
      </rPr>
      <t xml:space="preserve"> </t>
    </r>
    <r>
      <rPr>
        <b/>
        <sz val="10"/>
        <color rgb="FFFFFFFF"/>
        <rFont val="Calibri"/>
        <family val="2"/>
        <charset val="1"/>
      </rPr>
      <t>작업분</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</si>
  <si>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작업분</t>
    </r>
  </si>
  <si>
    <r>
      <t>주간</t>
    </r>
    <r>
      <rPr>
        <b/>
        <sz val="10"/>
        <color rgb="FFFFFFFF"/>
        <rFont val="Calibri"/>
        <family val="2"/>
      </rPr>
      <t xml:space="preserve"> </t>
    </r>
    <r>
      <rPr>
        <b/>
        <sz val="10"/>
        <color rgb="FFFFFFFF"/>
        <rFont val="Calibri"/>
        <family val="2"/>
        <charset val="1"/>
      </rPr>
      <t>작업분</t>
    </r>
  </si>
  <si>
    <t>12~14</t>
  </si>
  <si>
    <t>14</t>
  </si>
  <si>
    <t>14~16</t>
  </si>
  <si>
    <t>· 시간과 무게를 한 번에 둘 다 올리지 않는다. 범위 칸(12~14 등)은 '시간이 편해진 뒤 무게' 뜻이다.</t>
  </si>
  <si>
    <t>· 다음 주로 넘어가는 기준은 날짜가 아니라 몸: 다음 날 하체 웨이트 중량이 유지되면 넘어가고, 떨어지면 그 주를 반복한다.</t>
  </si>
  <si>
    <t>· 스트랩: 앞 세트는 맨손, 손이 풀리기 시작하면 스트랩. 실제 배달은 맨손 비닐 손잡이다.</t>
  </si>
  <si>
    <t>· 안전: 손잡이를 못 잡으니 속도를 평소보다 1~2단계 낮춘다. 다리가 휘청이거나 덤벨이 미끄러지면 5분을 못 채워도 바로 끊는다.</t>
  </si>
  <si>
    <t>· 아파트 비상계단에 덤벨 들고 오르내릴 수 있으면 그게 가장 실제와 비슷하다 — 내려오는 계단도 다리 부담이 크다.</t>
  </si>
  <si>
    <t>· 4주차(메인 5분 × 6) 이후는 무게를 올리지 말고 유지한다. 배달 일이 시작되면 그 일이 이 시트를 대신한다.</t>
  </si>
  <si>
    <t>천국의 계단 + 덤벨 (생수배송 대비 · 2026-10-04 신설)</t>
    <phoneticPr fontId="29" type="noConversion"/>
  </si>
  <si>
    <t>악력을 매일 무겁게 쓰면 회복이 안 돼 오히려 안 오른다. 나머지 날은 복귀_천국의계단으로 채운다</t>
    <phoneticPr fontId="29" type="noConversion"/>
  </si>
  <si>
    <t>약 43분</t>
    <phoneticPr fontId="29" type="noConversion"/>
  </si>
  <si>
    <t>약 98분</t>
    <phoneticPr fontId="29" type="noConversion"/>
  </si>
  <si>
    <t>사용자 지정으로 구성을 그대로 둔 날. 팔이 메인인 유일한 자리라 늘어난 구간 종목을 여기 뒀다. 전완 6(손등 아래는 2026-10-04부터 0 · 보류) · 목 6 · 복근 6이 전부 이 날이고, 리스트 컬 손등 아래 ↔ 위는 슈퍼세트다</t>
    <phoneticPr fontId="29" type="noConversion"/>
  </si>
  <si>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</si>
  <si>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</si>
  <si>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24세트 · 약 43분. 여섯 날 중 가장 짧다 — 전부 고립이고 휴식이 60~75초이며 리스트 컬 쌍이 슈퍼세트다.</t>
    <phoneticPr fontId="29" type="noConversion"/>
  </si>
  <si>
    <t>· 24세트지만 세션 상한 26의 적용 대상이 아니다. 메인 리프트가 없고 전부 고립 소근육이다.</t>
    <phoneticPr fontId="29" type="noConversion"/>
  </si>
  <si>
    <t>[2026-10-04 생수배송 대비 — 일 3 그대로(같은 날 2로 내렸다가 사용자 결정으로 복귀) · 목 3 → 2 · 화 3 → 0(보류)] 캐리 · 천국의 계단이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</si>
  <si>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천국의 계단이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</si>
  <si>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천국의 계단이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</si>
  <si>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</si>
  <si>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</si>
  <si>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약 73분</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</si>
  <si>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</si>
  <si>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 목 43세트 98분 · 수 42세트 104분 · 토 41세트 101분 · 일 32세트 73분 · 화 24세트 43분 · 월 25세트 63분.</t>
    <phoneticPr fontId="29" type="noConversion"/>
  </si>
  <si>
    <t>207세트</t>
    <phoneticPr fontId="29" type="noConversion"/>
  </si>
  <si>
    <t>통증이 나면 그날 증량 금지. 리스트컬은 2026-10-04에 굴근을 줄였다(전완 실질 24 → 20) — 더 줄이는 건 이 조건일 때만</t>
    <phoneticPr fontId="29" type="noConversion"/>
  </si>
  <si>
    <t>막힘 없으면 디로드 한 주 포함 7주 만에 36kg(8주차 · 11/21 주)</t>
    <phoneticPr fontId="29" type="noConversion"/>
  </si>
  <si>
    <t>디로드 시작일</t>
    <phoneticPr fontId="29" type="noConversion"/>
  </si>
  <si>
    <t>← 디로드 주가 시작되는 토요일(여럿이면 텍스트로 2026-10-17, 2026-12-26). 그 주는 주차로 세지 않고 디로드 주로만 표시된다 — 주차 · 중량 · C4가 전부 그 주에 멈추고, 앱이 세트를 절반으로 보여 준다. 미루기는 누르지 않는다</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</si>
  <si>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</si>
  <si>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</si>
  <si>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 3번째 줄(10/17 주)은 디로드 주라 26kg 그대로 — 웨이트와 같이 한 주 멈추고, 앱에는 주차 대신 디로드로 뜬다(그 뒤가 3주차). 그래서 36kg은 11/21 주. 디로드 날짜가 바뀌면 멈추는 줄도 같이 옮긴다.</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</si>
</sst>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numFmts>
  <fonts count="63">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4"/>
      <color theme="1"/>
      <name val="Calibri"/>
      <family val="2"/>
      <charset val="1"/>
    </font>
    <font>
      <b/>
      <sz val="10"/>
      <color rgb="FFFFFFFF"/>
      <name val="Calibri"/>
      <family val="2"/>
      <charset val="1"/>
    </font>
    <font>
      <b/>
      <sz val="11"/>
      <color theme="1"/>
      <name val="Calibri"/>
      <family val="2"/>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1">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1" fillId="12" borderId="0" xfId="0" applyFont="1" applyFill="1"/>
    <xf numFmtId="0" fontId="36" fillId="12" borderId="0" xfId="0" applyFont="1" applyFill="1"/>
    <xf numFmtId="0" fontId="62" fillId="0" borderId="0" xfId="0" applyFont="1"/>
    <xf numFmtId="0" fontId="58" fillId="0" borderId="0" xfId="0" applyFont="1" applyAlignment="1">
      <alignment horizontal="center"/>
    </xf>
    <xf numFmtId="178" fontId="58" fillId="0" borderId="0" xfId="0" applyNumberFormat="1" applyFont="1" applyAlignment="1">
      <alignment horizontal="center"/>
    </xf>
    <xf numFmtId="49" fontId="58" fillId="0" borderId="0" xfId="0" applyNumberFormat="1" applyFont="1" applyAlignment="1">
      <alignment horizontal="center"/>
    </xf>
    <xf numFmtId="0" fontId="58" fillId="0" borderId="0" xfId="0" applyFont="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2"/>
  <sheetViews>
    <sheetView topLeftCell="A36" zoomScaleNormal="100" workbookViewId="0">
      <selection activeCell="A63" sqref="A63:D63"/>
    </sheetView>
  </sheetViews>
  <sheetFormatPr defaultColWidth="8.7109375" defaultRowHeight="15"/>
  <cols>
    <col min="1" max="1" width="18" customWidth="1"/>
    <col min="2" max="2" width="14" customWidth="1"/>
    <col min="3" max="6" width="16" customWidth="1"/>
  </cols>
  <sheetData>
    <row r="1" spans="1:6" ht="21" customHeight="1">
      <c r="A1" s="1" t="s">
        <v>79</v>
      </c>
    </row>
    <row r="2" spans="1:6" ht="15" customHeight="1">
      <c r="A2" s="2" t="s">
        <v>80</v>
      </c>
    </row>
    <row r="4" spans="1:6" ht="15" customHeight="1">
      <c r="A4" s="3" t="s">
        <v>81</v>
      </c>
      <c r="C4" s="4">
        <v>11</v>
      </c>
      <c r="D4" s="2" t="s">
        <v>82</v>
      </c>
    </row>
    <row r="6" spans="1:6" ht="15" customHeight="1">
      <c r="A6" s="5" t="s">
        <v>83</v>
      </c>
      <c r="B6" s="6" t="s">
        <v>84</v>
      </c>
      <c r="C6" s="5" t="s">
        <v>85</v>
      </c>
      <c r="D6" s="5" t="s">
        <v>86</v>
      </c>
      <c r="E6" s="5" t="s">
        <v>87</v>
      </c>
      <c r="F6" s="5" t="s">
        <v>88</v>
      </c>
    </row>
    <row r="7" spans="1:6" ht="15" customHeight="1">
      <c r="A7" s="7" t="s">
        <v>89</v>
      </c>
      <c r="B7" s="7">
        <v>92.5</v>
      </c>
      <c r="C7" s="8" t="str">
        <f>TEXT(D7/B7,"0%")</f>
        <v>67%</v>
      </c>
      <c r="D7" s="4">
        <v>62</v>
      </c>
      <c r="E7" s="9">
        <f>INDEX(증량기록!$C$10:$C$39,MAX(1,MIN(30,$C$4-5)))</f>
        <v>75</v>
      </c>
      <c r="F7" s="8" t="s">
        <v>90</v>
      </c>
    </row>
    <row r="8" spans="1:6" ht="15" customHeight="1">
      <c r="A8" s="7" t="s">
        <v>91</v>
      </c>
      <c r="B8" s="7">
        <v>105</v>
      </c>
      <c r="C8" s="8" t="str">
        <f>TEXT(D8/B8,"0%")</f>
        <v>64%</v>
      </c>
      <c r="D8" s="4">
        <v>67</v>
      </c>
      <c r="E8" s="9">
        <f>INDEX(증량기록!$E$10:$E$39,MAX(1,MIN(30,$C$4-5)))</f>
        <v>80</v>
      </c>
      <c r="F8" s="8" t="s">
        <v>92</v>
      </c>
    </row>
    <row r="9" spans="1:6" ht="15" customHeight="1">
      <c r="A9" s="7" t="s">
        <v>93</v>
      </c>
      <c r="B9" s="7">
        <v>47.25</v>
      </c>
      <c r="C9" s="8" t="str">
        <f>TEXT(D9/B9,"0%")</f>
        <v>74%</v>
      </c>
      <c r="D9" s="4">
        <v>35</v>
      </c>
      <c r="E9" s="9">
        <f>INDEX(증량기록!$G$10:$G$39,MAX(1,MIN(30,$C$4-5)))</f>
        <v>41</v>
      </c>
      <c r="F9" s="8" t="s">
        <v>94</v>
      </c>
    </row>
    <row r="10" spans="1:6" ht="15" customHeight="1">
      <c r="A10" s="7" t="s">
        <v>95</v>
      </c>
      <c r="B10" s="7">
        <v>40</v>
      </c>
      <c r="C10" s="8" t="str">
        <f>TEXT(D10/B10,"0%")</f>
        <v>68%</v>
      </c>
      <c r="D10" s="4">
        <v>27</v>
      </c>
      <c r="E10" s="9">
        <f>INDEX(증량기록!$I$10:$I$39,MAX(1,MIN(30,$C$4-5)))</f>
        <v>30</v>
      </c>
      <c r="F10" s="8" t="s">
        <v>96</v>
      </c>
    </row>
    <row r="11" spans="1:6" ht="15" customHeight="1">
      <c r="D11" s="10" t="s">
        <v>97</v>
      </c>
    </row>
    <row r="12" spans="1:6" ht="15" customHeight="1">
      <c r="A12" s="11"/>
    </row>
    <row r="13" spans="1:6" ht="32.25" customHeight="1">
      <c r="A13" s="12" t="s">
        <v>98</v>
      </c>
    </row>
    <row r="14" spans="1:6" ht="51.75" customHeight="1">
      <c r="A14" s="11" t="s">
        <v>99</v>
      </c>
    </row>
    <row r="15" spans="1:6" ht="51.75" customHeight="1">
      <c r="A15" s="11" t="s">
        <v>100</v>
      </c>
    </row>
    <row r="16" spans="1:6" ht="64.5" customHeight="1">
      <c r="A16" s="11" t="s">
        <v>101</v>
      </c>
    </row>
    <row r="17" spans="1:1" ht="51.75" customHeight="1">
      <c r="A17" s="11" t="s">
        <v>102</v>
      </c>
    </row>
    <row r="18" spans="1:1" ht="51.75" customHeight="1">
      <c r="A18" s="11"/>
    </row>
    <row r="19" spans="1:1" ht="15" customHeight="1">
      <c r="A19" s="12" t="s">
        <v>103</v>
      </c>
    </row>
    <row r="20" spans="1:1" ht="77.25" customHeight="1">
      <c r="A20" s="11" t="s">
        <v>104</v>
      </c>
    </row>
    <row r="21" spans="1:1" ht="51.75" customHeight="1">
      <c r="A21" s="11" t="s">
        <v>105</v>
      </c>
    </row>
    <row r="22" spans="1:1" ht="15" customHeight="1">
      <c r="A22" s="11" t="s">
        <v>106</v>
      </c>
    </row>
    <row r="23" spans="1:1" ht="16.5" customHeight="1">
      <c r="A23" s="11" t="s">
        <v>107</v>
      </c>
    </row>
    <row r="24" spans="1:1" ht="51.75" customHeight="1">
      <c r="A24" s="11" t="s">
        <v>108</v>
      </c>
    </row>
    <row r="25" spans="1:1" ht="39" customHeight="1">
      <c r="A25" s="11"/>
    </row>
    <row r="26" spans="1:1" ht="64.5" customHeight="1">
      <c r="A26" s="11" t="s">
        <v>109</v>
      </c>
    </row>
    <row r="27" spans="1:1" ht="15" customHeight="1">
      <c r="A27" s="11" t="s">
        <v>110</v>
      </c>
    </row>
    <row r="28" spans="1:1" ht="60" customHeight="1">
      <c r="A28" s="11"/>
    </row>
    <row r="29" spans="1:1" ht="51.75" customHeight="1">
      <c r="A29" s="13" t="s">
        <v>111</v>
      </c>
    </row>
    <row r="30" spans="1:1" ht="51.75" customHeight="1">
      <c r="A30" s="11" t="s">
        <v>112</v>
      </c>
    </row>
    <row r="31" spans="1:1" ht="64.5" customHeight="1">
      <c r="A31" s="11" t="s">
        <v>113</v>
      </c>
    </row>
    <row r="32" spans="1:1" ht="64.5" customHeight="1">
      <c r="A32" s="11" t="s">
        <v>114</v>
      </c>
    </row>
    <row r="33" spans="1:5" ht="15" customHeight="1">
      <c r="A33" s="11"/>
    </row>
    <row r="34" spans="1:5" ht="51.75" customHeight="1">
      <c r="A34" s="11" t="s">
        <v>115</v>
      </c>
    </row>
    <row r="35" spans="1:5" ht="64.5" customHeight="1">
      <c r="A35" s="11" t="s">
        <v>116</v>
      </c>
    </row>
    <row r="36" spans="1:5" ht="26.25" customHeight="1">
      <c r="A36" s="11" t="s">
        <v>117</v>
      </c>
    </row>
    <row r="37" spans="1:5" ht="26.25" customHeight="1">
      <c r="A37" s="11" t="s">
        <v>118</v>
      </c>
    </row>
    <row r="38" spans="1:5" ht="26.25" customHeight="1">
      <c r="A38" s="11" t="s">
        <v>119</v>
      </c>
    </row>
    <row r="39" spans="1:5" ht="26.25" customHeight="1">
      <c r="A39" s="11" t="s">
        <v>120</v>
      </c>
    </row>
    <row r="41" spans="1:5" ht="16.5" customHeight="1">
      <c r="A41" s="14" t="s">
        <v>121</v>
      </c>
    </row>
    <row r="42" spans="1:5" ht="15" customHeight="1">
      <c r="A42" s="5" t="s">
        <v>122</v>
      </c>
      <c r="B42" s="5" t="s">
        <v>89</v>
      </c>
      <c r="C42" s="5" t="s">
        <v>91</v>
      </c>
      <c r="D42" s="5" t="s">
        <v>93</v>
      </c>
      <c r="E42" s="5" t="s">
        <v>95</v>
      </c>
    </row>
    <row r="43" spans="1:5" ht="15" customHeight="1">
      <c r="A43" s="15" t="s">
        <v>123</v>
      </c>
      <c r="B43" s="9">
        <f>증량기록!C10</f>
        <v>62</v>
      </c>
      <c r="C43" s="9">
        <f>증량기록!E10</f>
        <v>67</v>
      </c>
      <c r="D43" s="9">
        <f>증량기록!G10</f>
        <v>35</v>
      </c>
      <c r="E43" s="9">
        <f>증량기록!I10</f>
        <v>27</v>
      </c>
    </row>
    <row r="44" spans="1:5" ht="15" customHeight="1">
      <c r="A44" s="8" t="s">
        <v>124</v>
      </c>
      <c r="B44" s="16">
        <f>증량기록!C11</f>
        <v>65</v>
      </c>
      <c r="C44" s="16">
        <f>증량기록!E11</f>
        <v>70</v>
      </c>
      <c r="D44" s="16">
        <f>증량기록!G11</f>
        <v>36</v>
      </c>
      <c r="E44" s="16">
        <f>증량기록!I11</f>
        <v>27</v>
      </c>
    </row>
    <row r="45" spans="1:5" ht="15" customHeight="1">
      <c r="A45" s="8" t="s">
        <v>125</v>
      </c>
      <c r="B45" s="16">
        <f>증량기록!C12</f>
        <v>67</v>
      </c>
      <c r="C45" s="16">
        <f>증량기록!E12</f>
        <v>72</v>
      </c>
      <c r="D45" s="16">
        <f>증량기록!G12</f>
        <v>37</v>
      </c>
      <c r="E45" s="16">
        <f>증량기록!I12</f>
        <v>28</v>
      </c>
    </row>
    <row r="46" spans="1:5" ht="15" customHeight="1">
      <c r="A46" s="8" t="s">
        <v>126</v>
      </c>
      <c r="B46" s="16">
        <f>증량기록!C13</f>
        <v>70</v>
      </c>
      <c r="C46" s="16">
        <f>증량기록!E13</f>
        <v>75</v>
      </c>
      <c r="D46" s="16">
        <f>증량기록!G13</f>
        <v>38</v>
      </c>
      <c r="E46" s="16">
        <f>증량기록!I13</f>
        <v>28</v>
      </c>
    </row>
    <row r="47" spans="1:5" ht="15" customHeight="1">
      <c r="A47" s="8" t="s">
        <v>127</v>
      </c>
      <c r="B47" s="16">
        <f>증량기록!C14</f>
        <v>72</v>
      </c>
      <c r="C47" s="16">
        <f>증량기록!E14</f>
        <v>77</v>
      </c>
      <c r="D47" s="16">
        <f>증량기록!G14</f>
        <v>40</v>
      </c>
      <c r="E47" s="16">
        <f>증량기록!I14</f>
        <v>30</v>
      </c>
    </row>
    <row r="48" spans="1:5" ht="15" customHeight="1">
      <c r="A48" s="8" t="s">
        <v>128</v>
      </c>
      <c r="B48" s="16">
        <f>증량기록!C15</f>
        <v>75</v>
      </c>
      <c r="C48" s="16">
        <f>증량기록!E15</f>
        <v>80</v>
      </c>
      <c r="D48" s="16">
        <f>증량기록!G15</f>
        <v>41</v>
      </c>
      <c r="E48" s="16">
        <f>증량기록!I15</f>
        <v>30</v>
      </c>
    </row>
    <row r="49" spans="1:5" ht="15" customHeight="1">
      <c r="A49" s="8" t="s">
        <v>129</v>
      </c>
      <c r="B49" s="16">
        <f>증량기록!C16</f>
        <v>77</v>
      </c>
      <c r="C49" s="16">
        <f>증량기록!E16</f>
        <v>82</v>
      </c>
      <c r="D49" s="16">
        <f>증량기록!G16</f>
        <v>42</v>
      </c>
      <c r="E49" s="16">
        <f>증량기록!I16</f>
        <v>31</v>
      </c>
    </row>
    <row r="50" spans="1:5" ht="15" customHeight="1">
      <c r="A50" s="8" t="s">
        <v>130</v>
      </c>
      <c r="B50" s="16">
        <f>증량기록!C17</f>
        <v>80</v>
      </c>
      <c r="C50" s="16">
        <f>증량기록!E17</f>
        <v>85</v>
      </c>
      <c r="D50" s="16">
        <f>증량기록!G17</f>
        <v>43</v>
      </c>
      <c r="E50" s="16">
        <f>증량기록!I17</f>
        <v>31</v>
      </c>
    </row>
    <row r="51" spans="1:5" ht="15" customHeight="1">
      <c r="A51" s="8" t="s">
        <v>131</v>
      </c>
      <c r="B51" s="16">
        <f>증량기록!C18</f>
        <v>82</v>
      </c>
      <c r="C51" s="16">
        <f>증량기록!E18</f>
        <v>87</v>
      </c>
      <c r="D51" s="16">
        <f>증량기록!G18</f>
        <v>45</v>
      </c>
      <c r="E51" s="16">
        <f>증량기록!I18</f>
        <v>32</v>
      </c>
    </row>
    <row r="52" spans="1:5" ht="15" customHeight="1">
      <c r="A52" s="8" t="s">
        <v>132</v>
      </c>
      <c r="B52" s="16">
        <f>증량기록!C19</f>
        <v>85</v>
      </c>
      <c r="C52" s="16">
        <f>증량기록!E19</f>
        <v>90</v>
      </c>
      <c r="D52" s="16">
        <f>증량기록!G19</f>
        <v>46</v>
      </c>
      <c r="E52" s="16">
        <f>증량기록!I19</f>
        <v>32</v>
      </c>
    </row>
    <row r="53" spans="1:5" ht="15" customHeight="1">
      <c r="A53" s="8" t="s">
        <v>133</v>
      </c>
      <c r="B53" s="16">
        <f>증량기록!C20</f>
        <v>87</v>
      </c>
      <c r="C53" s="16">
        <f>증량기록!E20</f>
        <v>92</v>
      </c>
      <c r="D53" s="16">
        <f>증량기록!G20</f>
        <v>47</v>
      </c>
      <c r="E53" s="16">
        <f>증량기록!I20</f>
        <v>33</v>
      </c>
    </row>
    <row r="54" spans="1:5" ht="15" customHeight="1">
      <c r="A54" s="8" t="s">
        <v>134</v>
      </c>
      <c r="B54" s="16">
        <f>증량기록!C21</f>
        <v>90</v>
      </c>
      <c r="C54" s="16">
        <f>증량기록!E21</f>
        <v>95</v>
      </c>
      <c r="D54" s="16">
        <f>증량기록!G21</f>
        <v>48</v>
      </c>
      <c r="E54" s="16">
        <f>증량기록!I21</f>
        <v>33</v>
      </c>
    </row>
    <row r="56" spans="1:5" ht="51.75" customHeight="1">
      <c r="A56" s="11" t="s">
        <v>135</v>
      </c>
    </row>
    <row r="58" spans="1:5">
      <c r="A58" t="s">
        <v>136</v>
      </c>
    </row>
    <row r="59" spans="1:5">
      <c r="A59" t="s">
        <v>137</v>
      </c>
      <c r="C59" s="100">
        <v>46228</v>
      </c>
      <c r="D59" t="s">
        <v>1385</v>
      </c>
    </row>
    <row r="60" spans="1:5">
      <c r="A60" t="s">
        <v>138</v>
      </c>
      <c r="C60" s="100">
        <v>46298</v>
      </c>
      <c r="D60" t="s">
        <v>1386</v>
      </c>
    </row>
    <row r="61" spans="1:5">
      <c r="A61" t="s">
        <v>139</v>
      </c>
      <c r="C61">
        <v>11</v>
      </c>
      <c r="D61" t="s">
        <v>140</v>
      </c>
    </row>
    <row r="62" spans="1:5">
      <c r="A62" t="s">
        <v>141</v>
      </c>
      <c r="C62">
        <v>1</v>
      </c>
      <c r="D62" t="s">
        <v>142</v>
      </c>
    </row>
    <row r="63" spans="1:5">
      <c r="A63" t="s">
        <v>1487</v>
      </c>
      <c r="C63" s="100">
        <v>46312</v>
      </c>
      <c r="D63" t="s">
        <v>1488</v>
      </c>
    </row>
    <row r="64" spans="1:5">
      <c r="A64" t="s">
        <v>143</v>
      </c>
      <c r="C64" s="100">
        <v>46266</v>
      </c>
      <c r="D64" t="s">
        <v>144</v>
      </c>
    </row>
    <row r="65" spans="1:1">
      <c r="A65" t="s">
        <v>145</v>
      </c>
    </row>
    <row r="66" spans="1:1">
      <c r="A66" t="s">
        <v>146</v>
      </c>
    </row>
    <row r="67" spans="1:1">
      <c r="A67" t="s">
        <v>147</v>
      </c>
    </row>
    <row r="68" spans="1:1">
      <c r="A68" t="s">
        <v>1489</v>
      </c>
    </row>
    <row r="69" spans="1:1">
      <c r="A69" t="s">
        <v>148</v>
      </c>
    </row>
    <row r="70" spans="1:1">
      <c r="A70" t="s">
        <v>149</v>
      </c>
    </row>
    <row r="71" spans="1:1">
      <c r="A71" t="s">
        <v>1387</v>
      </c>
    </row>
    <row r="72" spans="1:1">
      <c r="A72" t="s">
        <v>1389</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150</v>
      </c>
    </row>
    <row r="2" spans="1:6" ht="15" customHeight="1">
      <c r="A2" s="18" t="s">
        <v>151</v>
      </c>
    </row>
    <row r="4" spans="1:6" ht="15" customHeight="1">
      <c r="A4" s="19" t="s">
        <v>152</v>
      </c>
      <c r="B4" s="19" t="s">
        <v>153</v>
      </c>
      <c r="C4" s="19" t="s">
        <v>154</v>
      </c>
      <c r="D4" s="19" t="s">
        <v>155</v>
      </c>
      <c r="E4" s="19" t="s">
        <v>156</v>
      </c>
      <c r="F4" s="19" t="s">
        <v>157</v>
      </c>
    </row>
    <row r="5" spans="1:6" ht="15" customHeight="1">
      <c r="A5" s="20">
        <v>1</v>
      </c>
      <c r="B5" s="21" t="s">
        <v>158</v>
      </c>
      <c r="C5" s="22" t="s">
        <v>28</v>
      </c>
      <c r="D5" s="21" t="s">
        <v>159</v>
      </c>
      <c r="E5" s="20">
        <f>INDEX(D1_당기기A!$E:$E,MATCH("세트 합계",D1_당기기A!$D:$D,0))</f>
        <v>32</v>
      </c>
      <c r="F5" s="20" t="str">
        <f>"약 "&amp;INDEX(D1_당기기A!$I:$I,MATCH("세트 합계",D1_당기기A!$D:$D,0))&amp;"분"</f>
        <v>약 76분</v>
      </c>
    </row>
    <row r="6" spans="1:6" ht="15" customHeight="1">
      <c r="A6" s="20">
        <v>2</v>
      </c>
      <c r="B6" s="21" t="s">
        <v>160</v>
      </c>
      <c r="C6" s="22" t="s">
        <v>161</v>
      </c>
      <c r="D6" s="21" t="s">
        <v>162</v>
      </c>
      <c r="E6" s="20">
        <f>INDEX(D2_밀기A!$E:$E,MATCH("세트 합계",D2_밀기A!$D:$D,0))</f>
        <v>28</v>
      </c>
      <c r="F6" s="20" t="str">
        <f>"약 "&amp;INDEX(D2_밀기A!$I:$I,MATCH("세트 합계",D2_밀기A!$D:$D,0))&amp;"분"</f>
        <v>약 71분</v>
      </c>
    </row>
    <row r="7" spans="1:6" ht="15" customHeight="1">
      <c r="A7" s="20">
        <v>3</v>
      </c>
      <c r="B7" s="21" t="s">
        <v>163</v>
      </c>
      <c r="C7" s="22" t="s">
        <v>164</v>
      </c>
      <c r="D7" s="21" t="s">
        <v>165</v>
      </c>
      <c r="E7" s="20">
        <f>INDEX(D3_하체A!$E:$E,MATCH("세트 합계",D3_하체A!$D:$D,0))</f>
        <v>26</v>
      </c>
      <c r="F7" s="20" t="str">
        <f>"약 "&amp;INDEX(D3_하체A!$I:$I,MATCH("세트 합계",D3_하체A!$D:$D,0))&amp;"분"</f>
        <v>약 71분</v>
      </c>
    </row>
    <row r="8" spans="1:6" ht="15" customHeight="1">
      <c r="A8" s="20">
        <v>4</v>
      </c>
      <c r="B8" s="21" t="s">
        <v>166</v>
      </c>
      <c r="C8" s="22" t="s">
        <v>28</v>
      </c>
      <c r="D8" s="21" t="s">
        <v>167</v>
      </c>
      <c r="E8" s="20">
        <f>INDEX(D4_어깨팔A!$E:$E,MATCH("세트 합계",D4_어깨팔A!$D:$D,0))</f>
        <v>36</v>
      </c>
      <c r="F8" s="20" t="str">
        <f>"약 "&amp;INDEX(D4_어깨팔A!$I:$I,MATCH("세트 합계",D4_어깨팔A!$D:$D,0))&amp;"분"</f>
        <v>약 73분</v>
      </c>
    </row>
    <row r="9" spans="1:6" ht="15" customHeight="1">
      <c r="A9" s="23">
        <v>5</v>
      </c>
      <c r="B9" s="24" t="s">
        <v>168</v>
      </c>
      <c r="C9" s="25" t="s">
        <v>28</v>
      </c>
      <c r="D9" s="24" t="s">
        <v>28</v>
      </c>
      <c r="E9" s="23">
        <v>0</v>
      </c>
      <c r="F9" s="20" t="s">
        <v>28</v>
      </c>
    </row>
    <row r="10" spans="1:6" ht="15" customHeight="1">
      <c r="A10" s="20">
        <v>6</v>
      </c>
      <c r="B10" s="21" t="s">
        <v>169</v>
      </c>
      <c r="C10" s="22" t="s">
        <v>28</v>
      </c>
      <c r="D10" s="21" t="s">
        <v>170</v>
      </c>
      <c r="E10" s="20">
        <f>INDEX(D6_당기기B!$E:$E,MATCH("세트 합계",D6_당기기B!$D:$D,0))</f>
        <v>28</v>
      </c>
      <c r="F10" s="20" t="str">
        <f>"약 "&amp;INDEX(D6_당기기B!$I:$I,MATCH("세트 합계",D6_당기기B!$D:$D,0))&amp;"분"</f>
        <v>약 70분</v>
      </c>
    </row>
    <row r="11" spans="1:6" ht="15" customHeight="1">
      <c r="A11" s="20">
        <v>7</v>
      </c>
      <c r="B11" s="21" t="s">
        <v>171</v>
      </c>
      <c r="C11" s="22" t="s">
        <v>172</v>
      </c>
      <c r="D11" s="21" t="s">
        <v>173</v>
      </c>
      <c r="E11" s="20">
        <f>INDEX(D7_밀기B!$E:$E,MATCH("세트 합계",D7_밀기B!$D:$D,0))</f>
        <v>30</v>
      </c>
      <c r="F11" s="20" t="str">
        <f>"약 "&amp;INDEX(D7_밀기B!$I:$I,MATCH("세트 합계",D7_밀기B!$D:$D,0))&amp;"분"</f>
        <v>약 73분</v>
      </c>
    </row>
    <row r="12" spans="1:6" ht="15" customHeight="1">
      <c r="A12" s="20">
        <v>8</v>
      </c>
      <c r="B12" s="21" t="s">
        <v>174</v>
      </c>
      <c r="C12" s="22" t="s">
        <v>175</v>
      </c>
      <c r="D12" s="21" t="s">
        <v>176</v>
      </c>
      <c r="E12" s="20">
        <f>INDEX(D8_하체B!$E:$E,MATCH("세트 합계",D8_하체B!$D:$D,0))</f>
        <v>24</v>
      </c>
      <c r="F12" s="20" t="str">
        <f>"약 "&amp;INDEX(D8_하체B!$I:$I,MATCH("세트 합계",D8_하체B!$D:$D,0))&amp;"분"</f>
        <v>약 74분</v>
      </c>
    </row>
    <row r="13" spans="1:6" ht="15" customHeight="1">
      <c r="A13" s="20">
        <v>9</v>
      </c>
      <c r="B13" s="21" t="s">
        <v>177</v>
      </c>
      <c r="C13" s="22" t="s">
        <v>28</v>
      </c>
      <c r="D13" s="21" t="s">
        <v>178</v>
      </c>
      <c r="E13" s="20">
        <f>INDEX(D9_어깨팔B!$E:$E,MATCH("세트 합계",D9_어깨팔B!$D:$D,0))</f>
        <v>36</v>
      </c>
      <c r="F13" s="20" t="str">
        <f>"약 "&amp;INDEX(D9_어깨팔B!$I:$I,MATCH("세트 합계",D9_어깨팔B!$D:$D,0))&amp;"분"</f>
        <v>약 70분</v>
      </c>
    </row>
    <row r="14" spans="1:6">
      <c r="A14" s="23">
        <v>10</v>
      </c>
      <c r="B14" s="24" t="s">
        <v>168</v>
      </c>
      <c r="C14" s="25" t="s">
        <v>28</v>
      </c>
      <c r="D14" s="24" t="s">
        <v>28</v>
      </c>
      <c r="E14" s="23">
        <v>0</v>
      </c>
      <c r="F14" s="20" t="s">
        <v>28</v>
      </c>
    </row>
    <row r="15" spans="1:6" ht="16.5" customHeight="1">
      <c r="A15" s="27" t="s">
        <v>179</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180</v>
      </c>
    </row>
    <row r="18" spans="1:1" ht="38.25" customHeight="1">
      <c r="A18" s="30" t="s">
        <v>181</v>
      </c>
    </row>
    <row r="19" spans="1:1" ht="114.75" customHeight="1">
      <c r="A19" s="30" t="s">
        <v>182</v>
      </c>
    </row>
    <row r="20" spans="1:1" ht="16.5" customHeight="1">
      <c r="A20" s="30" t="s">
        <v>183</v>
      </c>
    </row>
    <row r="21" spans="1:1" ht="16.5" customHeight="1">
      <c r="A21" s="30" t="s">
        <v>184</v>
      </c>
    </row>
    <row r="22" spans="1:1" ht="15" customHeight="1">
      <c r="A22" s="30" t="s">
        <v>185</v>
      </c>
    </row>
    <row r="23" spans="1:1" ht="15" customHeight="1">
      <c r="A23" s="30" t="s">
        <v>186</v>
      </c>
    </row>
    <row r="24" spans="1:1" ht="15" customHeight="1">
      <c r="A24" s="30" t="s">
        <v>187</v>
      </c>
    </row>
    <row r="25" spans="1:1" ht="15" customHeight="1">
      <c r="A25" s="31"/>
    </row>
    <row r="26" spans="1:1" ht="16.5" customHeight="1">
      <c r="A26" s="92" t="s">
        <v>188</v>
      </c>
    </row>
    <row r="27" spans="1:1" ht="15" customHeight="1">
      <c r="A27" t="s">
        <v>189</v>
      </c>
    </row>
    <row r="28" spans="1:1" ht="15" customHeight="1">
      <c r="A28" t="s">
        <v>190</v>
      </c>
    </row>
    <row r="29" spans="1:1" ht="79.5" customHeight="1">
      <c r="A29" t="s">
        <v>191</v>
      </c>
    </row>
    <row r="30" spans="1:1" ht="64.5" customHeight="1">
      <c r="A30" t="s">
        <v>192</v>
      </c>
    </row>
    <row r="31" spans="1:1" ht="90" customHeight="1">
      <c r="A31" t="s">
        <v>193</v>
      </c>
    </row>
    <row r="32" spans="1:1" ht="102.75" customHeight="1">
      <c r="A32" t="s">
        <v>194</v>
      </c>
    </row>
    <row r="33" spans="1:1" ht="100.5" customHeight="1">
      <c r="A33" t="s">
        <v>195</v>
      </c>
    </row>
    <row r="34" spans="1:1" ht="15" customHeight="1">
      <c r="A34" t="s">
        <v>196</v>
      </c>
    </row>
    <row r="35" spans="1:1" ht="90" customHeight="1">
      <c r="A35" t="s">
        <v>197</v>
      </c>
    </row>
    <row r="36" spans="1:1" ht="90" customHeight="1">
      <c r="A36" t="s">
        <v>198</v>
      </c>
    </row>
    <row r="37" spans="1:1" ht="90" customHeight="1">
      <c r="A37" t="s">
        <v>199</v>
      </c>
    </row>
    <row r="38" spans="1:1" ht="90" customHeight="1">
      <c r="A38" t="s">
        <v>200</v>
      </c>
    </row>
    <row r="39" spans="1:1" ht="90" customHeight="1">
      <c r="A39" t="s">
        <v>201</v>
      </c>
    </row>
    <row r="40" spans="1:1" ht="90" customHeight="1">
      <c r="A40" t="s">
        <v>202</v>
      </c>
    </row>
    <row r="41" spans="1:1" ht="51.75" customHeight="1">
      <c r="A41" s="13" t="s">
        <v>203</v>
      </c>
    </row>
    <row r="42" spans="1:1" ht="77.25" customHeight="1">
      <c r="A42" s="30" t="s">
        <v>204</v>
      </c>
    </row>
    <row r="43" spans="1:1" ht="64.5" customHeight="1">
      <c r="A43" s="30" t="s">
        <v>205</v>
      </c>
    </row>
    <row r="44" spans="1:1" ht="16.5" customHeight="1">
      <c r="A44" s="30" t="s">
        <v>206</v>
      </c>
    </row>
    <row r="45" spans="1:1" ht="16.5" customHeight="1">
      <c r="A45" s="30" t="s">
        <v>207</v>
      </c>
    </row>
    <row r="46" spans="1:1" ht="16.5" customHeight="1">
      <c r="A46" s="30" t="s">
        <v>208</v>
      </c>
    </row>
    <row r="47" spans="1:1" ht="242.25" customHeight="1">
      <c r="A47" s="30"/>
    </row>
    <row r="48" spans="1:1" ht="270.75" customHeight="1">
      <c r="A48" s="13" t="s">
        <v>209</v>
      </c>
    </row>
    <row r="49" spans="1:1" ht="242.25" customHeight="1">
      <c r="A49" s="30" t="s">
        <v>210</v>
      </c>
    </row>
    <row r="50" spans="1:1" ht="199.5" customHeight="1">
      <c r="A50" s="30" t="s">
        <v>211</v>
      </c>
    </row>
    <row r="51" spans="1:1" ht="185.25" customHeight="1">
      <c r="A51" s="30" t="s">
        <v>212</v>
      </c>
    </row>
    <row r="52" spans="1:1" ht="199.5" customHeight="1">
      <c r="A52" s="30" t="s">
        <v>213</v>
      </c>
    </row>
    <row r="53" spans="1:1" ht="185.25" customHeight="1">
      <c r="A53" s="30" t="s">
        <v>214</v>
      </c>
    </row>
    <row r="54" spans="1:1" ht="327.75" customHeight="1">
      <c r="A54" s="30" t="s">
        <v>215</v>
      </c>
    </row>
    <row r="55" spans="1:1" ht="256.5" customHeight="1">
      <c r="A55" s="32"/>
    </row>
    <row r="56" spans="1:1" ht="409.5" customHeight="1">
      <c r="A56" s="13" t="s">
        <v>216</v>
      </c>
    </row>
    <row r="57" spans="1:1" ht="370.5" customHeight="1">
      <c r="A57" s="30" t="s">
        <v>217</v>
      </c>
    </row>
    <row r="58" spans="1:1" ht="409.5" customHeight="1">
      <c r="A58" s="30" t="s">
        <v>218</v>
      </c>
    </row>
    <row r="59" spans="1:1" ht="370.5" customHeight="1">
      <c r="A59" s="30" t="s">
        <v>219</v>
      </c>
    </row>
    <row r="60" spans="1:1" ht="185.25" customHeight="1">
      <c r="A60" s="30" t="s">
        <v>220</v>
      </c>
    </row>
    <row r="61" spans="1:1" ht="60" customHeight="1">
      <c r="A61" s="31"/>
    </row>
    <row r="62" spans="1:1" ht="256.5" customHeight="1">
      <c r="A62" s="13" t="s">
        <v>221</v>
      </c>
    </row>
    <row r="63" spans="1:1" ht="327.75" customHeight="1">
      <c r="A63" s="30" t="s">
        <v>222</v>
      </c>
    </row>
    <row r="64" spans="1:1" ht="256.5" customHeight="1">
      <c r="A64" s="30" t="s">
        <v>223</v>
      </c>
    </row>
    <row r="65" spans="1:1" ht="409.5" customHeight="1">
      <c r="A65" s="30" t="s">
        <v>224</v>
      </c>
    </row>
    <row r="66" spans="1:1" ht="370.5" customHeight="1">
      <c r="A66" s="30" t="s">
        <v>225</v>
      </c>
    </row>
    <row r="67" spans="1:1" ht="285" customHeight="1">
      <c r="A67" s="30" t="s">
        <v>226</v>
      </c>
    </row>
    <row r="68" spans="1:1" ht="90" customHeight="1">
      <c r="A68" s="30" t="s">
        <v>227</v>
      </c>
    </row>
    <row r="69" spans="1:1" ht="313.5" customHeight="1">
      <c r="A69" s="13" t="s">
        <v>228</v>
      </c>
    </row>
    <row r="70" spans="1:1" ht="370.5" customHeight="1">
      <c r="A70" s="30" t="s">
        <v>229</v>
      </c>
    </row>
    <row r="71" spans="1:1" ht="285" customHeight="1">
      <c r="A71" s="30" t="s">
        <v>230</v>
      </c>
    </row>
    <row r="72" spans="1:1" ht="370.5" customHeight="1"/>
    <row r="73" spans="1:1" ht="256.5" customHeight="1">
      <c r="A73" s="13" t="s">
        <v>231</v>
      </c>
    </row>
    <row r="74" spans="1:1" ht="327.75" customHeight="1">
      <c r="A74" s="30" t="s">
        <v>232</v>
      </c>
    </row>
    <row r="75" spans="1:1" ht="327.75" customHeight="1">
      <c r="A75" s="30" t="s">
        <v>233</v>
      </c>
    </row>
    <row r="76" spans="1:1" ht="299.25" customHeight="1">
      <c r="A76" s="30" t="s">
        <v>234</v>
      </c>
    </row>
    <row r="77" spans="1:1" ht="327.75" customHeight="1">
      <c r="A77" s="30" t="s">
        <v>235</v>
      </c>
    </row>
    <row r="78" spans="1:1" ht="90" customHeight="1"/>
    <row r="79" spans="1:1" ht="75" customHeight="1">
      <c r="A79" s="13" t="s">
        <v>236</v>
      </c>
    </row>
    <row r="80" spans="1:1" ht="327.75" customHeight="1">
      <c r="A80" s="30" t="s">
        <v>237</v>
      </c>
    </row>
    <row r="81" spans="1:1" ht="356.25" customHeight="1">
      <c r="A81" s="30" t="s">
        <v>238</v>
      </c>
    </row>
    <row r="82" spans="1:1" ht="270.75" customHeight="1">
      <c r="A82" s="30" t="s">
        <v>239</v>
      </c>
    </row>
    <row r="83" spans="1:1" ht="313.5" customHeight="1">
      <c r="A83" s="30" t="s">
        <v>240</v>
      </c>
    </row>
    <row r="84" spans="1:1" ht="142.5" customHeight="1">
      <c r="A84" s="30" t="s">
        <v>241</v>
      </c>
    </row>
    <row r="85" spans="1:1" ht="242.25" customHeight="1">
      <c r="A85" s="30" t="s">
        <v>242</v>
      </c>
    </row>
    <row r="86" spans="1:1" ht="299.25" customHeight="1">
      <c r="A86" s="30" t="s">
        <v>243</v>
      </c>
    </row>
    <row r="87" spans="1:1" ht="327.75" customHeight="1">
      <c r="A87" s="30" t="s">
        <v>244</v>
      </c>
    </row>
    <row r="88" spans="1:1" ht="327.75" customHeight="1">
      <c r="A88" s="30" t="s">
        <v>245</v>
      </c>
    </row>
    <row r="89" spans="1:1" ht="75" customHeight="1"/>
    <row r="90" spans="1:1" ht="327.75" customHeight="1">
      <c r="A90" s="13" t="s">
        <v>246</v>
      </c>
    </row>
    <row r="91" spans="1:1" ht="356.25" customHeight="1">
      <c r="A91" s="30" t="s">
        <v>247</v>
      </c>
    </row>
    <row r="92" spans="1:1" ht="270.75" customHeight="1">
      <c r="A92" s="30" t="s">
        <v>248</v>
      </c>
    </row>
    <row r="93" spans="1:1" ht="313.5" customHeight="1">
      <c r="A93" s="30" t="s">
        <v>249</v>
      </c>
    </row>
    <row r="94" spans="1:1" ht="142.5" customHeight="1">
      <c r="A94" s="30" t="s">
        <v>250</v>
      </c>
    </row>
    <row r="95" spans="1:1" ht="242.25" customHeight="1">
      <c r="A95" s="30" t="s">
        <v>251</v>
      </c>
    </row>
    <row r="96" spans="1:1" ht="242.25" customHeight="1">
      <c r="A96" s="30" t="s">
        <v>252</v>
      </c>
    </row>
    <row r="98" spans="1:1">
      <c r="A98" s="99" t="s">
        <v>253</v>
      </c>
    </row>
    <row r="99" spans="1:1">
      <c r="A99" t="s">
        <v>254</v>
      </c>
    </row>
    <row r="100" spans="1:1">
      <c r="A100" t="s">
        <v>255</v>
      </c>
    </row>
    <row r="101" spans="1:1">
      <c r="A101" t="s">
        <v>256</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257</v>
      </c>
    </row>
    <row r="2" spans="1:15" ht="16.5" customHeight="1">
      <c r="A2" s="18" t="s">
        <v>258</v>
      </c>
    </row>
    <row r="3" spans="1:15">
      <c r="A3" s="33" t="s">
        <v>259</v>
      </c>
    </row>
    <row r="4" spans="1:15" ht="15" customHeight="1">
      <c r="A4" s="3" t="s">
        <v>260</v>
      </c>
    </row>
    <row r="5" spans="1:15" ht="16.5" customHeight="1">
      <c r="A5" s="34" t="s">
        <v>261</v>
      </c>
      <c r="B5" s="35" t="s">
        <v>83</v>
      </c>
      <c r="C5" s="35" t="s">
        <v>262</v>
      </c>
      <c r="D5" s="35" t="s">
        <v>263</v>
      </c>
      <c r="E5" s="35" t="s">
        <v>156</v>
      </c>
      <c r="F5" s="35" t="s">
        <v>264</v>
      </c>
      <c r="G5" s="35" t="s">
        <v>265</v>
      </c>
      <c r="H5" s="35" t="s">
        <v>266</v>
      </c>
      <c r="I5" s="35" t="s">
        <v>267</v>
      </c>
      <c r="J5" s="35" t="s">
        <v>268</v>
      </c>
      <c r="K5" s="35" t="s">
        <v>269</v>
      </c>
      <c r="L5" s="35" t="s">
        <v>270</v>
      </c>
      <c r="M5" s="35" t="s">
        <v>271</v>
      </c>
      <c r="N5" s="35" t="s">
        <v>272</v>
      </c>
      <c r="O5" s="35" t="s">
        <v>273</v>
      </c>
    </row>
    <row r="6" spans="1:15" ht="16.5" customHeight="1">
      <c r="A6" s="20">
        <v>1</v>
      </c>
      <c r="B6" s="21" t="s">
        <v>274</v>
      </c>
      <c r="C6" s="20" t="s">
        <v>275</v>
      </c>
      <c r="D6" s="20">
        <v>60</v>
      </c>
      <c r="E6" s="20">
        <v>4</v>
      </c>
      <c r="F6" s="26" t="s">
        <v>276</v>
      </c>
      <c r="G6" s="26">
        <v>35</v>
      </c>
      <c r="H6" s="26">
        <v>155</v>
      </c>
      <c r="I6" s="26">
        <f t="shared" ref="I6:I16" si="0">IF(E6=0,0,ROUND((E6*(G6+H6)+O6)/60,1))</f>
        <v>12.7</v>
      </c>
      <c r="J6" s="21" t="s">
        <v>277</v>
      </c>
      <c r="K6" s="21" t="s">
        <v>278</v>
      </c>
      <c r="L6" s="21" t="s">
        <v>279</v>
      </c>
      <c r="M6" s="26" t="s">
        <v>280</v>
      </c>
      <c r="O6" s="26"/>
    </row>
    <row r="7" spans="1:15" ht="16.5" customHeight="1">
      <c r="A7" s="20">
        <v>2</v>
      </c>
      <c r="B7" s="21" t="s">
        <v>281</v>
      </c>
      <c r="C7" s="20" t="s">
        <v>275</v>
      </c>
      <c r="D7" s="26">
        <v>40</v>
      </c>
      <c r="E7" s="20">
        <v>3</v>
      </c>
      <c r="F7" s="26" t="s">
        <v>282</v>
      </c>
      <c r="G7" s="26">
        <v>40</v>
      </c>
      <c r="H7" s="26">
        <v>120</v>
      </c>
      <c r="I7" s="26">
        <f t="shared" si="0"/>
        <v>8</v>
      </c>
      <c r="J7" s="21" t="s">
        <v>277</v>
      </c>
      <c r="K7" s="36" t="s">
        <v>283</v>
      </c>
      <c r="L7" s="21" t="s">
        <v>284</v>
      </c>
      <c r="O7" s="26"/>
    </row>
    <row r="8" spans="1:15" ht="16.5" customHeight="1">
      <c r="A8" s="20">
        <v>3</v>
      </c>
      <c r="B8" s="21" t="s">
        <v>285</v>
      </c>
      <c r="C8" s="20" t="s">
        <v>275</v>
      </c>
      <c r="D8" s="26">
        <v>20</v>
      </c>
      <c r="E8" s="20">
        <v>2</v>
      </c>
      <c r="F8" s="26" t="s">
        <v>286</v>
      </c>
      <c r="G8" s="26">
        <v>80</v>
      </c>
      <c r="H8" s="26">
        <v>120</v>
      </c>
      <c r="I8" s="26">
        <f t="shared" si="0"/>
        <v>8.6999999999999993</v>
      </c>
      <c r="J8" s="21" t="s">
        <v>277</v>
      </c>
      <c r="K8" s="36" t="s">
        <v>287</v>
      </c>
      <c r="L8" s="21" t="s">
        <v>288</v>
      </c>
      <c r="O8" s="26">
        <v>120</v>
      </c>
    </row>
    <row r="9" spans="1:15" ht="16.5" customHeight="1">
      <c r="A9" s="20">
        <v>4</v>
      </c>
      <c r="B9" s="36" t="s">
        <v>289</v>
      </c>
      <c r="C9" s="42" t="s">
        <v>290</v>
      </c>
      <c r="D9" s="20" t="s">
        <v>291</v>
      </c>
      <c r="E9" s="20">
        <v>4</v>
      </c>
      <c r="F9" s="26" t="s">
        <v>292</v>
      </c>
      <c r="G9" s="26">
        <v>40</v>
      </c>
      <c r="H9" s="26">
        <v>120</v>
      </c>
      <c r="I9" s="26">
        <f t="shared" si="0"/>
        <v>10.7</v>
      </c>
      <c r="J9" s="21" t="s">
        <v>293</v>
      </c>
      <c r="K9" s="21" t="s">
        <v>294</v>
      </c>
      <c r="L9" s="21" t="s">
        <v>295</v>
      </c>
      <c r="O9" s="26"/>
    </row>
    <row r="10" spans="1:15" ht="16.5" customHeight="1">
      <c r="A10" s="20">
        <v>5</v>
      </c>
      <c r="B10" s="36" t="s">
        <v>296</v>
      </c>
      <c r="C10" s="20" t="s">
        <v>290</v>
      </c>
      <c r="D10" s="20">
        <v>12.5</v>
      </c>
      <c r="E10" s="20">
        <v>3</v>
      </c>
      <c r="F10" s="26" t="s">
        <v>297</v>
      </c>
      <c r="G10" s="26">
        <v>45</v>
      </c>
      <c r="H10" s="26">
        <v>60</v>
      </c>
      <c r="I10" s="26">
        <f t="shared" si="0"/>
        <v>5.3</v>
      </c>
      <c r="J10" s="21" t="s">
        <v>298</v>
      </c>
      <c r="K10" s="21" t="s">
        <v>299</v>
      </c>
      <c r="L10" s="21" t="s">
        <v>300</v>
      </c>
      <c r="O10" s="26"/>
    </row>
    <row r="11" spans="1:15" ht="16.5" customHeight="1">
      <c r="A11" s="20">
        <v>6</v>
      </c>
      <c r="B11" s="21" t="s">
        <v>301</v>
      </c>
      <c r="C11" s="20" t="s">
        <v>277</v>
      </c>
      <c r="D11" s="26" t="s">
        <v>302</v>
      </c>
      <c r="E11" s="20">
        <v>0</v>
      </c>
      <c r="F11" s="26" t="s">
        <v>282</v>
      </c>
      <c r="G11" s="26">
        <v>40</v>
      </c>
      <c r="H11" s="26">
        <v>70</v>
      </c>
      <c r="I11" s="26">
        <f t="shared" si="0"/>
        <v>0</v>
      </c>
      <c r="J11" s="21" t="s">
        <v>303</v>
      </c>
      <c r="K11" s="21" t="s">
        <v>304</v>
      </c>
      <c r="L11" s="22" t="s">
        <v>305</v>
      </c>
      <c r="O11" s="26"/>
    </row>
    <row r="12" spans="1:15" ht="16.5" customHeight="1">
      <c r="A12" s="20">
        <v>7</v>
      </c>
      <c r="B12" s="70" t="s">
        <v>306</v>
      </c>
      <c r="C12" s="20" t="s">
        <v>307</v>
      </c>
      <c r="D12" s="20" t="s">
        <v>291</v>
      </c>
      <c r="E12" s="20">
        <v>4</v>
      </c>
      <c r="F12" s="26" t="s">
        <v>297</v>
      </c>
      <c r="G12" s="26">
        <v>40</v>
      </c>
      <c r="H12" s="26">
        <v>60</v>
      </c>
      <c r="I12" s="26">
        <f t="shared" si="0"/>
        <v>6.7</v>
      </c>
      <c r="J12" s="21"/>
      <c r="K12" s="21" t="s">
        <v>308</v>
      </c>
      <c r="L12" s="75" t="s">
        <v>309</v>
      </c>
      <c r="O12" s="26"/>
    </row>
    <row r="13" spans="1:15" ht="16.5" customHeight="1">
      <c r="A13" s="20">
        <v>8</v>
      </c>
      <c r="B13" s="70" t="s">
        <v>310</v>
      </c>
      <c r="C13" s="20" t="s">
        <v>307</v>
      </c>
      <c r="D13" s="20" t="s">
        <v>311</v>
      </c>
      <c r="E13" s="20">
        <v>3</v>
      </c>
      <c r="F13" s="26" t="s">
        <v>312</v>
      </c>
      <c r="G13" s="26">
        <v>70</v>
      </c>
      <c r="H13" s="26">
        <v>60</v>
      </c>
      <c r="I13" s="26">
        <f t="shared" si="0"/>
        <v>6.5</v>
      </c>
      <c r="J13" s="21"/>
      <c r="K13" s="21" t="s">
        <v>313</v>
      </c>
      <c r="L13" s="75" t="s">
        <v>314</v>
      </c>
      <c r="O13" s="26"/>
    </row>
    <row r="14" spans="1:15" ht="15" customHeight="1">
      <c r="A14" s="20">
        <v>9</v>
      </c>
      <c r="B14" s="70" t="s">
        <v>315</v>
      </c>
      <c r="C14" s="20" t="s">
        <v>316</v>
      </c>
      <c r="D14" s="20" t="s">
        <v>317</v>
      </c>
      <c r="E14" s="20">
        <v>3</v>
      </c>
      <c r="F14" s="26" t="s">
        <v>297</v>
      </c>
      <c r="G14" s="26">
        <v>40</v>
      </c>
      <c r="H14" s="26">
        <v>75</v>
      </c>
      <c r="I14" s="26">
        <f t="shared" si="0"/>
        <v>5.8</v>
      </c>
      <c r="J14" s="21"/>
      <c r="K14" s="21" t="s">
        <v>318</v>
      </c>
      <c r="L14" s="75" t="s">
        <v>319</v>
      </c>
      <c r="O14" s="26"/>
    </row>
    <row r="15" spans="1:15" ht="15" customHeight="1">
      <c r="A15" s="20">
        <v>10</v>
      </c>
      <c r="B15" s="21" t="s">
        <v>320</v>
      </c>
      <c r="C15" s="20" t="s">
        <v>321</v>
      </c>
      <c r="D15" s="20">
        <v>20</v>
      </c>
      <c r="E15" s="20">
        <v>3</v>
      </c>
      <c r="F15" s="26" t="s">
        <v>322</v>
      </c>
      <c r="G15" s="26">
        <v>45</v>
      </c>
      <c r="H15" s="26">
        <v>90</v>
      </c>
      <c r="I15" s="26">
        <f t="shared" si="0"/>
        <v>6.8</v>
      </c>
      <c r="J15" s="21" t="s">
        <v>323</v>
      </c>
      <c r="K15" s="36" t="s">
        <v>324</v>
      </c>
      <c r="L15" s="36" t="s">
        <v>325</v>
      </c>
      <c r="O15" s="26"/>
    </row>
    <row r="16" spans="1:15" ht="15" customHeight="1">
      <c r="A16" s="20">
        <v>11</v>
      </c>
      <c r="B16" s="21" t="s">
        <v>326</v>
      </c>
      <c r="C16" s="20" t="s">
        <v>321</v>
      </c>
      <c r="D16" s="20" t="s">
        <v>291</v>
      </c>
      <c r="E16" s="20">
        <v>3</v>
      </c>
      <c r="F16" s="26" t="s">
        <v>297</v>
      </c>
      <c r="G16" s="26">
        <v>40</v>
      </c>
      <c r="H16" s="26">
        <v>60</v>
      </c>
      <c r="I16" s="26">
        <f t="shared" si="0"/>
        <v>5</v>
      </c>
      <c r="J16" s="21"/>
      <c r="K16" s="36" t="s">
        <v>327</v>
      </c>
      <c r="L16" s="36" t="s">
        <v>328</v>
      </c>
      <c r="O16" s="26"/>
    </row>
    <row r="17" spans="1:12" ht="15" customHeight="1">
      <c r="A17" s="20"/>
      <c r="B17" s="21"/>
      <c r="C17" s="20"/>
      <c r="D17" s="20" t="s">
        <v>329</v>
      </c>
      <c r="E17" s="20">
        <f>SUM(E6:E16)</f>
        <v>32</v>
      </c>
      <c r="F17" s="26"/>
      <c r="G17" s="26"/>
      <c r="H17" s="26"/>
      <c r="I17" s="26">
        <f>ROUND(SUM(I6:I16),0)</f>
        <v>76</v>
      </c>
      <c r="J17" s="21"/>
      <c r="K17" s="36"/>
      <c r="L17" s="36"/>
    </row>
    <row r="18" spans="1:12" ht="15" customHeight="1"/>
    <row r="19" spans="1:12">
      <c r="A19" t="s">
        <v>330</v>
      </c>
    </row>
    <row r="20" spans="1:12">
      <c r="A20" t="s">
        <v>331</v>
      </c>
    </row>
    <row r="22" spans="1:12">
      <c r="A22" s="99" t="s">
        <v>253</v>
      </c>
    </row>
    <row r="23" spans="1:12">
      <c r="A23" t="s">
        <v>332</v>
      </c>
    </row>
    <row r="24" spans="1:12">
      <c r="A24" t="s">
        <v>333</v>
      </c>
    </row>
    <row r="26" spans="1:12">
      <c r="B26" s="36"/>
    </row>
    <row r="34" spans="10:10">
      <c r="J34" t="s">
        <v>334</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335</v>
      </c>
    </row>
    <row r="2" spans="1:3" ht="16.5" customHeight="1">
      <c r="A2" s="18" t="s">
        <v>336</v>
      </c>
    </row>
    <row r="4" spans="1:3" ht="16.5" customHeight="1">
      <c r="A4" s="3" t="s">
        <v>337</v>
      </c>
    </row>
    <row r="5" spans="1:3" ht="16.5" customHeight="1">
      <c r="A5" s="19" t="s">
        <v>263</v>
      </c>
      <c r="B5" s="19" t="s">
        <v>338</v>
      </c>
      <c r="C5" s="19" t="s">
        <v>156</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339</v>
      </c>
    </row>
    <row r="13" spans="1:3" ht="16.5" customHeight="1">
      <c r="A13" s="3" t="s">
        <v>340</v>
      </c>
    </row>
    <row r="14" spans="1:3" ht="16.5" customHeight="1">
      <c r="A14" s="31" t="s">
        <v>341</v>
      </c>
    </row>
    <row r="15" spans="1:3" ht="16.5" customHeight="1">
      <c r="A15" s="31" t="s">
        <v>342</v>
      </c>
    </row>
    <row r="16" spans="1:3" ht="16.5" customHeight="1">
      <c r="A16" s="31" t="s">
        <v>343</v>
      </c>
    </row>
    <row r="18" spans="1:15" ht="15" customHeight="1">
      <c r="A18" s="3" t="s">
        <v>260</v>
      </c>
    </row>
    <row r="19" spans="1:15" ht="16.5" customHeight="1">
      <c r="A19" s="34" t="s">
        <v>261</v>
      </c>
      <c r="B19" s="35" t="s">
        <v>83</v>
      </c>
      <c r="C19" s="35" t="s">
        <v>262</v>
      </c>
      <c r="D19" s="35" t="s">
        <v>263</v>
      </c>
      <c r="E19" s="35" t="s">
        <v>156</v>
      </c>
      <c r="F19" s="35" t="s">
        <v>264</v>
      </c>
      <c r="G19" s="35" t="s">
        <v>265</v>
      </c>
      <c r="H19" s="35" t="s">
        <v>266</v>
      </c>
      <c r="I19" s="35" t="s">
        <v>267</v>
      </c>
      <c r="J19" s="35" t="s">
        <v>268</v>
      </c>
      <c r="K19" s="35" t="s">
        <v>269</v>
      </c>
      <c r="L19" s="35" t="s">
        <v>270</v>
      </c>
      <c r="M19" s="35" t="s">
        <v>271</v>
      </c>
      <c r="N19" s="35" t="s">
        <v>272</v>
      </c>
      <c r="O19" s="35" t="s">
        <v>273</v>
      </c>
    </row>
    <row r="20" spans="1:15" ht="16.5" customHeight="1">
      <c r="A20" s="38">
        <v>1</v>
      </c>
      <c r="B20" s="39" t="s">
        <v>344</v>
      </c>
      <c r="C20" s="40" t="s">
        <v>345</v>
      </c>
      <c r="D20" s="41">
        <f>시작중량_설정!$E$9</f>
        <v>41</v>
      </c>
      <c r="E20" s="40">
        <v>5</v>
      </c>
      <c r="F20" s="38" t="s">
        <v>346</v>
      </c>
      <c r="G20" s="38">
        <v>30</v>
      </c>
      <c r="H20" s="38">
        <v>180</v>
      </c>
      <c r="I20" s="38">
        <f t="shared" ref="I20:I25" si="0">IF(E20=0,0,ROUND((E20*(G20+H20)+O20)/60,1))</f>
        <v>17.5</v>
      </c>
      <c r="J20" s="39" t="s">
        <v>347</v>
      </c>
      <c r="K20" s="39" t="s">
        <v>348</v>
      </c>
      <c r="L20" s="39" t="s">
        <v>349</v>
      </c>
      <c r="M20" s="38" t="s">
        <v>350</v>
      </c>
      <c r="O20" s="38"/>
    </row>
    <row r="21" spans="1:15" ht="16.5" customHeight="1">
      <c r="A21" s="20">
        <v>2</v>
      </c>
      <c r="B21" s="21" t="s">
        <v>351</v>
      </c>
      <c r="C21" s="20" t="s">
        <v>345</v>
      </c>
      <c r="D21" s="42" t="s">
        <v>352</v>
      </c>
      <c r="E21" s="20">
        <v>4</v>
      </c>
      <c r="F21" s="26" t="s">
        <v>292</v>
      </c>
      <c r="G21" s="26">
        <v>40</v>
      </c>
      <c r="H21" s="26">
        <v>155</v>
      </c>
      <c r="I21" s="26">
        <f t="shared" si="0"/>
        <v>13</v>
      </c>
      <c r="J21" s="21" t="s">
        <v>353</v>
      </c>
      <c r="K21" s="21" t="s">
        <v>354</v>
      </c>
      <c r="L21" s="36" t="s">
        <v>355</v>
      </c>
      <c r="M21" s="26" t="s">
        <v>280</v>
      </c>
      <c r="O21" s="26"/>
    </row>
    <row r="22" spans="1:15" ht="16.5" customHeight="1">
      <c r="A22" s="20">
        <v>3</v>
      </c>
      <c r="B22" s="36" t="s">
        <v>356</v>
      </c>
      <c r="C22" s="20" t="s">
        <v>357</v>
      </c>
      <c r="D22" s="26">
        <v>8</v>
      </c>
      <c r="E22" s="20">
        <v>4</v>
      </c>
      <c r="F22" s="26" t="s">
        <v>358</v>
      </c>
      <c r="G22" s="26">
        <v>40</v>
      </c>
      <c r="H22" s="26">
        <v>105</v>
      </c>
      <c r="I22" s="26">
        <f t="shared" si="0"/>
        <v>9.6999999999999993</v>
      </c>
      <c r="J22" s="21"/>
      <c r="K22" s="21" t="s">
        <v>359</v>
      </c>
      <c r="L22" s="21" t="s">
        <v>360</v>
      </c>
      <c r="O22" s="26"/>
    </row>
    <row r="23" spans="1:15" ht="16.5" customHeight="1">
      <c r="A23" s="20">
        <v>4</v>
      </c>
      <c r="B23" s="21" t="s">
        <v>361</v>
      </c>
      <c r="C23" s="20" t="s">
        <v>362</v>
      </c>
      <c r="D23" s="26">
        <v>6</v>
      </c>
      <c r="E23" s="20">
        <v>6</v>
      </c>
      <c r="F23" s="26" t="s">
        <v>297</v>
      </c>
      <c r="G23" s="26">
        <v>40</v>
      </c>
      <c r="H23" s="26">
        <v>70</v>
      </c>
      <c r="I23" s="26">
        <f t="shared" si="0"/>
        <v>12</v>
      </c>
      <c r="J23" s="21"/>
      <c r="K23" s="21" t="s">
        <v>363</v>
      </c>
      <c r="L23" s="21" t="s">
        <v>364</v>
      </c>
      <c r="O23" s="26">
        <v>60</v>
      </c>
    </row>
    <row r="24" spans="1:15" ht="16.5" customHeight="1">
      <c r="A24" s="20">
        <v>5</v>
      </c>
      <c r="B24" s="21" t="s">
        <v>365</v>
      </c>
      <c r="C24" s="43" t="s">
        <v>366</v>
      </c>
      <c r="D24" s="26">
        <v>20</v>
      </c>
      <c r="E24" s="20">
        <v>5</v>
      </c>
      <c r="F24" s="26" t="s">
        <v>297</v>
      </c>
      <c r="G24" s="26">
        <v>40</v>
      </c>
      <c r="H24" s="26">
        <v>70</v>
      </c>
      <c r="I24" s="26">
        <f t="shared" si="0"/>
        <v>10.199999999999999</v>
      </c>
      <c r="J24" s="21"/>
      <c r="K24" s="21" t="s">
        <v>367</v>
      </c>
      <c r="L24" s="75" t="s">
        <v>368</v>
      </c>
      <c r="O24" s="26">
        <v>60</v>
      </c>
    </row>
    <row r="25" spans="1:15" ht="16.5" customHeight="1">
      <c r="A25" s="20">
        <v>6</v>
      </c>
      <c r="B25" s="21" t="s">
        <v>369</v>
      </c>
      <c r="C25" s="20" t="s">
        <v>353</v>
      </c>
      <c r="D25" s="26">
        <v>20</v>
      </c>
      <c r="E25" s="20">
        <v>4</v>
      </c>
      <c r="F25" s="26" t="s">
        <v>311</v>
      </c>
      <c r="G25" s="26">
        <v>40</v>
      </c>
      <c r="H25" s="26">
        <v>70</v>
      </c>
      <c r="I25" s="26">
        <f t="shared" si="0"/>
        <v>8.3000000000000007</v>
      </c>
      <c r="J25" s="21"/>
      <c r="K25" s="21" t="s">
        <v>370</v>
      </c>
      <c r="L25" s="21" t="s">
        <v>371</v>
      </c>
      <c r="O25" s="26">
        <v>60</v>
      </c>
    </row>
    <row r="26" spans="1:15" ht="16.5" customHeight="1">
      <c r="D26" s="3" t="s">
        <v>329</v>
      </c>
      <c r="E26" s="27">
        <f>SUM(E20:E25)</f>
        <v>28</v>
      </c>
      <c r="I26">
        <f>ROUND(SUM(I20:I25),0)</f>
        <v>71</v>
      </c>
    </row>
    <row r="27" spans="1:15" ht="16.5" customHeight="1">
      <c r="A27" s="99" t="s">
        <v>253</v>
      </c>
    </row>
    <row r="28" spans="1:15">
      <c r="A28" t="s">
        <v>372</v>
      </c>
    </row>
    <row r="29" spans="1:15">
      <c r="A29" t="s">
        <v>333</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373</v>
      </c>
    </row>
    <row r="2" spans="1:15" ht="16.5" customHeight="1">
      <c r="A2" s="18" t="s">
        <v>374</v>
      </c>
    </row>
    <row r="4" spans="1:15" ht="16.5" customHeight="1">
      <c r="A4" s="3" t="s">
        <v>375</v>
      </c>
    </row>
    <row r="5" spans="1:15" ht="16.5" customHeight="1">
      <c r="A5" s="19" t="s">
        <v>263</v>
      </c>
      <c r="B5" s="19" t="s">
        <v>338</v>
      </c>
      <c r="C5" s="19" t="s">
        <v>156</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339</v>
      </c>
    </row>
    <row r="13" spans="1:15" ht="15" customHeight="1">
      <c r="A13" s="3" t="s">
        <v>260</v>
      </c>
    </row>
    <row r="14" spans="1:15" ht="16.5" customHeight="1">
      <c r="A14" s="34" t="s">
        <v>261</v>
      </c>
      <c r="B14" s="35" t="s">
        <v>83</v>
      </c>
      <c r="C14" s="35" t="s">
        <v>262</v>
      </c>
      <c r="D14" s="35" t="s">
        <v>263</v>
      </c>
      <c r="E14" s="35" t="s">
        <v>156</v>
      </c>
      <c r="F14" s="35" t="s">
        <v>264</v>
      </c>
      <c r="G14" s="35" t="s">
        <v>265</v>
      </c>
      <c r="H14" s="35" t="s">
        <v>266</v>
      </c>
      <c r="I14" s="35" t="s">
        <v>267</v>
      </c>
      <c r="J14" s="35" t="s">
        <v>268</v>
      </c>
      <c r="K14" s="35" t="s">
        <v>269</v>
      </c>
      <c r="L14" s="35" t="s">
        <v>270</v>
      </c>
      <c r="M14" s="35" t="s">
        <v>271</v>
      </c>
      <c r="N14" s="35" t="s">
        <v>272</v>
      </c>
      <c r="O14" s="35" t="s">
        <v>273</v>
      </c>
    </row>
    <row r="15" spans="1:15" ht="16.5" customHeight="1">
      <c r="A15" s="40">
        <v>1</v>
      </c>
      <c r="B15" s="39" t="s">
        <v>376</v>
      </c>
      <c r="C15" s="40" t="s">
        <v>377</v>
      </c>
      <c r="D15" s="41">
        <f>시작중량_설정!$E$7</f>
        <v>75</v>
      </c>
      <c r="E15" s="40">
        <v>5</v>
      </c>
      <c r="F15" s="38" t="s">
        <v>346</v>
      </c>
      <c r="G15" s="38">
        <v>35</v>
      </c>
      <c r="H15" s="38">
        <v>193</v>
      </c>
      <c r="I15" s="38">
        <f t="shared" ref="I15:I21" si="0">IF(E15=0,0,ROUND((E15*(G15+H15)+O15)/60,1))</f>
        <v>19</v>
      </c>
      <c r="J15" s="39" t="s">
        <v>378</v>
      </c>
      <c r="K15" s="39" t="s">
        <v>379</v>
      </c>
      <c r="L15" s="39" t="s">
        <v>380</v>
      </c>
      <c r="M15" s="38" t="s">
        <v>381</v>
      </c>
      <c r="O15" s="38"/>
    </row>
    <row r="16" spans="1:15" ht="16.5" customHeight="1">
      <c r="A16" s="20">
        <v>2</v>
      </c>
      <c r="B16" s="21" t="s">
        <v>382</v>
      </c>
      <c r="C16" s="20" t="s">
        <v>377</v>
      </c>
      <c r="D16" s="26">
        <v>120</v>
      </c>
      <c r="E16" s="20">
        <v>3</v>
      </c>
      <c r="F16" s="26" t="s">
        <v>282</v>
      </c>
      <c r="G16" s="26">
        <v>45</v>
      </c>
      <c r="H16" s="26">
        <v>150</v>
      </c>
      <c r="I16" s="26">
        <f t="shared" si="0"/>
        <v>9.8000000000000007</v>
      </c>
      <c r="J16" s="21" t="s">
        <v>383</v>
      </c>
      <c r="K16" s="21" t="s">
        <v>384</v>
      </c>
      <c r="L16" s="21" t="s">
        <v>385</v>
      </c>
      <c r="O16" s="26"/>
    </row>
    <row r="17" spans="1:15" ht="16.5" customHeight="1">
      <c r="A17" s="20">
        <v>3</v>
      </c>
      <c r="B17" s="21" t="s">
        <v>386</v>
      </c>
      <c r="C17" s="20" t="s">
        <v>383</v>
      </c>
      <c r="D17" s="20" t="s">
        <v>291</v>
      </c>
      <c r="E17" s="20">
        <v>3</v>
      </c>
      <c r="F17" s="26" t="s">
        <v>387</v>
      </c>
      <c r="G17" s="26">
        <v>90</v>
      </c>
      <c r="H17" s="26">
        <v>150</v>
      </c>
      <c r="I17" s="26">
        <f t="shared" si="0"/>
        <v>12</v>
      </c>
      <c r="J17" s="21" t="s">
        <v>388</v>
      </c>
      <c r="K17" s="21" t="s">
        <v>389</v>
      </c>
      <c r="L17" s="21" t="s">
        <v>390</v>
      </c>
      <c r="O17" s="26"/>
    </row>
    <row r="18" spans="1:15" ht="16.5" customHeight="1">
      <c r="A18" s="20">
        <v>4</v>
      </c>
      <c r="B18" s="21" t="s">
        <v>391</v>
      </c>
      <c r="C18" s="20" t="s">
        <v>392</v>
      </c>
      <c r="D18" s="26">
        <v>40</v>
      </c>
      <c r="E18" s="20">
        <v>4</v>
      </c>
      <c r="F18" s="26" t="s">
        <v>358</v>
      </c>
      <c r="G18" s="26">
        <v>40</v>
      </c>
      <c r="H18" s="26">
        <v>120</v>
      </c>
      <c r="I18" s="26">
        <f t="shared" si="0"/>
        <v>11.9</v>
      </c>
      <c r="J18" s="21"/>
      <c r="K18" s="21" t="s">
        <v>393</v>
      </c>
      <c r="L18" s="21" t="s">
        <v>394</v>
      </c>
      <c r="O18" s="26">
        <v>75</v>
      </c>
    </row>
    <row r="19" spans="1:15" ht="16.5" customHeight="1">
      <c r="A19" s="20">
        <v>5</v>
      </c>
      <c r="B19" s="21" t="s">
        <v>395</v>
      </c>
      <c r="C19" s="20" t="s">
        <v>396</v>
      </c>
      <c r="D19" s="26">
        <v>35</v>
      </c>
      <c r="E19" s="20">
        <v>4</v>
      </c>
      <c r="F19" s="26" t="s">
        <v>297</v>
      </c>
      <c r="G19" s="26">
        <v>40</v>
      </c>
      <c r="H19" s="26">
        <v>10</v>
      </c>
      <c r="I19" s="26">
        <f t="shared" si="0"/>
        <v>3.3</v>
      </c>
      <c r="J19" s="21"/>
      <c r="K19" s="21" t="s">
        <v>397</v>
      </c>
      <c r="L19" s="21" t="s">
        <v>398</v>
      </c>
      <c r="N19" t="s">
        <v>399</v>
      </c>
      <c r="O19" s="26"/>
    </row>
    <row r="20" spans="1:15" ht="16.5" customHeight="1">
      <c r="A20" s="20">
        <v>6</v>
      </c>
      <c r="B20" s="21" t="s">
        <v>400</v>
      </c>
      <c r="C20" s="20" t="s">
        <v>401</v>
      </c>
      <c r="D20" s="26" t="s">
        <v>302</v>
      </c>
      <c r="E20" s="20">
        <v>4</v>
      </c>
      <c r="F20" s="26" t="s">
        <v>297</v>
      </c>
      <c r="G20" s="26">
        <v>40</v>
      </c>
      <c r="H20" s="26">
        <v>105</v>
      </c>
      <c r="I20" s="26">
        <f t="shared" si="0"/>
        <v>9.6999999999999993</v>
      </c>
      <c r="J20" s="21"/>
      <c r="K20" s="21" t="s">
        <v>402</v>
      </c>
      <c r="L20" s="21" t="s">
        <v>403</v>
      </c>
      <c r="N20" t="s">
        <v>399</v>
      </c>
      <c r="O20" s="26"/>
    </row>
    <row r="21" spans="1:15" ht="16.5" customHeight="1">
      <c r="A21" s="20">
        <v>7</v>
      </c>
      <c r="B21" s="70" t="s">
        <v>404</v>
      </c>
      <c r="C21" s="20" t="s">
        <v>307</v>
      </c>
      <c r="D21" s="71" t="s">
        <v>291</v>
      </c>
      <c r="E21" s="20">
        <v>3</v>
      </c>
      <c r="F21" s="26">
        <v>10</v>
      </c>
      <c r="G21" s="26">
        <v>40</v>
      </c>
      <c r="H21" s="26">
        <v>60</v>
      </c>
      <c r="I21" s="26">
        <f t="shared" si="0"/>
        <v>5</v>
      </c>
      <c r="J21" s="21"/>
      <c r="K21" s="21" t="s">
        <v>405</v>
      </c>
      <c r="L21" s="21" t="s">
        <v>406</v>
      </c>
      <c r="O21" s="26"/>
    </row>
    <row r="22" spans="1:15" ht="15" customHeight="1">
      <c r="D22" s="3" t="s">
        <v>329</v>
      </c>
      <c r="E22" s="27">
        <f>SUM(E15:E21)</f>
        <v>26</v>
      </c>
      <c r="I22">
        <f>ROUND(SUM(I15:I21),0)</f>
        <v>71</v>
      </c>
    </row>
    <row r="23" spans="1:15" ht="15" customHeight="1">
      <c r="A23" s="99" t="s">
        <v>253</v>
      </c>
    </row>
    <row r="24" spans="1:15">
      <c r="A24" t="s">
        <v>407</v>
      </c>
    </row>
    <row r="25" spans="1:15">
      <c r="A25" t="s">
        <v>333</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408</v>
      </c>
    </row>
    <row r="2" spans="1:15" ht="16.5" customHeight="1">
      <c r="A2" s="18" t="s">
        <v>409</v>
      </c>
    </row>
    <row r="3" spans="1:15" ht="30" customHeight="1">
      <c r="A3" s="33" t="s">
        <v>410</v>
      </c>
    </row>
    <row r="4" spans="1:15" ht="15" customHeight="1">
      <c r="A4" s="3" t="s">
        <v>260</v>
      </c>
    </row>
    <row r="5" spans="1:15" ht="16.5" customHeight="1">
      <c r="A5" s="34" t="s">
        <v>261</v>
      </c>
      <c r="B5" s="35" t="s">
        <v>83</v>
      </c>
      <c r="C5" s="35" t="s">
        <v>262</v>
      </c>
      <c r="D5" s="35" t="s">
        <v>263</v>
      </c>
      <c r="E5" s="35" t="s">
        <v>156</v>
      </c>
      <c r="F5" s="35" t="s">
        <v>264</v>
      </c>
      <c r="G5" s="35" t="s">
        <v>265</v>
      </c>
      <c r="H5" s="35" t="s">
        <v>266</v>
      </c>
      <c r="I5" s="35" t="s">
        <v>267</v>
      </c>
      <c r="J5" s="35" t="s">
        <v>268</v>
      </c>
      <c r="K5" s="35" t="s">
        <v>269</v>
      </c>
      <c r="L5" s="35" t="s">
        <v>270</v>
      </c>
      <c r="M5" s="35" t="s">
        <v>271</v>
      </c>
      <c r="N5" s="35" t="s">
        <v>272</v>
      </c>
      <c r="O5" s="35" t="s">
        <v>273</v>
      </c>
    </row>
    <row r="6" spans="1:15" ht="16.5" customHeight="1">
      <c r="A6" s="20">
        <v>1</v>
      </c>
      <c r="B6" s="70" t="s">
        <v>411</v>
      </c>
      <c r="C6" s="20" t="s">
        <v>362</v>
      </c>
      <c r="D6" s="20">
        <v>10</v>
      </c>
      <c r="E6" s="20">
        <v>3</v>
      </c>
      <c r="F6" s="26" t="s">
        <v>297</v>
      </c>
      <c r="G6" s="26">
        <v>40</v>
      </c>
      <c r="H6" s="26">
        <v>70</v>
      </c>
      <c r="I6" s="26">
        <f t="shared" ref="I6:I16" si="0">IF(E6=0,0,ROUND((E6*(G6+H6)+O6)/60,1))</f>
        <v>6.5</v>
      </c>
      <c r="J6" s="21"/>
      <c r="K6" s="21" t="s">
        <v>412</v>
      </c>
      <c r="L6" s="21" t="s">
        <v>413</v>
      </c>
      <c r="O6" s="26">
        <v>60</v>
      </c>
    </row>
    <row r="7" spans="1:15" ht="16.5" customHeight="1">
      <c r="A7" s="20">
        <v>2</v>
      </c>
      <c r="B7" s="70" t="s">
        <v>414</v>
      </c>
      <c r="C7" s="20" t="s">
        <v>362</v>
      </c>
      <c r="D7" s="20">
        <v>15</v>
      </c>
      <c r="E7" s="20">
        <v>3</v>
      </c>
      <c r="F7" s="26" t="s">
        <v>297</v>
      </c>
      <c r="G7" s="26">
        <v>40</v>
      </c>
      <c r="H7" s="26">
        <v>75</v>
      </c>
      <c r="I7" s="26">
        <f t="shared" si="0"/>
        <v>5.8</v>
      </c>
      <c r="J7" s="21" t="s">
        <v>415</v>
      </c>
      <c r="K7" s="21" t="s">
        <v>416</v>
      </c>
      <c r="L7" s="21" t="s">
        <v>417</v>
      </c>
      <c r="O7" s="26"/>
    </row>
    <row r="8" spans="1:15" ht="16.5" customHeight="1">
      <c r="A8" s="20">
        <v>3</v>
      </c>
      <c r="B8" s="70" t="s">
        <v>418</v>
      </c>
      <c r="C8" s="20" t="s">
        <v>366</v>
      </c>
      <c r="D8" s="20" t="s">
        <v>297</v>
      </c>
      <c r="E8" s="20">
        <v>3</v>
      </c>
      <c r="F8" s="26" t="s">
        <v>297</v>
      </c>
      <c r="G8" s="26">
        <v>40</v>
      </c>
      <c r="H8" s="26">
        <v>70</v>
      </c>
      <c r="I8" s="26">
        <f t="shared" si="0"/>
        <v>5.5</v>
      </c>
      <c r="J8" s="21" t="s">
        <v>419</v>
      </c>
      <c r="K8" s="21" t="s">
        <v>420</v>
      </c>
      <c r="L8" s="21" t="s">
        <v>421</v>
      </c>
      <c r="O8" s="26"/>
    </row>
    <row r="9" spans="1:15" ht="16.5" customHeight="1">
      <c r="A9" s="20">
        <v>4</v>
      </c>
      <c r="B9" s="70" t="s">
        <v>422</v>
      </c>
      <c r="C9" s="20" t="s">
        <v>366</v>
      </c>
      <c r="D9" s="20">
        <v>20</v>
      </c>
      <c r="E9" s="20">
        <v>3</v>
      </c>
      <c r="F9" s="26" t="s">
        <v>297</v>
      </c>
      <c r="G9" s="26">
        <v>40</v>
      </c>
      <c r="H9" s="26">
        <v>80</v>
      </c>
      <c r="I9" s="26">
        <f t="shared" si="0"/>
        <v>6</v>
      </c>
      <c r="J9" s="21" t="s">
        <v>419</v>
      </c>
      <c r="K9" s="21" t="s">
        <v>423</v>
      </c>
      <c r="L9" s="21" t="s">
        <v>424</v>
      </c>
      <c r="O9" s="26"/>
    </row>
    <row r="10" spans="1:15" ht="16.5" customHeight="1">
      <c r="A10" s="20">
        <v>5</v>
      </c>
      <c r="B10" s="78" t="s">
        <v>425</v>
      </c>
      <c r="C10" s="20" t="s">
        <v>426</v>
      </c>
      <c r="D10" s="20" t="s">
        <v>427</v>
      </c>
      <c r="E10" s="20">
        <v>3</v>
      </c>
      <c r="F10" s="26" t="s">
        <v>297</v>
      </c>
      <c r="G10" s="26">
        <v>40</v>
      </c>
      <c r="H10" s="26">
        <v>60</v>
      </c>
      <c r="I10" s="26">
        <f t="shared" si="0"/>
        <v>5</v>
      </c>
      <c r="J10" s="21"/>
      <c r="K10" s="21" t="s">
        <v>428</v>
      </c>
      <c r="L10" s="21" t="s">
        <v>429</v>
      </c>
      <c r="O10" s="26"/>
    </row>
    <row r="11" spans="1:15" ht="16.5" customHeight="1">
      <c r="A11" s="20">
        <v>6</v>
      </c>
      <c r="B11" s="21" t="s">
        <v>430</v>
      </c>
      <c r="C11" s="20" t="s">
        <v>357</v>
      </c>
      <c r="D11" s="42" t="s">
        <v>431</v>
      </c>
      <c r="E11" s="20">
        <v>3</v>
      </c>
      <c r="F11" s="26" t="s">
        <v>282</v>
      </c>
      <c r="G11" s="26">
        <v>40</v>
      </c>
      <c r="H11" s="26">
        <v>150</v>
      </c>
      <c r="I11" s="26">
        <f t="shared" si="0"/>
        <v>9.5</v>
      </c>
      <c r="J11" s="21" t="s">
        <v>432</v>
      </c>
      <c r="K11" s="21" t="s">
        <v>433</v>
      </c>
      <c r="L11" s="36" t="s">
        <v>434</v>
      </c>
      <c r="M11" s="79"/>
      <c r="O11" s="26"/>
    </row>
    <row r="12" spans="1:15" ht="16.5" customHeight="1">
      <c r="A12" s="20">
        <v>7</v>
      </c>
      <c r="B12" s="21" t="s">
        <v>435</v>
      </c>
      <c r="C12" s="20" t="s">
        <v>345</v>
      </c>
      <c r="D12" s="26" t="s">
        <v>436</v>
      </c>
      <c r="E12" s="20">
        <v>3</v>
      </c>
      <c r="F12" s="26" t="s">
        <v>358</v>
      </c>
      <c r="G12" s="26">
        <v>40</v>
      </c>
      <c r="H12" s="26">
        <v>90</v>
      </c>
      <c r="I12" s="26">
        <f t="shared" si="0"/>
        <v>7.5</v>
      </c>
      <c r="J12" s="21" t="s">
        <v>437</v>
      </c>
      <c r="K12" s="21" t="s">
        <v>438</v>
      </c>
      <c r="L12" s="21" t="s">
        <v>439</v>
      </c>
      <c r="O12" s="26">
        <v>60</v>
      </c>
    </row>
    <row r="13" spans="1:15" ht="16.5" customHeight="1">
      <c r="A13" s="20">
        <v>8</v>
      </c>
      <c r="B13" s="21" t="s">
        <v>301</v>
      </c>
      <c r="C13" s="43" t="s">
        <v>277</v>
      </c>
      <c r="D13" s="26" t="s">
        <v>440</v>
      </c>
      <c r="E13" s="20">
        <v>3</v>
      </c>
      <c r="F13" s="26" t="s">
        <v>282</v>
      </c>
      <c r="G13" s="26">
        <v>40</v>
      </c>
      <c r="H13" s="26">
        <v>70</v>
      </c>
      <c r="I13" s="26">
        <f t="shared" si="0"/>
        <v>5.5</v>
      </c>
      <c r="J13" s="21" t="s">
        <v>303</v>
      </c>
      <c r="K13" s="21" t="s">
        <v>441</v>
      </c>
      <c r="L13" s="21" t="s">
        <v>442</v>
      </c>
      <c r="O13" s="26"/>
    </row>
    <row r="14" spans="1:15" ht="16.5" customHeight="1">
      <c r="A14" s="20">
        <v>9</v>
      </c>
      <c r="B14" s="70" t="s">
        <v>443</v>
      </c>
      <c r="C14" s="20" t="s">
        <v>303</v>
      </c>
      <c r="D14" s="20">
        <v>15</v>
      </c>
      <c r="E14" s="20">
        <v>4</v>
      </c>
      <c r="F14" s="26" t="s">
        <v>444</v>
      </c>
      <c r="G14" s="26">
        <v>40</v>
      </c>
      <c r="H14" s="26">
        <v>60</v>
      </c>
      <c r="I14" s="26">
        <f t="shared" si="0"/>
        <v>6.7</v>
      </c>
      <c r="J14" s="21"/>
      <c r="K14" s="21" t="s">
        <v>445</v>
      </c>
      <c r="L14" s="21" t="s">
        <v>446</v>
      </c>
      <c r="O14" s="26"/>
    </row>
    <row r="15" spans="1:15" ht="16.5" customHeight="1">
      <c r="A15" s="20">
        <v>10</v>
      </c>
      <c r="B15" s="70" t="s">
        <v>447</v>
      </c>
      <c r="C15" s="20" t="s">
        <v>303</v>
      </c>
      <c r="D15" s="20">
        <v>15</v>
      </c>
      <c r="E15" s="20">
        <v>4</v>
      </c>
      <c r="F15" s="26" t="s">
        <v>311</v>
      </c>
      <c r="G15" s="26">
        <v>40</v>
      </c>
      <c r="H15" s="26">
        <v>70</v>
      </c>
      <c r="I15" s="26">
        <f t="shared" si="0"/>
        <v>7.3</v>
      </c>
      <c r="J15" s="21" t="s">
        <v>448</v>
      </c>
      <c r="K15" s="21" t="s">
        <v>449</v>
      </c>
      <c r="L15" s="21" t="s">
        <v>450</v>
      </c>
      <c r="O15" s="26"/>
    </row>
    <row r="16" spans="1:15" ht="16.5" customHeight="1">
      <c r="A16" s="20">
        <v>11</v>
      </c>
      <c r="B16" s="21" t="s">
        <v>315</v>
      </c>
      <c r="C16" s="20" t="s">
        <v>316</v>
      </c>
      <c r="D16" s="26">
        <v>10</v>
      </c>
      <c r="E16" s="20">
        <v>4</v>
      </c>
      <c r="F16" s="26" t="s">
        <v>297</v>
      </c>
      <c r="G16" s="26">
        <v>40</v>
      </c>
      <c r="H16" s="26">
        <v>75</v>
      </c>
      <c r="I16" s="26">
        <f t="shared" si="0"/>
        <v>7.7</v>
      </c>
      <c r="J16" s="21"/>
      <c r="K16" s="21" t="s">
        <v>451</v>
      </c>
      <c r="L16" s="21" t="s">
        <v>452</v>
      </c>
      <c r="O16" s="26"/>
    </row>
    <row r="17" spans="1:9" ht="16.5" customHeight="1">
      <c r="D17" s="3" t="s">
        <v>329</v>
      </c>
      <c r="E17" s="27">
        <f>SUM(E6:E16)</f>
        <v>36</v>
      </c>
      <c r="I17">
        <f>ROUND(SUM(I6:I16),0)</f>
        <v>73</v>
      </c>
    </row>
    <row r="18" spans="1:9" ht="16.5" customHeight="1">
      <c r="F18" s="76" t="s">
        <v>453</v>
      </c>
    </row>
    <row r="19" spans="1:9" ht="16.5" customHeight="1">
      <c r="A19" s="95" t="s">
        <v>454</v>
      </c>
    </row>
    <row r="20" spans="1:9" ht="16.5" customHeight="1">
      <c r="A20" s="96" t="s">
        <v>455</v>
      </c>
    </row>
    <row r="21" spans="1:9" ht="16.5" customHeight="1">
      <c r="A21" t="s">
        <v>456</v>
      </c>
    </row>
    <row r="22" spans="1:9" ht="16.5" customHeight="1">
      <c r="A22" s="96" t="s">
        <v>457</v>
      </c>
    </row>
    <row r="23" spans="1:9" ht="16.5" customHeight="1">
      <c r="A23" s="96" t="s">
        <v>458</v>
      </c>
    </row>
    <row r="24" spans="1:9" ht="16.5" customHeight="1">
      <c r="A24" s="96" t="s">
        <v>459</v>
      </c>
    </row>
    <row r="25" spans="1:9" ht="16.5" customHeight="1">
      <c r="A25" s="96" t="s">
        <v>460</v>
      </c>
    </row>
    <row r="26" spans="1:9" ht="16.5" customHeight="1">
      <c r="A26" s="96" t="s">
        <v>461</v>
      </c>
    </row>
    <row r="27" spans="1:9" ht="16.5" customHeight="1">
      <c r="A27" s="95" t="s">
        <v>462</v>
      </c>
    </row>
    <row r="28" spans="1:9" ht="16.5" customHeight="1">
      <c r="A28" s="96" t="s">
        <v>463</v>
      </c>
    </row>
    <row r="29" spans="1:9" ht="16.5" customHeight="1"/>
    <row r="30" spans="1:9" ht="16.5" customHeight="1">
      <c r="A30" t="s">
        <v>464</v>
      </c>
    </row>
    <row r="31" spans="1:9" ht="16.5" customHeight="1">
      <c r="A31" t="s">
        <v>465</v>
      </c>
    </row>
    <row r="32" spans="1:9" ht="16.5" customHeight="1">
      <c r="A32" t="s">
        <v>466</v>
      </c>
    </row>
    <row r="33" spans="1:1" ht="16.5" customHeight="1">
      <c r="A33" t="s">
        <v>467</v>
      </c>
    </row>
    <row r="34" spans="1:1" ht="16.5" customHeight="1"/>
    <row r="35" spans="1:1" ht="16.5" customHeight="1">
      <c r="A35" s="99" t="s">
        <v>253</v>
      </c>
    </row>
    <row r="36" spans="1:1" ht="16.5" customHeight="1">
      <c r="A36" t="s">
        <v>468</v>
      </c>
    </row>
    <row r="37" spans="1:1" ht="16.5" customHeight="1">
      <c r="A37" t="s">
        <v>333</v>
      </c>
    </row>
    <row r="38" spans="1:1" ht="16.5" customHeight="1">
      <c r="A38" t="s">
        <v>469</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470</v>
      </c>
    </row>
    <row r="2" spans="1:15" ht="16.5" customHeight="1">
      <c r="A2" s="18" t="s">
        <v>471</v>
      </c>
    </row>
    <row r="3" spans="1:15">
      <c r="A3" s="33" t="s">
        <v>472</v>
      </c>
    </row>
    <row r="4" spans="1:15" ht="15" customHeight="1">
      <c r="A4" s="3" t="s">
        <v>260</v>
      </c>
    </row>
    <row r="5" spans="1:15" ht="16.5" customHeight="1">
      <c r="A5" s="34" t="s">
        <v>261</v>
      </c>
      <c r="B5" s="35" t="s">
        <v>83</v>
      </c>
      <c r="C5" s="35" t="s">
        <v>262</v>
      </c>
      <c r="D5" s="35" t="s">
        <v>263</v>
      </c>
      <c r="E5" s="35" t="s">
        <v>156</v>
      </c>
      <c r="F5" s="35" t="s">
        <v>264</v>
      </c>
      <c r="G5" s="35" t="s">
        <v>265</v>
      </c>
      <c r="H5" s="35" t="s">
        <v>266</v>
      </c>
      <c r="I5" s="35" t="s">
        <v>267</v>
      </c>
      <c r="J5" s="35" t="s">
        <v>268</v>
      </c>
      <c r="K5" s="35" t="s">
        <v>269</v>
      </c>
      <c r="L5" s="35" t="s">
        <v>270</v>
      </c>
      <c r="M5" s="35" t="s">
        <v>271</v>
      </c>
      <c r="N5" s="35" t="s">
        <v>272</v>
      </c>
      <c r="O5" s="35" t="s">
        <v>273</v>
      </c>
    </row>
    <row r="6" spans="1:15" ht="16.5" customHeight="1">
      <c r="A6" s="20">
        <v>1</v>
      </c>
      <c r="B6" s="36" t="s">
        <v>473</v>
      </c>
      <c r="C6" s="20" t="s">
        <v>290</v>
      </c>
      <c r="D6" s="26">
        <v>45</v>
      </c>
      <c r="E6" s="20">
        <v>4</v>
      </c>
      <c r="F6" s="26" t="s">
        <v>292</v>
      </c>
      <c r="G6" s="26">
        <v>40</v>
      </c>
      <c r="H6" s="26">
        <v>150</v>
      </c>
      <c r="I6" s="26">
        <f t="shared" ref="I6:I15" si="0">IF(E6=0,0,ROUND((E6*(G6+H6)+O6)/60,1))</f>
        <v>12.7</v>
      </c>
      <c r="J6" s="21" t="s">
        <v>474</v>
      </c>
      <c r="K6" s="21" t="s">
        <v>475</v>
      </c>
      <c r="L6" s="21" t="s">
        <v>476</v>
      </c>
      <c r="O6" s="26"/>
    </row>
    <row r="7" spans="1:15" ht="16.5" customHeight="1">
      <c r="A7" s="20">
        <v>2</v>
      </c>
      <c r="B7" s="36" t="s">
        <v>477</v>
      </c>
      <c r="C7" s="20" t="s">
        <v>275</v>
      </c>
      <c r="D7" s="26">
        <v>47</v>
      </c>
      <c r="E7" s="20">
        <v>2</v>
      </c>
      <c r="F7" s="26" t="s">
        <v>282</v>
      </c>
      <c r="G7" s="26">
        <v>40</v>
      </c>
      <c r="H7" s="26">
        <v>150</v>
      </c>
      <c r="I7" s="26">
        <f t="shared" si="0"/>
        <v>6.3</v>
      </c>
      <c r="J7" s="21" t="s">
        <v>474</v>
      </c>
      <c r="K7" s="21" t="s">
        <v>478</v>
      </c>
      <c r="L7" s="21" t="s">
        <v>479</v>
      </c>
      <c r="O7" s="26"/>
    </row>
    <row r="8" spans="1:15" ht="16.5" customHeight="1">
      <c r="A8" s="20">
        <v>3</v>
      </c>
      <c r="B8" s="36" t="s">
        <v>480</v>
      </c>
      <c r="C8" s="20" t="s">
        <v>275</v>
      </c>
      <c r="D8" s="26">
        <v>20</v>
      </c>
      <c r="E8" s="20">
        <v>2</v>
      </c>
      <c r="F8" s="26" t="s">
        <v>286</v>
      </c>
      <c r="G8" s="26">
        <v>80</v>
      </c>
      <c r="H8" s="26">
        <v>150</v>
      </c>
      <c r="I8" s="26">
        <f t="shared" si="0"/>
        <v>9.6999999999999993</v>
      </c>
      <c r="J8" s="21" t="s">
        <v>474</v>
      </c>
      <c r="K8" s="21" t="s">
        <v>481</v>
      </c>
      <c r="L8" s="21" t="s">
        <v>482</v>
      </c>
      <c r="O8" s="26">
        <v>120</v>
      </c>
    </row>
    <row r="9" spans="1:15" ht="16.5" customHeight="1">
      <c r="A9" s="20">
        <v>4</v>
      </c>
      <c r="B9" s="36" t="s">
        <v>483</v>
      </c>
      <c r="C9" s="20" t="s">
        <v>290</v>
      </c>
      <c r="D9" s="20">
        <v>32</v>
      </c>
      <c r="E9" s="20">
        <v>4</v>
      </c>
      <c r="F9" s="26" t="s">
        <v>297</v>
      </c>
      <c r="G9" s="26">
        <v>40</v>
      </c>
      <c r="H9" s="26">
        <v>60</v>
      </c>
      <c r="I9" s="26">
        <f t="shared" si="0"/>
        <v>7.7</v>
      </c>
      <c r="J9" s="21" t="s">
        <v>484</v>
      </c>
      <c r="K9" s="21" t="s">
        <v>485</v>
      </c>
      <c r="L9" s="21" t="s">
        <v>486</v>
      </c>
      <c r="O9" s="26">
        <v>60</v>
      </c>
    </row>
    <row r="10" spans="1:15" ht="16.5" customHeight="1">
      <c r="A10" s="20">
        <v>5</v>
      </c>
      <c r="B10" s="21" t="s">
        <v>418</v>
      </c>
      <c r="C10" s="20" t="s">
        <v>366</v>
      </c>
      <c r="D10" s="26" t="s">
        <v>297</v>
      </c>
      <c r="E10" s="20">
        <v>0</v>
      </c>
      <c r="F10" s="26" t="s">
        <v>322</v>
      </c>
      <c r="G10" s="26">
        <v>40</v>
      </c>
      <c r="H10" s="26">
        <v>70</v>
      </c>
      <c r="I10" s="26">
        <f t="shared" si="0"/>
        <v>0</v>
      </c>
      <c r="J10" s="21" t="s">
        <v>419</v>
      </c>
      <c r="K10" s="21" t="s">
        <v>487</v>
      </c>
      <c r="L10" s="21" t="s">
        <v>488</v>
      </c>
      <c r="O10" s="26"/>
    </row>
    <row r="11" spans="1:15" ht="16.5" customHeight="1">
      <c r="A11" s="20">
        <v>6</v>
      </c>
      <c r="B11" s="21" t="s">
        <v>489</v>
      </c>
      <c r="C11" s="20" t="s">
        <v>277</v>
      </c>
      <c r="D11" s="26">
        <v>30</v>
      </c>
      <c r="E11" s="20">
        <v>4</v>
      </c>
      <c r="F11" s="26" t="s">
        <v>282</v>
      </c>
      <c r="G11" s="26">
        <v>40</v>
      </c>
      <c r="H11" s="26">
        <v>70</v>
      </c>
      <c r="I11" s="26">
        <f t="shared" si="0"/>
        <v>8.3000000000000007</v>
      </c>
      <c r="J11" s="21" t="s">
        <v>303</v>
      </c>
      <c r="K11" s="21" t="s">
        <v>490</v>
      </c>
      <c r="L11" s="22" t="s">
        <v>491</v>
      </c>
      <c r="O11" s="26">
        <v>60</v>
      </c>
    </row>
    <row r="12" spans="1:15" ht="16.5" customHeight="1">
      <c r="A12" s="20">
        <v>7</v>
      </c>
      <c r="B12" s="21" t="s">
        <v>492</v>
      </c>
      <c r="C12" s="20" t="s">
        <v>415</v>
      </c>
      <c r="D12" s="20">
        <v>15</v>
      </c>
      <c r="E12" s="20">
        <v>4</v>
      </c>
      <c r="F12" s="26" t="s">
        <v>358</v>
      </c>
      <c r="G12" s="26">
        <v>40</v>
      </c>
      <c r="H12" s="26">
        <v>90</v>
      </c>
      <c r="I12" s="26">
        <f t="shared" si="0"/>
        <v>8.6999999999999993</v>
      </c>
      <c r="J12" s="21" t="s">
        <v>493</v>
      </c>
      <c r="K12" s="21" t="s">
        <v>494</v>
      </c>
      <c r="L12" s="21" t="s">
        <v>495</v>
      </c>
      <c r="O12" s="26"/>
    </row>
    <row r="13" spans="1:15" ht="16.5" customHeight="1">
      <c r="A13" s="20">
        <v>8</v>
      </c>
      <c r="B13" s="70" t="s">
        <v>496</v>
      </c>
      <c r="C13" s="20" t="s">
        <v>316</v>
      </c>
      <c r="D13" s="20" t="s">
        <v>497</v>
      </c>
      <c r="E13" s="20">
        <v>2</v>
      </c>
      <c r="F13" s="26" t="s">
        <v>297</v>
      </c>
      <c r="G13" s="26">
        <v>40</v>
      </c>
      <c r="H13" s="26">
        <v>75</v>
      </c>
      <c r="I13" s="26">
        <f t="shared" si="0"/>
        <v>3.8</v>
      </c>
      <c r="J13" s="21"/>
      <c r="K13" s="21" t="s">
        <v>498</v>
      </c>
      <c r="L13" s="21" t="s">
        <v>499</v>
      </c>
      <c r="O13" s="26"/>
    </row>
    <row r="14" spans="1:15" ht="16.5" customHeight="1">
      <c r="A14" s="20">
        <v>9</v>
      </c>
      <c r="B14" s="21" t="s">
        <v>500</v>
      </c>
      <c r="C14" s="20" t="s">
        <v>401</v>
      </c>
      <c r="D14" s="26">
        <v>10</v>
      </c>
      <c r="E14" s="20">
        <v>3</v>
      </c>
      <c r="F14" s="26" t="s">
        <v>312</v>
      </c>
      <c r="G14" s="26">
        <v>80</v>
      </c>
      <c r="H14" s="26">
        <v>75</v>
      </c>
      <c r="I14" s="26">
        <f t="shared" si="0"/>
        <v>7.8</v>
      </c>
      <c r="J14" s="21"/>
      <c r="K14" s="21" t="s">
        <v>501</v>
      </c>
      <c r="L14" s="21" t="s">
        <v>502</v>
      </c>
      <c r="O14" s="26"/>
    </row>
    <row r="15" spans="1:15" ht="16.5" customHeight="1">
      <c r="A15" s="20">
        <v>10</v>
      </c>
      <c r="B15" s="74" t="s">
        <v>326</v>
      </c>
      <c r="C15" s="20" t="s">
        <v>321</v>
      </c>
      <c r="D15" s="20" t="s">
        <v>291</v>
      </c>
      <c r="E15" s="20">
        <v>3</v>
      </c>
      <c r="F15" s="26" t="s">
        <v>297</v>
      </c>
      <c r="G15" s="26">
        <v>40</v>
      </c>
      <c r="H15" s="26">
        <v>60</v>
      </c>
      <c r="I15" s="26">
        <f t="shared" si="0"/>
        <v>5</v>
      </c>
      <c r="J15" s="21"/>
      <c r="K15" s="21" t="s">
        <v>327</v>
      </c>
      <c r="L15" s="21" t="s">
        <v>328</v>
      </c>
      <c r="O15" s="26"/>
    </row>
    <row r="16" spans="1:15" ht="15" customHeight="1">
      <c r="D16" s="3" t="s">
        <v>329</v>
      </c>
      <c r="E16" s="27">
        <f>SUM(E6:E15)</f>
        <v>28</v>
      </c>
      <c r="I16">
        <f>ROUND(SUM(I6:I15),0)</f>
        <v>70</v>
      </c>
    </row>
    <row r="17" spans="1:2" ht="15" customHeight="1">
      <c r="A17" t="s">
        <v>464</v>
      </c>
    </row>
    <row r="18" spans="1:2">
      <c r="A18" t="s">
        <v>503</v>
      </c>
    </row>
    <row r="19" spans="1:2">
      <c r="A19" t="s">
        <v>504</v>
      </c>
    </row>
    <row r="20" spans="1:2">
      <c r="A20" t="s">
        <v>505</v>
      </c>
    </row>
    <row r="22" spans="1:2">
      <c r="A22" s="99" t="s">
        <v>253</v>
      </c>
      <c r="B22" s="72"/>
    </row>
    <row r="23" spans="1:2">
      <c r="A23" t="s">
        <v>506</v>
      </c>
    </row>
    <row r="24" spans="1:2">
      <c r="A24" t="s">
        <v>333</v>
      </c>
    </row>
    <row r="25" spans="1:2">
      <c r="A25" t="s">
        <v>507</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508</v>
      </c>
    </row>
    <row r="2" spans="1:3" ht="16.5" customHeight="1">
      <c r="A2" s="18" t="s">
        <v>509</v>
      </c>
    </row>
    <row r="4" spans="1:3" ht="16.5" customHeight="1">
      <c r="A4" s="3" t="s">
        <v>510</v>
      </c>
    </row>
    <row r="5" spans="1:3" ht="16.5" customHeight="1">
      <c r="A5" s="19" t="s">
        <v>263</v>
      </c>
      <c r="B5" s="19" t="s">
        <v>338</v>
      </c>
      <c r="C5" s="19" t="s">
        <v>156</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27</v>
      </c>
      <c r="B9" s="20">
        <v>2</v>
      </c>
      <c r="C9" s="20">
        <v>1</v>
      </c>
    </row>
    <row r="10" spans="1:3" ht="15" customHeight="1">
      <c r="A10" s="37">
        <f>시작중량_설정!$E$10</f>
        <v>30</v>
      </c>
      <c r="B10" s="27">
        <v>5</v>
      </c>
      <c r="C10" s="27">
        <v>3</v>
      </c>
    </row>
    <row r="11" spans="1:3" ht="16.5" customHeight="1">
      <c r="A11" s="31" t="s">
        <v>339</v>
      </c>
    </row>
    <row r="13" spans="1:3" ht="16.5" customHeight="1">
      <c r="A13" s="3" t="s">
        <v>340</v>
      </c>
    </row>
    <row r="14" spans="1:3" ht="16.5" customHeight="1">
      <c r="A14" s="31" t="s">
        <v>341</v>
      </c>
    </row>
    <row r="15" spans="1:3" ht="16.5" customHeight="1">
      <c r="A15" s="31" t="s">
        <v>342</v>
      </c>
    </row>
    <row r="16" spans="1:3" ht="16.5" customHeight="1">
      <c r="A16" s="31" t="s">
        <v>343</v>
      </c>
    </row>
    <row r="18" spans="1:15" ht="15" customHeight="1">
      <c r="A18" s="3" t="s">
        <v>260</v>
      </c>
    </row>
    <row r="19" spans="1:15" ht="16.5" customHeight="1">
      <c r="A19" s="34" t="s">
        <v>261</v>
      </c>
      <c r="B19" s="35" t="s">
        <v>83</v>
      </c>
      <c r="C19" s="35" t="s">
        <v>262</v>
      </c>
      <c r="D19" s="35" t="s">
        <v>263</v>
      </c>
      <c r="E19" s="35" t="s">
        <v>156</v>
      </c>
      <c r="F19" s="35" t="s">
        <v>264</v>
      </c>
      <c r="G19" s="35" t="s">
        <v>265</v>
      </c>
      <c r="H19" s="35" t="s">
        <v>266</v>
      </c>
      <c r="I19" s="35" t="s">
        <v>267</v>
      </c>
      <c r="J19" s="35" t="s">
        <v>268</v>
      </c>
      <c r="K19" s="35" t="s">
        <v>269</v>
      </c>
      <c r="L19" s="35" t="s">
        <v>270</v>
      </c>
      <c r="M19" s="35" t="s">
        <v>271</v>
      </c>
      <c r="N19" s="35" t="s">
        <v>272</v>
      </c>
      <c r="O19" s="35" t="s">
        <v>273</v>
      </c>
    </row>
    <row r="20" spans="1:15" ht="16.5" customHeight="1">
      <c r="A20" s="40">
        <v>1</v>
      </c>
      <c r="B20" s="39" t="s">
        <v>511</v>
      </c>
      <c r="C20" s="40" t="s">
        <v>437</v>
      </c>
      <c r="D20" s="41">
        <f>시작중량_설정!$E$10</f>
        <v>30</v>
      </c>
      <c r="E20" s="40">
        <v>3</v>
      </c>
      <c r="F20" s="38" t="s">
        <v>346</v>
      </c>
      <c r="G20" s="38">
        <v>30</v>
      </c>
      <c r="H20" s="38">
        <v>180</v>
      </c>
      <c r="I20" s="38">
        <f t="shared" ref="I20:I29" si="0">IF(E20=0,0,ROUND((E20*(G20+H20)+O20)/60,1))</f>
        <v>10.5</v>
      </c>
      <c r="J20" s="39" t="s">
        <v>512</v>
      </c>
      <c r="K20" s="39" t="s">
        <v>513</v>
      </c>
      <c r="L20" s="39" t="s">
        <v>514</v>
      </c>
      <c r="M20" s="38" t="s">
        <v>515</v>
      </c>
      <c r="O20" s="38"/>
    </row>
    <row r="21" spans="1:15" ht="16.5" customHeight="1">
      <c r="A21" s="20">
        <v>2</v>
      </c>
      <c r="B21" s="21" t="s">
        <v>516</v>
      </c>
      <c r="C21" s="20" t="s">
        <v>437</v>
      </c>
      <c r="D21" s="20">
        <v>25</v>
      </c>
      <c r="E21" s="20">
        <v>3</v>
      </c>
      <c r="F21" s="26" t="s">
        <v>322</v>
      </c>
      <c r="G21" s="26">
        <v>40</v>
      </c>
      <c r="H21" s="26">
        <v>120</v>
      </c>
      <c r="I21" s="26">
        <f t="shared" si="0"/>
        <v>8</v>
      </c>
      <c r="J21" s="21" t="s">
        <v>517</v>
      </c>
      <c r="K21" s="21" t="s">
        <v>518</v>
      </c>
      <c r="L21" s="21" t="s">
        <v>519</v>
      </c>
      <c r="O21" s="26"/>
    </row>
    <row r="22" spans="1:15" ht="16.5" customHeight="1">
      <c r="A22" s="20">
        <v>3</v>
      </c>
      <c r="B22" s="36" t="s">
        <v>425</v>
      </c>
      <c r="C22" s="20" t="s">
        <v>426</v>
      </c>
      <c r="D22" s="20">
        <v>20</v>
      </c>
      <c r="E22" s="20">
        <v>3</v>
      </c>
      <c r="F22" s="26" t="s">
        <v>297</v>
      </c>
      <c r="G22" s="26">
        <v>40</v>
      </c>
      <c r="H22" s="26">
        <v>60</v>
      </c>
      <c r="I22" s="26">
        <f t="shared" si="0"/>
        <v>5</v>
      </c>
      <c r="J22" s="21" t="s">
        <v>293</v>
      </c>
      <c r="K22" s="21" t="s">
        <v>520</v>
      </c>
      <c r="L22" s="21" t="s">
        <v>521</v>
      </c>
      <c r="O22" s="26"/>
    </row>
    <row r="23" spans="1:15" ht="16.5" customHeight="1">
      <c r="A23" s="20">
        <v>4</v>
      </c>
      <c r="B23" s="21" t="s">
        <v>522</v>
      </c>
      <c r="C23" s="20" t="s">
        <v>345</v>
      </c>
      <c r="D23" s="26">
        <v>25</v>
      </c>
      <c r="E23" s="20">
        <v>3</v>
      </c>
      <c r="F23" s="26" t="s">
        <v>282</v>
      </c>
      <c r="G23" s="26">
        <v>40</v>
      </c>
      <c r="H23" s="26">
        <v>150</v>
      </c>
      <c r="I23" s="26">
        <f t="shared" si="0"/>
        <v>9.5</v>
      </c>
      <c r="J23" s="21" t="s">
        <v>353</v>
      </c>
      <c r="K23" s="21" t="s">
        <v>523</v>
      </c>
      <c r="L23" s="21" t="s">
        <v>524</v>
      </c>
      <c r="O23" s="26"/>
    </row>
    <row r="24" spans="1:15" ht="16.5" customHeight="1">
      <c r="A24" s="20">
        <v>5</v>
      </c>
      <c r="B24" s="21" t="s">
        <v>525</v>
      </c>
      <c r="C24" s="20" t="s">
        <v>357</v>
      </c>
      <c r="D24" s="26">
        <v>35</v>
      </c>
      <c r="E24" s="20">
        <v>3</v>
      </c>
      <c r="F24" s="26" t="s">
        <v>292</v>
      </c>
      <c r="G24" s="26">
        <v>40</v>
      </c>
      <c r="H24" s="26">
        <v>150</v>
      </c>
      <c r="I24" s="26">
        <f t="shared" si="0"/>
        <v>9.5</v>
      </c>
      <c r="J24" s="21" t="s">
        <v>347</v>
      </c>
      <c r="K24" s="21" t="s">
        <v>526</v>
      </c>
      <c r="L24" s="21" t="s">
        <v>527</v>
      </c>
      <c r="O24" s="26"/>
    </row>
    <row r="25" spans="1:15" ht="16.5" customHeight="1">
      <c r="A25" s="20">
        <v>6</v>
      </c>
      <c r="B25" s="21" t="s">
        <v>528</v>
      </c>
      <c r="C25" s="43" t="s">
        <v>345</v>
      </c>
      <c r="D25" s="26">
        <v>10</v>
      </c>
      <c r="E25" s="20">
        <v>3</v>
      </c>
      <c r="F25" s="26" t="s">
        <v>282</v>
      </c>
      <c r="G25" s="26">
        <v>40</v>
      </c>
      <c r="H25" s="26">
        <v>90</v>
      </c>
      <c r="I25" s="26">
        <f t="shared" si="0"/>
        <v>7.5</v>
      </c>
      <c r="J25" s="21"/>
      <c r="K25" s="21" t="s">
        <v>529</v>
      </c>
      <c r="L25" s="21" t="s">
        <v>530</v>
      </c>
      <c r="O25" s="26">
        <v>60</v>
      </c>
    </row>
    <row r="26" spans="1:15" ht="16.5" customHeight="1">
      <c r="A26" s="20">
        <v>7</v>
      </c>
      <c r="B26" s="21" t="s">
        <v>531</v>
      </c>
      <c r="C26" s="20" t="s">
        <v>366</v>
      </c>
      <c r="D26" s="26">
        <v>15</v>
      </c>
      <c r="E26" s="20">
        <v>3</v>
      </c>
      <c r="F26" s="26" t="s">
        <v>297</v>
      </c>
      <c r="G26" s="26">
        <v>40</v>
      </c>
      <c r="H26" s="26">
        <v>70</v>
      </c>
      <c r="I26" s="26">
        <f t="shared" si="0"/>
        <v>5.5</v>
      </c>
      <c r="J26" s="21"/>
      <c r="K26" s="21" t="s">
        <v>532</v>
      </c>
      <c r="L26" s="21" t="s">
        <v>533</v>
      </c>
      <c r="O26" s="26"/>
    </row>
    <row r="27" spans="1:15" ht="16.5" customHeight="1">
      <c r="A27" s="20">
        <v>8</v>
      </c>
      <c r="B27" s="21" t="s">
        <v>534</v>
      </c>
      <c r="C27" s="20" t="s">
        <v>362</v>
      </c>
      <c r="D27" s="26">
        <v>5</v>
      </c>
      <c r="E27" s="20">
        <v>3</v>
      </c>
      <c r="F27" s="26" t="s">
        <v>358</v>
      </c>
      <c r="G27" s="26">
        <v>70</v>
      </c>
      <c r="H27" s="26">
        <v>70</v>
      </c>
      <c r="I27" s="26">
        <f t="shared" si="0"/>
        <v>7</v>
      </c>
      <c r="J27" s="21"/>
      <c r="K27" s="21" t="s">
        <v>535</v>
      </c>
      <c r="L27" s="21" t="s">
        <v>536</v>
      </c>
      <c r="O27" s="26"/>
    </row>
    <row r="28" spans="1:15" ht="16.5" customHeight="1">
      <c r="A28" s="20">
        <v>9</v>
      </c>
      <c r="B28" s="21" t="s">
        <v>537</v>
      </c>
      <c r="C28" s="20" t="s">
        <v>426</v>
      </c>
      <c r="D28" s="26" t="s">
        <v>538</v>
      </c>
      <c r="E28" s="20">
        <v>3</v>
      </c>
      <c r="F28" s="26" t="s">
        <v>297</v>
      </c>
      <c r="G28" s="26">
        <v>40</v>
      </c>
      <c r="H28" s="26">
        <v>60</v>
      </c>
      <c r="I28" s="26">
        <f t="shared" si="0"/>
        <v>5</v>
      </c>
      <c r="J28" s="21" t="s">
        <v>484</v>
      </c>
      <c r="K28" s="21" t="s">
        <v>539</v>
      </c>
      <c r="L28" s="21" t="s">
        <v>540</v>
      </c>
      <c r="O28" s="26"/>
    </row>
    <row r="29" spans="1:15" ht="16.5" customHeight="1">
      <c r="A29" s="20">
        <v>10</v>
      </c>
      <c r="B29" s="74" t="s">
        <v>541</v>
      </c>
      <c r="C29" s="20" t="s">
        <v>307</v>
      </c>
      <c r="D29" s="20">
        <v>15</v>
      </c>
      <c r="E29" s="20">
        <v>3</v>
      </c>
      <c r="F29" s="26" t="s">
        <v>322</v>
      </c>
      <c r="G29" s="26">
        <v>40</v>
      </c>
      <c r="H29" s="26">
        <v>60</v>
      </c>
      <c r="I29" s="26">
        <f t="shared" si="0"/>
        <v>5</v>
      </c>
      <c r="J29" s="21"/>
      <c r="K29" s="21" t="s">
        <v>542</v>
      </c>
      <c r="L29" s="21" t="s">
        <v>543</v>
      </c>
      <c r="O29" s="26"/>
    </row>
    <row r="30" spans="1:15" ht="15" customHeight="1">
      <c r="A30" s="20"/>
      <c r="B30" s="21"/>
      <c r="C30" s="20"/>
      <c r="D30" s="26" t="s">
        <v>329</v>
      </c>
      <c r="E30" s="20">
        <f>SUM(E20:E29)</f>
        <v>30</v>
      </c>
      <c r="F30" s="26"/>
      <c r="G30" s="26"/>
      <c r="H30" s="26"/>
      <c r="I30" s="26">
        <f>ROUND(SUM(I20:I29),0)</f>
        <v>73</v>
      </c>
      <c r="J30" s="21"/>
      <c r="K30" s="21"/>
      <c r="L30" s="21"/>
    </row>
    <row r="31" spans="1:15" ht="15" customHeight="1">
      <c r="A31" s="3" t="s">
        <v>544</v>
      </c>
    </row>
    <row r="32" spans="1:15">
      <c r="A32" s="31" t="s">
        <v>545</v>
      </c>
    </row>
    <row r="33" spans="1:1" ht="16.5" customHeight="1">
      <c r="A33" s="31" t="s">
        <v>546</v>
      </c>
    </row>
    <row r="34" spans="1:1" ht="16.5" customHeight="1">
      <c r="A34" s="31" t="s">
        <v>547</v>
      </c>
    </row>
    <row r="35" spans="1:1" ht="16.5" customHeight="1">
      <c r="A35" s="31" t="s">
        <v>548</v>
      </c>
    </row>
    <row r="36" spans="1:1" ht="16.5" customHeight="1">
      <c r="A36" s="31" t="s">
        <v>549</v>
      </c>
    </row>
    <row r="37" spans="1:1" ht="16.5" customHeight="1">
      <c r="A37" s="31" t="s">
        <v>550</v>
      </c>
    </row>
    <row r="38" spans="1:1" ht="16.5" customHeight="1">
      <c r="A38" s="31" t="s">
        <v>551</v>
      </c>
    </row>
    <row r="39" spans="1:1" ht="16.5" customHeight="1"/>
    <row r="40" spans="1:1" ht="16.5" customHeight="1">
      <c r="A40" t="s">
        <v>464</v>
      </c>
    </row>
    <row r="41" spans="1:1">
      <c r="A41" t="s">
        <v>552</v>
      </c>
    </row>
    <row r="42" spans="1:1">
      <c r="A42" t="s">
        <v>553</v>
      </c>
    </row>
    <row r="44" spans="1:1">
      <c r="A44" s="99" t="s">
        <v>253</v>
      </c>
    </row>
    <row r="45" spans="1:1">
      <c r="A45" t="s">
        <v>554</v>
      </c>
    </row>
    <row r="46" spans="1:1">
      <c r="A46" t="s">
        <v>333</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555</v>
      </c>
    </row>
    <row r="2" spans="1:15" ht="16.5" customHeight="1">
      <c r="A2" s="18" t="s">
        <v>556</v>
      </c>
    </row>
    <row r="4" spans="1:15" ht="16.5" customHeight="1">
      <c r="A4" s="3" t="s">
        <v>557</v>
      </c>
    </row>
    <row r="5" spans="1:15" ht="16.5" customHeight="1">
      <c r="A5" s="19" t="s">
        <v>263</v>
      </c>
      <c r="B5" s="19" t="s">
        <v>338</v>
      </c>
      <c r="C5" s="19" t="s">
        <v>156</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339</v>
      </c>
    </row>
    <row r="13" spans="1:15" ht="15" customHeight="1">
      <c r="A13" s="3" t="s">
        <v>260</v>
      </c>
    </row>
    <row r="14" spans="1:15" ht="16.5" customHeight="1">
      <c r="A14" s="34" t="s">
        <v>261</v>
      </c>
      <c r="B14" s="35" t="s">
        <v>83</v>
      </c>
      <c r="C14" s="35" t="s">
        <v>262</v>
      </c>
      <c r="D14" s="35" t="s">
        <v>263</v>
      </c>
      <c r="E14" s="35" t="s">
        <v>156</v>
      </c>
      <c r="F14" s="35" t="s">
        <v>264</v>
      </c>
      <c r="G14" s="35" t="s">
        <v>265</v>
      </c>
      <c r="H14" s="35" t="s">
        <v>266</v>
      </c>
      <c r="I14" s="35" t="s">
        <v>267</v>
      </c>
      <c r="J14" s="35" t="s">
        <v>268</v>
      </c>
      <c r="K14" s="35" t="s">
        <v>269</v>
      </c>
      <c r="L14" s="35" t="s">
        <v>270</v>
      </c>
      <c r="M14" s="35" t="s">
        <v>271</v>
      </c>
      <c r="N14" s="35" t="s">
        <v>272</v>
      </c>
      <c r="O14" s="35" t="s">
        <v>273</v>
      </c>
    </row>
    <row r="15" spans="1:15" ht="16.5" customHeight="1">
      <c r="A15" s="40">
        <v>1</v>
      </c>
      <c r="B15" s="39" t="s">
        <v>558</v>
      </c>
      <c r="C15" s="40" t="s">
        <v>321</v>
      </c>
      <c r="D15" s="41">
        <f>시작중량_설정!$E$8</f>
        <v>80</v>
      </c>
      <c r="E15" s="40">
        <v>1</v>
      </c>
      <c r="F15" s="38" t="s">
        <v>346</v>
      </c>
      <c r="G15" s="38">
        <v>35</v>
      </c>
      <c r="H15" s="38">
        <v>240</v>
      </c>
      <c r="I15" s="38">
        <f t="shared" ref="I15:I22" si="0">IF(E15=0,0,ROUND((E15*(G15+H15)+O15)/60,1))</f>
        <v>4.5999999999999996</v>
      </c>
      <c r="J15" s="39" t="s">
        <v>559</v>
      </c>
      <c r="K15" s="39" t="s">
        <v>560</v>
      </c>
      <c r="L15" s="39" t="s">
        <v>561</v>
      </c>
      <c r="O15" s="38"/>
    </row>
    <row r="16" spans="1:15" ht="16.5" customHeight="1">
      <c r="A16" s="40">
        <v>2</v>
      </c>
      <c r="B16" s="39" t="s">
        <v>562</v>
      </c>
      <c r="C16" s="40" t="s">
        <v>321</v>
      </c>
      <c r="D16" s="41">
        <f>시작중량_설정!$E$8-5</f>
        <v>75</v>
      </c>
      <c r="E16" s="40">
        <v>2</v>
      </c>
      <c r="F16" s="38" t="s">
        <v>346</v>
      </c>
      <c r="G16" s="38">
        <v>35</v>
      </c>
      <c r="H16" s="38">
        <v>180</v>
      </c>
      <c r="I16" s="38">
        <f t="shared" si="0"/>
        <v>7.2</v>
      </c>
      <c r="J16" s="39" t="s">
        <v>559</v>
      </c>
      <c r="K16" s="39" t="s">
        <v>563</v>
      </c>
      <c r="L16" s="39" t="s">
        <v>561</v>
      </c>
      <c r="O16" s="38"/>
    </row>
    <row r="17" spans="1:15" ht="16.5" customHeight="1">
      <c r="A17" s="20">
        <v>3</v>
      </c>
      <c r="B17" s="21" t="s">
        <v>564</v>
      </c>
      <c r="C17" s="20" t="s">
        <v>383</v>
      </c>
      <c r="D17" s="26">
        <v>25</v>
      </c>
      <c r="E17" s="20">
        <v>4</v>
      </c>
      <c r="F17" s="26" t="s">
        <v>282</v>
      </c>
      <c r="G17" s="26">
        <v>45</v>
      </c>
      <c r="H17" s="26">
        <v>150</v>
      </c>
      <c r="I17" s="26">
        <f t="shared" si="0"/>
        <v>13</v>
      </c>
      <c r="J17" s="21" t="s">
        <v>392</v>
      </c>
      <c r="K17" s="21" t="s">
        <v>565</v>
      </c>
      <c r="L17" s="21" t="s">
        <v>566</v>
      </c>
      <c r="O17" s="26"/>
    </row>
    <row r="18" spans="1:15" ht="16.5" customHeight="1">
      <c r="A18" s="20">
        <v>4</v>
      </c>
      <c r="B18" s="21" t="s">
        <v>567</v>
      </c>
      <c r="C18" s="20" t="s">
        <v>392</v>
      </c>
      <c r="D18" s="20">
        <v>35</v>
      </c>
      <c r="E18" s="20">
        <v>3</v>
      </c>
      <c r="F18" s="26" t="s">
        <v>497</v>
      </c>
      <c r="G18" s="26">
        <v>40</v>
      </c>
      <c r="H18" s="26">
        <v>150</v>
      </c>
      <c r="I18" s="26">
        <f t="shared" si="0"/>
        <v>9.5</v>
      </c>
      <c r="J18" s="21" t="s">
        <v>378</v>
      </c>
      <c r="K18" s="21" t="s">
        <v>568</v>
      </c>
      <c r="L18" s="21" t="s">
        <v>569</v>
      </c>
      <c r="O18" s="26"/>
    </row>
    <row r="19" spans="1:15" ht="16.5" customHeight="1">
      <c r="A19" s="20">
        <v>5</v>
      </c>
      <c r="B19" s="21" t="s">
        <v>570</v>
      </c>
      <c r="C19" s="20" t="s">
        <v>392</v>
      </c>
      <c r="D19" s="26">
        <v>15</v>
      </c>
      <c r="E19" s="20">
        <v>3</v>
      </c>
      <c r="F19" s="26" t="s">
        <v>317</v>
      </c>
      <c r="G19" s="26">
        <v>80</v>
      </c>
      <c r="H19" s="26">
        <v>120</v>
      </c>
      <c r="I19" s="26">
        <f t="shared" si="0"/>
        <v>10</v>
      </c>
      <c r="J19" s="21"/>
      <c r="K19" s="21" t="s">
        <v>571</v>
      </c>
      <c r="L19" s="21" t="s">
        <v>572</v>
      </c>
      <c r="O19" s="26"/>
    </row>
    <row r="20" spans="1:15" ht="16.5" customHeight="1">
      <c r="A20" s="20">
        <v>6</v>
      </c>
      <c r="B20" s="21" t="s">
        <v>382</v>
      </c>
      <c r="C20" s="20" t="s">
        <v>377</v>
      </c>
      <c r="D20" s="26">
        <v>120</v>
      </c>
      <c r="E20" s="20">
        <v>3</v>
      </c>
      <c r="F20" s="26" t="s">
        <v>282</v>
      </c>
      <c r="G20" s="26">
        <v>45</v>
      </c>
      <c r="H20" s="26">
        <v>150</v>
      </c>
      <c r="I20" s="26">
        <f t="shared" si="0"/>
        <v>9.8000000000000007</v>
      </c>
      <c r="J20" s="21" t="s">
        <v>383</v>
      </c>
      <c r="K20" s="21" t="s">
        <v>573</v>
      </c>
      <c r="L20" s="21" t="s">
        <v>574</v>
      </c>
      <c r="O20" s="26"/>
    </row>
    <row r="21" spans="1:15" ht="16.5" customHeight="1">
      <c r="A21" s="20">
        <v>7</v>
      </c>
      <c r="B21" s="21" t="s">
        <v>575</v>
      </c>
      <c r="C21" s="20" t="s">
        <v>377</v>
      </c>
      <c r="D21" s="26">
        <v>42</v>
      </c>
      <c r="E21" s="20">
        <v>4</v>
      </c>
      <c r="F21" s="26" t="s">
        <v>358</v>
      </c>
      <c r="G21" s="26">
        <v>40</v>
      </c>
      <c r="H21" s="26">
        <v>120</v>
      </c>
      <c r="I21" s="26">
        <f t="shared" si="0"/>
        <v>11.9</v>
      </c>
      <c r="J21" s="21"/>
      <c r="K21" s="21" t="s">
        <v>576</v>
      </c>
      <c r="L21" s="21" t="s">
        <v>577</v>
      </c>
      <c r="O21" s="26">
        <v>75</v>
      </c>
    </row>
    <row r="22" spans="1:15" ht="16.5" customHeight="1">
      <c r="A22" s="20">
        <v>8</v>
      </c>
      <c r="B22" s="21" t="s">
        <v>496</v>
      </c>
      <c r="C22" s="20" t="s">
        <v>316</v>
      </c>
      <c r="D22" s="26">
        <v>8</v>
      </c>
      <c r="E22" s="20">
        <v>4</v>
      </c>
      <c r="F22" s="26" t="s">
        <v>297</v>
      </c>
      <c r="G22" s="26">
        <v>40</v>
      </c>
      <c r="H22" s="26">
        <v>75</v>
      </c>
      <c r="I22" s="26">
        <f t="shared" si="0"/>
        <v>7.7</v>
      </c>
      <c r="J22" s="21"/>
      <c r="K22" s="21" t="s">
        <v>578</v>
      </c>
      <c r="L22" s="21" t="s">
        <v>579</v>
      </c>
      <c r="O22" s="26"/>
    </row>
    <row r="23" spans="1:15" ht="16.5" customHeight="1">
      <c r="D23" s="3" t="s">
        <v>329</v>
      </c>
      <c r="E23" s="27">
        <f>SUM(E15:E22)</f>
        <v>24</v>
      </c>
      <c r="I23">
        <f>ROUND(SUM(I15:I22),0)</f>
        <v>74</v>
      </c>
    </row>
    <row r="24" spans="1:15" ht="15" customHeight="1">
      <c r="A24" s="99" t="s">
        <v>253</v>
      </c>
    </row>
    <row r="25" spans="1:15">
      <c r="A25" t="s">
        <v>580</v>
      </c>
    </row>
    <row r="26" spans="1:15">
      <c r="A26" t="s">
        <v>333</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581</v>
      </c>
    </row>
    <row r="2" spans="1:15" ht="16.5" customHeight="1">
      <c r="A2" s="18" t="s">
        <v>582</v>
      </c>
    </row>
    <row r="3" spans="1:15" ht="30" customHeight="1">
      <c r="A3" s="33" t="s">
        <v>410</v>
      </c>
    </row>
    <row r="4" spans="1:15" ht="15" customHeight="1">
      <c r="A4" s="3" t="s">
        <v>260</v>
      </c>
    </row>
    <row r="5" spans="1:15" ht="16.5" customHeight="1">
      <c r="A5" s="34" t="s">
        <v>261</v>
      </c>
      <c r="B5" s="35" t="s">
        <v>83</v>
      </c>
      <c r="C5" s="35" t="s">
        <v>262</v>
      </c>
      <c r="D5" s="35" t="s">
        <v>263</v>
      </c>
      <c r="E5" s="35" t="s">
        <v>156</v>
      </c>
      <c r="F5" s="35" t="s">
        <v>264</v>
      </c>
      <c r="G5" s="35" t="s">
        <v>265</v>
      </c>
      <c r="H5" s="35" t="s">
        <v>266</v>
      </c>
      <c r="I5" s="35" t="s">
        <v>267</v>
      </c>
      <c r="J5" s="35" t="s">
        <v>268</v>
      </c>
      <c r="K5" s="35" t="s">
        <v>269</v>
      </c>
      <c r="L5" s="35" t="s">
        <v>270</v>
      </c>
      <c r="M5" s="35" t="s">
        <v>271</v>
      </c>
      <c r="N5" s="35" t="s">
        <v>272</v>
      </c>
      <c r="O5" s="35" t="s">
        <v>273</v>
      </c>
    </row>
    <row r="6" spans="1:15" ht="16.5" customHeight="1">
      <c r="A6" s="20">
        <v>1</v>
      </c>
      <c r="B6" s="70" t="s">
        <v>583</v>
      </c>
      <c r="C6" s="20" t="s">
        <v>362</v>
      </c>
      <c r="D6" s="20">
        <v>5</v>
      </c>
      <c r="E6" s="20">
        <v>3</v>
      </c>
      <c r="F6" s="26" t="s">
        <v>297</v>
      </c>
      <c r="G6" s="26">
        <v>80</v>
      </c>
      <c r="H6" s="26">
        <v>70</v>
      </c>
      <c r="I6" s="26">
        <f t="shared" ref="I6:I15" si="0">IF(E6=0,0,ROUND((E6*(G6+H6)+O6)/60,1))</f>
        <v>7.5</v>
      </c>
      <c r="J6" s="21"/>
      <c r="K6" s="21" t="s">
        <v>584</v>
      </c>
      <c r="L6" s="21" t="s">
        <v>585</v>
      </c>
      <c r="O6" s="26"/>
    </row>
    <row r="7" spans="1:15" ht="16.5" customHeight="1">
      <c r="A7" s="20">
        <v>2</v>
      </c>
      <c r="B7" s="70" t="s">
        <v>586</v>
      </c>
      <c r="C7" s="20" t="s">
        <v>366</v>
      </c>
      <c r="D7" s="20">
        <v>5</v>
      </c>
      <c r="E7" s="20">
        <v>3</v>
      </c>
      <c r="F7" s="26" t="s">
        <v>297</v>
      </c>
      <c r="G7" s="26">
        <v>40</v>
      </c>
      <c r="H7" s="26">
        <v>70</v>
      </c>
      <c r="I7" s="26">
        <f t="shared" si="0"/>
        <v>5.5</v>
      </c>
      <c r="J7" s="21"/>
      <c r="K7" s="21" t="s">
        <v>587</v>
      </c>
      <c r="L7" s="21" t="s">
        <v>588</v>
      </c>
      <c r="O7" s="26"/>
    </row>
    <row r="8" spans="1:15" ht="16.5" customHeight="1">
      <c r="A8" s="20">
        <v>3</v>
      </c>
      <c r="B8" s="70" t="s">
        <v>516</v>
      </c>
      <c r="C8" s="20" t="s">
        <v>437</v>
      </c>
      <c r="D8" s="20" t="s">
        <v>589</v>
      </c>
      <c r="E8" s="20">
        <v>3</v>
      </c>
      <c r="F8" s="26" t="s">
        <v>322</v>
      </c>
      <c r="G8" s="26">
        <v>40</v>
      </c>
      <c r="H8" s="26">
        <v>120</v>
      </c>
      <c r="I8" s="26">
        <f t="shared" si="0"/>
        <v>8</v>
      </c>
      <c r="J8" s="21" t="s">
        <v>512</v>
      </c>
      <c r="K8" s="21" t="s">
        <v>590</v>
      </c>
      <c r="L8" s="21" t="s">
        <v>591</v>
      </c>
      <c r="O8" s="26"/>
    </row>
    <row r="9" spans="1:15" ht="16.5" customHeight="1">
      <c r="A9" s="20">
        <v>4</v>
      </c>
      <c r="B9" s="70" t="s">
        <v>537</v>
      </c>
      <c r="C9" s="20" t="s">
        <v>426</v>
      </c>
      <c r="D9" s="20" t="s">
        <v>538</v>
      </c>
      <c r="E9" s="20">
        <v>3</v>
      </c>
      <c r="F9" s="26" t="s">
        <v>297</v>
      </c>
      <c r="G9" s="26">
        <v>40</v>
      </c>
      <c r="H9" s="26">
        <v>60</v>
      </c>
      <c r="I9" s="26">
        <f t="shared" si="0"/>
        <v>5</v>
      </c>
      <c r="J9" s="21" t="s">
        <v>366</v>
      </c>
      <c r="K9" s="21" t="s">
        <v>592</v>
      </c>
      <c r="L9" s="21" t="s">
        <v>593</v>
      </c>
      <c r="O9" s="26"/>
    </row>
    <row r="10" spans="1:15" ht="16.5" customHeight="1">
      <c r="A10" s="20">
        <v>5</v>
      </c>
      <c r="B10" s="70" t="s">
        <v>594</v>
      </c>
      <c r="C10" s="20" t="s">
        <v>357</v>
      </c>
      <c r="D10" s="20">
        <v>8</v>
      </c>
      <c r="E10" s="20">
        <v>3</v>
      </c>
      <c r="F10" s="26" t="s">
        <v>358</v>
      </c>
      <c r="G10" s="26">
        <v>40</v>
      </c>
      <c r="H10" s="26">
        <v>105</v>
      </c>
      <c r="I10" s="26">
        <f t="shared" si="0"/>
        <v>7.3</v>
      </c>
      <c r="J10" s="21"/>
      <c r="K10" s="21" t="s">
        <v>595</v>
      </c>
      <c r="L10" s="21" t="s">
        <v>360</v>
      </c>
      <c r="O10" s="26"/>
    </row>
    <row r="11" spans="1:15" ht="16.5" customHeight="1">
      <c r="A11" s="20">
        <v>6</v>
      </c>
      <c r="B11" s="21" t="s">
        <v>596</v>
      </c>
      <c r="C11" s="20" t="s">
        <v>353</v>
      </c>
      <c r="D11" s="26">
        <v>15</v>
      </c>
      <c r="E11" s="20">
        <v>4</v>
      </c>
      <c r="F11" s="26" t="s">
        <v>282</v>
      </c>
      <c r="G11" s="26">
        <v>40</v>
      </c>
      <c r="H11" s="26">
        <v>75</v>
      </c>
      <c r="I11" s="26">
        <f t="shared" si="0"/>
        <v>7.7</v>
      </c>
      <c r="J11" s="21"/>
      <c r="K11" s="21" t="s">
        <v>597</v>
      </c>
      <c r="L11" s="21" t="s">
        <v>598</v>
      </c>
      <c r="O11" s="26"/>
    </row>
    <row r="12" spans="1:15" ht="16.5" customHeight="1">
      <c r="A12" s="20">
        <v>7</v>
      </c>
      <c r="B12" s="70" t="s">
        <v>599</v>
      </c>
      <c r="C12" s="20" t="s">
        <v>277</v>
      </c>
      <c r="D12" s="20">
        <v>6</v>
      </c>
      <c r="E12" s="20">
        <v>4</v>
      </c>
      <c r="F12" s="26" t="s">
        <v>282</v>
      </c>
      <c r="G12" s="26">
        <v>40</v>
      </c>
      <c r="H12" s="26">
        <v>70</v>
      </c>
      <c r="I12" s="26">
        <f t="shared" si="0"/>
        <v>7.3</v>
      </c>
      <c r="J12" s="21" t="s">
        <v>303</v>
      </c>
      <c r="K12" s="21" t="s">
        <v>600</v>
      </c>
      <c r="L12" s="21" t="s">
        <v>601</v>
      </c>
      <c r="O12" s="26"/>
    </row>
    <row r="13" spans="1:15" ht="16.5" customHeight="1">
      <c r="A13" s="20">
        <v>8</v>
      </c>
      <c r="B13" s="70" t="s">
        <v>602</v>
      </c>
      <c r="C13" s="20" t="s">
        <v>303</v>
      </c>
      <c r="D13" s="20">
        <v>10</v>
      </c>
      <c r="E13" s="20">
        <v>3</v>
      </c>
      <c r="F13" s="26" t="s">
        <v>444</v>
      </c>
      <c r="G13" s="26">
        <v>40</v>
      </c>
      <c r="H13" s="26">
        <v>60</v>
      </c>
      <c r="I13" s="26">
        <f t="shared" si="0"/>
        <v>5</v>
      </c>
      <c r="J13" s="21"/>
      <c r="K13" s="21" t="s">
        <v>603</v>
      </c>
      <c r="L13" s="21" t="s">
        <v>604</v>
      </c>
      <c r="O13" s="26"/>
    </row>
    <row r="14" spans="1:15" ht="16.5" customHeight="1">
      <c r="A14" s="20">
        <v>9</v>
      </c>
      <c r="B14" s="70" t="s">
        <v>395</v>
      </c>
      <c r="C14" s="20" t="s">
        <v>396</v>
      </c>
      <c r="D14" s="20" t="s">
        <v>605</v>
      </c>
      <c r="E14" s="20">
        <v>5</v>
      </c>
      <c r="F14" s="26" t="s">
        <v>297</v>
      </c>
      <c r="G14" s="26">
        <v>40</v>
      </c>
      <c r="H14" s="26">
        <v>10</v>
      </c>
      <c r="I14" s="26">
        <f t="shared" si="0"/>
        <v>4.2</v>
      </c>
      <c r="J14" s="21"/>
      <c r="K14" s="21" t="s">
        <v>606</v>
      </c>
      <c r="L14" s="21" t="s">
        <v>607</v>
      </c>
      <c r="N14" t="s">
        <v>399</v>
      </c>
      <c r="O14" s="26"/>
    </row>
    <row r="15" spans="1:15" ht="16.5" customHeight="1">
      <c r="A15" s="20">
        <v>10</v>
      </c>
      <c r="B15" s="70" t="s">
        <v>400</v>
      </c>
      <c r="C15" s="20" t="s">
        <v>401</v>
      </c>
      <c r="D15" s="20" t="s">
        <v>302</v>
      </c>
      <c r="E15" s="20">
        <v>5</v>
      </c>
      <c r="F15" s="26" t="s">
        <v>297</v>
      </c>
      <c r="G15" s="26">
        <v>40</v>
      </c>
      <c r="H15" s="26">
        <v>105</v>
      </c>
      <c r="I15" s="26">
        <f t="shared" si="0"/>
        <v>12.1</v>
      </c>
      <c r="J15" s="21"/>
      <c r="K15" s="21" t="s">
        <v>608</v>
      </c>
      <c r="L15" s="21" t="s">
        <v>609</v>
      </c>
      <c r="N15" t="s">
        <v>399</v>
      </c>
      <c r="O15" s="26"/>
    </row>
    <row r="16" spans="1:15" ht="16.5" customHeight="1">
      <c r="D16" s="3" t="s">
        <v>329</v>
      </c>
      <c r="E16" s="27">
        <f>SUM(E6:E15)</f>
        <v>36</v>
      </c>
      <c r="I16">
        <f>ROUND(SUM(I6:I15),0)</f>
        <v>70</v>
      </c>
    </row>
    <row r="17" spans="1:6" ht="16.5" customHeight="1">
      <c r="F17" s="76" t="s">
        <v>610</v>
      </c>
    </row>
    <row r="18" spans="1:6" ht="16.5" customHeight="1">
      <c r="A18" s="95" t="s">
        <v>611</v>
      </c>
    </row>
    <row r="19" spans="1:6" ht="16.5" customHeight="1">
      <c r="A19" t="s">
        <v>612</v>
      </c>
    </row>
    <row r="20" spans="1:6" ht="16.5" customHeight="1">
      <c r="A20" t="s">
        <v>613</v>
      </c>
    </row>
    <row r="21" spans="1:6" ht="16.5" customHeight="1">
      <c r="A21" t="s">
        <v>614</v>
      </c>
    </row>
    <row r="22" spans="1:6" ht="16.5" customHeight="1">
      <c r="A22" t="s">
        <v>615</v>
      </c>
    </row>
    <row r="23" spans="1:6" ht="16.5" customHeight="1"/>
    <row r="24" spans="1:6" ht="16.5" customHeight="1">
      <c r="A24" s="3" t="s">
        <v>616</v>
      </c>
    </row>
    <row r="25" spans="1:6" ht="16.5" customHeight="1">
      <c r="A25" s="31" t="s">
        <v>617</v>
      </c>
    </row>
    <row r="26" spans="1:6" ht="16.5" customHeight="1">
      <c r="A26" s="31" t="s">
        <v>618</v>
      </c>
    </row>
    <row r="27" spans="1:6" ht="16.5" customHeight="1">
      <c r="A27" s="31" t="s">
        <v>619</v>
      </c>
    </row>
    <row r="28" spans="1:6" ht="16.5" customHeight="1">
      <c r="A28" s="31" t="s">
        <v>620</v>
      </c>
    </row>
    <row r="29" spans="1:6" ht="16.5" customHeight="1">
      <c r="A29" s="3" t="s">
        <v>621</v>
      </c>
    </row>
    <row r="30" spans="1:6" ht="16.5" customHeight="1">
      <c r="A30" s="31" t="s">
        <v>622</v>
      </c>
    </row>
    <row r="31" spans="1:6" ht="16.5" customHeight="1">
      <c r="A31" s="31" t="s">
        <v>623</v>
      </c>
    </row>
    <row r="32" spans="1:6" ht="16.5" customHeight="1">
      <c r="A32" s="3" t="s">
        <v>624</v>
      </c>
    </row>
    <row r="33" spans="1:1" ht="16.5" customHeight="1">
      <c r="A33" s="31" t="s">
        <v>625</v>
      </c>
    </row>
    <row r="34" spans="1:1" ht="16.5" customHeight="1">
      <c r="A34" s="31" t="s">
        <v>626</v>
      </c>
    </row>
    <row r="35" spans="1:1" ht="16.5" customHeight="1">
      <c r="A35" s="31" t="s">
        <v>627</v>
      </c>
    </row>
    <row r="36" spans="1:1" ht="16.5" customHeight="1">
      <c r="A36" s="31" t="s">
        <v>628</v>
      </c>
    </row>
    <row r="37" spans="1:1" ht="16.5" customHeight="1">
      <c r="A37" s="3" t="s">
        <v>629</v>
      </c>
    </row>
    <row r="38" spans="1:1" ht="16.5" customHeight="1">
      <c r="A38" s="31" t="s">
        <v>630</v>
      </c>
    </row>
    <row r="39" spans="1:1" ht="16.5" customHeight="1">
      <c r="A39" s="31" t="s">
        <v>631</v>
      </c>
    </row>
    <row r="40" spans="1:1" ht="16.5" customHeight="1">
      <c r="A40" s="31" t="s">
        <v>632</v>
      </c>
    </row>
    <row r="41" spans="1:1">
      <c r="A41" s="31" t="s">
        <v>633</v>
      </c>
    </row>
    <row r="42" spans="1:1">
      <c r="A42" s="3" t="s">
        <v>634</v>
      </c>
    </row>
    <row r="43" spans="1:1">
      <c r="A43" s="31" t="s">
        <v>635</v>
      </c>
    </row>
    <row r="44" spans="1:1">
      <c r="A44" s="31" t="s">
        <v>636</v>
      </c>
    </row>
    <row r="45" spans="1:1">
      <c r="A45" s="31" t="s">
        <v>637</v>
      </c>
    </row>
    <row r="46" spans="1:1">
      <c r="A46" t="s">
        <v>638</v>
      </c>
    </row>
    <row r="47" spans="1:1">
      <c r="A47" t="s">
        <v>639</v>
      </c>
    </row>
    <row r="48" spans="1:1">
      <c r="A48" t="s">
        <v>640</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641</v>
      </c>
    </row>
    <row r="2" spans="1:8" ht="30" customHeight="1">
      <c r="A2" s="138" t="s">
        <v>642</v>
      </c>
      <c r="B2" s="137"/>
      <c r="C2" s="137"/>
      <c r="D2" s="137"/>
      <c r="E2" s="137"/>
      <c r="F2" s="137"/>
      <c r="G2" s="137"/>
      <c r="H2" s="137"/>
    </row>
    <row r="3" spans="1:8">
      <c r="A3" t="s">
        <v>643</v>
      </c>
      <c r="F3">
        <f ca="1">COUNTIF($E$7:$E$80,"?")</f>
        <v>0</v>
      </c>
    </row>
    <row r="4" spans="1:8" ht="39.75" customHeight="1">
      <c r="A4" s="136" t="s">
        <v>644</v>
      </c>
      <c r="B4" s="137"/>
      <c r="C4" s="137"/>
      <c r="D4" s="137"/>
      <c r="E4" s="137"/>
      <c r="F4" s="137"/>
      <c r="G4" s="137"/>
      <c r="H4" s="137"/>
    </row>
    <row r="6" spans="1:8" ht="15" customHeight="1">
      <c r="A6" s="44" t="s">
        <v>645</v>
      </c>
      <c r="B6" s="44" t="s">
        <v>646</v>
      </c>
      <c r="C6" s="44" t="s">
        <v>647</v>
      </c>
      <c r="D6" s="44" t="s">
        <v>648</v>
      </c>
      <c r="E6" s="44" t="s">
        <v>649</v>
      </c>
      <c r="F6" s="44" t="s">
        <v>650</v>
      </c>
      <c r="G6" s="44" t="s">
        <v>651</v>
      </c>
      <c r="H6" s="44" t="s">
        <v>652</v>
      </c>
    </row>
    <row r="7" spans="1:8" ht="15" customHeight="1">
      <c r="A7" s="45" t="s">
        <v>653</v>
      </c>
      <c r="B7" s="45" t="s">
        <v>274</v>
      </c>
      <c r="C7" s="45" t="s">
        <v>277</v>
      </c>
      <c r="D7" s="46">
        <v>0.5</v>
      </c>
      <c r="E7" s="47">
        <f t="shared" ref="E7:E38" ca="1" si="0">IFERROR(INDEX(INDIRECT("'"&amp;$A7&amp;"'!$E$1:$E$45"),MATCH($B7,INDIRECT("'"&amp;$A7&amp;"'!$B$1:$B$45"),0)),"?")</f>
        <v>4</v>
      </c>
      <c r="F7" s="48">
        <f t="shared" ref="F7:F38" ca="1" si="1">IF(ISNUMBER(E7),$D7*E7,0)</f>
        <v>2</v>
      </c>
      <c r="G7" s="49" t="s">
        <v>654</v>
      </c>
      <c r="H7" s="50" t="s">
        <v>655</v>
      </c>
    </row>
    <row r="8" spans="1:8" ht="15" customHeight="1">
      <c r="A8" s="45" t="s">
        <v>653</v>
      </c>
      <c r="B8" s="45" t="s">
        <v>281</v>
      </c>
      <c r="C8" s="45" t="s">
        <v>277</v>
      </c>
      <c r="D8" s="46">
        <v>0.2</v>
      </c>
      <c r="E8" s="47">
        <f t="shared" ca="1" si="0"/>
        <v>3</v>
      </c>
      <c r="F8" s="48">
        <f t="shared" ca="1" si="1"/>
        <v>0.60000000000000009</v>
      </c>
      <c r="G8" s="49" t="s">
        <v>654</v>
      </c>
      <c r="H8" s="50" t="s">
        <v>656</v>
      </c>
    </row>
    <row r="9" spans="1:8" ht="15" customHeight="1">
      <c r="A9" s="45" t="s">
        <v>657</v>
      </c>
      <c r="B9" s="45" t="s">
        <v>473</v>
      </c>
      <c r="C9" s="45" t="s">
        <v>277</v>
      </c>
      <c r="D9" s="46">
        <v>0.2</v>
      </c>
      <c r="E9" s="47">
        <f t="shared" ca="1" si="0"/>
        <v>4</v>
      </c>
      <c r="F9" s="48">
        <f t="shared" ca="1" si="1"/>
        <v>0.8</v>
      </c>
      <c r="G9" s="49" t="s">
        <v>654</v>
      </c>
      <c r="H9" s="50" t="s">
        <v>658</v>
      </c>
    </row>
    <row r="10" spans="1:8" ht="15" customHeight="1">
      <c r="A10" s="45" t="s">
        <v>657</v>
      </c>
      <c r="B10" s="45" t="s">
        <v>477</v>
      </c>
      <c r="C10" s="45" t="s">
        <v>277</v>
      </c>
      <c r="D10" s="46">
        <v>0.33</v>
      </c>
      <c r="E10" s="47">
        <f t="shared" ca="1" si="0"/>
        <v>2</v>
      </c>
      <c r="F10" s="48">
        <f t="shared" ca="1" si="1"/>
        <v>0.66</v>
      </c>
      <c r="G10" s="49" t="s">
        <v>654</v>
      </c>
      <c r="H10" s="50" t="s">
        <v>659</v>
      </c>
    </row>
    <row r="11" spans="1:8" ht="15" customHeight="1">
      <c r="A11" s="45" t="s">
        <v>660</v>
      </c>
      <c r="B11" s="45" t="s">
        <v>344</v>
      </c>
      <c r="C11" s="45" t="s">
        <v>353</v>
      </c>
      <c r="D11" s="46">
        <v>0.33</v>
      </c>
      <c r="E11" s="47">
        <f t="shared" ca="1" si="0"/>
        <v>5</v>
      </c>
      <c r="F11" s="48">
        <f t="shared" ca="1" si="1"/>
        <v>1.6500000000000001</v>
      </c>
      <c r="G11" s="49" t="s">
        <v>654</v>
      </c>
      <c r="H11" s="50" t="s">
        <v>661</v>
      </c>
    </row>
    <row r="12" spans="1:8" ht="15" customHeight="1">
      <c r="A12" s="45" t="s">
        <v>660</v>
      </c>
      <c r="B12" s="45" t="s">
        <v>351</v>
      </c>
      <c r="C12" s="45" t="s">
        <v>353</v>
      </c>
      <c r="D12" s="46">
        <v>0.5</v>
      </c>
      <c r="E12" s="47">
        <f t="shared" ca="1" si="0"/>
        <v>4</v>
      </c>
      <c r="F12" s="48">
        <f t="shared" ca="1" si="1"/>
        <v>2</v>
      </c>
      <c r="G12" s="49" t="s">
        <v>654</v>
      </c>
      <c r="H12" s="50" t="s">
        <v>662</v>
      </c>
    </row>
    <row r="13" spans="1:8" ht="15" customHeight="1">
      <c r="A13" s="45" t="s">
        <v>663</v>
      </c>
      <c r="B13" s="45" t="s">
        <v>511</v>
      </c>
      <c r="C13" s="45" t="s">
        <v>353</v>
      </c>
      <c r="D13" s="46">
        <v>0.33</v>
      </c>
      <c r="E13" s="47">
        <f t="shared" ca="1" si="0"/>
        <v>3</v>
      </c>
      <c r="F13" s="48">
        <f t="shared" ca="1" si="1"/>
        <v>0.99</v>
      </c>
      <c r="G13" s="49" t="s">
        <v>654</v>
      </c>
      <c r="H13" s="50" t="s">
        <v>664</v>
      </c>
    </row>
    <row r="14" spans="1:8" ht="15" customHeight="1">
      <c r="A14" s="45" t="s">
        <v>663</v>
      </c>
      <c r="B14" s="45" t="s">
        <v>525</v>
      </c>
      <c r="C14" s="45" t="s">
        <v>353</v>
      </c>
      <c r="D14" s="46">
        <v>0.5</v>
      </c>
      <c r="E14" s="47">
        <f t="shared" ca="1" si="0"/>
        <v>3</v>
      </c>
      <c r="F14" s="48">
        <f t="shared" ca="1" si="1"/>
        <v>1.5</v>
      </c>
      <c r="G14" s="49" t="s">
        <v>654</v>
      </c>
      <c r="H14" s="50" t="s">
        <v>665</v>
      </c>
    </row>
    <row r="15" spans="1:8" ht="15" customHeight="1">
      <c r="A15" s="45" t="s">
        <v>666</v>
      </c>
      <c r="B15" s="45" t="s">
        <v>430</v>
      </c>
      <c r="C15" s="45" t="s">
        <v>353</v>
      </c>
      <c r="D15" s="46">
        <v>0.5</v>
      </c>
      <c r="E15" s="47">
        <f t="shared" ca="1" si="0"/>
        <v>3</v>
      </c>
      <c r="F15" s="48">
        <f t="shared" ca="1" si="1"/>
        <v>1.5</v>
      </c>
      <c r="G15" s="49" t="s">
        <v>667</v>
      </c>
      <c r="H15" s="50" t="s">
        <v>668</v>
      </c>
    </row>
    <row r="16" spans="1:8" ht="15" customHeight="1">
      <c r="A16" s="45" t="s">
        <v>669</v>
      </c>
      <c r="B16" s="45" t="s">
        <v>599</v>
      </c>
      <c r="C16" s="45" t="s">
        <v>303</v>
      </c>
      <c r="D16" s="46">
        <v>0.33</v>
      </c>
      <c r="E16" s="47">
        <f t="shared" ca="1" si="0"/>
        <v>4</v>
      </c>
      <c r="F16" s="48">
        <f t="shared" ca="1" si="1"/>
        <v>1.32</v>
      </c>
      <c r="G16" s="49" t="s">
        <v>654</v>
      </c>
      <c r="H16" s="50" t="s">
        <v>670</v>
      </c>
    </row>
    <row r="17" spans="1:8" ht="15" customHeight="1">
      <c r="A17" s="45" t="s">
        <v>657</v>
      </c>
      <c r="B17" s="45" t="s">
        <v>489</v>
      </c>
      <c r="C17" s="45" t="s">
        <v>303</v>
      </c>
      <c r="D17" s="46">
        <v>0.33</v>
      </c>
      <c r="E17" s="47">
        <f t="shared" ca="1" si="0"/>
        <v>4</v>
      </c>
      <c r="F17" s="48">
        <f t="shared" ca="1" si="1"/>
        <v>1.32</v>
      </c>
      <c r="G17" s="49" t="s">
        <v>654</v>
      </c>
      <c r="H17" s="50" t="s">
        <v>671</v>
      </c>
    </row>
    <row r="18" spans="1:8" ht="15" customHeight="1">
      <c r="A18" s="45" t="s">
        <v>657</v>
      </c>
      <c r="B18" s="45" t="s">
        <v>492</v>
      </c>
      <c r="C18" s="45" t="s">
        <v>303</v>
      </c>
      <c r="D18" s="46">
        <v>0</v>
      </c>
      <c r="E18" s="47">
        <f t="shared" ca="1" si="0"/>
        <v>4</v>
      </c>
      <c r="F18" s="48">
        <f t="shared" ca="1" si="1"/>
        <v>0</v>
      </c>
      <c r="G18" s="49" t="s">
        <v>654</v>
      </c>
      <c r="H18" s="50" t="s">
        <v>672</v>
      </c>
    </row>
    <row r="19" spans="1:8" ht="15" customHeight="1">
      <c r="A19" s="45" t="s">
        <v>660</v>
      </c>
      <c r="B19" s="45" t="s">
        <v>344</v>
      </c>
      <c r="C19" s="45" t="s">
        <v>437</v>
      </c>
      <c r="D19" s="46">
        <v>0.33</v>
      </c>
      <c r="E19" s="47">
        <f t="shared" ca="1" si="0"/>
        <v>5</v>
      </c>
      <c r="F19" s="48">
        <f t="shared" ca="1" si="1"/>
        <v>1.6500000000000001</v>
      </c>
      <c r="G19" s="49" t="s">
        <v>654</v>
      </c>
      <c r="H19" s="50" t="s">
        <v>673</v>
      </c>
    </row>
    <row r="20" spans="1:8" ht="15" customHeight="1">
      <c r="A20" s="45" t="s">
        <v>666</v>
      </c>
      <c r="B20" s="45" t="s">
        <v>430</v>
      </c>
      <c r="C20" s="45" t="s">
        <v>437</v>
      </c>
      <c r="D20" s="46">
        <v>0.5</v>
      </c>
      <c r="E20" s="47">
        <f t="shared" ca="1" si="0"/>
        <v>3</v>
      </c>
      <c r="F20" s="48">
        <f t="shared" ca="1" si="1"/>
        <v>1.5</v>
      </c>
      <c r="G20" s="49" t="s">
        <v>667</v>
      </c>
      <c r="H20" s="50" t="s">
        <v>674</v>
      </c>
    </row>
    <row r="21" spans="1:8" ht="15" customHeight="1">
      <c r="A21" s="45" t="s">
        <v>663</v>
      </c>
      <c r="B21" s="45" t="s">
        <v>525</v>
      </c>
      <c r="C21" s="45" t="s">
        <v>437</v>
      </c>
      <c r="D21" s="46">
        <v>0.5</v>
      </c>
      <c r="E21" s="47">
        <f t="shared" ca="1" si="0"/>
        <v>3</v>
      </c>
      <c r="F21" s="48">
        <f t="shared" ca="1" si="1"/>
        <v>1.5</v>
      </c>
      <c r="G21" s="49" t="s">
        <v>654</v>
      </c>
      <c r="H21" s="50" t="s">
        <v>675</v>
      </c>
    </row>
    <row r="22" spans="1:8" ht="15" customHeight="1">
      <c r="A22" s="45" t="s">
        <v>663</v>
      </c>
      <c r="B22" s="45" t="s">
        <v>511</v>
      </c>
      <c r="C22" s="45" t="s">
        <v>362</v>
      </c>
      <c r="D22" s="46">
        <v>0.33</v>
      </c>
      <c r="E22" s="47">
        <f t="shared" ca="1" si="0"/>
        <v>3</v>
      </c>
      <c r="F22" s="48">
        <f t="shared" ca="1" si="1"/>
        <v>0.99</v>
      </c>
      <c r="G22" s="49" t="s">
        <v>654</v>
      </c>
      <c r="H22" s="50" t="s">
        <v>676</v>
      </c>
    </row>
    <row r="23" spans="1:8" ht="15" customHeight="1">
      <c r="A23" s="45" t="s">
        <v>663</v>
      </c>
      <c r="B23" s="45" t="s">
        <v>516</v>
      </c>
      <c r="C23" s="45" t="s">
        <v>362</v>
      </c>
      <c r="D23" s="46">
        <v>0.33</v>
      </c>
      <c r="E23" s="47">
        <f t="shared" ca="1" si="0"/>
        <v>3</v>
      </c>
      <c r="F23" s="48">
        <f t="shared" ca="1" si="1"/>
        <v>0.99</v>
      </c>
      <c r="G23" s="52" t="s">
        <v>667</v>
      </c>
      <c r="H23" s="50" t="s">
        <v>677</v>
      </c>
    </row>
    <row r="24" spans="1:8" ht="15" customHeight="1">
      <c r="A24" s="45" t="s">
        <v>669</v>
      </c>
      <c r="B24" s="45" t="s">
        <v>516</v>
      </c>
      <c r="C24" s="45" t="s">
        <v>362</v>
      </c>
      <c r="D24" s="46">
        <v>0.33</v>
      </c>
      <c r="E24" s="47">
        <f t="shared" ca="1" si="0"/>
        <v>3</v>
      </c>
      <c r="F24" s="48">
        <f t="shared" ca="1" si="1"/>
        <v>0.99</v>
      </c>
      <c r="G24" s="52" t="s">
        <v>667</v>
      </c>
      <c r="H24" s="50" t="s">
        <v>678</v>
      </c>
    </row>
    <row r="25" spans="1:8" ht="15" customHeight="1">
      <c r="A25" s="45" t="s">
        <v>653</v>
      </c>
      <c r="B25" s="45" t="s">
        <v>296</v>
      </c>
      <c r="C25" s="45" t="s">
        <v>366</v>
      </c>
      <c r="D25" s="46">
        <v>0.5</v>
      </c>
      <c r="E25" s="47">
        <f t="shared" ca="1" si="0"/>
        <v>3</v>
      </c>
      <c r="F25" s="48">
        <f t="shared" ca="1" si="1"/>
        <v>1.5</v>
      </c>
      <c r="G25" s="49" t="s">
        <v>654</v>
      </c>
      <c r="H25" s="50" t="s">
        <v>679</v>
      </c>
    </row>
    <row r="26" spans="1:8" ht="15" customHeight="1">
      <c r="A26" s="45" t="s">
        <v>669</v>
      </c>
      <c r="B26" s="45" t="s">
        <v>537</v>
      </c>
      <c r="C26" s="45" t="s">
        <v>366</v>
      </c>
      <c r="D26" s="46">
        <v>0.5</v>
      </c>
      <c r="E26" s="47">
        <f t="shared" ca="1" si="0"/>
        <v>3</v>
      </c>
      <c r="F26" s="48">
        <f t="shared" ca="1" si="1"/>
        <v>1.5</v>
      </c>
      <c r="G26" s="52" t="s">
        <v>667</v>
      </c>
      <c r="H26" s="50" t="s">
        <v>680</v>
      </c>
    </row>
    <row r="27" spans="1:8" ht="15" customHeight="1">
      <c r="A27" s="45" t="s">
        <v>663</v>
      </c>
      <c r="B27" s="45" t="s">
        <v>537</v>
      </c>
      <c r="C27" s="45" t="s">
        <v>366</v>
      </c>
      <c r="D27" s="46">
        <v>0.5</v>
      </c>
      <c r="E27" s="47">
        <f t="shared" ca="1" si="0"/>
        <v>3</v>
      </c>
      <c r="F27" s="48">
        <f t="shared" ca="1" si="1"/>
        <v>1.5</v>
      </c>
      <c r="G27" s="49" t="s">
        <v>654</v>
      </c>
      <c r="H27" s="51" t="s">
        <v>681</v>
      </c>
    </row>
    <row r="28" spans="1:8" ht="15" customHeight="1">
      <c r="A28" s="45" t="s">
        <v>657</v>
      </c>
      <c r="B28" s="45" t="s">
        <v>473</v>
      </c>
      <c r="C28" s="45" t="s">
        <v>275</v>
      </c>
      <c r="D28" s="46">
        <v>0.5</v>
      </c>
      <c r="E28" s="47">
        <f t="shared" ca="1" si="0"/>
        <v>4</v>
      </c>
      <c r="F28" s="48">
        <f t="shared" ca="1" si="1"/>
        <v>2</v>
      </c>
      <c r="G28" s="49" t="s">
        <v>654</v>
      </c>
      <c r="H28" s="50" t="s">
        <v>682</v>
      </c>
    </row>
    <row r="29" spans="1:8" ht="15" customHeight="1">
      <c r="A29" s="45" t="s">
        <v>657</v>
      </c>
      <c r="B29" s="45" t="s">
        <v>477</v>
      </c>
      <c r="C29" s="45" t="s">
        <v>290</v>
      </c>
      <c r="D29" s="46">
        <v>0.5</v>
      </c>
      <c r="E29" s="47">
        <f t="shared" ca="1" si="0"/>
        <v>2</v>
      </c>
      <c r="F29" s="48">
        <f t="shared" ca="1" si="1"/>
        <v>1</v>
      </c>
      <c r="G29" s="49" t="s">
        <v>654</v>
      </c>
      <c r="H29" s="50" t="s">
        <v>683</v>
      </c>
    </row>
    <row r="30" spans="1:8" ht="15" customHeight="1">
      <c r="A30" s="45" t="s">
        <v>657</v>
      </c>
      <c r="B30" s="45" t="s">
        <v>418</v>
      </c>
      <c r="C30" s="45" t="s">
        <v>290</v>
      </c>
      <c r="D30" s="46">
        <v>0.5</v>
      </c>
      <c r="E30" s="47">
        <f t="shared" ca="1" si="0"/>
        <v>0</v>
      </c>
      <c r="F30" s="48">
        <f t="shared" ca="1" si="1"/>
        <v>0</v>
      </c>
      <c r="G30" s="49" t="s">
        <v>654</v>
      </c>
      <c r="H30" s="50" t="s">
        <v>683</v>
      </c>
    </row>
    <row r="31" spans="1:8" ht="15" customHeight="1">
      <c r="A31" s="45" t="s">
        <v>684</v>
      </c>
      <c r="B31" s="45" t="s">
        <v>564</v>
      </c>
      <c r="C31" s="45" t="s">
        <v>392</v>
      </c>
      <c r="D31" s="46">
        <v>0.2</v>
      </c>
      <c r="E31" s="47">
        <f t="shared" ca="1" si="0"/>
        <v>4</v>
      </c>
      <c r="F31" s="48">
        <f t="shared" ca="1" si="1"/>
        <v>0.8</v>
      </c>
      <c r="G31" s="49" t="s">
        <v>654</v>
      </c>
      <c r="H31" s="50" t="s">
        <v>685</v>
      </c>
    </row>
    <row r="32" spans="1:8" ht="15" customHeight="1">
      <c r="A32" s="45" t="s">
        <v>684</v>
      </c>
      <c r="B32" s="45" t="s">
        <v>558</v>
      </c>
      <c r="C32" s="45" t="s">
        <v>392</v>
      </c>
      <c r="D32" s="46">
        <v>0.33</v>
      </c>
      <c r="E32" s="47">
        <f t="shared" ca="1" si="0"/>
        <v>1</v>
      </c>
      <c r="F32" s="48">
        <f t="shared" ca="1" si="1"/>
        <v>0.33</v>
      </c>
      <c r="G32" s="49" t="s">
        <v>654</v>
      </c>
      <c r="H32" s="50" t="s">
        <v>686</v>
      </c>
    </row>
    <row r="33" spans="1:8" ht="15" customHeight="1">
      <c r="A33" s="45" t="s">
        <v>653</v>
      </c>
      <c r="B33" s="45" t="s">
        <v>320</v>
      </c>
      <c r="C33" s="45" t="s">
        <v>392</v>
      </c>
      <c r="D33" s="46">
        <v>0.5</v>
      </c>
      <c r="E33" s="47">
        <f t="shared" ca="1" si="0"/>
        <v>3</v>
      </c>
      <c r="F33" s="48">
        <f t="shared" ca="1" si="1"/>
        <v>1.5</v>
      </c>
      <c r="G33" s="49" t="s">
        <v>654</v>
      </c>
      <c r="H33" s="50" t="s">
        <v>687</v>
      </c>
    </row>
    <row r="34" spans="1:8" ht="15" customHeight="1">
      <c r="A34" s="45" t="s">
        <v>688</v>
      </c>
      <c r="B34" s="45" t="s">
        <v>376</v>
      </c>
      <c r="C34" s="45" t="s">
        <v>383</v>
      </c>
      <c r="D34" s="46">
        <v>0.5</v>
      </c>
      <c r="E34" s="47">
        <f t="shared" ca="1" si="0"/>
        <v>5</v>
      </c>
      <c r="F34" s="48">
        <f t="shared" ca="1" si="1"/>
        <v>2.5</v>
      </c>
      <c r="G34" s="49" t="s">
        <v>654</v>
      </c>
      <c r="H34" s="50" t="s">
        <v>689</v>
      </c>
    </row>
    <row r="35" spans="1:8" ht="15" customHeight="1">
      <c r="A35" s="45" t="s">
        <v>688</v>
      </c>
      <c r="B35" s="45" t="s">
        <v>382</v>
      </c>
      <c r="C35" s="45" t="s">
        <v>383</v>
      </c>
      <c r="D35" s="46">
        <v>0.33</v>
      </c>
      <c r="E35" s="47">
        <f t="shared" ca="1" si="0"/>
        <v>3</v>
      </c>
      <c r="F35" s="48">
        <f t="shared" ca="1" si="1"/>
        <v>0.99</v>
      </c>
      <c r="G35" s="49" t="s">
        <v>654</v>
      </c>
      <c r="H35" s="50" t="s">
        <v>690</v>
      </c>
    </row>
    <row r="36" spans="1:8" ht="15" customHeight="1">
      <c r="A36" s="45" t="s">
        <v>684</v>
      </c>
      <c r="B36" s="45" t="s">
        <v>558</v>
      </c>
      <c r="C36" s="45" t="s">
        <v>383</v>
      </c>
      <c r="D36" s="46">
        <v>0.5</v>
      </c>
      <c r="E36" s="47">
        <f t="shared" ca="1" si="0"/>
        <v>1</v>
      </c>
      <c r="F36" s="48">
        <f t="shared" ca="1" si="1"/>
        <v>0.5</v>
      </c>
      <c r="G36" s="49" t="s">
        <v>654</v>
      </c>
      <c r="H36" s="50" t="s">
        <v>691</v>
      </c>
    </row>
    <row r="37" spans="1:8" ht="15" customHeight="1">
      <c r="A37" s="45" t="s">
        <v>684</v>
      </c>
      <c r="B37" s="45" t="s">
        <v>567</v>
      </c>
      <c r="C37" s="45" t="s">
        <v>383</v>
      </c>
      <c r="D37" s="46">
        <v>0.5</v>
      </c>
      <c r="E37" s="47">
        <f t="shared" ca="1" si="0"/>
        <v>3</v>
      </c>
      <c r="F37" s="48">
        <f t="shared" ca="1" si="1"/>
        <v>1.5</v>
      </c>
      <c r="G37" s="49" t="s">
        <v>654</v>
      </c>
      <c r="H37" s="50" t="s">
        <v>692</v>
      </c>
    </row>
    <row r="38" spans="1:8" ht="15" customHeight="1">
      <c r="A38" s="45" t="s">
        <v>653</v>
      </c>
      <c r="B38" s="45" t="s">
        <v>320</v>
      </c>
      <c r="C38" s="45" t="s">
        <v>383</v>
      </c>
      <c r="D38" s="46">
        <v>0.5</v>
      </c>
      <c r="E38" s="47">
        <f t="shared" ca="1" si="0"/>
        <v>3</v>
      </c>
      <c r="F38" s="48">
        <f t="shared" ca="1" si="1"/>
        <v>1.5</v>
      </c>
      <c r="G38" s="49" t="s">
        <v>654</v>
      </c>
      <c r="H38" s="50" t="s">
        <v>693</v>
      </c>
    </row>
    <row r="39" spans="1:8" ht="15" customHeight="1">
      <c r="A39" s="45" t="s">
        <v>688</v>
      </c>
      <c r="B39" s="45" t="s">
        <v>376</v>
      </c>
      <c r="C39" s="45" t="s">
        <v>321</v>
      </c>
      <c r="D39" s="46">
        <v>0</v>
      </c>
      <c r="E39" s="47">
        <f t="shared" ref="E39:E75" ca="1" si="2">IFERROR(INDEX(INDIRECT("'"&amp;$A39&amp;"'!$E$1:$E$45"),MATCH($B39,INDIRECT("'"&amp;$A39&amp;"'!$B$1:$B$45"),0)),"?")</f>
        <v>5</v>
      </c>
      <c r="F39" s="48">
        <f t="shared" ref="F39:F70" ca="1" si="3">IF(ISNUMBER(E39),$D39*E39,0)</f>
        <v>0</v>
      </c>
      <c r="G39" s="49" t="s">
        <v>654</v>
      </c>
      <c r="H39" s="50" t="s">
        <v>694</v>
      </c>
    </row>
    <row r="40" spans="1:8" ht="15" customHeight="1">
      <c r="A40" s="45" t="s">
        <v>657</v>
      </c>
      <c r="B40" s="45" t="s">
        <v>492</v>
      </c>
      <c r="C40" s="45" t="s">
        <v>321</v>
      </c>
      <c r="D40" s="46">
        <v>0</v>
      </c>
      <c r="E40" s="47">
        <f t="shared" ca="1" si="2"/>
        <v>4</v>
      </c>
      <c r="F40" s="48">
        <f t="shared" ca="1" si="3"/>
        <v>0</v>
      </c>
      <c r="G40" s="49" t="s">
        <v>654</v>
      </c>
      <c r="H40" s="50" t="s">
        <v>695</v>
      </c>
    </row>
    <row r="41" spans="1:8" ht="15" customHeight="1">
      <c r="A41" s="45" t="s">
        <v>684</v>
      </c>
      <c r="B41" s="45" t="s">
        <v>567</v>
      </c>
      <c r="C41" s="45" t="s">
        <v>321</v>
      </c>
      <c r="D41" s="46">
        <v>0.5</v>
      </c>
      <c r="E41" s="47">
        <f t="shared" ca="1" si="2"/>
        <v>3</v>
      </c>
      <c r="F41" s="48">
        <f t="shared" ca="1" si="3"/>
        <v>1.5</v>
      </c>
      <c r="G41" s="49" t="s">
        <v>654</v>
      </c>
      <c r="H41" s="51" t="s">
        <v>696</v>
      </c>
    </row>
    <row r="42" spans="1:8" ht="15" customHeight="1">
      <c r="A42" s="45" t="s">
        <v>688</v>
      </c>
      <c r="B42" s="45" t="s">
        <v>386</v>
      </c>
      <c r="C42" s="45" t="s">
        <v>377</v>
      </c>
      <c r="D42" s="46">
        <v>0.5</v>
      </c>
      <c r="E42" s="47">
        <f t="shared" ca="1" si="2"/>
        <v>3</v>
      </c>
      <c r="F42" s="48">
        <f t="shared" ca="1" si="3"/>
        <v>1.5</v>
      </c>
      <c r="G42" s="49" t="s">
        <v>654</v>
      </c>
      <c r="H42" s="50" t="s">
        <v>697</v>
      </c>
    </row>
    <row r="43" spans="1:8" ht="15" customHeight="1">
      <c r="A43" s="45" t="s">
        <v>688</v>
      </c>
      <c r="B43" s="45" t="s">
        <v>386</v>
      </c>
      <c r="C43" s="45" t="s">
        <v>401</v>
      </c>
      <c r="D43" s="46">
        <v>0.33</v>
      </c>
      <c r="E43" s="47">
        <f t="shared" ca="1" si="2"/>
        <v>3</v>
      </c>
      <c r="F43" s="48">
        <f t="shared" ca="1" si="3"/>
        <v>0.99</v>
      </c>
      <c r="G43" s="49" t="s">
        <v>654</v>
      </c>
      <c r="H43" s="50" t="s">
        <v>698</v>
      </c>
    </row>
    <row r="44" spans="1:8" ht="15" customHeight="1">
      <c r="A44" s="45" t="s">
        <v>684</v>
      </c>
      <c r="B44" s="45" t="s">
        <v>558</v>
      </c>
      <c r="C44" s="45" t="s">
        <v>275</v>
      </c>
      <c r="D44" s="46">
        <v>0</v>
      </c>
      <c r="E44" s="47">
        <f t="shared" ca="1" si="2"/>
        <v>1</v>
      </c>
      <c r="F44" s="48">
        <f t="shared" ca="1" si="3"/>
        <v>0</v>
      </c>
      <c r="G44" s="52" t="s">
        <v>667</v>
      </c>
      <c r="H44" s="50" t="s">
        <v>699</v>
      </c>
    </row>
    <row r="45" spans="1:8" ht="15" customHeight="1">
      <c r="A45" s="45" t="s">
        <v>688</v>
      </c>
      <c r="B45" s="45" t="s">
        <v>376</v>
      </c>
      <c r="C45" s="45" t="s">
        <v>396</v>
      </c>
      <c r="D45" s="46">
        <v>0.33</v>
      </c>
      <c r="E45" s="47">
        <f t="shared" ca="1" si="2"/>
        <v>5</v>
      </c>
      <c r="F45" s="48">
        <f t="shared" ca="1" si="3"/>
        <v>1.6500000000000001</v>
      </c>
      <c r="G45" s="52" t="s">
        <v>667</v>
      </c>
      <c r="H45" s="50" t="s">
        <v>700</v>
      </c>
    </row>
    <row r="46" spans="1:8" ht="15" customHeight="1">
      <c r="A46" s="45" t="s">
        <v>688</v>
      </c>
      <c r="B46" s="45" t="s">
        <v>382</v>
      </c>
      <c r="C46" s="45" t="s">
        <v>396</v>
      </c>
      <c r="D46" s="46">
        <v>0.33</v>
      </c>
      <c r="E46" s="47">
        <f t="shared" ca="1" si="2"/>
        <v>3</v>
      </c>
      <c r="F46" s="48">
        <f t="shared" ca="1" si="3"/>
        <v>0.99</v>
      </c>
      <c r="G46" s="52" t="s">
        <v>667</v>
      </c>
      <c r="H46" s="50" t="s">
        <v>701</v>
      </c>
    </row>
    <row r="47" spans="1:8" ht="15" customHeight="1">
      <c r="A47" s="45" t="s">
        <v>688</v>
      </c>
      <c r="B47" s="45" t="s">
        <v>386</v>
      </c>
      <c r="C47" s="45" t="s">
        <v>396</v>
      </c>
      <c r="D47" s="46">
        <v>0.33</v>
      </c>
      <c r="E47" s="47">
        <f t="shared" ca="1" si="2"/>
        <v>3</v>
      </c>
      <c r="F47" s="48">
        <f t="shared" ca="1" si="3"/>
        <v>0.99</v>
      </c>
      <c r="G47" s="52" t="s">
        <v>667</v>
      </c>
      <c r="H47" s="50" t="s">
        <v>702</v>
      </c>
    </row>
    <row r="48" spans="1:8" ht="15" customHeight="1">
      <c r="A48" s="45" t="s">
        <v>660</v>
      </c>
      <c r="B48" s="45" t="s">
        <v>344</v>
      </c>
      <c r="C48" s="45" t="s">
        <v>357</v>
      </c>
      <c r="D48" s="46">
        <v>0</v>
      </c>
      <c r="E48" s="47">
        <f t="shared" ca="1" si="2"/>
        <v>5</v>
      </c>
      <c r="F48" s="48">
        <f t="shared" ca="1" si="3"/>
        <v>0</v>
      </c>
      <c r="G48" s="52" t="s">
        <v>667</v>
      </c>
      <c r="H48" s="50" t="s">
        <v>703</v>
      </c>
    </row>
    <row r="49" spans="1:8" ht="15" customHeight="1">
      <c r="A49" s="45" t="s">
        <v>663</v>
      </c>
      <c r="B49" s="45" t="s">
        <v>525</v>
      </c>
      <c r="C49" s="45" t="s">
        <v>345</v>
      </c>
      <c r="D49" s="46">
        <v>0</v>
      </c>
      <c r="E49" s="47">
        <f t="shared" ca="1" si="2"/>
        <v>3</v>
      </c>
      <c r="F49" s="48">
        <f t="shared" ca="1" si="3"/>
        <v>0</v>
      </c>
      <c r="G49" s="52" t="s">
        <v>667</v>
      </c>
      <c r="H49" s="50" t="s">
        <v>704</v>
      </c>
    </row>
    <row r="50" spans="1:8" ht="15" customHeight="1">
      <c r="A50" s="45" t="s">
        <v>657</v>
      </c>
      <c r="B50" s="45" t="s">
        <v>473</v>
      </c>
      <c r="C50" s="45" t="s">
        <v>415</v>
      </c>
      <c r="D50" s="46">
        <v>0</v>
      </c>
      <c r="E50" s="47">
        <f t="shared" ca="1" si="2"/>
        <v>4</v>
      </c>
      <c r="F50" s="48">
        <f t="shared" ca="1" si="3"/>
        <v>0</v>
      </c>
      <c r="G50" s="52" t="s">
        <v>667</v>
      </c>
      <c r="H50" s="50" t="s">
        <v>705</v>
      </c>
    </row>
    <row r="51" spans="1:8" ht="15" customHeight="1">
      <c r="A51" s="45" t="s">
        <v>663</v>
      </c>
      <c r="B51" s="45" t="s">
        <v>511</v>
      </c>
      <c r="C51" s="45" t="s">
        <v>415</v>
      </c>
      <c r="D51" s="46">
        <v>0.2</v>
      </c>
      <c r="E51" s="47">
        <f t="shared" ca="1" si="2"/>
        <v>3</v>
      </c>
      <c r="F51" s="48">
        <f t="shared" ca="1" si="3"/>
        <v>0.60000000000000009</v>
      </c>
      <c r="G51" s="52" t="s">
        <v>667</v>
      </c>
      <c r="H51" s="50" t="s">
        <v>706</v>
      </c>
    </row>
    <row r="52" spans="1:8" ht="15" customHeight="1">
      <c r="A52" s="45" t="s">
        <v>684</v>
      </c>
      <c r="B52" s="45" t="s">
        <v>558</v>
      </c>
      <c r="C52" s="45" t="s">
        <v>415</v>
      </c>
      <c r="D52" s="46">
        <v>0</v>
      </c>
      <c r="E52" s="47">
        <f t="shared" ca="1" si="2"/>
        <v>1</v>
      </c>
      <c r="F52" s="48">
        <f t="shared" ca="1" si="3"/>
        <v>0</v>
      </c>
      <c r="G52" s="52" t="s">
        <v>667</v>
      </c>
      <c r="H52" s="50" t="s">
        <v>707</v>
      </c>
    </row>
    <row r="53" spans="1:8" ht="15" customHeight="1">
      <c r="A53" s="45" t="s">
        <v>653</v>
      </c>
      <c r="B53" s="45" t="s">
        <v>274</v>
      </c>
      <c r="C53" s="45" t="s">
        <v>426</v>
      </c>
      <c r="D53" s="46">
        <v>0.2</v>
      </c>
      <c r="E53" s="47">
        <f t="shared" ca="1" si="2"/>
        <v>4</v>
      </c>
      <c r="F53" s="48">
        <f t="shared" ca="1" si="3"/>
        <v>0.8</v>
      </c>
      <c r="G53" s="52" t="s">
        <v>667</v>
      </c>
      <c r="H53" s="50" t="s">
        <v>708</v>
      </c>
    </row>
    <row r="54" spans="1:8" ht="15" customHeight="1">
      <c r="A54" s="45" t="s">
        <v>657</v>
      </c>
      <c r="B54" s="45" t="s">
        <v>473</v>
      </c>
      <c r="C54" s="45" t="s">
        <v>426</v>
      </c>
      <c r="D54" s="46">
        <v>0.2</v>
      </c>
      <c r="E54" s="47">
        <f t="shared" ca="1" si="2"/>
        <v>4</v>
      </c>
      <c r="F54" s="48">
        <f t="shared" ca="1" si="3"/>
        <v>0.8</v>
      </c>
      <c r="G54" s="52" t="s">
        <v>667</v>
      </c>
      <c r="H54" s="50" t="s">
        <v>709</v>
      </c>
    </row>
    <row r="55" spans="1:8" ht="15" customHeight="1">
      <c r="A55" s="45" t="s">
        <v>660</v>
      </c>
      <c r="B55" s="45" t="s">
        <v>365</v>
      </c>
      <c r="C55" s="45" t="s">
        <v>290</v>
      </c>
      <c r="D55" s="46">
        <v>0.33</v>
      </c>
      <c r="E55" s="47">
        <f t="shared" ca="1" si="2"/>
        <v>5</v>
      </c>
      <c r="F55" s="48">
        <f t="shared" ca="1" si="3"/>
        <v>1.6500000000000001</v>
      </c>
      <c r="G55" s="52" t="s">
        <v>667</v>
      </c>
      <c r="H55" s="50" t="s">
        <v>710</v>
      </c>
    </row>
    <row r="56" spans="1:8" ht="15" customHeight="1">
      <c r="A56" s="45" t="s">
        <v>684</v>
      </c>
      <c r="B56" s="45" t="s">
        <v>382</v>
      </c>
      <c r="C56" s="45" t="s">
        <v>383</v>
      </c>
      <c r="D56" s="46">
        <v>0.33</v>
      </c>
      <c r="E56" s="47">
        <f t="shared" ca="1" si="2"/>
        <v>3</v>
      </c>
      <c r="F56" s="48">
        <f t="shared" ca="1" si="3"/>
        <v>0.99</v>
      </c>
      <c r="G56" s="52" t="s">
        <v>654</v>
      </c>
      <c r="H56" s="50" t="s">
        <v>711</v>
      </c>
    </row>
    <row r="57" spans="1:8" ht="15" customHeight="1">
      <c r="A57" s="45" t="s">
        <v>684</v>
      </c>
      <c r="B57" s="45" t="s">
        <v>382</v>
      </c>
      <c r="C57" s="45" t="s">
        <v>396</v>
      </c>
      <c r="D57" s="46">
        <v>0.33</v>
      </c>
      <c r="E57" s="47">
        <f t="shared" ca="1" si="2"/>
        <v>3</v>
      </c>
      <c r="F57" s="48">
        <f t="shared" ca="1" si="3"/>
        <v>0.99</v>
      </c>
      <c r="G57" s="52" t="s">
        <v>667</v>
      </c>
      <c r="H57" s="50" t="s">
        <v>712</v>
      </c>
    </row>
    <row r="58" spans="1:8" ht="15" customHeight="1">
      <c r="A58" s="45" t="s">
        <v>663</v>
      </c>
      <c r="B58" s="45" t="s">
        <v>516</v>
      </c>
      <c r="C58" s="45" t="s">
        <v>353</v>
      </c>
      <c r="D58" s="46">
        <v>0.5</v>
      </c>
      <c r="E58" s="47">
        <f t="shared" ca="1" si="2"/>
        <v>3</v>
      </c>
      <c r="F58" s="48">
        <f t="shared" ca="1" si="3"/>
        <v>1.5</v>
      </c>
      <c r="G58" s="52" t="s">
        <v>667</v>
      </c>
      <c r="H58" s="50" t="s">
        <v>713</v>
      </c>
    </row>
    <row r="59" spans="1:8" ht="15" customHeight="1">
      <c r="A59" s="45" t="s">
        <v>669</v>
      </c>
      <c r="B59" s="45" t="s">
        <v>516</v>
      </c>
      <c r="C59" s="45" t="s">
        <v>353</v>
      </c>
      <c r="D59" s="46">
        <v>0.5</v>
      </c>
      <c r="E59" s="47">
        <f t="shared" ca="1" si="2"/>
        <v>3</v>
      </c>
      <c r="F59" s="48">
        <f t="shared" ca="1" si="3"/>
        <v>1.5</v>
      </c>
      <c r="G59" s="52" t="s">
        <v>667</v>
      </c>
      <c r="H59" s="50" t="s">
        <v>714</v>
      </c>
    </row>
    <row r="60" spans="1:8" ht="15" customHeight="1">
      <c r="A60" s="45" t="s">
        <v>663</v>
      </c>
      <c r="B60" s="45" t="s">
        <v>522</v>
      </c>
      <c r="C60" s="45" t="s">
        <v>353</v>
      </c>
      <c r="D60" s="46">
        <v>0.5</v>
      </c>
      <c r="E60" s="47">
        <f t="shared" ca="1" si="2"/>
        <v>3</v>
      </c>
      <c r="F60" s="48">
        <f t="shared" ca="1" si="3"/>
        <v>1.5</v>
      </c>
      <c r="G60" s="52" t="s">
        <v>667</v>
      </c>
      <c r="H60" s="50" t="s">
        <v>715</v>
      </c>
    </row>
    <row r="61" spans="1:8" ht="15" customHeight="1">
      <c r="A61" s="45" t="s">
        <v>660</v>
      </c>
      <c r="B61" s="45" t="s">
        <v>351</v>
      </c>
      <c r="C61" s="45" t="s">
        <v>437</v>
      </c>
      <c r="D61" s="46">
        <v>0.2</v>
      </c>
      <c r="E61" s="47">
        <f t="shared" ca="1" si="2"/>
        <v>4</v>
      </c>
      <c r="F61" s="48">
        <f t="shared" ca="1" si="3"/>
        <v>0.8</v>
      </c>
      <c r="G61" s="52" t="s">
        <v>667</v>
      </c>
      <c r="H61" s="50" t="s">
        <v>716</v>
      </c>
    </row>
    <row r="62" spans="1:8" ht="15" customHeight="1">
      <c r="A62" s="45" t="s">
        <v>663</v>
      </c>
      <c r="B62" s="45" t="s">
        <v>522</v>
      </c>
      <c r="C62" s="45" t="s">
        <v>437</v>
      </c>
      <c r="D62" s="46">
        <v>0.33</v>
      </c>
      <c r="E62" s="47">
        <f t="shared" ca="1" si="2"/>
        <v>3</v>
      </c>
      <c r="F62" s="48">
        <f t="shared" ca="1" si="3"/>
        <v>0.99</v>
      </c>
      <c r="G62" s="52" t="s">
        <v>667</v>
      </c>
      <c r="H62" s="50" t="s">
        <v>717</v>
      </c>
    </row>
    <row r="63" spans="1:8" ht="15" customHeight="1">
      <c r="A63" s="45" t="s">
        <v>666</v>
      </c>
      <c r="B63" s="45" t="s">
        <v>447</v>
      </c>
      <c r="C63" s="45" t="s">
        <v>277</v>
      </c>
      <c r="D63" s="46">
        <v>0.2</v>
      </c>
      <c r="E63" s="47">
        <f t="shared" ca="1" si="2"/>
        <v>4</v>
      </c>
      <c r="F63" s="48">
        <f t="shared" ca="1" si="3"/>
        <v>0.8</v>
      </c>
      <c r="G63" s="52" t="s">
        <v>667</v>
      </c>
      <c r="H63" s="50" t="s">
        <v>718</v>
      </c>
    </row>
    <row r="64" spans="1:8" ht="15" customHeight="1">
      <c r="A64" s="45" t="s">
        <v>666</v>
      </c>
      <c r="B64" s="45" t="s">
        <v>418</v>
      </c>
      <c r="C64" s="45" t="s">
        <v>290</v>
      </c>
      <c r="D64" s="46">
        <v>0.33</v>
      </c>
      <c r="E64" s="47">
        <f t="shared" ca="1" si="2"/>
        <v>3</v>
      </c>
      <c r="F64" s="48">
        <f t="shared" ca="1" si="3"/>
        <v>0.99</v>
      </c>
      <c r="G64" s="52" t="s">
        <v>667</v>
      </c>
      <c r="H64" s="50" t="s">
        <v>719</v>
      </c>
    </row>
    <row r="65" spans="1:8" ht="15" customHeight="1">
      <c r="A65" s="45" t="s">
        <v>666</v>
      </c>
      <c r="B65" s="45" t="s">
        <v>414</v>
      </c>
      <c r="C65" s="45" t="s">
        <v>415</v>
      </c>
      <c r="D65" s="46">
        <v>0.33</v>
      </c>
      <c r="E65" s="47">
        <f t="shared" ca="1" si="2"/>
        <v>3</v>
      </c>
      <c r="F65" s="48">
        <f t="shared" ca="1" si="3"/>
        <v>0.99</v>
      </c>
      <c r="G65" s="52" t="s">
        <v>667</v>
      </c>
      <c r="H65" s="50" t="s">
        <v>720</v>
      </c>
    </row>
    <row r="66" spans="1:8" ht="15" customHeight="1">
      <c r="A66" s="45" t="s">
        <v>666</v>
      </c>
      <c r="B66" s="45" t="s">
        <v>422</v>
      </c>
      <c r="C66" s="45" t="s">
        <v>290</v>
      </c>
      <c r="D66" s="46">
        <v>0.33</v>
      </c>
      <c r="E66" s="47">
        <f t="shared" ca="1" si="2"/>
        <v>3</v>
      </c>
      <c r="F66" s="48">
        <f t="shared" ca="1" si="3"/>
        <v>0.99</v>
      </c>
      <c r="G66" s="52" t="s">
        <v>667</v>
      </c>
      <c r="H66" s="50" t="s">
        <v>721</v>
      </c>
    </row>
    <row r="67" spans="1:8" ht="15" customHeight="1">
      <c r="A67" s="45" t="s">
        <v>666</v>
      </c>
      <c r="B67" s="45" t="s">
        <v>301</v>
      </c>
      <c r="C67" s="45" t="s">
        <v>303</v>
      </c>
      <c r="D67" s="46">
        <v>0.33</v>
      </c>
      <c r="E67" s="47">
        <f t="shared" ca="1" si="2"/>
        <v>3</v>
      </c>
      <c r="F67" s="48">
        <f t="shared" ca="1" si="3"/>
        <v>0.99</v>
      </c>
      <c r="G67" s="52" t="s">
        <v>667</v>
      </c>
      <c r="H67" s="50" t="s">
        <v>722</v>
      </c>
    </row>
    <row r="68" spans="1:8" ht="15" customHeight="1">
      <c r="A68" s="45" t="s">
        <v>684</v>
      </c>
      <c r="B68" s="45" t="s">
        <v>562</v>
      </c>
      <c r="C68" s="45" t="s">
        <v>392</v>
      </c>
      <c r="D68" s="46">
        <v>0.33</v>
      </c>
      <c r="E68" s="47">
        <f t="shared" ca="1" si="2"/>
        <v>2</v>
      </c>
      <c r="F68" s="48">
        <f t="shared" ca="1" si="3"/>
        <v>0.66</v>
      </c>
      <c r="G68" s="49" t="s">
        <v>654</v>
      </c>
      <c r="H68" s="50" t="s">
        <v>723</v>
      </c>
    </row>
    <row r="69" spans="1:8">
      <c r="A69" s="45" t="s">
        <v>684</v>
      </c>
      <c r="B69" s="45" t="s">
        <v>562</v>
      </c>
      <c r="C69" s="45" t="s">
        <v>383</v>
      </c>
      <c r="D69" s="46">
        <v>0.5</v>
      </c>
      <c r="E69" s="47">
        <f t="shared" ca="1" si="2"/>
        <v>2</v>
      </c>
      <c r="F69" s="48">
        <f t="shared" ca="1" si="3"/>
        <v>1</v>
      </c>
      <c r="G69" s="49" t="s">
        <v>654</v>
      </c>
      <c r="H69" s="50" t="s">
        <v>724</v>
      </c>
    </row>
    <row r="70" spans="1:8">
      <c r="A70" s="45" t="s">
        <v>684</v>
      </c>
      <c r="B70" s="45" t="s">
        <v>562</v>
      </c>
      <c r="C70" s="45" t="s">
        <v>415</v>
      </c>
      <c r="D70" s="46">
        <v>0</v>
      </c>
      <c r="E70" s="47">
        <f t="shared" ca="1" si="2"/>
        <v>2</v>
      </c>
      <c r="F70" s="48">
        <f t="shared" ca="1" si="3"/>
        <v>0</v>
      </c>
      <c r="G70" s="49" t="s">
        <v>667</v>
      </c>
      <c r="H70" s="50" t="s">
        <v>725</v>
      </c>
    </row>
    <row r="71" spans="1:8">
      <c r="A71" t="s">
        <v>653</v>
      </c>
      <c r="B71" t="s">
        <v>289</v>
      </c>
      <c r="C71" t="s">
        <v>275</v>
      </c>
      <c r="D71">
        <v>0.5</v>
      </c>
      <c r="E71">
        <f t="shared" ca="1" si="2"/>
        <v>4</v>
      </c>
      <c r="F71">
        <f t="shared" ref="F71:F75" ca="1" si="4">IF(ISNUMBER(E71),$D71*E71,0)</f>
        <v>2</v>
      </c>
      <c r="G71" t="s">
        <v>667</v>
      </c>
      <c r="H71" t="s">
        <v>726</v>
      </c>
    </row>
    <row r="72" spans="1:8">
      <c r="A72" t="s">
        <v>653</v>
      </c>
      <c r="B72" t="s">
        <v>289</v>
      </c>
      <c r="C72" t="s">
        <v>277</v>
      </c>
      <c r="D72">
        <v>0.2</v>
      </c>
      <c r="E72">
        <f t="shared" ca="1" si="2"/>
        <v>4</v>
      </c>
      <c r="F72">
        <f t="shared" ca="1" si="4"/>
        <v>0.8</v>
      </c>
      <c r="G72" t="s">
        <v>667</v>
      </c>
      <c r="H72" t="s">
        <v>727</v>
      </c>
    </row>
    <row r="73" spans="1:8">
      <c r="A73" t="s">
        <v>653</v>
      </c>
      <c r="B73" t="s">
        <v>285</v>
      </c>
      <c r="C73" t="s">
        <v>277</v>
      </c>
      <c r="D73">
        <v>0.33</v>
      </c>
      <c r="E73">
        <f t="shared" ca="1" si="2"/>
        <v>2</v>
      </c>
      <c r="F73">
        <f t="shared" ca="1" si="4"/>
        <v>0.66</v>
      </c>
      <c r="G73" t="s">
        <v>654</v>
      </c>
      <c r="H73" t="s">
        <v>728</v>
      </c>
    </row>
    <row r="74" spans="1:8">
      <c r="A74" t="s">
        <v>657</v>
      </c>
      <c r="B74" t="s">
        <v>480</v>
      </c>
      <c r="C74" t="s">
        <v>277</v>
      </c>
      <c r="D74">
        <v>0.33</v>
      </c>
      <c r="E74">
        <f t="shared" ca="1" si="2"/>
        <v>2</v>
      </c>
      <c r="F74">
        <f t="shared" ca="1" si="4"/>
        <v>0.66</v>
      </c>
      <c r="G74" t="s">
        <v>654</v>
      </c>
      <c r="H74" t="s">
        <v>729</v>
      </c>
    </row>
    <row r="75" spans="1:8">
      <c r="A75" t="s">
        <v>657</v>
      </c>
      <c r="B75" t="s">
        <v>480</v>
      </c>
      <c r="C75" t="s">
        <v>290</v>
      </c>
      <c r="D75">
        <v>0.5</v>
      </c>
      <c r="E75">
        <f t="shared" ca="1" si="2"/>
        <v>2</v>
      </c>
      <c r="F75">
        <f t="shared" ca="1" si="4"/>
        <v>1</v>
      </c>
      <c r="G75" t="s">
        <v>654</v>
      </c>
      <c r="H75" t="s">
        <v>730</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731</v>
      </c>
      <c r="G1" s="80" t="s">
        <v>732</v>
      </c>
    </row>
    <row r="2" spans="1:12" ht="15" customHeight="1">
      <c r="A2" s="2" t="s">
        <v>733</v>
      </c>
      <c r="G2" s="81" t="s">
        <v>734</v>
      </c>
      <c r="H2" s="82">
        <v>10</v>
      </c>
      <c r="I2" s="81" t="s">
        <v>735</v>
      </c>
      <c r="J2" s="82">
        <v>244</v>
      </c>
      <c r="K2" s="81" t="s">
        <v>736</v>
      </c>
      <c r="L2" s="83">
        <f>B25</f>
        <v>240</v>
      </c>
    </row>
    <row r="3" spans="1:12">
      <c r="A3" s="84" t="str">
        <f>IF($H$3&lt;0,"⚠ 총량 상한 "&amp;ABS($H$3)&amp;"세트 초과 — 다른 종목에서 그만큼 빼기 전에는 추가 금지. 상한을 올리려면 아래 '상한 변경 이력'에 한 줄 남길 것.","")</f>
        <v/>
      </c>
      <c r="G3" s="81" t="s">
        <v>737</v>
      </c>
      <c r="H3" s="85">
        <f>$J$2-$L$2</f>
        <v>4</v>
      </c>
      <c r="I3" s="81" t="s">
        <v>738</v>
      </c>
      <c r="J3" s="85">
        <f>ROUND($L$2*7/$H$2,1)</f>
        <v>168</v>
      </c>
      <c r="K3" s="81" t="s">
        <v>739</v>
      </c>
      <c r="L3" s="85" t="str">
        <f>IF($H$3&lt;0,"INVALID","VALID")</f>
        <v>VALID</v>
      </c>
    </row>
    <row r="4" spans="1:12" ht="15" customHeight="1">
      <c r="A4" s="5" t="s">
        <v>262</v>
      </c>
      <c r="B4" s="5" t="s">
        <v>740</v>
      </c>
      <c r="C4" s="5" t="s">
        <v>741</v>
      </c>
      <c r="D4" s="5" t="s">
        <v>742</v>
      </c>
      <c r="E4" s="5" t="s">
        <v>743</v>
      </c>
      <c r="F4" s="5" t="s">
        <v>744</v>
      </c>
      <c r="J4" s="86" t="str">
        <f>"주당 환산 (×7/"&amp;$H$2&amp;")"</f>
        <v>주당 환산 (×7/10)</v>
      </c>
    </row>
    <row r="5" spans="1:12" ht="15" customHeight="1">
      <c r="A5" s="53" t="s">
        <v>357</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745</v>
      </c>
      <c r="G5" s="139" t="s">
        <v>746</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345</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747</v>
      </c>
      <c r="G6" s="140"/>
      <c r="J6" s="55">
        <f t="shared" ca="1" si="2"/>
        <v>12.6</v>
      </c>
      <c r="L6" s="55">
        <f t="shared" si="3"/>
        <v>12.6</v>
      </c>
    </row>
    <row r="7" spans="1:12" ht="15" customHeight="1">
      <c r="A7" s="53" t="s">
        <v>275</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748</v>
      </c>
      <c r="G7" s="139" t="s">
        <v>749</v>
      </c>
      <c r="H7" s="56">
        <f ca="1">SUM(D7:D10)</f>
        <v>56.5</v>
      </c>
      <c r="J7" s="55">
        <f t="shared" ca="1" si="2"/>
        <v>11.9</v>
      </c>
      <c r="L7" s="55">
        <f t="shared" si="3"/>
        <v>9.1</v>
      </c>
    </row>
    <row r="8" spans="1:12" ht="15" customHeight="1">
      <c r="A8" s="53" t="s">
        <v>415</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750</v>
      </c>
      <c r="G8" s="140"/>
      <c r="J8" s="55">
        <f t="shared" ca="1" si="2"/>
        <v>3.9</v>
      </c>
      <c r="L8" s="55">
        <f t="shared" si="3"/>
        <v>2.8</v>
      </c>
    </row>
    <row r="9" spans="1:12" ht="15" customHeight="1">
      <c r="A9" s="53" t="s">
        <v>426</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751</v>
      </c>
      <c r="G9" s="140"/>
      <c r="J9" s="55">
        <f t="shared" ca="1" si="2"/>
        <v>9.5</v>
      </c>
      <c r="L9" s="55">
        <f t="shared" si="3"/>
        <v>8.4</v>
      </c>
    </row>
    <row r="10" spans="1:12" ht="15" customHeight="1">
      <c r="A10" s="53" t="s">
        <v>290</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752</v>
      </c>
      <c r="G10" s="140"/>
      <c r="J10" s="55">
        <f t="shared" ca="1" si="2"/>
        <v>14.4</v>
      </c>
      <c r="L10" s="55">
        <f t="shared" si="3"/>
        <v>10.5</v>
      </c>
    </row>
    <row r="11" spans="1:12" ht="15" customHeight="1">
      <c r="A11" s="53" t="s">
        <v>321</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753</v>
      </c>
      <c r="G11" s="57"/>
      <c r="J11" s="55">
        <f t="shared" ca="1" si="2"/>
        <v>9.5</v>
      </c>
      <c r="L11" s="55">
        <f t="shared" si="3"/>
        <v>8.4</v>
      </c>
    </row>
    <row r="12" spans="1:12" ht="15" customHeight="1">
      <c r="A12" s="53" t="s">
        <v>437</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754</v>
      </c>
      <c r="G12" s="57"/>
      <c r="J12" s="55">
        <f t="shared" ca="1" si="2"/>
        <v>10.9</v>
      </c>
      <c r="L12" s="55">
        <f t="shared" si="3"/>
        <v>6.3</v>
      </c>
    </row>
    <row r="13" spans="1:12" ht="15" customHeight="1">
      <c r="A13" s="53" t="s">
        <v>362</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755</v>
      </c>
      <c r="G13" s="57"/>
      <c r="J13" s="55">
        <f t="shared" ca="1" si="2"/>
        <v>14.7</v>
      </c>
      <c r="L13" s="55">
        <f t="shared" si="3"/>
        <v>12.6</v>
      </c>
    </row>
    <row r="14" spans="1:12" ht="15" customHeight="1">
      <c r="A14" s="53" t="s">
        <v>366</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756</v>
      </c>
      <c r="G14" s="57"/>
      <c r="H14" s="56"/>
      <c r="J14" s="55">
        <f t="shared" ca="1" si="2"/>
        <v>15.1</v>
      </c>
      <c r="L14" s="55">
        <f t="shared" si="3"/>
        <v>11.9</v>
      </c>
    </row>
    <row r="15" spans="1:12" ht="15" customHeight="1">
      <c r="A15" s="53" t="s">
        <v>377</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386</v>
      </c>
      <c r="G15" s="58" t="s">
        <v>757</v>
      </c>
      <c r="H15" s="56">
        <f ca="1">SUM(D15:D16,D19)</f>
        <v>43</v>
      </c>
      <c r="J15" s="55">
        <f t="shared" ca="1" si="2"/>
        <v>11.6</v>
      </c>
      <c r="L15" s="55">
        <f t="shared" si="3"/>
        <v>10.5</v>
      </c>
    </row>
    <row r="16" spans="1:12" ht="15" customHeight="1">
      <c r="A16" s="53" t="s">
        <v>392</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758</v>
      </c>
      <c r="G16" s="57"/>
      <c r="J16" s="55">
        <f t="shared" ca="1" si="2"/>
        <v>9.5</v>
      </c>
      <c r="L16" s="55">
        <f t="shared" si="3"/>
        <v>7</v>
      </c>
    </row>
    <row r="17" spans="1:12" ht="15" customHeight="1">
      <c r="A17" s="53" t="s">
        <v>383</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759</v>
      </c>
      <c r="G17" s="139" t="s">
        <v>383</v>
      </c>
      <c r="H17" s="56">
        <f ca="1">SUM(D17:D18)</f>
        <v>29</v>
      </c>
      <c r="J17" s="55">
        <f t="shared" ca="1" si="2"/>
        <v>11.2</v>
      </c>
      <c r="L17" s="55">
        <f t="shared" si="3"/>
        <v>4.9000000000000004</v>
      </c>
    </row>
    <row r="18" spans="1:12" ht="15" customHeight="1">
      <c r="A18" s="53" t="s">
        <v>401</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760</v>
      </c>
      <c r="G18" s="140"/>
      <c r="J18" s="55">
        <f t="shared" ca="1" si="2"/>
        <v>9.1</v>
      </c>
      <c r="L18" s="55">
        <f t="shared" si="3"/>
        <v>8.4</v>
      </c>
    </row>
    <row r="19" spans="1:12" ht="15" customHeight="1">
      <c r="A19" s="53" t="s">
        <v>316</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761</v>
      </c>
      <c r="G19" s="57"/>
      <c r="J19" s="55">
        <f t="shared" si="2"/>
        <v>9.1</v>
      </c>
      <c r="L19" s="55">
        <f t="shared" si="3"/>
        <v>9.1</v>
      </c>
    </row>
    <row r="20" spans="1:12" ht="15" customHeight="1">
      <c r="A20" s="53" t="s">
        <v>277</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762</v>
      </c>
      <c r="G20" s="57"/>
      <c r="J20" s="55">
        <f t="shared" ca="1" si="2"/>
        <v>12.6</v>
      </c>
      <c r="L20" s="55">
        <f t="shared" si="3"/>
        <v>7.7</v>
      </c>
    </row>
    <row r="21" spans="1:12" ht="15" customHeight="1">
      <c r="A21" s="53" t="s">
        <v>353</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763</v>
      </c>
      <c r="G21" s="57"/>
      <c r="J21" s="55">
        <f t="shared" ca="1" si="2"/>
        <v>14</v>
      </c>
      <c r="L21" s="55">
        <f t="shared" si="3"/>
        <v>5.6</v>
      </c>
    </row>
    <row r="22" spans="1:12" ht="16.5" customHeight="1">
      <c r="A22" s="53" t="s">
        <v>303</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764</v>
      </c>
      <c r="G22" s="57"/>
      <c r="J22" s="55">
        <f t="shared" ca="1" si="2"/>
        <v>10.199999999999999</v>
      </c>
      <c r="L22" s="55">
        <f t="shared" si="3"/>
        <v>7.7</v>
      </c>
    </row>
    <row r="23" spans="1:12" ht="24" customHeight="1">
      <c r="A23" s="53" t="s">
        <v>307</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765</v>
      </c>
      <c r="G23" s="57"/>
      <c r="J23" s="55">
        <f t="shared" si="2"/>
        <v>9.1</v>
      </c>
      <c r="L23" s="55">
        <f t="shared" si="3"/>
        <v>9.1</v>
      </c>
    </row>
    <row r="24" spans="1:12" ht="15" customHeight="1">
      <c r="A24" s="53" t="s">
        <v>396</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766</v>
      </c>
      <c r="G24" s="57"/>
      <c r="J24" s="55">
        <f t="shared" ca="1" si="2"/>
        <v>9.5</v>
      </c>
      <c r="L24" s="55">
        <f t="shared" si="3"/>
        <v>6.3</v>
      </c>
    </row>
    <row r="25" spans="1:12" ht="36" customHeight="1">
      <c r="A25" s="60" t="s">
        <v>767</v>
      </c>
      <c r="B25" s="15">
        <f>SUM(B5:B24)</f>
        <v>240</v>
      </c>
      <c r="C25" s="61"/>
      <c r="D25" s="62">
        <f ca="1">SUM(D5:D24)</f>
        <v>310</v>
      </c>
      <c r="E25" s="61"/>
      <c r="F25" s="61"/>
      <c r="J25" s="62">
        <f t="shared" ca="1" si="2"/>
        <v>217</v>
      </c>
      <c r="L25" s="62">
        <f t="shared" si="3"/>
        <v>168</v>
      </c>
    </row>
    <row r="26" spans="1:12" ht="15" customHeight="1">
      <c r="A26" s="13" t="s">
        <v>768</v>
      </c>
    </row>
    <row r="27" spans="1:12" ht="16.5" customHeight="1">
      <c r="A27" s="11" t="s">
        <v>769</v>
      </c>
    </row>
    <row r="28" spans="1:12" ht="36" customHeight="1">
      <c r="A28" s="11" t="s">
        <v>770</v>
      </c>
    </row>
    <row r="29" spans="1:12" ht="48" customHeight="1">
      <c r="A29" s="11" t="s">
        <v>771</v>
      </c>
    </row>
    <row r="30" spans="1:12" ht="48" customHeight="1">
      <c r="A30" s="63"/>
    </row>
    <row r="31" spans="1:12" ht="15" customHeight="1">
      <c r="A31" s="13" t="s">
        <v>772</v>
      </c>
    </row>
    <row r="32" spans="1:12" ht="16.5" customHeight="1">
      <c r="A32" s="11" t="s">
        <v>773</v>
      </c>
    </row>
    <row r="33" spans="1:1" ht="48" customHeight="1">
      <c r="A33" s="11" t="s">
        <v>774</v>
      </c>
    </row>
    <row r="34" spans="1:1" ht="48" customHeight="1">
      <c r="A34" s="11" t="s">
        <v>775</v>
      </c>
    </row>
    <row r="35" spans="1:1" ht="15" customHeight="1">
      <c r="A35" s="63"/>
    </row>
    <row r="36" spans="1:1" ht="48" customHeight="1">
      <c r="A36" s="13" t="s">
        <v>776</v>
      </c>
    </row>
    <row r="37" spans="1:1" ht="77.25" customHeight="1">
      <c r="A37" s="11" t="s">
        <v>777</v>
      </c>
    </row>
    <row r="38" spans="1:1" ht="48" customHeight="1">
      <c r="A38" s="11" t="s">
        <v>778</v>
      </c>
    </row>
    <row r="39" spans="1:1" ht="39" customHeight="1">
      <c r="A39" s="63" t="s">
        <v>779</v>
      </c>
    </row>
    <row r="40" spans="1:1" ht="45" customHeight="1">
      <c r="A40" s="11" t="s">
        <v>780</v>
      </c>
    </row>
    <row r="41" spans="1:1" ht="48" customHeight="1">
      <c r="A41" s="11" t="s">
        <v>781</v>
      </c>
    </row>
    <row r="42" spans="1:1" ht="48" customHeight="1">
      <c r="A42" s="11" t="s">
        <v>782</v>
      </c>
    </row>
    <row r="43" spans="1:1" ht="48" customHeight="1">
      <c r="A43" s="11" t="s">
        <v>783</v>
      </c>
    </row>
    <row r="44" spans="1:1" ht="48" customHeight="1">
      <c r="A44" s="77" t="s">
        <v>784</v>
      </c>
    </row>
    <row r="45" spans="1:1" ht="51.75" customHeight="1">
      <c r="A45" t="s">
        <v>785</v>
      </c>
    </row>
    <row r="46" spans="1:1" ht="90" customHeight="1">
      <c r="A46" s="11" t="s">
        <v>786</v>
      </c>
    </row>
    <row r="47" spans="1:1" ht="51.75" customHeight="1">
      <c r="A47" s="11" t="s">
        <v>787</v>
      </c>
    </row>
    <row r="48" spans="1:1" ht="48" customHeight="1">
      <c r="A48" s="11" t="s">
        <v>788</v>
      </c>
    </row>
    <row r="49" spans="1:5" ht="48" customHeight="1">
      <c r="A49" s="11" t="s">
        <v>789</v>
      </c>
    </row>
    <row r="50" spans="1:5" ht="48" customHeight="1">
      <c r="A50" s="11" t="s">
        <v>790</v>
      </c>
    </row>
    <row r="51" spans="1:5">
      <c r="A51" t="s">
        <v>791</v>
      </c>
    </row>
    <row r="52" spans="1:5">
      <c r="A52" t="s">
        <v>792</v>
      </c>
    </row>
    <row r="53" spans="1:5">
      <c r="A53" t="s">
        <v>793</v>
      </c>
    </row>
    <row r="54" spans="1:5">
      <c r="A54" t="s">
        <v>794</v>
      </c>
    </row>
    <row r="55" spans="1:5">
      <c r="A55" t="s">
        <v>795</v>
      </c>
    </row>
    <row r="57" spans="1:5">
      <c r="A57" s="80" t="s">
        <v>796</v>
      </c>
    </row>
    <row r="58" spans="1:5">
      <c r="A58" s="87" t="s">
        <v>797</v>
      </c>
      <c r="B58" s="87" t="s">
        <v>798</v>
      </c>
      <c r="C58" s="87" t="s">
        <v>799</v>
      </c>
      <c r="D58" s="87" t="s">
        <v>800</v>
      </c>
      <c r="E58" s="87" t="s">
        <v>801</v>
      </c>
    </row>
    <row r="59" spans="1:5">
      <c r="A59" s="88">
        <v>46269</v>
      </c>
      <c r="B59" s="89" t="s">
        <v>28</v>
      </c>
      <c r="C59" s="89">
        <v>239</v>
      </c>
      <c r="D59" s="89" t="s">
        <v>802</v>
      </c>
      <c r="E59" s="89" t="s">
        <v>28</v>
      </c>
    </row>
    <row r="60" spans="1:5">
      <c r="A60" s="93">
        <v>46269</v>
      </c>
      <c r="B60" s="94">
        <v>239</v>
      </c>
      <c r="C60" s="94">
        <v>239</v>
      </c>
      <c r="D60" s="94" t="s">
        <v>803</v>
      </c>
      <c r="E60" s="94" t="s">
        <v>804</v>
      </c>
    </row>
    <row r="61" spans="1:5">
      <c r="A61" s="97">
        <v>46270</v>
      </c>
      <c r="B61" s="98">
        <v>239</v>
      </c>
      <c r="C61" s="98">
        <v>244</v>
      </c>
      <c r="D61" s="98" t="s">
        <v>805</v>
      </c>
      <c r="E61" s="98" t="s">
        <v>29</v>
      </c>
    </row>
    <row r="62" spans="1:5">
      <c r="A62" s="91" t="s">
        <v>806</v>
      </c>
    </row>
    <row r="63" spans="1:5">
      <c r="A63" t="s">
        <v>807</v>
      </c>
    </row>
    <row r="64" spans="1:5">
      <c r="A64" t="s">
        <v>808</v>
      </c>
    </row>
    <row r="65" spans="1:1">
      <c r="A65" t="s">
        <v>809</v>
      </c>
    </row>
    <row r="66" spans="1:1">
      <c r="A66" t="s">
        <v>810</v>
      </c>
    </row>
    <row r="67" spans="1:1">
      <c r="A67" t="s">
        <v>811</v>
      </c>
    </row>
    <row r="68" spans="1:1">
      <c r="A68" t="s">
        <v>812</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813</v>
      </c>
    </row>
    <row r="2" spans="1:13" ht="15" customHeight="1">
      <c r="A2" s="2" t="s">
        <v>814</v>
      </c>
    </row>
    <row r="4" spans="1:13" ht="15" customHeight="1">
      <c r="A4" s="3" t="s">
        <v>815</v>
      </c>
      <c r="E4" t="s">
        <v>816</v>
      </c>
    </row>
    <row r="5" spans="1:13" ht="15" customHeight="1">
      <c r="A5" s="64" t="s">
        <v>817</v>
      </c>
      <c r="C5" s="4">
        <v>2</v>
      </c>
      <c r="D5" s="63" t="s">
        <v>818</v>
      </c>
      <c r="E5">
        <v>1</v>
      </c>
    </row>
    <row r="6" spans="1:13" ht="15" customHeight="1">
      <c r="A6" s="64" t="s">
        <v>819</v>
      </c>
      <c r="C6" s="4">
        <v>2</v>
      </c>
      <c r="D6" s="63" t="s">
        <v>820</v>
      </c>
      <c r="E6">
        <v>1</v>
      </c>
    </row>
    <row r="7" spans="1:13" ht="15" customHeight="1">
      <c r="A7" s="64" t="s">
        <v>821</v>
      </c>
      <c r="C7" s="4">
        <v>1</v>
      </c>
      <c r="D7" s="63" t="s">
        <v>822</v>
      </c>
      <c r="E7">
        <v>1</v>
      </c>
      <c r="H7">
        <f>SUM(D7:D10)</f>
        <v>0</v>
      </c>
    </row>
    <row r="8" spans="1:13" ht="84" customHeight="1">
      <c r="A8" s="64" t="s">
        <v>823</v>
      </c>
      <c r="C8" s="4">
        <v>1</v>
      </c>
      <c r="D8" s="63" t="s">
        <v>824</v>
      </c>
      <c r="E8">
        <v>2</v>
      </c>
    </row>
    <row r="9" spans="1:13" ht="15" customHeight="1">
      <c r="A9" s="5" t="s">
        <v>122</v>
      </c>
      <c r="B9" s="5" t="s">
        <v>1388</v>
      </c>
      <c r="C9" s="5" t="s">
        <v>825</v>
      </c>
      <c r="D9" s="5" t="s">
        <v>826</v>
      </c>
      <c r="E9" s="5" t="s">
        <v>827</v>
      </c>
      <c r="F9" s="5" t="s">
        <v>826</v>
      </c>
      <c r="G9" s="5" t="s">
        <v>828</v>
      </c>
      <c r="H9" s="5" t="s">
        <v>826</v>
      </c>
      <c r="I9" s="5" t="s">
        <v>829</v>
      </c>
      <c r="J9" s="5" t="s">
        <v>826</v>
      </c>
      <c r="K9" s="5" t="s">
        <v>269</v>
      </c>
      <c r="L9" s="87" t="s">
        <v>830</v>
      </c>
      <c r="M9" s="87" t="s">
        <v>831</v>
      </c>
    </row>
    <row r="10" spans="1:13" ht="15" customHeight="1">
      <c r="A10" s="8" t="s">
        <v>123</v>
      </c>
      <c r="B10" s="73">
        <v>46263</v>
      </c>
      <c r="C10" s="16">
        <f>시작중량_설정!$D$7</f>
        <v>62</v>
      </c>
      <c r="D10" s="4"/>
      <c r="E10" s="16">
        <f>시작중량_설정!$D$8</f>
        <v>67</v>
      </c>
      <c r="F10" s="4"/>
      <c r="G10" s="16">
        <f>시작중량_설정!$D$9</f>
        <v>35</v>
      </c>
      <c r="H10" s="4"/>
      <c r="I10" s="16">
        <f>시작중량_설정!$D$10</f>
        <v>27</v>
      </c>
      <c r="J10" s="4"/>
      <c r="K10" s="65" t="s">
        <v>832</v>
      </c>
      <c r="L10" s="90"/>
      <c r="M10" s="90"/>
    </row>
    <row r="11" spans="1:13" ht="15" customHeight="1">
      <c r="A11" s="8" t="s">
        <v>124</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27</v>
      </c>
      <c r="J11" s="4"/>
      <c r="K11" s="65"/>
      <c r="L11" s="90"/>
      <c r="M11" s="90"/>
    </row>
    <row r="12" spans="1:13" ht="15" customHeight="1">
      <c r="A12" s="8" t="s">
        <v>125</v>
      </c>
      <c r="B12" s="73">
        <v>46277</v>
      </c>
      <c r="C12" s="16">
        <f t="shared" si="0"/>
        <v>67</v>
      </c>
      <c r="D12" s="4"/>
      <c r="E12" s="16">
        <f t="shared" si="1"/>
        <v>72</v>
      </c>
      <c r="F12" s="4"/>
      <c r="G12" s="16">
        <f t="shared" si="2"/>
        <v>37</v>
      </c>
      <c r="H12" s="4"/>
      <c r="I12" s="16">
        <f t="shared" si="3"/>
        <v>28</v>
      </c>
      <c r="J12" s="4"/>
      <c r="K12" s="65"/>
      <c r="L12" s="90"/>
      <c r="M12" s="90"/>
    </row>
    <row r="13" spans="1:13" ht="15" customHeight="1">
      <c r="A13" s="8" t="s">
        <v>126</v>
      </c>
      <c r="B13" s="73">
        <v>46284</v>
      </c>
      <c r="C13" s="16">
        <f t="shared" si="0"/>
        <v>70</v>
      </c>
      <c r="D13" s="4"/>
      <c r="E13" s="16">
        <f t="shared" si="1"/>
        <v>75</v>
      </c>
      <c r="F13" s="4"/>
      <c r="G13" s="16">
        <f t="shared" si="2"/>
        <v>38</v>
      </c>
      <c r="H13" s="4"/>
      <c r="I13" s="16">
        <f t="shared" si="3"/>
        <v>28</v>
      </c>
      <c r="J13" s="4"/>
      <c r="K13" s="65"/>
      <c r="L13" s="90"/>
      <c r="M13" s="90"/>
    </row>
    <row r="14" spans="1:13" ht="15" customHeight="1">
      <c r="A14" s="8" t="s">
        <v>127</v>
      </c>
      <c r="B14" s="73">
        <v>46291</v>
      </c>
      <c r="C14" s="16">
        <f t="shared" si="0"/>
        <v>72</v>
      </c>
      <c r="D14" s="4"/>
      <c r="E14" s="16">
        <f t="shared" si="1"/>
        <v>77</v>
      </c>
      <c r="F14" s="4"/>
      <c r="G14" s="16">
        <f t="shared" si="2"/>
        <v>40</v>
      </c>
      <c r="H14" s="4"/>
      <c r="I14" s="16">
        <f t="shared" si="3"/>
        <v>30</v>
      </c>
      <c r="J14" s="4"/>
      <c r="K14" s="65"/>
      <c r="L14" s="90"/>
      <c r="M14" s="90"/>
    </row>
    <row r="15" spans="1:13" ht="15" customHeight="1">
      <c r="A15" s="8" t="s">
        <v>128</v>
      </c>
      <c r="B15" s="73">
        <v>46298</v>
      </c>
      <c r="C15" s="16">
        <f t="shared" si="0"/>
        <v>75</v>
      </c>
      <c r="D15" s="4"/>
      <c r="E15" s="16">
        <f t="shared" si="1"/>
        <v>80</v>
      </c>
      <c r="F15" s="4"/>
      <c r="G15" s="16">
        <f t="shared" si="2"/>
        <v>41</v>
      </c>
      <c r="H15" s="4"/>
      <c r="I15" s="16">
        <f t="shared" si="3"/>
        <v>30</v>
      </c>
      <c r="J15" s="4"/>
      <c r="K15" s="65"/>
      <c r="L15" s="90"/>
      <c r="M15" s="90"/>
    </row>
    <row r="16" spans="1:13" ht="15" customHeight="1">
      <c r="A16" s="8" t="s">
        <v>129</v>
      </c>
      <c r="B16" s="73">
        <v>46305</v>
      </c>
      <c r="C16" s="16">
        <f t="shared" si="0"/>
        <v>77</v>
      </c>
      <c r="D16" s="4"/>
      <c r="E16" s="16">
        <f t="shared" si="1"/>
        <v>82</v>
      </c>
      <c r="F16" s="4"/>
      <c r="G16" s="16">
        <f t="shared" si="2"/>
        <v>42</v>
      </c>
      <c r="H16" s="4"/>
      <c r="I16" s="16">
        <f t="shared" si="3"/>
        <v>31</v>
      </c>
      <c r="J16" s="4"/>
      <c r="K16" s="65"/>
      <c r="L16" s="90"/>
      <c r="M16" s="90"/>
    </row>
    <row r="17" spans="1:13" ht="15" customHeight="1">
      <c r="A17" s="8" t="s">
        <v>130</v>
      </c>
      <c r="B17" s="73">
        <v>46312</v>
      </c>
      <c r="C17" s="16">
        <f t="shared" si="0"/>
        <v>80</v>
      </c>
      <c r="D17" s="4"/>
      <c r="E17" s="16">
        <f t="shared" si="1"/>
        <v>85</v>
      </c>
      <c r="F17" s="4"/>
      <c r="G17" s="16">
        <f t="shared" si="2"/>
        <v>43</v>
      </c>
      <c r="H17" s="4"/>
      <c r="I17" s="16">
        <f t="shared" si="3"/>
        <v>31</v>
      </c>
      <c r="J17" s="4"/>
      <c r="K17" s="65"/>
      <c r="L17" s="90"/>
      <c r="M17" s="90"/>
    </row>
    <row r="18" spans="1:13" ht="15" customHeight="1">
      <c r="A18" s="8" t="s">
        <v>131</v>
      </c>
      <c r="B18" s="73">
        <v>46319</v>
      </c>
      <c r="C18" s="16">
        <f t="shared" si="0"/>
        <v>82</v>
      </c>
      <c r="D18" s="4"/>
      <c r="E18" s="16">
        <f t="shared" si="1"/>
        <v>87</v>
      </c>
      <c r="F18" s="4"/>
      <c r="G18" s="16">
        <f t="shared" si="2"/>
        <v>45</v>
      </c>
      <c r="H18" s="4"/>
      <c r="I18" s="16">
        <f t="shared" si="3"/>
        <v>32</v>
      </c>
      <c r="J18" s="4"/>
      <c r="K18" s="65"/>
      <c r="L18" s="90"/>
      <c r="M18" s="90"/>
    </row>
    <row r="19" spans="1:13" ht="15" customHeight="1">
      <c r="A19" s="8" t="s">
        <v>132</v>
      </c>
      <c r="B19" s="73">
        <v>46326</v>
      </c>
      <c r="C19" s="16">
        <f t="shared" si="0"/>
        <v>85</v>
      </c>
      <c r="D19" s="4"/>
      <c r="E19" s="16">
        <f t="shared" si="1"/>
        <v>90</v>
      </c>
      <c r="F19" s="4"/>
      <c r="G19" s="16">
        <f t="shared" si="2"/>
        <v>46</v>
      </c>
      <c r="H19" s="4"/>
      <c r="I19" s="16">
        <f t="shared" si="3"/>
        <v>32</v>
      </c>
      <c r="J19" s="4"/>
      <c r="K19" s="65"/>
      <c r="L19" s="90"/>
      <c r="M19" s="90"/>
    </row>
    <row r="20" spans="1:13" ht="15" customHeight="1">
      <c r="A20" s="8" t="s">
        <v>133</v>
      </c>
      <c r="B20" s="73">
        <v>46333</v>
      </c>
      <c r="C20" s="16">
        <f t="shared" si="0"/>
        <v>87</v>
      </c>
      <c r="D20" s="4"/>
      <c r="E20" s="16">
        <f t="shared" si="1"/>
        <v>92</v>
      </c>
      <c r="F20" s="4"/>
      <c r="G20" s="16">
        <f t="shared" si="2"/>
        <v>47</v>
      </c>
      <c r="H20" s="4"/>
      <c r="I20" s="16">
        <f t="shared" si="3"/>
        <v>33</v>
      </c>
      <c r="J20" s="4"/>
      <c r="K20" s="65"/>
      <c r="L20" s="90"/>
      <c r="M20" s="90"/>
    </row>
    <row r="21" spans="1:13" ht="15" customHeight="1">
      <c r="A21" s="8" t="s">
        <v>134</v>
      </c>
      <c r="B21" s="73">
        <v>46340</v>
      </c>
      <c r="C21" s="16">
        <f t="shared" si="0"/>
        <v>90</v>
      </c>
      <c r="D21" s="4"/>
      <c r="E21" s="16">
        <f t="shared" si="1"/>
        <v>95</v>
      </c>
      <c r="F21" s="4"/>
      <c r="G21" s="16">
        <f t="shared" si="2"/>
        <v>48</v>
      </c>
      <c r="H21" s="4"/>
      <c r="I21" s="16">
        <f t="shared" si="3"/>
        <v>33</v>
      </c>
      <c r="J21" s="4"/>
      <c r="K21" s="65"/>
      <c r="L21" s="90"/>
      <c r="M21" s="90"/>
    </row>
    <row r="22" spans="1:13" ht="15" customHeight="1">
      <c r="A22" s="101" t="s">
        <v>833</v>
      </c>
      <c r="B22" s="105">
        <v>46347</v>
      </c>
      <c r="C22" s="103">
        <f t="shared" si="0"/>
        <v>92</v>
      </c>
      <c r="D22" s="102"/>
      <c r="E22" s="103">
        <f t="shared" si="1"/>
        <v>97</v>
      </c>
      <c r="F22" s="102"/>
      <c r="G22" s="103">
        <f t="shared" si="2"/>
        <v>50</v>
      </c>
      <c r="H22" s="102"/>
      <c r="I22" s="103">
        <f t="shared" si="3"/>
        <v>35</v>
      </c>
      <c r="J22" s="102"/>
      <c r="K22" s="104"/>
      <c r="L22" s="90"/>
      <c r="M22" s="90"/>
    </row>
    <row r="23" spans="1:13" ht="15" customHeight="1">
      <c r="A23" s="101" t="s">
        <v>834</v>
      </c>
      <c r="B23" s="105">
        <v>46354</v>
      </c>
      <c r="C23" s="103">
        <f t="shared" si="0"/>
        <v>95</v>
      </c>
      <c r="D23" s="102"/>
      <c r="E23" s="103">
        <f t="shared" si="1"/>
        <v>100</v>
      </c>
      <c r="F23" s="102"/>
      <c r="G23" s="103">
        <f t="shared" si="2"/>
        <v>51</v>
      </c>
      <c r="H23" s="102"/>
      <c r="I23" s="103">
        <f t="shared" si="3"/>
        <v>35</v>
      </c>
      <c r="J23" s="102"/>
      <c r="K23" s="104"/>
      <c r="L23" s="90"/>
      <c r="M23" s="90"/>
    </row>
    <row r="24" spans="1:13" ht="15" customHeight="1">
      <c r="A24" s="101" t="s">
        <v>835</v>
      </c>
      <c r="B24" s="105">
        <v>46361</v>
      </c>
      <c r="C24" s="103">
        <f t="shared" si="0"/>
        <v>97</v>
      </c>
      <c r="D24" s="102"/>
      <c r="E24" s="103">
        <f t="shared" si="1"/>
        <v>102</v>
      </c>
      <c r="F24" s="102"/>
      <c r="G24" s="103">
        <f t="shared" si="2"/>
        <v>52</v>
      </c>
      <c r="H24" s="102"/>
      <c r="I24" s="103">
        <f t="shared" si="3"/>
        <v>36</v>
      </c>
      <c r="J24" s="102"/>
      <c r="K24" s="104"/>
      <c r="L24" s="90"/>
      <c r="M24" s="90"/>
    </row>
    <row r="25" spans="1:13" ht="15" customHeight="1">
      <c r="A25" s="101" t="s">
        <v>836</v>
      </c>
      <c r="B25" s="105">
        <v>46368</v>
      </c>
      <c r="C25" s="103">
        <f t="shared" si="0"/>
        <v>100</v>
      </c>
      <c r="D25" s="102"/>
      <c r="E25" s="103">
        <f t="shared" si="1"/>
        <v>105</v>
      </c>
      <c r="F25" s="102"/>
      <c r="G25" s="103">
        <f t="shared" si="2"/>
        <v>53</v>
      </c>
      <c r="H25" s="102"/>
      <c r="I25" s="103">
        <f t="shared" si="3"/>
        <v>36</v>
      </c>
      <c r="J25" s="102"/>
      <c r="K25" s="104"/>
      <c r="L25" s="90"/>
      <c r="M25" s="90"/>
    </row>
    <row r="26" spans="1:13" ht="15" customHeight="1">
      <c r="A26" s="101" t="s">
        <v>837</v>
      </c>
      <c r="B26" s="105">
        <v>46375</v>
      </c>
      <c r="C26" s="103">
        <f t="shared" si="0"/>
        <v>102</v>
      </c>
      <c r="D26" s="102"/>
      <c r="E26" s="103">
        <f t="shared" si="1"/>
        <v>107</v>
      </c>
      <c r="F26" s="102"/>
      <c r="G26" s="103">
        <f t="shared" si="2"/>
        <v>55</v>
      </c>
      <c r="H26" s="102"/>
      <c r="I26" s="103">
        <f t="shared" si="3"/>
        <v>37</v>
      </c>
      <c r="J26" s="102"/>
      <c r="K26" s="104"/>
      <c r="L26" s="90"/>
      <c r="M26" s="90"/>
    </row>
    <row r="27" spans="1:13" ht="15" customHeight="1">
      <c r="A27" s="101" t="s">
        <v>838</v>
      </c>
      <c r="B27" s="105">
        <v>46382</v>
      </c>
      <c r="C27" s="103">
        <f t="shared" si="0"/>
        <v>105</v>
      </c>
      <c r="D27" s="102"/>
      <c r="E27" s="103">
        <f t="shared" si="1"/>
        <v>110</v>
      </c>
      <c r="F27" s="102"/>
      <c r="G27" s="103">
        <f t="shared" si="2"/>
        <v>56</v>
      </c>
      <c r="H27" s="102"/>
      <c r="I27" s="103">
        <f t="shared" si="3"/>
        <v>37</v>
      </c>
      <c r="J27" s="102"/>
      <c r="K27" s="104"/>
      <c r="L27" s="90"/>
      <c r="M27" s="90"/>
    </row>
    <row r="28" spans="1:13" ht="15" customHeight="1">
      <c r="A28" s="101" t="s">
        <v>839</v>
      </c>
      <c r="B28" s="105">
        <v>46389</v>
      </c>
      <c r="C28" s="103">
        <f t="shared" si="0"/>
        <v>107</v>
      </c>
      <c r="D28" s="102"/>
      <c r="E28" s="103">
        <f t="shared" si="1"/>
        <v>112</v>
      </c>
      <c r="F28" s="102"/>
      <c r="G28" s="103">
        <f t="shared" si="2"/>
        <v>57</v>
      </c>
      <c r="H28" s="102"/>
      <c r="I28" s="103">
        <f t="shared" si="3"/>
        <v>38</v>
      </c>
      <c r="J28" s="102"/>
      <c r="K28" s="104"/>
      <c r="L28" s="90"/>
      <c r="M28" s="90"/>
    </row>
    <row r="29" spans="1:13" ht="15" customHeight="1">
      <c r="A29" s="101" t="s">
        <v>840</v>
      </c>
      <c r="B29" s="105">
        <v>46396</v>
      </c>
      <c r="C29" s="103">
        <f t="shared" si="0"/>
        <v>110</v>
      </c>
      <c r="D29" s="102"/>
      <c r="E29" s="103">
        <f t="shared" si="1"/>
        <v>115</v>
      </c>
      <c r="F29" s="102"/>
      <c r="G29" s="103">
        <f t="shared" si="2"/>
        <v>58</v>
      </c>
      <c r="H29" s="102"/>
      <c r="I29" s="103">
        <f t="shared" si="3"/>
        <v>38</v>
      </c>
      <c r="J29" s="102"/>
      <c r="K29" s="104"/>
      <c r="L29" s="90"/>
      <c r="M29" s="90"/>
    </row>
    <row r="30" spans="1:13" ht="15" customHeight="1">
      <c r="A30" s="101" t="s">
        <v>841</v>
      </c>
      <c r="B30" s="105">
        <v>46403</v>
      </c>
      <c r="C30" s="103">
        <f t="shared" si="0"/>
        <v>112</v>
      </c>
      <c r="D30" s="102"/>
      <c r="E30" s="103">
        <f t="shared" si="1"/>
        <v>117</v>
      </c>
      <c r="F30" s="102"/>
      <c r="G30" s="103">
        <f t="shared" si="2"/>
        <v>60</v>
      </c>
      <c r="H30" s="102"/>
      <c r="I30" s="103">
        <f t="shared" si="3"/>
        <v>40</v>
      </c>
      <c r="J30" s="102"/>
      <c r="K30" s="104"/>
      <c r="L30" s="90"/>
      <c r="M30" s="90"/>
    </row>
    <row r="31" spans="1:13" ht="15" customHeight="1">
      <c r="A31" s="101" t="s">
        <v>842</v>
      </c>
      <c r="B31" s="105">
        <v>46410</v>
      </c>
      <c r="C31" s="103">
        <f t="shared" si="0"/>
        <v>115</v>
      </c>
      <c r="D31" s="102"/>
      <c r="E31" s="103">
        <f t="shared" si="1"/>
        <v>120</v>
      </c>
      <c r="F31" s="102"/>
      <c r="G31" s="103">
        <f t="shared" si="2"/>
        <v>61</v>
      </c>
      <c r="H31" s="102"/>
      <c r="I31" s="103">
        <f t="shared" si="3"/>
        <v>40</v>
      </c>
      <c r="J31" s="102"/>
      <c r="K31" s="104"/>
      <c r="L31" s="90"/>
      <c r="M31" s="90"/>
    </row>
    <row r="32" spans="1:13" ht="15" customHeight="1">
      <c r="A32" s="101" t="s">
        <v>843</v>
      </c>
      <c r="B32" s="105">
        <v>46417</v>
      </c>
      <c r="C32" s="103">
        <f t="shared" si="0"/>
        <v>117</v>
      </c>
      <c r="D32" s="102"/>
      <c r="E32" s="103">
        <f t="shared" si="1"/>
        <v>122</v>
      </c>
      <c r="F32" s="102"/>
      <c r="G32" s="103">
        <f t="shared" si="2"/>
        <v>62</v>
      </c>
      <c r="H32" s="102"/>
      <c r="I32" s="103">
        <f t="shared" si="3"/>
        <v>41</v>
      </c>
      <c r="J32" s="102"/>
      <c r="K32" s="104"/>
      <c r="L32" s="90"/>
      <c r="M32" s="90"/>
    </row>
    <row r="33" spans="1:13" ht="15" customHeight="1">
      <c r="A33" s="101" t="s">
        <v>844</v>
      </c>
      <c r="B33" s="105">
        <v>46424</v>
      </c>
      <c r="C33" s="103">
        <f t="shared" si="0"/>
        <v>120</v>
      </c>
      <c r="D33" s="102"/>
      <c r="E33" s="103">
        <f t="shared" si="1"/>
        <v>125</v>
      </c>
      <c r="F33" s="102"/>
      <c r="G33" s="103">
        <f t="shared" si="2"/>
        <v>63</v>
      </c>
      <c r="H33" s="102"/>
      <c r="I33" s="103">
        <f t="shared" si="3"/>
        <v>41</v>
      </c>
      <c r="J33" s="102"/>
      <c r="K33" s="104"/>
      <c r="L33" s="90"/>
      <c r="M33" s="90"/>
    </row>
    <row r="34" spans="1:13" ht="15" customHeight="1">
      <c r="A34" s="101" t="s">
        <v>845</v>
      </c>
      <c r="B34" s="105">
        <v>46431</v>
      </c>
      <c r="C34" s="103">
        <f t="shared" si="0"/>
        <v>122</v>
      </c>
      <c r="D34" s="102"/>
      <c r="E34" s="103">
        <f t="shared" si="1"/>
        <v>127</v>
      </c>
      <c r="F34" s="102"/>
      <c r="G34" s="103">
        <f t="shared" si="2"/>
        <v>65</v>
      </c>
      <c r="H34" s="102"/>
      <c r="I34" s="103">
        <f t="shared" si="3"/>
        <v>42</v>
      </c>
      <c r="J34" s="102"/>
      <c r="K34" s="104"/>
      <c r="L34" s="90"/>
      <c r="M34" s="90"/>
    </row>
    <row r="35" spans="1:13" ht="15" customHeight="1">
      <c r="A35" s="101" t="s">
        <v>846</v>
      </c>
      <c r="B35" s="105">
        <v>46438</v>
      </c>
      <c r="C35" s="103">
        <f t="shared" si="0"/>
        <v>125</v>
      </c>
      <c r="D35" s="102"/>
      <c r="E35" s="103">
        <f t="shared" si="1"/>
        <v>130</v>
      </c>
      <c r="F35" s="102"/>
      <c r="G35" s="103">
        <f t="shared" si="2"/>
        <v>66</v>
      </c>
      <c r="H35" s="102"/>
      <c r="I35" s="103">
        <f t="shared" si="3"/>
        <v>42</v>
      </c>
      <c r="J35" s="102"/>
      <c r="K35" s="104"/>
      <c r="L35" s="90"/>
      <c r="M35" s="90"/>
    </row>
    <row r="36" spans="1:13" ht="15" customHeight="1">
      <c r="A36" s="101" t="s">
        <v>847</v>
      </c>
      <c r="B36" s="105">
        <v>46445</v>
      </c>
      <c r="C36" s="103">
        <f t="shared" si="0"/>
        <v>127</v>
      </c>
      <c r="D36" s="102"/>
      <c r="E36" s="103">
        <f t="shared" si="1"/>
        <v>132</v>
      </c>
      <c r="F36" s="102"/>
      <c r="G36" s="103">
        <f t="shared" si="2"/>
        <v>67</v>
      </c>
      <c r="H36" s="102"/>
      <c r="I36" s="103">
        <f t="shared" si="3"/>
        <v>43</v>
      </c>
      <c r="J36" s="102"/>
      <c r="K36" s="104"/>
      <c r="L36" s="90"/>
      <c r="M36" s="90"/>
    </row>
    <row r="37" spans="1:13" ht="15" customHeight="1">
      <c r="A37" s="101" t="s">
        <v>848</v>
      </c>
      <c r="B37" s="105">
        <v>46452</v>
      </c>
      <c r="C37" s="103">
        <f t="shared" si="0"/>
        <v>130</v>
      </c>
      <c r="D37" s="102"/>
      <c r="E37" s="103">
        <f t="shared" si="1"/>
        <v>135</v>
      </c>
      <c r="F37" s="102"/>
      <c r="G37" s="103">
        <f t="shared" si="2"/>
        <v>68</v>
      </c>
      <c r="H37" s="102"/>
      <c r="I37" s="103">
        <f t="shared" si="3"/>
        <v>43</v>
      </c>
      <c r="J37" s="102"/>
      <c r="K37" s="104"/>
      <c r="L37" s="90"/>
      <c r="M37" s="90"/>
    </row>
    <row r="38" spans="1:13" ht="15" customHeight="1">
      <c r="A38" s="101" t="s">
        <v>849</v>
      </c>
      <c r="B38" s="105">
        <v>46459</v>
      </c>
      <c r="C38" s="103">
        <f t="shared" si="0"/>
        <v>132</v>
      </c>
      <c r="D38" s="102"/>
      <c r="E38" s="103">
        <f t="shared" si="1"/>
        <v>137</v>
      </c>
      <c r="F38" s="102"/>
      <c r="G38" s="103">
        <f t="shared" si="2"/>
        <v>70</v>
      </c>
      <c r="H38" s="102"/>
      <c r="I38" s="103">
        <f t="shared" si="3"/>
        <v>45</v>
      </c>
      <c r="J38" s="102"/>
      <c r="K38" s="104"/>
      <c r="L38" s="90"/>
      <c r="M38" s="90"/>
    </row>
    <row r="39" spans="1:13" ht="15" customHeight="1">
      <c r="A39" s="101" t="s">
        <v>850</v>
      </c>
      <c r="B39" s="105">
        <v>46466</v>
      </c>
      <c r="C39" s="103">
        <f t="shared" si="0"/>
        <v>135</v>
      </c>
      <c r="D39" s="102"/>
      <c r="E39" s="103">
        <f t="shared" si="1"/>
        <v>140</v>
      </c>
      <c r="F39" s="102"/>
      <c r="G39" s="103">
        <f t="shared" si="2"/>
        <v>71</v>
      </c>
      <c r="H39" s="102"/>
      <c r="I39" s="103">
        <f t="shared" si="3"/>
        <v>45</v>
      </c>
      <c r="J39" s="102"/>
      <c r="K39" s="104"/>
      <c r="L39" s="90"/>
      <c r="M39" s="90"/>
    </row>
    <row r="41" spans="1:13" ht="108" customHeight="1">
      <c r="A41" s="11" t="s">
        <v>851</v>
      </c>
    </row>
    <row r="42" spans="1:13" ht="84" customHeight="1">
      <c r="A42" s="11" t="s">
        <v>852</v>
      </c>
    </row>
    <row r="43" spans="1:13" ht="84" customHeight="1">
      <c r="A43" s="11" t="s">
        <v>853</v>
      </c>
    </row>
    <row r="44" spans="1:13" ht="120" customHeight="1">
      <c r="A44" s="11"/>
    </row>
    <row r="45" spans="1:13" ht="96" customHeight="1">
      <c r="A45" s="11" t="s">
        <v>854</v>
      </c>
    </row>
    <row r="46" spans="1:13" ht="108" customHeight="1">
      <c r="A46" s="11" t="s">
        <v>855</v>
      </c>
    </row>
    <row r="47" spans="1:13" ht="108" customHeight="1">
      <c r="A47" s="11" t="s">
        <v>856</v>
      </c>
    </row>
    <row r="48" spans="1:13" ht="156" customHeight="1">
      <c r="A48" s="11" t="s">
        <v>857</v>
      </c>
    </row>
    <row r="49" spans="1:1" ht="96" customHeight="1">
      <c r="A49" s="11" t="s">
        <v>858</v>
      </c>
    </row>
    <row r="50" spans="1:1">
      <c r="A50" t="s">
        <v>859</v>
      </c>
    </row>
    <row r="51" spans="1:1">
      <c r="A51" t="s">
        <v>860</v>
      </c>
    </row>
    <row r="52" spans="1:1">
      <c r="A52" t="s">
        <v>861</v>
      </c>
    </row>
    <row r="53" spans="1:1">
      <c r="A53" t="s">
        <v>862</v>
      </c>
    </row>
    <row r="54" spans="1:1">
      <c r="A54" t="s">
        <v>863</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864</v>
      </c>
    </row>
    <row r="2" spans="1:3" ht="15" customHeight="1">
      <c r="A2" s="2" t="s">
        <v>865</v>
      </c>
    </row>
    <row r="4" spans="1:3" ht="15" customHeight="1">
      <c r="A4" s="5" t="s">
        <v>866</v>
      </c>
      <c r="B4" s="5" t="s">
        <v>867</v>
      </c>
      <c r="C4" s="5" t="s">
        <v>5</v>
      </c>
    </row>
    <row r="5" spans="1:3" ht="15" customHeight="1">
      <c r="A5" s="7" t="s">
        <v>749</v>
      </c>
      <c r="B5" s="7" t="s">
        <v>868</v>
      </c>
      <c r="C5" s="53" t="s">
        <v>869</v>
      </c>
    </row>
    <row r="6" spans="1:3" ht="15" customHeight="1">
      <c r="A6" s="7" t="s">
        <v>870</v>
      </c>
      <c r="B6" s="7" t="s">
        <v>868</v>
      </c>
      <c r="C6" s="53" t="s">
        <v>871</v>
      </c>
    </row>
    <row r="7" spans="1:3" ht="15" customHeight="1">
      <c r="A7" s="7" t="s">
        <v>321</v>
      </c>
      <c r="B7" s="7" t="s">
        <v>872</v>
      </c>
      <c r="C7" s="53" t="s">
        <v>873</v>
      </c>
    </row>
    <row r="8" spans="1:3" ht="15" customHeight="1">
      <c r="A8" s="67" t="s">
        <v>874</v>
      </c>
      <c r="B8" s="67" t="s">
        <v>875</v>
      </c>
      <c r="C8" s="68" t="s">
        <v>876</v>
      </c>
    </row>
    <row r="9" spans="1:3" ht="15" customHeight="1">
      <c r="A9" s="67" t="s">
        <v>877</v>
      </c>
      <c r="B9" s="67" t="s">
        <v>875</v>
      </c>
      <c r="C9" s="68" t="s">
        <v>878</v>
      </c>
    </row>
    <row r="10" spans="1:3" ht="15" customHeight="1">
      <c r="A10" s="7" t="s">
        <v>9</v>
      </c>
      <c r="B10" s="7" t="s">
        <v>879</v>
      </c>
      <c r="C10" s="69" t="s">
        <v>880</v>
      </c>
    </row>
    <row r="11" spans="1:3" ht="15" customHeight="1">
      <c r="A11" s="7" t="s">
        <v>881</v>
      </c>
      <c r="B11" s="8" t="s">
        <v>882</v>
      </c>
      <c r="C11" s="53" t="s">
        <v>883</v>
      </c>
    </row>
    <row r="12" spans="1:3" ht="15" customHeight="1">
      <c r="A12" s="7" t="s">
        <v>884</v>
      </c>
      <c r="B12" s="7" t="s">
        <v>885</v>
      </c>
      <c r="C12" s="53" t="s">
        <v>886</v>
      </c>
    </row>
    <row r="15" spans="1:3" ht="24" customHeight="1">
      <c r="A15" s="11" t="s">
        <v>887</v>
      </c>
    </row>
    <row r="16" spans="1:3" ht="24" customHeight="1">
      <c r="A16" s="11" t="s">
        <v>888</v>
      </c>
    </row>
    <row r="17" spans="1:1" ht="36" customHeight="1">
      <c r="A17" s="11" t="s">
        <v>889</v>
      </c>
    </row>
    <row r="18" spans="1:1" ht="15" customHeight="1">
      <c r="A18" s="63"/>
    </row>
    <row r="19" spans="1:1" ht="36" customHeight="1">
      <c r="A19" s="11" t="s">
        <v>890</v>
      </c>
    </row>
    <row r="20" spans="1:1" ht="36" customHeight="1">
      <c r="A20" s="11" t="s">
        <v>891</v>
      </c>
    </row>
    <row r="22" spans="1:1" ht="48" customHeight="1">
      <c r="A22" s="13" t="s">
        <v>892</v>
      </c>
    </row>
    <row r="24" spans="1:1" ht="16.5" customHeight="1">
      <c r="A24" s="14" t="s">
        <v>893</v>
      </c>
    </row>
    <row r="25" spans="1:1" ht="16.5" customHeight="1">
      <c r="A25" t="s">
        <v>894</v>
      </c>
    </row>
    <row r="26" spans="1:1" ht="16.5" customHeight="1">
      <c r="A26" t="s">
        <v>895</v>
      </c>
    </row>
    <row r="27" spans="1:1" ht="16.5" customHeight="1">
      <c r="A27" t="s">
        <v>896</v>
      </c>
    </row>
    <row r="28" spans="1:1" ht="16.5" customHeight="1">
      <c r="A28" t="s">
        <v>897</v>
      </c>
    </row>
    <row r="30" spans="1:1" ht="16.5" customHeight="1">
      <c r="A30" t="s">
        <v>898</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2"/>
  <sheetViews>
    <sheetView workbookViewId="0"/>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899</v>
      </c>
    </row>
    <row r="2" spans="1:7">
      <c r="A2" s="119" t="s">
        <v>900</v>
      </c>
    </row>
    <row r="3" spans="1:7">
      <c r="A3" s="119" t="s">
        <v>901</v>
      </c>
    </row>
    <row r="5" spans="1:7">
      <c r="A5" s="111" t="s">
        <v>902</v>
      </c>
      <c r="B5" s="111" t="s">
        <v>903</v>
      </c>
      <c r="C5" s="111" t="s">
        <v>904</v>
      </c>
      <c r="D5" s="111" t="s">
        <v>905</v>
      </c>
      <c r="E5" s="111" t="s">
        <v>156</v>
      </c>
      <c r="F5" s="111" t="s">
        <v>157</v>
      </c>
      <c r="G5" s="111" t="s">
        <v>906</v>
      </c>
    </row>
    <row r="6" spans="1:7" ht="30" customHeight="1">
      <c r="A6" s="114" t="s">
        <v>907</v>
      </c>
      <c r="B6" s="120" t="s">
        <v>908</v>
      </c>
      <c r="C6" s="114" t="s">
        <v>904</v>
      </c>
      <c r="D6" s="115" t="s">
        <v>909</v>
      </c>
      <c r="E6" s="121">
        <f>복귀_토_하체전면!$E$30</f>
        <v>41</v>
      </c>
      <c r="F6" s="114" t="s">
        <v>910</v>
      </c>
      <c r="G6" s="115" t="s">
        <v>911</v>
      </c>
    </row>
    <row r="7" spans="1:7" ht="30" customHeight="1">
      <c r="A7" s="114" t="s">
        <v>912</v>
      </c>
      <c r="B7" s="120" t="s">
        <v>913</v>
      </c>
      <c r="C7" s="114" t="s">
        <v>904</v>
      </c>
      <c r="D7" s="115" t="s">
        <v>914</v>
      </c>
      <c r="E7" s="121">
        <f>복귀_일_수평당기기!$E$22</f>
        <v>32</v>
      </c>
      <c r="F7" s="114" t="s">
        <v>1481</v>
      </c>
      <c r="G7" s="115" t="s">
        <v>915</v>
      </c>
    </row>
    <row r="8" spans="1:7" ht="30" customHeight="1">
      <c r="A8" s="114" t="s">
        <v>916</v>
      </c>
      <c r="B8" s="120" t="s">
        <v>917</v>
      </c>
      <c r="C8" s="114" t="s">
        <v>904</v>
      </c>
      <c r="D8" s="115" t="s">
        <v>918</v>
      </c>
      <c r="E8" s="121">
        <f>복귀_월_가슴!$E$26</f>
        <v>25</v>
      </c>
      <c r="F8" s="114" t="s">
        <v>1381</v>
      </c>
      <c r="G8" s="115" t="s">
        <v>919</v>
      </c>
    </row>
    <row r="9" spans="1:7" ht="30" customHeight="1">
      <c r="A9" s="114" t="s">
        <v>920</v>
      </c>
      <c r="B9" s="120" t="s">
        <v>921</v>
      </c>
      <c r="C9" s="114" t="s">
        <v>904</v>
      </c>
      <c r="D9" s="115" t="s">
        <v>922</v>
      </c>
      <c r="E9" s="121">
        <f>복귀_화_팔!$E$20</f>
        <v>24</v>
      </c>
      <c r="F9" s="114" t="s">
        <v>1469</v>
      </c>
      <c r="G9" s="115" t="s">
        <v>1471</v>
      </c>
    </row>
    <row r="10" spans="1:7" ht="30" customHeight="1">
      <c r="A10" s="114" t="s">
        <v>923</v>
      </c>
      <c r="B10" s="120" t="s">
        <v>924</v>
      </c>
      <c r="C10" s="114" t="s">
        <v>904</v>
      </c>
      <c r="D10" s="115" t="s">
        <v>925</v>
      </c>
      <c r="E10" s="121">
        <f>복귀_수_하체후면!$E$41</f>
        <v>42</v>
      </c>
      <c r="F10" s="114" t="s">
        <v>926</v>
      </c>
      <c r="G10" s="115" t="s">
        <v>927</v>
      </c>
    </row>
    <row r="11" spans="1:7" ht="30" customHeight="1">
      <c r="A11" s="114" t="s">
        <v>928</v>
      </c>
      <c r="B11" s="120" t="s">
        <v>929</v>
      </c>
      <c r="C11" s="114" t="s">
        <v>904</v>
      </c>
      <c r="D11" s="115" t="s">
        <v>930</v>
      </c>
      <c r="E11" s="121">
        <f>복귀_목_수직당기기!$E$24</f>
        <v>43</v>
      </c>
      <c r="F11" s="114" t="s">
        <v>1470</v>
      </c>
      <c r="G11" s="115" t="s">
        <v>931</v>
      </c>
    </row>
    <row r="12" spans="1:7" ht="30" customHeight="1">
      <c r="A12" s="114" t="s">
        <v>932</v>
      </c>
      <c r="B12" s="120" t="s">
        <v>168</v>
      </c>
      <c r="C12" s="114" t="s">
        <v>904</v>
      </c>
      <c r="D12" s="115" t="s">
        <v>168</v>
      </c>
      <c r="E12" s="121">
        <v>0</v>
      </c>
      <c r="F12" s="114" t="s">
        <v>28</v>
      </c>
      <c r="G12" s="115" t="s">
        <v>933</v>
      </c>
    </row>
    <row r="13" spans="1:7">
      <c r="A13" s="116" t="s">
        <v>179</v>
      </c>
      <c r="B13" s="122"/>
      <c r="C13" s="122"/>
      <c r="D13" s="122"/>
      <c r="E13" s="116">
        <f>SUM(E6:E12)</f>
        <v>207</v>
      </c>
      <c r="F13" s="116" t="s">
        <v>1406</v>
      </c>
      <c r="G13" s="119"/>
    </row>
    <row r="15" spans="1:7">
      <c r="A15" s="107" t="s">
        <v>934</v>
      </c>
    </row>
    <row r="16" spans="1:7">
      <c r="A16" s="123" t="s">
        <v>935</v>
      </c>
    </row>
    <row r="17" spans="1:1">
      <c r="A17" s="123" t="s">
        <v>936</v>
      </c>
    </row>
    <row r="18" spans="1:1">
      <c r="A18" s="123" t="s">
        <v>937</v>
      </c>
    </row>
    <row r="19" spans="1:1">
      <c r="A19" s="123" t="s">
        <v>938</v>
      </c>
    </row>
    <row r="20" spans="1:1">
      <c r="A20" s="123" t="s">
        <v>939</v>
      </c>
    </row>
    <row r="21" spans="1:1">
      <c r="A21" s="123" t="s">
        <v>940</v>
      </c>
    </row>
    <row r="22" spans="1:1">
      <c r="A22" s="123" t="s">
        <v>941</v>
      </c>
    </row>
    <row r="23" spans="1:1">
      <c r="A23" s="123" t="s">
        <v>942</v>
      </c>
    </row>
    <row r="24" spans="1:1">
      <c r="A24" s="123" t="s">
        <v>943</v>
      </c>
    </row>
    <row r="25" spans="1:1">
      <c r="A25" s="123" t="s">
        <v>944</v>
      </c>
    </row>
    <row r="26" spans="1:1">
      <c r="A26" s="123" t="s">
        <v>945</v>
      </c>
    </row>
    <row r="27" spans="1:1">
      <c r="A27" s="123" t="s">
        <v>946</v>
      </c>
    </row>
    <row r="29" spans="1:1">
      <c r="A29" s="107" t="s">
        <v>947</v>
      </c>
    </row>
    <row r="30" spans="1:1">
      <c r="A30" s="123" t="s">
        <v>948</v>
      </c>
    </row>
    <row r="31" spans="1:1">
      <c r="A31" s="123" t="s">
        <v>949</v>
      </c>
    </row>
    <row r="32" spans="1:1">
      <c r="A32" s="123" t="s">
        <v>950</v>
      </c>
    </row>
    <row r="33" spans="1:1">
      <c r="A33" s="123" t="s">
        <v>951</v>
      </c>
    </row>
    <row r="34" spans="1:1">
      <c r="A34" s="123" t="s">
        <v>952</v>
      </c>
    </row>
    <row r="35" spans="1:1">
      <c r="A35" s="123" t="s">
        <v>953</v>
      </c>
    </row>
    <row r="36" spans="1:1">
      <c r="A36" s="123" t="s">
        <v>954</v>
      </c>
    </row>
    <row r="37" spans="1:1">
      <c r="A37" s="123" t="s">
        <v>955</v>
      </c>
    </row>
    <row r="38" spans="1:1">
      <c r="A38" s="123" t="s">
        <v>956</v>
      </c>
    </row>
    <row r="39" spans="1:1">
      <c r="A39" s="123" t="s">
        <v>957</v>
      </c>
    </row>
    <row r="40" spans="1:1">
      <c r="A40" s="123" t="s">
        <v>958</v>
      </c>
    </row>
    <row r="41" spans="1:1">
      <c r="A41" s="123" t="s">
        <v>959</v>
      </c>
    </row>
    <row r="42" spans="1:1">
      <c r="A42" s="123" t="s">
        <v>960</v>
      </c>
    </row>
    <row r="43" spans="1:1">
      <c r="A43" s="126" t="s">
        <v>1382</v>
      </c>
    </row>
    <row r="44" spans="1:1">
      <c r="A44" s="126" t="s">
        <v>1403</v>
      </c>
    </row>
    <row r="45" spans="1:1">
      <c r="A45" s="126" t="s">
        <v>1472</v>
      </c>
    </row>
    <row r="46" spans="1:1">
      <c r="A46" s="126" t="s">
        <v>1482</v>
      </c>
    </row>
    <row r="47" spans="1:1">
      <c r="A47" s="107" t="s">
        <v>961</v>
      </c>
    </row>
    <row r="48" spans="1:1">
      <c r="A48" s="123" t="s">
        <v>962</v>
      </c>
    </row>
    <row r="49" spans="1:1">
      <c r="A49" s="123" t="s">
        <v>963</v>
      </c>
    </row>
    <row r="50" spans="1:1">
      <c r="A50" s="123" t="s">
        <v>964</v>
      </c>
    </row>
    <row r="51" spans="1:1">
      <c r="A51" s="123" t="s">
        <v>965</v>
      </c>
    </row>
    <row r="53" spans="1:1">
      <c r="A53" s="107" t="s">
        <v>966</v>
      </c>
    </row>
    <row r="54" spans="1:1">
      <c r="A54" s="123" t="s">
        <v>967</v>
      </c>
    </row>
    <row r="55" spans="1:1">
      <c r="A55" s="123" t="s">
        <v>968</v>
      </c>
    </row>
    <row r="56" spans="1:1">
      <c r="A56" s="123" t="s">
        <v>969</v>
      </c>
    </row>
    <row r="57" spans="1:1">
      <c r="A57" s="123" t="s">
        <v>970</v>
      </c>
    </row>
    <row r="58" spans="1:1">
      <c r="A58" s="123" t="s">
        <v>971</v>
      </c>
    </row>
    <row r="60" spans="1:1">
      <c r="A60" s="107" t="s">
        <v>972</v>
      </c>
    </row>
    <row r="61" spans="1:1">
      <c r="A61" s="123" t="s">
        <v>1483</v>
      </c>
    </row>
    <row r="62" spans="1:1">
      <c r="A62" s="123" t="s">
        <v>1383</v>
      </c>
    </row>
    <row r="63" spans="1:1">
      <c r="A63" s="123" t="s">
        <v>973</v>
      </c>
    </row>
    <row r="64" spans="1:1">
      <c r="A64" s="123" t="s">
        <v>974</v>
      </c>
    </row>
    <row r="65" spans="1:1">
      <c r="A65" s="123" t="s">
        <v>1405</v>
      </c>
    </row>
    <row r="66" spans="1:1">
      <c r="A66" s="123" t="s">
        <v>975</v>
      </c>
    </row>
    <row r="68" spans="1:1">
      <c r="A68" s="107" t="s">
        <v>976</v>
      </c>
    </row>
    <row r="69" spans="1:1">
      <c r="A69" s="123" t="s">
        <v>977</v>
      </c>
    </row>
    <row r="70" spans="1:1">
      <c r="A70" s="123" t="s">
        <v>978</v>
      </c>
    </row>
    <row r="71" spans="1:1">
      <c r="A71" s="123" t="s">
        <v>979</v>
      </c>
    </row>
    <row r="72" spans="1:1">
      <c r="A72" s="123" t="s">
        <v>980</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workbookViewId="0">
      <selection activeCell="K32" sqref="K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981</v>
      </c>
    </row>
    <row r="4" spans="1:3">
      <c r="A4" s="107" t="s">
        <v>375</v>
      </c>
    </row>
    <row r="5" spans="1:3">
      <c r="A5" s="108" t="s">
        <v>263</v>
      </c>
      <c r="B5" s="108" t="s">
        <v>338</v>
      </c>
      <c r="C5" s="108" t="s">
        <v>156</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982</v>
      </c>
    </row>
    <row r="13" spans="1:3">
      <c r="A13" s="110" t="s">
        <v>983</v>
      </c>
    </row>
    <row r="14" spans="1:3">
      <c r="A14" s="110" t="s">
        <v>984</v>
      </c>
    </row>
    <row r="15" spans="1:3">
      <c r="A15" s="110" t="s">
        <v>985</v>
      </c>
    </row>
    <row r="16" spans="1:3">
      <c r="A16" s="110" t="s">
        <v>343</v>
      </c>
    </row>
    <row r="18" spans="1:14">
      <c r="A18" s="107" t="s">
        <v>260</v>
      </c>
    </row>
    <row r="19" spans="1:14" ht="15" customHeight="1">
      <c r="A19" s="111" t="s">
        <v>261</v>
      </c>
      <c r="B19" s="111" t="s">
        <v>83</v>
      </c>
      <c r="C19" s="111" t="s">
        <v>262</v>
      </c>
      <c r="D19" s="111" t="s">
        <v>263</v>
      </c>
      <c r="E19" s="111" t="s">
        <v>156</v>
      </c>
      <c r="F19" s="111" t="s">
        <v>264</v>
      </c>
      <c r="G19" s="111" t="s">
        <v>265</v>
      </c>
      <c r="H19" s="111" t="s">
        <v>266</v>
      </c>
      <c r="I19" s="111" t="s">
        <v>267</v>
      </c>
      <c r="J19" s="111" t="s">
        <v>269</v>
      </c>
      <c r="K19" s="111" t="s">
        <v>270</v>
      </c>
      <c r="L19" s="111" t="s">
        <v>271</v>
      </c>
      <c r="M19" s="111" t="s">
        <v>272</v>
      </c>
      <c r="N19" s="111" t="s">
        <v>273</v>
      </c>
    </row>
    <row r="20" spans="1:14" ht="30" customHeight="1">
      <c r="A20" s="112">
        <v>1</v>
      </c>
      <c r="B20" s="113" t="s">
        <v>89</v>
      </c>
      <c r="C20" s="112" t="s">
        <v>377</v>
      </c>
      <c r="D20" s="112">
        <f>시작중량_설정!$E$7</f>
        <v>75</v>
      </c>
      <c r="E20" s="112">
        <v>5</v>
      </c>
      <c r="F20" s="112">
        <v>5</v>
      </c>
      <c r="G20" s="112">
        <v>30</v>
      </c>
      <c r="H20" s="112">
        <v>180</v>
      </c>
      <c r="I20" s="112">
        <f t="shared" ref="I20:I29" si="0">IF(E20=0,0,ROUND((E20*(G20+H20)+N20)/60,1))</f>
        <v>17.5</v>
      </c>
      <c r="J20" s="113" t="s">
        <v>986</v>
      </c>
      <c r="K20" s="113" t="s">
        <v>987</v>
      </c>
      <c r="L20" s="112" t="s">
        <v>350</v>
      </c>
      <c r="M20" s="112"/>
      <c r="N20" s="112"/>
    </row>
    <row r="21" spans="1:14" ht="30" customHeight="1">
      <c r="A21" s="114">
        <v>2</v>
      </c>
      <c r="B21" s="115" t="s">
        <v>382</v>
      </c>
      <c r="C21" s="114" t="s">
        <v>377</v>
      </c>
      <c r="D21" s="114">
        <v>150</v>
      </c>
      <c r="E21" s="114">
        <v>4</v>
      </c>
      <c r="F21" s="114" t="s">
        <v>282</v>
      </c>
      <c r="G21" s="114">
        <v>45</v>
      </c>
      <c r="H21" s="114">
        <v>150</v>
      </c>
      <c r="I21" s="114">
        <f t="shared" si="0"/>
        <v>13</v>
      </c>
      <c r="J21" s="115" t="s">
        <v>988</v>
      </c>
      <c r="K21" s="115" t="s">
        <v>989</v>
      </c>
      <c r="L21" s="114"/>
      <c r="M21" s="114"/>
      <c r="N21" s="114"/>
    </row>
    <row r="22" spans="1:14" ht="30" customHeight="1">
      <c r="A22" s="114">
        <v>3</v>
      </c>
      <c r="B22" s="115" t="s">
        <v>575</v>
      </c>
      <c r="C22" s="114" t="s">
        <v>377</v>
      </c>
      <c r="D22" s="114">
        <v>47</v>
      </c>
      <c r="E22" s="114">
        <v>3</v>
      </c>
      <c r="F22" s="114" t="s">
        <v>358</v>
      </c>
      <c r="G22" s="114">
        <v>40</v>
      </c>
      <c r="H22" s="114">
        <v>120</v>
      </c>
      <c r="I22" s="114">
        <f t="shared" si="0"/>
        <v>9.3000000000000007</v>
      </c>
      <c r="J22" s="115" t="s">
        <v>990</v>
      </c>
      <c r="K22" s="115" t="s">
        <v>991</v>
      </c>
      <c r="L22" s="114"/>
      <c r="M22" s="114"/>
      <c r="N22" s="114">
        <v>75</v>
      </c>
    </row>
    <row r="23" spans="1:14" ht="30" customHeight="1">
      <c r="A23" s="114">
        <v>4</v>
      </c>
      <c r="B23" s="115" t="s">
        <v>516</v>
      </c>
      <c r="C23" s="114" t="s">
        <v>437</v>
      </c>
      <c r="D23" s="114">
        <v>30</v>
      </c>
      <c r="E23" s="114">
        <v>3</v>
      </c>
      <c r="F23" s="114" t="s">
        <v>282</v>
      </c>
      <c r="G23" s="114">
        <v>40</v>
      </c>
      <c r="H23" s="114">
        <v>120</v>
      </c>
      <c r="I23" s="114">
        <f t="shared" si="0"/>
        <v>8</v>
      </c>
      <c r="J23" s="115" t="s">
        <v>992</v>
      </c>
      <c r="K23" s="115" t="s">
        <v>591</v>
      </c>
      <c r="L23" s="114"/>
      <c r="M23" s="114"/>
      <c r="N23" s="114"/>
    </row>
    <row r="24" spans="1:14" ht="30" customHeight="1">
      <c r="A24" s="114">
        <v>5</v>
      </c>
      <c r="B24" s="115" t="s">
        <v>361</v>
      </c>
      <c r="C24" s="114" t="s">
        <v>362</v>
      </c>
      <c r="D24" s="114">
        <v>8</v>
      </c>
      <c r="E24" s="114">
        <v>4</v>
      </c>
      <c r="F24" s="114" t="s">
        <v>297</v>
      </c>
      <c r="G24" s="114">
        <v>40</v>
      </c>
      <c r="H24" s="114">
        <v>60</v>
      </c>
      <c r="I24" s="114">
        <f t="shared" si="0"/>
        <v>7.7</v>
      </c>
      <c r="J24" s="115" t="s">
        <v>1366</v>
      </c>
      <c r="K24" s="115" t="s">
        <v>993</v>
      </c>
      <c r="L24" s="114"/>
      <c r="M24" s="114"/>
      <c r="N24" s="114">
        <v>60</v>
      </c>
    </row>
    <row r="25" spans="1:14" ht="30" customHeight="1">
      <c r="A25" s="114">
        <v>6</v>
      </c>
      <c r="B25" s="115" t="s">
        <v>994</v>
      </c>
      <c r="C25" s="114" t="s">
        <v>366</v>
      </c>
      <c r="D25" s="114">
        <v>30</v>
      </c>
      <c r="E25" s="114">
        <v>4</v>
      </c>
      <c r="F25" s="114" t="s">
        <v>297</v>
      </c>
      <c r="G25" s="114">
        <v>40</v>
      </c>
      <c r="H25" s="114">
        <v>60</v>
      </c>
      <c r="I25" s="114">
        <f t="shared" si="0"/>
        <v>7.7</v>
      </c>
      <c r="J25" s="115" t="s">
        <v>1367</v>
      </c>
      <c r="K25" s="115" t="s">
        <v>995</v>
      </c>
      <c r="L25" s="114"/>
      <c r="M25" s="114"/>
      <c r="N25" s="114">
        <v>60</v>
      </c>
    </row>
    <row r="26" spans="1:14" ht="30" customHeight="1">
      <c r="A26" s="114">
        <v>7</v>
      </c>
      <c r="B26" s="115" t="s">
        <v>391</v>
      </c>
      <c r="C26" s="114" t="s">
        <v>392</v>
      </c>
      <c r="D26" s="114">
        <v>50</v>
      </c>
      <c r="E26" s="114">
        <v>4</v>
      </c>
      <c r="F26" s="114" t="s">
        <v>358</v>
      </c>
      <c r="G26" s="114">
        <v>40</v>
      </c>
      <c r="H26" s="114">
        <v>120</v>
      </c>
      <c r="I26" s="114">
        <f t="shared" si="0"/>
        <v>11.9</v>
      </c>
      <c r="J26" s="115" t="s">
        <v>996</v>
      </c>
      <c r="K26" s="115" t="s">
        <v>997</v>
      </c>
      <c r="L26" s="114"/>
      <c r="M26" s="114"/>
      <c r="N26" s="114">
        <v>75</v>
      </c>
    </row>
    <row r="27" spans="1:14" ht="30" customHeight="1">
      <c r="A27" s="114">
        <v>8</v>
      </c>
      <c r="B27" s="115" t="s">
        <v>395</v>
      </c>
      <c r="C27" s="114" t="s">
        <v>396</v>
      </c>
      <c r="D27" s="114">
        <v>40</v>
      </c>
      <c r="E27" s="114">
        <v>4</v>
      </c>
      <c r="F27" s="114" t="s">
        <v>297</v>
      </c>
      <c r="G27" s="114">
        <v>40</v>
      </c>
      <c r="H27" s="114">
        <v>10</v>
      </c>
      <c r="I27" s="114">
        <f t="shared" si="0"/>
        <v>3.3</v>
      </c>
      <c r="J27" s="115" t="s">
        <v>998</v>
      </c>
      <c r="K27" s="115" t="s">
        <v>999</v>
      </c>
      <c r="L27" s="114"/>
      <c r="M27" s="114" t="s">
        <v>399</v>
      </c>
      <c r="N27" s="114"/>
    </row>
    <row r="28" spans="1:14" ht="30" customHeight="1">
      <c r="A28" s="114">
        <v>9</v>
      </c>
      <c r="B28" s="115" t="s">
        <v>400</v>
      </c>
      <c r="C28" s="114" t="s">
        <v>401</v>
      </c>
      <c r="D28" s="114">
        <v>55</v>
      </c>
      <c r="E28" s="114">
        <v>4</v>
      </c>
      <c r="F28" s="114" t="s">
        <v>297</v>
      </c>
      <c r="G28" s="114">
        <v>40</v>
      </c>
      <c r="H28" s="114">
        <v>120</v>
      </c>
      <c r="I28" s="114">
        <f t="shared" si="0"/>
        <v>10.7</v>
      </c>
      <c r="J28" s="115" t="s">
        <v>1000</v>
      </c>
      <c r="K28" s="115" t="s">
        <v>1001</v>
      </c>
      <c r="L28" s="114"/>
      <c r="M28" s="114" t="s">
        <v>399</v>
      </c>
      <c r="N28" s="114"/>
    </row>
    <row r="29" spans="1:14" ht="30" customHeight="1">
      <c r="A29" s="114">
        <v>10</v>
      </c>
      <c r="B29" s="115" t="s">
        <v>496</v>
      </c>
      <c r="C29" s="114" t="s">
        <v>316</v>
      </c>
      <c r="D29" s="114">
        <v>16</v>
      </c>
      <c r="E29" s="114">
        <v>6</v>
      </c>
      <c r="F29" s="114" t="s">
        <v>297</v>
      </c>
      <c r="G29" s="114">
        <v>40</v>
      </c>
      <c r="H29" s="114">
        <v>75</v>
      </c>
      <c r="I29" s="114">
        <f t="shared" si="0"/>
        <v>11.5</v>
      </c>
      <c r="J29" s="115" t="s">
        <v>1002</v>
      </c>
      <c r="K29" s="115" t="s">
        <v>1003</v>
      </c>
      <c r="L29" s="114"/>
      <c r="M29" s="114"/>
      <c r="N29" s="114"/>
    </row>
    <row r="30" spans="1:14">
      <c r="A30" s="116"/>
      <c r="B30" s="116"/>
      <c r="C30" s="116"/>
      <c r="D30" s="116" t="s">
        <v>329</v>
      </c>
      <c r="E30" s="116">
        <f>SUM(E20:E29)</f>
        <v>41</v>
      </c>
      <c r="F30" s="116"/>
      <c r="G30" s="116"/>
      <c r="H30" s="116"/>
      <c r="I30" s="116">
        <f>ROUND(SUM(I20:I29),0)</f>
        <v>101</v>
      </c>
    </row>
    <row r="32" spans="1:14">
      <c r="A32" s="107" t="s">
        <v>1004</v>
      </c>
    </row>
    <row r="33" spans="1:1">
      <c r="A33" s="117" t="s">
        <v>1005</v>
      </c>
    </row>
    <row r="34" spans="1:1">
      <c r="A34" s="117" t="s">
        <v>1006</v>
      </c>
    </row>
    <row r="35" spans="1:1">
      <c r="A35" s="117" t="s">
        <v>1007</v>
      </c>
    </row>
    <row r="36" spans="1:1">
      <c r="A36" s="117" t="s">
        <v>1008</v>
      </c>
    </row>
    <row r="37" spans="1:1">
      <c r="A37" s="117" t="s">
        <v>1009</v>
      </c>
    </row>
    <row r="38" spans="1:1">
      <c r="A38" s="117" t="s">
        <v>1010</v>
      </c>
    </row>
    <row r="40" spans="1:1">
      <c r="A40" s="107" t="s">
        <v>972</v>
      </c>
    </row>
    <row r="41" spans="1:1">
      <c r="A41" s="117" t="s">
        <v>1011</v>
      </c>
    </row>
    <row r="42" spans="1:1">
      <c r="A42" s="117" t="s">
        <v>1012</v>
      </c>
    </row>
    <row r="43" spans="1:1">
      <c r="A43" s="117" t="s">
        <v>1013</v>
      </c>
    </row>
    <row r="45" spans="1:1">
      <c r="A45" s="107" t="s">
        <v>1014</v>
      </c>
    </row>
    <row r="46" spans="1:1">
      <c r="A46" s="117" t="s">
        <v>1015</v>
      </c>
    </row>
    <row r="47" spans="1:1">
      <c r="A47" s="117" t="s">
        <v>1016</v>
      </c>
    </row>
    <row r="48" spans="1:1">
      <c r="A48" s="117" t="s">
        <v>1017</v>
      </c>
    </row>
    <row r="50" spans="3:3">
      <c r="C50" s="118" t="s">
        <v>1018</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J29" sqref="J29"/>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1019</v>
      </c>
    </row>
    <row r="4" spans="1:14">
      <c r="A4" s="107" t="s">
        <v>1020</v>
      </c>
    </row>
    <row r="5" spans="1:14">
      <c r="A5" s="110" t="s">
        <v>1021</v>
      </c>
    </row>
    <row r="6" spans="1:14">
      <c r="A6" s="110" t="s">
        <v>984</v>
      </c>
    </row>
    <row r="7" spans="1:14">
      <c r="A7" s="110" t="s">
        <v>1022</v>
      </c>
    </row>
    <row r="9" spans="1:14">
      <c r="A9" s="107" t="s">
        <v>260</v>
      </c>
    </row>
    <row r="10" spans="1:14" ht="15" customHeight="1">
      <c r="A10" s="111" t="s">
        <v>261</v>
      </c>
      <c r="B10" s="111" t="s">
        <v>83</v>
      </c>
      <c r="C10" s="111" t="s">
        <v>262</v>
      </c>
      <c r="D10" s="111" t="s">
        <v>263</v>
      </c>
      <c r="E10" s="111" t="s">
        <v>156</v>
      </c>
      <c r="F10" s="111" t="s">
        <v>264</v>
      </c>
      <c r="G10" s="111" t="s">
        <v>265</v>
      </c>
      <c r="H10" s="111" t="s">
        <v>266</v>
      </c>
      <c r="I10" s="111" t="s">
        <v>267</v>
      </c>
      <c r="J10" s="111" t="s">
        <v>269</v>
      </c>
      <c r="K10" s="111" t="s">
        <v>270</v>
      </c>
      <c r="L10" s="111" t="s">
        <v>271</v>
      </c>
      <c r="M10" s="111" t="s">
        <v>272</v>
      </c>
      <c r="N10" s="111" t="s">
        <v>273</v>
      </c>
    </row>
    <row r="11" spans="1:14" ht="30" customHeight="1">
      <c r="A11" s="114">
        <v>1</v>
      </c>
      <c r="B11" s="115" t="s">
        <v>1023</v>
      </c>
      <c r="C11" s="114" t="s">
        <v>290</v>
      </c>
      <c r="D11" s="114">
        <v>45</v>
      </c>
      <c r="E11" s="114">
        <v>4</v>
      </c>
      <c r="F11" s="114" t="s">
        <v>292</v>
      </c>
      <c r="G11" s="114">
        <v>40</v>
      </c>
      <c r="H11" s="114">
        <v>150</v>
      </c>
      <c r="I11" s="114">
        <f t="shared" ref="I11:I21" si="0">IF(E11=0,0,ROUND((E11*(G11+H11)+N11)/60,1))</f>
        <v>12.7</v>
      </c>
      <c r="J11" s="115" t="s">
        <v>1024</v>
      </c>
      <c r="K11" s="115" t="s">
        <v>1025</v>
      </c>
      <c r="L11" s="114" t="s">
        <v>1026</v>
      </c>
      <c r="M11" s="114"/>
      <c r="N11" s="114"/>
    </row>
    <row r="12" spans="1:14" ht="30" customHeight="1">
      <c r="A12" s="114">
        <v>2</v>
      </c>
      <c r="B12" s="115" t="s">
        <v>473</v>
      </c>
      <c r="C12" s="114" t="s">
        <v>290</v>
      </c>
      <c r="D12" s="114">
        <v>60</v>
      </c>
      <c r="E12" s="114">
        <v>3</v>
      </c>
      <c r="F12" s="114" t="s">
        <v>292</v>
      </c>
      <c r="G12" s="114">
        <v>40</v>
      </c>
      <c r="H12" s="114">
        <v>150</v>
      </c>
      <c r="I12" s="114">
        <f t="shared" si="0"/>
        <v>9.5</v>
      </c>
      <c r="J12" s="75" t="s">
        <v>1407</v>
      </c>
      <c r="K12" s="115" t="s">
        <v>1027</v>
      </c>
      <c r="L12" s="114" t="s">
        <v>1028</v>
      </c>
      <c r="M12" s="114"/>
      <c r="N12" s="114"/>
    </row>
    <row r="13" spans="1:14" ht="30" customHeight="1">
      <c r="A13" s="114">
        <v>3</v>
      </c>
      <c r="B13" s="115" t="s">
        <v>1390</v>
      </c>
      <c r="C13" s="114" t="s">
        <v>1391</v>
      </c>
      <c r="D13" s="114">
        <v>50</v>
      </c>
      <c r="E13" s="114">
        <v>1</v>
      </c>
      <c r="F13" s="114" t="s">
        <v>1392</v>
      </c>
      <c r="G13" s="114">
        <v>40</v>
      </c>
      <c r="H13" s="114">
        <v>120</v>
      </c>
      <c r="I13" s="114">
        <f t="shared" ref="I13" si="1">IF(E13=0,0,ROUND((E13*(G13+H13)+N13)/60,1))</f>
        <v>2.7</v>
      </c>
      <c r="J13" s="115" t="s">
        <v>1393</v>
      </c>
      <c r="K13" s="115" t="s">
        <v>1394</v>
      </c>
      <c r="L13" s="114"/>
      <c r="M13" s="114"/>
      <c r="N13" s="114"/>
    </row>
    <row r="14" spans="1:14" ht="30" customHeight="1">
      <c r="A14" s="114">
        <v>4</v>
      </c>
      <c r="B14" s="115" t="s">
        <v>480</v>
      </c>
      <c r="C14" s="114" t="s">
        <v>275</v>
      </c>
      <c r="D14" s="114">
        <v>25</v>
      </c>
      <c r="E14" s="114">
        <v>3</v>
      </c>
      <c r="F14" s="114" t="s">
        <v>286</v>
      </c>
      <c r="G14" s="114">
        <v>60</v>
      </c>
      <c r="H14" s="114">
        <v>120</v>
      </c>
      <c r="I14" s="114">
        <f t="shared" si="0"/>
        <v>9</v>
      </c>
      <c r="J14" s="115" t="s">
        <v>1395</v>
      </c>
      <c r="K14" s="115" t="s">
        <v>1029</v>
      </c>
      <c r="L14" s="114"/>
      <c r="M14" s="114"/>
      <c r="N14" s="114"/>
    </row>
    <row r="15" spans="1:14" ht="30" customHeight="1">
      <c r="A15" s="114">
        <v>5</v>
      </c>
      <c r="B15" s="115" t="s">
        <v>483</v>
      </c>
      <c r="C15" s="114" t="s">
        <v>290</v>
      </c>
      <c r="D15" s="114">
        <v>45</v>
      </c>
      <c r="E15" s="114">
        <v>3</v>
      </c>
      <c r="F15" s="114" t="s">
        <v>297</v>
      </c>
      <c r="G15" s="114">
        <v>40</v>
      </c>
      <c r="H15" s="114">
        <v>75</v>
      </c>
      <c r="I15" s="114">
        <f t="shared" si="0"/>
        <v>6.8</v>
      </c>
      <c r="J15" s="115" t="s">
        <v>1030</v>
      </c>
      <c r="K15" s="115" t="s">
        <v>1031</v>
      </c>
      <c r="L15" s="114"/>
      <c r="M15" s="114"/>
      <c r="N15" s="114">
        <v>60</v>
      </c>
    </row>
    <row r="16" spans="1:14" ht="30" customHeight="1">
      <c r="A16" s="114">
        <v>6</v>
      </c>
      <c r="B16" s="115" t="s">
        <v>492</v>
      </c>
      <c r="C16" s="114" t="s">
        <v>415</v>
      </c>
      <c r="D16" s="114">
        <v>20</v>
      </c>
      <c r="E16" s="114">
        <v>3</v>
      </c>
      <c r="F16" s="114" t="s">
        <v>358</v>
      </c>
      <c r="G16" s="114">
        <v>40</v>
      </c>
      <c r="H16" s="114">
        <v>90</v>
      </c>
      <c r="I16" s="114">
        <f t="shared" si="0"/>
        <v>6.5</v>
      </c>
      <c r="J16" s="115" t="s">
        <v>1032</v>
      </c>
      <c r="K16" s="115" t="s">
        <v>1033</v>
      </c>
      <c r="L16" s="114"/>
      <c r="M16" s="114"/>
      <c r="N16" s="114"/>
    </row>
    <row r="17" spans="1:14" ht="30" customHeight="1">
      <c r="A17" s="114">
        <v>7</v>
      </c>
      <c r="B17" s="115" t="s">
        <v>369</v>
      </c>
      <c r="C17" s="114" t="s">
        <v>353</v>
      </c>
      <c r="D17" s="114">
        <v>25</v>
      </c>
      <c r="E17" s="114">
        <v>3</v>
      </c>
      <c r="F17" s="114" t="s">
        <v>282</v>
      </c>
      <c r="G17" s="114">
        <v>40</v>
      </c>
      <c r="H17" s="114">
        <v>75</v>
      </c>
      <c r="I17" s="114">
        <f t="shared" si="0"/>
        <v>6.8</v>
      </c>
      <c r="J17" s="115" t="s">
        <v>1034</v>
      </c>
      <c r="K17" s="115" t="s">
        <v>1035</v>
      </c>
      <c r="L17" s="114"/>
      <c r="M17" s="114"/>
      <c r="N17" s="114">
        <v>60</v>
      </c>
    </row>
    <row r="18" spans="1:14" ht="30" customHeight="1">
      <c r="A18" s="114">
        <v>8</v>
      </c>
      <c r="B18" s="115" t="s">
        <v>489</v>
      </c>
      <c r="C18" s="114" t="s">
        <v>277</v>
      </c>
      <c r="D18" s="114">
        <v>30</v>
      </c>
      <c r="E18" s="114">
        <v>3</v>
      </c>
      <c r="F18" s="114" t="s">
        <v>282</v>
      </c>
      <c r="G18" s="114">
        <v>40</v>
      </c>
      <c r="H18" s="114">
        <v>75</v>
      </c>
      <c r="I18" s="114">
        <f t="shared" si="0"/>
        <v>6.8</v>
      </c>
      <c r="J18" s="115" t="s">
        <v>1036</v>
      </c>
      <c r="K18" s="115" t="s">
        <v>1037</v>
      </c>
      <c r="L18" s="114"/>
      <c r="M18" s="114"/>
      <c r="N18" s="114">
        <v>60</v>
      </c>
    </row>
    <row r="19" spans="1:14" ht="30" customHeight="1">
      <c r="A19" s="114">
        <v>9</v>
      </c>
      <c r="B19" s="115" t="s">
        <v>1038</v>
      </c>
      <c r="C19" s="114" t="s">
        <v>303</v>
      </c>
      <c r="D19" s="114">
        <v>15</v>
      </c>
      <c r="E19" s="114">
        <v>3</v>
      </c>
      <c r="F19" s="114">
        <v>15</v>
      </c>
      <c r="G19" s="114">
        <v>40</v>
      </c>
      <c r="H19" s="114">
        <v>10</v>
      </c>
      <c r="I19" s="114">
        <f t="shared" si="0"/>
        <v>2.5</v>
      </c>
      <c r="J19" s="115" t="s">
        <v>1476</v>
      </c>
      <c r="K19" s="115" t="s">
        <v>1039</v>
      </c>
      <c r="L19" s="114"/>
      <c r="M19" s="114" t="s">
        <v>399</v>
      </c>
      <c r="N19" s="114"/>
    </row>
    <row r="20" spans="1:14" ht="30" customHeight="1">
      <c r="A20" s="114">
        <v>10</v>
      </c>
      <c r="B20" s="115" t="s">
        <v>602</v>
      </c>
      <c r="C20" s="114" t="s">
        <v>303</v>
      </c>
      <c r="D20" s="114">
        <v>15</v>
      </c>
      <c r="E20" s="114">
        <v>3</v>
      </c>
      <c r="F20" s="114">
        <v>15</v>
      </c>
      <c r="G20" s="114">
        <v>40</v>
      </c>
      <c r="H20" s="114">
        <v>60</v>
      </c>
      <c r="I20" s="114">
        <f t="shared" si="0"/>
        <v>5</v>
      </c>
      <c r="J20" s="115" t="s">
        <v>1040</v>
      </c>
      <c r="K20" s="115" t="s">
        <v>1041</v>
      </c>
      <c r="L20" s="114"/>
      <c r="M20" s="114" t="s">
        <v>399</v>
      </c>
      <c r="N20" s="114"/>
    </row>
    <row r="21" spans="1:14" ht="30" customHeight="1">
      <c r="A21" s="114">
        <v>11</v>
      </c>
      <c r="B21" s="115" t="s">
        <v>326</v>
      </c>
      <c r="C21" s="114" t="s">
        <v>321</v>
      </c>
      <c r="D21" s="114">
        <v>20</v>
      </c>
      <c r="E21" s="114">
        <v>3</v>
      </c>
      <c r="F21" s="114" t="s">
        <v>297</v>
      </c>
      <c r="G21" s="114">
        <v>40</v>
      </c>
      <c r="H21" s="114">
        <v>60</v>
      </c>
      <c r="I21" s="114">
        <f t="shared" si="0"/>
        <v>5</v>
      </c>
      <c r="J21" s="115" t="s">
        <v>1042</v>
      </c>
      <c r="K21" s="115" t="s">
        <v>1043</v>
      </c>
      <c r="L21" s="114"/>
      <c r="M21" s="114"/>
      <c r="N21" s="114"/>
    </row>
    <row r="22" spans="1:14">
      <c r="A22" s="116"/>
      <c r="B22" s="116"/>
      <c r="C22" s="116"/>
      <c r="D22" s="116" t="s">
        <v>329</v>
      </c>
      <c r="E22" s="116">
        <f>SUM(E11:E21)</f>
        <v>32</v>
      </c>
      <c r="F22" s="116"/>
      <c r="G22" s="116"/>
      <c r="H22" s="116"/>
      <c r="I22" s="116">
        <f>ROUND(SUM(I11:I21),0)</f>
        <v>73</v>
      </c>
    </row>
    <row r="24" spans="1:14">
      <c r="A24" s="107" t="s">
        <v>1044</v>
      </c>
    </row>
    <row r="25" spans="1:14">
      <c r="A25" s="117" t="s">
        <v>1045</v>
      </c>
    </row>
    <row r="26" spans="1:14">
      <c r="A26" s="117" t="s">
        <v>1046</v>
      </c>
    </row>
    <row r="27" spans="1:14">
      <c r="A27" s="117" t="s">
        <v>1047</v>
      </c>
    </row>
    <row r="28" spans="1:14">
      <c r="A28" s="117" t="s">
        <v>1048</v>
      </c>
    </row>
    <row r="29" spans="1:14">
      <c r="A29" s="117" t="s">
        <v>1049</v>
      </c>
    </row>
    <row r="31" spans="1:14">
      <c r="A31" s="107" t="s">
        <v>1050</v>
      </c>
    </row>
    <row r="32" spans="1:14">
      <c r="A32" s="117" t="s">
        <v>1051</v>
      </c>
    </row>
    <row r="33" spans="1:1">
      <c r="A33" s="117" t="s">
        <v>1396</v>
      </c>
    </row>
    <row r="34" spans="1:1">
      <c r="A34" s="117" t="s">
        <v>1052</v>
      </c>
    </row>
    <row r="36" spans="1:1">
      <c r="A36" s="107" t="s">
        <v>972</v>
      </c>
    </row>
    <row r="37" spans="1:1">
      <c r="A37" s="117" t="s">
        <v>1404</v>
      </c>
    </row>
    <row r="38" spans="1:1">
      <c r="A38" s="117" t="s">
        <v>1053</v>
      </c>
    </row>
    <row r="39" spans="1:1">
      <c r="A39" s="117" t="s">
        <v>1397</v>
      </c>
    </row>
    <row r="41" spans="1:1">
      <c r="A41" s="107" t="s">
        <v>1014</v>
      </c>
    </row>
    <row r="42" spans="1:1">
      <c r="A42" s="117" t="s">
        <v>1054</v>
      </c>
    </row>
    <row r="43" spans="1:1">
      <c r="A43" s="117" t="s">
        <v>1055</v>
      </c>
    </row>
    <row r="44" spans="1:1">
      <c r="A44" s="117" t="s">
        <v>1056</v>
      </c>
    </row>
    <row r="45" spans="1:1">
      <c r="A45" s="117" t="s">
        <v>1398</v>
      </c>
    </row>
    <row r="46" spans="1:1">
      <c r="A46" s="117" t="s">
        <v>1057</v>
      </c>
    </row>
    <row r="47" spans="1:1">
      <c r="A47" s="117" t="s">
        <v>1017</v>
      </c>
    </row>
    <row r="49" spans="3:3">
      <c r="C49" s="118" t="s">
        <v>1058</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6"/>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1059</v>
      </c>
    </row>
    <row r="4" spans="1:3">
      <c r="A4" s="107" t="s">
        <v>337</v>
      </c>
    </row>
    <row r="5" spans="1:3">
      <c r="A5" s="108" t="s">
        <v>263</v>
      </c>
      <c r="B5" s="108" t="s">
        <v>338</v>
      </c>
      <c r="C5" s="108" t="s">
        <v>156</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340</v>
      </c>
    </row>
    <row r="13" spans="1:3">
      <c r="A13" s="110" t="s">
        <v>984</v>
      </c>
    </row>
    <row r="14" spans="1:3">
      <c r="A14" s="110" t="s">
        <v>343</v>
      </c>
    </row>
    <row r="16" spans="1:3">
      <c r="A16" s="107" t="s">
        <v>260</v>
      </c>
    </row>
    <row r="17" spans="1:14" ht="15" customHeight="1">
      <c r="A17" s="111" t="s">
        <v>261</v>
      </c>
      <c r="B17" s="111" t="s">
        <v>83</v>
      </c>
      <c r="C17" s="111" t="s">
        <v>262</v>
      </c>
      <c r="D17" s="111" t="s">
        <v>263</v>
      </c>
      <c r="E17" s="111" t="s">
        <v>156</v>
      </c>
      <c r="F17" s="111" t="s">
        <v>264</v>
      </c>
      <c r="G17" s="111" t="s">
        <v>265</v>
      </c>
      <c r="H17" s="111" t="s">
        <v>266</v>
      </c>
      <c r="I17" s="111" t="s">
        <v>267</v>
      </c>
      <c r="J17" s="111" t="s">
        <v>269</v>
      </c>
      <c r="K17" s="111" t="s">
        <v>270</v>
      </c>
      <c r="L17" s="111" t="s">
        <v>271</v>
      </c>
      <c r="M17" s="111" t="s">
        <v>272</v>
      </c>
      <c r="N17" s="111" t="s">
        <v>273</v>
      </c>
    </row>
    <row r="18" spans="1:14" ht="30" customHeight="1">
      <c r="A18" s="112">
        <v>1</v>
      </c>
      <c r="B18" s="113" t="s">
        <v>93</v>
      </c>
      <c r="C18" s="112" t="s">
        <v>345</v>
      </c>
      <c r="D18" s="112">
        <f>시작중량_설정!$E$9</f>
        <v>41</v>
      </c>
      <c r="E18" s="112">
        <v>4</v>
      </c>
      <c r="F18" s="112">
        <v>8</v>
      </c>
      <c r="G18" s="112">
        <v>50</v>
      </c>
      <c r="H18" s="112">
        <v>180</v>
      </c>
      <c r="I18" s="112">
        <f t="shared" ref="I18:I22" si="0">IF(E18=0,0,ROUND((E18*(G18+H18)+N18)/60,1))</f>
        <v>15.3</v>
      </c>
      <c r="J18" s="113" t="s">
        <v>1060</v>
      </c>
      <c r="K18" s="113" t="s">
        <v>1061</v>
      </c>
      <c r="L18" s="112" t="s">
        <v>1062</v>
      </c>
      <c r="M18" s="112"/>
      <c r="N18" s="112"/>
    </row>
    <row r="19" spans="1:14" ht="30" customHeight="1">
      <c r="A19" s="114">
        <v>2</v>
      </c>
      <c r="B19" s="115" t="s">
        <v>525</v>
      </c>
      <c r="C19" s="114" t="s">
        <v>357</v>
      </c>
      <c r="D19" s="114">
        <v>35</v>
      </c>
      <c r="E19" s="114">
        <v>3</v>
      </c>
      <c r="F19" s="114" t="s">
        <v>292</v>
      </c>
      <c r="G19" s="114">
        <v>40</v>
      </c>
      <c r="H19" s="114">
        <v>150</v>
      </c>
      <c r="I19" s="114">
        <f t="shared" si="0"/>
        <v>9.5</v>
      </c>
      <c r="J19" s="115" t="s">
        <v>1063</v>
      </c>
      <c r="K19" s="115" t="s">
        <v>1064</v>
      </c>
      <c r="L19" s="114"/>
      <c r="M19" s="114"/>
      <c r="N19" s="114"/>
    </row>
    <row r="20" spans="1:14" ht="30" customHeight="1">
      <c r="A20" s="114">
        <v>3</v>
      </c>
      <c r="B20" s="115" t="s">
        <v>594</v>
      </c>
      <c r="C20" s="114" t="s">
        <v>357</v>
      </c>
      <c r="D20" s="114" t="s">
        <v>352</v>
      </c>
      <c r="E20" s="114">
        <v>3</v>
      </c>
      <c r="F20" s="114" t="s">
        <v>358</v>
      </c>
      <c r="G20" s="114">
        <v>40</v>
      </c>
      <c r="H20" s="114">
        <v>105</v>
      </c>
      <c r="I20" s="114">
        <f t="shared" si="0"/>
        <v>7.3</v>
      </c>
      <c r="J20" s="115" t="s">
        <v>1065</v>
      </c>
      <c r="K20" s="115" t="s">
        <v>1066</v>
      </c>
      <c r="L20" s="114"/>
      <c r="M20" s="114"/>
      <c r="N20" s="114"/>
    </row>
    <row r="21" spans="1:14" ht="30" customHeight="1">
      <c r="A21" s="114">
        <v>4</v>
      </c>
      <c r="B21" s="115" t="s">
        <v>351</v>
      </c>
      <c r="C21" s="114" t="s">
        <v>345</v>
      </c>
      <c r="D21" s="114" t="s">
        <v>291</v>
      </c>
      <c r="E21" s="114">
        <v>3</v>
      </c>
      <c r="F21" s="114" t="s">
        <v>282</v>
      </c>
      <c r="G21" s="114">
        <v>40</v>
      </c>
      <c r="H21" s="114">
        <v>120</v>
      </c>
      <c r="I21" s="114">
        <f t="shared" si="0"/>
        <v>8</v>
      </c>
      <c r="J21" s="115" t="s">
        <v>1067</v>
      </c>
      <c r="K21" s="115" t="s">
        <v>1068</v>
      </c>
      <c r="L21" s="114" t="s">
        <v>1069</v>
      </c>
      <c r="M21" s="114"/>
      <c r="N21" s="114"/>
    </row>
    <row r="22" spans="1:14" ht="30" customHeight="1">
      <c r="A22" s="114">
        <v>5</v>
      </c>
      <c r="B22" s="115" t="s">
        <v>1070</v>
      </c>
      <c r="C22" s="114" t="s">
        <v>362</v>
      </c>
      <c r="D22" s="114" t="s">
        <v>1071</v>
      </c>
      <c r="E22" s="114">
        <v>4</v>
      </c>
      <c r="F22" s="114" t="s">
        <v>312</v>
      </c>
      <c r="G22" s="114">
        <v>60</v>
      </c>
      <c r="H22" s="114">
        <v>60</v>
      </c>
      <c r="I22" s="114">
        <f t="shared" si="0"/>
        <v>8</v>
      </c>
      <c r="J22" s="115" t="s">
        <v>1354</v>
      </c>
      <c r="K22" s="115" t="s">
        <v>1072</v>
      </c>
      <c r="L22" s="114"/>
      <c r="M22" s="114"/>
      <c r="N22" s="114"/>
    </row>
    <row r="23" spans="1:14" ht="30" customHeight="1">
      <c r="A23" s="114">
        <v>6</v>
      </c>
      <c r="B23" s="115" t="s">
        <v>1361</v>
      </c>
      <c r="C23" s="114" t="s">
        <v>1369</v>
      </c>
      <c r="D23" s="114" t="s">
        <v>1370</v>
      </c>
      <c r="E23" s="114">
        <v>3</v>
      </c>
      <c r="F23" s="114" t="s">
        <v>1362</v>
      </c>
      <c r="G23" s="114">
        <v>60</v>
      </c>
      <c r="H23" s="114">
        <v>60</v>
      </c>
      <c r="I23" s="114">
        <f>IF(E23=0,0,ROUND((E23*(G23+H23)+N23)/60,1))</f>
        <v>6</v>
      </c>
      <c r="J23" s="115" t="s">
        <v>1363</v>
      </c>
      <c r="K23" s="115" t="s">
        <v>1371</v>
      </c>
      <c r="L23" s="114"/>
      <c r="M23" s="114"/>
      <c r="N23" s="114"/>
    </row>
    <row r="24" spans="1:14" ht="30" customHeight="1">
      <c r="A24" s="114">
        <v>7</v>
      </c>
      <c r="B24" s="115" t="s">
        <v>1355</v>
      </c>
      <c r="C24" s="114" t="s">
        <v>1356</v>
      </c>
      <c r="D24" s="114" t="s">
        <v>1357</v>
      </c>
      <c r="E24" s="114">
        <v>3</v>
      </c>
      <c r="F24" s="114" t="s">
        <v>1358</v>
      </c>
      <c r="G24" s="114">
        <v>40</v>
      </c>
      <c r="H24" s="114">
        <v>60</v>
      </c>
      <c r="I24" s="114">
        <f>IF(E24=0,0,ROUND((E24*(G24+H24)+N24)/60,1))</f>
        <v>6</v>
      </c>
      <c r="J24" s="115" t="s">
        <v>1359</v>
      </c>
      <c r="K24" s="115" t="s">
        <v>1360</v>
      </c>
      <c r="L24" s="114"/>
      <c r="M24" s="114"/>
      <c r="N24" s="114">
        <v>60</v>
      </c>
    </row>
    <row r="25" spans="1:14" ht="30" customHeight="1">
      <c r="A25" s="114">
        <v>8</v>
      </c>
      <c r="B25" s="115" t="s">
        <v>1372</v>
      </c>
      <c r="C25" s="114" t="s">
        <v>1369</v>
      </c>
      <c r="D25" s="114">
        <v>30</v>
      </c>
      <c r="E25" s="114">
        <v>2</v>
      </c>
      <c r="F25" s="114" t="s">
        <v>1358</v>
      </c>
      <c r="G25" s="114">
        <v>40</v>
      </c>
      <c r="H25" s="114">
        <v>60</v>
      </c>
      <c r="I25" s="114">
        <f>IF(E25=0,0,ROUND((E25*(G25+H25)+N25)/60,1))</f>
        <v>3.3</v>
      </c>
      <c r="J25" s="115" t="s">
        <v>1373</v>
      </c>
      <c r="K25" s="115" t="s">
        <v>1374</v>
      </c>
      <c r="L25" s="114"/>
      <c r="M25" s="114"/>
      <c r="N25" s="114"/>
    </row>
    <row r="26" spans="1:14">
      <c r="A26" s="116"/>
      <c r="B26" s="116"/>
      <c r="C26" s="116"/>
      <c r="D26" s="116" t="s">
        <v>329</v>
      </c>
      <c r="E26" s="116">
        <f>SUM(E18:E25)</f>
        <v>25</v>
      </c>
      <c r="F26" s="116"/>
      <c r="G26" s="116"/>
      <c r="H26" s="116"/>
      <c r="I26" s="116">
        <f>ROUND(SUM(I18:I25),0)</f>
        <v>63</v>
      </c>
    </row>
    <row r="28" spans="1:14">
      <c r="A28" s="107" t="s">
        <v>1073</v>
      </c>
    </row>
    <row r="29" spans="1:14">
      <c r="A29" s="117" t="s">
        <v>1005</v>
      </c>
    </row>
    <row r="30" spans="1:14">
      <c r="A30" s="117" t="s">
        <v>1074</v>
      </c>
    </row>
    <row r="31" spans="1:14">
      <c r="A31" s="117" t="s">
        <v>1075</v>
      </c>
    </row>
    <row r="32" spans="1:14">
      <c r="A32" s="117" t="s">
        <v>1076</v>
      </c>
    </row>
    <row r="34" spans="1:3">
      <c r="A34" s="107" t="s">
        <v>1077</v>
      </c>
    </row>
    <row r="35" spans="1:3">
      <c r="A35" s="117" t="s">
        <v>1078</v>
      </c>
    </row>
    <row r="36" spans="1:3">
      <c r="A36" s="117" t="s">
        <v>1079</v>
      </c>
    </row>
    <row r="38" spans="1:3">
      <c r="A38" s="107" t="s">
        <v>972</v>
      </c>
    </row>
    <row r="39" spans="1:3">
      <c r="A39" s="117" t="s">
        <v>1384</v>
      </c>
    </row>
    <row r="40" spans="1:3">
      <c r="A40" s="117" t="s">
        <v>1080</v>
      </c>
    </row>
    <row r="42" spans="1:3">
      <c r="A42" s="107" t="s">
        <v>1364</v>
      </c>
    </row>
    <row r="43" spans="1:3">
      <c r="A43" s="117" t="s">
        <v>1365</v>
      </c>
    </row>
    <row r="44" spans="1:3">
      <c r="A44" s="117" t="s">
        <v>1081</v>
      </c>
    </row>
    <row r="46" spans="1:3">
      <c r="C46" s="118" t="s">
        <v>1375</v>
      </c>
    </row>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5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1082</v>
      </c>
    </row>
    <row r="4" spans="1:14">
      <c r="A4" s="107" t="s">
        <v>1020</v>
      </c>
    </row>
    <row r="5" spans="1:14">
      <c r="A5" s="110" t="s">
        <v>1083</v>
      </c>
    </row>
    <row r="6" spans="1:14">
      <c r="A6" s="110" t="s">
        <v>1084</v>
      </c>
    </row>
    <row r="7" spans="1:14">
      <c r="A7" s="110" t="s">
        <v>343</v>
      </c>
    </row>
    <row r="9" spans="1:14">
      <c r="A9" s="107" t="s">
        <v>260</v>
      </c>
    </row>
    <row r="10" spans="1:14" ht="15" customHeight="1">
      <c r="A10" s="111" t="s">
        <v>261</v>
      </c>
      <c r="B10" s="111" t="s">
        <v>83</v>
      </c>
      <c r="C10" s="111" t="s">
        <v>262</v>
      </c>
      <c r="D10" s="111" t="s">
        <v>263</v>
      </c>
      <c r="E10" s="111" t="s">
        <v>156</v>
      </c>
      <c r="F10" s="111" t="s">
        <v>264</v>
      </c>
      <c r="G10" s="111" t="s">
        <v>265</v>
      </c>
      <c r="H10" s="111" t="s">
        <v>266</v>
      </c>
      <c r="I10" s="111" t="s">
        <v>267</v>
      </c>
      <c r="J10" s="111" t="s">
        <v>269</v>
      </c>
      <c r="K10" s="111" t="s">
        <v>270</v>
      </c>
      <c r="L10" s="111" t="s">
        <v>271</v>
      </c>
      <c r="M10" s="111" t="s">
        <v>272</v>
      </c>
      <c r="N10" s="111" t="s">
        <v>273</v>
      </c>
    </row>
    <row r="11" spans="1:14" ht="30" customHeight="1">
      <c r="A11" s="114">
        <v>1</v>
      </c>
      <c r="B11" s="115" t="s">
        <v>596</v>
      </c>
      <c r="C11" s="114" t="s">
        <v>353</v>
      </c>
      <c r="D11" s="114">
        <v>15</v>
      </c>
      <c r="E11" s="114">
        <v>3</v>
      </c>
      <c r="F11" s="114" t="s">
        <v>282</v>
      </c>
      <c r="G11" s="114">
        <v>40</v>
      </c>
      <c r="H11" s="114">
        <v>75</v>
      </c>
      <c r="I11" s="114">
        <f t="shared" ref="I11:I19" si="0">IF(E11=0,0,ROUND((E11*(G11+H11)+N11)/60,1))</f>
        <v>6.8</v>
      </c>
      <c r="J11" s="115" t="s">
        <v>1085</v>
      </c>
      <c r="K11" s="115" t="s">
        <v>1086</v>
      </c>
      <c r="L11" s="114"/>
      <c r="M11" s="114"/>
      <c r="N11" s="114">
        <v>60</v>
      </c>
    </row>
    <row r="12" spans="1:14" ht="30" customHeight="1">
      <c r="A12" s="114">
        <v>2</v>
      </c>
      <c r="B12" s="115" t="s">
        <v>599</v>
      </c>
      <c r="C12" s="114" t="s">
        <v>277</v>
      </c>
      <c r="D12" s="114">
        <v>6</v>
      </c>
      <c r="E12" s="114">
        <v>3</v>
      </c>
      <c r="F12" s="114" t="s">
        <v>282</v>
      </c>
      <c r="G12" s="114">
        <v>40</v>
      </c>
      <c r="H12" s="114">
        <v>75</v>
      </c>
      <c r="I12" s="114">
        <f t="shared" si="0"/>
        <v>5.8</v>
      </c>
      <c r="J12" s="115" t="s">
        <v>1087</v>
      </c>
      <c r="K12" s="115" t="s">
        <v>1088</v>
      </c>
      <c r="L12" s="114"/>
      <c r="M12" s="114"/>
      <c r="N12" s="114"/>
    </row>
    <row r="13" spans="1:14" ht="30" customHeight="1">
      <c r="A13" s="114">
        <v>3</v>
      </c>
      <c r="B13" s="115" t="s">
        <v>447</v>
      </c>
      <c r="C13" s="114" t="s">
        <v>303</v>
      </c>
      <c r="D13" s="114">
        <v>15</v>
      </c>
      <c r="E13" s="114">
        <v>3</v>
      </c>
      <c r="F13" s="114" t="s">
        <v>311</v>
      </c>
      <c r="G13" s="114">
        <v>40</v>
      </c>
      <c r="H13" s="114">
        <v>70</v>
      </c>
      <c r="I13" s="114">
        <f t="shared" si="0"/>
        <v>5.5</v>
      </c>
      <c r="J13" s="115" t="s">
        <v>1089</v>
      </c>
      <c r="K13" s="115" t="s">
        <v>1090</v>
      </c>
      <c r="L13" s="114"/>
      <c r="M13" s="114"/>
      <c r="N13" s="114"/>
    </row>
    <row r="14" spans="1:14" ht="30" customHeight="1">
      <c r="A14" s="114">
        <v>4</v>
      </c>
      <c r="B14" s="115" t="s">
        <v>1038</v>
      </c>
      <c r="C14" s="114" t="s">
        <v>303</v>
      </c>
      <c r="D14" s="114">
        <v>10</v>
      </c>
      <c r="E14" s="114">
        <v>0</v>
      </c>
      <c r="F14" s="114">
        <v>15</v>
      </c>
      <c r="G14" s="114">
        <v>40</v>
      </c>
      <c r="H14" s="114">
        <v>10</v>
      </c>
      <c r="I14" s="114">
        <f t="shared" si="0"/>
        <v>0</v>
      </c>
      <c r="J14" s="115" t="s">
        <v>1477</v>
      </c>
      <c r="K14" s="115" t="s">
        <v>1039</v>
      </c>
      <c r="L14" s="114"/>
      <c r="M14" s="114" t="s">
        <v>399</v>
      </c>
      <c r="N14" s="114"/>
    </row>
    <row r="15" spans="1:14" ht="30" customHeight="1">
      <c r="A15" s="114">
        <v>5</v>
      </c>
      <c r="B15" s="115" t="s">
        <v>602</v>
      </c>
      <c r="C15" s="114" t="s">
        <v>303</v>
      </c>
      <c r="D15" s="114">
        <v>7.5</v>
      </c>
      <c r="E15" s="114">
        <v>3</v>
      </c>
      <c r="F15" s="114">
        <v>15</v>
      </c>
      <c r="G15" s="114">
        <v>40</v>
      </c>
      <c r="H15" s="114">
        <v>60</v>
      </c>
      <c r="I15" s="114">
        <f t="shared" si="0"/>
        <v>5</v>
      </c>
      <c r="J15" s="115" t="s">
        <v>1091</v>
      </c>
      <c r="K15" s="115" t="s">
        <v>1041</v>
      </c>
      <c r="L15" s="114"/>
      <c r="M15" s="114" t="s">
        <v>399</v>
      </c>
      <c r="N15" s="114"/>
    </row>
    <row r="16" spans="1:14" ht="30" customHeight="1">
      <c r="A16" s="114">
        <v>6</v>
      </c>
      <c r="B16" s="115" t="s">
        <v>1092</v>
      </c>
      <c r="C16" s="114" t="s">
        <v>928</v>
      </c>
      <c r="D16" s="114">
        <v>2.5</v>
      </c>
      <c r="E16" s="114">
        <v>3</v>
      </c>
      <c r="F16" s="114" t="s">
        <v>297</v>
      </c>
      <c r="G16" s="114">
        <v>40</v>
      </c>
      <c r="H16" s="114">
        <v>60</v>
      </c>
      <c r="I16" s="114">
        <f t="shared" si="0"/>
        <v>5</v>
      </c>
      <c r="J16" s="115" t="s">
        <v>1093</v>
      </c>
      <c r="K16" s="115" t="s">
        <v>1094</v>
      </c>
      <c r="L16" s="114"/>
      <c r="M16" s="114"/>
      <c r="N16" s="114"/>
    </row>
    <row r="17" spans="1:14" ht="30" customHeight="1">
      <c r="A17" s="114">
        <v>7</v>
      </c>
      <c r="B17" s="115" t="s">
        <v>1095</v>
      </c>
      <c r="C17" s="114" t="s">
        <v>928</v>
      </c>
      <c r="D17" s="114">
        <v>2.5</v>
      </c>
      <c r="E17" s="114">
        <v>3</v>
      </c>
      <c r="F17" s="114" t="s">
        <v>297</v>
      </c>
      <c r="G17" s="114">
        <v>40</v>
      </c>
      <c r="H17" s="114">
        <v>60</v>
      </c>
      <c r="I17" s="114">
        <f t="shared" si="0"/>
        <v>5</v>
      </c>
      <c r="J17" s="115" t="s">
        <v>1096</v>
      </c>
      <c r="K17" s="115" t="s">
        <v>1097</v>
      </c>
      <c r="L17" s="114"/>
      <c r="M17" s="114"/>
      <c r="N17" s="114"/>
    </row>
    <row r="18" spans="1:14" ht="30" customHeight="1">
      <c r="A18" s="114">
        <v>8</v>
      </c>
      <c r="B18" s="115" t="s">
        <v>541</v>
      </c>
      <c r="C18" s="114" t="s">
        <v>307</v>
      </c>
      <c r="D18" s="114">
        <v>2.5</v>
      </c>
      <c r="E18" s="114">
        <v>3</v>
      </c>
      <c r="F18" s="114">
        <v>12</v>
      </c>
      <c r="G18" s="114">
        <v>40</v>
      </c>
      <c r="H18" s="114">
        <v>60</v>
      </c>
      <c r="I18" s="114">
        <f t="shared" si="0"/>
        <v>5</v>
      </c>
      <c r="J18" s="115" t="s">
        <v>1098</v>
      </c>
      <c r="K18" s="115" t="s">
        <v>1099</v>
      </c>
      <c r="L18" s="114"/>
      <c r="M18" s="114"/>
      <c r="N18" s="114"/>
    </row>
    <row r="19" spans="1:14" ht="30" customHeight="1">
      <c r="A19" s="114">
        <v>9</v>
      </c>
      <c r="B19" s="115" t="s">
        <v>306</v>
      </c>
      <c r="C19" s="114" t="s">
        <v>307</v>
      </c>
      <c r="D19" s="114" t="s">
        <v>291</v>
      </c>
      <c r="E19" s="114">
        <v>3</v>
      </c>
      <c r="F19" s="114" t="s">
        <v>297</v>
      </c>
      <c r="G19" s="114">
        <v>40</v>
      </c>
      <c r="H19" s="114">
        <v>60</v>
      </c>
      <c r="I19" s="114">
        <f t="shared" si="0"/>
        <v>5</v>
      </c>
      <c r="J19" s="115" t="s">
        <v>1100</v>
      </c>
      <c r="K19" s="115" t="s">
        <v>1101</v>
      </c>
      <c r="L19" s="114"/>
      <c r="M19" s="114"/>
      <c r="N19" s="114"/>
    </row>
    <row r="20" spans="1:14">
      <c r="A20" s="116"/>
      <c r="B20" s="116"/>
      <c r="C20" s="116"/>
      <c r="D20" s="116" t="s">
        <v>329</v>
      </c>
      <c r="E20" s="116">
        <f>SUM(E11:E19)</f>
        <v>24</v>
      </c>
      <c r="F20" s="116"/>
      <c r="G20" s="116"/>
      <c r="H20" s="116"/>
      <c r="I20" s="116">
        <f>ROUND(SUM(I11:I19),0)</f>
        <v>43</v>
      </c>
    </row>
    <row r="22" spans="1:14">
      <c r="A22" s="107" t="s">
        <v>1102</v>
      </c>
    </row>
    <row r="23" spans="1:14">
      <c r="A23" s="117" t="s">
        <v>1103</v>
      </c>
    </row>
    <row r="24" spans="1:14">
      <c r="A24" s="117" t="s">
        <v>1104</v>
      </c>
    </row>
    <row r="25" spans="1:14">
      <c r="A25" s="117" t="s">
        <v>1105</v>
      </c>
    </row>
    <row r="27" spans="1:14">
      <c r="A27" s="107" t="s">
        <v>1106</v>
      </c>
    </row>
    <row r="28" spans="1:14">
      <c r="A28" s="117" t="s">
        <v>1107</v>
      </c>
    </row>
    <row r="29" spans="1:14">
      <c r="A29" s="117" t="s">
        <v>1108</v>
      </c>
    </row>
    <row r="30" spans="1:14">
      <c r="A30" s="117" t="s">
        <v>1109</v>
      </c>
    </row>
    <row r="31" spans="1:14">
      <c r="A31" s="117" t="s">
        <v>1110</v>
      </c>
    </row>
    <row r="32" spans="1:14">
      <c r="A32" s="117" t="s">
        <v>1111</v>
      </c>
    </row>
    <row r="34" spans="1:1">
      <c r="A34" s="107" t="s">
        <v>972</v>
      </c>
    </row>
    <row r="35" spans="1:1">
      <c r="A35" s="117" t="s">
        <v>1474</v>
      </c>
    </row>
    <row r="36" spans="1:1">
      <c r="A36" s="117" t="s">
        <v>1475</v>
      </c>
    </row>
    <row r="38" spans="1:1">
      <c r="A38" s="107" t="s">
        <v>1112</v>
      </c>
    </row>
    <row r="39" spans="1:1">
      <c r="A39" s="117" t="s">
        <v>1113</v>
      </c>
    </row>
    <row r="40" spans="1:1">
      <c r="A40" s="117" t="s">
        <v>1114</v>
      </c>
    </row>
    <row r="41" spans="1:1">
      <c r="A41" s="117" t="s">
        <v>1115</v>
      </c>
    </row>
    <row r="42" spans="1:1">
      <c r="A42" s="117" t="s">
        <v>1116</v>
      </c>
    </row>
    <row r="44" spans="1:1">
      <c r="A44" s="107" t="s">
        <v>1014</v>
      </c>
    </row>
    <row r="45" spans="1:1">
      <c r="A45" s="117" t="s">
        <v>1117</v>
      </c>
    </row>
    <row r="46" spans="1:1">
      <c r="A46" s="117" t="s">
        <v>1118</v>
      </c>
    </row>
    <row r="47" spans="1:1">
      <c r="A47" s="117" t="s">
        <v>1119</v>
      </c>
    </row>
    <row r="48" spans="1:1">
      <c r="A48" s="117" t="s">
        <v>1120</v>
      </c>
    </row>
    <row r="49" spans="1:3">
      <c r="A49" s="117" t="s">
        <v>1017</v>
      </c>
    </row>
    <row r="51" spans="1:3">
      <c r="C51" s="118" t="s">
        <v>1121</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1"/>
  <sheetViews>
    <sheetView topLeftCell="A20"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1122</v>
      </c>
    </row>
    <row r="4" spans="1:3">
      <c r="A4" s="107" t="s">
        <v>557</v>
      </c>
    </row>
    <row r="5" spans="1:3">
      <c r="A5" s="108" t="s">
        <v>263</v>
      </c>
      <c r="B5" s="108" t="s">
        <v>338</v>
      </c>
      <c r="C5" s="108" t="s">
        <v>156</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1123</v>
      </c>
    </row>
    <row r="13" spans="1:3">
      <c r="A13" s="108" t="s">
        <v>263</v>
      </c>
      <c r="B13" s="108" t="s">
        <v>338</v>
      </c>
      <c r="C13" s="108" t="s">
        <v>156</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27</v>
      </c>
      <c r="B17" s="109">
        <v>2</v>
      </c>
      <c r="C17" s="109">
        <v>1</v>
      </c>
    </row>
    <row r="18" spans="1:14">
      <c r="A18" s="109">
        <f>시작중량_설정!$E$10</f>
        <v>30</v>
      </c>
      <c r="B18" s="109">
        <v>5</v>
      </c>
      <c r="C18" s="109">
        <v>3</v>
      </c>
    </row>
    <row r="20" spans="1:14">
      <c r="A20" s="107" t="s">
        <v>1124</v>
      </c>
    </row>
    <row r="21" spans="1:14">
      <c r="A21" s="110" t="s">
        <v>1125</v>
      </c>
    </row>
    <row r="22" spans="1:14">
      <c r="A22" s="110" t="s">
        <v>984</v>
      </c>
    </row>
    <row r="23" spans="1:14">
      <c r="A23" s="110" t="s">
        <v>1126</v>
      </c>
    </row>
    <row r="24" spans="1:14">
      <c r="A24" s="110" t="s">
        <v>343</v>
      </c>
    </row>
    <row r="26" spans="1:14">
      <c r="A26" s="107" t="s">
        <v>260</v>
      </c>
    </row>
    <row r="27" spans="1:14" ht="15" customHeight="1">
      <c r="A27" s="111" t="s">
        <v>261</v>
      </c>
      <c r="B27" s="111" t="s">
        <v>83</v>
      </c>
      <c r="C27" s="111" t="s">
        <v>262</v>
      </c>
      <c r="D27" s="111" t="s">
        <v>263</v>
      </c>
      <c r="E27" s="111" t="s">
        <v>156</v>
      </c>
      <c r="F27" s="111" t="s">
        <v>264</v>
      </c>
      <c r="G27" s="111" t="s">
        <v>265</v>
      </c>
      <c r="H27" s="111" t="s">
        <v>266</v>
      </c>
      <c r="I27" s="111" t="s">
        <v>267</v>
      </c>
      <c r="J27" s="111" t="s">
        <v>269</v>
      </c>
      <c r="K27" s="111" t="s">
        <v>270</v>
      </c>
      <c r="L27" s="111" t="s">
        <v>271</v>
      </c>
      <c r="M27" s="111" t="s">
        <v>272</v>
      </c>
      <c r="N27" s="111" t="s">
        <v>273</v>
      </c>
    </row>
    <row r="28" spans="1:14" ht="30" customHeight="1">
      <c r="A28" s="112">
        <v>1</v>
      </c>
      <c r="B28" s="113" t="s">
        <v>91</v>
      </c>
      <c r="C28" s="112" t="s">
        <v>321</v>
      </c>
      <c r="D28" s="112">
        <f>시작중량_설정!$E$8</f>
        <v>80</v>
      </c>
      <c r="E28" s="112">
        <v>1</v>
      </c>
      <c r="F28" s="112">
        <v>5</v>
      </c>
      <c r="G28" s="112">
        <v>30</v>
      </c>
      <c r="H28" s="112">
        <v>180</v>
      </c>
      <c r="I28" s="112">
        <f t="shared" ref="I28:I40" si="0">IF(E28=0,0,ROUND((E28*(G28+H28)+N28)/60,1))</f>
        <v>3.5</v>
      </c>
      <c r="J28" s="113" t="s">
        <v>1127</v>
      </c>
      <c r="K28" s="113" t="s">
        <v>1128</v>
      </c>
      <c r="L28" s="112"/>
      <c r="M28" s="112"/>
      <c r="N28" s="112"/>
    </row>
    <row r="29" spans="1:14" ht="30" customHeight="1">
      <c r="A29" s="114">
        <v>2</v>
      </c>
      <c r="B29" s="115" t="s">
        <v>1129</v>
      </c>
      <c r="C29" s="114" t="s">
        <v>321</v>
      </c>
      <c r="D29" s="114">
        <f>시작중량_설정!$E$8-5</f>
        <v>75</v>
      </c>
      <c r="E29" s="114">
        <v>2</v>
      </c>
      <c r="F29" s="114">
        <v>5</v>
      </c>
      <c r="G29" s="114">
        <v>30</v>
      </c>
      <c r="H29" s="114">
        <v>180</v>
      </c>
      <c r="I29" s="114">
        <f t="shared" si="0"/>
        <v>7</v>
      </c>
      <c r="J29" s="115" t="s">
        <v>1130</v>
      </c>
      <c r="K29" s="115" t="s">
        <v>1131</v>
      </c>
      <c r="L29" s="114"/>
      <c r="M29" s="114"/>
      <c r="N29" s="114"/>
    </row>
    <row r="30" spans="1:14" ht="30" customHeight="1">
      <c r="A30" s="114">
        <v>3</v>
      </c>
      <c r="B30" s="115" t="s">
        <v>567</v>
      </c>
      <c r="C30" s="114" t="s">
        <v>392</v>
      </c>
      <c r="D30" s="114" t="s">
        <v>1132</v>
      </c>
      <c r="E30" s="114">
        <v>3</v>
      </c>
      <c r="F30" s="114" t="s">
        <v>282</v>
      </c>
      <c r="G30" s="114">
        <v>45</v>
      </c>
      <c r="H30" s="114">
        <v>150</v>
      </c>
      <c r="I30" s="114">
        <f t="shared" si="0"/>
        <v>9.8000000000000007</v>
      </c>
      <c r="J30" s="115" t="s">
        <v>1133</v>
      </c>
      <c r="K30" s="115" t="s">
        <v>1134</v>
      </c>
      <c r="L30" s="114"/>
      <c r="M30" s="114"/>
      <c r="N30" s="114"/>
    </row>
    <row r="31" spans="1:14" ht="30" customHeight="1">
      <c r="A31" s="114">
        <v>4</v>
      </c>
      <c r="B31" s="115" t="s">
        <v>1135</v>
      </c>
      <c r="C31" s="114" t="s">
        <v>383</v>
      </c>
      <c r="D31" s="114">
        <v>110</v>
      </c>
      <c r="E31" s="114">
        <v>4</v>
      </c>
      <c r="F31" s="114" t="s">
        <v>282</v>
      </c>
      <c r="G31" s="114">
        <v>45</v>
      </c>
      <c r="H31" s="114">
        <v>150</v>
      </c>
      <c r="I31" s="114">
        <f t="shared" si="0"/>
        <v>13</v>
      </c>
      <c r="J31" s="115" t="s">
        <v>1136</v>
      </c>
      <c r="K31" s="115" t="s">
        <v>1137</v>
      </c>
      <c r="L31" s="114"/>
      <c r="M31" s="114"/>
      <c r="N31" s="114"/>
    </row>
    <row r="32" spans="1:14" ht="30" customHeight="1">
      <c r="A32" s="114">
        <v>5</v>
      </c>
      <c r="B32" s="115" t="s">
        <v>570</v>
      </c>
      <c r="C32" s="114" t="s">
        <v>392</v>
      </c>
      <c r="D32" s="114">
        <v>25</v>
      </c>
      <c r="E32" s="114">
        <v>3</v>
      </c>
      <c r="F32" s="114">
        <v>10</v>
      </c>
      <c r="G32" s="114">
        <v>60</v>
      </c>
      <c r="H32" s="114">
        <v>120</v>
      </c>
      <c r="I32" s="114">
        <f t="shared" si="0"/>
        <v>9</v>
      </c>
      <c r="J32" s="115" t="s">
        <v>1138</v>
      </c>
      <c r="K32" s="115" t="s">
        <v>1139</v>
      </c>
      <c r="L32" s="114"/>
      <c r="M32" s="114"/>
      <c r="N32" s="114"/>
    </row>
    <row r="33" spans="1:14" ht="30" customHeight="1">
      <c r="A33" s="112">
        <v>6</v>
      </c>
      <c r="B33" s="113" t="s">
        <v>1140</v>
      </c>
      <c r="C33" s="112" t="s">
        <v>437</v>
      </c>
      <c r="D33" s="112">
        <f>시작중량_설정!$E$10</f>
        <v>30</v>
      </c>
      <c r="E33" s="112">
        <v>3</v>
      </c>
      <c r="F33" s="112">
        <v>5</v>
      </c>
      <c r="G33" s="112">
        <v>30</v>
      </c>
      <c r="H33" s="112">
        <v>180</v>
      </c>
      <c r="I33" s="112">
        <f t="shared" si="0"/>
        <v>10.5</v>
      </c>
      <c r="J33" s="113" t="s">
        <v>1141</v>
      </c>
      <c r="K33" s="113" t="s">
        <v>1142</v>
      </c>
      <c r="L33" s="112" t="s">
        <v>515</v>
      </c>
      <c r="M33" s="112"/>
      <c r="N33" s="112"/>
    </row>
    <row r="34" spans="1:14" ht="30" customHeight="1">
      <c r="A34" s="114">
        <v>7</v>
      </c>
      <c r="B34" s="115" t="s">
        <v>361</v>
      </c>
      <c r="C34" s="114" t="s">
        <v>362</v>
      </c>
      <c r="D34" s="114">
        <v>8</v>
      </c>
      <c r="E34" s="114">
        <v>3</v>
      </c>
      <c r="F34" s="114" t="s">
        <v>297</v>
      </c>
      <c r="G34" s="114">
        <v>40</v>
      </c>
      <c r="H34" s="114">
        <v>60</v>
      </c>
      <c r="I34" s="114">
        <f t="shared" si="0"/>
        <v>6</v>
      </c>
      <c r="J34" s="115" t="s">
        <v>1143</v>
      </c>
      <c r="K34" s="115" t="s">
        <v>993</v>
      </c>
      <c r="L34" s="114"/>
      <c r="M34" s="114"/>
      <c r="N34" s="114">
        <v>60</v>
      </c>
    </row>
    <row r="35" spans="1:14" ht="30" customHeight="1">
      <c r="A35" s="114">
        <v>8</v>
      </c>
      <c r="B35" s="115" t="s">
        <v>531</v>
      </c>
      <c r="C35" s="114" t="s">
        <v>366</v>
      </c>
      <c r="D35" s="114" t="s">
        <v>292</v>
      </c>
      <c r="E35" s="114">
        <v>3</v>
      </c>
      <c r="F35" s="114" t="s">
        <v>297</v>
      </c>
      <c r="G35" s="114">
        <v>40</v>
      </c>
      <c r="H35" s="114">
        <v>60</v>
      </c>
      <c r="I35" s="114">
        <f t="shared" si="0"/>
        <v>5</v>
      </c>
      <c r="J35" s="115" t="s">
        <v>1144</v>
      </c>
      <c r="K35" s="115" t="s">
        <v>1145</v>
      </c>
      <c r="L35" s="114"/>
      <c r="M35" s="114"/>
      <c r="N35" s="114"/>
    </row>
    <row r="36" spans="1:14" ht="30" customHeight="1">
      <c r="A36" s="114">
        <v>9</v>
      </c>
      <c r="B36" s="115" t="s">
        <v>564</v>
      </c>
      <c r="C36" s="114" t="s">
        <v>383</v>
      </c>
      <c r="D36" s="114">
        <v>25</v>
      </c>
      <c r="E36" s="114">
        <v>3</v>
      </c>
      <c r="F36" s="114" t="s">
        <v>358</v>
      </c>
      <c r="G36" s="114">
        <v>40</v>
      </c>
      <c r="H36" s="114">
        <v>120</v>
      </c>
      <c r="I36" s="114">
        <f t="shared" si="0"/>
        <v>8</v>
      </c>
      <c r="J36" s="115" t="s">
        <v>1146</v>
      </c>
      <c r="K36" s="115" t="s">
        <v>1147</v>
      </c>
      <c r="L36" s="114"/>
      <c r="M36" s="114"/>
      <c r="N36" s="114"/>
    </row>
    <row r="37" spans="1:14" ht="30" customHeight="1">
      <c r="A37" s="114">
        <v>10</v>
      </c>
      <c r="B37" s="115" t="s">
        <v>500</v>
      </c>
      <c r="C37" s="114" t="s">
        <v>401</v>
      </c>
      <c r="D37" s="114">
        <v>15</v>
      </c>
      <c r="E37" s="114">
        <v>3</v>
      </c>
      <c r="F37" s="114" t="s">
        <v>312</v>
      </c>
      <c r="G37" s="114">
        <v>60</v>
      </c>
      <c r="H37" s="114">
        <v>75</v>
      </c>
      <c r="I37" s="114">
        <f t="shared" si="0"/>
        <v>6.8</v>
      </c>
      <c r="J37" s="115" t="s">
        <v>1148</v>
      </c>
      <c r="K37" s="115" t="s">
        <v>1149</v>
      </c>
      <c r="L37" s="114"/>
      <c r="M37" s="114"/>
      <c r="N37" s="114"/>
    </row>
    <row r="38" spans="1:14" ht="30" customHeight="1">
      <c r="A38" s="114">
        <v>11</v>
      </c>
      <c r="B38" s="115" t="s">
        <v>395</v>
      </c>
      <c r="C38" s="114" t="s">
        <v>396</v>
      </c>
      <c r="D38" s="114">
        <v>40</v>
      </c>
      <c r="E38" s="114">
        <v>4</v>
      </c>
      <c r="F38" s="114" t="s">
        <v>297</v>
      </c>
      <c r="G38" s="114">
        <v>40</v>
      </c>
      <c r="H38" s="114">
        <v>10</v>
      </c>
      <c r="I38" s="114">
        <f t="shared" si="0"/>
        <v>3.3</v>
      </c>
      <c r="J38" s="115" t="s">
        <v>1150</v>
      </c>
      <c r="K38" s="115" t="s">
        <v>999</v>
      </c>
      <c r="L38" s="114"/>
      <c r="M38" s="114" t="s">
        <v>399</v>
      </c>
      <c r="N38" s="114"/>
    </row>
    <row r="39" spans="1:14" ht="30" customHeight="1">
      <c r="A39" s="114">
        <v>12</v>
      </c>
      <c r="B39" s="115" t="s">
        <v>400</v>
      </c>
      <c r="C39" s="114" t="s">
        <v>401</v>
      </c>
      <c r="D39" s="114">
        <v>40</v>
      </c>
      <c r="E39" s="114">
        <v>4</v>
      </c>
      <c r="F39" s="114" t="s">
        <v>297</v>
      </c>
      <c r="G39" s="114">
        <v>40</v>
      </c>
      <c r="H39" s="114">
        <v>120</v>
      </c>
      <c r="I39" s="114">
        <f t="shared" si="0"/>
        <v>10.7</v>
      </c>
      <c r="J39" s="115" t="s">
        <v>1151</v>
      </c>
      <c r="K39" s="115" t="s">
        <v>1001</v>
      </c>
      <c r="L39" s="114"/>
      <c r="M39" s="114" t="s">
        <v>399</v>
      </c>
      <c r="N39" s="114"/>
    </row>
    <row r="40" spans="1:14" ht="30" customHeight="1">
      <c r="A40" s="114">
        <v>13</v>
      </c>
      <c r="B40" s="115" t="s">
        <v>315</v>
      </c>
      <c r="C40" s="114" t="s">
        <v>316</v>
      </c>
      <c r="D40" s="114">
        <v>10</v>
      </c>
      <c r="E40" s="114">
        <v>6</v>
      </c>
      <c r="F40" s="114" t="s">
        <v>297</v>
      </c>
      <c r="G40" s="114">
        <v>40</v>
      </c>
      <c r="H40" s="114">
        <v>75</v>
      </c>
      <c r="I40" s="114">
        <f t="shared" si="0"/>
        <v>11.5</v>
      </c>
      <c r="J40" s="115" t="s">
        <v>1152</v>
      </c>
      <c r="K40" s="115" t="s">
        <v>1153</v>
      </c>
      <c r="L40" s="114"/>
      <c r="M40" s="114"/>
      <c r="N40" s="114"/>
    </row>
    <row r="41" spans="1:14">
      <c r="A41" s="116"/>
      <c r="B41" s="116"/>
      <c r="C41" s="116"/>
      <c r="D41" s="116" t="s">
        <v>329</v>
      </c>
      <c r="E41" s="116">
        <f>SUM(E28:E40)</f>
        <v>42</v>
      </c>
      <c r="F41" s="116"/>
      <c r="G41" s="116"/>
      <c r="H41" s="116"/>
      <c r="I41" s="116">
        <f>ROUND(SUM(I28:I40),0)</f>
        <v>104</v>
      </c>
    </row>
    <row r="43" spans="1:14">
      <c r="A43" s="107" t="s">
        <v>1154</v>
      </c>
    </row>
    <row r="44" spans="1:14">
      <c r="A44" s="117" t="s">
        <v>1155</v>
      </c>
    </row>
    <row r="45" spans="1:14">
      <c r="A45" s="117" t="s">
        <v>1156</v>
      </c>
    </row>
    <row r="46" spans="1:14">
      <c r="A46" s="117" t="s">
        <v>1157</v>
      </c>
    </row>
    <row r="47" spans="1:14">
      <c r="A47" s="117" t="s">
        <v>1158</v>
      </c>
    </row>
    <row r="48" spans="1:14">
      <c r="A48" s="117" t="s">
        <v>1159</v>
      </c>
    </row>
    <row r="49" spans="1:1">
      <c r="A49" s="117" t="s">
        <v>1160</v>
      </c>
    </row>
    <row r="51" spans="1:1">
      <c r="A51" s="107" t="s">
        <v>1161</v>
      </c>
    </row>
    <row r="52" spans="1:1">
      <c r="A52" s="117" t="s">
        <v>1162</v>
      </c>
    </row>
    <row r="53" spans="1:1">
      <c r="A53" s="117" t="s">
        <v>1163</v>
      </c>
    </row>
    <row r="54" spans="1:1">
      <c r="A54" s="117" t="s">
        <v>1164</v>
      </c>
    </row>
    <row r="55" spans="1:1">
      <c r="A55" s="117" t="s">
        <v>1165</v>
      </c>
    </row>
    <row r="56" spans="1:1">
      <c r="A56" s="117" t="s">
        <v>1166</v>
      </c>
    </row>
    <row r="58" spans="1:1">
      <c r="A58" s="107" t="s">
        <v>1167</v>
      </c>
    </row>
    <row r="59" spans="1:1">
      <c r="A59" s="117" t="s">
        <v>1168</v>
      </c>
    </row>
    <row r="60" spans="1:1">
      <c r="A60" s="117" t="s">
        <v>1169</v>
      </c>
    </row>
    <row r="61" spans="1:1">
      <c r="A61" s="117" t="s">
        <v>1170</v>
      </c>
    </row>
    <row r="62" spans="1:1">
      <c r="A62" s="117" t="s">
        <v>1171</v>
      </c>
    </row>
    <row r="63" spans="1:1">
      <c r="A63" s="117" t="s">
        <v>1172</v>
      </c>
    </row>
    <row r="65" spans="1:1">
      <c r="A65" s="107" t="s">
        <v>1173</v>
      </c>
    </row>
    <row r="66" spans="1:1">
      <c r="A66" s="117" t="s">
        <v>1174</v>
      </c>
    </row>
    <row r="67" spans="1:1">
      <c r="A67" s="117" t="s">
        <v>1175</v>
      </c>
    </row>
    <row r="68" spans="1:1">
      <c r="A68" s="117" t="s">
        <v>1176</v>
      </c>
    </row>
    <row r="70" spans="1:1">
      <c r="A70" s="107" t="s">
        <v>972</v>
      </c>
    </row>
    <row r="71" spans="1:1">
      <c r="A71" s="117" t="s">
        <v>1177</v>
      </c>
    </row>
    <row r="72" spans="1:1">
      <c r="A72" s="117" t="s">
        <v>1178</v>
      </c>
    </row>
    <row r="74" spans="1:1">
      <c r="A74" s="107" t="s">
        <v>1014</v>
      </c>
    </row>
    <row r="75" spans="1:1">
      <c r="A75" s="117" t="s">
        <v>1179</v>
      </c>
    </row>
    <row r="76" spans="1:1">
      <c r="A76" s="117" t="s">
        <v>1180</v>
      </c>
    </row>
    <row r="77" spans="1:1">
      <c r="A77" s="117" t="s">
        <v>1181</v>
      </c>
    </row>
    <row r="78" spans="1:1">
      <c r="A78" s="117" t="s">
        <v>1182</v>
      </c>
    </row>
    <row r="79" spans="1:1">
      <c r="A79" s="117" t="s">
        <v>1017</v>
      </c>
    </row>
    <row r="81" spans="3:3">
      <c r="C81" s="118" t="s">
        <v>1183</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1"/>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1184</v>
      </c>
    </row>
    <row r="4" spans="1:14">
      <c r="A4" s="107" t="s">
        <v>1020</v>
      </c>
    </row>
    <row r="5" spans="1:14">
      <c r="A5" s="110" t="s">
        <v>1185</v>
      </c>
    </row>
    <row r="6" spans="1:14">
      <c r="A6" s="110" t="s">
        <v>984</v>
      </c>
    </row>
    <row r="7" spans="1:14">
      <c r="A7" s="110" t="s">
        <v>1022</v>
      </c>
    </row>
    <row r="9" spans="1:14">
      <c r="A9" s="107" t="s">
        <v>260</v>
      </c>
    </row>
    <row r="10" spans="1:14" ht="15" customHeight="1">
      <c r="A10" s="111" t="s">
        <v>261</v>
      </c>
      <c r="B10" s="111" t="s">
        <v>83</v>
      </c>
      <c r="C10" s="111" t="s">
        <v>262</v>
      </c>
      <c r="D10" s="111" t="s">
        <v>263</v>
      </c>
      <c r="E10" s="111" t="s">
        <v>156</v>
      </c>
      <c r="F10" s="111" t="s">
        <v>264</v>
      </c>
      <c r="G10" s="111" t="s">
        <v>265</v>
      </c>
      <c r="H10" s="111" t="s">
        <v>266</v>
      </c>
      <c r="I10" s="111" t="s">
        <v>267</v>
      </c>
      <c r="J10" s="111" t="s">
        <v>269</v>
      </c>
      <c r="K10" s="111" t="s">
        <v>270</v>
      </c>
      <c r="L10" s="111" t="s">
        <v>271</v>
      </c>
      <c r="M10" s="111" t="s">
        <v>272</v>
      </c>
      <c r="N10" s="111" t="s">
        <v>273</v>
      </c>
    </row>
    <row r="11" spans="1:14" ht="30" customHeight="1">
      <c r="A11" s="114">
        <v>1</v>
      </c>
      <c r="B11" s="115" t="s">
        <v>274</v>
      </c>
      <c r="C11" s="114" t="s">
        <v>275</v>
      </c>
      <c r="D11" s="114">
        <v>55</v>
      </c>
      <c r="E11" s="114">
        <v>4</v>
      </c>
      <c r="F11" s="114" t="s">
        <v>276</v>
      </c>
      <c r="G11" s="114">
        <v>35</v>
      </c>
      <c r="H11" s="114">
        <v>150</v>
      </c>
      <c r="I11" s="114">
        <f t="shared" ref="I11:I23" si="0">IF(E11=0,0,ROUND((E11*(G11+H11)+N11)/60,1))</f>
        <v>12.3</v>
      </c>
      <c r="J11" s="115" t="s">
        <v>1186</v>
      </c>
      <c r="K11" s="115" t="s">
        <v>1187</v>
      </c>
      <c r="L11" s="114" t="s">
        <v>1026</v>
      </c>
      <c r="M11" s="114"/>
      <c r="N11" s="114"/>
    </row>
    <row r="12" spans="1:14" ht="30" customHeight="1">
      <c r="A12" s="114">
        <v>2</v>
      </c>
      <c r="B12" s="115" t="s">
        <v>1188</v>
      </c>
      <c r="C12" s="114" t="s">
        <v>275</v>
      </c>
      <c r="D12" s="114" t="s">
        <v>28</v>
      </c>
      <c r="E12" s="114">
        <v>4</v>
      </c>
      <c r="F12" s="114" t="s">
        <v>282</v>
      </c>
      <c r="G12" s="114">
        <v>40</v>
      </c>
      <c r="H12" s="114">
        <v>120</v>
      </c>
      <c r="I12" s="114">
        <f t="shared" si="0"/>
        <v>10.7</v>
      </c>
      <c r="J12" s="115" t="s">
        <v>1189</v>
      </c>
      <c r="K12" s="115" t="s">
        <v>1190</v>
      </c>
      <c r="L12" s="114"/>
      <c r="M12" s="114"/>
      <c r="N12" s="114"/>
    </row>
    <row r="13" spans="1:14" ht="30" customHeight="1">
      <c r="A13" s="114">
        <v>3</v>
      </c>
      <c r="B13" s="115" t="s">
        <v>1191</v>
      </c>
      <c r="C13" s="114" t="s">
        <v>275</v>
      </c>
      <c r="D13" s="114" t="s">
        <v>28</v>
      </c>
      <c r="E13" s="114">
        <v>4</v>
      </c>
      <c r="F13" s="114" t="s">
        <v>282</v>
      </c>
      <c r="G13" s="114">
        <v>40</v>
      </c>
      <c r="H13" s="114">
        <v>120</v>
      </c>
      <c r="I13" s="114">
        <f t="shared" si="0"/>
        <v>11.7</v>
      </c>
      <c r="J13" s="115" t="s">
        <v>1192</v>
      </c>
      <c r="K13" s="115" t="s">
        <v>1193</v>
      </c>
      <c r="L13" s="114"/>
      <c r="M13" s="114"/>
      <c r="N13" s="114">
        <v>60</v>
      </c>
    </row>
    <row r="14" spans="1:14" ht="30" customHeight="1">
      <c r="A14" s="114">
        <v>4</v>
      </c>
      <c r="B14" s="115" t="s">
        <v>425</v>
      </c>
      <c r="C14" s="114" t="s">
        <v>426</v>
      </c>
      <c r="D14" s="114">
        <v>15</v>
      </c>
      <c r="E14" s="114">
        <v>3</v>
      </c>
      <c r="F14" s="114" t="s">
        <v>297</v>
      </c>
      <c r="G14" s="114">
        <v>40</v>
      </c>
      <c r="H14" s="114">
        <v>75</v>
      </c>
      <c r="I14" s="114">
        <f t="shared" si="0"/>
        <v>5.8</v>
      </c>
      <c r="J14" s="115" t="s">
        <v>1194</v>
      </c>
      <c r="K14" s="115" t="s">
        <v>1195</v>
      </c>
      <c r="L14" s="114"/>
      <c r="M14" s="114"/>
      <c r="N14" s="114"/>
    </row>
    <row r="15" spans="1:14" ht="30" customHeight="1">
      <c r="A15" s="114">
        <v>5</v>
      </c>
      <c r="B15" s="115" t="s">
        <v>296</v>
      </c>
      <c r="C15" s="114" t="s">
        <v>290</v>
      </c>
      <c r="D15" s="114">
        <v>12.5</v>
      </c>
      <c r="E15" s="114">
        <v>3</v>
      </c>
      <c r="F15" s="114" t="s">
        <v>297</v>
      </c>
      <c r="G15" s="114">
        <v>45</v>
      </c>
      <c r="H15" s="114">
        <v>60</v>
      </c>
      <c r="I15" s="114">
        <f t="shared" si="0"/>
        <v>5.3</v>
      </c>
      <c r="J15" s="115" t="s">
        <v>1196</v>
      </c>
      <c r="K15" s="115" t="s">
        <v>1197</v>
      </c>
      <c r="L15" s="114"/>
      <c r="M15" s="114"/>
      <c r="N15" s="114"/>
    </row>
    <row r="16" spans="1:14" ht="30" customHeight="1">
      <c r="A16" s="114">
        <v>6</v>
      </c>
      <c r="B16" s="115" t="s">
        <v>430</v>
      </c>
      <c r="C16" s="114" t="s">
        <v>357</v>
      </c>
      <c r="D16" s="114">
        <v>30</v>
      </c>
      <c r="E16" s="114">
        <v>3</v>
      </c>
      <c r="F16" s="114" t="s">
        <v>282</v>
      </c>
      <c r="G16" s="114">
        <v>40</v>
      </c>
      <c r="H16" s="114">
        <v>150</v>
      </c>
      <c r="I16" s="114">
        <f t="shared" si="0"/>
        <v>9.5</v>
      </c>
      <c r="J16" s="115" t="s">
        <v>1198</v>
      </c>
      <c r="K16" s="115" t="s">
        <v>1199</v>
      </c>
      <c r="L16" s="114"/>
      <c r="M16" s="114"/>
      <c r="N16" s="114"/>
    </row>
    <row r="17" spans="1:14" ht="30" customHeight="1">
      <c r="A17" s="114">
        <v>7</v>
      </c>
      <c r="B17" s="115" t="s">
        <v>435</v>
      </c>
      <c r="C17" s="114" t="s">
        <v>345</v>
      </c>
      <c r="D17" s="114">
        <v>30</v>
      </c>
      <c r="E17" s="114">
        <v>4</v>
      </c>
      <c r="F17" s="114" t="s">
        <v>297</v>
      </c>
      <c r="G17" s="114">
        <v>40</v>
      </c>
      <c r="H17" s="114">
        <v>105</v>
      </c>
      <c r="I17" s="114">
        <f t="shared" si="0"/>
        <v>9.6999999999999993</v>
      </c>
      <c r="J17" s="115" t="s">
        <v>1200</v>
      </c>
      <c r="K17" s="115" t="s">
        <v>1201</v>
      </c>
      <c r="L17" s="114"/>
      <c r="M17" s="114"/>
      <c r="N17" s="114"/>
    </row>
    <row r="18" spans="1:14" ht="30" customHeight="1">
      <c r="A18" s="114">
        <v>8</v>
      </c>
      <c r="B18" s="115" t="s">
        <v>528</v>
      </c>
      <c r="C18" s="114" t="s">
        <v>345</v>
      </c>
      <c r="D18" s="114">
        <v>10</v>
      </c>
      <c r="E18" s="114">
        <v>3</v>
      </c>
      <c r="F18" s="114" t="s">
        <v>297</v>
      </c>
      <c r="G18" s="114">
        <v>40</v>
      </c>
      <c r="H18" s="114">
        <v>105</v>
      </c>
      <c r="I18" s="114">
        <f t="shared" si="0"/>
        <v>8.3000000000000007</v>
      </c>
      <c r="J18" s="115" t="s">
        <v>1202</v>
      </c>
      <c r="K18" s="115" t="s">
        <v>1203</v>
      </c>
      <c r="L18" s="114"/>
      <c r="M18" s="114"/>
      <c r="N18" s="114">
        <v>60</v>
      </c>
    </row>
    <row r="19" spans="1:14" ht="30" customHeight="1">
      <c r="A19" s="114">
        <v>9</v>
      </c>
      <c r="B19" s="115" t="s">
        <v>1204</v>
      </c>
      <c r="C19" s="114" t="s">
        <v>353</v>
      </c>
      <c r="D19" s="114">
        <v>22</v>
      </c>
      <c r="E19" s="114">
        <v>3</v>
      </c>
      <c r="F19" s="114" t="s">
        <v>311</v>
      </c>
      <c r="G19" s="114">
        <v>40</v>
      </c>
      <c r="H19" s="114">
        <v>70</v>
      </c>
      <c r="I19" s="114">
        <f t="shared" si="0"/>
        <v>5.5</v>
      </c>
      <c r="J19" s="115" t="s">
        <v>1205</v>
      </c>
      <c r="K19" s="115" t="s">
        <v>1206</v>
      </c>
      <c r="L19" s="114"/>
      <c r="M19" s="114"/>
      <c r="N19" s="114"/>
    </row>
    <row r="20" spans="1:14" ht="30" customHeight="1">
      <c r="A20" s="114">
        <v>10</v>
      </c>
      <c r="B20" s="115" t="s">
        <v>1207</v>
      </c>
      <c r="C20" s="114" t="s">
        <v>277</v>
      </c>
      <c r="D20" s="114">
        <v>15</v>
      </c>
      <c r="E20" s="114">
        <v>3</v>
      </c>
      <c r="F20" s="114" t="s">
        <v>282</v>
      </c>
      <c r="G20" s="114">
        <v>40</v>
      </c>
      <c r="H20" s="114">
        <v>75</v>
      </c>
      <c r="I20" s="114">
        <f t="shared" si="0"/>
        <v>5.8</v>
      </c>
      <c r="J20" s="75" t="s">
        <v>1408</v>
      </c>
      <c r="K20" s="115" t="s">
        <v>1208</v>
      </c>
      <c r="L20" s="114"/>
      <c r="M20" s="114"/>
      <c r="N20" s="114"/>
    </row>
    <row r="21" spans="1:14" ht="30" customHeight="1">
      <c r="A21" s="114">
        <v>11</v>
      </c>
      <c r="B21" s="115" t="s">
        <v>1038</v>
      </c>
      <c r="C21" s="114" t="s">
        <v>303</v>
      </c>
      <c r="D21" s="114">
        <v>7.5</v>
      </c>
      <c r="E21" s="114">
        <v>2</v>
      </c>
      <c r="F21" s="114">
        <v>15</v>
      </c>
      <c r="G21" s="114">
        <v>40</v>
      </c>
      <c r="H21" s="114">
        <v>10</v>
      </c>
      <c r="I21" s="114">
        <f t="shared" si="0"/>
        <v>1.7</v>
      </c>
      <c r="J21" s="115" t="s">
        <v>1478</v>
      </c>
      <c r="K21" s="115" t="s">
        <v>1039</v>
      </c>
      <c r="L21" s="114"/>
      <c r="M21" s="114" t="s">
        <v>399</v>
      </c>
      <c r="N21" s="114"/>
    </row>
    <row r="22" spans="1:14" ht="30" customHeight="1">
      <c r="A22" s="114">
        <v>12</v>
      </c>
      <c r="B22" s="115" t="s">
        <v>602</v>
      </c>
      <c r="C22" s="114" t="s">
        <v>303</v>
      </c>
      <c r="D22" s="114">
        <v>7.5</v>
      </c>
      <c r="E22" s="114">
        <v>3</v>
      </c>
      <c r="F22" s="114">
        <v>15</v>
      </c>
      <c r="G22" s="114">
        <v>40</v>
      </c>
      <c r="H22" s="114">
        <v>60</v>
      </c>
      <c r="I22" s="114">
        <f t="shared" si="0"/>
        <v>5</v>
      </c>
      <c r="J22" s="115" t="s">
        <v>1040</v>
      </c>
      <c r="K22" s="115" t="s">
        <v>1041</v>
      </c>
      <c r="L22" s="114"/>
      <c r="M22" s="114" t="s">
        <v>399</v>
      </c>
      <c r="N22" s="114"/>
    </row>
    <row r="23" spans="1:14" ht="30" customHeight="1">
      <c r="A23" s="114">
        <v>13</v>
      </c>
      <c r="B23" s="115" t="s">
        <v>326</v>
      </c>
      <c r="C23" s="114" t="s">
        <v>321</v>
      </c>
      <c r="D23" s="114" t="s">
        <v>291</v>
      </c>
      <c r="E23" s="114">
        <v>4</v>
      </c>
      <c r="F23" s="114" t="s">
        <v>297</v>
      </c>
      <c r="G23" s="114">
        <v>40</v>
      </c>
      <c r="H23" s="114">
        <v>60</v>
      </c>
      <c r="I23" s="114">
        <f t="shared" si="0"/>
        <v>6.7</v>
      </c>
      <c r="J23" s="115" t="s">
        <v>1209</v>
      </c>
      <c r="K23" s="115" t="s">
        <v>1210</v>
      </c>
      <c r="L23" s="114"/>
      <c r="M23" s="114"/>
      <c r="N23" s="114"/>
    </row>
    <row r="24" spans="1:14">
      <c r="A24" s="116"/>
      <c r="B24" s="116"/>
      <c r="C24" s="116"/>
      <c r="D24" s="116" t="s">
        <v>329</v>
      </c>
      <c r="E24" s="116">
        <f>SUM(E11:E23)</f>
        <v>43</v>
      </c>
      <c r="F24" s="116"/>
      <c r="G24" s="116"/>
      <c r="H24" s="116"/>
      <c r="I24" s="116">
        <f>ROUND(SUM(I11:I23),0)</f>
        <v>98</v>
      </c>
    </row>
    <row r="26" spans="1:14">
      <c r="A26" s="107" t="s">
        <v>1211</v>
      </c>
    </row>
    <row r="27" spans="1:14">
      <c r="A27" s="117" t="s">
        <v>1212</v>
      </c>
    </row>
    <row r="28" spans="1:14">
      <c r="A28" s="117" t="s">
        <v>1213</v>
      </c>
    </row>
    <row r="29" spans="1:14">
      <c r="A29" s="117" t="s">
        <v>1214</v>
      </c>
    </row>
    <row r="30" spans="1:14">
      <c r="A30" s="117" t="s">
        <v>1215</v>
      </c>
    </row>
    <row r="31" spans="1:14">
      <c r="A31" s="117" t="s">
        <v>1216</v>
      </c>
    </row>
    <row r="33" spans="1:1">
      <c r="A33" s="107" t="s">
        <v>1217</v>
      </c>
    </row>
    <row r="34" spans="1:1">
      <c r="A34" s="117" t="s">
        <v>1218</v>
      </c>
    </row>
    <row r="35" spans="1:1">
      <c r="A35" s="117" t="s">
        <v>1219</v>
      </c>
    </row>
    <row r="36" spans="1:1">
      <c r="A36" s="117" t="s">
        <v>1220</v>
      </c>
    </row>
    <row r="38" spans="1:1">
      <c r="A38" s="107" t="s">
        <v>972</v>
      </c>
    </row>
    <row r="39" spans="1:1">
      <c r="A39" s="117" t="s">
        <v>1221</v>
      </c>
    </row>
    <row r="40" spans="1:1">
      <c r="A40" s="117" t="s">
        <v>1222</v>
      </c>
    </row>
    <row r="41" spans="1:1">
      <c r="A41" s="117" t="s">
        <v>1223</v>
      </c>
    </row>
    <row r="43" spans="1:1">
      <c r="A43" s="107" t="s">
        <v>1014</v>
      </c>
    </row>
    <row r="44" spans="1:1">
      <c r="A44" s="117" t="s">
        <v>1224</v>
      </c>
    </row>
    <row r="45" spans="1:1">
      <c r="A45" s="117" t="s">
        <v>1225</v>
      </c>
    </row>
    <row r="46" spans="1:1">
      <c r="A46" s="117" t="s">
        <v>1226</v>
      </c>
    </row>
    <row r="47" spans="1:1">
      <c r="A47" s="117" t="s">
        <v>1227</v>
      </c>
    </row>
    <row r="48" spans="1:1">
      <c r="A48" s="117" t="s">
        <v>1228</v>
      </c>
    </row>
    <row r="49" spans="1:3">
      <c r="A49" s="117" t="s">
        <v>1017</v>
      </c>
    </row>
    <row r="51" spans="1:3">
      <c r="C51" s="118" t="s">
        <v>1229</v>
      </c>
    </row>
  </sheetData>
  <phoneticPr fontId="29" type="noConversion"/>
  <hyperlinks>
    <hyperlink ref="J20" r:id="rId1" xr:uid="{23C18850-0E04-48B0-9034-D4ACB8232A2D}"/>
  </hyperlink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28"/>
  <sheetViews>
    <sheetView workbookViewId="0"/>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1409</v>
      </c>
    </row>
    <row r="2" spans="1:6">
      <c r="A2" s="127" t="s">
        <v>1410</v>
      </c>
    </row>
    <row r="4" spans="1:6" ht="15">
      <c r="A4" s="99" t="s">
        <v>1411</v>
      </c>
    </row>
    <row r="5" spans="1:6">
      <c r="A5" s="129" t="s">
        <v>2</v>
      </c>
      <c r="B5" s="129" t="s">
        <v>153</v>
      </c>
      <c r="C5" s="130"/>
      <c r="D5" s="130"/>
      <c r="E5" s="130"/>
      <c r="F5" s="129" t="s">
        <v>5</v>
      </c>
    </row>
    <row r="6" spans="1:6">
      <c r="A6" s="127" t="s">
        <v>902</v>
      </c>
      <c r="B6" s="135" t="s">
        <v>1412</v>
      </c>
      <c r="C6" s="135"/>
      <c r="D6" s="135"/>
      <c r="E6" s="135"/>
      <c r="F6" s="127" t="s">
        <v>1413</v>
      </c>
    </row>
    <row r="7" spans="1:6">
      <c r="A7" s="127" t="s">
        <v>83</v>
      </c>
      <c r="B7" s="135" t="s">
        <v>1414</v>
      </c>
      <c r="C7" s="135"/>
      <c r="D7" s="135"/>
      <c r="E7" s="135"/>
      <c r="F7" s="127" t="s">
        <v>1415</v>
      </c>
    </row>
    <row r="8" spans="1:6">
      <c r="A8" s="127" t="s">
        <v>1416</v>
      </c>
      <c r="B8" s="135" t="s">
        <v>1417</v>
      </c>
      <c r="C8" s="135"/>
      <c r="D8" s="135"/>
      <c r="E8" s="135"/>
      <c r="F8" s="127" t="s">
        <v>1418</v>
      </c>
    </row>
    <row r="9" spans="1:6">
      <c r="A9" s="127" t="s">
        <v>1419</v>
      </c>
      <c r="B9" s="135" t="s">
        <v>1420</v>
      </c>
      <c r="C9" s="135"/>
      <c r="D9" s="135"/>
      <c r="E9" s="135"/>
      <c r="F9" s="127" t="s">
        <v>1421</v>
      </c>
    </row>
    <row r="10" spans="1:6">
      <c r="A10" s="127" t="s">
        <v>1422</v>
      </c>
      <c r="B10" s="135" t="s">
        <v>1423</v>
      </c>
      <c r="C10" s="135"/>
      <c r="D10" s="135"/>
      <c r="E10" s="135"/>
      <c r="F10" s="127" t="s">
        <v>1486</v>
      </c>
    </row>
    <row r="11" spans="1:6">
      <c r="A11" s="127" t="s">
        <v>1424</v>
      </c>
      <c r="B11" s="135" t="s">
        <v>1425</v>
      </c>
      <c r="C11" s="135"/>
      <c r="D11" s="135"/>
      <c r="E11" s="135"/>
      <c r="F11" s="127" t="s">
        <v>1426</v>
      </c>
    </row>
    <row r="12" spans="1:6">
      <c r="A12" s="127" t="s">
        <v>9</v>
      </c>
      <c r="B12" s="135" t="s">
        <v>1427</v>
      </c>
      <c r="C12" s="135"/>
      <c r="D12" s="135"/>
      <c r="E12" s="135"/>
      <c r="F12" s="127" t="s">
        <v>1468</v>
      </c>
    </row>
    <row r="13" spans="1:6">
      <c r="A13" s="127" t="s">
        <v>1428</v>
      </c>
      <c r="B13" s="135" t="s">
        <v>1429</v>
      </c>
      <c r="C13" s="135"/>
      <c r="D13" s="135"/>
      <c r="E13" s="135"/>
      <c r="F13" s="127" t="s">
        <v>1485</v>
      </c>
    </row>
    <row r="14" spans="1:6">
      <c r="A14" s="127" t="s">
        <v>1430</v>
      </c>
      <c r="B14" s="135" t="s">
        <v>1431</v>
      </c>
      <c r="C14" s="135"/>
      <c r="D14" s="135"/>
      <c r="E14" s="135"/>
      <c r="F14" s="127" t="s">
        <v>1432</v>
      </c>
    </row>
    <row r="16" spans="1:6" ht="15">
      <c r="A16" s="131" t="s">
        <v>1433</v>
      </c>
    </row>
    <row r="17" spans="1:6">
      <c r="A17" s="129" t="s">
        <v>122</v>
      </c>
      <c r="B17" s="129" t="s">
        <v>1434</v>
      </c>
      <c r="C17" s="129" t="s">
        <v>1435</v>
      </c>
      <c r="D17" s="129" t="s">
        <v>1436</v>
      </c>
      <c r="E17" s="129" t="s">
        <v>1437</v>
      </c>
      <c r="F17" s="129" t="s">
        <v>1438</v>
      </c>
    </row>
    <row r="18" spans="1:6">
      <c r="A18" s="132">
        <v>1</v>
      </c>
      <c r="B18" s="133">
        <v>46298</v>
      </c>
      <c r="C18" s="132">
        <v>24</v>
      </c>
      <c r="D18" s="132">
        <f t="shared" ref="D18:D27" si="0">C18*2</f>
        <v>48</v>
      </c>
      <c r="E18" s="132"/>
    </row>
    <row r="19" spans="1:6">
      <c r="A19" s="132">
        <v>2</v>
      </c>
      <c r="B19" s="133">
        <v>46305</v>
      </c>
      <c r="C19" s="132">
        <v>26</v>
      </c>
      <c r="D19" s="132">
        <f t="shared" si="0"/>
        <v>52</v>
      </c>
      <c r="E19" s="132"/>
    </row>
    <row r="20" spans="1:6">
      <c r="A20" s="132">
        <v>3</v>
      </c>
      <c r="B20" s="133">
        <v>46312</v>
      </c>
      <c r="C20" s="132">
        <v>26</v>
      </c>
      <c r="D20" s="132">
        <f t="shared" si="0"/>
        <v>52</v>
      </c>
      <c r="E20" s="132"/>
    </row>
    <row r="21" spans="1:6">
      <c r="A21" s="132">
        <v>4</v>
      </c>
      <c r="B21" s="133">
        <v>46319</v>
      </c>
      <c r="C21" s="132">
        <v>28</v>
      </c>
      <c r="D21" s="132">
        <f t="shared" si="0"/>
        <v>56</v>
      </c>
      <c r="E21" s="132"/>
    </row>
    <row r="22" spans="1:6">
      <c r="A22" s="132">
        <v>5</v>
      </c>
      <c r="B22" s="133">
        <v>46326</v>
      </c>
      <c r="C22" s="132">
        <v>30</v>
      </c>
      <c r="D22" s="132">
        <f t="shared" si="0"/>
        <v>60</v>
      </c>
      <c r="E22" s="132"/>
    </row>
    <row r="23" spans="1:6">
      <c r="A23" s="132">
        <v>6</v>
      </c>
      <c r="B23" s="133">
        <v>46333</v>
      </c>
      <c r="C23" s="132">
        <v>32</v>
      </c>
      <c r="D23" s="132">
        <f t="shared" si="0"/>
        <v>64</v>
      </c>
      <c r="E23" s="132"/>
    </row>
    <row r="24" spans="1:6">
      <c r="A24" s="132">
        <v>7</v>
      </c>
      <c r="B24" s="133">
        <v>46340</v>
      </c>
      <c r="C24" s="132">
        <v>34</v>
      </c>
      <c r="D24" s="132">
        <f t="shared" si="0"/>
        <v>68</v>
      </c>
      <c r="E24" s="132"/>
    </row>
    <row r="25" spans="1:6">
      <c r="A25" s="132">
        <v>8</v>
      </c>
      <c r="B25" s="133">
        <v>46347</v>
      </c>
      <c r="C25" s="132">
        <v>36</v>
      </c>
      <c r="D25" s="132">
        <f t="shared" si="0"/>
        <v>72</v>
      </c>
      <c r="E25" s="132"/>
    </row>
    <row r="26" spans="1:6">
      <c r="A26" s="132">
        <v>9</v>
      </c>
      <c r="B26" s="133">
        <v>46354</v>
      </c>
      <c r="C26" s="132">
        <v>36</v>
      </c>
      <c r="D26" s="132">
        <f t="shared" si="0"/>
        <v>72</v>
      </c>
      <c r="E26" s="132"/>
    </row>
    <row r="27" spans="1:6">
      <c r="A27" s="132">
        <v>10</v>
      </c>
      <c r="B27" s="133">
        <v>46361</v>
      </c>
      <c r="C27" s="132">
        <v>36</v>
      </c>
      <c r="D27" s="132">
        <f t="shared" si="0"/>
        <v>72</v>
      </c>
      <c r="E27" s="132"/>
    </row>
    <row r="28" spans="1:6">
      <c r="A28" s="127" t="s">
        <v>1491</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I27"/>
  <sheetViews>
    <sheetView tabSelected="1" workbookViewId="0"/>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9" ht="18.75">
      <c r="A1" s="128" t="s">
        <v>1467</v>
      </c>
    </row>
    <row r="2" spans="1:9">
      <c r="A2" s="127" t="s">
        <v>1439</v>
      </c>
    </row>
    <row r="4" spans="1:9" ht="15">
      <c r="A4" s="99" t="s">
        <v>902</v>
      </c>
    </row>
    <row r="5" spans="1:9">
      <c r="A5" s="129" t="s">
        <v>902</v>
      </c>
      <c r="B5" s="129" t="s">
        <v>1440</v>
      </c>
      <c r="C5" s="130"/>
      <c r="D5" s="130"/>
      <c r="E5" s="130"/>
      <c r="F5" s="130"/>
      <c r="G5" s="130"/>
      <c r="H5" s="130"/>
      <c r="I5" s="129" t="s">
        <v>5</v>
      </c>
    </row>
    <row r="6" spans="1:9">
      <c r="A6" s="127" t="s">
        <v>907</v>
      </c>
      <c r="B6" s="135" t="s">
        <v>1441</v>
      </c>
      <c r="C6" s="135"/>
      <c r="D6" s="135"/>
      <c r="E6" s="135"/>
      <c r="F6" s="135"/>
      <c r="G6" s="135"/>
      <c r="H6" s="135"/>
      <c r="I6" s="127" t="s">
        <v>1442</v>
      </c>
    </row>
    <row r="7" spans="1:9">
      <c r="A7" s="127" t="s">
        <v>912</v>
      </c>
      <c r="B7" s="135" t="s">
        <v>1443</v>
      </c>
      <c r="C7" s="135"/>
      <c r="D7" s="135"/>
      <c r="E7" s="135"/>
      <c r="F7" s="135"/>
      <c r="G7" s="135"/>
      <c r="H7" s="135"/>
      <c r="I7" s="127" t="s">
        <v>1444</v>
      </c>
    </row>
    <row r="8" spans="1:9">
      <c r="A8" s="127" t="s">
        <v>916</v>
      </c>
      <c r="B8" s="135" t="s">
        <v>1443</v>
      </c>
      <c r="C8" s="135"/>
      <c r="D8" s="135"/>
      <c r="E8" s="135"/>
      <c r="F8" s="135"/>
      <c r="G8" s="135"/>
      <c r="H8" s="135"/>
      <c r="I8" s="127" t="s">
        <v>1444</v>
      </c>
    </row>
    <row r="9" spans="1:9">
      <c r="A9" s="127" t="s">
        <v>920</v>
      </c>
      <c r="B9" s="135" t="s">
        <v>29</v>
      </c>
      <c r="C9" s="135"/>
      <c r="D9" s="135"/>
      <c r="E9" s="135"/>
      <c r="F9" s="135"/>
      <c r="G9" s="135"/>
      <c r="H9" s="135"/>
      <c r="I9" s="127" t="s">
        <v>1445</v>
      </c>
    </row>
    <row r="10" spans="1:9">
      <c r="A10" s="127" t="s">
        <v>923</v>
      </c>
      <c r="B10" s="135" t="s">
        <v>1441</v>
      </c>
      <c r="C10" s="135"/>
      <c r="D10" s="135"/>
      <c r="E10" s="135"/>
      <c r="F10" s="135"/>
      <c r="G10" s="135"/>
      <c r="H10" s="135"/>
      <c r="I10" s="127" t="s">
        <v>1446</v>
      </c>
    </row>
    <row r="11" spans="1:9">
      <c r="A11" s="127" t="s">
        <v>928</v>
      </c>
      <c r="B11" s="135" t="s">
        <v>1443</v>
      </c>
      <c r="C11" s="135"/>
      <c r="D11" s="135"/>
      <c r="E11" s="135"/>
      <c r="F11" s="135"/>
      <c r="G11" s="135"/>
      <c r="H11" s="135"/>
      <c r="I11" s="127" t="s">
        <v>1444</v>
      </c>
    </row>
    <row r="12" spans="1:9">
      <c r="A12" s="127" t="s">
        <v>932</v>
      </c>
      <c r="B12" s="135" t="s">
        <v>1447</v>
      </c>
      <c r="C12" s="135"/>
      <c r="D12" s="135"/>
      <c r="E12" s="135"/>
      <c r="F12" s="135"/>
      <c r="G12" s="135"/>
      <c r="H12" s="135"/>
      <c r="I12" s="127" t="s">
        <v>1448</v>
      </c>
    </row>
    <row r="14" spans="1:9" ht="15">
      <c r="A14" s="131" t="s">
        <v>1449</v>
      </c>
    </row>
    <row r="15" spans="1:9">
      <c r="A15" s="129" t="s">
        <v>122</v>
      </c>
      <c r="B15" s="129" t="s">
        <v>1450</v>
      </c>
      <c r="C15" s="129" t="s">
        <v>1451</v>
      </c>
      <c r="D15" s="129" t="s">
        <v>1452</v>
      </c>
      <c r="E15" s="129" t="s">
        <v>1453</v>
      </c>
      <c r="F15" s="129" t="s">
        <v>1454</v>
      </c>
      <c r="G15" s="129" t="s">
        <v>1455</v>
      </c>
      <c r="H15" s="129" t="s">
        <v>1456</v>
      </c>
      <c r="I15" s="129" t="s">
        <v>1457</v>
      </c>
    </row>
    <row r="16" spans="1:9">
      <c r="A16" s="132">
        <v>1</v>
      </c>
      <c r="B16" s="134" t="s">
        <v>322</v>
      </c>
      <c r="C16" s="132">
        <v>3</v>
      </c>
      <c r="D16" s="132">
        <v>4</v>
      </c>
      <c r="E16" s="132">
        <v>3</v>
      </c>
      <c r="F16" s="132">
        <v>2</v>
      </c>
      <c r="G16" s="132">
        <f>C16*D16</f>
        <v>12</v>
      </c>
      <c r="H16" s="132">
        <f>E16*F16</f>
        <v>6</v>
      </c>
      <c r="I16" s="132">
        <f>G16*2+H16*3</f>
        <v>42</v>
      </c>
    </row>
    <row r="17" spans="1:9">
      <c r="A17" s="132">
        <v>2</v>
      </c>
      <c r="B17" s="134" t="s">
        <v>1458</v>
      </c>
      <c r="C17" s="132">
        <v>4</v>
      </c>
      <c r="D17" s="132">
        <v>4</v>
      </c>
      <c r="E17" s="132">
        <v>3</v>
      </c>
      <c r="F17" s="132">
        <v>3</v>
      </c>
      <c r="G17" s="132">
        <f>C17*D17</f>
        <v>16</v>
      </c>
      <c r="H17" s="132">
        <f>E17*F17</f>
        <v>9</v>
      </c>
      <c r="I17" s="132">
        <f>G17*2+H17*3</f>
        <v>59</v>
      </c>
    </row>
    <row r="18" spans="1:9">
      <c r="A18" s="132">
        <v>3</v>
      </c>
      <c r="B18" s="134" t="s">
        <v>1459</v>
      </c>
      <c r="C18" s="132">
        <v>5</v>
      </c>
      <c r="D18" s="132">
        <v>5</v>
      </c>
      <c r="E18" s="132">
        <v>4</v>
      </c>
      <c r="F18" s="132">
        <v>3</v>
      </c>
      <c r="G18" s="132">
        <f>C18*D18</f>
        <v>25</v>
      </c>
      <c r="H18" s="132">
        <f>E18*F18</f>
        <v>12</v>
      </c>
      <c r="I18" s="132">
        <f>G18*2+H18*3</f>
        <v>86</v>
      </c>
    </row>
    <row r="19" spans="1:9">
      <c r="A19" s="132">
        <v>4</v>
      </c>
      <c r="B19" s="134" t="s">
        <v>1460</v>
      </c>
      <c r="C19" s="132">
        <v>5</v>
      </c>
      <c r="D19" s="132">
        <v>6</v>
      </c>
      <c r="E19" s="132">
        <v>5</v>
      </c>
      <c r="F19" s="132">
        <v>3</v>
      </c>
      <c r="G19" s="132">
        <f>C19*D19</f>
        <v>30</v>
      </c>
      <c r="H19" s="132">
        <f>E19*F19</f>
        <v>15</v>
      </c>
      <c r="I19" s="132">
        <f>G19*2+H19*3</f>
        <v>105</v>
      </c>
    </row>
    <row r="21" spans="1:9" ht="15">
      <c r="A21" s="99" t="s">
        <v>1411</v>
      </c>
    </row>
    <row r="22" spans="1:9">
      <c r="A22" s="127" t="s">
        <v>1461</v>
      </c>
    </row>
    <row r="23" spans="1:9">
      <c r="A23" s="127" t="s">
        <v>1462</v>
      </c>
    </row>
    <row r="24" spans="1:9">
      <c r="A24" s="127" t="s">
        <v>1463</v>
      </c>
    </row>
    <row r="25" spans="1:9">
      <c r="A25" s="127" t="s">
        <v>1464</v>
      </c>
    </row>
    <row r="26" spans="1:9">
      <c r="A26" s="127" t="s">
        <v>1465</v>
      </c>
    </row>
    <row r="27" spans="1:9">
      <c r="A27" s="127" t="s">
        <v>1466</v>
      </c>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1484</v>
      </c>
      <c r="D7" s="115" t="s">
        <v>1380</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1473</v>
      </c>
      <c r="D13" s="115" t="s">
        <v>36</v>
      </c>
    </row>
    <row r="14" spans="1:4" ht="30" customHeight="1">
      <c r="A14" s="114" t="s">
        <v>37</v>
      </c>
      <c r="B14" s="120" t="s">
        <v>38</v>
      </c>
      <c r="C14" s="115" t="s">
        <v>39</v>
      </c>
      <c r="D14" s="115" t="s">
        <v>40</v>
      </c>
    </row>
    <row r="17" spans="1:1">
      <c r="A17" s="107" t="s">
        <v>41</v>
      </c>
    </row>
    <row r="18" spans="1:1">
      <c r="A18" s="123" t="s">
        <v>42</v>
      </c>
    </row>
    <row r="19" spans="1:1">
      <c r="A19" s="123" t="s">
        <v>43</v>
      </c>
    </row>
    <row r="20" spans="1:1">
      <c r="A20" s="123" t="s">
        <v>44</v>
      </c>
    </row>
    <row r="21" spans="1:1">
      <c r="A21" s="123" t="s">
        <v>45</v>
      </c>
    </row>
    <row r="22" spans="1:1">
      <c r="A22" s="123" t="s">
        <v>46</v>
      </c>
    </row>
    <row r="24" spans="1:1">
      <c r="A24" s="107" t="s">
        <v>47</v>
      </c>
    </row>
    <row r="25" spans="1:1">
      <c r="A25" s="123" t="s">
        <v>48</v>
      </c>
    </row>
    <row r="26" spans="1:1">
      <c r="A26" s="123" t="s">
        <v>49</v>
      </c>
    </row>
    <row r="27" spans="1:1">
      <c r="A27" s="123" t="s">
        <v>50</v>
      </c>
    </row>
    <row r="29" spans="1:1">
      <c r="A29" s="107" t="s">
        <v>51</v>
      </c>
    </row>
    <row r="30" spans="1:1">
      <c r="A30" s="123" t="s">
        <v>52</v>
      </c>
    </row>
    <row r="31" spans="1:1">
      <c r="A31" s="123" t="s">
        <v>53</v>
      </c>
    </row>
    <row r="32" spans="1:1">
      <c r="A32" s="123" t="s">
        <v>54</v>
      </c>
    </row>
    <row r="33" spans="1:1">
      <c r="A33" s="123" t="s">
        <v>55</v>
      </c>
    </row>
    <row r="35" spans="1:1">
      <c r="A35" s="107" t="s">
        <v>56</v>
      </c>
    </row>
    <row r="36" spans="1:1">
      <c r="A36" s="123" t="s">
        <v>57</v>
      </c>
    </row>
    <row r="37" spans="1:1">
      <c r="A37" s="123" t="s">
        <v>58</v>
      </c>
    </row>
    <row r="38" spans="1:1">
      <c r="A38" s="123" t="s">
        <v>59</v>
      </c>
    </row>
    <row r="39" spans="1:1">
      <c r="A39" s="123" t="s">
        <v>60</v>
      </c>
    </row>
    <row r="40" spans="1:1">
      <c r="A40" s="123" t="s">
        <v>61</v>
      </c>
    </row>
    <row r="42" spans="1:1">
      <c r="A42" s="107" t="s">
        <v>62</v>
      </c>
    </row>
    <row r="43" spans="1:1">
      <c r="A43" s="123" t="s">
        <v>63</v>
      </c>
    </row>
    <row r="44" spans="1:1">
      <c r="A44" s="123" t="s">
        <v>64</v>
      </c>
    </row>
    <row r="45" spans="1:1">
      <c r="A45" s="123" t="s">
        <v>65</v>
      </c>
    </row>
    <row r="46" spans="1:1">
      <c r="A46" s="123" t="s">
        <v>66</v>
      </c>
    </row>
    <row r="47" spans="1:1">
      <c r="A47" s="123" t="s">
        <v>1490</v>
      </c>
    </row>
    <row r="48" spans="1:1">
      <c r="A48" s="123" t="s">
        <v>67</v>
      </c>
    </row>
    <row r="49" spans="1:1">
      <c r="A49" s="123" t="s">
        <v>68</v>
      </c>
    </row>
    <row r="50" spans="1:1">
      <c r="A50" s="123" t="s">
        <v>69</v>
      </c>
    </row>
    <row r="52" spans="1:1">
      <c r="A52" s="107" t="s">
        <v>70</v>
      </c>
    </row>
    <row r="53" spans="1:1">
      <c r="A53" s="123" t="s">
        <v>71</v>
      </c>
    </row>
    <row r="54" spans="1:1">
      <c r="A54" s="123" t="s">
        <v>72</v>
      </c>
    </row>
    <row r="55" spans="1:1">
      <c r="A55" s="123" t="s">
        <v>73</v>
      </c>
    </row>
    <row r="56" spans="1:1">
      <c r="A56" s="123" t="s">
        <v>74</v>
      </c>
    </row>
    <row r="58" spans="1:1">
      <c r="A58" s="107" t="s">
        <v>75</v>
      </c>
    </row>
    <row r="59" spans="1:1">
      <c r="A59" s="123" t="s">
        <v>76</v>
      </c>
    </row>
    <row r="60" spans="1:1">
      <c r="A60" s="123" t="s">
        <v>77</v>
      </c>
    </row>
    <row r="61" spans="1:1">
      <c r="A61" s="123" t="s">
        <v>78</v>
      </c>
    </row>
  </sheetData>
  <phoneticPr fontId="29" type="noConversion"/>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3"/>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1230</v>
      </c>
    </row>
    <row r="2" spans="1:8">
      <c r="A2" s="119" t="s">
        <v>1231</v>
      </c>
    </row>
    <row r="3" spans="1:8">
      <c r="A3" s="119" t="s">
        <v>643</v>
      </c>
      <c r="F3" s="107">
        <f ca="1">COUNTIF($E$7:$E$93,"?")</f>
        <v>0</v>
      </c>
    </row>
    <row r="4" spans="1:8">
      <c r="A4" s="119" t="s">
        <v>1232</v>
      </c>
    </row>
    <row r="6" spans="1:8">
      <c r="A6" s="111" t="s">
        <v>1233</v>
      </c>
      <c r="B6" s="111" t="s">
        <v>646</v>
      </c>
      <c r="C6" s="111" t="s">
        <v>647</v>
      </c>
      <c r="D6" s="111" t="s">
        <v>648</v>
      </c>
      <c r="E6" s="111" t="s">
        <v>649</v>
      </c>
      <c r="F6" s="111" t="s">
        <v>650</v>
      </c>
      <c r="G6" s="111" t="s">
        <v>651</v>
      </c>
      <c r="H6" s="111" t="s">
        <v>652</v>
      </c>
    </row>
    <row r="7" spans="1:8" ht="38.25">
      <c r="A7" s="114" t="s">
        <v>1234</v>
      </c>
      <c r="B7" s="115" t="s">
        <v>93</v>
      </c>
      <c r="C7" s="114" t="s">
        <v>353</v>
      </c>
      <c r="D7" s="114">
        <v>0.33</v>
      </c>
      <c r="E7" s="114">
        <f t="shared" ref="E7:E39" ca="1" si="0">IFERROR(INDEX(INDIRECT("'"&amp;$A7&amp;"'!$E$1:$E$60"),MATCH($B7,INDIRECT("'"&amp;$A7&amp;"'!$B$1:$B$60"),0)),"?")</f>
        <v>4</v>
      </c>
      <c r="F7" s="114">
        <f t="shared" ref="F7:F39" ca="1" si="1">IF(ISNUMBER(E7),$D7*E7,0)</f>
        <v>1.32</v>
      </c>
      <c r="G7" s="114" t="s">
        <v>667</v>
      </c>
      <c r="H7" s="115" t="s">
        <v>1235</v>
      </c>
    </row>
    <row r="8" spans="1:8">
      <c r="A8" s="114" t="s">
        <v>1234</v>
      </c>
      <c r="B8" s="115" t="s">
        <v>525</v>
      </c>
      <c r="C8" s="114" t="s">
        <v>353</v>
      </c>
      <c r="D8" s="114">
        <v>0.5</v>
      </c>
      <c r="E8" s="114">
        <f t="shared" ca="1" si="0"/>
        <v>3</v>
      </c>
      <c r="F8" s="114">
        <f t="shared" ca="1" si="1"/>
        <v>1.5</v>
      </c>
      <c r="G8" s="114" t="s">
        <v>667</v>
      </c>
      <c r="H8" s="115" t="s">
        <v>1236</v>
      </c>
    </row>
    <row r="9" spans="1:8">
      <c r="A9" s="114" t="s">
        <v>1234</v>
      </c>
      <c r="B9" s="115" t="s">
        <v>351</v>
      </c>
      <c r="C9" s="114" t="s">
        <v>353</v>
      </c>
      <c r="D9" s="114">
        <v>0.5</v>
      </c>
      <c r="E9" s="114">
        <f t="shared" ca="1" si="0"/>
        <v>3</v>
      </c>
      <c r="F9" s="114">
        <f t="shared" ca="1" si="1"/>
        <v>1.5</v>
      </c>
      <c r="G9" s="114" t="s">
        <v>667</v>
      </c>
      <c r="H9" s="115" t="s">
        <v>1237</v>
      </c>
    </row>
    <row r="10" spans="1:8">
      <c r="A10" s="114" t="s">
        <v>1238</v>
      </c>
      <c r="B10" s="115" t="s">
        <v>516</v>
      </c>
      <c r="C10" s="114" t="s">
        <v>353</v>
      </c>
      <c r="D10" s="114">
        <v>0.5</v>
      </c>
      <c r="E10" s="114">
        <f t="shared" ca="1" si="0"/>
        <v>3</v>
      </c>
      <c r="F10" s="114">
        <f t="shared" ca="1" si="1"/>
        <v>1.5</v>
      </c>
      <c r="G10" s="114" t="s">
        <v>667</v>
      </c>
      <c r="H10" s="115" t="s">
        <v>1236</v>
      </c>
    </row>
    <row r="11" spans="1:8" ht="38.25">
      <c r="A11" s="114" t="s">
        <v>1239</v>
      </c>
      <c r="B11" s="115" t="s">
        <v>1140</v>
      </c>
      <c r="C11" s="114" t="s">
        <v>353</v>
      </c>
      <c r="D11" s="114">
        <v>0.33</v>
      </c>
      <c r="E11" s="114">
        <f t="shared" ca="1" si="0"/>
        <v>3</v>
      </c>
      <c r="F11" s="114">
        <f t="shared" ca="1" si="1"/>
        <v>0.99</v>
      </c>
      <c r="G11" s="114" t="s">
        <v>667</v>
      </c>
      <c r="H11" s="115" t="s">
        <v>1240</v>
      </c>
    </row>
    <row r="12" spans="1:8" ht="25.5">
      <c r="A12" s="114" t="s">
        <v>1241</v>
      </c>
      <c r="B12" s="115" t="s">
        <v>274</v>
      </c>
      <c r="C12" s="114" t="s">
        <v>277</v>
      </c>
      <c r="D12" s="114">
        <v>0.5</v>
      </c>
      <c r="E12" s="114">
        <f t="shared" ca="1" si="0"/>
        <v>4</v>
      </c>
      <c r="F12" s="114">
        <f t="shared" ca="1" si="1"/>
        <v>2</v>
      </c>
      <c r="G12" s="114" t="s">
        <v>667</v>
      </c>
      <c r="H12" s="115" t="s">
        <v>1242</v>
      </c>
    </row>
    <row r="13" spans="1:8" ht="25.5">
      <c r="A13" s="114" t="s">
        <v>1241</v>
      </c>
      <c r="B13" s="115" t="s">
        <v>1191</v>
      </c>
      <c r="C13" s="114" t="s">
        <v>277</v>
      </c>
      <c r="D13" s="114">
        <v>0.5</v>
      </c>
      <c r="E13" s="114">
        <f t="shared" ca="1" si="0"/>
        <v>4</v>
      </c>
      <c r="F13" s="114">
        <f t="shared" ca="1" si="1"/>
        <v>2</v>
      </c>
      <c r="G13" s="114" t="s">
        <v>667</v>
      </c>
      <c r="H13" s="115" t="s">
        <v>1243</v>
      </c>
    </row>
    <row r="14" spans="1:8" ht="25.5">
      <c r="A14" s="114" t="s">
        <v>1241</v>
      </c>
      <c r="B14" s="115" t="s">
        <v>1188</v>
      </c>
      <c r="C14" s="114" t="s">
        <v>277</v>
      </c>
      <c r="D14" s="114">
        <v>0.2</v>
      </c>
      <c r="E14" s="114">
        <f t="shared" ca="1" si="0"/>
        <v>4</v>
      </c>
      <c r="F14" s="114">
        <f t="shared" ca="1" si="1"/>
        <v>0.8</v>
      </c>
      <c r="G14" s="114" t="s">
        <v>667</v>
      </c>
      <c r="H14" s="115" t="s">
        <v>1244</v>
      </c>
    </row>
    <row r="15" spans="1:8" ht="25.5">
      <c r="A15" s="114" t="s">
        <v>1245</v>
      </c>
      <c r="B15" s="115" t="s">
        <v>480</v>
      </c>
      <c r="C15" s="114" t="s">
        <v>277</v>
      </c>
      <c r="D15" s="114">
        <v>0.33</v>
      </c>
      <c r="E15" s="114">
        <f t="shared" ca="1" si="0"/>
        <v>3</v>
      </c>
      <c r="F15" s="114">
        <f t="shared" ca="1" si="1"/>
        <v>0.99</v>
      </c>
      <c r="G15" s="114" t="s">
        <v>667</v>
      </c>
      <c r="H15" s="115" t="s">
        <v>1246</v>
      </c>
    </row>
    <row r="16" spans="1:8" ht="51">
      <c r="A16" s="114" t="s">
        <v>1245</v>
      </c>
      <c r="B16" s="115" t="s">
        <v>1390</v>
      </c>
      <c r="C16" s="114" t="s">
        <v>277</v>
      </c>
      <c r="D16" s="114">
        <v>0.33</v>
      </c>
      <c r="E16" s="114">
        <f t="shared" ca="1" si="0"/>
        <v>1</v>
      </c>
      <c r="F16" s="114">
        <f t="shared" ref="F16" ca="1" si="2">IF(ISNUMBER(E16),$D16*E16,0)</f>
        <v>0.33</v>
      </c>
      <c r="G16" s="114" t="s">
        <v>667</v>
      </c>
      <c r="H16" s="115" t="s">
        <v>1399</v>
      </c>
    </row>
    <row r="17" spans="1:8" ht="25.5">
      <c r="A17" s="114" t="s">
        <v>1245</v>
      </c>
      <c r="B17" s="115" t="s">
        <v>1023</v>
      </c>
      <c r="C17" s="114" t="s">
        <v>277</v>
      </c>
      <c r="D17" s="114">
        <v>0.2</v>
      </c>
      <c r="E17" s="114">
        <f t="shared" ca="1" si="0"/>
        <v>4</v>
      </c>
      <c r="F17" s="114">
        <f t="shared" ca="1" si="1"/>
        <v>0.8</v>
      </c>
      <c r="G17" s="114" t="s">
        <v>667</v>
      </c>
      <c r="H17" s="115" t="s">
        <v>1247</v>
      </c>
    </row>
    <row r="18" spans="1:8" ht="38.25">
      <c r="A18" s="114" t="s">
        <v>1245</v>
      </c>
      <c r="B18" s="115" t="s">
        <v>473</v>
      </c>
      <c r="C18" s="114" t="s">
        <v>277</v>
      </c>
      <c r="D18" s="114">
        <v>0.2</v>
      </c>
      <c r="E18" s="114">
        <f t="shared" ca="1" si="0"/>
        <v>3</v>
      </c>
      <c r="F18" s="114">
        <f t="shared" ca="1" si="1"/>
        <v>0.60000000000000009</v>
      </c>
      <c r="G18" s="114" t="s">
        <v>667</v>
      </c>
      <c r="H18" s="115" t="s">
        <v>1248</v>
      </c>
    </row>
    <row r="19" spans="1:8" ht="25.5">
      <c r="A19" s="114" t="s">
        <v>1249</v>
      </c>
      <c r="B19" s="115" t="s">
        <v>447</v>
      </c>
      <c r="C19" s="114" t="s">
        <v>277</v>
      </c>
      <c r="D19" s="114">
        <v>0.2</v>
      </c>
      <c r="E19" s="114">
        <f t="shared" ca="1" si="0"/>
        <v>3</v>
      </c>
      <c r="F19" s="114">
        <f t="shared" ca="1" si="1"/>
        <v>0.60000000000000009</v>
      </c>
      <c r="G19" s="114" t="s">
        <v>667</v>
      </c>
      <c r="H19" s="115" t="s">
        <v>1250</v>
      </c>
    </row>
    <row r="20" spans="1:8" ht="25.5">
      <c r="A20" s="114" t="s">
        <v>1234</v>
      </c>
      <c r="B20" s="115" t="s">
        <v>93</v>
      </c>
      <c r="C20" s="114" t="s">
        <v>437</v>
      </c>
      <c r="D20" s="114">
        <v>0.33</v>
      </c>
      <c r="E20" s="114">
        <f t="shared" ca="1" si="0"/>
        <v>4</v>
      </c>
      <c r="F20" s="114">
        <f t="shared" ca="1" si="1"/>
        <v>1.32</v>
      </c>
      <c r="G20" s="114" t="s">
        <v>667</v>
      </c>
      <c r="H20" s="115" t="s">
        <v>1251</v>
      </c>
    </row>
    <row r="21" spans="1:8">
      <c r="A21" s="114" t="s">
        <v>1234</v>
      </c>
      <c r="B21" s="115" t="s">
        <v>525</v>
      </c>
      <c r="C21" s="114" t="s">
        <v>437</v>
      </c>
      <c r="D21" s="114">
        <v>0.5</v>
      </c>
      <c r="E21" s="114">
        <f t="shared" ca="1" si="0"/>
        <v>3</v>
      </c>
      <c r="F21" s="114">
        <f t="shared" ca="1" si="1"/>
        <v>1.5</v>
      </c>
      <c r="G21" s="114" t="s">
        <v>667</v>
      </c>
      <c r="H21" s="115" t="s">
        <v>1252</v>
      </c>
    </row>
    <row r="22" spans="1:8">
      <c r="A22" s="114" t="s">
        <v>1234</v>
      </c>
      <c r="B22" s="115" t="s">
        <v>351</v>
      </c>
      <c r="C22" s="114" t="s">
        <v>437</v>
      </c>
      <c r="D22" s="114">
        <v>0.2</v>
      </c>
      <c r="E22" s="114">
        <f t="shared" ca="1" si="0"/>
        <v>3</v>
      </c>
      <c r="F22" s="114">
        <f t="shared" ca="1" si="1"/>
        <v>0.60000000000000009</v>
      </c>
      <c r="G22" s="114" t="s">
        <v>667</v>
      </c>
      <c r="H22" s="115" t="s">
        <v>1253</v>
      </c>
    </row>
    <row r="23" spans="1:8">
      <c r="A23" s="114" t="s">
        <v>1234</v>
      </c>
      <c r="B23" s="115" t="s">
        <v>594</v>
      </c>
      <c r="C23" s="114" t="s">
        <v>437</v>
      </c>
      <c r="D23" s="114">
        <v>0.2</v>
      </c>
      <c r="E23" s="114">
        <f t="shared" ca="1" si="0"/>
        <v>3</v>
      </c>
      <c r="F23" s="114">
        <f t="shared" ca="1" si="1"/>
        <v>0.60000000000000009</v>
      </c>
      <c r="G23" s="114" t="s">
        <v>667</v>
      </c>
      <c r="H23" s="115" t="s">
        <v>1254</v>
      </c>
    </row>
    <row r="24" spans="1:8">
      <c r="A24" s="114" t="s">
        <v>1241</v>
      </c>
      <c r="B24" s="115" t="s">
        <v>435</v>
      </c>
      <c r="C24" s="114" t="s">
        <v>437</v>
      </c>
      <c r="D24" s="114">
        <v>0.2</v>
      </c>
      <c r="E24" s="114">
        <f t="shared" ca="1" si="0"/>
        <v>4</v>
      </c>
      <c r="F24" s="114">
        <f t="shared" ca="1" si="1"/>
        <v>0.8</v>
      </c>
      <c r="G24" s="114" t="s">
        <v>667</v>
      </c>
      <c r="H24" s="115" t="s">
        <v>1255</v>
      </c>
    </row>
    <row r="25" spans="1:8" ht="25.5">
      <c r="A25" s="114" t="s">
        <v>1241</v>
      </c>
      <c r="B25" s="115" t="s">
        <v>430</v>
      </c>
      <c r="C25" s="114" t="s">
        <v>437</v>
      </c>
      <c r="D25" s="114">
        <v>0.5</v>
      </c>
      <c r="E25" s="114">
        <f t="shared" ca="1" si="0"/>
        <v>3</v>
      </c>
      <c r="F25" s="114">
        <f t="shared" ca="1" si="1"/>
        <v>1.5</v>
      </c>
      <c r="G25" s="114" t="s">
        <v>667</v>
      </c>
      <c r="H25" s="115" t="s">
        <v>1256</v>
      </c>
    </row>
    <row r="26" spans="1:8" ht="25.5">
      <c r="A26" s="114" t="s">
        <v>1241</v>
      </c>
      <c r="B26" s="115" t="s">
        <v>430</v>
      </c>
      <c r="C26" s="114" t="s">
        <v>353</v>
      </c>
      <c r="D26" s="114">
        <v>0.5</v>
      </c>
      <c r="E26" s="114">
        <f t="shared" ca="1" si="0"/>
        <v>3</v>
      </c>
      <c r="F26" s="114">
        <f t="shared" ca="1" si="1"/>
        <v>1.5</v>
      </c>
      <c r="G26" s="114" t="s">
        <v>667</v>
      </c>
      <c r="H26" s="115" t="s">
        <v>1257</v>
      </c>
    </row>
    <row r="27" spans="1:8" ht="25.5">
      <c r="A27" s="114" t="s">
        <v>1241</v>
      </c>
      <c r="B27" s="115" t="s">
        <v>296</v>
      </c>
      <c r="C27" s="114" t="s">
        <v>366</v>
      </c>
      <c r="D27" s="114">
        <v>0.5</v>
      </c>
      <c r="E27" s="114">
        <f t="shared" ca="1" si="0"/>
        <v>3</v>
      </c>
      <c r="F27" s="114">
        <f t="shared" ca="1" si="1"/>
        <v>1.5</v>
      </c>
      <c r="G27" s="114" t="s">
        <v>667</v>
      </c>
      <c r="H27" s="115" t="s">
        <v>1258</v>
      </c>
    </row>
    <row r="28" spans="1:8" ht="38.25">
      <c r="A28" s="114" t="s">
        <v>1239</v>
      </c>
      <c r="B28" s="115" t="s">
        <v>1140</v>
      </c>
      <c r="C28" s="114" t="s">
        <v>362</v>
      </c>
      <c r="D28" s="114">
        <v>0.33</v>
      </c>
      <c r="E28" s="114">
        <f t="shared" ca="1" si="0"/>
        <v>3</v>
      </c>
      <c r="F28" s="114">
        <f t="shared" ca="1" si="1"/>
        <v>0.99</v>
      </c>
      <c r="G28" s="114" t="s">
        <v>667</v>
      </c>
      <c r="H28" s="115" t="s">
        <v>1259</v>
      </c>
    </row>
    <row r="29" spans="1:8" ht="38.25">
      <c r="A29" s="114" t="s">
        <v>1238</v>
      </c>
      <c r="B29" s="115" t="s">
        <v>516</v>
      </c>
      <c r="C29" s="114" t="s">
        <v>362</v>
      </c>
      <c r="D29" s="114">
        <v>0.33</v>
      </c>
      <c r="E29" s="114">
        <f t="shared" ca="1" si="0"/>
        <v>3</v>
      </c>
      <c r="F29" s="114">
        <f t="shared" ca="1" si="1"/>
        <v>0.99</v>
      </c>
      <c r="G29" s="114" t="s">
        <v>667</v>
      </c>
      <c r="H29" s="115" t="s">
        <v>1260</v>
      </c>
    </row>
    <row r="30" spans="1:8" ht="25.5">
      <c r="A30" s="114" t="s">
        <v>1239</v>
      </c>
      <c r="B30" s="115" t="s">
        <v>1135</v>
      </c>
      <c r="C30" s="114" t="s">
        <v>377</v>
      </c>
      <c r="D30" s="114">
        <v>0.33</v>
      </c>
      <c r="E30" s="114">
        <f t="shared" ca="1" si="0"/>
        <v>4</v>
      </c>
      <c r="F30" s="114">
        <f t="shared" ca="1" si="1"/>
        <v>1.32</v>
      </c>
      <c r="G30" s="114" t="s">
        <v>667</v>
      </c>
      <c r="H30" s="115" t="s">
        <v>1261</v>
      </c>
    </row>
    <row r="31" spans="1:8" ht="25.5">
      <c r="A31" s="114" t="s">
        <v>1245</v>
      </c>
      <c r="B31" s="115" t="s">
        <v>1023</v>
      </c>
      <c r="C31" s="114" t="s">
        <v>275</v>
      </c>
      <c r="D31" s="114">
        <v>0.5</v>
      </c>
      <c r="E31" s="114">
        <f t="shared" ca="1" si="0"/>
        <v>4</v>
      </c>
      <c r="F31" s="114">
        <f t="shared" ca="1" si="1"/>
        <v>2</v>
      </c>
      <c r="G31" s="114" t="s">
        <v>667</v>
      </c>
      <c r="H31" s="115" t="s">
        <v>1262</v>
      </c>
    </row>
    <row r="32" spans="1:8" ht="25.5">
      <c r="A32" s="114" t="s">
        <v>1245</v>
      </c>
      <c r="B32" s="115" t="s">
        <v>473</v>
      </c>
      <c r="C32" s="114" t="s">
        <v>275</v>
      </c>
      <c r="D32" s="114">
        <v>0.5</v>
      </c>
      <c r="E32" s="114">
        <f t="shared" ca="1" si="0"/>
        <v>3</v>
      </c>
      <c r="F32" s="114">
        <f t="shared" ca="1" si="1"/>
        <v>1.5</v>
      </c>
      <c r="G32" s="114" t="s">
        <v>667</v>
      </c>
      <c r="H32" s="115" t="s">
        <v>1262</v>
      </c>
    </row>
    <row r="33" spans="1:8">
      <c r="A33" s="114" t="s">
        <v>1239</v>
      </c>
      <c r="B33" s="115" t="s">
        <v>91</v>
      </c>
      <c r="C33" s="114" t="s">
        <v>275</v>
      </c>
      <c r="D33" s="114">
        <v>0</v>
      </c>
      <c r="E33" s="114">
        <f t="shared" ca="1" si="0"/>
        <v>1</v>
      </c>
      <c r="F33" s="114">
        <f t="shared" ca="1" si="1"/>
        <v>0</v>
      </c>
      <c r="G33" s="114" t="s">
        <v>667</v>
      </c>
      <c r="H33" s="115" t="s">
        <v>1263</v>
      </c>
    </row>
    <row r="34" spans="1:8">
      <c r="A34" s="114" t="s">
        <v>1239</v>
      </c>
      <c r="B34" s="115" t="s">
        <v>1140</v>
      </c>
      <c r="C34" s="114" t="s">
        <v>415</v>
      </c>
      <c r="D34" s="114">
        <v>0.2</v>
      </c>
      <c r="E34" s="114">
        <f t="shared" ca="1" si="0"/>
        <v>3</v>
      </c>
      <c r="F34" s="114">
        <f t="shared" ca="1" si="1"/>
        <v>0.60000000000000009</v>
      </c>
      <c r="G34" s="114" t="s">
        <v>667</v>
      </c>
      <c r="H34" s="115" t="s">
        <v>1264</v>
      </c>
    </row>
    <row r="35" spans="1:8">
      <c r="A35" s="114" t="s">
        <v>1245</v>
      </c>
      <c r="B35" s="115" t="s">
        <v>1023</v>
      </c>
      <c r="C35" s="114" t="s">
        <v>415</v>
      </c>
      <c r="D35" s="114">
        <v>0.2</v>
      </c>
      <c r="E35" s="114">
        <f t="shared" ca="1" si="0"/>
        <v>4</v>
      </c>
      <c r="F35" s="114">
        <f t="shared" ca="1" si="1"/>
        <v>0.8</v>
      </c>
      <c r="G35" s="114" t="s">
        <v>667</v>
      </c>
      <c r="H35" s="115" t="s">
        <v>1265</v>
      </c>
    </row>
    <row r="36" spans="1:8" ht="25.5">
      <c r="A36" s="114" t="s">
        <v>1239</v>
      </c>
      <c r="B36" s="115" t="s">
        <v>91</v>
      </c>
      <c r="C36" s="114" t="s">
        <v>415</v>
      </c>
      <c r="D36" s="114">
        <v>0</v>
      </c>
      <c r="E36" s="114">
        <f t="shared" ca="1" si="0"/>
        <v>1</v>
      </c>
      <c r="F36" s="114">
        <f t="shared" ca="1" si="1"/>
        <v>0</v>
      </c>
      <c r="G36" s="114" t="s">
        <v>667</v>
      </c>
      <c r="H36" s="115" t="s">
        <v>1266</v>
      </c>
    </row>
    <row r="37" spans="1:8">
      <c r="A37" s="114" t="s">
        <v>1241</v>
      </c>
      <c r="B37" s="115" t="s">
        <v>274</v>
      </c>
      <c r="C37" s="114" t="s">
        <v>426</v>
      </c>
      <c r="D37" s="114">
        <v>0.2</v>
      </c>
      <c r="E37" s="114">
        <f t="shared" ca="1" si="0"/>
        <v>4</v>
      </c>
      <c r="F37" s="114">
        <f t="shared" ca="1" si="1"/>
        <v>0.8</v>
      </c>
      <c r="G37" s="114" t="s">
        <v>667</v>
      </c>
      <c r="H37" s="115" t="s">
        <v>1267</v>
      </c>
    </row>
    <row r="38" spans="1:8">
      <c r="A38" s="114" t="s">
        <v>1241</v>
      </c>
      <c r="B38" s="115" t="s">
        <v>1191</v>
      </c>
      <c r="C38" s="114" t="s">
        <v>426</v>
      </c>
      <c r="D38" s="114">
        <v>0.2</v>
      </c>
      <c r="E38" s="114">
        <f t="shared" ca="1" si="0"/>
        <v>4</v>
      </c>
      <c r="F38" s="114">
        <f t="shared" ca="1" si="1"/>
        <v>0.8</v>
      </c>
      <c r="G38" s="114" t="s">
        <v>667</v>
      </c>
      <c r="H38" s="115" t="s">
        <v>1268</v>
      </c>
    </row>
    <row r="39" spans="1:8">
      <c r="A39" s="114" t="s">
        <v>1241</v>
      </c>
      <c r="B39" s="115" t="s">
        <v>1188</v>
      </c>
      <c r="C39" s="114" t="s">
        <v>426</v>
      </c>
      <c r="D39" s="114">
        <v>0.2</v>
      </c>
      <c r="E39" s="114">
        <f t="shared" ca="1" si="0"/>
        <v>4</v>
      </c>
      <c r="F39" s="114">
        <f t="shared" ca="1" si="1"/>
        <v>0.8</v>
      </c>
      <c r="G39" s="114" t="s">
        <v>667</v>
      </c>
      <c r="H39" s="115" t="s">
        <v>1269</v>
      </c>
    </row>
    <row r="40" spans="1:8" ht="25.5">
      <c r="A40" s="114" t="s">
        <v>1245</v>
      </c>
      <c r="B40" s="115" t="s">
        <v>473</v>
      </c>
      <c r="C40" s="114" t="s">
        <v>426</v>
      </c>
      <c r="D40" s="114">
        <v>0.2</v>
      </c>
      <c r="E40" s="114">
        <f t="shared" ref="E40:E73" ca="1" si="3">IFERROR(INDEX(INDIRECT("'"&amp;$A40&amp;"'!$E$1:$E$60"),MATCH($B40,INDIRECT("'"&amp;$A40&amp;"'!$B$1:$B$60"),0)),"?")</f>
        <v>3</v>
      </c>
      <c r="F40" s="114">
        <f t="shared" ref="F40:F73" ca="1" si="4">IF(ISNUMBER(E40),$D40*E40,0)</f>
        <v>0.60000000000000009</v>
      </c>
      <c r="G40" s="114" t="s">
        <v>667</v>
      </c>
      <c r="H40" s="115" t="s">
        <v>1270</v>
      </c>
    </row>
    <row r="41" spans="1:8" ht="38.25">
      <c r="A41" s="114" t="s">
        <v>1234</v>
      </c>
      <c r="B41" s="115" t="s">
        <v>1361</v>
      </c>
      <c r="C41" s="114" t="s">
        <v>290</v>
      </c>
      <c r="D41" s="114">
        <v>0.33</v>
      </c>
      <c r="E41" s="114">
        <f t="shared" ca="1" si="3"/>
        <v>3</v>
      </c>
      <c r="F41" s="114">
        <f t="shared" ca="1" si="4"/>
        <v>0.99</v>
      </c>
      <c r="G41" s="114" t="s">
        <v>667</v>
      </c>
      <c r="H41" s="115" t="s">
        <v>1271</v>
      </c>
    </row>
    <row r="42" spans="1:8">
      <c r="A42" s="114" t="s">
        <v>1239</v>
      </c>
      <c r="B42" s="115" t="s">
        <v>531</v>
      </c>
      <c r="C42" s="114" t="s">
        <v>290</v>
      </c>
      <c r="D42" s="114">
        <v>0.33</v>
      </c>
      <c r="E42" s="114">
        <f t="shared" ca="1" si="3"/>
        <v>3</v>
      </c>
      <c r="F42" s="114">
        <f t="shared" ca="1" si="4"/>
        <v>0.99</v>
      </c>
      <c r="G42" s="114" t="s">
        <v>667</v>
      </c>
      <c r="H42" s="115" t="s">
        <v>1272</v>
      </c>
    </row>
    <row r="43" spans="1:8">
      <c r="A43" s="114" t="s">
        <v>1238</v>
      </c>
      <c r="B43" s="115" t="s">
        <v>994</v>
      </c>
      <c r="C43" s="114" t="s">
        <v>290</v>
      </c>
      <c r="D43" s="114">
        <v>0.33</v>
      </c>
      <c r="E43" s="114">
        <f t="shared" ca="1" si="3"/>
        <v>4</v>
      </c>
      <c r="F43" s="114">
        <f t="shared" ca="1" si="4"/>
        <v>1.32</v>
      </c>
      <c r="G43" s="114" t="s">
        <v>667</v>
      </c>
      <c r="H43" s="115" t="s">
        <v>1272</v>
      </c>
    </row>
    <row r="44" spans="1:8" ht="25.5">
      <c r="A44" s="114" t="s">
        <v>1376</v>
      </c>
      <c r="B44" s="115" t="s">
        <v>994</v>
      </c>
      <c r="C44" s="114" t="s">
        <v>290</v>
      </c>
      <c r="D44" s="114">
        <v>0.33</v>
      </c>
      <c r="E44" s="114">
        <f t="shared" ca="1" si="3"/>
        <v>2</v>
      </c>
      <c r="F44" s="114">
        <f t="shared" ref="F44" ca="1" si="5">IF(ISNUMBER(E44),$D44*E44,0)</f>
        <v>0.66</v>
      </c>
      <c r="G44" s="114" t="s">
        <v>667</v>
      </c>
      <c r="H44" s="115" t="s">
        <v>1377</v>
      </c>
    </row>
    <row r="45" spans="1:8">
      <c r="A45" s="114" t="s">
        <v>1245</v>
      </c>
      <c r="B45" s="115" t="s">
        <v>480</v>
      </c>
      <c r="C45" s="114" t="s">
        <v>290</v>
      </c>
      <c r="D45" s="114">
        <v>0.5</v>
      </c>
      <c r="E45" s="114">
        <f t="shared" ca="1" si="3"/>
        <v>3</v>
      </c>
      <c r="F45" s="114">
        <f t="shared" ca="1" si="4"/>
        <v>1.5</v>
      </c>
      <c r="G45" s="114" t="s">
        <v>667</v>
      </c>
      <c r="H45" s="115" t="s">
        <v>1273</v>
      </c>
    </row>
    <row r="46" spans="1:8" ht="25.5">
      <c r="A46" s="114" t="s">
        <v>1245</v>
      </c>
      <c r="B46" s="115" t="s">
        <v>1390</v>
      </c>
      <c r="C46" s="114" t="s">
        <v>290</v>
      </c>
      <c r="D46" s="114">
        <v>0.5</v>
      </c>
      <c r="E46" s="114">
        <f t="shared" ca="1" si="3"/>
        <v>1</v>
      </c>
      <c r="F46" s="114">
        <f t="shared" ref="F46" ca="1" si="6">IF(ISNUMBER(E46),$D46*E46,0)</f>
        <v>0.5</v>
      </c>
      <c r="G46" s="114" t="s">
        <v>667</v>
      </c>
      <c r="H46" s="115" t="s">
        <v>1400</v>
      </c>
    </row>
    <row r="47" spans="1:8" ht="38.25">
      <c r="A47" s="114" t="s">
        <v>1238</v>
      </c>
      <c r="B47" s="115" t="s">
        <v>89</v>
      </c>
      <c r="C47" s="114" t="s">
        <v>321</v>
      </c>
      <c r="D47" s="114">
        <v>0</v>
      </c>
      <c r="E47" s="114">
        <f t="shared" ca="1" si="3"/>
        <v>5</v>
      </c>
      <c r="F47" s="114">
        <f t="shared" ca="1" si="4"/>
        <v>0</v>
      </c>
      <c r="G47" s="114" t="s">
        <v>667</v>
      </c>
      <c r="H47" s="115" t="s">
        <v>1274</v>
      </c>
    </row>
    <row r="48" spans="1:8">
      <c r="A48" s="114" t="s">
        <v>1245</v>
      </c>
      <c r="B48" s="115" t="s">
        <v>1023</v>
      </c>
      <c r="C48" s="114" t="s">
        <v>321</v>
      </c>
      <c r="D48" s="114">
        <v>0.2</v>
      </c>
      <c r="E48" s="114">
        <f t="shared" ca="1" si="3"/>
        <v>4</v>
      </c>
      <c r="F48" s="114">
        <f t="shared" ca="1" si="4"/>
        <v>0.8</v>
      </c>
      <c r="G48" s="114" t="s">
        <v>667</v>
      </c>
      <c r="H48" s="115" t="s">
        <v>1275</v>
      </c>
    </row>
    <row r="49" spans="1:8">
      <c r="A49" s="114" t="s">
        <v>1241</v>
      </c>
      <c r="B49" s="115" t="s">
        <v>425</v>
      </c>
      <c r="C49" s="114" t="s">
        <v>321</v>
      </c>
      <c r="D49" s="114">
        <v>0.2</v>
      </c>
      <c r="E49" s="114">
        <f t="shared" ca="1" si="3"/>
        <v>3</v>
      </c>
      <c r="F49" s="114">
        <f t="shared" ca="1" si="4"/>
        <v>0.60000000000000009</v>
      </c>
      <c r="G49" s="114" t="s">
        <v>667</v>
      </c>
      <c r="H49" s="115" t="s">
        <v>1276</v>
      </c>
    </row>
    <row r="50" spans="1:8" ht="51">
      <c r="A50" s="114" t="s">
        <v>1239</v>
      </c>
      <c r="B50" s="115" t="s">
        <v>567</v>
      </c>
      <c r="C50" s="114" t="s">
        <v>321</v>
      </c>
      <c r="D50" s="114">
        <v>0.5</v>
      </c>
      <c r="E50" s="114">
        <f t="shared" ca="1" si="3"/>
        <v>3</v>
      </c>
      <c r="F50" s="114">
        <f t="shared" ca="1" si="4"/>
        <v>1.5</v>
      </c>
      <c r="G50" s="114" t="s">
        <v>667</v>
      </c>
      <c r="H50" s="115" t="s">
        <v>1277</v>
      </c>
    </row>
    <row r="51" spans="1:8" ht="25.5">
      <c r="A51" s="114" t="s">
        <v>1245</v>
      </c>
      <c r="B51" s="115" t="s">
        <v>492</v>
      </c>
      <c r="C51" s="114" t="s">
        <v>321</v>
      </c>
      <c r="D51" s="114">
        <v>0</v>
      </c>
      <c r="E51" s="114">
        <f t="shared" ca="1" si="3"/>
        <v>3</v>
      </c>
      <c r="F51" s="114">
        <f t="shared" ca="1" si="4"/>
        <v>0</v>
      </c>
      <c r="G51" s="114" t="s">
        <v>667</v>
      </c>
      <c r="H51" s="115" t="s">
        <v>1278</v>
      </c>
    </row>
    <row r="52" spans="1:8">
      <c r="A52" s="114" t="s">
        <v>1238</v>
      </c>
      <c r="B52" s="115" t="s">
        <v>89</v>
      </c>
      <c r="C52" s="114" t="s">
        <v>383</v>
      </c>
      <c r="D52" s="114">
        <v>0.5</v>
      </c>
      <c r="E52" s="114">
        <f t="shared" ca="1" si="3"/>
        <v>5</v>
      </c>
      <c r="F52" s="114">
        <f t="shared" ca="1" si="4"/>
        <v>2.5</v>
      </c>
      <c r="G52" s="114" t="s">
        <v>667</v>
      </c>
      <c r="H52" s="115" t="s">
        <v>689</v>
      </c>
    </row>
    <row r="53" spans="1:8">
      <c r="A53" s="114" t="s">
        <v>1239</v>
      </c>
      <c r="B53" s="115" t="s">
        <v>91</v>
      </c>
      <c r="C53" s="114" t="s">
        <v>383</v>
      </c>
      <c r="D53" s="114">
        <v>0.5</v>
      </c>
      <c r="E53" s="114">
        <f t="shared" ca="1" si="3"/>
        <v>1</v>
      </c>
      <c r="F53" s="114">
        <f t="shared" ca="1" si="4"/>
        <v>0.5</v>
      </c>
      <c r="G53" s="114" t="s">
        <v>667</v>
      </c>
      <c r="H53" s="115" t="s">
        <v>1279</v>
      </c>
    </row>
    <row r="54" spans="1:8">
      <c r="A54" s="114" t="s">
        <v>1239</v>
      </c>
      <c r="B54" s="115" t="s">
        <v>1129</v>
      </c>
      <c r="C54" s="114" t="s">
        <v>383</v>
      </c>
      <c r="D54" s="114">
        <v>0.5</v>
      </c>
      <c r="E54" s="114">
        <f t="shared" ca="1" si="3"/>
        <v>2</v>
      </c>
      <c r="F54" s="114">
        <f t="shared" ca="1" si="4"/>
        <v>1</v>
      </c>
      <c r="G54" s="114" t="s">
        <v>667</v>
      </c>
      <c r="H54" s="115" t="s">
        <v>1280</v>
      </c>
    </row>
    <row r="55" spans="1:8">
      <c r="A55" s="114" t="s">
        <v>1238</v>
      </c>
      <c r="B55" s="115" t="s">
        <v>382</v>
      </c>
      <c r="C55" s="114" t="s">
        <v>383</v>
      </c>
      <c r="D55" s="114">
        <v>0.33</v>
      </c>
      <c r="E55" s="114">
        <f t="shared" ca="1" si="3"/>
        <v>4</v>
      </c>
      <c r="F55" s="114">
        <f t="shared" ca="1" si="4"/>
        <v>1.32</v>
      </c>
      <c r="G55" s="114" t="s">
        <v>667</v>
      </c>
      <c r="H55" s="115" t="s">
        <v>690</v>
      </c>
    </row>
    <row r="56" spans="1:8">
      <c r="A56" s="114" t="s">
        <v>1239</v>
      </c>
      <c r="B56" s="115" t="s">
        <v>567</v>
      </c>
      <c r="C56" s="114" t="s">
        <v>383</v>
      </c>
      <c r="D56" s="114">
        <v>0.5</v>
      </c>
      <c r="E56" s="114">
        <f t="shared" ca="1" si="3"/>
        <v>3</v>
      </c>
      <c r="F56" s="114">
        <f t="shared" ca="1" si="4"/>
        <v>1.5</v>
      </c>
      <c r="G56" s="114" t="s">
        <v>667</v>
      </c>
      <c r="H56" s="115" t="s">
        <v>1281</v>
      </c>
    </row>
    <row r="57" spans="1:8" ht="38.25">
      <c r="A57" s="114" t="s">
        <v>1239</v>
      </c>
      <c r="B57" s="115" t="s">
        <v>564</v>
      </c>
      <c r="C57" s="114" t="s">
        <v>392</v>
      </c>
      <c r="D57" s="114">
        <v>0.2</v>
      </c>
      <c r="E57" s="114">
        <f t="shared" ca="1" si="3"/>
        <v>3</v>
      </c>
      <c r="F57" s="114">
        <f t="shared" ca="1" si="4"/>
        <v>0.60000000000000009</v>
      </c>
      <c r="G57" s="114" t="s">
        <v>667</v>
      </c>
      <c r="H57" s="115" t="s">
        <v>1282</v>
      </c>
    </row>
    <row r="58" spans="1:8" ht="38.25">
      <c r="A58" s="114" t="s">
        <v>1239</v>
      </c>
      <c r="B58" s="115" t="s">
        <v>91</v>
      </c>
      <c r="C58" s="114" t="s">
        <v>392</v>
      </c>
      <c r="D58" s="114">
        <v>0.33</v>
      </c>
      <c r="E58" s="114">
        <f t="shared" ca="1" si="3"/>
        <v>1</v>
      </c>
      <c r="F58" s="114">
        <f t="shared" ca="1" si="4"/>
        <v>0.33</v>
      </c>
      <c r="G58" s="114" t="s">
        <v>667</v>
      </c>
      <c r="H58" s="115" t="s">
        <v>1283</v>
      </c>
    </row>
    <row r="59" spans="1:8" ht="25.5">
      <c r="A59" s="114" t="s">
        <v>1239</v>
      </c>
      <c r="B59" s="115" t="s">
        <v>1129</v>
      </c>
      <c r="C59" s="114" t="s">
        <v>392</v>
      </c>
      <c r="D59" s="114">
        <v>0.33</v>
      </c>
      <c r="E59" s="114">
        <f t="shared" ca="1" si="3"/>
        <v>2</v>
      </c>
      <c r="F59" s="114">
        <f t="shared" ca="1" si="4"/>
        <v>0.66</v>
      </c>
      <c r="G59" s="114" t="s">
        <v>667</v>
      </c>
      <c r="H59" s="115" t="s">
        <v>1284</v>
      </c>
    </row>
    <row r="60" spans="1:8" ht="51">
      <c r="A60" s="114" t="s">
        <v>1239</v>
      </c>
      <c r="B60" s="115" t="s">
        <v>1135</v>
      </c>
      <c r="C60" s="114" t="s">
        <v>392</v>
      </c>
      <c r="D60" s="114">
        <v>0.2</v>
      </c>
      <c r="E60" s="114">
        <f t="shared" ca="1" si="3"/>
        <v>4</v>
      </c>
      <c r="F60" s="114">
        <f t="shared" ca="1" si="4"/>
        <v>0.8</v>
      </c>
      <c r="G60" s="114" t="s">
        <v>667</v>
      </c>
      <c r="H60" s="115" t="s">
        <v>1285</v>
      </c>
    </row>
    <row r="61" spans="1:8" ht="38.25">
      <c r="A61" s="114" t="s">
        <v>1238</v>
      </c>
      <c r="B61" s="115" t="s">
        <v>89</v>
      </c>
      <c r="C61" s="114" t="s">
        <v>396</v>
      </c>
      <c r="D61" s="114">
        <v>0.33</v>
      </c>
      <c r="E61" s="114">
        <f t="shared" ca="1" si="3"/>
        <v>5</v>
      </c>
      <c r="F61" s="114">
        <f t="shared" ca="1" si="4"/>
        <v>1.6500000000000001</v>
      </c>
      <c r="G61" s="114" t="s">
        <v>667</v>
      </c>
      <c r="H61" s="115" t="s">
        <v>1286</v>
      </c>
    </row>
    <row r="62" spans="1:8" ht="25.5">
      <c r="A62" s="114" t="s">
        <v>1238</v>
      </c>
      <c r="B62" s="115" t="s">
        <v>382</v>
      </c>
      <c r="C62" s="114" t="s">
        <v>396</v>
      </c>
      <c r="D62" s="114">
        <v>0.33</v>
      </c>
      <c r="E62" s="114">
        <f t="shared" ca="1" si="3"/>
        <v>4</v>
      </c>
      <c r="F62" s="114">
        <f t="shared" ca="1" si="4"/>
        <v>1.32</v>
      </c>
      <c r="G62" s="114" t="s">
        <v>667</v>
      </c>
      <c r="H62" s="115" t="s">
        <v>1287</v>
      </c>
    </row>
    <row r="63" spans="1:8" ht="25.5">
      <c r="A63" s="114" t="s">
        <v>1239</v>
      </c>
      <c r="B63" s="115" t="s">
        <v>1135</v>
      </c>
      <c r="C63" s="114" t="s">
        <v>396</v>
      </c>
      <c r="D63" s="114">
        <v>0.33</v>
      </c>
      <c r="E63" s="114">
        <f t="shared" ca="1" si="3"/>
        <v>4</v>
      </c>
      <c r="F63" s="114">
        <f t="shared" ca="1" si="4"/>
        <v>1.32</v>
      </c>
      <c r="G63" s="114" t="s">
        <v>667</v>
      </c>
      <c r="H63" s="115" t="s">
        <v>1288</v>
      </c>
    </row>
    <row r="64" spans="1:8">
      <c r="A64" s="114" t="s">
        <v>1245</v>
      </c>
      <c r="B64" s="115" t="s">
        <v>489</v>
      </c>
      <c r="C64" s="114" t="s">
        <v>303</v>
      </c>
      <c r="D64" s="114">
        <v>0.33</v>
      </c>
      <c r="E64" s="114">
        <f t="shared" ca="1" si="3"/>
        <v>3</v>
      </c>
      <c r="F64" s="114">
        <f t="shared" ca="1" si="4"/>
        <v>0.99</v>
      </c>
      <c r="G64" s="114" t="s">
        <v>667</v>
      </c>
      <c r="H64" s="115" t="s">
        <v>670</v>
      </c>
    </row>
    <row r="65" spans="1:8">
      <c r="A65" s="114" t="s">
        <v>1249</v>
      </c>
      <c r="B65" s="115" t="s">
        <v>599</v>
      </c>
      <c r="C65" s="114" t="s">
        <v>303</v>
      </c>
      <c r="D65" s="114">
        <v>0.33</v>
      </c>
      <c r="E65" s="114">
        <f t="shared" ca="1" si="3"/>
        <v>3</v>
      </c>
      <c r="F65" s="114">
        <f t="shared" ca="1" si="4"/>
        <v>0.99</v>
      </c>
      <c r="G65" s="114" t="s">
        <v>667</v>
      </c>
      <c r="H65" s="115" t="s">
        <v>670</v>
      </c>
    </row>
    <row r="66" spans="1:8">
      <c r="A66" s="114" t="s">
        <v>1241</v>
      </c>
      <c r="B66" s="115" t="s">
        <v>1207</v>
      </c>
      <c r="C66" s="114" t="s">
        <v>303</v>
      </c>
      <c r="D66" s="114">
        <v>0.33</v>
      </c>
      <c r="E66" s="114">
        <f t="shared" ca="1" si="3"/>
        <v>3</v>
      </c>
      <c r="F66" s="114">
        <f t="shared" ca="1" si="4"/>
        <v>0.99</v>
      </c>
      <c r="G66" s="114" t="s">
        <v>667</v>
      </c>
      <c r="H66" s="115" t="s">
        <v>1289</v>
      </c>
    </row>
    <row r="67" spans="1:8" ht="38.25">
      <c r="A67" s="114" t="s">
        <v>1234</v>
      </c>
      <c r="B67" s="115" t="s">
        <v>93</v>
      </c>
      <c r="C67" s="114" t="s">
        <v>357</v>
      </c>
      <c r="D67" s="114">
        <v>0</v>
      </c>
      <c r="E67" s="114">
        <f t="shared" ca="1" si="3"/>
        <v>4</v>
      </c>
      <c r="F67" s="114">
        <f t="shared" ca="1" si="4"/>
        <v>0</v>
      </c>
      <c r="G67" s="114" t="s">
        <v>667</v>
      </c>
      <c r="H67" s="115" t="s">
        <v>1290</v>
      </c>
    </row>
    <row r="68" spans="1:8" ht="25.5">
      <c r="A68" s="114" t="s">
        <v>1241</v>
      </c>
      <c r="B68" s="115" t="s">
        <v>435</v>
      </c>
      <c r="C68" s="114" t="s">
        <v>357</v>
      </c>
      <c r="D68" s="114">
        <v>0</v>
      </c>
      <c r="E68" s="114">
        <f t="shared" ca="1" si="3"/>
        <v>4</v>
      </c>
      <c r="F68" s="114">
        <f t="shared" ca="1" si="4"/>
        <v>0</v>
      </c>
      <c r="G68" s="114" t="s">
        <v>667</v>
      </c>
      <c r="H68" s="115" t="s">
        <v>1291</v>
      </c>
    </row>
    <row r="69" spans="1:8" ht="25.5">
      <c r="A69" s="114" t="s">
        <v>1234</v>
      </c>
      <c r="B69" s="115" t="s">
        <v>525</v>
      </c>
      <c r="C69" s="114" t="s">
        <v>345</v>
      </c>
      <c r="D69" s="114">
        <v>0</v>
      </c>
      <c r="E69" s="114">
        <f t="shared" ca="1" si="3"/>
        <v>3</v>
      </c>
      <c r="F69" s="114">
        <f t="shared" ca="1" si="4"/>
        <v>0</v>
      </c>
      <c r="G69" s="114" t="s">
        <v>667</v>
      </c>
      <c r="H69" s="115" t="s">
        <v>1292</v>
      </c>
    </row>
    <row r="70" spans="1:8">
      <c r="A70" s="114" t="s">
        <v>1234</v>
      </c>
      <c r="B70" s="115" t="s">
        <v>594</v>
      </c>
      <c r="C70" s="114" t="s">
        <v>345</v>
      </c>
      <c r="D70" s="114">
        <v>0.2</v>
      </c>
      <c r="E70" s="114">
        <f t="shared" ca="1" si="3"/>
        <v>3</v>
      </c>
      <c r="F70" s="114">
        <f t="shared" ca="1" si="4"/>
        <v>0.60000000000000009</v>
      </c>
      <c r="G70" s="114" t="s">
        <v>667</v>
      </c>
      <c r="H70" s="115" t="s">
        <v>1293</v>
      </c>
    </row>
    <row r="71" spans="1:8">
      <c r="A71" s="114" t="s">
        <v>1238</v>
      </c>
      <c r="B71" s="115" t="s">
        <v>89</v>
      </c>
      <c r="C71" s="114" t="s">
        <v>307</v>
      </c>
      <c r="D71" s="114">
        <v>0</v>
      </c>
      <c r="E71" s="114">
        <f t="shared" ca="1" si="3"/>
        <v>5</v>
      </c>
      <c r="F71" s="114">
        <f t="shared" ca="1" si="4"/>
        <v>0</v>
      </c>
      <c r="G71" s="114" t="s">
        <v>667</v>
      </c>
      <c r="H71" s="115" t="s">
        <v>1294</v>
      </c>
    </row>
    <row r="72" spans="1:8">
      <c r="A72" s="114" t="s">
        <v>1238</v>
      </c>
      <c r="B72" s="115" t="s">
        <v>496</v>
      </c>
      <c r="C72" s="114" t="s">
        <v>316</v>
      </c>
      <c r="D72" s="114">
        <v>0</v>
      </c>
      <c r="E72" s="114">
        <f t="shared" ca="1" si="3"/>
        <v>6</v>
      </c>
      <c r="F72" s="114">
        <f t="shared" ca="1" si="4"/>
        <v>0</v>
      </c>
      <c r="G72" s="114" t="s">
        <v>667</v>
      </c>
      <c r="H72" s="115" t="s">
        <v>1295</v>
      </c>
    </row>
    <row r="73" spans="1:8" ht="25.5">
      <c r="A73" s="114" t="s">
        <v>1249</v>
      </c>
      <c r="B73" s="115" t="s">
        <v>1092</v>
      </c>
      <c r="C73" s="114" t="s">
        <v>928</v>
      </c>
      <c r="D73" s="114">
        <v>0</v>
      </c>
      <c r="E73" s="114">
        <f t="shared" ca="1" si="3"/>
        <v>3</v>
      </c>
      <c r="F73" s="114">
        <f t="shared" ca="1" si="4"/>
        <v>0</v>
      </c>
      <c r="G73" s="114" t="s">
        <v>667</v>
      </c>
      <c r="H73" s="115" t="s">
        <v>1296</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0"/>
  <sheetViews>
    <sheetView workbookViewId="0">
      <selection activeCell="L22" sqref="L22"/>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1297</v>
      </c>
    </row>
    <row r="2" spans="1:9">
      <c r="A2" s="119" t="s">
        <v>1298</v>
      </c>
    </row>
    <row r="4" spans="1:9">
      <c r="A4" s="111" t="s">
        <v>262</v>
      </c>
      <c r="B4" s="111" t="s">
        <v>740</v>
      </c>
      <c r="C4" s="111" t="s">
        <v>741</v>
      </c>
      <c r="D4" s="111" t="s">
        <v>742</v>
      </c>
      <c r="E4" s="111" t="s">
        <v>743</v>
      </c>
      <c r="F4" s="111" t="s">
        <v>744</v>
      </c>
    </row>
    <row r="5" spans="1:9" ht="30" customHeight="1">
      <c r="A5" s="114" t="s">
        <v>357</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MROUND(SUMIFS(복귀_간접계수맵!$F$7:$F$93,복귀_간접계수맵!$C$7:$C$93,$A5),0.5)</f>
        <v>0</v>
      </c>
      <c r="D5" s="114">
        <f t="shared" ref="D5:D25" ca="1" si="0">B5+C5</f>
        <v>9</v>
      </c>
      <c r="E5" s="114" t="str">
        <f t="shared" ref="E5:E25" ca="1" si="1">IF(D5&gt;20,"과다 점검",IF(D5&gt;=10,"충분",IF(D5&gt;=8,"하한",IF(D5&gt;=1,"보완 필요","미배치"))))</f>
        <v>하한</v>
      </c>
      <c r="F5" s="115" t="s">
        <v>1299</v>
      </c>
      <c r="H5" s="124" t="s">
        <v>746</v>
      </c>
      <c r="I5" s="125">
        <f ca="1">SUM(D5:D6)</f>
        <v>23.5</v>
      </c>
    </row>
    <row r="6" spans="1:9" ht="30" customHeight="1">
      <c r="A6" s="114" t="s">
        <v>345</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MROUND(SUMIFS(복귀_간접계수맵!$F$7:$F$93,복귀_간접계수맵!$C$7:$C$93,$A6),0.5)</f>
        <v>0.5</v>
      </c>
      <c r="D6" s="114">
        <f t="shared" ca="1" si="0"/>
        <v>14.5</v>
      </c>
      <c r="E6" s="114" t="str">
        <f t="shared" ca="1" si="1"/>
        <v>충분</v>
      </c>
      <c r="F6" s="115" t="s">
        <v>1300</v>
      </c>
    </row>
    <row r="7" spans="1:9" ht="30" customHeight="1">
      <c r="A7" s="114" t="s">
        <v>275</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16</v>
      </c>
      <c r="C7" s="114">
        <f ca="1">MROUND(SUMIFS(복귀_간접계수맵!$F$7:$F$93,복귀_간접계수맵!$C$7:$C$93,$A7),0.5)</f>
        <v>3.5</v>
      </c>
      <c r="D7" s="114">
        <f t="shared" ca="1" si="0"/>
        <v>19.5</v>
      </c>
      <c r="E7" s="114" t="str">
        <f t="shared" ca="1" si="1"/>
        <v>충분</v>
      </c>
      <c r="F7" s="115" t="s">
        <v>1401</v>
      </c>
      <c r="H7" s="124" t="s">
        <v>1301</v>
      </c>
      <c r="I7" s="125">
        <f ca="1">SUM(D7:D10)</f>
        <v>49</v>
      </c>
    </row>
    <row r="8" spans="1:9" ht="30" customHeight="1">
      <c r="A8" s="114" t="s">
        <v>415</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MROUND(SUMIFS(복귀_간접계수맵!$F$7:$F$93,복귀_간접계수맵!$C$7:$C$93,$A8),0.5)</f>
        <v>1.5</v>
      </c>
      <c r="D8" s="114">
        <f t="shared" ca="1" si="0"/>
        <v>4.5</v>
      </c>
      <c r="E8" s="114" t="str">
        <f t="shared" ca="1" si="1"/>
        <v>보완 필요</v>
      </c>
      <c r="F8" s="115" t="s">
        <v>1302</v>
      </c>
      <c r="H8" s="124" t="s">
        <v>1303</v>
      </c>
      <c r="I8" s="125">
        <f>SUM(복귀_일_수평당기기!E11:E15,복귀_목_수직당기기!E11:E13)</f>
        <v>26</v>
      </c>
    </row>
    <row r="9" spans="1:9" ht="30" customHeight="1">
      <c r="A9" s="114" t="s">
        <v>426</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MROUND(SUMIFS(복귀_간접계수맵!$F$7:$F$93,복귀_간접계수맵!$C$7:$C$93,$A9),0.5)</f>
        <v>3</v>
      </c>
      <c r="D9" s="114">
        <f t="shared" ca="1" si="0"/>
        <v>6</v>
      </c>
      <c r="E9" s="114" t="str">
        <f t="shared" ca="1" si="1"/>
        <v>보완 필요</v>
      </c>
      <c r="F9" s="115" t="s">
        <v>1304</v>
      </c>
    </row>
    <row r="10" spans="1:9" ht="30" customHeight="1">
      <c r="A10" s="114" t="s">
        <v>290</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MROUND(SUMIFS(복귀_간접계수맵!$F$7:$F$93,복귀_간접계수맵!$C$7:$C$93,$A10),0.5)</f>
        <v>6</v>
      </c>
      <c r="D10" s="114">
        <f t="shared" ca="1" si="0"/>
        <v>19</v>
      </c>
      <c r="E10" s="114" t="str">
        <f t="shared" ca="1" si="1"/>
        <v>충분</v>
      </c>
      <c r="F10" s="115" t="s">
        <v>1402</v>
      </c>
    </row>
    <row r="11" spans="1:9" ht="30" customHeight="1">
      <c r="A11" s="114" t="s">
        <v>321</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10</v>
      </c>
      <c r="C11" s="114">
        <f ca="1">MROUND(SUMIFS(복귀_간접계수맵!$F$7:$F$93,복귀_간접계수맵!$C$7:$C$93,$A11),0.5)</f>
        <v>3</v>
      </c>
      <c r="D11" s="114">
        <f t="shared" ca="1" si="0"/>
        <v>13</v>
      </c>
      <c r="E11" s="114" t="str">
        <f t="shared" ca="1" si="1"/>
        <v>충분</v>
      </c>
      <c r="F11" s="115" t="s">
        <v>1305</v>
      </c>
    </row>
    <row r="12" spans="1:9" ht="30" customHeight="1">
      <c r="A12" s="114" t="s">
        <v>437</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6</v>
      </c>
      <c r="C12" s="114">
        <f ca="1">MROUND(SUMIFS(복귀_간접계수맵!$F$7:$F$93,복귀_간접계수맵!$C$7:$C$93,$A12),0.5)</f>
        <v>6.5</v>
      </c>
      <c r="D12" s="114">
        <f t="shared" ca="1" si="0"/>
        <v>12.5</v>
      </c>
      <c r="E12" s="114" t="str">
        <f t="shared" ca="1" si="1"/>
        <v>충분</v>
      </c>
      <c r="F12" s="115" t="s">
        <v>1306</v>
      </c>
    </row>
    <row r="13" spans="1:9" ht="30" customHeight="1">
      <c r="A13" s="114" t="s">
        <v>362</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14</v>
      </c>
      <c r="C13" s="114">
        <f ca="1">MROUND(SUMIFS(복귀_간접계수맵!$F$7:$F$93,복귀_간접계수맵!$C$7:$C$93,$A13),0.5)</f>
        <v>2</v>
      </c>
      <c r="D13" s="114">
        <f t="shared" ca="1" si="0"/>
        <v>16</v>
      </c>
      <c r="E13" s="114" t="str">
        <f t="shared" ca="1" si="1"/>
        <v>충분</v>
      </c>
      <c r="F13" s="115" t="s">
        <v>1368</v>
      </c>
    </row>
    <row r="14" spans="1:9" ht="30" customHeight="1">
      <c r="A14" s="114" t="s">
        <v>366</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12</v>
      </c>
      <c r="C14" s="114">
        <f ca="1">MROUND(SUMIFS(복귀_간접계수맵!$F$7:$F$93,복귀_간접계수맵!$C$7:$C$93,$A14),0.5)</f>
        <v>1.5</v>
      </c>
      <c r="D14" s="114">
        <f t="shared" ca="1" si="0"/>
        <v>13.5</v>
      </c>
      <c r="E14" s="114" t="str">
        <f t="shared" ca="1" si="1"/>
        <v>충분</v>
      </c>
      <c r="F14" s="115" t="s">
        <v>1378</v>
      </c>
    </row>
    <row r="15" spans="1:9" ht="30" customHeight="1">
      <c r="A15" s="114" t="s">
        <v>377</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MROUND(SUMIFS(복귀_간접계수맵!$F$7:$F$93,복귀_간접계수맵!$C$7:$C$93,$A15),0.5)</f>
        <v>1.5</v>
      </c>
      <c r="D15" s="114">
        <f t="shared" ca="1" si="0"/>
        <v>13.5</v>
      </c>
      <c r="E15" s="114" t="str">
        <f t="shared" ca="1" si="1"/>
        <v>충분</v>
      </c>
      <c r="F15" s="115" t="s">
        <v>1307</v>
      </c>
      <c r="H15" s="124" t="s">
        <v>1308</v>
      </c>
      <c r="I15" s="125">
        <f ca="1">SUM(D15:D16,D19)</f>
        <v>38</v>
      </c>
    </row>
    <row r="16" spans="1:9" ht="30" customHeight="1">
      <c r="A16" s="114" t="s">
        <v>392</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MROUND(SUMIFS(복귀_간접계수맵!$F$7:$F$93,복귀_간접계수맵!$C$7:$C$93,$A16),0.5)</f>
        <v>2.5</v>
      </c>
      <c r="D16" s="114">
        <f t="shared" ca="1" si="0"/>
        <v>12.5</v>
      </c>
      <c r="E16" s="114" t="str">
        <f t="shared" ca="1" si="1"/>
        <v>충분</v>
      </c>
      <c r="F16" s="115" t="s">
        <v>1309</v>
      </c>
    </row>
    <row r="17" spans="1:6" ht="30" customHeight="1">
      <c r="A17" s="114" t="s">
        <v>383</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7</v>
      </c>
      <c r="C17" s="114">
        <f ca="1">MROUND(SUMIFS(복귀_간접계수맵!$F$7:$F$93,복귀_간접계수맵!$C$7:$C$93,$A17),0.5)</f>
        <v>7</v>
      </c>
      <c r="D17" s="114">
        <f t="shared" ca="1" si="0"/>
        <v>14</v>
      </c>
      <c r="E17" s="114" t="str">
        <f t="shared" ca="1" si="1"/>
        <v>충분</v>
      </c>
      <c r="F17" s="115" t="s">
        <v>1310</v>
      </c>
    </row>
    <row r="18" spans="1:6" ht="30" customHeight="1">
      <c r="A18" s="114" t="s">
        <v>401</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MROUND(SUMIFS(복귀_간접계수맵!$F$7:$F$93,복귀_간접계수맵!$C$7:$C$93,$A18),0.5)</f>
        <v>0</v>
      </c>
      <c r="D18" s="114">
        <f t="shared" si="0"/>
        <v>11</v>
      </c>
      <c r="E18" s="114" t="str">
        <f t="shared" si="1"/>
        <v>충분</v>
      </c>
      <c r="F18" s="115" t="s">
        <v>1311</v>
      </c>
    </row>
    <row r="19" spans="1:6" ht="30" customHeight="1">
      <c r="A19" s="114" t="s">
        <v>316</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MROUND(SUMIFS(복귀_간접계수맵!$F$7:$F$93,복귀_간접계수맵!$C$7:$C$93,$A19),0.5)</f>
        <v>0</v>
      </c>
      <c r="D19" s="114">
        <f t="shared" ca="1" si="0"/>
        <v>12</v>
      </c>
      <c r="E19" s="114" t="str">
        <f t="shared" ca="1" si="1"/>
        <v>충분</v>
      </c>
      <c r="F19" s="115" t="s">
        <v>1312</v>
      </c>
    </row>
    <row r="20" spans="1:6" ht="30" customHeight="1">
      <c r="A20" s="114" t="s">
        <v>277</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9</v>
      </c>
      <c r="C20" s="114">
        <f ca="1">MROUND(SUMIFS(복귀_간접계수맵!$F$7:$F$93,복귀_간접계수맵!$C$7:$C$93,$A20),0.5)</f>
        <v>8</v>
      </c>
      <c r="D20" s="114">
        <f t="shared" ca="1" si="0"/>
        <v>17</v>
      </c>
      <c r="E20" s="114" t="str">
        <f t="shared" ca="1" si="1"/>
        <v>충분</v>
      </c>
      <c r="F20" s="115" t="s">
        <v>1313</v>
      </c>
    </row>
    <row r="21" spans="1:6" ht="30" customHeight="1">
      <c r="A21" s="114" t="s">
        <v>353</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MROUND(SUMIFS(복귀_간접계수맵!$F$7:$F$93,복귀_간접계수맵!$C$7:$C$93,$A21),0.5)</f>
        <v>8.5</v>
      </c>
      <c r="D21" s="114">
        <f t="shared" ca="1" si="0"/>
        <v>17.5</v>
      </c>
      <c r="E21" s="114" t="str">
        <f t="shared" ca="1" si="1"/>
        <v>충분</v>
      </c>
      <c r="F21" s="115" t="s">
        <v>1314</v>
      </c>
    </row>
    <row r="22" spans="1:6" ht="30" customHeight="1">
      <c r="A22" s="114" t="s">
        <v>303</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MROUND(SUMIFS(복귀_간접계수맵!$F$7:$F$93,복귀_간접계수맵!$C$7:$C$93,$A22),0.5)</f>
        <v>3</v>
      </c>
      <c r="D22" s="114">
        <f t="shared" ca="1" si="0"/>
        <v>20</v>
      </c>
      <c r="E22" s="114" t="str">
        <f t="shared" ca="1" si="1"/>
        <v>충분</v>
      </c>
      <c r="F22" s="115" t="s">
        <v>1479</v>
      </c>
    </row>
    <row r="23" spans="1:6" ht="30" customHeight="1">
      <c r="A23" s="114" t="s">
        <v>307</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MROUND(SUMIFS(복귀_간접계수맵!$F$7:$F$93,복귀_간접계수맵!$C$7:$C$93,$A23),0.5)</f>
        <v>0</v>
      </c>
      <c r="D23" s="114">
        <f t="shared" ca="1" si="0"/>
        <v>6</v>
      </c>
      <c r="E23" s="114" t="str">
        <f t="shared" ca="1" si="1"/>
        <v>보완 필요</v>
      </c>
      <c r="F23" s="115" t="s">
        <v>1315</v>
      </c>
    </row>
    <row r="24" spans="1:6" ht="30" customHeight="1">
      <c r="A24" s="114" t="s">
        <v>396</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MROUND(SUMIFS(복귀_간접계수맵!$F$7:$F$93,복귀_간접계수맵!$C$7:$C$93,$A24),0.5)</f>
        <v>4.5</v>
      </c>
      <c r="D24" s="114">
        <f t="shared" ca="1" si="0"/>
        <v>12.5</v>
      </c>
      <c r="E24" s="114" t="str">
        <f t="shared" ca="1" si="1"/>
        <v>충분</v>
      </c>
      <c r="F24" s="115" t="s">
        <v>1316</v>
      </c>
    </row>
    <row r="25" spans="1:6" ht="30" customHeight="1">
      <c r="A25" s="114" t="s">
        <v>928</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MROUND(SUMIFS(복귀_간접계수맵!$F$7:$F$93,복귀_간접계수맵!$C$7:$C$93,$A25),0.5)</f>
        <v>0</v>
      </c>
      <c r="D25" s="114">
        <f t="shared" ca="1" si="0"/>
        <v>6</v>
      </c>
      <c r="E25" s="114" t="str">
        <f t="shared" ca="1" si="1"/>
        <v>보완 필요</v>
      </c>
      <c r="F25" s="115" t="s">
        <v>1317</v>
      </c>
    </row>
    <row r="26" spans="1:6">
      <c r="A26" s="107" t="s">
        <v>767</v>
      </c>
      <c r="B26" s="116">
        <f>SUM(B5:B25)</f>
        <v>207</v>
      </c>
      <c r="D26" s="116">
        <f ca="1">SUM(D5:D25)</f>
        <v>269.5</v>
      </c>
    </row>
    <row r="28" spans="1:6">
      <c r="A28" s="107" t="s">
        <v>768</v>
      </c>
    </row>
    <row r="29" spans="1:6">
      <c r="A29" s="123" t="s">
        <v>1318</v>
      </c>
    </row>
    <row r="30" spans="1:6">
      <c r="A30" s="123" t="s">
        <v>1319</v>
      </c>
    </row>
    <row r="31" spans="1:6">
      <c r="A31" s="123" t="s">
        <v>1320</v>
      </c>
    </row>
    <row r="32" spans="1:6">
      <c r="A32" s="123" t="s">
        <v>1321</v>
      </c>
    </row>
    <row r="34" spans="1:1">
      <c r="A34" s="107" t="s">
        <v>1322</v>
      </c>
    </row>
    <row r="35" spans="1:1">
      <c r="A35" s="123" t="s">
        <v>1323</v>
      </c>
    </row>
    <row r="36" spans="1:1">
      <c r="A36" s="123" t="s">
        <v>1324</v>
      </c>
    </row>
    <row r="37" spans="1:1">
      <c r="A37" s="123" t="s">
        <v>1325</v>
      </c>
    </row>
    <row r="38" spans="1:1">
      <c r="A38" s="123" t="s">
        <v>1326</v>
      </c>
    </row>
    <row r="39" spans="1:1">
      <c r="A39" s="123" t="s">
        <v>1327</v>
      </c>
    </row>
    <row r="40" spans="1:1">
      <c r="A40" s="123" t="s">
        <v>1328</v>
      </c>
    </row>
    <row r="41" spans="1:1">
      <c r="A41" s="123" t="s">
        <v>1329</v>
      </c>
    </row>
    <row r="42" spans="1:1">
      <c r="A42" s="123" t="s">
        <v>1330</v>
      </c>
    </row>
    <row r="43" spans="1:1">
      <c r="A43" s="123" t="s">
        <v>1331</v>
      </c>
    </row>
    <row r="44" spans="1:1">
      <c r="A44" s="123" t="s">
        <v>1332</v>
      </c>
    </row>
    <row r="46" spans="1:1">
      <c r="A46" s="107" t="s">
        <v>1333</v>
      </c>
    </row>
    <row r="47" spans="1:1">
      <c r="A47" s="123" t="s">
        <v>1334</v>
      </c>
    </row>
    <row r="48" spans="1:1">
      <c r="A48" s="123" t="s">
        <v>1335</v>
      </c>
    </row>
    <row r="49" spans="1:1">
      <c r="A49" s="123" t="s">
        <v>1336</v>
      </c>
    </row>
    <row r="50" spans="1:1">
      <c r="A50" s="123" t="s">
        <v>1337</v>
      </c>
    </row>
    <row r="52" spans="1:1">
      <c r="A52" s="107" t="s">
        <v>1338</v>
      </c>
    </row>
    <row r="53" spans="1:1">
      <c r="A53" s="123" t="s">
        <v>1339</v>
      </c>
    </row>
    <row r="54" spans="1:1">
      <c r="A54" s="123" t="s">
        <v>1340</v>
      </c>
    </row>
    <row r="55" spans="1:1">
      <c r="A55" s="123" t="s">
        <v>1341</v>
      </c>
    </row>
    <row r="56" spans="1:1">
      <c r="A56" s="123" t="s">
        <v>1342</v>
      </c>
    </row>
    <row r="57" spans="1:1">
      <c r="A57" s="123" t="s">
        <v>1343</v>
      </c>
    </row>
    <row r="58" spans="1:1">
      <c r="A58" s="123" t="s">
        <v>1344</v>
      </c>
    </row>
    <row r="59" spans="1:1">
      <c r="A59" s="123" t="s">
        <v>1480</v>
      </c>
    </row>
    <row r="60" spans="1:1">
      <c r="A60" s="123" t="s">
        <v>1345</v>
      </c>
    </row>
    <row r="61" spans="1:1">
      <c r="A61" s="123" t="s">
        <v>1379</v>
      </c>
    </row>
    <row r="63" spans="1:1">
      <c r="A63" s="107" t="s">
        <v>1346</v>
      </c>
    </row>
    <row r="64" spans="1:1">
      <c r="A64" s="123" t="s">
        <v>1347</v>
      </c>
    </row>
    <row r="65" spans="1:1">
      <c r="A65" s="123" t="s">
        <v>1348</v>
      </c>
    </row>
    <row r="66" spans="1:1">
      <c r="A66" s="123" t="s">
        <v>1349</v>
      </c>
    </row>
    <row r="67" spans="1:1">
      <c r="A67" s="123" t="s">
        <v>1350</v>
      </c>
    </row>
    <row r="68" spans="1:1">
      <c r="A68" s="123" t="s">
        <v>1351</v>
      </c>
    </row>
    <row r="69" spans="1:1">
      <c r="A69" s="123" t="s">
        <v>1352</v>
      </c>
    </row>
    <row r="70" spans="1:1">
      <c r="A70" s="123" t="s">
        <v>1353</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26</vt:i4>
      </vt:variant>
    </vt:vector>
  </HeadingPairs>
  <TitlesOfParts>
    <vt:vector size="26"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복귀_월_가슴</vt:lpstr>
      <vt:lpstr>복귀_화_팔</vt:lpstr>
      <vt:lpstr>복귀_수_하체후면</vt:lpstr>
      <vt:lpstr>복귀_목_수직당기기</vt:lpstr>
      <vt:lpstr>복귀_캐리</vt:lpstr>
      <vt:lpstr>복귀_천국의계단</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2026-10-04T13:45:11Z</dcterms:modified>
  <dc:language>en-US</dc:language>
</cp:coreProperties>
</file>