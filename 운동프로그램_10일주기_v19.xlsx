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012" documentId="11_56CBE09B577CB57806506320C7833877887CCA2D" xr6:coauthVersionLast="47" xr6:coauthVersionMax="47" xr10:uidLastSave="{84267A0D-6D16-48F2-B716-3D008ECB9859}"/>
  <bookViews>
    <workbookView xWindow="-120" yWindow="-120" windowWidth="38640" windowHeight="21120" tabRatio="883" firstSheet="2"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 l="1"/>
  <c r="C9" i="1"/>
  <c r="C8" i="1"/>
  <c r="C7" i="1"/>
  <c r="C11" i="13"/>
  <c r="C12" i="13" s="1"/>
  <c r="C13" i="13" s="1"/>
  <c r="C14" i="13" s="1"/>
  <c r="C15" i="13" s="1"/>
  <c r="C16" i="13" s="1"/>
  <c r="C17" i="13" s="1"/>
  <c r="C18" i="13" s="1"/>
  <c r="C19" i="13" s="1"/>
  <c r="C20" i="13" s="1"/>
  <c r="C21" i="13" s="1"/>
  <c r="I25" i="17"/>
  <c r="I24" i="17"/>
  <c r="I23" i="17"/>
  <c r="I22" i="17"/>
  <c r="I21" i="17"/>
  <c r="I20" i="17"/>
  <c r="I19" i="17"/>
  <c r="I18" i="17"/>
  <c r="I17" i="17"/>
  <c r="I16" i="17"/>
  <c r="I15" i="17"/>
  <c r="I33" i="16"/>
  <c r="I32" i="16"/>
  <c r="I31" i="16"/>
  <c r="I30" i="16"/>
  <c r="I29" i="16"/>
  <c r="I28" i="16"/>
  <c r="I27" i="16"/>
  <c r="I26" i="16"/>
  <c r="I25" i="16"/>
  <c r="I24" i="16"/>
  <c r="I20" i="18"/>
  <c r="I19" i="18"/>
  <c r="I18" i="18"/>
  <c r="I17" i="18"/>
  <c r="I16" i="18"/>
  <c r="I15" i="18"/>
  <c r="I14" i="18"/>
  <c r="I13" i="18"/>
  <c r="I12" i="18"/>
  <c r="I11" i="18"/>
  <c r="I26" i="19"/>
  <c r="I25" i="19"/>
  <c r="I24" i="19"/>
  <c r="I23" i="19"/>
  <c r="I22" i="19"/>
  <c r="I21" i="19"/>
  <c r="I20" i="19"/>
  <c r="I15" i="10"/>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27" i="19"/>
  <c r="E6" i="15" s="1"/>
  <c r="E21" i="18"/>
  <c r="E7" i="15" s="1"/>
  <c r="E26" i="17"/>
  <c r="E9" i="15" s="1"/>
  <c r="E34" i="16"/>
  <c r="E8" i="15" s="1"/>
  <c r="I10" i="13"/>
  <c r="I11" i="13" s="1"/>
  <c r="I12" i="13" s="1"/>
  <c r="I13" i="13" s="1"/>
  <c r="I14" i="13" s="1"/>
  <c r="I15" i="13" s="1"/>
  <c r="I16" i="13" s="1"/>
  <c r="I17" i="13" s="1"/>
  <c r="I18" i="13" s="1"/>
  <c r="I19" i="13" s="1"/>
  <c r="I20" i="13" s="1"/>
  <c r="I21" i="13" s="1"/>
  <c r="G10" i="13"/>
  <c r="G11" i="13" s="1"/>
  <c r="G12" i="13" s="1"/>
  <c r="G13" i="13" s="1"/>
  <c r="G14" i="13" s="1"/>
  <c r="G15" i="13" s="1"/>
  <c r="G16" i="13" s="1"/>
  <c r="G17" i="13" s="1"/>
  <c r="G18" i="13" s="1"/>
  <c r="G19" i="13" s="1"/>
  <c r="G20" i="13" s="1"/>
  <c r="G21" i="13" s="1"/>
  <c r="E10" i="13"/>
  <c r="E11" i="13" s="1"/>
  <c r="E12" i="13" s="1"/>
  <c r="E13" i="13" s="1"/>
  <c r="E14" i="13" s="1"/>
  <c r="E15" i="13" s="1"/>
  <c r="E16" i="13" s="1"/>
  <c r="E17" i="13" s="1"/>
  <c r="E18" i="13" s="1"/>
  <c r="E19" i="13" s="1"/>
  <c r="E20" i="13" s="1"/>
  <c r="E21" i="13" s="1"/>
  <c r="C10" i="13"/>
  <c r="B43" i="1" s="1"/>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I16" i="10"/>
  <c r="E51" i="21"/>
  <c r="E26" i="21"/>
  <c r="E48" i="21"/>
  <c r="E40" i="11"/>
  <c r="E16" i="11"/>
  <c r="E12" i="21"/>
  <c r="E35" i="21"/>
  <c r="E16" i="21"/>
  <c r="E45" i="11"/>
  <c r="E63" i="11"/>
  <c r="E34" i="21"/>
  <c r="E46" i="11"/>
  <c r="E58" i="11"/>
  <c r="E24" i="21"/>
  <c r="E21" i="11"/>
  <c r="E20" i="21"/>
  <c r="E39" i="21"/>
  <c r="E60" i="11"/>
  <c r="E62" i="11"/>
  <c r="E49" i="11"/>
  <c r="E25" i="11"/>
  <c r="E27" i="21"/>
  <c r="E57" i="11"/>
  <c r="E17" i="11"/>
  <c r="E10" i="21"/>
  <c r="E66" i="11"/>
  <c r="E52" i="11"/>
  <c r="E71" i="11"/>
  <c r="E36" i="11"/>
  <c r="E43" i="21"/>
  <c r="E48" i="11"/>
  <c r="E15" i="11"/>
  <c r="E31" i="11"/>
  <c r="E37" i="11"/>
  <c r="E31" i="21"/>
  <c r="E24" i="11"/>
  <c r="E28" i="21"/>
  <c r="E14" i="11"/>
  <c r="E21" i="21"/>
  <c r="E55" i="11"/>
  <c r="E73" i="11"/>
  <c r="E70" i="11"/>
  <c r="E9" i="11"/>
  <c r="E23" i="21"/>
  <c r="E68" i="11"/>
  <c r="E50" i="21"/>
  <c r="E65" i="11"/>
  <c r="E32" i="11"/>
  <c r="E10" i="11"/>
  <c r="E7" i="11"/>
  <c r="E32" i="21"/>
  <c r="E53" i="11"/>
  <c r="E40" i="21"/>
  <c r="E35" i="11"/>
  <c r="E29" i="21"/>
  <c r="E19" i="11"/>
  <c r="E74" i="11"/>
  <c r="E64" i="11"/>
  <c r="E43" i="11"/>
  <c r="E44" i="21"/>
  <c r="E44" i="11"/>
  <c r="E26" i="11"/>
  <c r="E72" i="11"/>
  <c r="E13" i="11"/>
  <c r="E28" i="11"/>
  <c r="E30" i="11"/>
  <c r="E30" i="21"/>
  <c r="E17" i="21"/>
  <c r="E11" i="21"/>
  <c r="E19" i="21"/>
  <c r="E13" i="21"/>
  <c r="E33" i="11"/>
  <c r="E47" i="11"/>
  <c r="E15" i="21"/>
  <c r="E49" i="21"/>
  <c r="E69" i="11"/>
  <c r="E27" i="11"/>
  <c r="E36" i="21"/>
  <c r="E41" i="21"/>
  <c r="E42" i="21"/>
  <c r="E18" i="11"/>
  <c r="E47" i="21"/>
  <c r="E11" i="11"/>
  <c r="E33" i="21"/>
  <c r="E54" i="11"/>
  <c r="E46" i="21"/>
  <c r="E23" i="11"/>
  <c r="E29" i="11"/>
  <c r="E8" i="21"/>
  <c r="E42" i="11"/>
  <c r="E41" i="11"/>
  <c r="E25" i="21"/>
  <c r="E8" i="11"/>
  <c r="E38" i="11"/>
  <c r="E45" i="21"/>
  <c r="E20" i="11"/>
  <c r="E59" i="11"/>
  <c r="E51" i="11"/>
  <c r="E50" i="11"/>
  <c r="E61" i="11"/>
  <c r="E9" i="21"/>
  <c r="E37" i="21"/>
  <c r="E34" i="11"/>
  <c r="E67" i="11"/>
  <c r="E39" i="11"/>
  <c r="E22" i="11"/>
  <c r="E7" i="21"/>
  <c r="E12" i="11"/>
  <c r="E75" i="11"/>
  <c r="E18" i="21"/>
  <c r="E56" i="11"/>
  <c r="E22" i="21"/>
  <c r="E38" i="21"/>
  <c r="I17" i="6" l="1"/>
  <c r="F75" i="11"/>
  <c r="F74" i="11"/>
  <c r="F73" i="11"/>
  <c r="D23" i="12"/>
  <c r="J23" i="12" s="1"/>
  <c r="E23" i="12" s="1"/>
  <c r="D19" i="12"/>
  <c r="J19" i="12" s="1"/>
  <c r="E19" i="12" s="1"/>
  <c r="I16" i="7"/>
  <c r="F10" i="2" s="1"/>
  <c r="I30" i="8"/>
  <c r="I26" i="4"/>
  <c r="D18" i="22"/>
  <c r="E18" i="22" s="1"/>
  <c r="C43" i="1"/>
  <c r="D43" i="1"/>
  <c r="I22" i="5"/>
  <c r="B25" i="22"/>
  <c r="L2" i="22" s="1"/>
  <c r="I27" i="19"/>
  <c r="I34" i="16"/>
  <c r="I23" i="9"/>
  <c r="I17" i="3"/>
  <c r="F5" i="2" s="1"/>
  <c r="F8" i="2"/>
  <c r="D15" i="22"/>
  <c r="E15" i="22" s="1"/>
  <c r="I26" i="17"/>
  <c r="I21" i="18"/>
  <c r="L23" i="12"/>
  <c r="F13" i="2"/>
  <c r="E43"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0"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C5" i="22" s="1"/>
  <c r="D5" i="22" s="1"/>
  <c r="F51" i="21"/>
  <c r="F37" i="21"/>
  <c r="F8" i="11"/>
  <c r="F14" i="11"/>
  <c r="F20" i="11"/>
  <c r="F26" i="11"/>
  <c r="F32" i="11"/>
  <c r="F38" i="11"/>
  <c r="F44" i="11"/>
  <c r="F50" i="11"/>
  <c r="F56" i="11"/>
  <c r="F62" i="11"/>
  <c r="F68" i="11"/>
  <c r="F9" i="21"/>
  <c r="F16" i="21"/>
  <c r="F22" i="21"/>
  <c r="F28" i="21"/>
  <c r="F34" i="21"/>
  <c r="F40" i="21"/>
  <c r="F46" i="21"/>
  <c r="E44" i="1"/>
  <c r="D45" i="1"/>
  <c r="C45" i="1"/>
  <c r="E11" i="15"/>
  <c r="L19" i="12"/>
  <c r="D44" i="1"/>
  <c r="C44" i="1"/>
  <c r="B25" i="12"/>
  <c r="J3" i="22" l="1"/>
  <c r="H3" i="22"/>
  <c r="C24" i="22"/>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E9" i="1"/>
  <c r="D46" i="1"/>
  <c r="C17" i="22"/>
  <c r="D17" i="22" s="1"/>
  <c r="E17" i="22" s="1"/>
  <c r="C7" i="12"/>
  <c r="D7" i="12" s="1"/>
  <c r="B44" i="1"/>
  <c r="J5" i="12"/>
  <c r="E5" i="12" s="1"/>
  <c r="H5" i="12"/>
  <c r="I5" i="12" s="1"/>
  <c r="C22" i="12"/>
  <c r="D22" i="12" s="1"/>
  <c r="J22" i="12" s="1"/>
  <c r="E22" i="12" s="1"/>
  <c r="E5" i="22"/>
  <c r="C21" i="22"/>
  <c r="D21" i="22" s="1"/>
  <c r="E21" i="22" s="1"/>
  <c r="C10" i="22"/>
  <c r="D10" i="22" s="1"/>
  <c r="E10" i="22" s="1"/>
  <c r="E45" i="1"/>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6" i="1"/>
  <c r="E8" i="1"/>
  <c r="C20" i="12"/>
  <c r="D20" i="12" s="1"/>
  <c r="J20" i="12" s="1"/>
  <c r="E20" i="12" s="1"/>
  <c r="C21" i="12"/>
  <c r="D21" i="12" s="1"/>
  <c r="J21" i="12" s="1"/>
  <c r="E21" i="12" s="1"/>
  <c r="A3" i="22" l="1"/>
  <c r="L3" i="22"/>
  <c r="A9" i="19"/>
  <c r="A6" i="19"/>
  <c r="A6" i="4"/>
  <c r="A8" i="19"/>
  <c r="A7" i="19"/>
  <c r="A9" i="4"/>
  <c r="A8" i="4"/>
  <c r="A7" i="4"/>
  <c r="A9" i="17"/>
  <c r="A9" i="9"/>
  <c r="A8" i="17"/>
  <c r="A8" i="9"/>
  <c r="A7" i="17"/>
  <c r="A7" i="9"/>
  <c r="A6" i="17"/>
  <c r="A6" i="9"/>
  <c r="A10" i="17"/>
  <c r="A10" i="19"/>
  <c r="I5" i="22"/>
  <c r="I15" i="22"/>
  <c r="D25" i="12"/>
  <c r="J25" i="12" s="1"/>
  <c r="D25" i="22"/>
  <c r="D47" i="1"/>
  <c r="D20" i="19"/>
  <c r="D20" i="4"/>
  <c r="A10" i="4"/>
  <c r="C47" i="1"/>
  <c r="J17" i="12"/>
  <c r="E17" i="12" s="1"/>
  <c r="H17" i="12"/>
  <c r="H3" i="12"/>
  <c r="J3" i="12"/>
  <c r="D16" i="9"/>
  <c r="D15" i="9"/>
  <c r="D15" i="17"/>
  <c r="A10" i="9"/>
  <c r="E10" i="1"/>
  <c r="E46" i="1"/>
  <c r="B45" i="1"/>
  <c r="H15" i="12"/>
  <c r="I7" i="22"/>
  <c r="J7" i="12"/>
  <c r="E7" i="12" s="1"/>
  <c r="H7" i="12"/>
  <c r="A8" i="8" l="1"/>
  <c r="A15" i="16"/>
  <c r="A9" i="8"/>
  <c r="A16" i="16"/>
  <c r="A18" i="16"/>
  <c r="A7" i="8"/>
  <c r="A6" i="8"/>
  <c r="A17" i="16"/>
  <c r="A19" i="16"/>
  <c r="C48" i="1"/>
  <c r="F12" i="2"/>
  <c r="E12" i="2"/>
  <c r="E6" i="2"/>
  <c r="F6" i="2"/>
  <c r="B46" i="1"/>
  <c r="E7" i="1"/>
  <c r="A3" i="12"/>
  <c r="L3" i="12"/>
  <c r="E47" i="1"/>
  <c r="D48" i="1"/>
  <c r="D25" i="16"/>
  <c r="D20" i="8"/>
  <c r="A10" i="8"/>
  <c r="A9" i="16" l="1"/>
  <c r="A9" i="5"/>
  <c r="A7" i="16"/>
  <c r="A6" i="16"/>
  <c r="A8" i="16"/>
  <c r="A8" i="5"/>
  <c r="A6" i="5"/>
  <c r="A7" i="5"/>
  <c r="A10" i="16"/>
  <c r="B47" i="1"/>
  <c r="D49" i="1"/>
  <c r="F11" i="2"/>
  <c r="E11" i="2"/>
  <c r="C49" i="1"/>
  <c r="D15" i="5"/>
  <c r="A10" i="5"/>
  <c r="D24" i="16"/>
  <c r="E48" i="1"/>
  <c r="C50" i="1" l="1"/>
  <c r="D50" i="1"/>
  <c r="E7" i="2"/>
  <c r="E15" i="2" s="1"/>
  <c r="F7" i="2"/>
  <c r="F15" i="2"/>
  <c r="E49" i="1"/>
  <c r="B48" i="1"/>
  <c r="B49" i="1" l="1"/>
  <c r="E50" i="1"/>
  <c r="D51" i="1"/>
  <c r="C51" i="1"/>
  <c r="C52" i="1" l="1"/>
  <c r="D52" i="1"/>
  <c r="E51" i="1"/>
  <c r="B50" i="1"/>
  <c r="B51" i="1" l="1"/>
  <c r="E52" i="1"/>
  <c r="D54" i="1"/>
  <c r="D53" i="1"/>
  <c r="C54" i="1"/>
  <c r="C53" i="1"/>
  <c r="E54" i="1" l="1"/>
  <c r="E53" i="1"/>
  <c r="B52" i="1"/>
  <c r="B54" i="1" l="1"/>
  <c r="B53" i="1"/>
</calcChain>
</file>

<file path=xl/sharedStrings.xml><?xml version="1.0" encoding="utf-8"?>
<sst xmlns="http://schemas.openxmlformats.org/spreadsheetml/2006/main" count="2354" uniqueCount="1221">
  <si>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</si>
  <si>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</si>
  <si>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</si>
  <si>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</si>
  <si>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</si>
  <si>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</si>
  <si>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</si>
  <si>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</si>
  <si>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</si>
  <si>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</si>
  <si>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</si>
  <si>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</si>
  <si>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</si>
  <si>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</si>
  <si>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</si>
  <si>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</si>
  <si>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</si>
  <si>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</si>
  <si>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</si>
  <si>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</si>
  <si>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</si>
  <si>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</si>
  <si>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</si>
  <si>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</si>
  <si>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</si>
  <si>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</si>
  <si>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</si>
  <si>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</si>
  <si>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</si>
  <si>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</si>
  <si>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</si>
  <si>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</si>
  <si>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</si>
  <si>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</si>
  <si>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</si>
  <si>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</si>
  <si>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</si>
  <si>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</si>
  <si>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</si>
  <si>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</si>
  <si>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</si>
  <si>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</si>
  <si>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</si>
  <si>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</si>
  <si>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</si>
  <si>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</si>
  <si>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</si>
  <si>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</si>
  <si>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</si>
  <si>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</si>
  <si>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</si>
  <si>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</si>
  <si>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</si>
  <si>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</si>
  <si>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</si>
  <si>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</si>
  <si>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</si>
  <si>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</si>
  <si>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</si>
  <si>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</si>
  <si>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</si>
  <si>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</si>
  <si>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</si>
  <si>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</si>
  <si>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</si>
  <si>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</si>
  <si>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</si>
  <si>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</si>
  <si>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</si>
  <si>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</si>
  <si>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</si>
  <si>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</si>
  <si>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</si>
  <si>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</si>
  <si>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</si>
  <si>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</si>
  <si>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</si>
  <si>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</si>
  <si>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</si>
  <si>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</si>
  <si>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</si>
  <si>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</si>
  <si>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</si>
  <si>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</si>
  <si>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</si>
  <si>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</si>
  <si>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</si>
  <si>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</si>
  <si>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</si>
  <si>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</si>
  <si>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</si>
  <si>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노란 칸 두 곳만 채우면 각 일차 시트의 웜업 램프와 본세트 중량이 전부 자동 계산됩니다.</t>
  </si>
  <si>
    <t>현재 사이클</t>
  </si>
  <si>
    <t>← 사이클이 끝날 때마다 이 숫자를 1 올리면 일차 시트 중량이 그 사이클에 맞게 갱신됩니다 (1~12)</t>
  </si>
  <si>
    <t>5년 전 중량</t>
  </si>
  <si>
    <t>권장 시작 (40%)</t>
  </si>
  <si>
    <t>시작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</si>
  <si>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</si>
  <si>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</si>
  <si>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</si>
  <si>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</si>
  <si>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</si>
  <si>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</si>
  <si>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</si>
  <si>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</si>
  <si>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</si>
  <si>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</si>
  <si>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</si>
  <si>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</si>
  <si>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</si>
  <si>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</si>
  <si>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그리고 C4의 '현재 사이클'은 사이클이 끝날 때마다 1씩 올려주는 칸입니다. 이 두 곳 외에는 손댈 필요가 없습니다.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</si>
  <si>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</si>
  <si>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</si>
  <si>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</si>
  <si>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</si>
  <si>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</si>
  <si>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</si>
  <si>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</si>
  <si>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사이클당 2.5kg씩만 올라가도 20사이클이면 스쿼트가 예전 중량에 닿는다. 조급해할 이유가 없다.</t>
  </si>
  <si>
    <t>사용법</t>
  </si>
  <si>
    <t>· 1단계: D7~D10에 시작 중량을 입력한다 (기본값은 5년 전 중량의 40%).</t>
  </si>
  <si>
    <t>· 2단계: 증량기록 시트에서 사이클마다 달성 여부에 O / X를 입력한다.</t>
  </si>
  <si>
    <t>· 3단계: C4의 현재 사이클을 바꾸면 일차 시트의 웜업과 본세트 중량이 자동으로 따라온다.</t>
  </si>
  <si>
    <t>· 중량이 낮아 앞 세트와 겹치는 웜업은 '생략'으로 자동 표시된다 — 웜업 세트 수가 스스로 조정된다.</t>
  </si>
  <si>
    <t>· 20으로 표시되면 빈 봉이라는 뜻이다.</t>
  </si>
  <si>
    <t>12사이클 예상 진행 (X 입력이 없을 때)</t>
  </si>
  <si>
    <t>사이클</t>
  </si>
  <si>
    <t>1사이클</t>
  </si>
  <si>
    <t>2사이클</t>
  </si>
  <si>
    <t>3사이클</t>
  </si>
  <si>
    <t>4사이클</t>
  </si>
  <si>
    <t>5사이클</t>
  </si>
  <si>
    <t>6사이클</t>
  </si>
  <si>
    <t>7사이클</t>
  </si>
  <si>
    <t>8사이클</t>
  </si>
  <si>
    <t>9사이클</t>
  </si>
  <si>
    <t>10사이클</t>
  </si>
  <si>
    <t>11사이클</t>
  </si>
  <si>
    <t>12사이클</t>
  </si>
  <si>
    <t>· 위 표는 X 입력이 없다고 가정한 계획선이다. 실제 진행은 증량기록 시트가 결정한다.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</si>
  <si>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</si>
  <si>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</si>
  <si>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</si>
  <si>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</si>
  <si>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</si>
  <si>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</si>
  <si>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</si>
  <si>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</si>
  <si>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</si>
  <si>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</si>
  <si>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</si>
  <si>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</si>
  <si>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</si>
  <si>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</si>
  <si>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</si>
  <si>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</si>
  <si>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</si>
  <si>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</si>
  <si>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</si>
  <si>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</si>
  <si>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</si>
  <si>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</si>
  <si>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</si>
  <si>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</si>
  <si>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</si>
  <si>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</si>
  <si>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</si>
  <si>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</si>
  <si>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</si>
  <si>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</si>
  <si>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</si>
  <si>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</si>
  <si>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</si>
  <si>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</si>
  <si>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</si>
  <si>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</si>
  <si>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</si>
  <si>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</si>
  <si>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</si>
  <si>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</si>
  <si>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</si>
  <si>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</si>
  <si>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</si>
  <si>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</si>
  <si>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</si>
  <si>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</si>
  <si>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</si>
  <si>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</si>
  <si>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</si>
  <si>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</si>
  <si>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</si>
  <si>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</si>
  <si>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</si>
  <si>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</si>
  <si>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</si>
  <si>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</si>
  <si>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</si>
  <si>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</si>
  <si>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</si>
  <si>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</si>
  <si>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</si>
  <si>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</si>
  <si>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</si>
  <si>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</si>
  <si>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</si>
  <si>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</si>
  <si>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</si>
  <si>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</si>
  <si>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</si>
  <si>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</si>
  <si>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</si>
  <si>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</si>
  <si>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</si>
  <si>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</si>
  <si>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</si>
  <si>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</si>
  <si>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</si>
  <si>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</si>
  <si>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</si>
  <si>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</si>
  <si>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</si>
  <si>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</si>
  <si>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</si>
  <si>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</si>
  <si>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</si>
  <si>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</si>
  <si>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</si>
  <si>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</si>
  <si>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</si>
  <si>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</si>
  <si>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</si>
  <si>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</si>
  <si>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</si>
  <si>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</si>
  <si>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</si>
  <si>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</si>
  <si>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</si>
  <si>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</si>
  <si>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</si>
  <si>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</si>
  <si>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</si>
  <si>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</si>
  <si>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</si>
  <si>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</si>
  <si>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</si>
  <si>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</si>
  <si>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</si>
  <si>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</si>
  <si>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</si>
  <si>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</si>
  <si>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</si>
  <si>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</si>
  <si>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</si>
  <si>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</si>
  <si>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</si>
  <si>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</si>
  <si>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</si>
  <si>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</si>
  <si>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</si>
  <si>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</si>
  <si>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</si>
  <si>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</si>
  <si>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</si>
  <si>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</si>
  <si>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</si>
  <si>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</si>
  <si>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</si>
  <si>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</si>
  <si>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</si>
  <si>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</si>
  <si>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</si>
  <si>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</si>
  <si>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</si>
  <si>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</si>
  <si>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</si>
  <si>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</si>
  <si>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</si>
  <si>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</si>
  <si>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</si>
  <si>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</si>
  <si>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</si>
  <si>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</si>
  <si>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</si>
  <si>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</si>
  <si>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</si>
  <si>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</si>
  <si>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</si>
  <si>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</si>
  <si>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</si>
  <si>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</si>
  <si>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</si>
  <si>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</si>
  <si>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</si>
  <si>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</si>
  <si>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</si>
  <si>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</si>
  <si>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</si>
  <si>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</si>
  <si>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</si>
  <si>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</si>
  <si>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</si>
  <si>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</si>
  <si>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</si>
  <si>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</si>
  <si>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</si>
  <si>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</si>
  <si>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</si>
  <si>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</si>
  <si>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</si>
  <si>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</si>
  <si>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</si>
  <si>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</si>
  <si>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</si>
  <si>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</si>
  <si>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</si>
  <si>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</si>
  <si>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</si>
  <si>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</si>
  <si>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</si>
  <si>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</si>
  <si>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</si>
  <si>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</si>
  <si>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</si>
  <si>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</si>
  <si>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</si>
  <si>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</si>
  <si>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</si>
  <si>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</si>
  <si>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</si>
  <si>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</si>
  <si>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</si>
  <si>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</si>
  <si>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</si>
  <si>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</si>
  <si>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</si>
  <si>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</si>
  <si>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</si>
  <si>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</si>
  <si>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</si>
  <si>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</si>
  <si>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</si>
  <si>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</si>
  <si>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</si>
  <si>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</si>
  <si>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</si>
  <si>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</si>
  <si>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</si>
  <si>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</si>
  <si>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</si>
  <si>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</si>
  <si>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</si>
  <si>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</si>
  <si>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</si>
  <si>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</si>
  <si>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</si>
  <si>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</si>
  <si>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</si>
  <si>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</si>
  <si>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</si>
  <si>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</si>
  <si>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</si>
  <si>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</si>
  <si>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</si>
  <si>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</si>
  <si>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</si>
  <si>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</si>
  <si>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</si>
  <si>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</si>
  <si>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</si>
  <si>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</si>
  <si>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</si>
  <si>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</si>
  <si>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</si>
  <si>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</si>
  <si>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</si>
  <si>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</si>
  <si>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</si>
  <si>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</si>
  <si>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</si>
  <si>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</si>
  <si>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</si>
  <si>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</si>
  <si>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</si>
  <si>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</si>
  <si>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</si>
  <si>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</si>
  <si>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</si>
  <si>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</si>
  <si>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</si>
  <si>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</si>
  <si>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</si>
  <si>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</si>
  <si>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</si>
  <si>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</si>
  <si>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</si>
  <si>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</si>
  <si>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</si>
  <si>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</si>
  <si>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</si>
  <si>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</si>
  <si>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</si>
  <si>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</si>
  <si>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</si>
  <si>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</si>
  <si>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</si>
  <si>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</si>
  <si>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</si>
  <si>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</si>
  <si>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</si>
  <si>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</si>
  <si>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</si>
  <si>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</si>
  <si>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</si>
  <si>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</si>
  <si>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</si>
  <si>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</si>
  <si>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</si>
  <si>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</si>
  <si>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</si>
  <si>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</si>
  <si>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</si>
  <si>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</si>
  <si>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</si>
  <si>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</si>
  <si>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</si>
  <si>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</si>
  <si>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</si>
  <si>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</si>
  <si>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</si>
  <si>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</si>
  <si>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</si>
  <si>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</si>
  <si>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</si>
  <si>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</si>
  <si>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</si>
  <si>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</si>
  <si>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</si>
  <si>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</si>
  <si>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</si>
  <si>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</si>
  <si>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</si>
  <si>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</si>
  <si>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</si>
  <si>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</si>
  <si>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직전 사이클의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현장 복귀 시 이 행은 0세트로 내린다 (복귀판은 데드 1×5가 상한)</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</si>
  <si>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</si>
  <si>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</si>
  <si>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</si>
  <si>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</si>
  <si>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</si>
  <si>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</si>
  <si>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</si>
  <si>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</si>
  <si>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</si>
  <si>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</si>
  <si>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</si>
  <si>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</si>
  <si>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</si>
  <si>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</si>
  <si>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</si>
  <si>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</si>
  <si>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</si>
  <si>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</si>
  <si>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</si>
  <si>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</si>
  <si>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</si>
  <si>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</si>
  <si>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</si>
  <si>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</si>
  <si>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</si>
  <si>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</si>
  <si>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</si>
  <si>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</si>
  <si>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</si>
  <si>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</si>
  <si>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</si>
  <si>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</si>
  <si>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</si>
  <si>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</si>
  <si>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</si>
  <si>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</si>
  <si>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</si>
  <si>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</si>
  <si>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</si>
  <si>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</si>
  <si>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</si>
  <si>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</si>
  <si>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</si>
  <si>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</si>
  <si>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</si>
  <si>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</si>
  <si>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</si>
  <si>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</si>
  <si>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</si>
  <si>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</si>
  <si>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</si>
  <si>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</si>
  <si>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</si>
  <si>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</si>
  <si>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</si>
  <si>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</si>
  <si>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</si>
  <si>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</si>
  <si>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</si>
  <si>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</si>
  <si>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</si>
  <si>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</si>
  <si>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</si>
  <si>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</si>
  <si>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</si>
  <si>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</si>
  <si>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</si>
  <si>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</si>
  <si>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</si>
  <si>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</si>
  <si>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</si>
  <si>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</si>
  <si>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</si>
  <si>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</si>
  <si>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</si>
  <si>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</si>
  <si>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</si>
  <si>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</si>
  <si>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</si>
  <si>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</si>
  <si>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</si>
  <si>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</si>
  <si>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</si>
  <si>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</si>
  <si>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</si>
  <si>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</si>
  <si>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</si>
  <si>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</si>
  <si>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</si>
  <si>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</si>
  <si>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</si>
  <si>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</si>
  <si>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</si>
  <si>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</si>
  <si>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</si>
  <si>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</si>
  <si>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</si>
  <si>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</si>
  <si>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</si>
  <si>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</si>
  <si>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</si>
  <si>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</si>
  <si>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</si>
  <si>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</si>
  <si>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</si>
  <si>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</si>
  <si>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</si>
  <si>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</si>
  <si>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</si>
  <si>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</si>
  <si>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</si>
  <si>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</si>
  <si>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</si>
  <si>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</si>
  <si>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</si>
  <si>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</si>
  <si>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</si>
  <si>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</si>
  <si>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</si>
  <si>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</si>
  <si>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</si>
  <si>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</si>
  <si>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</si>
  <si>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</si>
  <si>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</si>
  <si>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</si>
  <si>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</si>
  <si>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</si>
  <si>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</si>
  <si>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</si>
  <si>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</si>
  <si>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</si>
  <si>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</si>
  <si>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</si>
  <si>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</si>
  <si>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</si>
  <si>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</si>
  <si>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</si>
  <si>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</si>
  <si>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</si>
  <si>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</si>
  <si>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</si>
  <si>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</si>
  <si>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</si>
  <si>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</si>
  <si>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</si>
  <si>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</si>
  <si>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</si>
  <si>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</si>
  <si>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</si>
  <si>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</si>
  <si>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</si>
  <si>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</si>
  <si>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</si>
  <si>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</si>
  <si>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</si>
  <si>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</si>
  <si>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</si>
  <si>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</si>
  <si>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</si>
  <si>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</si>
  <si>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</si>
  <si>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</si>
  <si>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</si>
  <si>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</si>
  <si>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</si>
  <si>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</si>
  <si>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</si>
  <si>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</si>
  <si>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</si>
  <si>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</si>
  <si>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</si>
  <si>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</si>
  <si>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</si>
  <si>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</si>
  <si>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</si>
  <si>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</si>
  <si>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</si>
  <si>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</si>
  <si>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</si>
  <si>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</si>
  <si>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t>
  </si>
  <si>
    <t>기본은 계획대로 증량. 목표 반복을 못 채운 사이클에는 그 칸에 마지막 세트 실제 반복수(예: 3)를 적습니다 — 숫자든 X든 무엇이 적히면 그 중량이 유지됩니다. 공란과 O만 증량입니다.</t>
  </si>
  <si>
    <t>증량 설정 — 종목별</t>
  </si>
  <si>
    <t>데드리프트 사이클당 증량 (kg)</t>
  </si>
  <si>
    <t>가장 큰 근육군 · 회복 여력 최대</t>
  </si>
  <si>
    <t>스쿼트 사이클당 증량 (kg)</t>
  </si>
  <si>
    <t>하체 — 복귀 구간에서는 빠르게 오른다</t>
  </si>
  <si>
    <t>벤치프레스 사이클당 증량 (kg)</t>
  </si>
  <si>
    <t>밀리터리 프레스 사이클당 증량 (kg)</t>
  </si>
  <si>
    <t>날짜 (1일차)</t>
  </si>
  <si>
    <t>스쿼트 목표</t>
  </si>
  <si>
    <t>미달 시 반복수</t>
  </si>
  <si>
    <t>데드 목표</t>
  </si>
  <si>
    <t>벤치 목표</t>
  </si>
  <si>
    <t>프레스 목표</t>
  </si>
  <si>
    <t>다음날 피로 0~5</t>
  </si>
  <si>
    <t>관절 이상</t>
  </si>
  <si>
    <t>· 공란 또는 O = 계획대로 증량. 그 밖의 입력(반복수 · X) = 그 중량을 다음 사이클에도 유지.</t>
  </si>
  <si>
    <t>· 1사이클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</si>
  <si>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</si>
  <si>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</si>
  <si>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20kg 프레스에 2.25kg은 11% 증가지만, 105kg 데드에 2.5kg은 2.4%다.</t>
  </si>
  <si>
    <t>· 균일 증량을 쓰면 작은 종목만 비현실적으로 빨리 오르고 큰 종목은 제자리에 머문다.</t>
  </si>
  <si>
    <t>· 하체 5kg이 커 보이지만 복귀 구간 첫 두세 달은 정상 범위다. 근력을 새로 만드는 것이 아니라 되찾는 구간이기 때문.</t>
  </si>
  <si>
    <t>· 이 속도가 버거워지면(X가 반복되면) 해당 칸 숫자를 절반으로 내린다.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</si>
  <si>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</si>
  <si>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</si>
  <si>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</si>
  <si>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사이클은 비워둔다.</t>
  </si>
  <si>
    <t>· 이 두 칸이 3사이클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</si>
  <si>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</si>
  <si>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</si>
  <si>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</si>
  <si>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</si>
  <si>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</si>
  <si>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</si>
  <si>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</si>
  <si>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</si>
  <si>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</si>
  <si>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</si>
  <si>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</si>
  <si>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</si>
  <si>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</si>
  <si>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</si>
  <si>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</si>
  <si>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</si>
  <si>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</si>
  <si>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</si>
  <si>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</si>
  <si>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</si>
  <si>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</si>
  <si>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</si>
  <si>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</si>
  <si>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</si>
  <si>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</si>
  <si>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</si>
  <si>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</si>
  <si>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</si>
  <si>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</si>
  <si>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</si>
  <si>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</si>
  <si>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</si>
  <si>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</si>
  <si>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</si>
  <si>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</si>
  <si>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</si>
  <si>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</si>
  <si>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</si>
  <si>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</si>
  <si>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</si>
  <si>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</si>
  <si>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</si>
  <si>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</si>
  <si>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</si>
  <si>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</si>
  <si>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</si>
  <si>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</si>
  <si>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</si>
  <si>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</si>
  <si>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약 72분</t>
  </si>
  <si>
    <t>미는 날. 벤치를 매주 올린다. 네 세션 중 가장 짧다</t>
  </si>
  <si>
    <t>평일 B</t>
  </si>
  <si>
    <t>어깨 위주 (하체 B)</t>
  </si>
  <si>
    <t>약 66분</t>
  </si>
  <si>
    <t>척추 부하 0. 일요일 다음날에 쓸 수 있는 유일한 세션</t>
  </si>
  <si>
    <t>토</t>
  </si>
  <si>
    <t>시간 확보</t>
  </si>
  <si>
    <t>하체 · 어깨 (하체 A)</t>
  </si>
  <si>
    <t>약 84분</t>
  </si>
  <si>
    <t>스쿼트 5×5와 오버헤드 프레스를 앞쪽에 · 어깨 보조 9세트</t>
  </si>
  <si>
    <t>일</t>
  </si>
  <si>
    <t>휴무</t>
  </si>
  <si>
    <t>등 위주 (상체 B)</t>
  </si>
  <si>
    <t>약 74분</t>
  </si>
  <si>
    <t>완전 휴무일 — 척추가 버티는 종목은 전부 여기</t>
  </si>
  <si>
    <t>나머지 3일</t>
  </si>
  <si>
    <t>12시간 2일 포함</t>
  </si>
  <si>
    <t>12시간 근무일과 그 다음날, 그리고 일요일 다음날은 비운다</t>
  </si>
  <si>
    <t>약 296분 (4시간 56분)</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</si>
  <si>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</si>
  <si>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</si>
  <si>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</si>
  <si>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</si>
  <si>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</si>
  <si>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</si>
  <si>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</si>
  <si>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</si>
  <si>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</si>
  <si>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</si>
  <si>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120세트는 유지선(75)이 아니라 성장선이다. 유지 모드로 두면 현장 일 기간 내내 3대 500이 멈추기 때문에 그렇게 잡지 않았다.</t>
  </si>
  <si>
    <t>· 재택 주당 환산 161세트의 75%다. 헬스 세트는 그만큼 줄지만 현장 일이 등 · 하체 · 기립근 · 그립에 하루치를 얹으므로 총 부하는 덜 줄어든다.</t>
  </si>
  <si>
    <t>· 유지선에서 되살린 곳 — 둔근 0 → 3 · 중둔근 0 → 3 · 내전근 0 → 3 · 승모 중부 0 → 3 · 전완 0 → 6.</t>
  </si>
  <si>
    <t>· 성장선으로 올린 곳 — 사두 7 → 12 · 흉근 상부 3 → 9 · 측면삼각 10 · 후면삼각 4 → 10 · 삼두 3 → 6 · 이두 3 → 6 · 광배 15.</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</si>
  <si>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</si>
  <si>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</si>
  <si>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</si>
  <si>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</si>
  <si>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</si>
  <si>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</si>
  <si>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A 72분 26세트 · 평일 B 66분 32세트 · 토 84분 31세트 · 일 74분 31세트. 상한은 26세트이나 고립 소근육은 예외로 본다.</t>
  </si>
  <si>
    <t>· 평일 B는 메인 리프트가 없고 거의 전부가 고립이라 상한 규칙의 적용 대상이 아니다. 휴식이 60~75초라 45분이면 끝난다.</t>
  </si>
  <si>
    <t>· 평일 A는 고립 10세트를 빼면 실질 16, 토요일은 15세트를 빼면 실질 15, 일요일은 12세트를 빼면 실질 19다.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</si>
  <si>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</si>
  <si>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</si>
  <si>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</si>
  <si>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</si>
  <si>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</si>
  <si>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</si>
  <si>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토요일 — 하체 위주 (하체 A)</t>
  </si>
  <si>
    <t>시간이 널널한 날. 스쿼트만 프리웨이트로 두고 나머지는 전부 머신 — 다음날 데드가 있으므로 힌지를 빼서 기립근 부하를 0에 가깝게 만든다.</t>
  </si>
  <si>
    <t>레그 프레스 (허리 부담 시 1순위) / 스미스 스쿼트 / 핵 스쿼트</t>
  </si>
  <si>
    <t>스미스 오버헤드 프레스</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</si>
  <si>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</si>
  <si>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</si>
  <si>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</si>
  <si>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</si>
  <si>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</si>
  <si>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</si>
  <si>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</si>
  <si>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</si>
  <si>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</si>
  <si>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</si>
  <si>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</si>
  <si>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15~20</t>
  </si>
  <si>
    <t>케이블 리버스 플라이 / 리어 델트 로우 (로프) / 페이스풀 (로프)</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</si>
  <si>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</si>
  <si>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</si>
  <si>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</si>
  <si>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</si>
  <si>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</si>
  <si>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</si>
  <si>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 어깨 보조는 오버헤드 프레스 3 + 리버스 펙덱 3 + 레터럴 3 = 9세트. 하체 21 + 어깨 9로 이 날은 하체와 어깨만 하는 날이다.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</si>
  <si>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</si>
  <si>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</si>
  <si>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</si>
  <si>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</si>
  <si>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 30세트지만 고립(레그 익스텐션 · 이너 타이 · 카프 · 리버스 펙덱 · 레터럴)이 15세트다. 상한 규칙상 실질 15로 본다.</t>
  </si>
  <si>
    <t>· 약 84분으로 가장 길다. 시간이 확보되는 날이라 여기에 몰았다.</t>
  </si>
  <si>
    <t>[요청 원문] 이너타이, 벡덱플라이</t>
  </si>
  <si>
    <t>일요일 — 등 위주 (상체 B)</t>
  </si>
  <si>
    <t>완전 휴무일이라 회복된 상태에서 시작하고 하루가 통째로 남는다. 척추가 버티는 종목과 전완은 전부 이 날에 모았다.</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</si>
  <si>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</si>
  <si>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</si>
  <si>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</si>
  <si>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</si>
  <si>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</si>
  <si>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</si>
  <si>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</si>
  <si>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</si>
  <si>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</si>
  <si>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</si>
  <si>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</si>
  <si>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32</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</si>
  <si>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</si>
  <si>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</si>
  <si>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</si>
  <si>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가슴 보조 첫째. 시간이 가장 많은 날이라 되살렸다 — 맨몸이라 세팅도 필요 없다</t>
  </si>
  <si>
    <t>어시스트 딥스 머신 / 헤머스트랭스 체스트 프레스</t>
  </si>
  <si>
    <t>105/120/135</t>
  </si>
  <si>
    <t>펙덱 플라이 / 덤벨 플라이</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</si>
  <si>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</si>
  <si>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</si>
  <si>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</si>
  <si>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</si>
  <si>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</si>
  <si>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</si>
  <si>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</si>
  <si>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첫 4주는 1×5를 넘기지 않는다. 허리는 현장 일과 직접 경쟁하는 유일한 부위이고, 여기를 밀려다 나머지 셋이 다 무너진다.</t>
  </si>
  <si>
    <t>· 4주간 다음 근무일 아침 허리가 깨끗하면 2×5로 올린다. 그때가 데드가 성장으로 돌아서는 지점이다.</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</si>
  <si>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</si>
  <si>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</si>
  <si>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</si>
  <si>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</si>
  <si>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</si>
  <si>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</si>
  <si>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</si>
  <si>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</si>
  <si>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</si>
  <si>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시간이 가장 많은 날이라 여기로 모았다. 대신 평일 A가 23세트로 짧아진다 — 8시간 근무 뒤에 들어가는 세션이라 그 편이 낫다.</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</si>
  <si>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</si>
  <si>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</si>
  <si>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</si>
  <si>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</si>
  <si>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</si>
  <si>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 31세트로 가장 크다. 다만 고립(플라이 · 프리쳐 컬 · 리스트 컬 2종)이 12세트라 상한 규칙상 실질 19다.</t>
  </si>
  <si>
    <t>· 약 74분. 완전 휴무일이라 시간이 통째로 남고 다음날 완충도 있어서 여기에 몰았다.</t>
  </si>
  <si>
    <t>· 광배는 이 날 9세트 + 평일 A 6세트 = 주 15세트.</t>
  </si>
  <si>
    <t>[요청 원문] 시티드 케이블 로우 스캡 슈러그(두번째 크기 바), 와이 프론트 레이즈 대신 오버헤드 슈러그, 디클라인 케이블 플라이, 인클라인 덤벨컬, 시티드 리스트 컬(손등 아래), 리버스컬</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</si>
  <si>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</si>
  <si>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</si>
  <si>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</si>
  <si>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</si>
  <si>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</si>
  <si>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</si>
  <si>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</si>
  <si>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</si>
  <si>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</si>
  <si>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</si>
  <si>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</si>
  <si>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</si>
  <si>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</si>
  <si>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</si>
  <si>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40~50</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</si>
  <si>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</si>
  <si>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</si>
  <si>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</si>
  <si>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</si>
  <si>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</si>
  <si>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</si>
  <si>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</si>
  <si>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</si>
  <si>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</si>
  <si>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</si>
  <si>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</si>
  <si>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</si>
  <si>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</si>
  <si>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</si>
  <si>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</si>
  <si>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</si>
  <si>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</si>
  <si>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</si>
  <si>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</si>
  <si>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</si>
  <si>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</si>
  <si>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스미스 벤치 / 체스트 프레스 머신</t>
  </si>
  <si>
    <t>3 → 5세트. 쇄골지가 직접 3세트뿐이라 실질 4.0으로 하한 미달이었던 것을 메운 자리. 더블 프로그레션 — 전 세트가 목표 반복 상단에 닿으면 다음 주에 중량을 올린다</t>
  </si>
  <si>
    <t>인클라인 스미스 프레스 / 인클라인 덤벨 프레스</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</si>
  <si>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</si>
  <si>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</si>
  <si>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</si>
  <si>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</si>
  <si>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</si>
  <si>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</si>
  <si>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</si>
  <si>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</si>
  <si>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</si>
  <si>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V바 푸쉬다운 / 케이블 킥백</t>
  </si>
  <si>
    <t>[가슴 배분]</t>
  </si>
  <si>
    <t>· 26세트. 전완 2종목은 시간이 남는 일요일에 있고, 대신 쇄골지 보강분이 들어왔다.</t>
  </si>
  <si>
    <t>· 고립(라잉 · 푸쉬다운 · 인클라인 플라이)이 10세트라 실질 16이다.</t>
  </si>
  <si>
    <t>· 실패지점은 3~4회 남기고 종료. 미는 종목이라도 다음날 근무가 있다는 사실은 안 바뀐다.</t>
  </si>
  <si>
    <t>[요청 원문] 바벨로우, 푸쉬다운(로프), 시티드 리스트 컬(손등 위)</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</si>
  <si>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</si>
  <si>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</si>
  <si>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</si>
  <si>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</si>
  <si>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</si>
  <si>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</si>
  <si>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</si>
  <si>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</si>
  <si>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</si>
  <si>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</si>
  <si>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</si>
  <si>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</si>
  <si>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</si>
  <si>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</si>
  <si>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</si>
  <si>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</si>
  <si>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</si>
  <si>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</si>
  <si>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</si>
  <si>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</si>
  <si>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</si>
  <si>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</si>
  <si>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</si>
  <si>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</si>
  <si>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</si>
  <si>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</si>
  <si>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</si>
  <si>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</si>
  <si>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</si>
  <si>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</si>
  <si>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</si>
  <si>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</si>
  <si>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</si>
  <si>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</si>
  <si>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</si>
  <si>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</si>
  <si>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</si>
  <si>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</si>
  <si>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</si>
  <si>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</si>
  <si>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</si>
  <si>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</si>
  <si>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</si>
  <si>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</si>
  <si>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</si>
  <si>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</si>
  <si>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</si>
  <si>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</si>
  <si>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</si>
  <si>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</si>
  <si>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</si>
  <si>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현장 일을 하면서 성장하는 조건은 볼륨이 아니라 미는 자리를 좁게 잡는 것이다. 벤치와 스쿼트 둘만 확실히 밀어도 3대는 올라간다.</t>
  </si>
  <si>
    <t>[105세트가 버거우면 이 순서로 뺀다]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</si>
  <si>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</si>
  <si>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</si>
  <si>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</si>
  <si>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</si>
  <si>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</si>
  <si>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</si>
  <si>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</si>
  <si>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</si>
  <si>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</si>
  <si>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</si>
  <si>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</si>
  <si>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</si>
  <si>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</si>
  <si>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</si>
  <si>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</si>
  <si>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</si>
  <si>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</si>
  <si>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</si>
  <si>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</si>
  <si>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</si>
  <si>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</si>
  <si>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</si>
  <si>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</si>
  <si>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</si>
  <si>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</si>
  <si>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</si>
  <si>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</si>
  <si>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</si>
  <si>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</si>
  <si>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</si>
  <si>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</si>
  <si>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</si>
  <si>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</si>
  <si>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</si>
  <si>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</si>
  <si>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</si>
  <si>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</si>
  <si>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</si>
  <si>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</si>
  <si>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</si>
  <si>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</si>
  <si>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</si>
  <si>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</si>
  <si>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</si>
  <si>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</si>
  <si>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</si>
  <si>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</si>
  <si>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</si>
  <si>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</si>
  <si>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</si>
  <si>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</si>
  <si>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</si>
  <si>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</si>
  <si>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</si>
  <si>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</si>
  <si>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</si>
  <si>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</si>
  <si>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</si>
  <si>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</si>
  <si>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</si>
  <si>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직접 9세트: 인클라인 벤치프레스 머신 5 · 인클라인 덤벨 플라이 4. + 벤치 0.2×5=1.0. 2026-08-29에 직접 3 → 9로 보강했다 — 헤머 체스트를 빼고 그 자리를 쇄골지로 돌린 것이라 흉근 총량은 안 늘었다.</t>
  </si>
  <si>
    <t>인클라인 머신 0.2×5 + 인클라인 플라이 0.2×4 = 1.8. 직접 11세트: 벤치 5 · 딥스 3 · 디클라인 플라이 3. (헤머 체스트는 2026-08-29 제외 — 벤치와 같은 수평 프레스라 가장 겹쳤다.)</t>
  </si>
  <si>
    <t>직접 11세트: 평일A 랫풀다운 4(언더그립 좁게) · 일요일 시티드 케이블 로우 4(좁은 그립) · 친업 3. 간접은 넓은 그립 로우 2종(해머 로우 · 스미스 바벨 로우) 각 0.5 — 2026-09-04 라벨 정정으로 협력근이 됐다. 데드 등척성은 0.</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</si>
  <si>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</si>
  <si>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</si>
  <si>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</si>
  <si>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친업 0.2×3 + 랫풀다운 0.2×3 = 1.2. 직접 3세트(오버헤드 슈러그). 현장 자세가 견갑을 올리고 앞으로 말므로 유지 목적으로 남긴 자리다.</t>
  </si>
  <si>
    <t>중간</t>
  </si>
  <si>
    <t>직접 11세트: 평일A 넓은 그립 해머 로우 4 · 일요일 넓은 그립 스미스 바벨 로우 4 · 스캡 슈러그 3. 간접은 시티드 케이블 로우 0.5 · 리어델트 계열(케이블 리버스 플라이 0.5 · 벤트오버 머신 0.33 · 리버스 펙덱 0.33).</t>
  </si>
  <si>
    <t>스쿼트 0.2×5 + 스미스 로우 0.2×3 + 오버헤드 슈러그 0.2×3 = 2.2. 직접 1세트(데드 1×5). 낮은 것이 의도다 — 허리는 현장 일과 직접 경쟁하므로 데드 주 1회 1세트가 상한이다. 4주간 지표가 깨끗하면 2×5로 올린다.</t>
  </si>
  <si>
    <t>벤치 0.5×5 + 인클라인 머신 0.5×3 + 딥스 0.2×3 = 4.6. 직접 6세트: 머신 숄더 3 · 스미스 오버헤드 3.</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</si>
  <si>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</si>
  <si>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</si>
  <si>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</si>
  <si>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</si>
  <si>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힙 쓰러스트 0.5×3 + 데드 0.5×1 = 2.0. 직접 6세트: 레그 컬 3 · 원 레그 컬 3. 힌지(루마니안 데드)를 뺀 만큼 직접이 얇다.</t>
  </si>
  <si>
    <t>스쿼트 0.5×5 + 데드 0.5×1 + 레그 프레스 0.33×4 = 4.32. 직접 3세트(힙 쓰러스트). 복귀판 초안에 둔근 직접이 0이었던 것을 되살린 자리다.</t>
  </si>
  <si>
    <t>간접 출처 없음 — 스쿼트 · 레그 프레스의 발목 관여는 실패지점 근처까지 가지 않아 0으로 둔다. 직접 3세트(시티드 카프). 온종일 서 있는 현장 일이 가장 확실하게 채워주는 부위라 3으로 뒀다.</t>
  </si>
  <si>
    <t>당기기 5종목을 그립별로 나눠 센다 — 친업 · 랫풀다운(둘 다 뒤침) 각 0.5 · 시티드 케이블 로우(좁은 뉴트럴) 0.33 · 해머 로우 · 스미스 바벨 로우(둘 다 엎침) 각 0.2. 직접 6세트: 평일 B 인클라인 덤벨 컬 3(신선한 자리) · 일요일 프리쳐 컬 3. 늘어난 구간은 이두가 지치지 않은 평일 B에, 짧아진 구간만 당기기 뒤에 둔다.</t>
  </si>
  <si>
    <t>프레스 6종목 0.5씩 = 10. 직접 6세트: 라잉 익스텐션 3(늘어난 구간) · 케이블 푸쉬다운 3(짧아진 구간).</t>
  </si>
  <si>
    <t>컬 2종 0.33씩 = 1.98. 순수 그립(데드 · 로우 · 친업)은 규칙상 0 — 성장 자극이 아니다. 직접 6세트: 일요일 리스트 컬 손등 아래 3(굴근) · 손등 위 3(신근). 그립은 현장에서 온종일 쓰이지만 손목 굴곡 · 신전은 따로 안 나오므로 직접 종목을 남겼다.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</si>
  <si>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</si>
  <si>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</si>
  <si>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</si>
  <si>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</si>
  <si>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</si>
  <si>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</si>
  <si>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</si>
  <si>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</si>
  <si>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</si>
  <si>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</si>
  <si>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흉근 상 · 하는 한 근육이라 합산으로 판정한다. 합산 실질 23 — 천장(20)을 조금 넘는다. 현장 일이 안 채우는 부위라 의도한 초과이나, 세트 질이 떨어지면 딥스부터 뺀다.</t>
  </si>
  <si>
    <t>· 기립근 3.0 · 승모(상부) 1.5 · 종아리 3.0 — 전부 보정 '높음'이라 의도된 낮음이다. 손대지 않는다.</t>
  </si>
  <si>
    <t>· 햄스트링 8.0 · 전완 8.0 · 내전근 5.0 — 하한 근처다. 유지는 되나 성장 여지는 없는 자리다.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</si>
  <si>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</si>
  <si>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</si>
  <si>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</si>
  <si>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</si>
  <si>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</si>
  <si>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</si>
  <si>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</si>
  <si>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</si>
  <si>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</si>
  <si>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</si>
  <si>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</si>
  <si>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</si>
  <si>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</si>
  <si>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</si>
  <si>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</si>
  <si>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</si>
  <si>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</si>
  <si>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</si>
  <si>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</si>
  <si>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</si>
  <si>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</si>
  <si>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</si>
  <si>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</si>
  <si>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</si>
  <si>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</si>
  <si>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</si>
  <si>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</si>
  <si>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</si>
  <si>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</si>
  <si>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</si>
  <si>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</si>
  <si>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</si>
  <si>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</si>
  <si>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</si>
  <si>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</si>
  <si>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</si>
  <si>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</si>
  <si>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</si>
  <si>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</si>
  <si>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</si>
  <si>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</si>
  <si>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</si>
  <si>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</si>
  <si>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</si>
  <si>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</si>
  <si>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</si>
  <si>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</si>
  <si>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</si>
  <si>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</si>
  <si>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</si>
  <si>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</si>
  <si>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</si>
  <si>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</si>
  <si>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</si>
  <si>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</si>
  <si>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</si>
  <si>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[2026-09-05] 6일차를 하루 미룸 — 늦게 일어나 갔더니 헬스장이 닫혀 있었다. 실제 1일차는 08-31이었으나 앱 달력 기준을 09-01로 당겨 적어 09-06이 6일차가 되게 했다(이 사이클만 11일, 다음 사이클 1일차 09-11).</t>
  </si>
  <si>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</si>
  <si>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</si>
  <si>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</si>
  <si>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</si>
  <si>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</si>
  <si>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</si>
  <si>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</si>
  <si>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</si>
  <si>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</si>
  <si>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</si>
  <si>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</si>
  <si>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</si>
  <si>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</si>
  <si>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</si>
  <si>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</si>
  <si>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</si>
  <si>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</si>
  <si>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</si>
  <si>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</si>
  <si>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</si>
  <si>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</si>
  <si>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</si>
  <si>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</si>
  <si>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</si>
  <si>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</si>
  <si>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</si>
  <si>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</si>
  <si>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phoneticPr fontId="32" type="noConversion"/>
  </si>
  <si>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</si>
  <si>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phoneticPr fontId="32" type="noConversion"/>
  </si>
  <si>
    <t>· 머신 레터럴 레이즈 마지막 세트에도 드롭 2단, +60초 (사용자 선택, 2026-09-07 추가). 측면 두 번째 자리 — 2일차 레터럴과 이틀 간격이지만 측면은 회복이 빠르다. 4일차 드롭은 둘, 약 73분.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</si>
  <si>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phoneticPr fontId="32" type="noConversion"/>
  </si>
  <si>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phoneticPr fontId="32" type="noConversion"/>
  </si>
  <si>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</si>
  <si>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phoneticPr fontId="32" type="noConversion"/>
  </si>
  <si>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phoneticPr fontId="32" type="noConversion"/>
  </si>
  <si>
    <t>· 세트 수·예산(244)은 그대로다. 드롭은 같은 세트의 연장이지 새 세트가 아니다. 시간만 O열 '드롭(초)'로 얹혀 세션이 +1~4분. 증량 판정은 드롭이 없는 앞 세트로만 한다.</t>
    <phoneticPr fontId="32" type="noConversion"/>
  </si>
  <si>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phoneticPr fontId="32" type="noConversion"/>
  </si>
  <si>
    <t>랫풀다운 3세트/ 그립 변경 3세트 추가</t>
    <phoneticPr fontId="32" type="noConversion"/>
  </si>
  <si>
    <t>시티드 로우 3세트/ 그립 변경 3세트 추가</t>
    <phoneticPr fontId="32" type="noConversion"/>
  </si>
  <si>
    <t>메인: 스쿼트</t>
    <phoneticPr fontId="32" type="noConversion"/>
  </si>
  <si>
    <t>중량(Kg)</t>
    <phoneticPr fontId="32" type="noConversion"/>
  </si>
  <si>
    <t>반복</t>
    <phoneticPr fontId="32" type="noConversion"/>
  </si>
  <si>
    <t>세트</t>
    <phoneticPr fontId="32" type="noConversion"/>
  </si>
  <si>
    <t>↑ '시작중량_설정'과 자동 연동. 20 = 빈 봉. '생략'은 앞 세트와 중량이 겹쳐 불필요하다는 뜻.</t>
    <phoneticPr fontId="32" type="noConversion"/>
  </si>
  <si>
    <t>메인: 스미스 오버헤드 프레스</t>
    <phoneticPr fontId="32" type="noConversion"/>
  </si>
  <si>
    <t>↑ '시작중량_설정'과 자동 연동. 20 = 빈 봉. '생략'은 앞 세트와 중량이 겹쳐 불필요하다는 뜻. 스쿼트 뒤라 하체는 데워져 있지만 어깨 궤도는 처음이므로 램프를 줄이지 않는다.</t>
    <phoneticPr fontId="32" type="noConversion"/>
  </si>
  <si>
    <t>복귀판에 내전근이 통째로 비어 있었다. 재택에서 실질 10세트로 올려둔 부위라 되살린다. 더블 프로그레션 — 전 세트가 목표 반복 상단에 닿으면 다음 주에 중량을 올린다 [2026-09-13 — 아우터 타이와 슈퍼세트(A)로 묶었다. 재택 3일차와 같은 방식이다. 겸용 머신이라 패드만 뒤집으면 되어 전환이 10초다. 휴식 120 → 10초는 그 전환 시간이고, 라운드 간 휴식은 아우터 쪽 120초가 맡는다. 길항근 쌍이라 서로의 피로를 나눠 갖지 않으며, 각 근육 입장에서는 자기 세트 간격이 오히려 170초로 늘어난다]</t>
    <phoneticPr fontId="32" type="noConversion"/>
  </si>
  <si>
    <t>메인: 데드리프트</t>
    <phoneticPr fontId="32" type="noConversion"/>
  </si>
  <si>
    <t>↑ '시작중량_설정'과 자동 연동. 20 = 빈 봉. '생략'은 앞 세트와 중량이 겹쳐 불필요하다는 뜻. 본세트가 1세트라 램프가 그날 데드의 대부분이다 — 90% 세트를 건너뛰지 않는다.</t>
    <phoneticPr fontId="32" type="noConversion"/>
  </si>
  <si>
    <t>메인: 벤치프레스</t>
    <phoneticPr fontId="32" type="noConversion"/>
  </si>
  <si>
    <t>웜업 (세트 카운트 제외)</t>
    <phoneticPr fontId="32" type="noConversion"/>
  </si>
  <si>
    <t>· 이 날은 증량을 추적하는 메인 리프트가 없다. 첫 종목(머신 숄더 프레스) 작업중량의 50%로 10회 · 75%로 5회, 두 세트면 램프가 끝난다.</t>
    <phoneticPr fontId="32" type="noConversion"/>
  </si>
  <si>
    <t>· 케이블 외회전 2세트 × 12~15회를 아주 가볍게(2.5~5kg) 먼저 넣는다 — 뒤에 어깨 고립이 11세트 이어진다.</t>
    <phoneticPr fontId="32" type="noConversion"/>
  </si>
  <si>
    <t>· 둘 다 근비대가 아니라 관절 준비 항목이므로 세트 합계에 넣지 않는다.</t>
    <phoneticPr fontId="32" type="noConversion"/>
  </si>
  <si>
    <t>드롭(초)</t>
    <phoneticPr fontId="32" type="noConversion"/>
  </si>
  <si>
    <t>짧아진 구간 — 라잉과 각도를 나눈다. 더블 프로그레션 — 전 세트가 목표 반복 상단에 닿으면 다음 주에 중량을 올린다 [2026-09-13 마지막 세트 드롭 2단 — 실패 뒤 쉬지 않고 20~30% 내려 두 번. 그날 마지막 종목이라 뒤에 남는 것이 없다. 세트 수 그대로, 증량 판정은 앞 세트로만. +60초는 N열]</t>
    <phoneticPr fontId="32" type="noConversion"/>
  </si>
  <si>
    <t>드롭 세트 (2026-09-13)</t>
  </si>
  <si>
    <t>· N열 '드롭(초)'는 마지막 세트에 더해지는 시간이다. I열 종목 분에 합산되고, 앱 타이머는 마지막 세트를 그만큼 늘린 뒤 '드롭세트'라고 읊는다. E열 세트 수와 복귀_세트검산은 건드리지 않는다.</t>
  </si>
  <si>
    <t>간접 자극이 0인 부위 — 직접 세트로만 채워진다. 더블 프로그레션 — 전 세트가 목표 반복 상단에 닿으면 다음 주에 중량을 올린다 [2026-09-13 마지막 세트 드롭 2단 — 실패 뒤 쉬지 않고 20~30% 내려 두 번. 무거운 구간에서 승모가 끼면 내린 무게로 어깨만 마저 채운다. 뒤에 원암 케이블 레터럴이 4세트 남으므로 드롭은 여기 한 곳만. 세트 수 그대로, 증량 판정은 앞 세트로만. +60초는 N열]</t>
    <phoneticPr fontId="32" type="noConversion"/>
  </si>
  <si>
    <t>시티드로 하면 고관절이 굽어 햄스트링이 늘어난 구간에서 훈련된다. 더블 프로그레션 — 전 세트가 목표 반복 상단에 닿으면 다음 주에 중량을 올린다 [2026-09-13 마지막 세트 드롭 2단 — 핀 20~30% 내려 두 번. 지친 햄스트링은 수축 위치에서 쥐가 잘 나니 위에서 멈추지 말고 바로 내린다. 뒤에 크런치만 남는다. 세트 수 그대로, 증량 판정은 앞 세트로만. +75초는 N열]</t>
    <phoneticPr fontId="32" type="noConversion"/>
  </si>
  <si>
    <t>· 레터럴 레이즈 +60초 · 레그 컬 +75초, 마지막 세트에 드롭 2단. 재택 2일차 · 3일차와 같은 자리다.</t>
  </si>
  <si>
    <t>· 척추 부하가 0인 세션이라 드롭을 얹어도 다음날 근무에 남는 것이 없다. 다만 8시간 평일이 하루뿐인 주에는 이 세션 자체를 빼는 자리이므로 드롭도 같이 빠진다.</t>
  </si>
  <si>
    <t>사두 고립. 척추 부하 없이 볼륨만 더한다. 더블 프로그레션 — 전 세트가 목표 반복 상단에 닿으면 다음 주에 중량을 올린다 [2026-09-13 마지막 세트 드롭 2단 — 재택 8일차와 같은 자리다. 레그 프레스(복합)가 앞, 익스텐션(고립)이 뒤라 순서는 이미 맞다. 드롭 뒤 남는 하체는 햄스트링 · 내전근 · 중둔근 · 종아리라 사두와 겹치지 않는다. 세트 수 그대로, 증량 판정은 앞 세트로만. +75초는 N열]</t>
    <phoneticPr fontId="32" type="noConversion"/>
  </si>
  <si>
    <t>어깨 보조. 평일 B의 케이블 리버스 플라이와 저항곡선이 갈린다 — 머신은 수축 끝단, 케이블은 전 구간에 장력이 걸린다. 더블 프로그레션 — 전 세트가 목표 반복 상단에 닿으면 다음 주에 중량을 올린다 [2026-09-13 마지막 세트 드롭 2단 — 핀 20~30% 내려 두 번. 팔을 편 채로 견갑이 아니라 후면 삼각만 쓴다. 세트 수 그대로, 증량 판정은 앞 세트로만. +60초는 N열]</t>
    <phoneticPr fontId="32" type="noConversion"/>
  </si>
  <si>
    <t>어깨 보조. 평일 B와 합쳐 측면 삼각근을 주 10세트로 맞춘다 — 간접 자극이 0인 부위라 직접 세트로만 채워진다. 더블 프로그레션 — 전 세트가 목표 반복 상단에 닿으면 다음 주에 중량을 올린다 [2026-09-13 마지막 세트 드롭 2단 — 그날 마지막 종목이다. 덤벨이면 한 단계 가벼운 것으로 바로 옮겨 두 번. 세트 수 그대로, 증량 판정은 앞 세트로만. +60초는 N열]</t>
    <phoneticPr fontId="32" type="noConversion"/>
  </si>
  <si>
    <t>· 레그 익스텐션 +75초 · 리버스 펙덱 +60초 · 레터럴 +60초, 마지막 세트에 드롭 2단. 재택 8일차 · 2일차와 같은 자리다.</t>
  </si>
  <si>
    <t>· 셋이 몰려 이 날이 3분쯤 더 길어진다. 줄여야 하면 레터럴 드롭부터 뺀다 — 측면 삼각은 평일 B에 7세트가 더 있다.</t>
  </si>
  <si>
    <t>· 이너 · 아우터 타이에는 드롭을 걸지 않는다. 슈퍼세트라 한쪽만 길어지면 라운드가 어긋난다.</t>
  </si>
  <si>
    <t>복귀판에 승모 중부·능형근 직접이 0이었다. 로우 간접만으로는 안 채워지는 부위. 더블 프로그레션 — 전 세트가 목표 반복 상단에 닿으면 다음 주에 중량을 올린다 [2026-09-13 마지막 세트 드롭 2단 — 재택 6일차와 같은 자리다. 핀 20~30% 내려 두 번, 반동으로 당기지 말고 견갑만 모은다. 세트 수 그대로, 증량 판정은 앞 세트로만. +60초는 N열]</t>
    <phoneticPr fontId="32" type="noConversion"/>
  </si>
  <si>
    <t>가슴 보조 둘째. 당기기 뒤라 프레싱은 못 하지만 플라이는 어깨·삼두를 안 쓰므로 들어간다. 더블 프로그레션 — 전 세트가 목표 반복 상단에 닿으면 다음 주에 중량을 올린다 [2026-09-13 마지막 세트 드롭 2단 — 재택 7일차와 같은 자리다. 핀 20~30% 내려 두 번. 세트 수 그대로, 증량 판정은 앞 세트로만. +60초는 N열]</t>
    <phoneticPr fontId="32" type="noConversion"/>
  </si>
  <si>
    <t>짧아진 구간이라 당기기 뒤에도 값이 덜 깎인다. 늘어난 구간(인클라인 덤벨 컬)은 평일 B로 보냈다. 더블 프로그레션 — 전 세트가 목표 반복 상단에 닿으면 다음 주에 중량을 올린다 [2026-09-13 마지막 세트 드롭 2단 — 재택 6일차와 같은 자리다. 뒤에 리스트 컬 2종이 남지만 손목 굴곡 · 신전은 이두와 다른 근육이라 값이 덜 깎인다. 세트 수 그대로, 증량 판정은 앞 세트로만. +60초는 N열]</t>
    <phoneticPr fontId="32" type="noConversion"/>
  </si>
  <si>
    <t>· 완전 휴무일이고 다음날이 비어 있어 드롭 셋을 얹기에 가장 안전한 날이다. 데드 · 스미스 로우에는 걸지 않는다 — 척추가 버티는 종목에서 실패 뒤 반복은 폼이 먼저 무너진다.</t>
  </si>
  <si>
    <t>수직 당기기. 머신이라 척추 부하가 없다. 더블 프로그레션 — 전 세트가 목표 반복 상단에 닿으면 다음 주에 중량을 올린다 [2026-09-13 마지막 세트 드롭 2단 — 재택은 원암 랫풀다운에 걸지만 복귀판엔 양팔뿐이라 이쪽에 건다. 핀 20~30% 내려 쉬지 않고 두 번. 실패 뒤 상체를 뒤로 눕혀 반동으로 당기지 말 것 — 내린 무게로 광배만 마저 쓴다. 세트 수 그대로, 증량 판정은 앞 세트로만. +60초는 N열]</t>
    <phoneticPr fontId="32" type="noConversion"/>
  </si>
  <si>
    <t>· 랫풀다운 +60초 · 케이블 푸쉬다운 +60초, 마지막 세트에 드롭 2단. 20~30%씩 내려 쉬지 않고 두 번, 세 번째부터는 피로만 쌓인다.</t>
    <phoneticPr fontId="32" type="noConversion"/>
  </si>
  <si>
    <t>· 재택은 원암 랫풀다운 · 원암 케이블 로우에 거는데 복귀판엔 양팔 버전뿐이라 이쪽에 건다 — 좌우를 따로 돌 필요가 없어 +60초면 끝난다(원암은 120초).</t>
    <phoneticPr fontId="32" type="noConversion"/>
  </si>
  <si>
    <t>수평 당기기 보강. 스미스 로우와 그립·각도를 다르게 잡는다. 더블 프로그레션 — 전 세트가 목표 반복 상단에 닿으면 다음 주에 중량을 올린다 [2026-09-13 마지막 세트 드롭 2단 — 재택은 원암 케이블 로우에 걸지만 복귀판엔 양팔뿐이라 이쪽에 건다. 핀 20~30% 내려 두 번. 앞에 데드 · 스미스 로우가 있으니 실패 뒤 허리로 당기지 말고 상체 각을 고정한 채 팔꿈치만 뒤로 보낸다. 뒤에 친업 3세트가 남으므로 그립이 타면 주저 말고 어시스트 머신으로. 세트 수 그대로. +60초는 N열]</t>
    <phoneticPr fontId="32" type="noConversion"/>
  </si>
  <si>
    <t>· 시티드 케이블 로우 · 스캡 슈러그 · 디클라인 케이블 플라이 · 프리쳐 컬 마지막 세트에 드롭 2단, 각 +60초. 재택 6일차 · 7일차와 같은 자리이고, 로우만 원암 대신 양팔에 건다.</t>
    <phoneticPr fontId="32" type="noConversion"/>
  </si>
  <si>
    <t>· 웜업은 작업중량의 40 / 60 / 75 / 90%로 자동 계산되며 1kg 단위로 반올림된다.</t>
    <phoneticPr fontId="32" type="noConversion"/>
  </si>
  <si>
    <t>· 벤치 주 1kg가 다 채워지면 1년에 52kg이다. 절반만 채워도 복귀 전보다 위에 있다.</t>
    <phoneticPr fontId="32" type="noConversion"/>
  </si>
  <si>
    <t>[사이클 칸은 2주에 한 번 올린다 — 2026-09-13]</t>
  </si>
  <si>
    <t>· 중량은 '시작중량_설정' C4의 사이클 번호가 정한다. 재택은 10일 주기라 사이클마다 한 칸이지만, 복귀는 주 4회 · 주 단위라 같은 속도로 올리면 설계의 두 배가 된다.</t>
  </si>
  <si>
    <t>· 올리기 전에 그 2주의 결과를 증량기록에 먼저 적는다. 목표 반복을 못 채운 리프트는 X를 넣어 그 칸만 유지시킨다 — 네 리프트가 한 칸을 공유하므로 이것이 유일하게 따로 세우는 방법이다.</t>
  </si>
  <si>
    <t>미는 종목 1순위. 현장 일이 가슴을 안 건드리므로 매주 선형으로 올린다 (주 +1kg · 사이클 칸은 2주에 한 번)</t>
    <phoneticPr fontId="32" type="noConversion"/>
  </si>
  <si>
    <t>미는 종목 2순위. 성장 목표로 바꾸면서 3×5 → 5×5로 되돌렸다 (주 +2.5kg · 사이클 칸은 2주에 한 번)</t>
    <phoneticPr fontId="32" type="noConversion"/>
  </si>
  <si>
    <t>증량을 추적하는 리프트라 하체 볼륨 앞에 둔다. 궤도가 고정돼 스쿼트 뒤에도 안정화 부담이 없다 (주 +0.5kg · 사이클 칸은 2주에 한 번)</t>
    <phoneticPr fontId="32" type="noConversion"/>
  </si>
  <si>
    <t>지키는 종목. 허리는 현장 일과 직접 경쟁하므로 첫 4주는 1×5로 두고 지표만 본다 (주 +2.5kg · 사이클 칸은 2주에 한 번)</t>
    <phoneticPr fontId="32" type="noConversion"/>
  </si>
  <si>
    <t>■ 주간 총량 예산 — 늘리려면 먼저 어딘가에서 빼라</t>
    <phoneticPr fontId="32" type="noConversion"/>
  </si>
  <si>
    <t>최초 설정 — 오늘 실측 132에 여유 4. 설계 문서(복귀_증량원칙)는 120인데 실제가 132로 흘러 있었다. 되돌리지 않고 지금 값에서 잠근다</t>
  </si>
  <si>
    <t>· 복귀판은 주 단위라 이 표의 숫자가 곧 주간 세트다. H2는 7로 고정이고 J3(실제 주당)은 현재 총량과 같은 값이 나온다.</t>
  </si>
  <si>
    <t>· 판정 열의 '보완 필요'는 정보이지 지시가 아니다. 하한 미달이 그 자체로 증액 근거가 되지 못한다.</t>
  </si>
  <si>
    <t>· 현장 일 보정이 '높음'인 부위(광배 · 승모 상부 · 기립근 · 대퇴사두 · 종아리 · 전완)는 판정이 낮아도 현장 일이 채우는 자리다. 예산을 여기에 쓰지 않는다.</t>
  </si>
  <si>
    <t>· 상한을 올리는 것은 자유지만 위 이력에 한 줄 남긴다 — 근거와 무엇을 뺐는지까지.</t>
  </si>
  <si>
    <t>1kg 원판 × 2 = 봉 전체 2kg. 작은 원판이 2.5 · 1 · 0.5kg 각 2개뿐이라 1.125kg 마이크로플레이트를 전제한 2.25는 만들 수 없었다</t>
    <phoneticPr fontId="32" type="noConversion"/>
  </si>
  <si>
    <t>가장 작은 근육군. 0.5kg 원판 × 2 = 봉 전체 1kg이 최소 증량 단위다. 5로 나눈 나머지가 4인 값(24 · 29 …)은 건너뛰고 1kg 올라간다</t>
    <phoneticPr fontId="32" type="noConversion"/>
  </si>
  <si>
    <t>· 1kg 단위인 이유 — 헬스장 작은 원판이 2.5kg · 1kg · 0.5kg 각 2개뿐이다. 한쪽에 하나씩만 쓸 수 있으므로 한쪽에 만들 수 있는 끝수는 0 / 0.5 / 1 / 1.5 / 2.5 / 3 / 3.5 / 4 뿐이다.</t>
    <phoneticPr fontId="32" type="noConversion"/>
  </si>
  <si>
    <t>· 그래서 총 중량이 5로 나눈 나머지 4(24 · 29 · 34 · 39 · 44 …)면 끼울 수 없다. 표와 웜업은 그런 값이 나오면 자동으로 1kg 올린다 — 내리면 증량 폭이 1kg인 프레스가 같은 자리에 갇힌다.</t>
    <phoneticPr fontId="32" type="noConversion"/>
  </si>
  <si>
    <t>· 2026-09-13 이전 표는 2.5kg 격자(한쪽 1.25kg)였다. 37.5 · 57.5 · 31.5처럼 한쪽에 .75 또는 .25kg이 필요한 값이라 48칸 중 45칸이 실제로는 못 끼우는 숫자였고 매번 반올림해 왔다.</t>
  </si>
  <si>
    <t>하체 2.5 / 벤치 약 1.2 / 프레스 약 0.6 (주당)</t>
    <phoneticPr fontId="32" type="noConversion"/>
  </si>
  <si>
    <t>작은 원판이 2.5 · 1 · 0.5kg 각 2개뿐이라 봉 전체 1kg이 최소 단위다. 사이클 칸을 2주에 한 번 올리면 이 폭이 나온다</t>
    <phoneticPr fontId="32" type="noConversion"/>
  </si>
  <si>
    <t>· 복귀 중에는 2주에 한 칸. 그러면 스쿼트 · 데드 주 +2.5kg · 벤치 주 약 +1.2kg · 프레스 주 약 +0.6kg — 이 시트가 설계한 폭(2.5 / 1.125 / 1.25)에 가장 가까운, 실제로 끼울 수 있는 값이다.</t>
    <phoneticPr fontId="32" type="noConversion"/>
  </si>
  <si>
    <t>· 5사이클은 2026-09-01에 시작했다. 다음 칸(6사이클 — 스쿼트 62 · 데드 67 · 벤치 35 · 프레스 26)은 9월 중순이다.</t>
    <phoneticPr fontId="32" type="noConversion"/>
  </si>
  <si>
    <t>· 폭이 이 값인 이유 — 벤치 주 1.125kg · 프레스 1.25kg은 한쪽 0.5625 · 0.625kg이라 만들 수 없다. 0.5kg 원판이 한쪽 하나씩뿐이므로 봉 전체 1kg이 바닥이고, 그 아래로는 중량이 아니라 반복으로 진행을 잰다.</t>
    <phoneticPr fontId="32" type="noConversion"/>
  </si>
  <si>
    <t>· 사다리는 못 끼우는 값(5로 나눈 나머지 4)을 자동으로 1kg 올린다. 그래서 칸마다 폭이 +2가 되기도 +3이 되기도 한다 — 평균이 설계 폭이고, 표에 적힌 숫자는 전부 그대로 끼울 수 있는 값이다.</t>
  </si>
  <si>
    <t>관상면 외전. [2026-09-13 신설 — 이너 타이와의 슈퍼세트(A)로 들어왔다. 복귀판 중둔근은 직접이 평일 B 케이블 힙 외전 3세트뿐으로 프로그램 최하위(실질 3.0)였다. 여기 5세트로 직접 8 = 유지 하한에 닿는다. 평일 B 케이블 힙 외전은 그대로 둔다 — 앉아서 고관절 굽힌 채(여기)와 서서 편 채(평일 B)는 각도가 다르다. 반드시 양측 동시 머신으로 — 케이블 좌우 버전은 수행 80초라 40초짜리 이너와 라운드가 안 맞는다. 슈퍼세트라 5세트를 더해도 세션은 6분만 길어진다. 이너가 4세트라 마지막 라운드는 아우터 혼자 돈다]</t>
    <phoneticPr fontId="32" type="noConversion"/>
  </si>
  <si>
    <t>간접 출처 없음 — 스쿼트 · 레그 프레스는 양측 지지라 계수가 없다. 직접 8세트: 토요일 아우터 타이 5(2026-09-13 신설, 이너 타이와 슈퍼세트) · 평일 B 케이블 힙 외전 3. 앉아서 굽힌 채와 서서 편 채로 각도를 나눴다. 현장 일의 한 다리 지지 이동이 나머지를 채운다.</t>
    <phoneticPr fontId="32" type="noConversion"/>
  </si>
  <si>
    <t>· 중둔근 3.0 → 8.0 — 2026-09-13에 토요일 아우터 타이를 이너 타이와 슈퍼세트로 넣고 5세트로 올렸다. 유지 하한에 닿았다. 프로그램 최하위였던 자리이고, 슈퍼세트라 5세트 값이 6분이다.</t>
    <phoneticPr fontId="32" type="noConversion"/>
  </si>
  <si>
    <t>[평일 B를 빼는 주 — 어깨 축약분]</t>
  </si>
  <si>
    <t>· 8시간 평일이 하루뿐인 주에는 평일 B가 빠진다. 그 주에는 이 세션 맨 뒤에 두 종목을 얹는다 — 레터럴 레이즈 3세트(8~10kg · 12~15회 · 수행 40초 · 휴식 60초) · 케이블 리버스 플라이 3세트(5~7kg · 12~15회 · 수행 40초 · 휴식 60초).</t>
  </si>
  <si>
    <t>· 이 6세트만 얹는 이유 — 평일 B가 빠지면 측면 삼각이 12 → 4, 후면 삼각이 10 → 3으로 내려앉는다. 둘 다 현장 일 보정이 '없음'인 부위라 빠진 만큼이 그대로 손실이다. 반대로 광배 · 승모 중부 · 대퇴사두는 평일 B에 한 세트도 없어 아무 영향이 없다.</t>
  </si>
  <si>
    <t>· 이두 3 · 둔근 3 · 복부 3도 같이 빠지지만 얹지 않는다. 이두는 일요일 프리쳐 컬 3세트가 남고, 둔근은 스쿼트 · 데드의 간접이 4.5를 채운다. 복부 3세트는 한 주 비워도 되는 자리다.</t>
  </si>
  <si>
    <t>· 그 주의 평일 A는 34세트 · 약 86분이 된다. 평상시(28 · 80분)보다 길지만 그 주는 주 3회라 총량이 이미 35세트 줄어 있다. 근무 뒤 세션이므로 축약분은 맨 뒤에 두고, 시간이 없으면 레터럴부터 한다 — 측면 삼각이 잃는 양이 더 크다.</t>
  </si>
  <si>
    <t>· 축약분은 세트검산과 총량 예산에 넣지 않는다. 평상시 배치가 아니라 그 주에만 쓰는 대체분이다.</t>
  </si>
  <si>
    <t>· 다만 뺀 주에는 측면 삼각이 12 → 4, 후면 삼각이 10 → 3으로 내려앉는다. 둘 다 현장 일이 안 채워주는 부위다. 그래서 빼는 주에는 평일 A 뒤에 레터럴 3 + 케이블 리버스 플라이 3을 얹는다 — 복귀_평일A_가슴 시트 아래 [평일 B를 빼는 주 — 어깨 축약분] 참조.</t>
    <phoneticPr fontId="32" type="noConversion"/>
  </si>
  <si>
    <t>· 2주 연속으로 빼지는 않는다. 빼는 주는 증량기록 메모에 적어 둔다 — 연속인지가 기억이 아니라 기록으로 보여야 지켜진다.</t>
  </si>
  <si>
    <t>· 1순위 — 평일 B 전체. 메인 리프트가 없는 유일한 세션이라 주 3회로 떨어뜨리는 가장 싼 방법이다. 단 빼는 주에는 평일 A 뒤에 레터럴 3 + 케이블 리버스 플라이 3을 얹는다 — 어깨 세 갈래와 이두가 전부 이 세션에 있고 넷 다 현장 일이 안 채워주는 부위다. 싼 것은 메인 리프트를 안 잃는다는 뜻이고, 어깨까지 공짜라는 뜻은 아니다.</t>
    <phoneticPr fontId="32" type="noConversion"/>
  </si>
  <si>
    <t>· 12시간이 월·수 / 월·목 / 화·목으로 걸리는 주에는 다음날 회피까지 감안하면 8시간인 평일이 하루뿐이다. 그 주는 3회로 간다 — 평일 B를 뺀다. 그 주에는 평일 A 뒤에 레터럴 3 + 케이블 리버스 플라이 3을 얹어 어깨 손실만 메운다 (복귀_평일A_가슴 시트 아래 [평일 B를 빼는 주 — 어깨 축약분]).</t>
    <phoneticPr fontId="32" type="noConversion"/>
  </si>
  <si>
    <t>복귀 운용 — 날짜로 자동 계산 (2026-09-13 신설)</t>
  </si>
  <si>
    <t>복귀 시작일</t>
  </si>
  <si>
    <t>← 복귀 1주차가 시작된 월요일. 주차는 월요일에 넘어간다</t>
  </si>
  <si>
    <t>복귀 시작 사이클</t>
  </si>
  <si>
    <t>← 그 주에 쓰고 있던 사이클 번호</t>
  </si>
  <si>
    <t>사이클 전진(주)</t>
  </si>
  <si>
    <t>← 몇 주마다 사이클을 한 칸 올릴지. 복귀는 2주</t>
  </si>
  <si>
    <t>· 앱 '복귀 → 달력'이 이 세 칸으로 오늘의 주차 · 사이클 · 네 리프트 중량을 계산한다. 손으로 셀 필요가 없고, 어디쯤인지 까먹어도 달력이 알려준다.</t>
  </si>
  <si>
    <t>· 디로드 주나 통째로 쉰 주가 있으면 앱 달력에서 '한 주 미루기'를 누른다 — 그 폰에만 저장되고 사이클이 그만큼 늦게 올라간다. 영구히 맞추려면 위 '복귀 시작일'을 그만큼 뒤로 미룬다.</t>
  </si>
  <si>
    <t>· 중량 자체는 증량기록 표(사이클 단위)가 그대로 정한다. 이 칸들이 정하는 것은 '오늘이 몇 번째 칸인가'뿐이다 — 표가 두 벌로 갈리지 않게 하려고 그렇게 뒀다.</t>
  </si>
  <si>
    <t>· 재택으로 돌아가면 이 칸들은 무시된다. 재택은 일차 회전을 증량기록 '날짜 (1일차)'로 따라간다.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</si>
</sst>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19">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14" fontId="0" fillId="0" borderId="0" xfId="0" applyNumberForma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4">
    <dxf>
      <fill>
        <patternFill patternType="solid">
          <fgColor rgb="FFE2EFDA"/>
        </patternFill>
      </fill>
    </dxf>
    <dxf>
      <font>
        <b/>
        <color rgb="FF9C0006"/>
      </font>
      <fill>
        <patternFill patternType="solid">
          <fgColor rgb="FFFFC7CE"/>
        </patternFill>
      </fill>
    </dxf>
    <dxf>
      <fill>
        <patternFill patternType="solid">
          <fgColor rgb="FFFFC7CE"/>
        </patternFill>
      </fill>
    </dxf>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5"/>
  <sheetViews>
    <sheetView zoomScaleNormal="100" workbookViewId="0">
      <selection activeCell="Q14" sqref="Q14"/>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91</v>
      </c>
    </row>
    <row r="4" spans="1:6" ht="15" customHeight="1">
      <c r="A4" s="3" t="s">
        <v>92</v>
      </c>
      <c r="C4" s="4">
        <v>6</v>
      </c>
      <c r="D4" s="2" t="s">
        <v>93</v>
      </c>
    </row>
    <row r="6" spans="1:6" ht="15" customHeight="1">
      <c r="A6" s="5" t="s">
        <v>4</v>
      </c>
      <c r="B6" s="6" t="s">
        <v>94</v>
      </c>
      <c r="C6" s="5" t="s">
        <v>95</v>
      </c>
      <c r="D6" s="5" t="s">
        <v>96</v>
      </c>
      <c r="E6" s="5" t="s">
        <v>97</v>
      </c>
      <c r="F6" s="5" t="s">
        <v>98</v>
      </c>
    </row>
    <row r="7" spans="1:6" ht="15" customHeight="1">
      <c r="A7" s="7" t="s">
        <v>99</v>
      </c>
      <c r="B7" s="7">
        <v>92.5</v>
      </c>
      <c r="C7" s="8">
        <f>MAX(20,(MROUND(B7*0.4,1)+(MOD(MROUND(B7*0.4,1),5)=4)))</f>
        <v>37</v>
      </c>
      <c r="D7" s="4">
        <v>37</v>
      </c>
      <c r="E7" s="9">
        <f>INDEX(증량기록!$C$10:$C$21,$C$4)</f>
        <v>62</v>
      </c>
      <c r="F7" s="8" t="s">
        <v>100</v>
      </c>
    </row>
    <row r="8" spans="1:6" ht="15" customHeight="1">
      <c r="A8" s="7" t="s">
        <v>101</v>
      </c>
      <c r="B8" s="7">
        <v>105</v>
      </c>
      <c r="C8" s="8">
        <f>MAX(20,(MROUND(B8*0.4,1)+(MOD(MROUND(B8*0.4,1),5)=4)))</f>
        <v>42</v>
      </c>
      <c r="D8" s="4">
        <v>42</v>
      </c>
      <c r="E8" s="9">
        <f>INDEX(증량기록!$E$10:$E$21,$C$4)</f>
        <v>67</v>
      </c>
      <c r="F8" s="8" t="s">
        <v>102</v>
      </c>
    </row>
    <row r="9" spans="1:6" ht="15" customHeight="1">
      <c r="A9" s="7" t="s">
        <v>103</v>
      </c>
      <c r="B9" s="7">
        <v>47.25</v>
      </c>
      <c r="C9" s="8">
        <f>MAX(20,(MROUND(B9*0.4,1)+(MOD(MROUND(B9*0.4,1),5)=4)))</f>
        <v>20</v>
      </c>
      <c r="D9" s="4">
        <v>23</v>
      </c>
      <c r="E9" s="9">
        <f>INDEX(증량기록!$G$10:$G$21,$C$4)</f>
        <v>35</v>
      </c>
      <c r="F9" s="8" t="s">
        <v>100</v>
      </c>
    </row>
    <row r="10" spans="1:6" ht="15" customHeight="1">
      <c r="A10" s="7" t="s">
        <v>104</v>
      </c>
      <c r="B10" s="7">
        <v>40</v>
      </c>
      <c r="C10" s="8">
        <f>MAX(20,(MROUND(B10*0.4,1)+(MOD(MROUND(B10*0.4,1),5)=4)))</f>
        <v>20</v>
      </c>
      <c r="D10" s="4">
        <v>20</v>
      </c>
      <c r="E10" s="9">
        <f>INDEX(증량기록!$I$10:$I$21,$C$4)</f>
        <v>26</v>
      </c>
      <c r="F10" s="8" t="s">
        <v>105</v>
      </c>
    </row>
    <row r="11" spans="1:6" ht="15" customHeight="1">
      <c r="D11" s="10" t="s">
        <v>106</v>
      </c>
    </row>
    <row r="12" spans="1:6" ht="15" customHeight="1">
      <c r="A12" s="11"/>
    </row>
    <row r="13" spans="1:6" ht="32.25" customHeight="1">
      <c r="A13" s="12" t="s">
        <v>107</v>
      </c>
    </row>
    <row r="14" spans="1:6" ht="51.75" customHeight="1">
      <c r="A14" s="11" t="s">
        <v>108</v>
      </c>
    </row>
    <row r="15" spans="1:6" ht="51.75" customHeight="1">
      <c r="A15" s="11" t="s">
        <v>109</v>
      </c>
    </row>
    <row r="16" spans="1:6" ht="64.5" customHeight="1">
      <c r="A16" s="11" t="s">
        <v>110</v>
      </c>
    </row>
    <row r="17" spans="1:1" ht="51.75" customHeight="1">
      <c r="A17" s="11" t="s">
        <v>111</v>
      </c>
    </row>
    <row r="18" spans="1:1" ht="51.75" customHeight="1">
      <c r="A18" s="11"/>
    </row>
    <row r="19" spans="1:1" ht="15" customHeight="1">
      <c r="A19" s="12" t="s">
        <v>112</v>
      </c>
    </row>
    <row r="20" spans="1:1" ht="77.25" customHeight="1">
      <c r="A20" s="11" t="s">
        <v>113</v>
      </c>
    </row>
    <row r="21" spans="1:1" ht="51.75" customHeight="1">
      <c r="A21" s="11" t="s">
        <v>114</v>
      </c>
    </row>
    <row r="22" spans="1:1" ht="15" customHeight="1">
      <c r="A22" s="11" t="s">
        <v>115</v>
      </c>
    </row>
    <row r="23" spans="1:1" ht="16.5" customHeight="1">
      <c r="A23" s="11" t="s">
        <v>116</v>
      </c>
    </row>
    <row r="24" spans="1:1" ht="51.75" customHeight="1">
      <c r="A24" s="11" t="s">
        <v>117</v>
      </c>
    </row>
    <row r="25" spans="1:1" ht="39" customHeight="1">
      <c r="A25" s="11"/>
    </row>
    <row r="26" spans="1:1" ht="64.5" customHeight="1">
      <c r="A26" s="11" t="s">
        <v>118</v>
      </c>
    </row>
    <row r="27" spans="1:1" ht="15" customHeight="1">
      <c r="A27" s="11" t="s">
        <v>119</v>
      </c>
    </row>
    <row r="28" spans="1:1" ht="60" customHeight="1">
      <c r="A28" s="11"/>
    </row>
    <row r="29" spans="1:1" ht="51.75" customHeight="1">
      <c r="A29" s="13" t="s">
        <v>120</v>
      </c>
    </row>
    <row r="30" spans="1:1" ht="51.75" customHeight="1">
      <c r="A30" s="11" t="s">
        <v>121</v>
      </c>
    </row>
    <row r="31" spans="1:1" ht="64.5" customHeight="1">
      <c r="A31" s="11" t="s">
        <v>122</v>
      </c>
    </row>
    <row r="32" spans="1:1" ht="64.5" customHeight="1">
      <c r="A32" s="11" t="s">
        <v>123</v>
      </c>
    </row>
    <row r="33" spans="1:5" ht="15" customHeight="1">
      <c r="A33" s="11"/>
    </row>
    <row r="34" spans="1:5" ht="51.75" customHeight="1">
      <c r="A34" s="11" t="s">
        <v>1171</v>
      </c>
    </row>
    <row r="35" spans="1:5" ht="64.5" customHeight="1">
      <c r="A35" s="11" t="s">
        <v>124</v>
      </c>
    </row>
    <row r="36" spans="1:5" ht="26.25" customHeight="1">
      <c r="A36" s="11" t="s">
        <v>125</v>
      </c>
    </row>
    <row r="37" spans="1:5" ht="26.25" customHeight="1">
      <c r="A37" s="11" t="s">
        <v>1188</v>
      </c>
    </row>
    <row r="38" spans="1:5" ht="26.25" customHeight="1">
      <c r="A38" s="11" t="s">
        <v>1189</v>
      </c>
    </row>
    <row r="39" spans="1:5" ht="26.25" customHeight="1">
      <c r="A39" s="11" t="s">
        <v>1190</v>
      </c>
    </row>
    <row r="41" spans="1:5" ht="16.5" customHeight="1">
      <c r="A41" s="14" t="s">
        <v>126</v>
      </c>
    </row>
    <row r="42" spans="1:5" ht="15" customHeight="1">
      <c r="A42" s="5" t="s">
        <v>127</v>
      </c>
      <c r="B42" s="5" t="s">
        <v>99</v>
      </c>
      <c r="C42" s="5" t="s">
        <v>101</v>
      </c>
      <c r="D42" s="5" t="s">
        <v>103</v>
      </c>
      <c r="E42" s="5" t="s">
        <v>104</v>
      </c>
    </row>
    <row r="43" spans="1:5" ht="15" customHeight="1">
      <c r="A43" s="15" t="s">
        <v>128</v>
      </c>
      <c r="B43" s="9">
        <f>증량기록!C10</f>
        <v>37</v>
      </c>
      <c r="C43" s="9">
        <f>증량기록!E10</f>
        <v>42</v>
      </c>
      <c r="D43" s="9">
        <f>증량기록!G10</f>
        <v>23</v>
      </c>
      <c r="E43" s="9">
        <f>증량기록!I10</f>
        <v>20</v>
      </c>
    </row>
    <row r="44" spans="1:5" ht="15" customHeight="1">
      <c r="A44" s="8" t="s">
        <v>129</v>
      </c>
      <c r="B44" s="16">
        <f>증량기록!C11</f>
        <v>42</v>
      </c>
      <c r="C44" s="16">
        <f>증량기록!E11</f>
        <v>47</v>
      </c>
      <c r="D44" s="16">
        <f>증량기록!G11</f>
        <v>25</v>
      </c>
      <c r="E44" s="16">
        <f>증량기록!I11</f>
        <v>21</v>
      </c>
    </row>
    <row r="45" spans="1:5" ht="15" customHeight="1">
      <c r="A45" s="8" t="s">
        <v>130</v>
      </c>
      <c r="B45" s="16">
        <f>증량기록!C12</f>
        <v>47</v>
      </c>
      <c r="C45" s="16">
        <f>증량기록!E12</f>
        <v>52</v>
      </c>
      <c r="D45" s="16">
        <f>증량기록!G12</f>
        <v>27</v>
      </c>
      <c r="E45" s="16">
        <f>증량기록!I12</f>
        <v>22</v>
      </c>
    </row>
    <row r="46" spans="1:5" ht="15" customHeight="1">
      <c r="A46" s="8" t="s">
        <v>131</v>
      </c>
      <c r="B46" s="16">
        <f>증량기록!C13</f>
        <v>52</v>
      </c>
      <c r="C46" s="16">
        <f>증량기록!E13</f>
        <v>57</v>
      </c>
      <c r="D46" s="16">
        <f>증량기록!G13</f>
        <v>30</v>
      </c>
      <c r="E46" s="16">
        <f>증량기록!I13</f>
        <v>23</v>
      </c>
    </row>
    <row r="47" spans="1:5" ht="15" customHeight="1">
      <c r="A47" s="8" t="s">
        <v>132</v>
      </c>
      <c r="B47" s="16">
        <f>증량기록!C14</f>
        <v>57</v>
      </c>
      <c r="C47" s="16">
        <f>증량기록!E14</f>
        <v>62</v>
      </c>
      <c r="D47" s="16">
        <f>증량기록!G14</f>
        <v>32</v>
      </c>
      <c r="E47" s="16">
        <f>증량기록!I14</f>
        <v>25</v>
      </c>
    </row>
    <row r="48" spans="1:5" ht="15" customHeight="1">
      <c r="A48" s="8" t="s">
        <v>133</v>
      </c>
      <c r="B48" s="16">
        <f>증량기록!C15</f>
        <v>62</v>
      </c>
      <c r="C48" s="16">
        <f>증량기록!E15</f>
        <v>67</v>
      </c>
      <c r="D48" s="16">
        <f>증량기록!G15</f>
        <v>35</v>
      </c>
      <c r="E48" s="16">
        <f>증량기록!I15</f>
        <v>26</v>
      </c>
    </row>
    <row r="49" spans="1:5" ht="15" customHeight="1">
      <c r="A49" s="8" t="s">
        <v>134</v>
      </c>
      <c r="B49" s="16">
        <f>증량기록!C16</f>
        <v>67</v>
      </c>
      <c r="C49" s="16">
        <f>증량기록!E16</f>
        <v>72</v>
      </c>
      <c r="D49" s="16">
        <f>증량기록!G16</f>
        <v>37</v>
      </c>
      <c r="E49" s="16">
        <f>증량기록!I16</f>
        <v>27</v>
      </c>
    </row>
    <row r="50" spans="1:5" ht="15" customHeight="1">
      <c r="A50" s="8" t="s">
        <v>135</v>
      </c>
      <c r="B50" s="16">
        <f>증량기록!C17</f>
        <v>72</v>
      </c>
      <c r="C50" s="16">
        <f>증량기록!E17</f>
        <v>77</v>
      </c>
      <c r="D50" s="16">
        <f>증량기록!G17</f>
        <v>40</v>
      </c>
      <c r="E50" s="16">
        <f>증량기록!I17</f>
        <v>28</v>
      </c>
    </row>
    <row r="51" spans="1:5" ht="15" customHeight="1">
      <c r="A51" s="8" t="s">
        <v>136</v>
      </c>
      <c r="B51" s="16">
        <f>증량기록!C18</f>
        <v>77</v>
      </c>
      <c r="C51" s="16">
        <f>증량기록!E18</f>
        <v>82</v>
      </c>
      <c r="D51" s="16">
        <f>증량기록!G18</f>
        <v>42</v>
      </c>
      <c r="E51" s="16">
        <f>증량기록!I18</f>
        <v>30</v>
      </c>
    </row>
    <row r="52" spans="1:5" ht="15" customHeight="1">
      <c r="A52" s="8" t="s">
        <v>137</v>
      </c>
      <c r="B52" s="16">
        <f>증량기록!C19</f>
        <v>82</v>
      </c>
      <c r="C52" s="16">
        <f>증량기록!E19</f>
        <v>87</v>
      </c>
      <c r="D52" s="16">
        <f>증량기록!G19</f>
        <v>45</v>
      </c>
      <c r="E52" s="16">
        <f>증량기록!I19</f>
        <v>31</v>
      </c>
    </row>
    <row r="53" spans="1:5" ht="15" customHeight="1">
      <c r="A53" s="8" t="s">
        <v>138</v>
      </c>
      <c r="B53" s="16">
        <f>증량기록!C20</f>
        <v>87</v>
      </c>
      <c r="C53" s="16">
        <f>증량기록!E20</f>
        <v>92</v>
      </c>
      <c r="D53" s="16">
        <f>증량기록!G20</f>
        <v>47</v>
      </c>
      <c r="E53" s="16">
        <f>증량기록!I20</f>
        <v>32</v>
      </c>
    </row>
    <row r="54" spans="1:5" ht="15" customHeight="1">
      <c r="A54" s="8" t="s">
        <v>139</v>
      </c>
      <c r="B54" s="16">
        <f>증량기록!C21</f>
        <v>92</v>
      </c>
      <c r="C54" s="16">
        <f>증량기록!E21</f>
        <v>97</v>
      </c>
      <c r="D54" s="16">
        <f>증량기록!G21</f>
        <v>50</v>
      </c>
      <c r="E54" s="16">
        <f>증량기록!I21</f>
        <v>33</v>
      </c>
    </row>
    <row r="56" spans="1:5" ht="51.75" customHeight="1">
      <c r="A56" s="11" t="s">
        <v>140</v>
      </c>
    </row>
    <row r="58" spans="1:5">
      <c r="A58" t="s">
        <v>1210</v>
      </c>
    </row>
    <row r="59" spans="1:5">
      <c r="A59" t="s">
        <v>1211</v>
      </c>
      <c r="C59" s="113">
        <v>46265</v>
      </c>
      <c r="D59" t="s">
        <v>1212</v>
      </c>
    </row>
    <row r="60" spans="1:5">
      <c r="A60" t="s">
        <v>1213</v>
      </c>
      <c r="C60">
        <v>5</v>
      </c>
      <c r="D60" t="s">
        <v>1214</v>
      </c>
    </row>
    <row r="61" spans="1:5">
      <c r="A61" t="s">
        <v>1215</v>
      </c>
      <c r="C61">
        <v>2</v>
      </c>
      <c r="D61" t="s">
        <v>1216</v>
      </c>
    </row>
    <row r="62" spans="1:5">
      <c r="A62" t="s">
        <v>1217</v>
      </c>
    </row>
    <row r="63" spans="1:5">
      <c r="A63" t="s">
        <v>1218</v>
      </c>
    </row>
    <row r="64" spans="1:5">
      <c r="A64" t="s">
        <v>1219</v>
      </c>
    </row>
    <row r="65" spans="1:1">
      <c r="A65" t="s">
        <v>1220</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141</v>
      </c>
    </row>
    <row r="2" spans="1:6" ht="15" customHeight="1">
      <c r="A2" s="18" t="s">
        <v>142</v>
      </c>
    </row>
    <row r="4" spans="1:6" ht="15" customHeight="1">
      <c r="A4" s="19" t="s">
        <v>143</v>
      </c>
      <c r="B4" s="19" t="s">
        <v>144</v>
      </c>
      <c r="C4" s="19" t="s">
        <v>145</v>
      </c>
      <c r="D4" s="19" t="s">
        <v>146</v>
      </c>
      <c r="E4" s="19" t="s">
        <v>7</v>
      </c>
      <c r="F4" s="19" t="s">
        <v>147</v>
      </c>
    </row>
    <row r="5" spans="1:6" ht="15" customHeight="1">
      <c r="A5" s="20">
        <v>1</v>
      </c>
      <c r="B5" s="21" t="s">
        <v>148</v>
      </c>
      <c r="C5" s="22" t="s">
        <v>149</v>
      </c>
      <c r="D5" s="21" t="s">
        <v>150</v>
      </c>
      <c r="E5" s="20">
        <f>INDEX(D1_당기기A!$E:$E,MATCH("세트 합계",D1_당기기A!$D:$D,0))</f>
        <v>32</v>
      </c>
      <c r="F5" s="20" t="str">
        <f>"약 "&amp;INDEX(D1_당기기A!$I:$I,MATCH("세트 합계",D1_당기기A!$D:$D,0))&amp;"분"</f>
        <v>약 76분</v>
      </c>
    </row>
    <row r="6" spans="1:6" ht="15" customHeight="1">
      <c r="A6" s="20">
        <v>2</v>
      </c>
      <c r="B6" s="21" t="s">
        <v>151</v>
      </c>
      <c r="C6" s="22" t="s">
        <v>152</v>
      </c>
      <c r="D6" s="21" t="s">
        <v>1039</v>
      </c>
      <c r="E6" s="20">
        <f>INDEX(D2_밀기A!$E:$E,MATCH("세트 합계",D2_밀기A!$D:$D,0))</f>
        <v>28</v>
      </c>
      <c r="F6" s="20" t="str">
        <f>"약 "&amp;INDEX(D2_밀기A!$I:$I,MATCH("세트 합계",D2_밀기A!$D:$D,0))&amp;"분"</f>
        <v>약 71분</v>
      </c>
    </row>
    <row r="7" spans="1:6" ht="15" customHeight="1">
      <c r="A7" s="20">
        <v>3</v>
      </c>
      <c r="B7" s="21" t="s">
        <v>153</v>
      </c>
      <c r="C7" s="22" t="s">
        <v>154</v>
      </c>
      <c r="D7" s="21" t="s">
        <v>155</v>
      </c>
      <c r="E7" s="20">
        <f>INDEX(D3_하체A!$E:$E,MATCH("세트 합계",D3_하체A!$D:$D,0))</f>
        <v>26</v>
      </c>
      <c r="F7" s="20" t="str">
        <f>"약 "&amp;INDEX(D3_하체A!$I:$I,MATCH("세트 합계",D3_하체A!$D:$D,0))&amp;"분"</f>
        <v>약 71분</v>
      </c>
    </row>
    <row r="8" spans="1:6" ht="15" customHeight="1">
      <c r="A8" s="20">
        <v>4</v>
      </c>
      <c r="B8" s="21" t="s">
        <v>156</v>
      </c>
      <c r="C8" s="22" t="s">
        <v>149</v>
      </c>
      <c r="D8" s="21" t="s">
        <v>1074</v>
      </c>
      <c r="E8" s="20">
        <f>INDEX(D4_어깨팔A!$E:$E,MATCH("세트 합계",D4_어깨팔A!$D:$D,0))</f>
        <v>36</v>
      </c>
      <c r="F8" s="20" t="str">
        <f>"약 "&amp;INDEX(D4_어깨팔A!$I:$I,MATCH("세트 합계",D4_어깨팔A!$D:$D,0))&amp;"분"</f>
        <v>약 73분</v>
      </c>
    </row>
    <row r="9" spans="1:6" ht="15" customHeight="1">
      <c r="A9" s="23">
        <v>5</v>
      </c>
      <c r="B9" s="24" t="s">
        <v>157</v>
      </c>
      <c r="C9" s="25" t="s">
        <v>149</v>
      </c>
      <c r="D9" s="24" t="s">
        <v>149</v>
      </c>
      <c r="E9" s="23">
        <v>0</v>
      </c>
      <c r="F9" s="20" t="s">
        <v>149</v>
      </c>
    </row>
    <row r="10" spans="1:6" ht="15" customHeight="1">
      <c r="A10" s="20">
        <v>6</v>
      </c>
      <c r="B10" s="21" t="s">
        <v>158</v>
      </c>
      <c r="C10" s="22" t="s">
        <v>149</v>
      </c>
      <c r="D10" s="21" t="s">
        <v>1075</v>
      </c>
      <c r="E10" s="20">
        <f>INDEX(D6_당기기B!$E:$E,MATCH("세트 합계",D6_당기기B!$D:$D,0))</f>
        <v>28</v>
      </c>
      <c r="F10" s="20" t="str">
        <f>"약 "&amp;INDEX(D6_당기기B!$I:$I,MATCH("세트 합계",D6_당기기B!$D:$D,0))&amp;"분"</f>
        <v>약 70분</v>
      </c>
    </row>
    <row r="11" spans="1:6" ht="15" customHeight="1">
      <c r="A11" s="20">
        <v>7</v>
      </c>
      <c r="B11" s="21" t="s">
        <v>159</v>
      </c>
      <c r="C11" s="22" t="s">
        <v>160</v>
      </c>
      <c r="D11" s="21" t="s">
        <v>1068</v>
      </c>
      <c r="E11" s="20">
        <f>INDEX(D7_밀기B!$E:$E,MATCH("세트 합계",D7_밀기B!$D:$D,0))</f>
        <v>30</v>
      </c>
      <c r="F11" s="20" t="str">
        <f>"약 "&amp;INDEX(D7_밀기B!$I:$I,MATCH("세트 합계",D7_밀기B!$D:$D,0))&amp;"분"</f>
        <v>약 73분</v>
      </c>
    </row>
    <row r="12" spans="1:6" ht="15" customHeight="1">
      <c r="A12" s="20">
        <v>8</v>
      </c>
      <c r="B12" s="21" t="s">
        <v>161</v>
      </c>
      <c r="C12" s="22" t="s">
        <v>162</v>
      </c>
      <c r="D12" s="21" t="s">
        <v>163</v>
      </c>
      <c r="E12" s="20">
        <f>INDEX(D8_하체B!$E:$E,MATCH("세트 합계",D8_하체B!$D:$D,0))</f>
        <v>24</v>
      </c>
      <c r="F12" s="20" t="str">
        <f>"약 "&amp;INDEX(D8_하체B!$I:$I,MATCH("세트 합계",D8_하체B!$D:$D,0))&amp;"분"</f>
        <v>약 74분</v>
      </c>
    </row>
    <row r="13" spans="1:6" ht="15" customHeight="1">
      <c r="A13" s="20">
        <v>9</v>
      </c>
      <c r="B13" s="21" t="s">
        <v>164</v>
      </c>
      <c r="C13" s="22" t="s">
        <v>149</v>
      </c>
      <c r="D13" s="21" t="s">
        <v>1057</v>
      </c>
      <c r="E13" s="20">
        <f>INDEX(D9_어깨팔B!$E:$E,MATCH("세트 합계",D9_어깨팔B!$D:$D,0))</f>
        <v>36</v>
      </c>
      <c r="F13" s="20" t="str">
        <f>"약 "&amp;INDEX(D9_어깨팔B!$I:$I,MATCH("세트 합계",D9_어깨팔B!$D:$D,0))&amp;"분"</f>
        <v>약 70분</v>
      </c>
    </row>
    <row r="14" spans="1:6">
      <c r="A14" s="23">
        <v>10</v>
      </c>
      <c r="B14" s="24" t="s">
        <v>157</v>
      </c>
      <c r="C14" s="25" t="s">
        <v>149</v>
      </c>
      <c r="D14" s="24" t="s">
        <v>149</v>
      </c>
      <c r="E14" s="23">
        <v>0</v>
      </c>
      <c r="F14" s="20" t="s">
        <v>149</v>
      </c>
    </row>
    <row r="15" spans="1:6" ht="16.5" customHeight="1">
      <c r="A15" s="27" t="s">
        <v>165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166</v>
      </c>
    </row>
    <row r="18" spans="1:1" ht="38.25" customHeight="1">
      <c r="A18" s="30" t="s">
        <v>167</v>
      </c>
    </row>
    <row r="19" spans="1:1" ht="114.75" customHeight="1">
      <c r="A19" s="30" t="s">
        <v>168</v>
      </c>
    </row>
    <row r="20" spans="1:1" ht="16.5" customHeight="1">
      <c r="A20" s="30" t="s">
        <v>169</v>
      </c>
    </row>
    <row r="21" spans="1:1" ht="16.5" customHeight="1">
      <c r="A21" s="30" t="s">
        <v>170</v>
      </c>
    </row>
    <row r="22" spans="1:1" ht="15" customHeight="1">
      <c r="A22" s="30" t="s">
        <v>171</v>
      </c>
    </row>
    <row r="23" spans="1:1" ht="15" customHeight="1">
      <c r="A23" s="30" t="s">
        <v>172</v>
      </c>
    </row>
    <row r="24" spans="1:1" ht="15" customHeight="1">
      <c r="A24" s="30" t="s">
        <v>173</v>
      </c>
    </row>
    <row r="25" spans="1:1" ht="15" customHeight="1">
      <c r="A25" s="31"/>
    </row>
    <row r="26" spans="1:1" ht="16.5" customHeight="1">
      <c r="A26" s="105" t="s">
        <v>174</v>
      </c>
    </row>
    <row r="27" spans="1:1" ht="15" customHeight="1">
      <c r="A27" t="s">
        <v>175</v>
      </c>
    </row>
    <row r="28" spans="1:1" ht="15" customHeight="1">
      <c r="A28" t="s">
        <v>176</v>
      </c>
    </row>
    <row r="29" spans="1:1" ht="79.5" customHeight="1">
      <c r="A29" t="s">
        <v>177</v>
      </c>
    </row>
    <row r="30" spans="1:1" ht="64.5" customHeight="1">
      <c r="A30" t="s">
        <v>178</v>
      </c>
    </row>
    <row r="31" spans="1:1" ht="90" customHeight="1">
      <c r="A31" t="s">
        <v>179</v>
      </c>
    </row>
    <row r="32" spans="1:1" ht="102.75" customHeight="1">
      <c r="A32" t="s">
        <v>180</v>
      </c>
    </row>
    <row r="33" spans="1:1" ht="100.5" customHeight="1">
      <c r="A33" t="s">
        <v>181</v>
      </c>
    </row>
    <row r="34" spans="1:1" ht="15" customHeight="1">
      <c r="A34" t="s">
        <v>182</v>
      </c>
    </row>
    <row r="35" spans="1:1" ht="90" customHeight="1">
      <c r="A35" t="s">
        <v>1040</v>
      </c>
    </row>
    <row r="36" spans="1:1" ht="90" customHeight="1">
      <c r="A36" t="s">
        <v>1045</v>
      </c>
    </row>
    <row r="37" spans="1:1" ht="90" customHeight="1">
      <c r="A37" t="s">
        <v>1058</v>
      </c>
    </row>
    <row r="38" spans="1:1" ht="90" customHeight="1">
      <c r="A38" t="s">
        <v>1069</v>
      </c>
    </row>
    <row r="39" spans="1:1" ht="90" customHeight="1">
      <c r="A39" t="s">
        <v>1076</v>
      </c>
    </row>
    <row r="40" spans="1:1" ht="90" customHeight="1">
      <c r="A40" t="s">
        <v>1091</v>
      </c>
    </row>
    <row r="41" spans="1:1" ht="51.75" customHeight="1">
      <c r="A41" s="13" t="s">
        <v>183</v>
      </c>
    </row>
    <row r="42" spans="1:1" ht="77.25" customHeight="1">
      <c r="A42" s="30" t="s">
        <v>184</v>
      </c>
    </row>
    <row r="43" spans="1:1" ht="64.5" customHeight="1">
      <c r="A43" s="30" t="s">
        <v>185</v>
      </c>
    </row>
    <row r="44" spans="1:1" ht="16.5" customHeight="1">
      <c r="A44" s="30" t="s">
        <v>186</v>
      </c>
    </row>
    <row r="45" spans="1:1" ht="16.5" customHeight="1">
      <c r="A45" s="30" t="s">
        <v>187</v>
      </c>
    </row>
    <row r="46" spans="1:1" ht="16.5" customHeight="1">
      <c r="A46" s="30" t="s">
        <v>188</v>
      </c>
    </row>
    <row r="47" spans="1:1" ht="242.25" customHeight="1">
      <c r="A47" s="30"/>
    </row>
    <row r="48" spans="1:1" ht="270.75" customHeight="1">
      <c r="A48" s="13" t="s">
        <v>189</v>
      </c>
    </row>
    <row r="49" spans="1:1" ht="242.25" customHeight="1">
      <c r="A49" s="30" t="s">
        <v>190</v>
      </c>
    </row>
    <row r="50" spans="1:1" ht="199.5" customHeight="1">
      <c r="A50" s="30" t="s">
        <v>191</v>
      </c>
    </row>
    <row r="51" spans="1:1" ht="185.25" customHeight="1">
      <c r="A51" s="30" t="s">
        <v>192</v>
      </c>
    </row>
    <row r="52" spans="1:1" ht="199.5" customHeight="1">
      <c r="A52" s="30" t="s">
        <v>193</v>
      </c>
    </row>
    <row r="53" spans="1:1" ht="185.25" customHeight="1">
      <c r="A53" s="30" t="s">
        <v>194</v>
      </c>
    </row>
    <row r="54" spans="1:1" ht="327.75" customHeight="1">
      <c r="A54" s="30" t="s">
        <v>195</v>
      </c>
    </row>
    <row r="55" spans="1:1" ht="256.5" customHeight="1">
      <c r="A55" s="32"/>
    </row>
    <row r="56" spans="1:1" ht="409.5" customHeight="1">
      <c r="A56" s="13" t="s">
        <v>196</v>
      </c>
    </row>
    <row r="57" spans="1:1" ht="370.5" customHeight="1">
      <c r="A57" s="30" t="s">
        <v>197</v>
      </c>
    </row>
    <row r="58" spans="1:1" ht="409.5" customHeight="1">
      <c r="A58" s="30" t="s">
        <v>198</v>
      </c>
    </row>
    <row r="59" spans="1:1" ht="370.5" customHeight="1">
      <c r="A59" s="30" t="s">
        <v>199</v>
      </c>
    </row>
    <row r="60" spans="1:1" ht="185.25" customHeight="1">
      <c r="A60" s="30" t="s">
        <v>200</v>
      </c>
    </row>
    <row r="61" spans="1:1" ht="60" customHeight="1">
      <c r="A61" s="31"/>
    </row>
    <row r="62" spans="1:1" ht="256.5" customHeight="1">
      <c r="A62" s="13" t="s">
        <v>201</v>
      </c>
    </row>
    <row r="63" spans="1:1" ht="327.75" customHeight="1">
      <c r="A63" s="30" t="s">
        <v>202</v>
      </c>
    </row>
    <row r="64" spans="1:1" ht="256.5" customHeight="1">
      <c r="A64" s="30" t="s">
        <v>203</v>
      </c>
    </row>
    <row r="65" spans="1:1" ht="409.5" customHeight="1">
      <c r="A65" s="30" t="s">
        <v>204</v>
      </c>
    </row>
    <row r="66" spans="1:1" ht="370.5" customHeight="1">
      <c r="A66" s="30" t="s">
        <v>205</v>
      </c>
    </row>
    <row r="67" spans="1:1" ht="285" customHeight="1">
      <c r="A67" s="30" t="s">
        <v>206</v>
      </c>
    </row>
    <row r="68" spans="1:1" ht="90" customHeight="1">
      <c r="A68" s="30" t="s">
        <v>207</v>
      </c>
    </row>
    <row r="69" spans="1:1" ht="313.5" customHeight="1">
      <c r="A69" s="13" t="s">
        <v>208</v>
      </c>
    </row>
    <row r="70" spans="1:1" ht="370.5" customHeight="1">
      <c r="A70" s="30" t="s">
        <v>209</v>
      </c>
    </row>
    <row r="71" spans="1:1" ht="285" customHeight="1">
      <c r="A71" s="30" t="s">
        <v>210</v>
      </c>
    </row>
    <row r="72" spans="1:1" ht="370.5" customHeight="1"/>
    <row r="73" spans="1:1" ht="256.5" customHeight="1">
      <c r="A73" s="13" t="s">
        <v>211</v>
      </c>
    </row>
    <row r="74" spans="1:1" ht="327.75" customHeight="1">
      <c r="A74" s="30" t="s">
        <v>212</v>
      </c>
    </row>
    <row r="75" spans="1:1" ht="327.75" customHeight="1">
      <c r="A75" s="30" t="s">
        <v>213</v>
      </c>
    </row>
    <row r="76" spans="1:1" ht="299.25" customHeight="1">
      <c r="A76" s="30" t="s">
        <v>214</v>
      </c>
    </row>
    <row r="77" spans="1:1" ht="327.75" customHeight="1">
      <c r="A77" s="30" t="s">
        <v>215</v>
      </c>
    </row>
    <row r="78" spans="1:1" ht="90" customHeight="1"/>
    <row r="79" spans="1:1" ht="75" customHeight="1">
      <c r="A79" s="13" t="s">
        <v>216</v>
      </c>
    </row>
    <row r="80" spans="1:1" ht="327.75" customHeight="1">
      <c r="A80" s="30" t="s">
        <v>217</v>
      </c>
    </row>
    <row r="81" spans="1:1" ht="356.25" customHeight="1">
      <c r="A81" s="30" t="s">
        <v>218</v>
      </c>
    </row>
    <row r="82" spans="1:1" ht="270.75" customHeight="1">
      <c r="A82" s="30" t="s">
        <v>219</v>
      </c>
    </row>
    <row r="83" spans="1:1" ht="313.5" customHeight="1">
      <c r="A83" s="30" t="s">
        <v>220</v>
      </c>
    </row>
    <row r="84" spans="1:1" ht="142.5" customHeight="1">
      <c r="A84" s="30" t="s">
        <v>221</v>
      </c>
    </row>
    <row r="85" spans="1:1" ht="242.25" customHeight="1">
      <c r="A85" s="30" t="s">
        <v>222</v>
      </c>
    </row>
    <row r="86" spans="1:1" ht="299.25" customHeight="1">
      <c r="A86" s="30" t="s">
        <v>223</v>
      </c>
    </row>
    <row r="87" spans="1:1" ht="327.75" customHeight="1">
      <c r="A87" s="30" t="s">
        <v>224</v>
      </c>
    </row>
    <row r="88" spans="1:1" ht="327.75" customHeight="1">
      <c r="A88" s="30" t="s">
        <v>225</v>
      </c>
    </row>
    <row r="89" spans="1:1" ht="75" customHeight="1"/>
    <row r="90" spans="1:1" ht="327.75" customHeight="1">
      <c r="A90" s="13" t="s">
        <v>226</v>
      </c>
    </row>
    <row r="91" spans="1:1" ht="356.25" customHeight="1">
      <c r="A91" s="30" t="s">
        <v>227</v>
      </c>
    </row>
    <row r="92" spans="1:1" ht="270.75" customHeight="1">
      <c r="A92" s="30" t="s">
        <v>228</v>
      </c>
    </row>
    <row r="93" spans="1:1" ht="313.5" customHeight="1">
      <c r="A93" s="30" t="s">
        <v>229</v>
      </c>
    </row>
    <row r="94" spans="1:1" ht="142.5" customHeight="1">
      <c r="A94" s="30" t="s">
        <v>230</v>
      </c>
    </row>
    <row r="95" spans="1:1" ht="242.25" customHeight="1">
      <c r="A95" s="30" t="s">
        <v>231</v>
      </c>
    </row>
    <row r="96" spans="1:1" ht="242.25" customHeight="1">
      <c r="A96" s="30" t="s">
        <v>232</v>
      </c>
    </row>
    <row r="98" spans="1:1">
      <c r="A98" s="112" t="s">
        <v>1102</v>
      </c>
    </row>
    <row r="99" spans="1:1">
      <c r="A99" t="s">
        <v>1128</v>
      </c>
    </row>
    <row r="100" spans="1:1">
      <c r="A100" t="s">
        <v>1129</v>
      </c>
    </row>
    <row r="101" spans="1:1">
      <c r="A101" t="s">
        <v>1130</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233</v>
      </c>
    </row>
    <row r="2" spans="1:15" ht="16.5" customHeight="1">
      <c r="A2" s="18" t="s">
        <v>234</v>
      </c>
    </row>
    <row r="3" spans="1:15">
      <c r="A3" s="33" t="s">
        <v>235</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1100</v>
      </c>
    </row>
    <row r="6" spans="1:15" ht="16.5" customHeight="1">
      <c r="A6" s="20">
        <v>1</v>
      </c>
      <c r="B6" s="21" t="s">
        <v>236</v>
      </c>
      <c r="C6" s="20" t="s">
        <v>237</v>
      </c>
      <c r="D6" s="20">
        <v>60</v>
      </c>
      <c r="E6" s="20">
        <v>4</v>
      </c>
      <c r="F6" s="26" t="s">
        <v>238</v>
      </c>
      <c r="G6" s="26">
        <v>35</v>
      </c>
      <c r="H6" s="26">
        <v>155</v>
      </c>
      <c r="I6" s="26">
        <f t="shared" ref="I6:I16" si="0">IF(E6=0,0,ROUND((E6*(G6+H6)+O6)/60,1))</f>
        <v>12.7</v>
      </c>
      <c r="J6" s="21" t="s">
        <v>44</v>
      </c>
      <c r="K6" s="21" t="s">
        <v>239</v>
      </c>
      <c r="L6" s="21" t="s">
        <v>240</v>
      </c>
      <c r="M6" s="26" t="s">
        <v>241</v>
      </c>
      <c r="O6" s="26"/>
    </row>
    <row r="7" spans="1:15" ht="16.5" customHeight="1">
      <c r="A7" s="20">
        <v>2</v>
      </c>
      <c r="B7" s="21" t="s">
        <v>242</v>
      </c>
      <c r="C7" s="20" t="s">
        <v>237</v>
      </c>
      <c r="D7" s="26">
        <v>40</v>
      </c>
      <c r="E7" s="20">
        <v>3</v>
      </c>
      <c r="F7" s="26" t="s">
        <v>40</v>
      </c>
      <c r="G7" s="26">
        <v>40</v>
      </c>
      <c r="H7" s="26">
        <v>120</v>
      </c>
      <c r="I7" s="26">
        <f t="shared" si="0"/>
        <v>8</v>
      </c>
      <c r="J7" s="21" t="s">
        <v>44</v>
      </c>
      <c r="K7" s="36" t="s">
        <v>1077</v>
      </c>
      <c r="L7" s="21" t="s">
        <v>243</v>
      </c>
      <c r="O7" s="26"/>
    </row>
    <row r="8" spans="1:15" ht="16.5" customHeight="1">
      <c r="A8" s="20">
        <v>3</v>
      </c>
      <c r="B8" s="21" t="s">
        <v>1078</v>
      </c>
      <c r="C8" s="20" t="s">
        <v>237</v>
      </c>
      <c r="D8" s="26">
        <v>20</v>
      </c>
      <c r="E8" s="20">
        <v>2</v>
      </c>
      <c r="F8" s="26" t="s">
        <v>1079</v>
      </c>
      <c r="G8" s="26">
        <v>80</v>
      </c>
      <c r="H8" s="26">
        <v>120</v>
      </c>
      <c r="I8" s="26">
        <f t="shared" si="0"/>
        <v>8.6999999999999993</v>
      </c>
      <c r="J8" s="21" t="s">
        <v>44</v>
      </c>
      <c r="K8" s="36" t="s">
        <v>1101</v>
      </c>
      <c r="L8" s="21" t="s">
        <v>1080</v>
      </c>
      <c r="O8" s="26">
        <v>120</v>
      </c>
    </row>
    <row r="9" spans="1:15" ht="16.5" customHeight="1">
      <c r="A9" s="20">
        <v>4</v>
      </c>
      <c r="B9" s="36" t="s">
        <v>244</v>
      </c>
      <c r="C9" s="42" t="s">
        <v>245</v>
      </c>
      <c r="D9" s="20" t="s">
        <v>246</v>
      </c>
      <c r="E9" s="20">
        <v>4</v>
      </c>
      <c r="F9" s="26" t="s">
        <v>247</v>
      </c>
      <c r="G9" s="26">
        <v>40</v>
      </c>
      <c r="H9" s="26">
        <v>120</v>
      </c>
      <c r="I9" s="26">
        <f t="shared" si="0"/>
        <v>10.7</v>
      </c>
      <c r="J9" s="21" t="s">
        <v>248</v>
      </c>
      <c r="K9" s="21" t="s">
        <v>249</v>
      </c>
      <c r="L9" s="21" t="s">
        <v>250</v>
      </c>
      <c r="O9" s="26"/>
    </row>
    <row r="10" spans="1:15" ht="16.5" customHeight="1">
      <c r="A10" s="20">
        <v>5</v>
      </c>
      <c r="B10" s="36" t="s">
        <v>251</v>
      </c>
      <c r="C10" s="20" t="s">
        <v>245</v>
      </c>
      <c r="D10" s="20">
        <v>12.5</v>
      </c>
      <c r="E10" s="20">
        <v>3</v>
      </c>
      <c r="F10" s="26" t="s">
        <v>19</v>
      </c>
      <c r="G10" s="26">
        <v>45</v>
      </c>
      <c r="H10" s="26">
        <v>60</v>
      </c>
      <c r="I10" s="26">
        <f t="shared" si="0"/>
        <v>5.3</v>
      </c>
      <c r="J10" s="21" t="s">
        <v>252</v>
      </c>
      <c r="K10" s="21" t="s">
        <v>253</v>
      </c>
      <c r="L10" s="21" t="s">
        <v>254</v>
      </c>
      <c r="O10" s="26"/>
    </row>
    <row r="11" spans="1:15" ht="16.5" customHeight="1">
      <c r="A11" s="20">
        <v>6</v>
      </c>
      <c r="B11" s="21" t="s">
        <v>255</v>
      </c>
      <c r="C11" s="20" t="s">
        <v>44</v>
      </c>
      <c r="D11" s="26" t="s">
        <v>256</v>
      </c>
      <c r="E11" s="20">
        <v>0</v>
      </c>
      <c r="F11" s="26" t="s">
        <v>40</v>
      </c>
      <c r="G11" s="26">
        <v>40</v>
      </c>
      <c r="H11" s="26">
        <v>70</v>
      </c>
      <c r="I11" s="26">
        <f t="shared" si="0"/>
        <v>0</v>
      </c>
      <c r="J11" s="21" t="s">
        <v>45</v>
      </c>
      <c r="K11" s="21" t="s">
        <v>257</v>
      </c>
      <c r="L11" s="22" t="s">
        <v>258</v>
      </c>
      <c r="O11" s="26"/>
    </row>
    <row r="12" spans="1:15" ht="16.5" customHeight="1">
      <c r="A12" s="20">
        <v>7</v>
      </c>
      <c r="B12" s="81" t="s">
        <v>259</v>
      </c>
      <c r="C12" s="20" t="s">
        <v>260</v>
      </c>
      <c r="D12" s="20" t="s">
        <v>246</v>
      </c>
      <c r="E12" s="20">
        <v>4</v>
      </c>
      <c r="F12" s="26" t="s">
        <v>19</v>
      </c>
      <c r="G12" s="26">
        <v>40</v>
      </c>
      <c r="H12" s="26">
        <v>60</v>
      </c>
      <c r="I12" s="26">
        <f t="shared" si="0"/>
        <v>6.7</v>
      </c>
      <c r="J12" s="21"/>
      <c r="K12" s="21" t="s">
        <v>261</v>
      </c>
      <c r="L12" s="86" t="s">
        <v>262</v>
      </c>
      <c r="O12" s="26"/>
    </row>
    <row r="13" spans="1:15" ht="16.5" customHeight="1">
      <c r="A13" s="20">
        <v>8</v>
      </c>
      <c r="B13" s="81" t="s">
        <v>263</v>
      </c>
      <c r="C13" s="20" t="s">
        <v>260</v>
      </c>
      <c r="D13" s="20" t="s">
        <v>52</v>
      </c>
      <c r="E13" s="20">
        <v>3</v>
      </c>
      <c r="F13" s="26" t="s">
        <v>61</v>
      </c>
      <c r="G13" s="26">
        <v>70</v>
      </c>
      <c r="H13" s="26">
        <v>60</v>
      </c>
      <c r="I13" s="26">
        <f t="shared" si="0"/>
        <v>6.5</v>
      </c>
      <c r="J13" s="21"/>
      <c r="K13" s="21" t="s">
        <v>264</v>
      </c>
      <c r="L13" s="86" t="s">
        <v>265</v>
      </c>
      <c r="O13" s="26"/>
    </row>
    <row r="14" spans="1:15" ht="15" customHeight="1">
      <c r="A14" s="20">
        <v>9</v>
      </c>
      <c r="B14" s="81" t="s">
        <v>266</v>
      </c>
      <c r="C14" s="20" t="s">
        <v>56</v>
      </c>
      <c r="D14" s="20" t="s">
        <v>267</v>
      </c>
      <c r="E14" s="20">
        <v>3</v>
      </c>
      <c r="F14" s="26" t="s">
        <v>19</v>
      </c>
      <c r="G14" s="26">
        <v>40</v>
      </c>
      <c r="H14" s="26">
        <v>75</v>
      </c>
      <c r="I14" s="26">
        <f t="shared" si="0"/>
        <v>5.8</v>
      </c>
      <c r="J14" s="21"/>
      <c r="K14" s="21" t="s">
        <v>268</v>
      </c>
      <c r="L14" s="86" t="s">
        <v>269</v>
      </c>
      <c r="O14" s="26"/>
    </row>
    <row r="15" spans="1:15" ht="15" customHeight="1">
      <c r="A15" s="20">
        <v>10</v>
      </c>
      <c r="B15" s="21" t="s">
        <v>270</v>
      </c>
      <c r="C15" s="20" t="s">
        <v>271</v>
      </c>
      <c r="D15" s="20">
        <v>20</v>
      </c>
      <c r="E15" s="20">
        <v>3</v>
      </c>
      <c r="F15" s="26" t="s">
        <v>29</v>
      </c>
      <c r="G15" s="26">
        <v>45</v>
      </c>
      <c r="H15" s="26">
        <v>90</v>
      </c>
      <c r="I15" s="26">
        <f t="shared" si="0"/>
        <v>6.8</v>
      </c>
      <c r="J15" s="21" t="s">
        <v>272</v>
      </c>
      <c r="K15" s="36" t="s">
        <v>273</v>
      </c>
      <c r="L15" s="36" t="s">
        <v>274</v>
      </c>
      <c r="O15" s="26"/>
    </row>
    <row r="16" spans="1:15" ht="15" customHeight="1">
      <c r="A16" s="20">
        <v>11</v>
      </c>
      <c r="B16" s="21" t="s">
        <v>275</v>
      </c>
      <c r="C16" s="20" t="s">
        <v>271</v>
      </c>
      <c r="D16" s="20" t="s">
        <v>246</v>
      </c>
      <c r="E16" s="20">
        <v>3</v>
      </c>
      <c r="F16" s="26" t="s">
        <v>19</v>
      </c>
      <c r="G16" s="26">
        <v>40</v>
      </c>
      <c r="H16" s="26">
        <v>60</v>
      </c>
      <c r="I16" s="26">
        <f t="shared" si="0"/>
        <v>5</v>
      </c>
      <c r="J16" s="21"/>
      <c r="K16" s="36" t="s">
        <v>276</v>
      </c>
      <c r="L16" s="36" t="s">
        <v>277</v>
      </c>
      <c r="O16" s="26"/>
    </row>
    <row r="17" spans="1:12" ht="15" customHeight="1">
      <c r="A17" s="20"/>
      <c r="B17" s="21"/>
      <c r="C17" s="20"/>
      <c r="D17" s="20" t="s">
        <v>63</v>
      </c>
      <c r="E17" s="20">
        <f>SUM(E6:E16)</f>
        <v>32</v>
      </c>
      <c r="F17" s="26"/>
      <c r="G17" s="26"/>
      <c r="H17" s="26"/>
      <c r="I17" s="26">
        <f>ROUND(SUM(I6:I16),0)</f>
        <v>76</v>
      </c>
      <c r="J17" s="21"/>
      <c r="K17" s="36"/>
      <c r="L17" s="36"/>
    </row>
    <row r="18" spans="1:12" ht="15" customHeight="1"/>
    <row r="19" spans="1:12">
      <c r="A19" t="s">
        <v>1081</v>
      </c>
    </row>
    <row r="20" spans="1:12">
      <c r="A20" t="s">
        <v>1090</v>
      </c>
    </row>
    <row r="22" spans="1:12">
      <c r="A22" s="112" t="s">
        <v>1102</v>
      </c>
    </row>
    <row r="23" spans="1:12">
      <c r="A23" t="s">
        <v>1103</v>
      </c>
    </row>
    <row r="24" spans="1:12">
      <c r="A24" t="s">
        <v>1104</v>
      </c>
    </row>
    <row r="26" spans="1:12">
      <c r="B26" s="36"/>
    </row>
    <row r="34" spans="10:10">
      <c r="J34" t="s">
        <v>278</v>
      </c>
    </row>
  </sheetData>
  <phoneticPr fontId="32" type="noConversion"/>
  <conditionalFormatting sqref="A6:O16">
    <cfRule type="expression" dxfId="13"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O20" sqref="O20:O25"/>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279</v>
      </c>
    </row>
    <row r="2" spans="1:3" ht="16.5" customHeight="1">
      <c r="A2" s="18" t="s">
        <v>1037</v>
      </c>
    </row>
    <row r="4" spans="1:3" ht="16.5" customHeight="1">
      <c r="A4" s="3" t="s">
        <v>280</v>
      </c>
    </row>
    <row r="5" spans="1:3" ht="16.5" customHeight="1">
      <c r="A5" s="19" t="s">
        <v>6</v>
      </c>
      <c r="B5" s="19" t="s">
        <v>281</v>
      </c>
      <c r="C5" s="19" t="s">
        <v>7</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282</v>
      </c>
    </row>
    <row r="13" spans="1:3" ht="16.5" customHeight="1">
      <c r="A13" s="3" t="s">
        <v>283</v>
      </c>
    </row>
    <row r="14" spans="1:3" ht="16.5" customHeight="1">
      <c r="A14" s="31" t="s">
        <v>284</v>
      </c>
    </row>
    <row r="15" spans="1:3" ht="16.5" customHeight="1">
      <c r="A15" s="31" t="s">
        <v>285</v>
      </c>
    </row>
    <row r="16" spans="1:3" ht="16.5" customHeight="1">
      <c r="A16" s="31" t="s">
        <v>286</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1100</v>
      </c>
    </row>
    <row r="20" spans="1:15" ht="16.5" customHeight="1">
      <c r="A20" s="38">
        <v>1</v>
      </c>
      <c r="B20" s="39" t="s">
        <v>287</v>
      </c>
      <c r="C20" s="40" t="s">
        <v>288</v>
      </c>
      <c r="D20" s="41">
        <f>시작중량_설정!$E$9</f>
        <v>35</v>
      </c>
      <c r="E20" s="40">
        <v>5</v>
      </c>
      <c r="F20" s="38" t="s">
        <v>289</v>
      </c>
      <c r="G20" s="38">
        <v>30</v>
      </c>
      <c r="H20" s="38">
        <v>180</v>
      </c>
      <c r="I20" s="38">
        <f t="shared" ref="I20:I25" si="0">IF(E20=0,0,ROUND((E20*(G20+H20)+O20)/60,1))</f>
        <v>17.5</v>
      </c>
      <c r="J20" s="39" t="s">
        <v>290</v>
      </c>
      <c r="K20" s="39" t="s">
        <v>291</v>
      </c>
      <c r="L20" s="39" t="s">
        <v>292</v>
      </c>
      <c r="M20" s="38" t="s">
        <v>293</v>
      </c>
      <c r="O20" s="38"/>
    </row>
    <row r="21" spans="1:15" ht="16.5" customHeight="1">
      <c r="A21" s="20">
        <v>2</v>
      </c>
      <c r="B21" s="21" t="s">
        <v>294</v>
      </c>
      <c r="C21" s="20" t="s">
        <v>288</v>
      </c>
      <c r="D21" s="42" t="s">
        <v>295</v>
      </c>
      <c r="E21" s="20">
        <v>4</v>
      </c>
      <c r="F21" s="26" t="s">
        <v>247</v>
      </c>
      <c r="G21" s="26">
        <v>40</v>
      </c>
      <c r="H21" s="26">
        <v>155</v>
      </c>
      <c r="I21" s="26">
        <f t="shared" si="0"/>
        <v>13</v>
      </c>
      <c r="J21" s="21" t="s">
        <v>39</v>
      </c>
      <c r="K21" s="21" t="s">
        <v>296</v>
      </c>
      <c r="L21" s="36" t="s">
        <v>297</v>
      </c>
      <c r="M21" s="26" t="s">
        <v>241</v>
      </c>
      <c r="O21" s="26"/>
    </row>
    <row r="22" spans="1:15" ht="16.5" customHeight="1">
      <c r="A22" s="20">
        <v>3</v>
      </c>
      <c r="B22" s="36" t="s">
        <v>303</v>
      </c>
      <c r="C22" s="20" t="s">
        <v>299</v>
      </c>
      <c r="D22" s="26">
        <v>8</v>
      </c>
      <c r="E22" s="20">
        <v>4</v>
      </c>
      <c r="F22" s="26" t="s">
        <v>304</v>
      </c>
      <c r="G22" s="26">
        <v>40</v>
      </c>
      <c r="H22" s="26">
        <v>105</v>
      </c>
      <c r="I22" s="26">
        <f t="shared" si="0"/>
        <v>9.6999999999999993</v>
      </c>
      <c r="J22" s="21"/>
      <c r="K22" s="21" t="s">
        <v>305</v>
      </c>
      <c r="L22" s="21" t="s">
        <v>306</v>
      </c>
      <c r="O22" s="26"/>
    </row>
    <row r="23" spans="1:15" ht="16.5" customHeight="1">
      <c r="A23" s="20">
        <v>4</v>
      </c>
      <c r="B23" s="21" t="s">
        <v>307</v>
      </c>
      <c r="C23" s="20" t="s">
        <v>18</v>
      </c>
      <c r="D23" s="26">
        <v>6</v>
      </c>
      <c r="E23" s="20">
        <v>6</v>
      </c>
      <c r="F23" s="26" t="s">
        <v>19</v>
      </c>
      <c r="G23" s="26">
        <v>40</v>
      </c>
      <c r="H23" s="26">
        <v>70</v>
      </c>
      <c r="I23" s="26">
        <f t="shared" si="0"/>
        <v>12</v>
      </c>
      <c r="J23" s="21"/>
      <c r="K23" s="21" t="s">
        <v>1105</v>
      </c>
      <c r="L23" s="21" t="s">
        <v>308</v>
      </c>
      <c r="O23" s="26">
        <v>60</v>
      </c>
    </row>
    <row r="24" spans="1:15" ht="16.5" customHeight="1">
      <c r="A24" s="20">
        <v>5</v>
      </c>
      <c r="B24" s="21" t="s">
        <v>309</v>
      </c>
      <c r="C24" s="43" t="s">
        <v>23</v>
      </c>
      <c r="D24" s="26">
        <v>20</v>
      </c>
      <c r="E24" s="20">
        <v>5</v>
      </c>
      <c r="F24" s="26" t="s">
        <v>19</v>
      </c>
      <c r="G24" s="26">
        <v>40</v>
      </c>
      <c r="H24" s="26">
        <v>70</v>
      </c>
      <c r="I24" s="26">
        <f t="shared" si="0"/>
        <v>10.199999999999999</v>
      </c>
      <c r="J24" s="21"/>
      <c r="K24" s="21" t="s">
        <v>1106</v>
      </c>
      <c r="L24" s="86" t="s">
        <v>310</v>
      </c>
      <c r="O24" s="26">
        <v>60</v>
      </c>
    </row>
    <row r="25" spans="1:15" ht="16.5" customHeight="1">
      <c r="A25" s="20">
        <v>6</v>
      </c>
      <c r="B25" s="21" t="s">
        <v>361</v>
      </c>
      <c r="C25" s="20" t="s">
        <v>39</v>
      </c>
      <c r="D25" s="26">
        <v>20</v>
      </c>
      <c r="E25" s="20">
        <v>4</v>
      </c>
      <c r="F25" s="26" t="s">
        <v>52</v>
      </c>
      <c r="G25" s="26">
        <v>40</v>
      </c>
      <c r="H25" s="26">
        <v>70</v>
      </c>
      <c r="I25" s="26">
        <f t="shared" si="0"/>
        <v>8.3000000000000007</v>
      </c>
      <c r="J25" s="21"/>
      <c r="K25" s="21" t="s">
        <v>1107</v>
      </c>
      <c r="L25" s="21" t="s">
        <v>362</v>
      </c>
      <c r="O25" s="26">
        <v>60</v>
      </c>
    </row>
    <row r="26" spans="1:15" ht="16.5" customHeight="1">
      <c r="D26" s="3" t="s">
        <v>63</v>
      </c>
      <c r="E26" s="27">
        <f>SUM(E20:E25)</f>
        <v>28</v>
      </c>
      <c r="I26">
        <f>ROUND(SUM(I20:I25),0)</f>
        <v>71</v>
      </c>
    </row>
    <row r="27" spans="1:15" ht="16.5" customHeight="1">
      <c r="A27" s="112" t="s">
        <v>1102</v>
      </c>
    </row>
    <row r="28" spans="1:15">
      <c r="A28" t="s">
        <v>1108</v>
      </c>
    </row>
    <row r="29" spans="1:15">
      <c r="A29" t="s">
        <v>1104</v>
      </c>
    </row>
  </sheetData>
  <phoneticPr fontId="32" type="noConversion"/>
  <conditionalFormatting sqref="A20:O25">
    <cfRule type="expression" dxfId="12"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311</v>
      </c>
    </row>
    <row r="2" spans="1:15" ht="16.5" customHeight="1">
      <c r="A2" s="18" t="s">
        <v>312</v>
      </c>
    </row>
    <row r="4" spans="1:15" ht="16.5" customHeight="1">
      <c r="A4" s="3" t="s">
        <v>313</v>
      </c>
    </row>
    <row r="5" spans="1:15" ht="16.5" customHeight="1">
      <c r="A5" s="19" t="s">
        <v>6</v>
      </c>
      <c r="B5" s="19" t="s">
        <v>281</v>
      </c>
      <c r="C5" s="19" t="s">
        <v>7</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282</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1100</v>
      </c>
    </row>
    <row r="15" spans="1:15" ht="16.5" customHeight="1">
      <c r="A15" s="40">
        <v>1</v>
      </c>
      <c r="B15" s="39" t="s">
        <v>314</v>
      </c>
      <c r="C15" s="40" t="s">
        <v>315</v>
      </c>
      <c r="D15" s="41">
        <f>시작중량_설정!$E$7</f>
        <v>62</v>
      </c>
      <c r="E15" s="40">
        <v>5</v>
      </c>
      <c r="F15" s="38" t="s">
        <v>289</v>
      </c>
      <c r="G15" s="38">
        <v>35</v>
      </c>
      <c r="H15" s="38">
        <v>193</v>
      </c>
      <c r="I15" s="38">
        <f t="shared" ref="I15:I21" si="0">IF(E15=0,0,ROUND((E15*(G15+H15)+O15)/60,1))</f>
        <v>19</v>
      </c>
      <c r="J15" s="39" t="s">
        <v>316</v>
      </c>
      <c r="K15" s="39" t="s">
        <v>317</v>
      </c>
      <c r="L15" s="39" t="s">
        <v>318</v>
      </c>
      <c r="M15" s="38" t="s">
        <v>319</v>
      </c>
      <c r="O15" s="38"/>
    </row>
    <row r="16" spans="1:15" ht="16.5" customHeight="1">
      <c r="A16" s="20">
        <v>2</v>
      </c>
      <c r="B16" s="21" t="s">
        <v>320</v>
      </c>
      <c r="C16" s="20" t="s">
        <v>315</v>
      </c>
      <c r="D16" s="26">
        <v>120</v>
      </c>
      <c r="E16" s="20">
        <v>3</v>
      </c>
      <c r="F16" s="26" t="s">
        <v>40</v>
      </c>
      <c r="G16" s="26">
        <v>45</v>
      </c>
      <c r="H16" s="26">
        <v>150</v>
      </c>
      <c r="I16" s="26">
        <f t="shared" si="0"/>
        <v>9.8000000000000007</v>
      </c>
      <c r="J16" s="21" t="s">
        <v>321</v>
      </c>
      <c r="K16" s="21" t="s">
        <v>322</v>
      </c>
      <c r="L16" s="21" t="s">
        <v>323</v>
      </c>
      <c r="O16" s="26"/>
    </row>
    <row r="17" spans="1:15" ht="16.5" customHeight="1">
      <c r="A17" s="20">
        <v>3</v>
      </c>
      <c r="B17" s="21" t="s">
        <v>324</v>
      </c>
      <c r="C17" s="20" t="s">
        <v>321</v>
      </c>
      <c r="D17" s="20" t="s">
        <v>246</v>
      </c>
      <c r="E17" s="20">
        <v>3</v>
      </c>
      <c r="F17" s="26" t="s">
        <v>325</v>
      </c>
      <c r="G17" s="26">
        <v>90</v>
      </c>
      <c r="H17" s="26">
        <v>150</v>
      </c>
      <c r="I17" s="26">
        <f t="shared" si="0"/>
        <v>12</v>
      </c>
      <c r="J17" s="21" t="s">
        <v>326</v>
      </c>
      <c r="K17" s="21" t="s">
        <v>327</v>
      </c>
      <c r="L17" s="21" t="s">
        <v>328</v>
      </c>
      <c r="O17" s="26"/>
    </row>
    <row r="18" spans="1:15" ht="16.5" customHeight="1">
      <c r="A18" s="20">
        <v>4</v>
      </c>
      <c r="B18" s="21" t="s">
        <v>329</v>
      </c>
      <c r="C18" s="20" t="s">
        <v>330</v>
      </c>
      <c r="D18" s="26">
        <v>40</v>
      </c>
      <c r="E18" s="20">
        <v>4</v>
      </c>
      <c r="F18" s="26" t="s">
        <v>304</v>
      </c>
      <c r="G18" s="26">
        <v>40</v>
      </c>
      <c r="H18" s="26">
        <v>120</v>
      </c>
      <c r="I18" s="26">
        <f t="shared" si="0"/>
        <v>11.9</v>
      </c>
      <c r="J18" s="21"/>
      <c r="K18" s="21" t="s">
        <v>1120</v>
      </c>
      <c r="L18" s="21" t="s">
        <v>331</v>
      </c>
      <c r="O18" s="26">
        <v>75</v>
      </c>
    </row>
    <row r="19" spans="1:15" ht="16.5" customHeight="1">
      <c r="A19" s="20">
        <v>5</v>
      </c>
      <c r="B19" s="21" t="s">
        <v>332</v>
      </c>
      <c r="C19" s="20" t="s">
        <v>333</v>
      </c>
      <c r="D19" s="26">
        <v>35</v>
      </c>
      <c r="E19" s="20">
        <v>4</v>
      </c>
      <c r="F19" s="26" t="s">
        <v>19</v>
      </c>
      <c r="G19" s="26">
        <v>40</v>
      </c>
      <c r="H19" s="26">
        <v>10</v>
      </c>
      <c r="I19" s="26">
        <f t="shared" si="0"/>
        <v>3.3</v>
      </c>
      <c r="J19" s="21"/>
      <c r="K19" s="21" t="s">
        <v>334</v>
      </c>
      <c r="L19" s="21" t="s">
        <v>335</v>
      </c>
      <c r="N19" t="s">
        <v>336</v>
      </c>
      <c r="O19" s="26"/>
    </row>
    <row r="20" spans="1:15" ht="16.5" customHeight="1">
      <c r="A20" s="20">
        <v>6</v>
      </c>
      <c r="B20" s="21" t="s">
        <v>337</v>
      </c>
      <c r="C20" s="20" t="s">
        <v>60</v>
      </c>
      <c r="D20" s="26" t="s">
        <v>256</v>
      </c>
      <c r="E20" s="20">
        <v>4</v>
      </c>
      <c r="F20" s="26" t="s">
        <v>19</v>
      </c>
      <c r="G20" s="26">
        <v>40</v>
      </c>
      <c r="H20" s="26">
        <v>105</v>
      </c>
      <c r="I20" s="26">
        <f t="shared" si="0"/>
        <v>9.6999999999999993</v>
      </c>
      <c r="J20" s="21"/>
      <c r="K20" s="21" t="s">
        <v>338</v>
      </c>
      <c r="L20" s="21" t="s">
        <v>339</v>
      </c>
      <c r="N20" t="s">
        <v>336</v>
      </c>
      <c r="O20" s="26"/>
    </row>
    <row r="21" spans="1:15" ht="16.5" customHeight="1">
      <c r="A21" s="20">
        <v>7</v>
      </c>
      <c r="B21" s="81" t="s">
        <v>340</v>
      </c>
      <c r="C21" s="20" t="s">
        <v>260</v>
      </c>
      <c r="D21" s="82" t="s">
        <v>246</v>
      </c>
      <c r="E21" s="20">
        <v>3</v>
      </c>
      <c r="F21" s="26">
        <v>10</v>
      </c>
      <c r="G21" s="26">
        <v>40</v>
      </c>
      <c r="H21" s="26">
        <v>60</v>
      </c>
      <c r="I21" s="26">
        <f t="shared" si="0"/>
        <v>5</v>
      </c>
      <c r="J21" s="21"/>
      <c r="K21" s="21" t="s">
        <v>341</v>
      </c>
      <c r="L21" s="21" t="s">
        <v>342</v>
      </c>
      <c r="O21" s="26"/>
    </row>
    <row r="22" spans="1:15" ht="15" customHeight="1">
      <c r="D22" s="3" t="s">
        <v>63</v>
      </c>
      <c r="E22" s="27">
        <f>SUM(E15:E21)</f>
        <v>26</v>
      </c>
      <c r="I22">
        <f>ROUND(SUM(I15:I21),0)</f>
        <v>71</v>
      </c>
    </row>
    <row r="23" spans="1:15" ht="15" customHeight="1">
      <c r="A23" s="112" t="s">
        <v>1102</v>
      </c>
    </row>
    <row r="24" spans="1:15">
      <c r="A24" t="s">
        <v>1121</v>
      </c>
    </row>
    <row r="25" spans="1:15">
      <c r="A25" t="s">
        <v>1104</v>
      </c>
    </row>
  </sheetData>
  <phoneticPr fontId="32" type="noConversion"/>
  <conditionalFormatting sqref="A15:O21">
    <cfRule type="expression" dxfId="11"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343</v>
      </c>
    </row>
    <row r="2" spans="1:15" ht="16.5" customHeight="1">
      <c r="A2" s="18" t="s">
        <v>1124</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1100</v>
      </c>
    </row>
    <row r="6" spans="1:15" ht="16.5" customHeight="1">
      <c r="A6" s="20">
        <v>1</v>
      </c>
      <c r="B6" s="81" t="s">
        <v>344</v>
      </c>
      <c r="C6" s="20" t="s">
        <v>18</v>
      </c>
      <c r="D6" s="20">
        <v>10</v>
      </c>
      <c r="E6" s="20">
        <v>3</v>
      </c>
      <c r="F6" s="26" t="s">
        <v>19</v>
      </c>
      <c r="G6" s="26">
        <v>40</v>
      </c>
      <c r="H6" s="26">
        <v>70</v>
      </c>
      <c r="I6" s="26">
        <f t="shared" ref="I6:I16" si="0">IF(E6=0,0,ROUND((E6*(G6+H6)+O6)/60,1))</f>
        <v>6.5</v>
      </c>
      <c r="J6" s="21"/>
      <c r="K6" s="21" t="s">
        <v>1122</v>
      </c>
      <c r="L6" s="21" t="s">
        <v>345</v>
      </c>
      <c r="O6" s="26">
        <v>60</v>
      </c>
    </row>
    <row r="7" spans="1:15" ht="16.5" customHeight="1">
      <c r="A7" s="20">
        <v>2</v>
      </c>
      <c r="B7" s="81" t="s">
        <v>346</v>
      </c>
      <c r="C7" s="20" t="s">
        <v>18</v>
      </c>
      <c r="D7" s="20">
        <v>15</v>
      </c>
      <c r="E7" s="20">
        <v>3</v>
      </c>
      <c r="F7" s="26" t="s">
        <v>19</v>
      </c>
      <c r="G7" s="26">
        <v>40</v>
      </c>
      <c r="H7" s="26">
        <v>75</v>
      </c>
      <c r="I7" s="26">
        <f t="shared" si="0"/>
        <v>5.8</v>
      </c>
      <c r="J7" s="21" t="s">
        <v>347</v>
      </c>
      <c r="K7" s="21" t="s">
        <v>348</v>
      </c>
      <c r="L7" s="21" t="s">
        <v>349</v>
      </c>
      <c r="O7" s="26"/>
    </row>
    <row r="8" spans="1:15" ht="16.5" customHeight="1">
      <c r="A8" s="20">
        <v>3</v>
      </c>
      <c r="B8" s="81" t="s">
        <v>350</v>
      </c>
      <c r="C8" s="20" t="s">
        <v>23</v>
      </c>
      <c r="D8" s="20" t="s">
        <v>19</v>
      </c>
      <c r="E8" s="20">
        <v>3</v>
      </c>
      <c r="F8" s="26" t="s">
        <v>19</v>
      </c>
      <c r="G8" s="26">
        <v>40</v>
      </c>
      <c r="H8" s="26">
        <v>70</v>
      </c>
      <c r="I8" s="26">
        <f t="shared" si="0"/>
        <v>5.5</v>
      </c>
      <c r="J8" s="21" t="s">
        <v>351</v>
      </c>
      <c r="K8" s="21" t="s">
        <v>352</v>
      </c>
      <c r="L8" s="21" t="s">
        <v>353</v>
      </c>
      <c r="O8" s="26"/>
    </row>
    <row r="9" spans="1:15" ht="16.5" customHeight="1">
      <c r="A9" s="20">
        <v>4</v>
      </c>
      <c r="B9" s="81" t="s">
        <v>354</v>
      </c>
      <c r="C9" s="20" t="s">
        <v>23</v>
      </c>
      <c r="D9" s="20">
        <v>20</v>
      </c>
      <c r="E9" s="20">
        <v>3</v>
      </c>
      <c r="F9" s="26" t="s">
        <v>19</v>
      </c>
      <c r="G9" s="26">
        <v>40</v>
      </c>
      <c r="H9" s="26">
        <v>80</v>
      </c>
      <c r="I9" s="26">
        <f t="shared" si="0"/>
        <v>6</v>
      </c>
      <c r="J9" s="21" t="s">
        <v>351</v>
      </c>
      <c r="K9" s="21" t="s">
        <v>355</v>
      </c>
      <c r="L9" s="21" t="s">
        <v>356</v>
      </c>
      <c r="O9" s="26"/>
    </row>
    <row r="10" spans="1:15" ht="16.5" customHeight="1">
      <c r="A10" s="20">
        <v>5</v>
      </c>
      <c r="B10" s="91" t="s">
        <v>398</v>
      </c>
      <c r="C10" s="20" t="s">
        <v>34</v>
      </c>
      <c r="D10" s="20" t="s">
        <v>399</v>
      </c>
      <c r="E10" s="20">
        <v>3</v>
      </c>
      <c r="F10" s="26" t="s">
        <v>19</v>
      </c>
      <c r="G10" s="26">
        <v>40</v>
      </c>
      <c r="H10" s="26">
        <v>60</v>
      </c>
      <c r="I10" s="26">
        <f t="shared" si="0"/>
        <v>5</v>
      </c>
      <c r="J10" s="21"/>
      <c r="K10" s="21" t="s">
        <v>1070</v>
      </c>
      <c r="L10" s="21" t="s">
        <v>400</v>
      </c>
      <c r="O10" s="26"/>
    </row>
    <row r="11" spans="1:15" ht="16.5" customHeight="1">
      <c r="A11" s="20">
        <v>6</v>
      </c>
      <c r="B11" s="21" t="s">
        <v>298</v>
      </c>
      <c r="C11" s="20" t="s">
        <v>299</v>
      </c>
      <c r="D11" s="42" t="s">
        <v>300</v>
      </c>
      <c r="E11" s="20">
        <v>3</v>
      </c>
      <c r="F11" s="26" t="s">
        <v>40</v>
      </c>
      <c r="G11" s="26">
        <v>40</v>
      </c>
      <c r="H11" s="26">
        <v>150</v>
      </c>
      <c r="I11" s="26">
        <f t="shared" si="0"/>
        <v>9.5</v>
      </c>
      <c r="J11" s="21" t="s">
        <v>301</v>
      </c>
      <c r="K11" s="21" t="s">
        <v>1036</v>
      </c>
      <c r="L11" s="36" t="s">
        <v>302</v>
      </c>
      <c r="M11" s="92"/>
      <c r="O11" s="26"/>
    </row>
    <row r="12" spans="1:15" ht="16.5" customHeight="1">
      <c r="A12" s="20">
        <v>7</v>
      </c>
      <c r="B12" s="21" t="s">
        <v>358</v>
      </c>
      <c r="C12" s="20" t="s">
        <v>288</v>
      </c>
      <c r="D12" s="26" t="s">
        <v>359</v>
      </c>
      <c r="E12" s="20">
        <v>3</v>
      </c>
      <c r="F12" s="26" t="s">
        <v>304</v>
      </c>
      <c r="G12" s="26">
        <v>40</v>
      </c>
      <c r="H12" s="26">
        <v>90</v>
      </c>
      <c r="I12" s="26">
        <f t="shared" si="0"/>
        <v>7.5</v>
      </c>
      <c r="J12" s="21" t="s">
        <v>27</v>
      </c>
      <c r="K12" s="21" t="s">
        <v>1109</v>
      </c>
      <c r="L12" s="21" t="s">
        <v>360</v>
      </c>
      <c r="O12" s="26">
        <v>60</v>
      </c>
    </row>
    <row r="13" spans="1:15" ht="16.5" customHeight="1">
      <c r="A13" s="20">
        <v>8</v>
      </c>
      <c r="B13" s="21" t="s">
        <v>255</v>
      </c>
      <c r="C13" s="43" t="s">
        <v>44</v>
      </c>
      <c r="D13" s="26" t="s">
        <v>363</v>
      </c>
      <c r="E13" s="20">
        <v>3</v>
      </c>
      <c r="F13" s="26" t="s">
        <v>40</v>
      </c>
      <c r="G13" s="26">
        <v>40</v>
      </c>
      <c r="H13" s="26">
        <v>70</v>
      </c>
      <c r="I13" s="26">
        <f t="shared" si="0"/>
        <v>5.5</v>
      </c>
      <c r="J13" s="21" t="s">
        <v>45</v>
      </c>
      <c r="K13" s="21" t="s">
        <v>364</v>
      </c>
      <c r="L13" s="21" t="s">
        <v>365</v>
      </c>
      <c r="O13" s="26"/>
    </row>
    <row r="14" spans="1:15" ht="16.5" customHeight="1">
      <c r="A14" s="20">
        <v>9</v>
      </c>
      <c r="B14" s="81" t="s">
        <v>48</v>
      </c>
      <c r="C14" s="20" t="s">
        <v>45</v>
      </c>
      <c r="D14" s="20">
        <v>15</v>
      </c>
      <c r="E14" s="20">
        <v>4</v>
      </c>
      <c r="F14" s="26" t="s">
        <v>49</v>
      </c>
      <c r="G14" s="26">
        <v>40</v>
      </c>
      <c r="H14" s="26">
        <v>60</v>
      </c>
      <c r="I14" s="26">
        <f t="shared" si="0"/>
        <v>6.7</v>
      </c>
      <c r="J14" s="21"/>
      <c r="K14" s="21" t="s">
        <v>1049</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1050</v>
      </c>
      <c r="L15" s="21" t="s">
        <v>54</v>
      </c>
      <c r="O15" s="26"/>
    </row>
    <row r="16" spans="1:15" ht="16.5" customHeight="1">
      <c r="A16" s="20">
        <v>11</v>
      </c>
      <c r="B16" s="21" t="s">
        <v>266</v>
      </c>
      <c r="C16" s="20" t="s">
        <v>56</v>
      </c>
      <c r="D16" s="26">
        <v>10</v>
      </c>
      <c r="E16" s="20">
        <v>4</v>
      </c>
      <c r="F16" s="26" t="s">
        <v>19</v>
      </c>
      <c r="G16" s="26">
        <v>40</v>
      </c>
      <c r="H16" s="26">
        <v>75</v>
      </c>
      <c r="I16" s="26">
        <f t="shared" si="0"/>
        <v>7.7</v>
      </c>
      <c r="J16" s="21"/>
      <c r="K16" s="21" t="s">
        <v>1061</v>
      </c>
      <c r="L16" s="21" t="s">
        <v>401</v>
      </c>
      <c r="O16" s="26"/>
    </row>
    <row r="17" spans="1:9" ht="16.5" customHeight="1">
      <c r="D17" s="3" t="s">
        <v>63</v>
      </c>
      <c r="E17" s="27">
        <f>SUM(E6:E16)</f>
        <v>36</v>
      </c>
      <c r="I17">
        <f>ROUND(SUM(I6:I16),0)</f>
        <v>73</v>
      </c>
    </row>
    <row r="18" spans="1:9" ht="16.5" customHeight="1">
      <c r="F18" s="87" t="s">
        <v>1131</v>
      </c>
    </row>
    <row r="19" spans="1:9" ht="16.5" customHeight="1">
      <c r="A19" s="108" t="s">
        <v>371</v>
      </c>
    </row>
    <row r="20" spans="1:9" ht="16.5" customHeight="1">
      <c r="A20" s="109" t="s">
        <v>372</v>
      </c>
    </row>
    <row r="21" spans="1:9" ht="16.5" customHeight="1">
      <c r="A21" t="s">
        <v>373</v>
      </c>
    </row>
    <row r="22" spans="1:9" ht="16.5" customHeight="1">
      <c r="A22" s="109" t="s">
        <v>374</v>
      </c>
    </row>
    <row r="23" spans="1:9" ht="16.5" customHeight="1">
      <c r="A23" s="109" t="s">
        <v>375</v>
      </c>
    </row>
    <row r="24" spans="1:9" ht="16.5" customHeight="1">
      <c r="A24" s="109" t="s">
        <v>1038</v>
      </c>
    </row>
    <row r="25" spans="1:9" ht="16.5" customHeight="1">
      <c r="A25" s="109" t="s">
        <v>376</v>
      </c>
    </row>
    <row r="26" spans="1:9" ht="16.5" customHeight="1">
      <c r="A26" s="109" t="s">
        <v>377</v>
      </c>
    </row>
    <row r="27" spans="1:9" ht="16.5" customHeight="1">
      <c r="A27" s="108" t="s">
        <v>1052</v>
      </c>
    </row>
    <row r="28" spans="1:9" ht="16.5" customHeight="1">
      <c r="A28" s="109" t="s">
        <v>378</v>
      </c>
    </row>
    <row r="29" spans="1:9" ht="16.5" customHeight="1"/>
    <row r="30" spans="1:9" ht="16.5" customHeight="1">
      <c r="A30" t="s">
        <v>1053</v>
      </c>
    </row>
    <row r="31" spans="1:9" ht="16.5" customHeight="1">
      <c r="A31" t="s">
        <v>1054</v>
      </c>
    </row>
    <row r="32" spans="1:9" ht="16.5" customHeight="1">
      <c r="A32" t="s">
        <v>1064</v>
      </c>
    </row>
    <row r="33" spans="1:1" ht="16.5" customHeight="1">
      <c r="A33" t="s">
        <v>1072</v>
      </c>
    </row>
    <row r="34" spans="1:1" ht="16.5" customHeight="1"/>
    <row r="35" spans="1:1" ht="16.5" customHeight="1">
      <c r="A35" s="112" t="s">
        <v>1102</v>
      </c>
    </row>
    <row r="36" spans="1:1" ht="16.5" customHeight="1">
      <c r="A36" t="s">
        <v>1110</v>
      </c>
    </row>
    <row r="37" spans="1:1" ht="16.5" customHeight="1">
      <c r="A37" t="s">
        <v>1104</v>
      </c>
    </row>
    <row r="38" spans="1:1" ht="16.5" customHeight="1">
      <c r="A38" t="s">
        <v>1123</v>
      </c>
    </row>
    <row r="39" spans="1:1" ht="16.5" customHeight="1"/>
    <row r="40" spans="1:1" ht="16.5" customHeight="1"/>
  </sheetData>
  <phoneticPr fontId="32" type="noConversion"/>
  <conditionalFormatting sqref="A6:O16">
    <cfRule type="expression" dxfId="10"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1127</v>
      </c>
    </row>
    <row r="3" spans="1:15">
      <c r="A3" s="33" t="s">
        <v>380</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1100</v>
      </c>
    </row>
    <row r="6" spans="1:15" ht="16.5" customHeight="1">
      <c r="A6" s="20">
        <v>1</v>
      </c>
      <c r="B6" s="36" t="s">
        <v>381</v>
      </c>
      <c r="C6" s="20" t="s">
        <v>245</v>
      </c>
      <c r="D6" s="26">
        <v>45</v>
      </c>
      <c r="E6" s="20">
        <v>4</v>
      </c>
      <c r="F6" s="26" t="s">
        <v>247</v>
      </c>
      <c r="G6" s="26">
        <v>40</v>
      </c>
      <c r="H6" s="26">
        <v>150</v>
      </c>
      <c r="I6" s="26">
        <f t="shared" ref="I6:I15" si="0">IF(E6=0,0,ROUND((E6*(G6+H6)+O6)/60,1))</f>
        <v>12.7</v>
      </c>
      <c r="J6" s="21" t="s">
        <v>382</v>
      </c>
      <c r="K6" s="21" t="s">
        <v>383</v>
      </c>
      <c r="L6" s="21" t="s">
        <v>384</v>
      </c>
      <c r="O6" s="26"/>
    </row>
    <row r="7" spans="1:15" ht="16.5" customHeight="1">
      <c r="A7" s="20">
        <v>2</v>
      </c>
      <c r="B7" s="36" t="s">
        <v>385</v>
      </c>
      <c r="C7" s="20" t="s">
        <v>237</v>
      </c>
      <c r="D7" s="26">
        <v>47</v>
      </c>
      <c r="E7" s="20">
        <v>2</v>
      </c>
      <c r="F7" s="26" t="s">
        <v>40</v>
      </c>
      <c r="G7" s="26">
        <v>40</v>
      </c>
      <c r="H7" s="26">
        <v>150</v>
      </c>
      <c r="I7" s="26">
        <f t="shared" si="0"/>
        <v>6.3</v>
      </c>
      <c r="J7" s="21" t="s">
        <v>382</v>
      </c>
      <c r="K7" s="21" t="s">
        <v>1082</v>
      </c>
      <c r="L7" s="21" t="s">
        <v>386</v>
      </c>
      <c r="O7" s="26"/>
    </row>
    <row r="8" spans="1:15" ht="16.5" customHeight="1">
      <c r="A8" s="20">
        <v>3</v>
      </c>
      <c r="B8" s="36" t="s">
        <v>1083</v>
      </c>
      <c r="C8" s="20" t="s">
        <v>237</v>
      </c>
      <c r="D8" s="26">
        <v>20</v>
      </c>
      <c r="E8" s="20">
        <v>2</v>
      </c>
      <c r="F8" s="26" t="s">
        <v>1079</v>
      </c>
      <c r="G8" s="26">
        <v>80</v>
      </c>
      <c r="H8" s="26">
        <v>150</v>
      </c>
      <c r="I8" s="26">
        <f t="shared" si="0"/>
        <v>9.6999999999999993</v>
      </c>
      <c r="J8" s="21" t="s">
        <v>382</v>
      </c>
      <c r="K8" s="21" t="s">
        <v>1111</v>
      </c>
      <c r="L8" s="21" t="s">
        <v>1084</v>
      </c>
      <c r="O8" s="26">
        <v>120</v>
      </c>
    </row>
    <row r="9" spans="1:15" ht="16.5" customHeight="1">
      <c r="A9" s="20">
        <v>4</v>
      </c>
      <c r="B9" s="36" t="s">
        <v>387</v>
      </c>
      <c r="C9" s="20" t="s">
        <v>245</v>
      </c>
      <c r="D9" s="20">
        <v>32</v>
      </c>
      <c r="E9" s="20">
        <v>4</v>
      </c>
      <c r="F9" s="26" t="s">
        <v>19</v>
      </c>
      <c r="G9" s="26">
        <v>40</v>
      </c>
      <c r="H9" s="26">
        <v>60</v>
      </c>
      <c r="I9" s="26">
        <f t="shared" si="0"/>
        <v>7.7</v>
      </c>
      <c r="J9" s="21" t="s">
        <v>388</v>
      </c>
      <c r="K9" s="21" t="s">
        <v>1125</v>
      </c>
      <c r="L9" s="21" t="s">
        <v>389</v>
      </c>
      <c r="O9" s="26">
        <v>60</v>
      </c>
    </row>
    <row r="10" spans="1:15" ht="16.5" customHeight="1">
      <c r="A10" s="20">
        <v>5</v>
      </c>
      <c r="B10" s="21" t="s">
        <v>350</v>
      </c>
      <c r="C10" s="20" t="s">
        <v>23</v>
      </c>
      <c r="D10" s="26" t="s">
        <v>19</v>
      </c>
      <c r="E10" s="20">
        <v>0</v>
      </c>
      <c r="F10" s="26" t="s">
        <v>29</v>
      </c>
      <c r="G10" s="26">
        <v>40</v>
      </c>
      <c r="H10" s="26">
        <v>70</v>
      </c>
      <c r="I10" s="26">
        <f t="shared" si="0"/>
        <v>0</v>
      </c>
      <c r="J10" s="21" t="s">
        <v>351</v>
      </c>
      <c r="K10" s="21" t="s">
        <v>390</v>
      </c>
      <c r="L10" s="21" t="s">
        <v>391</v>
      </c>
      <c r="O10" s="26"/>
    </row>
    <row r="11" spans="1:15" ht="16.5" customHeight="1">
      <c r="A11" s="20">
        <v>6</v>
      </c>
      <c r="B11" s="21" t="s">
        <v>392</v>
      </c>
      <c r="C11" s="20" t="s">
        <v>44</v>
      </c>
      <c r="D11" s="26">
        <v>30</v>
      </c>
      <c r="E11" s="20">
        <v>4</v>
      </c>
      <c r="F11" s="26" t="s">
        <v>40</v>
      </c>
      <c r="G11" s="26">
        <v>40</v>
      </c>
      <c r="H11" s="26">
        <v>70</v>
      </c>
      <c r="I11" s="26">
        <f t="shared" si="0"/>
        <v>8.3000000000000007</v>
      </c>
      <c r="J11" s="21" t="s">
        <v>45</v>
      </c>
      <c r="K11" s="21" t="s">
        <v>1112</v>
      </c>
      <c r="L11" s="22" t="s">
        <v>393</v>
      </c>
      <c r="O11" s="26">
        <v>60</v>
      </c>
    </row>
    <row r="12" spans="1:15" ht="16.5" customHeight="1">
      <c r="A12" s="20">
        <v>7</v>
      </c>
      <c r="B12" s="21" t="s">
        <v>394</v>
      </c>
      <c r="C12" s="20" t="s">
        <v>347</v>
      </c>
      <c r="D12" s="20">
        <v>15</v>
      </c>
      <c r="E12" s="20">
        <v>4</v>
      </c>
      <c r="F12" s="26" t="s">
        <v>304</v>
      </c>
      <c r="G12" s="26">
        <v>40</v>
      </c>
      <c r="H12" s="26">
        <v>90</v>
      </c>
      <c r="I12" s="26">
        <f t="shared" si="0"/>
        <v>8.6999999999999993</v>
      </c>
      <c r="J12" s="21" t="s">
        <v>395</v>
      </c>
      <c r="K12" s="21" t="s">
        <v>396</v>
      </c>
      <c r="L12" s="21" t="s">
        <v>397</v>
      </c>
      <c r="O12" s="26"/>
    </row>
    <row r="13" spans="1:15" ht="16.5" customHeight="1">
      <c r="A13" s="20">
        <v>8</v>
      </c>
      <c r="B13" s="81" t="s">
        <v>55</v>
      </c>
      <c r="C13" s="20" t="s">
        <v>56</v>
      </c>
      <c r="D13" s="20" t="s">
        <v>57</v>
      </c>
      <c r="E13" s="20">
        <v>2</v>
      </c>
      <c r="F13" s="26" t="s">
        <v>19</v>
      </c>
      <c r="G13" s="26">
        <v>40</v>
      </c>
      <c r="H13" s="26">
        <v>75</v>
      </c>
      <c r="I13" s="26">
        <f t="shared" si="0"/>
        <v>3.8</v>
      </c>
      <c r="J13" s="21"/>
      <c r="K13" s="21" t="s">
        <v>1071</v>
      </c>
      <c r="L13" s="21" t="s">
        <v>58</v>
      </c>
      <c r="O13" s="26"/>
    </row>
    <row r="14" spans="1:15" ht="16.5" customHeight="1">
      <c r="A14" s="20">
        <v>9</v>
      </c>
      <c r="B14" s="21" t="s">
        <v>59</v>
      </c>
      <c r="C14" s="20" t="s">
        <v>60</v>
      </c>
      <c r="D14" s="26">
        <v>10</v>
      </c>
      <c r="E14" s="20">
        <v>3</v>
      </c>
      <c r="F14" s="26" t="s">
        <v>61</v>
      </c>
      <c r="G14" s="26">
        <v>80</v>
      </c>
      <c r="H14" s="26">
        <v>75</v>
      </c>
      <c r="I14" s="26">
        <f t="shared" si="0"/>
        <v>7.8</v>
      </c>
      <c r="J14" s="21"/>
      <c r="K14" s="21" t="s">
        <v>1060</v>
      </c>
      <c r="L14" s="21" t="s">
        <v>62</v>
      </c>
      <c r="O14" s="26"/>
    </row>
    <row r="15" spans="1:15" ht="16.5" customHeight="1">
      <c r="A15" s="20">
        <v>10</v>
      </c>
      <c r="B15" s="85" t="s">
        <v>275</v>
      </c>
      <c r="C15" s="20" t="s">
        <v>271</v>
      </c>
      <c r="D15" s="20" t="s">
        <v>246</v>
      </c>
      <c r="E15" s="20">
        <v>3</v>
      </c>
      <c r="F15" s="26" t="s">
        <v>19</v>
      </c>
      <c r="G15" s="26">
        <v>40</v>
      </c>
      <c r="H15" s="26">
        <v>60</v>
      </c>
      <c r="I15" s="26">
        <f t="shared" si="0"/>
        <v>5</v>
      </c>
      <c r="J15" s="21"/>
      <c r="K15" s="21" t="s">
        <v>276</v>
      </c>
      <c r="L15" s="21" t="s">
        <v>277</v>
      </c>
      <c r="O15" s="26"/>
    </row>
    <row r="16" spans="1:15" ht="15" customHeight="1">
      <c r="D16" s="3" t="s">
        <v>63</v>
      </c>
      <c r="E16" s="27">
        <f>SUM(E6:E15)</f>
        <v>28</v>
      </c>
      <c r="I16">
        <f>ROUND(SUM(I6:I15),0)</f>
        <v>70</v>
      </c>
    </row>
    <row r="17" spans="1:2" ht="15" customHeight="1">
      <c r="A17" t="s">
        <v>1053</v>
      </c>
    </row>
    <row r="18" spans="1:2">
      <c r="A18" t="s">
        <v>1065</v>
      </c>
    </row>
    <row r="19" spans="1:2">
      <c r="A19" t="s">
        <v>1073</v>
      </c>
    </row>
    <row r="20" spans="1:2">
      <c r="A20" t="s">
        <v>1085</v>
      </c>
    </row>
    <row r="22" spans="1:2">
      <c r="A22" s="112" t="s">
        <v>1102</v>
      </c>
      <c r="B22" s="83"/>
    </row>
    <row r="23" spans="1:2">
      <c r="A23" t="s">
        <v>1113</v>
      </c>
    </row>
    <row r="24" spans="1:2">
      <c r="A24" t="s">
        <v>1104</v>
      </c>
    </row>
    <row r="25" spans="1:2">
      <c r="A25" t="s">
        <v>1126</v>
      </c>
    </row>
  </sheetData>
  <phoneticPr fontId="32" type="noConversion"/>
  <conditionalFormatting sqref="A6:O15">
    <cfRule type="expression" dxfId="9"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404</v>
      </c>
    </row>
    <row r="2" spans="1:3" ht="16.5" customHeight="1">
      <c r="A2" s="18" t="s">
        <v>1119</v>
      </c>
    </row>
    <row r="4" spans="1:3" ht="16.5" customHeight="1">
      <c r="A4" s="3" t="s">
        <v>405</v>
      </c>
    </row>
    <row r="5" spans="1:3" ht="16.5" customHeight="1">
      <c r="A5" s="19" t="s">
        <v>6</v>
      </c>
      <c r="B5" s="19" t="s">
        <v>281</v>
      </c>
      <c r="C5" s="19" t="s">
        <v>7</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282</v>
      </c>
    </row>
    <row r="13" spans="1:3" ht="16.5" customHeight="1">
      <c r="A13" s="3" t="s">
        <v>283</v>
      </c>
    </row>
    <row r="14" spans="1:3" ht="16.5" customHeight="1">
      <c r="A14" s="31" t="s">
        <v>284</v>
      </c>
    </row>
    <row r="15" spans="1:3" ht="16.5" customHeight="1">
      <c r="A15" s="31" t="s">
        <v>285</v>
      </c>
    </row>
    <row r="16" spans="1:3" ht="16.5" customHeight="1">
      <c r="A16" s="31" t="s">
        <v>286</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1100</v>
      </c>
    </row>
    <row r="20" spans="1:15" ht="16.5" customHeight="1">
      <c r="A20" s="40">
        <v>1</v>
      </c>
      <c r="B20" s="39" t="s">
        <v>406</v>
      </c>
      <c r="C20" s="40" t="s">
        <v>27</v>
      </c>
      <c r="D20" s="41">
        <f>시작중량_설정!$E$10</f>
        <v>26</v>
      </c>
      <c r="E20" s="40">
        <v>3</v>
      </c>
      <c r="F20" s="38" t="s">
        <v>289</v>
      </c>
      <c r="G20" s="38">
        <v>30</v>
      </c>
      <c r="H20" s="38">
        <v>180</v>
      </c>
      <c r="I20" s="38">
        <f t="shared" ref="I20:I29" si="0">IF(E20=0,0,ROUND((E20*(G20+H20)+O20)/60,1))</f>
        <v>10.5</v>
      </c>
      <c r="J20" s="39" t="s">
        <v>30</v>
      </c>
      <c r="K20" s="39" t="s">
        <v>407</v>
      </c>
      <c r="L20" s="39" t="s">
        <v>408</v>
      </c>
      <c r="M20" s="38" t="s">
        <v>409</v>
      </c>
      <c r="O20" s="38"/>
    </row>
    <row r="21" spans="1:15" ht="16.5" customHeight="1">
      <c r="A21" s="20">
        <v>2</v>
      </c>
      <c r="B21" s="21" t="s">
        <v>26</v>
      </c>
      <c r="C21" s="20" t="s">
        <v>27</v>
      </c>
      <c r="D21" s="20">
        <v>25</v>
      </c>
      <c r="E21" s="20">
        <v>3</v>
      </c>
      <c r="F21" s="26" t="s">
        <v>29</v>
      </c>
      <c r="G21" s="26">
        <v>40</v>
      </c>
      <c r="H21" s="26">
        <v>120</v>
      </c>
      <c r="I21" s="26">
        <f t="shared" si="0"/>
        <v>8</v>
      </c>
      <c r="J21" s="21" t="s">
        <v>410</v>
      </c>
      <c r="K21" s="21" t="s">
        <v>411</v>
      </c>
      <c r="L21" s="21" t="s">
        <v>412</v>
      </c>
      <c r="O21" s="26"/>
    </row>
    <row r="22" spans="1:15" ht="16.5" customHeight="1">
      <c r="A22" s="20">
        <v>3</v>
      </c>
      <c r="B22" s="36" t="s">
        <v>398</v>
      </c>
      <c r="C22" s="20" t="s">
        <v>34</v>
      </c>
      <c r="D22" s="20">
        <v>20</v>
      </c>
      <c r="E22" s="20">
        <v>3</v>
      </c>
      <c r="F22" s="26" t="s">
        <v>19</v>
      </c>
      <c r="G22" s="26">
        <v>40</v>
      </c>
      <c r="H22" s="26">
        <v>60</v>
      </c>
      <c r="I22" s="26">
        <f t="shared" si="0"/>
        <v>5</v>
      </c>
      <c r="J22" s="21" t="s">
        <v>248</v>
      </c>
      <c r="K22" s="21" t="s">
        <v>413</v>
      </c>
      <c r="L22" s="21" t="s">
        <v>414</v>
      </c>
      <c r="O22" s="26"/>
    </row>
    <row r="23" spans="1:15" ht="16.5" customHeight="1">
      <c r="A23" s="20">
        <v>4</v>
      </c>
      <c r="B23" s="21" t="s">
        <v>415</v>
      </c>
      <c r="C23" s="20" t="s">
        <v>288</v>
      </c>
      <c r="D23" s="26">
        <v>25</v>
      </c>
      <c r="E23" s="20">
        <v>3</v>
      </c>
      <c r="F23" s="26" t="s">
        <v>40</v>
      </c>
      <c r="G23" s="26">
        <v>40</v>
      </c>
      <c r="H23" s="26">
        <v>150</v>
      </c>
      <c r="I23" s="26">
        <f t="shared" si="0"/>
        <v>9.5</v>
      </c>
      <c r="J23" s="21" t="s">
        <v>39</v>
      </c>
      <c r="K23" s="21" t="s">
        <v>416</v>
      </c>
      <c r="L23" s="21" t="s">
        <v>417</v>
      </c>
      <c r="O23" s="26"/>
    </row>
    <row r="24" spans="1:15" ht="16.5" customHeight="1">
      <c r="A24" s="20">
        <v>5</v>
      </c>
      <c r="B24" s="21" t="s">
        <v>418</v>
      </c>
      <c r="C24" s="20" t="s">
        <v>299</v>
      </c>
      <c r="D24" s="26">
        <v>35</v>
      </c>
      <c r="E24" s="20">
        <v>3</v>
      </c>
      <c r="F24" s="26" t="s">
        <v>247</v>
      </c>
      <c r="G24" s="26">
        <v>40</v>
      </c>
      <c r="H24" s="26">
        <v>150</v>
      </c>
      <c r="I24" s="26">
        <f t="shared" si="0"/>
        <v>9.5</v>
      </c>
      <c r="J24" s="21" t="s">
        <v>290</v>
      </c>
      <c r="K24" s="21" t="s">
        <v>419</v>
      </c>
      <c r="L24" s="21" t="s">
        <v>420</v>
      </c>
      <c r="O24" s="26"/>
    </row>
    <row r="25" spans="1:15" ht="16.5" customHeight="1">
      <c r="A25" s="20">
        <v>6</v>
      </c>
      <c r="B25" s="21" t="s">
        <v>357</v>
      </c>
      <c r="C25" s="43" t="s">
        <v>288</v>
      </c>
      <c r="D25" s="26">
        <v>10</v>
      </c>
      <c r="E25" s="20">
        <v>3</v>
      </c>
      <c r="F25" s="26" t="s">
        <v>40</v>
      </c>
      <c r="G25" s="26">
        <v>40</v>
      </c>
      <c r="H25" s="26">
        <v>90</v>
      </c>
      <c r="I25" s="26">
        <f t="shared" si="0"/>
        <v>7.5</v>
      </c>
      <c r="J25" s="21"/>
      <c r="K25" s="21" t="s">
        <v>1114</v>
      </c>
      <c r="L25" s="21" t="s">
        <v>1051</v>
      </c>
      <c r="O25" s="26">
        <v>60</v>
      </c>
    </row>
    <row r="26" spans="1:15" ht="16.5" customHeight="1">
      <c r="A26" s="20">
        <v>7</v>
      </c>
      <c r="B26" s="21" t="s">
        <v>421</v>
      </c>
      <c r="C26" s="20" t="s">
        <v>23</v>
      </c>
      <c r="D26" s="26">
        <v>15</v>
      </c>
      <c r="E26" s="20">
        <v>3</v>
      </c>
      <c r="F26" s="26" t="s">
        <v>19</v>
      </c>
      <c r="G26" s="26">
        <v>40</v>
      </c>
      <c r="H26" s="26">
        <v>70</v>
      </c>
      <c r="I26" s="26">
        <f t="shared" si="0"/>
        <v>5.5</v>
      </c>
      <c r="J26" s="21"/>
      <c r="K26" s="21" t="s">
        <v>422</v>
      </c>
      <c r="L26" s="21" t="s">
        <v>423</v>
      </c>
      <c r="O26" s="26"/>
    </row>
    <row r="27" spans="1:15" ht="16.5" customHeight="1">
      <c r="A27" s="20">
        <v>8</v>
      </c>
      <c r="B27" s="21" t="s">
        <v>424</v>
      </c>
      <c r="C27" s="20" t="s">
        <v>18</v>
      </c>
      <c r="D27" s="26">
        <v>5</v>
      </c>
      <c r="E27" s="20">
        <v>3</v>
      </c>
      <c r="F27" s="26" t="s">
        <v>304</v>
      </c>
      <c r="G27" s="26">
        <v>70</v>
      </c>
      <c r="H27" s="26">
        <v>70</v>
      </c>
      <c r="I27" s="26">
        <f t="shared" si="0"/>
        <v>7</v>
      </c>
      <c r="J27" s="21"/>
      <c r="K27" s="21" t="s">
        <v>425</v>
      </c>
      <c r="L27" s="21" t="s">
        <v>426</v>
      </c>
      <c r="O27" s="26"/>
    </row>
    <row r="28" spans="1:15" ht="16.5" customHeight="1">
      <c r="A28" s="20">
        <v>9</v>
      </c>
      <c r="B28" s="21" t="s">
        <v>33</v>
      </c>
      <c r="C28" s="20" t="s">
        <v>34</v>
      </c>
      <c r="D28" s="26" t="s">
        <v>35</v>
      </c>
      <c r="E28" s="20">
        <v>3</v>
      </c>
      <c r="F28" s="26" t="s">
        <v>19</v>
      </c>
      <c r="G28" s="26">
        <v>40</v>
      </c>
      <c r="H28" s="26">
        <v>60</v>
      </c>
      <c r="I28" s="26">
        <f t="shared" si="0"/>
        <v>5</v>
      </c>
      <c r="J28" s="21" t="s">
        <v>388</v>
      </c>
      <c r="K28" s="21" t="s">
        <v>427</v>
      </c>
      <c r="L28" s="21" t="s">
        <v>428</v>
      </c>
      <c r="O28" s="26"/>
    </row>
    <row r="29" spans="1:15" ht="16.5" customHeight="1">
      <c r="A29" s="20">
        <v>10</v>
      </c>
      <c r="B29" s="85" t="s">
        <v>402</v>
      </c>
      <c r="C29" s="20" t="s">
        <v>260</v>
      </c>
      <c r="D29" s="20">
        <v>15</v>
      </c>
      <c r="E29" s="20">
        <v>3</v>
      </c>
      <c r="F29" s="26" t="s">
        <v>29</v>
      </c>
      <c r="G29" s="26">
        <v>40</v>
      </c>
      <c r="H29" s="26">
        <v>60</v>
      </c>
      <c r="I29" s="26">
        <f t="shared" si="0"/>
        <v>5</v>
      </c>
      <c r="J29" s="21"/>
      <c r="K29" s="21" t="s">
        <v>1062</v>
      </c>
      <c r="L29" s="21" t="s">
        <v>403</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429</v>
      </c>
    </row>
    <row r="32" spans="1:15">
      <c r="A32" s="31" t="s">
        <v>430</v>
      </c>
    </row>
    <row r="33" spans="1:1" ht="16.5" customHeight="1">
      <c r="A33" s="31" t="s">
        <v>431</v>
      </c>
    </row>
    <row r="34" spans="1:1" ht="16.5" customHeight="1">
      <c r="A34" s="31" t="s">
        <v>432</v>
      </c>
    </row>
    <row r="35" spans="1:1" ht="16.5" customHeight="1">
      <c r="A35" s="31" t="s">
        <v>433</v>
      </c>
    </row>
    <row r="36" spans="1:1" ht="16.5" customHeight="1">
      <c r="A36" s="31" t="s">
        <v>434</v>
      </c>
    </row>
    <row r="37" spans="1:1" ht="16.5" customHeight="1">
      <c r="A37" s="31" t="s">
        <v>435</v>
      </c>
    </row>
    <row r="38" spans="1:1" ht="16.5" customHeight="1">
      <c r="A38" s="31" t="s">
        <v>436</v>
      </c>
    </row>
    <row r="39" spans="1:1" ht="16.5" customHeight="1"/>
    <row r="40" spans="1:1" ht="16.5" customHeight="1">
      <c r="A40" t="s">
        <v>1053</v>
      </c>
    </row>
    <row r="41" spans="1:1">
      <c r="A41" t="s">
        <v>1056</v>
      </c>
    </row>
    <row r="42" spans="1:1">
      <c r="A42" t="s">
        <v>1066</v>
      </c>
    </row>
    <row r="44" spans="1:1">
      <c r="A44" s="112" t="s">
        <v>1102</v>
      </c>
    </row>
    <row r="45" spans="1:1">
      <c r="A45" t="s">
        <v>1115</v>
      </c>
    </row>
    <row r="46" spans="1:1">
      <c r="A46" t="s">
        <v>1104</v>
      </c>
    </row>
  </sheetData>
  <phoneticPr fontId="32" type="noConversion"/>
  <conditionalFormatting sqref="A20:O29">
    <cfRule type="expression" dxfId="8"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437</v>
      </c>
    </row>
    <row r="2" spans="1:15" ht="16.5" customHeight="1">
      <c r="A2" s="18" t="s">
        <v>438</v>
      </c>
    </row>
    <row r="4" spans="1:15" ht="16.5" customHeight="1">
      <c r="A4" s="3" t="s">
        <v>439</v>
      </c>
    </row>
    <row r="5" spans="1:15" ht="16.5" customHeight="1">
      <c r="A5" s="19" t="s">
        <v>6</v>
      </c>
      <c r="B5" s="19" t="s">
        <v>281</v>
      </c>
      <c r="C5" s="19" t="s">
        <v>7</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282</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1100</v>
      </c>
    </row>
    <row r="15" spans="1:15" ht="16.5" customHeight="1">
      <c r="A15" s="40">
        <v>1</v>
      </c>
      <c r="B15" s="39" t="s">
        <v>440</v>
      </c>
      <c r="C15" s="40" t="s">
        <v>271</v>
      </c>
      <c r="D15" s="41">
        <f>시작중량_설정!$E$8</f>
        <v>67</v>
      </c>
      <c r="E15" s="40">
        <v>1</v>
      </c>
      <c r="F15" s="38" t="s">
        <v>289</v>
      </c>
      <c r="G15" s="38">
        <v>35</v>
      </c>
      <c r="H15" s="38">
        <v>240</v>
      </c>
      <c r="I15" s="38">
        <f t="shared" ref="I15:I22" si="0">IF(E15=0,0,ROUND((E15*(G15+H15)+O15)/60,1))</f>
        <v>4.5999999999999996</v>
      </c>
      <c r="J15" s="39" t="s">
        <v>441</v>
      </c>
      <c r="K15" s="39" t="s">
        <v>442</v>
      </c>
      <c r="L15" s="39" t="s">
        <v>443</v>
      </c>
      <c r="O15" s="38"/>
    </row>
    <row r="16" spans="1:15" ht="16.5" customHeight="1">
      <c r="A16" s="40">
        <v>2</v>
      </c>
      <c r="B16" s="39" t="s">
        <v>444</v>
      </c>
      <c r="C16" s="40" t="s">
        <v>271</v>
      </c>
      <c r="D16" s="41">
        <f>시작중량_설정!$E$8-증량기록!$C$5</f>
        <v>62</v>
      </c>
      <c r="E16" s="40">
        <v>2</v>
      </c>
      <c r="F16" s="38" t="s">
        <v>289</v>
      </c>
      <c r="G16" s="38">
        <v>35</v>
      </c>
      <c r="H16" s="38">
        <v>180</v>
      </c>
      <c r="I16" s="38">
        <f t="shared" si="0"/>
        <v>7.2</v>
      </c>
      <c r="J16" s="39" t="s">
        <v>441</v>
      </c>
      <c r="K16" s="39" t="s">
        <v>445</v>
      </c>
      <c r="L16" s="39" t="s">
        <v>443</v>
      </c>
      <c r="O16" s="38"/>
    </row>
    <row r="17" spans="1:15" ht="16.5" customHeight="1">
      <c r="A17" s="20">
        <v>3</v>
      </c>
      <c r="B17" s="21" t="s">
        <v>446</v>
      </c>
      <c r="C17" s="20" t="s">
        <v>321</v>
      </c>
      <c r="D17" s="26">
        <v>25</v>
      </c>
      <c r="E17" s="20">
        <v>4</v>
      </c>
      <c r="F17" s="26" t="s">
        <v>40</v>
      </c>
      <c r="G17" s="26">
        <v>45</v>
      </c>
      <c r="H17" s="26">
        <v>150</v>
      </c>
      <c r="I17" s="26">
        <f t="shared" si="0"/>
        <v>13</v>
      </c>
      <c r="J17" s="21" t="s">
        <v>330</v>
      </c>
      <c r="K17" s="21" t="s">
        <v>447</v>
      </c>
      <c r="L17" s="21" t="s">
        <v>448</v>
      </c>
      <c r="O17" s="26"/>
    </row>
    <row r="18" spans="1:15" ht="16.5" customHeight="1">
      <c r="A18" s="20">
        <v>4</v>
      </c>
      <c r="B18" s="21" t="s">
        <v>449</v>
      </c>
      <c r="C18" s="20" t="s">
        <v>330</v>
      </c>
      <c r="D18" s="20">
        <v>35</v>
      </c>
      <c r="E18" s="20">
        <v>3</v>
      </c>
      <c r="F18" s="26" t="s">
        <v>57</v>
      </c>
      <c r="G18" s="26">
        <v>40</v>
      </c>
      <c r="H18" s="26">
        <v>150</v>
      </c>
      <c r="I18" s="26">
        <f t="shared" si="0"/>
        <v>9.5</v>
      </c>
      <c r="J18" s="21" t="s">
        <v>316</v>
      </c>
      <c r="K18" s="21" t="s">
        <v>450</v>
      </c>
      <c r="L18" s="21" t="s">
        <v>451</v>
      </c>
      <c r="O18" s="26"/>
    </row>
    <row r="19" spans="1:15" ht="16.5" customHeight="1">
      <c r="A19" s="20">
        <v>5</v>
      </c>
      <c r="B19" s="21" t="s">
        <v>452</v>
      </c>
      <c r="C19" s="20" t="s">
        <v>330</v>
      </c>
      <c r="D19" s="26">
        <v>15</v>
      </c>
      <c r="E19" s="20">
        <v>3</v>
      </c>
      <c r="F19" s="26" t="s">
        <v>267</v>
      </c>
      <c r="G19" s="26">
        <v>80</v>
      </c>
      <c r="H19" s="26">
        <v>120</v>
      </c>
      <c r="I19" s="26">
        <f t="shared" si="0"/>
        <v>10</v>
      </c>
      <c r="J19" s="21"/>
      <c r="K19" s="21" t="s">
        <v>453</v>
      </c>
      <c r="L19" s="21" t="s">
        <v>454</v>
      </c>
      <c r="O19" s="26"/>
    </row>
    <row r="20" spans="1:15" ht="16.5" customHeight="1">
      <c r="A20" s="20">
        <v>6</v>
      </c>
      <c r="B20" s="21" t="s">
        <v>1093</v>
      </c>
      <c r="C20" s="20" t="s">
        <v>1095</v>
      </c>
      <c r="D20" s="26">
        <v>120</v>
      </c>
      <c r="E20" s="20">
        <v>3</v>
      </c>
      <c r="F20" s="26" t="s">
        <v>1096</v>
      </c>
      <c r="G20" s="26">
        <v>45</v>
      </c>
      <c r="H20" s="26">
        <v>150</v>
      </c>
      <c r="I20" s="26">
        <f t="shared" si="0"/>
        <v>9.8000000000000007</v>
      </c>
      <c r="J20" s="21" t="s">
        <v>321</v>
      </c>
      <c r="K20" s="21" t="s">
        <v>1117</v>
      </c>
      <c r="L20" s="21" t="s">
        <v>1098</v>
      </c>
      <c r="O20" s="26"/>
    </row>
    <row r="21" spans="1:15" ht="16.5" customHeight="1">
      <c r="A21" s="20">
        <v>7</v>
      </c>
      <c r="B21" s="21" t="s">
        <v>1094</v>
      </c>
      <c r="C21" s="20" t="s">
        <v>1095</v>
      </c>
      <c r="D21" s="26">
        <v>42</v>
      </c>
      <c r="E21" s="20">
        <v>4</v>
      </c>
      <c r="F21" s="26" t="s">
        <v>1097</v>
      </c>
      <c r="G21" s="26">
        <v>40</v>
      </c>
      <c r="H21" s="26">
        <v>120</v>
      </c>
      <c r="I21" s="26">
        <f t="shared" si="0"/>
        <v>11.9</v>
      </c>
      <c r="J21" s="21"/>
      <c r="K21" s="21" t="s">
        <v>1116</v>
      </c>
      <c r="L21" s="21" t="s">
        <v>1099</v>
      </c>
      <c r="O21" s="26">
        <v>75</v>
      </c>
    </row>
    <row r="22" spans="1:15" ht="16.5" customHeight="1">
      <c r="A22" s="20">
        <v>8</v>
      </c>
      <c r="B22" s="21" t="s">
        <v>55</v>
      </c>
      <c r="C22" s="20" t="s">
        <v>56</v>
      </c>
      <c r="D22" s="26">
        <v>8</v>
      </c>
      <c r="E22" s="20">
        <v>4</v>
      </c>
      <c r="F22" s="26" t="s">
        <v>19</v>
      </c>
      <c r="G22" s="26">
        <v>40</v>
      </c>
      <c r="H22" s="26">
        <v>75</v>
      </c>
      <c r="I22" s="26">
        <f t="shared" si="0"/>
        <v>7.7</v>
      </c>
      <c r="J22" s="21"/>
      <c r="K22" s="21" t="s">
        <v>456</v>
      </c>
      <c r="L22" s="21" t="s">
        <v>457</v>
      </c>
      <c r="O22" s="26"/>
    </row>
    <row r="23" spans="1:15" ht="16.5" customHeight="1">
      <c r="D23" s="3" t="s">
        <v>63</v>
      </c>
      <c r="E23" s="27">
        <f>SUM(E15:E22)</f>
        <v>24</v>
      </c>
      <c r="I23">
        <f>ROUND(SUM(I15:I22),0)</f>
        <v>74</v>
      </c>
    </row>
    <row r="24" spans="1:15" ht="15" customHeight="1">
      <c r="A24" s="112" t="s">
        <v>1102</v>
      </c>
    </row>
    <row r="25" spans="1:15">
      <c r="A25" t="s">
        <v>1118</v>
      </c>
    </row>
    <row r="26" spans="1:15">
      <c r="A26" t="s">
        <v>1104</v>
      </c>
    </row>
    <row r="33" spans="2:2">
      <c r="B33" s="83"/>
    </row>
  </sheetData>
  <phoneticPr fontId="32" type="noConversion"/>
  <conditionalFormatting sqref="A15:O22">
    <cfRule type="expression" dxfId="7"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1063</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1100</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874</v>
      </c>
      <c r="C10" s="20" t="s">
        <v>299</v>
      </c>
      <c r="D10" s="20">
        <v>8</v>
      </c>
      <c r="E10" s="20">
        <v>3</v>
      </c>
      <c r="F10" s="26" t="s">
        <v>304</v>
      </c>
      <c r="G10" s="26">
        <v>40</v>
      </c>
      <c r="H10" s="26">
        <v>105</v>
      </c>
      <c r="I10" s="26">
        <f t="shared" si="0"/>
        <v>7.3</v>
      </c>
      <c r="J10" s="21"/>
      <c r="K10" s="21" t="s">
        <v>1042</v>
      </c>
      <c r="L10" s="21" t="s">
        <v>306</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366</v>
      </c>
      <c r="C13" s="20" t="s">
        <v>45</v>
      </c>
      <c r="D13" s="20">
        <v>10</v>
      </c>
      <c r="E13" s="20">
        <v>3</v>
      </c>
      <c r="F13" s="26" t="s">
        <v>49</v>
      </c>
      <c r="G13" s="26">
        <v>40</v>
      </c>
      <c r="H13" s="26">
        <v>60</v>
      </c>
      <c r="I13" s="26">
        <f t="shared" si="0"/>
        <v>5</v>
      </c>
      <c r="J13" s="21"/>
      <c r="K13" s="21" t="s">
        <v>1048</v>
      </c>
      <c r="L13" s="21" t="s">
        <v>367</v>
      </c>
      <c r="O13" s="26"/>
    </row>
    <row r="14" spans="1:15" ht="16.5" customHeight="1">
      <c r="A14" s="20">
        <v>9</v>
      </c>
      <c r="B14" s="81" t="s">
        <v>332</v>
      </c>
      <c r="C14" s="20" t="s">
        <v>333</v>
      </c>
      <c r="D14" s="20" t="s">
        <v>368</v>
      </c>
      <c r="E14" s="20">
        <v>5</v>
      </c>
      <c r="F14" s="26" t="s">
        <v>19</v>
      </c>
      <c r="G14" s="26">
        <v>40</v>
      </c>
      <c r="H14" s="26">
        <v>10</v>
      </c>
      <c r="I14" s="26">
        <f t="shared" si="0"/>
        <v>4.2</v>
      </c>
      <c r="J14" s="21"/>
      <c r="K14" s="21" t="s">
        <v>1046</v>
      </c>
      <c r="L14" s="21" t="s">
        <v>369</v>
      </c>
      <c r="N14" t="s">
        <v>336</v>
      </c>
      <c r="O14" s="26"/>
    </row>
    <row r="15" spans="1:15" ht="16.5" customHeight="1">
      <c r="A15" s="20">
        <v>10</v>
      </c>
      <c r="B15" s="81" t="s">
        <v>337</v>
      </c>
      <c r="C15" s="20" t="s">
        <v>60</v>
      </c>
      <c r="D15" s="20" t="s">
        <v>256</v>
      </c>
      <c r="E15" s="20">
        <v>5</v>
      </c>
      <c r="F15" s="26" t="s">
        <v>19</v>
      </c>
      <c r="G15" s="26">
        <v>40</v>
      </c>
      <c r="H15" s="26">
        <v>105</v>
      </c>
      <c r="I15" s="26">
        <f t="shared" si="0"/>
        <v>12.1</v>
      </c>
      <c r="J15" s="21"/>
      <c r="K15" s="21" t="s">
        <v>1047</v>
      </c>
      <c r="L15" s="21" t="s">
        <v>370</v>
      </c>
      <c r="N15" t="s">
        <v>336</v>
      </c>
      <c r="O15" s="26"/>
    </row>
    <row r="16" spans="1:15" ht="16.5" customHeight="1">
      <c r="D16" s="3" t="s">
        <v>63</v>
      </c>
      <c r="E16" s="27">
        <f>SUM(E6:E15)</f>
        <v>36</v>
      </c>
      <c r="I16">
        <f>ROUND(SUM(I6:I15),0)</f>
        <v>70</v>
      </c>
    </row>
    <row r="17" spans="1:6" ht="16.5" customHeight="1">
      <c r="F17" s="87" t="s">
        <v>1132</v>
      </c>
    </row>
    <row r="18" spans="1:6" ht="16.5" customHeight="1">
      <c r="A18" s="108" t="s">
        <v>64</v>
      </c>
    </row>
    <row r="19" spans="1:6" ht="16.5" customHeight="1">
      <c r="A19" t="s">
        <v>65</v>
      </c>
    </row>
    <row r="20" spans="1:6" ht="16.5" customHeight="1">
      <c r="A20" t="s">
        <v>66</v>
      </c>
    </row>
    <row r="21" spans="1:6" ht="16.5" customHeight="1">
      <c r="A21" t="s">
        <v>67</v>
      </c>
    </row>
    <row r="22" spans="1:6" ht="16.5" customHeight="1">
      <c r="A22" t="s">
        <v>68</v>
      </c>
    </row>
    <row r="23" spans="1:6" ht="16.5" customHeight="1"/>
    <row r="24" spans="1:6" ht="16.5" customHeight="1">
      <c r="A24" s="3" t="s">
        <v>69</v>
      </c>
    </row>
    <row r="25" spans="1:6" ht="16.5" customHeight="1">
      <c r="A25" s="31" t="s">
        <v>70</v>
      </c>
    </row>
    <row r="26" spans="1:6" ht="16.5" customHeight="1">
      <c r="A26" s="31" t="s">
        <v>71</v>
      </c>
    </row>
    <row r="27" spans="1:6" ht="16.5" customHeight="1">
      <c r="A27" s="31" t="s">
        <v>72</v>
      </c>
    </row>
    <row r="28" spans="1:6" ht="16.5" customHeight="1">
      <c r="A28" s="31" t="s">
        <v>73</v>
      </c>
    </row>
    <row r="29" spans="1:6" ht="16.5" customHeight="1">
      <c r="A29" s="3" t="s">
        <v>74</v>
      </c>
    </row>
    <row r="30" spans="1:6" ht="16.5" customHeight="1">
      <c r="A30" s="31" t="s">
        <v>75</v>
      </c>
    </row>
    <row r="31" spans="1:6" ht="16.5" customHeight="1">
      <c r="A31" s="31" t="s">
        <v>76</v>
      </c>
    </row>
    <row r="32" spans="1:6"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1043</v>
      </c>
    </row>
    <row r="46" spans="1:1">
      <c r="A46" t="s">
        <v>1044</v>
      </c>
    </row>
    <row r="47" spans="1:1">
      <c r="A47" t="s">
        <v>1055</v>
      </c>
    </row>
    <row r="48" spans="1:1">
      <c r="A48" t="s">
        <v>1067</v>
      </c>
    </row>
  </sheetData>
  <phoneticPr fontId="32" type="noConversion"/>
  <conditionalFormatting sqref="A6:O15">
    <cfRule type="expression" dxfId="6"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458</v>
      </c>
    </row>
    <row r="2" spans="1:8" ht="30" customHeight="1">
      <c r="A2" s="116" t="s">
        <v>459</v>
      </c>
      <c r="B2" s="115"/>
      <c r="C2" s="115"/>
      <c r="D2" s="115"/>
      <c r="E2" s="115"/>
      <c r="F2" s="115"/>
      <c r="G2" s="115"/>
      <c r="H2" s="115"/>
    </row>
    <row r="3" spans="1:8">
      <c r="A3" t="s">
        <v>460</v>
      </c>
      <c r="F3">
        <f ca="1">COUNTIF($E$7:$E$80,"?")</f>
        <v>0</v>
      </c>
    </row>
    <row r="4" spans="1:8" ht="39.75" customHeight="1">
      <c r="A4" s="114" t="s">
        <v>461</v>
      </c>
      <c r="B4" s="115"/>
      <c r="C4" s="115"/>
      <c r="D4" s="115"/>
      <c r="E4" s="115"/>
      <c r="F4" s="115"/>
      <c r="G4" s="115"/>
      <c r="H4" s="115"/>
    </row>
    <row r="6" spans="1:8" ht="15" customHeight="1">
      <c r="A6" s="44" t="s">
        <v>462</v>
      </c>
      <c r="B6" s="44" t="s">
        <v>463</v>
      </c>
      <c r="C6" s="44" t="s">
        <v>464</v>
      </c>
      <c r="D6" s="44" t="s">
        <v>465</v>
      </c>
      <c r="E6" s="44" t="s">
        <v>466</v>
      </c>
      <c r="F6" s="44" t="s">
        <v>467</v>
      </c>
      <c r="G6" s="44" t="s">
        <v>468</v>
      </c>
      <c r="H6" s="44" t="s">
        <v>469</v>
      </c>
    </row>
    <row r="7" spans="1:8" ht="15" customHeight="1">
      <c r="A7" s="45" t="s">
        <v>470</v>
      </c>
      <c r="B7" s="45" t="s">
        <v>236</v>
      </c>
      <c r="C7" s="45" t="s">
        <v>44</v>
      </c>
      <c r="D7" s="46">
        <v>0.5</v>
      </c>
      <c r="E7" s="47">
        <f t="shared" ref="E7:E38" ca="1" si="0">IFERROR(INDEX(INDIRECT("'"&amp;$A7&amp;"'!$E$1:$E$45"),MATCH($B7,INDIRECT("'"&amp;$A7&amp;"'!$B$1:$B$45"),0)),"?")</f>
        <v>4</v>
      </c>
      <c r="F7" s="48">
        <f t="shared" ref="F7:F38" ca="1" si="1">IF(ISNUMBER(E7),$D7*E7,0)</f>
        <v>2</v>
      </c>
      <c r="G7" s="49" t="s">
        <v>471</v>
      </c>
      <c r="H7" s="50" t="s">
        <v>472</v>
      </c>
    </row>
    <row r="8" spans="1:8" ht="15" customHeight="1">
      <c r="A8" s="45" t="s">
        <v>470</v>
      </c>
      <c r="B8" s="45" t="s">
        <v>242</v>
      </c>
      <c r="C8" s="45" t="s">
        <v>44</v>
      </c>
      <c r="D8" s="46">
        <v>0.2</v>
      </c>
      <c r="E8" s="47">
        <f t="shared" ca="1" si="0"/>
        <v>3</v>
      </c>
      <c r="F8" s="48">
        <f t="shared" ca="1" si="1"/>
        <v>0.60000000000000009</v>
      </c>
      <c r="G8" s="49" t="s">
        <v>471</v>
      </c>
      <c r="H8" s="50" t="s">
        <v>473</v>
      </c>
    </row>
    <row r="9" spans="1:8" ht="15" customHeight="1">
      <c r="A9" s="45" t="s">
        <v>474</v>
      </c>
      <c r="B9" s="45" t="s">
        <v>381</v>
      </c>
      <c r="C9" s="45" t="s">
        <v>44</v>
      </c>
      <c r="D9" s="46">
        <v>0.2</v>
      </c>
      <c r="E9" s="47">
        <f t="shared" ca="1" si="0"/>
        <v>4</v>
      </c>
      <c r="F9" s="48">
        <f t="shared" ca="1" si="1"/>
        <v>0.8</v>
      </c>
      <c r="G9" s="49" t="s">
        <v>471</v>
      </c>
      <c r="H9" s="50" t="s">
        <v>475</v>
      </c>
    </row>
    <row r="10" spans="1:8" ht="15" customHeight="1">
      <c r="A10" s="45" t="s">
        <v>474</v>
      </c>
      <c r="B10" s="45" t="s">
        <v>385</v>
      </c>
      <c r="C10" s="45" t="s">
        <v>44</v>
      </c>
      <c r="D10" s="46">
        <v>0.33</v>
      </c>
      <c r="E10" s="47">
        <f t="shared" ca="1" si="0"/>
        <v>2</v>
      </c>
      <c r="F10" s="48">
        <f t="shared" ca="1" si="1"/>
        <v>0.66</v>
      </c>
      <c r="G10" s="49" t="s">
        <v>471</v>
      </c>
      <c r="H10" s="50" t="s">
        <v>476</v>
      </c>
    </row>
    <row r="11" spans="1:8" ht="15" customHeight="1">
      <c r="A11" s="45" t="s">
        <v>477</v>
      </c>
      <c r="B11" s="45" t="s">
        <v>287</v>
      </c>
      <c r="C11" s="45" t="s">
        <v>39</v>
      </c>
      <c r="D11" s="46">
        <v>0.33</v>
      </c>
      <c r="E11" s="47">
        <f t="shared" ca="1" si="0"/>
        <v>5</v>
      </c>
      <c r="F11" s="48">
        <f t="shared" ca="1" si="1"/>
        <v>1.6500000000000001</v>
      </c>
      <c r="G11" s="49" t="s">
        <v>471</v>
      </c>
      <c r="H11" s="50" t="s">
        <v>478</v>
      </c>
    </row>
    <row r="12" spans="1:8" ht="15" customHeight="1">
      <c r="A12" s="45" t="s">
        <v>477</v>
      </c>
      <c r="B12" s="45" t="s">
        <v>294</v>
      </c>
      <c r="C12" s="45" t="s">
        <v>39</v>
      </c>
      <c r="D12" s="46">
        <v>0.5</v>
      </c>
      <c r="E12" s="47">
        <f t="shared" ca="1" si="0"/>
        <v>4</v>
      </c>
      <c r="F12" s="48">
        <f t="shared" ca="1" si="1"/>
        <v>2</v>
      </c>
      <c r="G12" s="49" t="s">
        <v>471</v>
      </c>
      <c r="H12" s="50" t="s">
        <v>479</v>
      </c>
    </row>
    <row r="13" spans="1:8" ht="15" customHeight="1">
      <c r="A13" s="45" t="s">
        <v>480</v>
      </c>
      <c r="B13" s="45" t="s">
        <v>406</v>
      </c>
      <c r="C13" s="45" t="s">
        <v>39</v>
      </c>
      <c r="D13" s="46">
        <v>0.33</v>
      </c>
      <c r="E13" s="47">
        <f t="shared" ca="1" si="0"/>
        <v>3</v>
      </c>
      <c r="F13" s="48">
        <f t="shared" ca="1" si="1"/>
        <v>0.99</v>
      </c>
      <c r="G13" s="49" t="s">
        <v>471</v>
      </c>
      <c r="H13" s="50" t="s">
        <v>481</v>
      </c>
    </row>
    <row r="14" spans="1:8" ht="15" customHeight="1">
      <c r="A14" s="45" t="s">
        <v>480</v>
      </c>
      <c r="B14" s="45" t="s">
        <v>418</v>
      </c>
      <c r="C14" s="45" t="s">
        <v>39</v>
      </c>
      <c r="D14" s="46">
        <v>0.5</v>
      </c>
      <c r="E14" s="47">
        <f t="shared" ca="1" si="0"/>
        <v>3</v>
      </c>
      <c r="F14" s="48">
        <f t="shared" ca="1" si="1"/>
        <v>1.5</v>
      </c>
      <c r="G14" s="49" t="s">
        <v>471</v>
      </c>
      <c r="H14" s="50" t="s">
        <v>482</v>
      </c>
    </row>
    <row r="15" spans="1:8" ht="15" customHeight="1">
      <c r="A15" s="45" t="s">
        <v>1041</v>
      </c>
      <c r="B15" s="45" t="s">
        <v>298</v>
      </c>
      <c r="C15" s="45" t="s">
        <v>39</v>
      </c>
      <c r="D15" s="46">
        <v>0.5</v>
      </c>
      <c r="E15" s="47">
        <f t="shared" ca="1" si="0"/>
        <v>3</v>
      </c>
      <c r="F15" s="48">
        <f t="shared" ca="1" si="1"/>
        <v>1.5</v>
      </c>
      <c r="G15" s="49" t="s">
        <v>483</v>
      </c>
      <c r="H15" s="50" t="s">
        <v>484</v>
      </c>
    </row>
    <row r="16" spans="1:8" ht="15" customHeight="1">
      <c r="A16" s="45" t="s">
        <v>485</v>
      </c>
      <c r="B16" s="45" t="s">
        <v>43</v>
      </c>
      <c r="C16" s="45" t="s">
        <v>45</v>
      </c>
      <c r="D16" s="46">
        <v>0.33</v>
      </c>
      <c r="E16" s="47">
        <f t="shared" ca="1" si="0"/>
        <v>4</v>
      </c>
      <c r="F16" s="48">
        <f t="shared" ca="1" si="1"/>
        <v>1.32</v>
      </c>
      <c r="G16" s="49" t="s">
        <v>471</v>
      </c>
      <c r="H16" s="50" t="s">
        <v>486</v>
      </c>
    </row>
    <row r="17" spans="1:8" ht="15" customHeight="1">
      <c r="A17" s="45" t="s">
        <v>474</v>
      </c>
      <c r="B17" s="45" t="s">
        <v>392</v>
      </c>
      <c r="C17" s="45" t="s">
        <v>45</v>
      </c>
      <c r="D17" s="46">
        <v>0.33</v>
      </c>
      <c r="E17" s="47">
        <f t="shared" ca="1" si="0"/>
        <v>4</v>
      </c>
      <c r="F17" s="48">
        <f t="shared" ca="1" si="1"/>
        <v>1.32</v>
      </c>
      <c r="G17" s="49" t="s">
        <v>471</v>
      </c>
      <c r="H17" s="50" t="s">
        <v>487</v>
      </c>
    </row>
    <row r="18" spans="1:8" ht="15" customHeight="1">
      <c r="A18" s="45" t="s">
        <v>474</v>
      </c>
      <c r="B18" s="45" t="s">
        <v>394</v>
      </c>
      <c r="C18" s="45" t="s">
        <v>45</v>
      </c>
      <c r="D18" s="46">
        <v>0</v>
      </c>
      <c r="E18" s="47">
        <f t="shared" ca="1" si="0"/>
        <v>4</v>
      </c>
      <c r="F18" s="48">
        <f t="shared" ca="1" si="1"/>
        <v>0</v>
      </c>
      <c r="G18" s="49" t="s">
        <v>471</v>
      </c>
      <c r="H18" s="50" t="s">
        <v>488</v>
      </c>
    </row>
    <row r="19" spans="1:8" ht="15" customHeight="1">
      <c r="A19" s="45" t="s">
        <v>477</v>
      </c>
      <c r="B19" s="45" t="s">
        <v>287</v>
      </c>
      <c r="C19" s="45" t="s">
        <v>27</v>
      </c>
      <c r="D19" s="46">
        <v>0.33</v>
      </c>
      <c r="E19" s="47">
        <f t="shared" ca="1" si="0"/>
        <v>5</v>
      </c>
      <c r="F19" s="48">
        <f t="shared" ca="1" si="1"/>
        <v>1.6500000000000001</v>
      </c>
      <c r="G19" s="49" t="s">
        <v>471</v>
      </c>
      <c r="H19" s="50" t="s">
        <v>489</v>
      </c>
    </row>
    <row r="20" spans="1:8" ht="15" customHeight="1">
      <c r="A20" s="45" t="s">
        <v>1041</v>
      </c>
      <c r="B20" s="45" t="s">
        <v>298</v>
      </c>
      <c r="C20" s="45" t="s">
        <v>27</v>
      </c>
      <c r="D20" s="46">
        <v>0.5</v>
      </c>
      <c r="E20" s="47">
        <f t="shared" ca="1" si="0"/>
        <v>3</v>
      </c>
      <c r="F20" s="48">
        <f t="shared" ca="1" si="1"/>
        <v>1.5</v>
      </c>
      <c r="G20" s="49" t="s">
        <v>483</v>
      </c>
      <c r="H20" s="50" t="s">
        <v>490</v>
      </c>
    </row>
    <row r="21" spans="1:8" ht="15" customHeight="1">
      <c r="A21" s="45" t="s">
        <v>480</v>
      </c>
      <c r="B21" s="45" t="s">
        <v>418</v>
      </c>
      <c r="C21" s="45" t="s">
        <v>27</v>
      </c>
      <c r="D21" s="46">
        <v>0.5</v>
      </c>
      <c r="E21" s="47">
        <f t="shared" ca="1" si="0"/>
        <v>3</v>
      </c>
      <c r="F21" s="48">
        <f t="shared" ca="1" si="1"/>
        <v>1.5</v>
      </c>
      <c r="G21" s="49" t="s">
        <v>471</v>
      </c>
      <c r="H21" s="50" t="s">
        <v>491</v>
      </c>
    </row>
    <row r="22" spans="1:8" ht="15" customHeight="1">
      <c r="A22" s="45" t="s">
        <v>480</v>
      </c>
      <c r="B22" s="45" t="s">
        <v>406</v>
      </c>
      <c r="C22" s="45" t="s">
        <v>18</v>
      </c>
      <c r="D22" s="46">
        <v>0.33</v>
      </c>
      <c r="E22" s="47">
        <f t="shared" ca="1" si="0"/>
        <v>3</v>
      </c>
      <c r="F22" s="48">
        <f t="shared" ca="1" si="1"/>
        <v>0.99</v>
      </c>
      <c r="G22" s="49" t="s">
        <v>471</v>
      </c>
      <c r="H22" s="50" t="s">
        <v>492</v>
      </c>
    </row>
    <row r="23" spans="1:8" ht="15" customHeight="1">
      <c r="A23" s="45" t="s">
        <v>480</v>
      </c>
      <c r="B23" s="45" t="s">
        <v>26</v>
      </c>
      <c r="C23" s="45" t="s">
        <v>18</v>
      </c>
      <c r="D23" s="46">
        <v>0.33</v>
      </c>
      <c r="E23" s="47">
        <f t="shared" ca="1" si="0"/>
        <v>3</v>
      </c>
      <c r="F23" s="48">
        <f t="shared" ca="1" si="1"/>
        <v>0.99</v>
      </c>
      <c r="G23" s="52" t="s">
        <v>483</v>
      </c>
      <c r="H23" s="50" t="s">
        <v>493</v>
      </c>
    </row>
    <row r="24" spans="1:8" ht="15" customHeight="1">
      <c r="A24" s="45" t="s">
        <v>485</v>
      </c>
      <c r="B24" s="45" t="s">
        <v>26</v>
      </c>
      <c r="C24" s="45" t="s">
        <v>18</v>
      </c>
      <c r="D24" s="46">
        <v>0.33</v>
      </c>
      <c r="E24" s="47">
        <f t="shared" ca="1" si="0"/>
        <v>3</v>
      </c>
      <c r="F24" s="48">
        <f t="shared" ca="1" si="1"/>
        <v>0.99</v>
      </c>
      <c r="G24" s="52" t="s">
        <v>483</v>
      </c>
      <c r="H24" s="50" t="s">
        <v>494</v>
      </c>
    </row>
    <row r="25" spans="1:8" ht="15" customHeight="1">
      <c r="A25" s="45" t="s">
        <v>470</v>
      </c>
      <c r="B25" s="45" t="s">
        <v>251</v>
      </c>
      <c r="C25" s="45" t="s">
        <v>23</v>
      </c>
      <c r="D25" s="46">
        <v>0.5</v>
      </c>
      <c r="E25" s="47">
        <f t="shared" ca="1" si="0"/>
        <v>3</v>
      </c>
      <c r="F25" s="48">
        <f t="shared" ca="1" si="1"/>
        <v>1.5</v>
      </c>
      <c r="G25" s="49" t="s">
        <v>471</v>
      </c>
      <c r="H25" s="50" t="s">
        <v>495</v>
      </c>
    </row>
    <row r="26" spans="1:8" ht="15" customHeight="1">
      <c r="A26" s="45" t="s">
        <v>485</v>
      </c>
      <c r="B26" s="45" t="s">
        <v>33</v>
      </c>
      <c r="C26" s="45" t="s">
        <v>23</v>
      </c>
      <c r="D26" s="46">
        <v>0.5</v>
      </c>
      <c r="E26" s="47">
        <f t="shared" ca="1" si="0"/>
        <v>3</v>
      </c>
      <c r="F26" s="48">
        <f t="shared" ca="1" si="1"/>
        <v>1.5</v>
      </c>
      <c r="G26" s="52" t="s">
        <v>483</v>
      </c>
      <c r="H26" s="50" t="s">
        <v>496</v>
      </c>
    </row>
    <row r="27" spans="1:8" ht="15" customHeight="1">
      <c r="A27" s="45" t="s">
        <v>480</v>
      </c>
      <c r="B27" s="45" t="s">
        <v>33</v>
      </c>
      <c r="C27" s="45" t="s">
        <v>23</v>
      </c>
      <c r="D27" s="46">
        <v>0.5</v>
      </c>
      <c r="E27" s="47">
        <f t="shared" ca="1" si="0"/>
        <v>3</v>
      </c>
      <c r="F27" s="48">
        <f t="shared" ca="1" si="1"/>
        <v>1.5</v>
      </c>
      <c r="G27" s="49" t="s">
        <v>471</v>
      </c>
      <c r="H27" s="51" t="s">
        <v>497</v>
      </c>
    </row>
    <row r="28" spans="1:8" ht="15" customHeight="1">
      <c r="A28" s="45" t="s">
        <v>474</v>
      </c>
      <c r="B28" s="45" t="s">
        <v>381</v>
      </c>
      <c r="C28" s="45" t="s">
        <v>237</v>
      </c>
      <c r="D28" s="46">
        <v>0.5</v>
      </c>
      <c r="E28" s="47">
        <f t="shared" ca="1" si="0"/>
        <v>4</v>
      </c>
      <c r="F28" s="48">
        <f t="shared" ca="1" si="1"/>
        <v>2</v>
      </c>
      <c r="G28" s="49" t="s">
        <v>471</v>
      </c>
      <c r="H28" s="50" t="s">
        <v>498</v>
      </c>
    </row>
    <row r="29" spans="1:8" ht="15" customHeight="1">
      <c r="A29" s="45" t="s">
        <v>474</v>
      </c>
      <c r="B29" s="45" t="s">
        <v>385</v>
      </c>
      <c r="C29" s="45" t="s">
        <v>245</v>
      </c>
      <c r="D29" s="46">
        <v>0.5</v>
      </c>
      <c r="E29" s="47">
        <f t="shared" ca="1" si="0"/>
        <v>2</v>
      </c>
      <c r="F29" s="48">
        <f t="shared" ca="1" si="1"/>
        <v>1</v>
      </c>
      <c r="G29" s="49" t="s">
        <v>471</v>
      </c>
      <c r="H29" s="50" t="s">
        <v>499</v>
      </c>
    </row>
    <row r="30" spans="1:8" ht="15" customHeight="1">
      <c r="A30" s="45" t="s">
        <v>474</v>
      </c>
      <c r="B30" s="45" t="s">
        <v>350</v>
      </c>
      <c r="C30" s="45" t="s">
        <v>245</v>
      </c>
      <c r="D30" s="46">
        <v>0.5</v>
      </c>
      <c r="E30" s="47">
        <f t="shared" ca="1" si="0"/>
        <v>0</v>
      </c>
      <c r="F30" s="48">
        <f t="shared" ca="1" si="1"/>
        <v>0</v>
      </c>
      <c r="G30" s="49" t="s">
        <v>471</v>
      </c>
      <c r="H30" s="50" t="s">
        <v>499</v>
      </c>
    </row>
    <row r="31" spans="1:8" ht="15" customHeight="1">
      <c r="A31" s="45" t="s">
        <v>500</v>
      </c>
      <c r="B31" s="45" t="s">
        <v>446</v>
      </c>
      <c r="C31" s="45" t="s">
        <v>330</v>
      </c>
      <c r="D31" s="46">
        <v>0.2</v>
      </c>
      <c r="E31" s="47">
        <f t="shared" ca="1" si="0"/>
        <v>4</v>
      </c>
      <c r="F31" s="48">
        <f t="shared" ca="1" si="1"/>
        <v>0.8</v>
      </c>
      <c r="G31" s="49" t="s">
        <v>471</v>
      </c>
      <c r="H31" s="50" t="s">
        <v>501</v>
      </c>
    </row>
    <row r="32" spans="1:8" ht="15" customHeight="1">
      <c r="A32" s="45" t="s">
        <v>500</v>
      </c>
      <c r="B32" s="45" t="s">
        <v>440</v>
      </c>
      <c r="C32" s="45" t="s">
        <v>330</v>
      </c>
      <c r="D32" s="46">
        <v>0.33</v>
      </c>
      <c r="E32" s="47">
        <f t="shared" ca="1" si="0"/>
        <v>1</v>
      </c>
      <c r="F32" s="48">
        <f t="shared" ca="1" si="1"/>
        <v>0.33</v>
      </c>
      <c r="G32" s="49" t="s">
        <v>471</v>
      </c>
      <c r="H32" s="50" t="s">
        <v>502</v>
      </c>
    </row>
    <row r="33" spans="1:8" ht="15" customHeight="1">
      <c r="A33" s="45" t="s">
        <v>470</v>
      </c>
      <c r="B33" s="45" t="s">
        <v>270</v>
      </c>
      <c r="C33" s="45" t="s">
        <v>330</v>
      </c>
      <c r="D33" s="46">
        <v>0.5</v>
      </c>
      <c r="E33" s="47">
        <f t="shared" ca="1" si="0"/>
        <v>3</v>
      </c>
      <c r="F33" s="48">
        <f t="shared" ca="1" si="1"/>
        <v>1.5</v>
      </c>
      <c r="G33" s="49" t="s">
        <v>471</v>
      </c>
      <c r="H33" s="50" t="s">
        <v>503</v>
      </c>
    </row>
    <row r="34" spans="1:8" ht="15" customHeight="1">
      <c r="A34" s="45" t="s">
        <v>504</v>
      </c>
      <c r="B34" s="45" t="s">
        <v>314</v>
      </c>
      <c r="C34" s="45" t="s">
        <v>321</v>
      </c>
      <c r="D34" s="46">
        <v>0.5</v>
      </c>
      <c r="E34" s="47">
        <f t="shared" ca="1" si="0"/>
        <v>5</v>
      </c>
      <c r="F34" s="48">
        <f t="shared" ca="1" si="1"/>
        <v>2.5</v>
      </c>
      <c r="G34" s="49" t="s">
        <v>471</v>
      </c>
      <c r="H34" s="50" t="s">
        <v>505</v>
      </c>
    </row>
    <row r="35" spans="1:8" ht="15" customHeight="1">
      <c r="A35" s="45" t="s">
        <v>504</v>
      </c>
      <c r="B35" s="45" t="s">
        <v>320</v>
      </c>
      <c r="C35" s="45" t="s">
        <v>321</v>
      </c>
      <c r="D35" s="46">
        <v>0.33</v>
      </c>
      <c r="E35" s="47">
        <f t="shared" ca="1" si="0"/>
        <v>3</v>
      </c>
      <c r="F35" s="48">
        <f t="shared" ca="1" si="1"/>
        <v>0.99</v>
      </c>
      <c r="G35" s="49" t="s">
        <v>471</v>
      </c>
      <c r="H35" s="50" t="s">
        <v>506</v>
      </c>
    </row>
    <row r="36" spans="1:8" ht="15" customHeight="1">
      <c r="A36" s="45" t="s">
        <v>500</v>
      </c>
      <c r="B36" s="45" t="s">
        <v>440</v>
      </c>
      <c r="C36" s="45" t="s">
        <v>321</v>
      </c>
      <c r="D36" s="46">
        <v>0.5</v>
      </c>
      <c r="E36" s="47">
        <f t="shared" ca="1" si="0"/>
        <v>1</v>
      </c>
      <c r="F36" s="48">
        <f t="shared" ca="1" si="1"/>
        <v>0.5</v>
      </c>
      <c r="G36" s="49" t="s">
        <v>471</v>
      </c>
      <c r="H36" s="50" t="s">
        <v>507</v>
      </c>
    </row>
    <row r="37" spans="1:8" ht="15" customHeight="1">
      <c r="A37" s="45" t="s">
        <v>500</v>
      </c>
      <c r="B37" s="45" t="s">
        <v>449</v>
      </c>
      <c r="C37" s="45" t="s">
        <v>321</v>
      </c>
      <c r="D37" s="46">
        <v>0.5</v>
      </c>
      <c r="E37" s="47">
        <f t="shared" ca="1" si="0"/>
        <v>3</v>
      </c>
      <c r="F37" s="48">
        <f t="shared" ca="1" si="1"/>
        <v>1.5</v>
      </c>
      <c r="G37" s="49" t="s">
        <v>471</v>
      </c>
      <c r="H37" s="50" t="s">
        <v>508</v>
      </c>
    </row>
    <row r="38" spans="1:8" ht="15" customHeight="1">
      <c r="A38" s="45" t="s">
        <v>470</v>
      </c>
      <c r="B38" s="45" t="s">
        <v>270</v>
      </c>
      <c r="C38" s="45" t="s">
        <v>321</v>
      </c>
      <c r="D38" s="46">
        <v>0.5</v>
      </c>
      <c r="E38" s="47">
        <f t="shared" ca="1" si="0"/>
        <v>3</v>
      </c>
      <c r="F38" s="48">
        <f t="shared" ca="1" si="1"/>
        <v>1.5</v>
      </c>
      <c r="G38" s="49" t="s">
        <v>471</v>
      </c>
      <c r="H38" s="50" t="s">
        <v>509</v>
      </c>
    </row>
    <row r="39" spans="1:8" ht="15" customHeight="1">
      <c r="A39" s="45" t="s">
        <v>504</v>
      </c>
      <c r="B39" s="45" t="s">
        <v>314</v>
      </c>
      <c r="C39" s="45" t="s">
        <v>271</v>
      </c>
      <c r="D39" s="46">
        <v>0</v>
      </c>
      <c r="E39" s="47">
        <f t="shared" ref="E39:E72" ca="1" si="2">IFERROR(INDEX(INDIRECT("'"&amp;$A39&amp;"'!$E$1:$E$45"),MATCH($B39,INDIRECT("'"&amp;$A39&amp;"'!$B$1:$B$45"),0)),"?")</f>
        <v>5</v>
      </c>
      <c r="F39" s="48">
        <f t="shared" ref="F39:F70" ca="1" si="3">IF(ISNUMBER(E39),$D39*E39,0)</f>
        <v>0</v>
      </c>
      <c r="G39" s="49" t="s">
        <v>471</v>
      </c>
      <c r="H39" s="50" t="s">
        <v>510</v>
      </c>
    </row>
    <row r="40" spans="1:8" ht="15" customHeight="1">
      <c r="A40" s="45" t="s">
        <v>474</v>
      </c>
      <c r="B40" s="45" t="s">
        <v>394</v>
      </c>
      <c r="C40" s="45" t="s">
        <v>271</v>
      </c>
      <c r="D40" s="46">
        <v>0</v>
      </c>
      <c r="E40" s="47">
        <f t="shared" ca="1" si="2"/>
        <v>4</v>
      </c>
      <c r="F40" s="48">
        <f t="shared" ca="1" si="3"/>
        <v>0</v>
      </c>
      <c r="G40" s="49" t="s">
        <v>471</v>
      </c>
      <c r="H40" s="50" t="s">
        <v>511</v>
      </c>
    </row>
    <row r="41" spans="1:8" ht="15" customHeight="1">
      <c r="A41" s="45" t="s">
        <v>500</v>
      </c>
      <c r="B41" s="45" t="s">
        <v>449</v>
      </c>
      <c r="C41" s="45" t="s">
        <v>271</v>
      </c>
      <c r="D41" s="46">
        <v>0.5</v>
      </c>
      <c r="E41" s="47">
        <f t="shared" ca="1" si="2"/>
        <v>3</v>
      </c>
      <c r="F41" s="48">
        <f t="shared" ca="1" si="3"/>
        <v>1.5</v>
      </c>
      <c r="G41" s="49" t="s">
        <v>471</v>
      </c>
      <c r="H41" s="51" t="s">
        <v>512</v>
      </c>
    </row>
    <row r="42" spans="1:8" ht="15" customHeight="1">
      <c r="A42" s="45" t="s">
        <v>504</v>
      </c>
      <c r="B42" s="45" t="s">
        <v>324</v>
      </c>
      <c r="C42" s="45" t="s">
        <v>315</v>
      </c>
      <c r="D42" s="46">
        <v>0.5</v>
      </c>
      <c r="E42" s="47">
        <f t="shared" ca="1" si="2"/>
        <v>3</v>
      </c>
      <c r="F42" s="48">
        <f t="shared" ca="1" si="3"/>
        <v>1.5</v>
      </c>
      <c r="G42" s="49" t="s">
        <v>471</v>
      </c>
      <c r="H42" s="50" t="s">
        <v>513</v>
      </c>
    </row>
    <row r="43" spans="1:8" ht="15" customHeight="1">
      <c r="A43" s="45" t="s">
        <v>504</v>
      </c>
      <c r="B43" s="45" t="s">
        <v>324</v>
      </c>
      <c r="C43" s="45" t="s">
        <v>60</v>
      </c>
      <c r="D43" s="46">
        <v>0.33</v>
      </c>
      <c r="E43" s="47">
        <f t="shared" ca="1" si="2"/>
        <v>3</v>
      </c>
      <c r="F43" s="48">
        <f t="shared" ca="1" si="3"/>
        <v>0.99</v>
      </c>
      <c r="G43" s="49" t="s">
        <v>471</v>
      </c>
      <c r="H43" s="50" t="s">
        <v>514</v>
      </c>
    </row>
    <row r="44" spans="1:8" ht="15" customHeight="1">
      <c r="A44" s="45" t="s">
        <v>500</v>
      </c>
      <c r="B44" s="45" t="s">
        <v>440</v>
      </c>
      <c r="C44" s="45" t="s">
        <v>237</v>
      </c>
      <c r="D44" s="46">
        <v>0</v>
      </c>
      <c r="E44" s="47">
        <f t="shared" ca="1" si="2"/>
        <v>1</v>
      </c>
      <c r="F44" s="48">
        <f t="shared" ca="1" si="3"/>
        <v>0</v>
      </c>
      <c r="G44" s="52" t="s">
        <v>483</v>
      </c>
      <c r="H44" s="50" t="s">
        <v>515</v>
      </c>
    </row>
    <row r="45" spans="1:8" ht="15" customHeight="1">
      <c r="A45" s="45" t="s">
        <v>504</v>
      </c>
      <c r="B45" s="45" t="s">
        <v>314</v>
      </c>
      <c r="C45" s="45" t="s">
        <v>333</v>
      </c>
      <c r="D45" s="46">
        <v>0.33</v>
      </c>
      <c r="E45" s="47">
        <f t="shared" ca="1" si="2"/>
        <v>5</v>
      </c>
      <c r="F45" s="48">
        <f t="shared" ca="1" si="3"/>
        <v>1.6500000000000001</v>
      </c>
      <c r="G45" s="52" t="s">
        <v>483</v>
      </c>
      <c r="H45" s="50" t="s">
        <v>516</v>
      </c>
    </row>
    <row r="46" spans="1:8" ht="15" customHeight="1">
      <c r="A46" s="45" t="s">
        <v>504</v>
      </c>
      <c r="B46" s="45" t="s">
        <v>320</v>
      </c>
      <c r="C46" s="45" t="s">
        <v>333</v>
      </c>
      <c r="D46" s="46">
        <v>0.33</v>
      </c>
      <c r="E46" s="47">
        <f t="shared" ca="1" si="2"/>
        <v>3</v>
      </c>
      <c r="F46" s="48">
        <f t="shared" ca="1" si="3"/>
        <v>0.99</v>
      </c>
      <c r="G46" s="52" t="s">
        <v>483</v>
      </c>
      <c r="H46" s="50" t="s">
        <v>517</v>
      </c>
    </row>
    <row r="47" spans="1:8" ht="15" customHeight="1">
      <c r="A47" s="45" t="s">
        <v>504</v>
      </c>
      <c r="B47" s="45" t="s">
        <v>324</v>
      </c>
      <c r="C47" s="45" t="s">
        <v>333</v>
      </c>
      <c r="D47" s="46">
        <v>0.33</v>
      </c>
      <c r="E47" s="47">
        <f t="shared" ca="1" si="2"/>
        <v>3</v>
      </c>
      <c r="F47" s="48">
        <f t="shared" ca="1" si="3"/>
        <v>0.99</v>
      </c>
      <c r="G47" s="52" t="s">
        <v>483</v>
      </c>
      <c r="H47" s="50" t="s">
        <v>518</v>
      </c>
    </row>
    <row r="48" spans="1:8" ht="15" customHeight="1">
      <c r="A48" s="45" t="s">
        <v>477</v>
      </c>
      <c r="B48" s="45" t="s">
        <v>287</v>
      </c>
      <c r="C48" s="45" t="s">
        <v>299</v>
      </c>
      <c r="D48" s="46">
        <v>0</v>
      </c>
      <c r="E48" s="47">
        <f t="shared" ca="1" si="2"/>
        <v>5</v>
      </c>
      <c r="F48" s="48">
        <f t="shared" ca="1" si="3"/>
        <v>0</v>
      </c>
      <c r="G48" s="52" t="s">
        <v>483</v>
      </c>
      <c r="H48" s="50" t="s">
        <v>519</v>
      </c>
    </row>
    <row r="49" spans="1:8" ht="15" customHeight="1">
      <c r="A49" s="45" t="s">
        <v>480</v>
      </c>
      <c r="B49" s="45" t="s">
        <v>418</v>
      </c>
      <c r="C49" s="45" t="s">
        <v>288</v>
      </c>
      <c r="D49" s="46">
        <v>0</v>
      </c>
      <c r="E49" s="47">
        <f t="shared" ca="1" si="2"/>
        <v>3</v>
      </c>
      <c r="F49" s="48">
        <f t="shared" ca="1" si="3"/>
        <v>0</v>
      </c>
      <c r="G49" s="52" t="s">
        <v>483</v>
      </c>
      <c r="H49" s="50" t="s">
        <v>520</v>
      </c>
    </row>
    <row r="50" spans="1:8" ht="15" customHeight="1">
      <c r="A50" s="45" t="s">
        <v>474</v>
      </c>
      <c r="B50" s="45" t="s">
        <v>381</v>
      </c>
      <c r="C50" s="45" t="s">
        <v>347</v>
      </c>
      <c r="D50" s="46">
        <v>0</v>
      </c>
      <c r="E50" s="47">
        <f t="shared" ca="1" si="2"/>
        <v>4</v>
      </c>
      <c r="F50" s="48">
        <f t="shared" ca="1" si="3"/>
        <v>0</v>
      </c>
      <c r="G50" s="52" t="s">
        <v>483</v>
      </c>
      <c r="H50" s="50" t="s">
        <v>521</v>
      </c>
    </row>
    <row r="51" spans="1:8" ht="15" customHeight="1">
      <c r="A51" s="45" t="s">
        <v>480</v>
      </c>
      <c r="B51" s="45" t="s">
        <v>406</v>
      </c>
      <c r="C51" s="45" t="s">
        <v>347</v>
      </c>
      <c r="D51" s="46">
        <v>0.2</v>
      </c>
      <c r="E51" s="47">
        <f t="shared" ca="1" si="2"/>
        <v>3</v>
      </c>
      <c r="F51" s="48">
        <f t="shared" ca="1" si="3"/>
        <v>0.60000000000000009</v>
      </c>
      <c r="G51" s="52" t="s">
        <v>483</v>
      </c>
      <c r="H51" s="50" t="s">
        <v>522</v>
      </c>
    </row>
    <row r="52" spans="1:8" ht="15" customHeight="1">
      <c r="A52" s="45" t="s">
        <v>500</v>
      </c>
      <c r="B52" s="45" t="s">
        <v>440</v>
      </c>
      <c r="C52" s="45" t="s">
        <v>347</v>
      </c>
      <c r="D52" s="46">
        <v>0</v>
      </c>
      <c r="E52" s="47">
        <f t="shared" ca="1" si="2"/>
        <v>1</v>
      </c>
      <c r="F52" s="48">
        <f t="shared" ca="1" si="3"/>
        <v>0</v>
      </c>
      <c r="G52" s="52" t="s">
        <v>483</v>
      </c>
      <c r="H52" s="50" t="s">
        <v>523</v>
      </c>
    </row>
    <row r="53" spans="1:8" ht="15" customHeight="1">
      <c r="A53" s="45" t="s">
        <v>470</v>
      </c>
      <c r="B53" s="45" t="s">
        <v>236</v>
      </c>
      <c r="C53" s="45" t="s">
        <v>34</v>
      </c>
      <c r="D53" s="46">
        <v>0.2</v>
      </c>
      <c r="E53" s="47">
        <f t="shared" ca="1" si="2"/>
        <v>4</v>
      </c>
      <c r="F53" s="48">
        <f t="shared" ca="1" si="3"/>
        <v>0.8</v>
      </c>
      <c r="G53" s="52" t="s">
        <v>483</v>
      </c>
      <c r="H53" s="50" t="s">
        <v>524</v>
      </c>
    </row>
    <row r="54" spans="1:8" ht="15" customHeight="1">
      <c r="A54" s="45" t="s">
        <v>474</v>
      </c>
      <c r="B54" s="45" t="s">
        <v>381</v>
      </c>
      <c r="C54" s="45" t="s">
        <v>34</v>
      </c>
      <c r="D54" s="46">
        <v>0.2</v>
      </c>
      <c r="E54" s="47">
        <f t="shared" ca="1" si="2"/>
        <v>4</v>
      </c>
      <c r="F54" s="48">
        <f t="shared" ca="1" si="3"/>
        <v>0.8</v>
      </c>
      <c r="G54" s="52" t="s">
        <v>483</v>
      </c>
      <c r="H54" s="50" t="s">
        <v>525</v>
      </c>
    </row>
    <row r="55" spans="1:8" ht="15" customHeight="1">
      <c r="A55" s="45" t="s">
        <v>477</v>
      </c>
      <c r="B55" s="45" t="s">
        <v>309</v>
      </c>
      <c r="C55" s="45" t="s">
        <v>245</v>
      </c>
      <c r="D55" s="46">
        <v>0.33</v>
      </c>
      <c r="E55" s="47">
        <f t="shared" ca="1" si="2"/>
        <v>5</v>
      </c>
      <c r="F55" s="48">
        <f t="shared" ca="1" si="3"/>
        <v>1.6500000000000001</v>
      </c>
      <c r="G55" s="52" t="s">
        <v>483</v>
      </c>
      <c r="H55" s="50" t="s">
        <v>526</v>
      </c>
    </row>
    <row r="56" spans="1:8" ht="15" customHeight="1">
      <c r="A56" s="45" t="s">
        <v>500</v>
      </c>
      <c r="B56" s="45" t="s">
        <v>320</v>
      </c>
      <c r="C56" s="45" t="s">
        <v>321</v>
      </c>
      <c r="D56" s="46">
        <v>0.33</v>
      </c>
      <c r="E56" s="47">
        <f t="shared" ca="1" si="2"/>
        <v>3</v>
      </c>
      <c r="F56" s="48">
        <f t="shared" ca="1" si="3"/>
        <v>0.99</v>
      </c>
      <c r="G56" s="52" t="s">
        <v>471</v>
      </c>
      <c r="H56" s="50" t="s">
        <v>527</v>
      </c>
    </row>
    <row r="57" spans="1:8" ht="15" customHeight="1">
      <c r="A57" s="45" t="s">
        <v>500</v>
      </c>
      <c r="B57" s="45" t="s">
        <v>320</v>
      </c>
      <c r="C57" s="45" t="s">
        <v>333</v>
      </c>
      <c r="D57" s="46">
        <v>0.33</v>
      </c>
      <c r="E57" s="47">
        <f t="shared" ca="1" si="2"/>
        <v>3</v>
      </c>
      <c r="F57" s="48">
        <f t="shared" ca="1" si="3"/>
        <v>0.99</v>
      </c>
      <c r="G57" s="52" t="s">
        <v>483</v>
      </c>
      <c r="H57" s="50" t="s">
        <v>528</v>
      </c>
    </row>
    <row r="58" spans="1:8" ht="15" customHeight="1">
      <c r="A58" s="45" t="s">
        <v>480</v>
      </c>
      <c r="B58" s="45" t="s">
        <v>26</v>
      </c>
      <c r="C58" s="45" t="s">
        <v>39</v>
      </c>
      <c r="D58" s="46">
        <v>0.5</v>
      </c>
      <c r="E58" s="47">
        <f t="shared" ca="1" si="2"/>
        <v>3</v>
      </c>
      <c r="F58" s="48">
        <f t="shared" ca="1" si="3"/>
        <v>1.5</v>
      </c>
      <c r="G58" s="52" t="s">
        <v>483</v>
      </c>
      <c r="H58" s="50" t="s">
        <v>529</v>
      </c>
    </row>
    <row r="59" spans="1:8" ht="15" customHeight="1">
      <c r="A59" s="45" t="s">
        <v>485</v>
      </c>
      <c r="B59" s="45" t="s">
        <v>26</v>
      </c>
      <c r="C59" s="45" t="s">
        <v>39</v>
      </c>
      <c r="D59" s="46">
        <v>0.5</v>
      </c>
      <c r="E59" s="47">
        <f t="shared" ca="1" si="2"/>
        <v>3</v>
      </c>
      <c r="F59" s="48">
        <f t="shared" ca="1" si="3"/>
        <v>1.5</v>
      </c>
      <c r="G59" s="52" t="s">
        <v>483</v>
      </c>
      <c r="H59" s="50" t="s">
        <v>530</v>
      </c>
    </row>
    <row r="60" spans="1:8" ht="15" customHeight="1">
      <c r="A60" s="45" t="s">
        <v>480</v>
      </c>
      <c r="B60" s="45" t="s">
        <v>415</v>
      </c>
      <c r="C60" s="45" t="s">
        <v>39</v>
      </c>
      <c r="D60" s="46">
        <v>0.5</v>
      </c>
      <c r="E60" s="47">
        <f t="shared" ca="1" si="2"/>
        <v>3</v>
      </c>
      <c r="F60" s="48">
        <f t="shared" ca="1" si="3"/>
        <v>1.5</v>
      </c>
      <c r="G60" s="52" t="s">
        <v>483</v>
      </c>
      <c r="H60" s="50" t="s">
        <v>531</v>
      </c>
    </row>
    <row r="61" spans="1:8" ht="15" customHeight="1">
      <c r="A61" s="45" t="s">
        <v>477</v>
      </c>
      <c r="B61" s="45" t="s">
        <v>294</v>
      </c>
      <c r="C61" s="45" t="s">
        <v>27</v>
      </c>
      <c r="D61" s="46">
        <v>0.2</v>
      </c>
      <c r="E61" s="47">
        <f t="shared" ca="1" si="2"/>
        <v>4</v>
      </c>
      <c r="F61" s="48">
        <f t="shared" ca="1" si="3"/>
        <v>0.8</v>
      </c>
      <c r="G61" s="52" t="s">
        <v>483</v>
      </c>
      <c r="H61" s="50" t="s">
        <v>532</v>
      </c>
    </row>
    <row r="62" spans="1:8" ht="15" customHeight="1">
      <c r="A62" s="45" t="s">
        <v>480</v>
      </c>
      <c r="B62" s="45" t="s">
        <v>415</v>
      </c>
      <c r="C62" s="45" t="s">
        <v>27</v>
      </c>
      <c r="D62" s="46">
        <v>0.33</v>
      </c>
      <c r="E62" s="47">
        <f t="shared" ca="1" si="2"/>
        <v>3</v>
      </c>
      <c r="F62" s="48">
        <f t="shared" ca="1" si="3"/>
        <v>0.99</v>
      </c>
      <c r="G62" s="52" t="s">
        <v>483</v>
      </c>
      <c r="H62" s="50" t="s">
        <v>533</v>
      </c>
    </row>
    <row r="63" spans="1:8" ht="15" customHeight="1">
      <c r="A63" s="45" t="s">
        <v>1059</v>
      </c>
      <c r="B63" s="45" t="s">
        <v>51</v>
      </c>
      <c r="C63" s="45" t="s">
        <v>44</v>
      </c>
      <c r="D63" s="46">
        <v>0.2</v>
      </c>
      <c r="E63" s="47">
        <f t="shared" ca="1" si="2"/>
        <v>4</v>
      </c>
      <c r="F63" s="48">
        <f t="shared" ca="1" si="3"/>
        <v>0.8</v>
      </c>
      <c r="G63" s="52" t="s">
        <v>483</v>
      </c>
      <c r="H63" s="50" t="s">
        <v>534</v>
      </c>
    </row>
    <row r="64" spans="1:8" ht="15" customHeight="1">
      <c r="A64" s="45" t="s">
        <v>535</v>
      </c>
      <c r="B64" s="45" t="s">
        <v>350</v>
      </c>
      <c r="C64" s="45" t="s">
        <v>245</v>
      </c>
      <c r="D64" s="46">
        <v>0.33</v>
      </c>
      <c r="E64" s="47">
        <f t="shared" ca="1" si="2"/>
        <v>3</v>
      </c>
      <c r="F64" s="48">
        <f t="shared" ca="1" si="3"/>
        <v>0.99</v>
      </c>
      <c r="G64" s="52" t="s">
        <v>483</v>
      </c>
      <c r="H64" s="50" t="s">
        <v>536</v>
      </c>
    </row>
    <row r="65" spans="1:8" ht="15" customHeight="1">
      <c r="A65" s="45" t="s">
        <v>535</v>
      </c>
      <c r="B65" s="45" t="s">
        <v>346</v>
      </c>
      <c r="C65" s="45" t="s">
        <v>347</v>
      </c>
      <c r="D65" s="46">
        <v>0.33</v>
      </c>
      <c r="E65" s="47">
        <f t="shared" ca="1" si="2"/>
        <v>3</v>
      </c>
      <c r="F65" s="48">
        <f t="shared" ca="1" si="3"/>
        <v>0.99</v>
      </c>
      <c r="G65" s="52" t="s">
        <v>483</v>
      </c>
      <c r="H65" s="50" t="s">
        <v>537</v>
      </c>
    </row>
    <row r="66" spans="1:8" ht="15" customHeight="1">
      <c r="A66" s="45" t="s">
        <v>535</v>
      </c>
      <c r="B66" s="45" t="s">
        <v>354</v>
      </c>
      <c r="C66" s="45" t="s">
        <v>245</v>
      </c>
      <c r="D66" s="46">
        <v>0.33</v>
      </c>
      <c r="E66" s="47">
        <f t="shared" ca="1" si="2"/>
        <v>3</v>
      </c>
      <c r="F66" s="48">
        <f t="shared" ca="1" si="3"/>
        <v>0.99</v>
      </c>
      <c r="G66" s="52" t="s">
        <v>483</v>
      </c>
      <c r="H66" s="50" t="s">
        <v>538</v>
      </c>
    </row>
    <row r="67" spans="1:8" ht="15" customHeight="1">
      <c r="A67" s="45" t="s">
        <v>535</v>
      </c>
      <c r="B67" s="45" t="s">
        <v>255</v>
      </c>
      <c r="C67" s="45" t="s">
        <v>45</v>
      </c>
      <c r="D67" s="46">
        <v>0.33</v>
      </c>
      <c r="E67" s="47">
        <f t="shared" ca="1" si="2"/>
        <v>3</v>
      </c>
      <c r="F67" s="48">
        <f t="shared" ca="1" si="3"/>
        <v>0.99</v>
      </c>
      <c r="G67" s="52" t="s">
        <v>483</v>
      </c>
      <c r="H67" s="50" t="s">
        <v>539</v>
      </c>
    </row>
    <row r="68" spans="1:8" ht="15" customHeight="1">
      <c r="A68" s="45" t="s">
        <v>500</v>
      </c>
      <c r="B68" s="45" t="s">
        <v>444</v>
      </c>
      <c r="C68" s="45" t="s">
        <v>330</v>
      </c>
      <c r="D68" s="46">
        <v>0.33</v>
      </c>
      <c r="E68" s="47">
        <f t="shared" ca="1" si="2"/>
        <v>2</v>
      </c>
      <c r="F68" s="48">
        <f t="shared" ca="1" si="3"/>
        <v>0.66</v>
      </c>
      <c r="G68" s="49" t="s">
        <v>471</v>
      </c>
      <c r="H68" s="50" t="s">
        <v>540</v>
      </c>
    </row>
    <row r="69" spans="1:8">
      <c r="A69" s="45" t="s">
        <v>500</v>
      </c>
      <c r="B69" s="45" t="s">
        <v>444</v>
      </c>
      <c r="C69" s="45" t="s">
        <v>321</v>
      </c>
      <c r="D69" s="46">
        <v>0.5</v>
      </c>
      <c r="E69" s="47">
        <f t="shared" ca="1" si="2"/>
        <v>2</v>
      </c>
      <c r="F69" s="48">
        <f t="shared" ca="1" si="3"/>
        <v>1</v>
      </c>
      <c r="G69" s="49" t="s">
        <v>471</v>
      </c>
      <c r="H69" s="50" t="s">
        <v>541</v>
      </c>
    </row>
    <row r="70" spans="1:8">
      <c r="A70" s="45" t="s">
        <v>500</v>
      </c>
      <c r="B70" s="45" t="s">
        <v>444</v>
      </c>
      <c r="C70" s="45" t="s">
        <v>347</v>
      </c>
      <c r="D70" s="46">
        <v>0</v>
      </c>
      <c r="E70" s="47">
        <f t="shared" ca="1" si="2"/>
        <v>2</v>
      </c>
      <c r="F70" s="48">
        <f t="shared" ca="1" si="3"/>
        <v>0</v>
      </c>
      <c r="G70" s="49" t="s">
        <v>483</v>
      </c>
      <c r="H70" s="50" t="s">
        <v>542</v>
      </c>
    </row>
    <row r="71" spans="1:8">
      <c r="A71" t="s">
        <v>470</v>
      </c>
      <c r="B71" t="s">
        <v>244</v>
      </c>
      <c r="C71" t="s">
        <v>237</v>
      </c>
      <c r="D71">
        <v>0.5</v>
      </c>
      <c r="E71">
        <f t="shared" ca="1" si="2"/>
        <v>4</v>
      </c>
      <c r="F71">
        <f t="shared" ref="F71:F72" ca="1" si="4">IF(ISNUMBER(E71),$D71*E71,0)</f>
        <v>2</v>
      </c>
      <c r="G71" t="s">
        <v>483</v>
      </c>
      <c r="H71" t="s">
        <v>543</v>
      </c>
    </row>
    <row r="72" spans="1:8">
      <c r="A72" t="s">
        <v>470</v>
      </c>
      <c r="B72" t="s">
        <v>244</v>
      </c>
      <c r="C72" t="s">
        <v>44</v>
      </c>
      <c r="D72">
        <v>0.2</v>
      </c>
      <c r="E72">
        <f t="shared" ca="1" si="2"/>
        <v>4</v>
      </c>
      <c r="F72">
        <f t="shared" ca="1" si="4"/>
        <v>0.8</v>
      </c>
      <c r="G72" t="s">
        <v>483</v>
      </c>
      <c r="H72" t="s">
        <v>544</v>
      </c>
    </row>
    <row r="73" spans="1:8">
      <c r="A73" t="s">
        <v>470</v>
      </c>
      <c r="B73" t="s">
        <v>1078</v>
      </c>
      <c r="C73" t="s">
        <v>44</v>
      </c>
      <c r="D73">
        <v>0.33</v>
      </c>
      <c r="E73">
        <f ca="1">IFERROR(INDEX(INDIRECT("'"&amp;$A73&amp;"'!$E$1:$E$45"),MATCH($B73,INDIRECT("'"&amp;$A73&amp;"'!$B$1:$B$45"),0)),"?")</f>
        <v>2</v>
      </c>
      <c r="F73">
        <f ca="1">IF(ISNUMBER(E73),$D73*E73,0)</f>
        <v>0.66</v>
      </c>
      <c r="G73" t="s">
        <v>471</v>
      </c>
      <c r="H73" t="s">
        <v>1086</v>
      </c>
    </row>
    <row r="74" spans="1:8">
      <c r="A74" t="s">
        <v>474</v>
      </c>
      <c r="B74" t="s">
        <v>1083</v>
      </c>
      <c r="C74" t="s">
        <v>44</v>
      </c>
      <c r="D74">
        <v>0.33</v>
      </c>
      <c r="E74">
        <f ca="1">IFERROR(INDEX(INDIRECT("'"&amp;$A74&amp;"'!$E$1:$E$45"),MATCH($B74,INDIRECT("'"&amp;$A74&amp;"'!$B$1:$B$45"),0)),"?")</f>
        <v>2</v>
      </c>
      <c r="F74">
        <f ca="1">IF(ISNUMBER(E74),$D74*E74,0)</f>
        <v>0.66</v>
      </c>
      <c r="G74" t="s">
        <v>471</v>
      </c>
      <c r="H74" t="s">
        <v>1087</v>
      </c>
    </row>
    <row r="75" spans="1:8">
      <c r="A75" t="s">
        <v>474</v>
      </c>
      <c r="B75" t="s">
        <v>1083</v>
      </c>
      <c r="C75" t="s">
        <v>245</v>
      </c>
      <c r="D75">
        <v>0.5</v>
      </c>
      <c r="E75">
        <f ca="1">IFERROR(INDEX(INDIRECT("'"&amp;$A75&amp;"'!$E$1:$E$45"),MATCH($B75,INDIRECT("'"&amp;$A75&amp;"'!$B$1:$B$45"),0)),"?")</f>
        <v>2</v>
      </c>
      <c r="F75">
        <f ca="1">IF(ISNUMBER(E75),$D75*E75,0)</f>
        <v>1</v>
      </c>
      <c r="G75" t="s">
        <v>471</v>
      </c>
      <c r="H75" t="s">
        <v>1088</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545</v>
      </c>
      <c r="G1" s="93" t="s">
        <v>546</v>
      </c>
    </row>
    <row r="2" spans="1:12" ht="15" customHeight="1">
      <c r="A2" s="2" t="s">
        <v>547</v>
      </c>
      <c r="G2" s="94" t="s">
        <v>548</v>
      </c>
      <c r="H2" s="95">
        <v>10</v>
      </c>
      <c r="I2" s="94" t="s">
        <v>549</v>
      </c>
      <c r="J2" s="95">
        <v>244</v>
      </c>
      <c r="K2" s="94" t="s">
        <v>550</v>
      </c>
      <c r="L2" s="96">
        <f>B25</f>
        <v>240</v>
      </c>
    </row>
    <row r="3" spans="1:12">
      <c r="A3" s="97" t="str">
        <f>IF($H$3&lt;0,"⚠ 총량 상한 "&amp;ABS($H$3)&amp;"세트 초과 — 다른 종목에서 그만큼 빼기 전에는 추가 금지. 상한을 올리려면 아래 '상한 변경 이력'에 한 줄 남길 것.","")</f>
        <v/>
      </c>
      <c r="G3" s="94" t="s">
        <v>551</v>
      </c>
      <c r="H3" s="98">
        <f>$J$2-$L$2</f>
        <v>4</v>
      </c>
      <c r="I3" s="94" t="s">
        <v>552</v>
      </c>
      <c r="J3" s="98">
        <f>ROUND($L$2*7/$H$2,1)</f>
        <v>168</v>
      </c>
      <c r="K3" s="94" t="s">
        <v>553</v>
      </c>
      <c r="L3" s="98" t="str">
        <f>IF($H$3&lt;0,"INVALID","VALID")</f>
        <v>VALID</v>
      </c>
    </row>
    <row r="4" spans="1:12" ht="15" customHeight="1">
      <c r="A4" s="5" t="s">
        <v>5</v>
      </c>
      <c r="B4" s="5" t="s">
        <v>554</v>
      </c>
      <c r="C4" s="5" t="s">
        <v>555</v>
      </c>
      <c r="D4" s="5" t="s">
        <v>556</v>
      </c>
      <c r="E4" s="5" t="s">
        <v>557</v>
      </c>
      <c r="F4" s="5" t="s">
        <v>558</v>
      </c>
      <c r="J4" s="99" t="str">
        <f>"주당 환산 (×7/"&amp;$H$2&amp;")"</f>
        <v>주당 환산 (×7/10)</v>
      </c>
    </row>
    <row r="5" spans="1:12" ht="15" customHeight="1">
      <c r="A5" s="53" t="s">
        <v>299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559</v>
      </c>
      <c r="G5" s="117" t="s">
        <v>560</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288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561</v>
      </c>
      <c r="G6" s="118"/>
      <c r="J6" s="55">
        <f t="shared" ca="1" si="2"/>
        <v>12.6</v>
      </c>
      <c r="L6" s="55">
        <f t="shared" si="3"/>
        <v>12.6</v>
      </c>
    </row>
    <row r="7" spans="1:12" ht="15" customHeight="1">
      <c r="A7" s="53" t="s">
        <v>237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562</v>
      </c>
      <c r="G7" s="117" t="s">
        <v>563</v>
      </c>
      <c r="H7" s="56">
        <f ca="1">SUM(D7:D10)</f>
        <v>56.5</v>
      </c>
      <c r="J7" s="55">
        <f t="shared" ca="1" si="2"/>
        <v>11.9</v>
      </c>
      <c r="L7" s="55">
        <f t="shared" si="3"/>
        <v>9.1</v>
      </c>
    </row>
    <row r="8" spans="1:12" ht="15" customHeight="1">
      <c r="A8" s="53" t="s">
        <v>347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564</v>
      </c>
      <c r="G8" s="118"/>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565</v>
      </c>
      <c r="G9" s="118"/>
      <c r="J9" s="55">
        <f t="shared" ca="1" si="2"/>
        <v>9.5</v>
      </c>
      <c r="L9" s="55">
        <f t="shared" si="3"/>
        <v>8.4</v>
      </c>
    </row>
    <row r="10" spans="1:12" ht="15" customHeight="1">
      <c r="A10" s="53" t="s">
        <v>245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566</v>
      </c>
      <c r="G10" s="118"/>
      <c r="J10" s="55">
        <f t="shared" ca="1" si="2"/>
        <v>14.4</v>
      </c>
      <c r="L10" s="55">
        <f t="shared" si="3"/>
        <v>10.5</v>
      </c>
    </row>
    <row r="11" spans="1:12" ht="15" customHeight="1">
      <c r="A11" s="53" t="s">
        <v>271</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567</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568</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569</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570</v>
      </c>
      <c r="G14" s="57"/>
      <c r="H14" s="56"/>
      <c r="J14" s="55">
        <f t="shared" ca="1" si="2"/>
        <v>15.1</v>
      </c>
      <c r="L14" s="55">
        <f t="shared" si="3"/>
        <v>11.9</v>
      </c>
    </row>
    <row r="15" spans="1:12" ht="15" customHeight="1">
      <c r="A15" s="53" t="s">
        <v>315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324</v>
      </c>
      <c r="G15" s="58" t="s">
        <v>571</v>
      </c>
      <c r="H15" s="56">
        <f ca="1">SUM(D15:D16,D19)</f>
        <v>43</v>
      </c>
      <c r="J15" s="55">
        <f t="shared" ca="1" si="2"/>
        <v>11.6</v>
      </c>
      <c r="L15" s="55">
        <f t="shared" si="3"/>
        <v>10.5</v>
      </c>
    </row>
    <row r="16" spans="1:12" ht="15" customHeight="1">
      <c r="A16" s="53" t="s">
        <v>330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572</v>
      </c>
      <c r="G16" s="57"/>
      <c r="J16" s="55">
        <f t="shared" ca="1" si="2"/>
        <v>9.5</v>
      </c>
      <c r="L16" s="55">
        <f t="shared" si="3"/>
        <v>7</v>
      </c>
    </row>
    <row r="17" spans="1:12" ht="15" customHeight="1">
      <c r="A17" s="53" t="s">
        <v>321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573</v>
      </c>
      <c r="G17" s="117" t="s">
        <v>321</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574</v>
      </c>
      <c r="G18" s="118"/>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575</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1089</v>
      </c>
      <c r="G20" s="57"/>
      <c r="J20" s="55">
        <f t="shared" ca="1" si="2"/>
        <v>12.6</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576</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577</v>
      </c>
      <c r="G22" s="57"/>
      <c r="J22" s="55">
        <f t="shared" ca="1" si="2"/>
        <v>10.199999999999999</v>
      </c>
      <c r="L22" s="55">
        <f t="shared" si="3"/>
        <v>7.7</v>
      </c>
    </row>
    <row r="23" spans="1:12" ht="24" customHeight="1">
      <c r="A23" s="53" t="s">
        <v>260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578</v>
      </c>
      <c r="G23" s="57"/>
      <c r="J23" s="55">
        <f t="shared" si="2"/>
        <v>9.1</v>
      </c>
      <c r="L23" s="55">
        <f t="shared" si="3"/>
        <v>9.1</v>
      </c>
    </row>
    <row r="24" spans="1:12" ht="15" customHeight="1">
      <c r="A24" s="53" t="s">
        <v>333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579</v>
      </c>
      <c r="G24" s="57"/>
      <c r="J24" s="55">
        <f t="shared" ca="1" si="2"/>
        <v>9.5</v>
      </c>
      <c r="L24" s="55">
        <f t="shared" si="3"/>
        <v>6.3</v>
      </c>
    </row>
    <row r="25" spans="1:12" ht="36" customHeight="1">
      <c r="A25" s="60" t="s">
        <v>580</v>
      </c>
      <c r="B25" s="15">
        <f>SUM(B5:B24)</f>
        <v>240</v>
      </c>
      <c r="C25" s="61"/>
      <c r="D25" s="62">
        <f ca="1">SUM(D5:D24)</f>
        <v>310</v>
      </c>
      <c r="E25" s="61"/>
      <c r="F25" s="61"/>
      <c r="J25" s="62">
        <f t="shared" ca="1" si="2"/>
        <v>217</v>
      </c>
      <c r="L25" s="62">
        <f t="shared" si="3"/>
        <v>168</v>
      </c>
    </row>
    <row r="26" spans="1:12" ht="15" customHeight="1">
      <c r="A26" s="13" t="s">
        <v>581</v>
      </c>
    </row>
    <row r="27" spans="1:12" ht="16.5" customHeight="1">
      <c r="A27" s="11" t="s">
        <v>582</v>
      </c>
    </row>
    <row r="28" spans="1:12" ht="36" customHeight="1">
      <c r="A28" s="11" t="s">
        <v>583</v>
      </c>
    </row>
    <row r="29" spans="1:12" ht="48" customHeight="1">
      <c r="A29" s="11" t="s">
        <v>584</v>
      </c>
    </row>
    <row r="30" spans="1:12" ht="48" customHeight="1">
      <c r="A30" s="63"/>
    </row>
    <row r="31" spans="1:12" ht="15" customHeight="1">
      <c r="A31" s="13" t="s">
        <v>585</v>
      </c>
    </row>
    <row r="32" spans="1:12" ht="16.5" customHeight="1">
      <c r="A32" s="11" t="s">
        <v>586</v>
      </c>
    </row>
    <row r="33" spans="1:1" ht="48" customHeight="1">
      <c r="A33" s="11" t="s">
        <v>587</v>
      </c>
    </row>
    <row r="34" spans="1:1" ht="48" customHeight="1">
      <c r="A34" s="11" t="s">
        <v>588</v>
      </c>
    </row>
    <row r="35" spans="1:1" ht="15" customHeight="1">
      <c r="A35" s="63"/>
    </row>
    <row r="36" spans="1:1" ht="48" customHeight="1">
      <c r="A36" s="13" t="s">
        <v>589</v>
      </c>
    </row>
    <row r="37" spans="1:1" ht="77.25" customHeight="1">
      <c r="A37" s="11" t="s">
        <v>590</v>
      </c>
    </row>
    <row r="38" spans="1:1" ht="48" customHeight="1">
      <c r="A38" s="11" t="s">
        <v>591</v>
      </c>
    </row>
    <row r="39" spans="1:1" ht="39" customHeight="1">
      <c r="A39" s="63" t="s">
        <v>592</v>
      </c>
    </row>
    <row r="40" spans="1:1" ht="45" customHeight="1">
      <c r="A40" s="11" t="s">
        <v>593</v>
      </c>
    </row>
    <row r="41" spans="1:1" ht="48" customHeight="1">
      <c r="A41" s="11" t="s">
        <v>594</v>
      </c>
    </row>
    <row r="42" spans="1:1" ht="48" customHeight="1">
      <c r="A42" s="11" t="s">
        <v>595</v>
      </c>
    </row>
    <row r="43" spans="1:1" ht="48" customHeight="1">
      <c r="A43" s="11" t="s">
        <v>596</v>
      </c>
    </row>
    <row r="44" spans="1:1" ht="48" customHeight="1">
      <c r="A44" s="90" t="s">
        <v>597</v>
      </c>
    </row>
    <row r="45" spans="1:1" ht="51.75" customHeight="1">
      <c r="A45" t="s">
        <v>598</v>
      </c>
    </row>
    <row r="46" spans="1:1" ht="90" customHeight="1">
      <c r="A46" s="11" t="s">
        <v>599</v>
      </c>
    </row>
    <row r="47" spans="1:1" ht="51.75" customHeight="1">
      <c r="A47" s="11" t="s">
        <v>600</v>
      </c>
    </row>
    <row r="48" spans="1:1" ht="48" customHeight="1">
      <c r="A48" s="11" t="s">
        <v>601</v>
      </c>
    </row>
    <row r="49" spans="1:5" ht="48" customHeight="1">
      <c r="A49" s="11" t="s">
        <v>602</v>
      </c>
    </row>
    <row r="50" spans="1:5" ht="48" customHeight="1">
      <c r="A50" s="11" t="s">
        <v>603</v>
      </c>
    </row>
    <row r="51" spans="1:5">
      <c r="A51" t="s">
        <v>604</v>
      </c>
    </row>
    <row r="52" spans="1:5">
      <c r="A52" t="s">
        <v>605</v>
      </c>
    </row>
    <row r="53" spans="1:5">
      <c r="A53" t="s">
        <v>606</v>
      </c>
    </row>
    <row r="54" spans="1:5">
      <c r="A54" t="s">
        <v>607</v>
      </c>
    </row>
    <row r="55" spans="1:5">
      <c r="A55" t="s">
        <v>608</v>
      </c>
    </row>
    <row r="57" spans="1:5">
      <c r="A57" s="93" t="s">
        <v>609</v>
      </c>
    </row>
    <row r="58" spans="1:5">
      <c r="A58" s="100" t="s">
        <v>610</v>
      </c>
      <c r="B58" s="100" t="s">
        <v>611</v>
      </c>
      <c r="C58" s="100" t="s">
        <v>612</v>
      </c>
      <c r="D58" s="100" t="s">
        <v>613</v>
      </c>
      <c r="E58" s="100" t="s">
        <v>614</v>
      </c>
    </row>
    <row r="59" spans="1:5">
      <c r="A59" s="101">
        <v>46269</v>
      </c>
      <c r="B59" s="102" t="s">
        <v>149</v>
      </c>
      <c r="C59" s="102">
        <v>239</v>
      </c>
      <c r="D59" s="102" t="s">
        <v>615</v>
      </c>
      <c r="E59" s="102" t="s">
        <v>149</v>
      </c>
    </row>
    <row r="60" spans="1:5">
      <c r="A60" s="106">
        <v>46269</v>
      </c>
      <c r="B60" s="107">
        <v>239</v>
      </c>
      <c r="C60" s="107">
        <v>239</v>
      </c>
      <c r="D60" s="107" t="s">
        <v>616</v>
      </c>
      <c r="E60" s="107" t="s">
        <v>617</v>
      </c>
    </row>
    <row r="61" spans="1:5">
      <c r="A61" s="110">
        <v>46270</v>
      </c>
      <c r="B61" s="111">
        <v>239</v>
      </c>
      <c r="C61" s="111">
        <v>244</v>
      </c>
      <c r="D61" s="111" t="s">
        <v>618</v>
      </c>
      <c r="E61" s="111" t="s">
        <v>619</v>
      </c>
    </row>
    <row r="62" spans="1:5">
      <c r="A62" s="104" t="s">
        <v>620</v>
      </c>
    </row>
    <row r="63" spans="1:5">
      <c r="A63" t="s">
        <v>621</v>
      </c>
    </row>
    <row r="64" spans="1:5">
      <c r="A64" t="s">
        <v>622</v>
      </c>
    </row>
    <row r="65" spans="1:1">
      <c r="A65" t="s">
        <v>623</v>
      </c>
    </row>
    <row r="66" spans="1:1">
      <c r="A66" t="s">
        <v>624</v>
      </c>
    </row>
    <row r="67" spans="1:1">
      <c r="A67" t="s">
        <v>625</v>
      </c>
    </row>
    <row r="68" spans="1:1">
      <c r="A68" t="s">
        <v>626</v>
      </c>
    </row>
  </sheetData>
  <mergeCells count="3">
    <mergeCell ref="G5:G6"/>
    <mergeCell ref="G17:G18"/>
    <mergeCell ref="G7:G10"/>
  </mergeCells>
  <phoneticPr fontId="32" type="noConversion"/>
  <conditionalFormatting sqref="H3">
    <cfRule type="cellIs" dxfId="5" priority="3" operator="lessThan">
      <formula>0</formula>
    </cfRule>
  </conditionalFormatting>
  <conditionalFormatting sqref="L3">
    <cfRule type="cellIs" dxfId="4" priority="1" operator="equal">
      <formula>"INVALID"</formula>
    </cfRule>
    <cfRule type="cellIs" dxfId="3"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627</v>
      </c>
    </row>
    <row r="2" spans="1:13" ht="15" customHeight="1">
      <c r="A2" s="2" t="s">
        <v>628</v>
      </c>
    </row>
    <row r="4" spans="1:13" ht="15" customHeight="1">
      <c r="A4" s="3" t="s">
        <v>629</v>
      </c>
    </row>
    <row r="5" spans="1:13" ht="15" customHeight="1">
      <c r="A5" s="64" t="s">
        <v>630</v>
      </c>
      <c r="C5" s="4">
        <v>5</v>
      </c>
      <c r="D5" s="63" t="s">
        <v>631</v>
      </c>
    </row>
    <row r="6" spans="1:13" ht="15" customHeight="1">
      <c r="A6" s="64" t="s">
        <v>632</v>
      </c>
      <c r="C6" s="4">
        <v>5</v>
      </c>
      <c r="D6" s="63" t="s">
        <v>633</v>
      </c>
    </row>
    <row r="7" spans="1:13" ht="15" customHeight="1">
      <c r="A7" s="64" t="s">
        <v>634</v>
      </c>
      <c r="C7" s="4">
        <v>2</v>
      </c>
      <c r="D7" s="63" t="s">
        <v>1186</v>
      </c>
      <c r="H7">
        <f>SUM(D7:D10)</f>
        <v>0</v>
      </c>
    </row>
    <row r="8" spans="1:13" ht="84" customHeight="1">
      <c r="A8" s="64" t="s">
        <v>635</v>
      </c>
      <c r="C8" s="4">
        <v>1</v>
      </c>
      <c r="D8" s="63" t="s">
        <v>1187</v>
      </c>
    </row>
    <row r="9" spans="1:13" ht="15" customHeight="1">
      <c r="A9" s="5" t="s">
        <v>127</v>
      </c>
      <c r="B9" s="5" t="s">
        <v>636</v>
      </c>
      <c r="C9" s="5" t="s">
        <v>637</v>
      </c>
      <c r="D9" s="5" t="s">
        <v>638</v>
      </c>
      <c r="E9" s="5" t="s">
        <v>639</v>
      </c>
      <c r="F9" s="5" t="s">
        <v>638</v>
      </c>
      <c r="G9" s="5" t="s">
        <v>640</v>
      </c>
      <c r="H9" s="5" t="s">
        <v>638</v>
      </c>
      <c r="I9" s="5" t="s">
        <v>641</v>
      </c>
      <c r="J9" s="5" t="s">
        <v>638</v>
      </c>
      <c r="K9" s="5" t="s">
        <v>13</v>
      </c>
      <c r="L9" s="100" t="s">
        <v>642</v>
      </c>
      <c r="M9" s="100" t="s">
        <v>643</v>
      </c>
    </row>
    <row r="10" spans="1:13" ht="15" customHeight="1">
      <c r="A10" s="8" t="s">
        <v>128</v>
      </c>
      <c r="B10" s="4"/>
      <c r="C10" s="16">
        <f>시작중량_설정!$D$7</f>
        <v>37</v>
      </c>
      <c r="D10" s="4"/>
      <c r="E10" s="16">
        <f>시작중량_설정!$D$8</f>
        <v>42</v>
      </c>
      <c r="F10" s="4"/>
      <c r="G10" s="16">
        <f>시작중량_설정!$D$9</f>
        <v>23</v>
      </c>
      <c r="H10" s="4"/>
      <c r="I10" s="16">
        <f>시작중량_설정!$D$10</f>
        <v>20</v>
      </c>
      <c r="J10" s="4"/>
      <c r="K10" s="65"/>
      <c r="L10" s="103"/>
      <c r="M10" s="103"/>
    </row>
    <row r="11" spans="1:13" ht="15" customHeight="1">
      <c r="A11" s="8" t="s">
        <v>129</v>
      </c>
      <c r="B11" s="4"/>
      <c r="C11" s="16">
        <f t="shared" ref="C11:C21" si="0">IF(OR(D10="",D10="O"),(C10+$C$6+(MOD(C10+$C$6,5)=4)),C10)</f>
        <v>42</v>
      </c>
      <c r="D11" s="4"/>
      <c r="E11" s="16">
        <f t="shared" ref="E11:E21" si="1">IF(OR(F10="",F10="O"),(E10+$C$5+(MOD(E10+$C$5,5)=4)),E10)</f>
        <v>47</v>
      </c>
      <c r="F11" s="4"/>
      <c r="G11" s="16">
        <f t="shared" ref="G11:G21" si="2">IF(OR(H10="",H10="O"),(G10+$C$7+(MOD(G10+$C$7,5)=4)),G10)</f>
        <v>25</v>
      </c>
      <c r="H11" s="4"/>
      <c r="I11" s="16">
        <f t="shared" ref="I11:I21" si="3">IF(OR(J10="",J10="O"),(I10+$C$8+(MOD(I10+$C$8,5)=4)),I10)</f>
        <v>21</v>
      </c>
      <c r="J11" s="4"/>
      <c r="K11" s="65"/>
      <c r="L11" s="103"/>
      <c r="M11" s="103"/>
    </row>
    <row r="12" spans="1:13" ht="15" customHeight="1">
      <c r="A12" s="8" t="s">
        <v>130</v>
      </c>
      <c r="B12" s="4"/>
      <c r="C12" s="16">
        <f t="shared" si="0"/>
        <v>47</v>
      </c>
      <c r="D12" s="4"/>
      <c r="E12" s="16">
        <f t="shared" si="1"/>
        <v>52</v>
      </c>
      <c r="F12" s="4"/>
      <c r="G12" s="16">
        <f t="shared" si="2"/>
        <v>27</v>
      </c>
      <c r="H12" s="4"/>
      <c r="I12" s="16">
        <f t="shared" si="3"/>
        <v>22</v>
      </c>
      <c r="J12" s="4"/>
      <c r="K12" s="65"/>
      <c r="L12" s="103"/>
      <c r="M12" s="103"/>
    </row>
    <row r="13" spans="1:13" ht="15" customHeight="1">
      <c r="A13" s="8" t="s">
        <v>131</v>
      </c>
      <c r="B13" s="84">
        <v>46258</v>
      </c>
      <c r="C13" s="16">
        <f t="shared" si="0"/>
        <v>52</v>
      </c>
      <c r="D13" s="4"/>
      <c r="E13" s="16">
        <f t="shared" si="1"/>
        <v>57</v>
      </c>
      <c r="F13" s="4"/>
      <c r="G13" s="16">
        <f t="shared" si="2"/>
        <v>30</v>
      </c>
      <c r="H13" s="4"/>
      <c r="I13" s="16">
        <f t="shared" si="3"/>
        <v>23</v>
      </c>
      <c r="J13" s="4"/>
      <c r="K13" s="65"/>
      <c r="L13" s="103"/>
      <c r="M13" s="103"/>
    </row>
    <row r="14" spans="1:13" ht="15" customHeight="1">
      <c r="A14" s="8" t="s">
        <v>132</v>
      </c>
      <c r="B14" s="84">
        <v>46266</v>
      </c>
      <c r="C14" s="16">
        <f t="shared" si="0"/>
        <v>57</v>
      </c>
      <c r="D14" s="4"/>
      <c r="E14" s="16">
        <f t="shared" si="1"/>
        <v>62</v>
      </c>
      <c r="F14" s="4"/>
      <c r="G14" s="16">
        <f t="shared" si="2"/>
        <v>32</v>
      </c>
      <c r="H14" s="4"/>
      <c r="I14" s="16">
        <f t="shared" si="3"/>
        <v>25</v>
      </c>
      <c r="J14" s="4"/>
      <c r="K14" s="65" t="s">
        <v>1092</v>
      </c>
      <c r="L14" s="103"/>
      <c r="M14" s="103"/>
    </row>
    <row r="15" spans="1:13" ht="15" customHeight="1">
      <c r="A15" s="8" t="s">
        <v>133</v>
      </c>
      <c r="B15" s="4"/>
      <c r="C15" s="16">
        <f t="shared" si="0"/>
        <v>62</v>
      </c>
      <c r="D15" s="4"/>
      <c r="E15" s="16">
        <f t="shared" si="1"/>
        <v>67</v>
      </c>
      <c r="F15" s="4"/>
      <c r="G15" s="16">
        <f t="shared" si="2"/>
        <v>35</v>
      </c>
      <c r="H15" s="4"/>
      <c r="I15" s="16">
        <f t="shared" si="3"/>
        <v>26</v>
      </c>
      <c r="J15" s="4"/>
      <c r="K15" s="65"/>
      <c r="L15" s="103"/>
      <c r="M15" s="103"/>
    </row>
    <row r="16" spans="1:13" ht="15" customHeight="1">
      <c r="A16" s="8" t="s">
        <v>134</v>
      </c>
      <c r="B16" s="4"/>
      <c r="C16" s="16">
        <f t="shared" si="0"/>
        <v>67</v>
      </c>
      <c r="D16" s="4"/>
      <c r="E16" s="16">
        <f t="shared" si="1"/>
        <v>72</v>
      </c>
      <c r="F16" s="4"/>
      <c r="G16" s="16">
        <f t="shared" si="2"/>
        <v>37</v>
      </c>
      <c r="H16" s="4"/>
      <c r="I16" s="16">
        <f t="shared" si="3"/>
        <v>27</v>
      </c>
      <c r="J16" s="4"/>
      <c r="K16" s="65"/>
      <c r="L16" s="103"/>
      <c r="M16" s="103"/>
    </row>
    <row r="17" spans="1:13" ht="15" customHeight="1">
      <c r="A17" s="8" t="s">
        <v>135</v>
      </c>
      <c r="B17" s="4"/>
      <c r="C17" s="16">
        <f t="shared" si="0"/>
        <v>72</v>
      </c>
      <c r="D17" s="4"/>
      <c r="E17" s="16">
        <f t="shared" si="1"/>
        <v>77</v>
      </c>
      <c r="F17" s="4"/>
      <c r="G17" s="16">
        <f t="shared" si="2"/>
        <v>40</v>
      </c>
      <c r="H17" s="4"/>
      <c r="I17" s="16">
        <f t="shared" si="3"/>
        <v>28</v>
      </c>
      <c r="J17" s="4"/>
      <c r="K17" s="65"/>
      <c r="L17" s="103"/>
      <c r="M17" s="103"/>
    </row>
    <row r="18" spans="1:13" ht="15" customHeight="1">
      <c r="A18" s="8" t="s">
        <v>136</v>
      </c>
      <c r="B18" s="4"/>
      <c r="C18" s="16">
        <f t="shared" si="0"/>
        <v>77</v>
      </c>
      <c r="D18" s="4"/>
      <c r="E18" s="16">
        <f t="shared" si="1"/>
        <v>82</v>
      </c>
      <c r="F18" s="4"/>
      <c r="G18" s="16">
        <f t="shared" si="2"/>
        <v>42</v>
      </c>
      <c r="H18" s="4"/>
      <c r="I18" s="16">
        <f t="shared" si="3"/>
        <v>30</v>
      </c>
      <c r="J18" s="4"/>
      <c r="K18" s="65"/>
      <c r="L18" s="103"/>
      <c r="M18" s="103"/>
    </row>
    <row r="19" spans="1:13" ht="15" customHeight="1">
      <c r="A19" s="8" t="s">
        <v>137</v>
      </c>
      <c r="B19" s="4"/>
      <c r="C19" s="16">
        <f t="shared" si="0"/>
        <v>82</v>
      </c>
      <c r="D19" s="4"/>
      <c r="E19" s="16">
        <f t="shared" si="1"/>
        <v>87</v>
      </c>
      <c r="F19" s="4"/>
      <c r="G19" s="16">
        <f t="shared" si="2"/>
        <v>45</v>
      </c>
      <c r="H19" s="4"/>
      <c r="I19" s="16">
        <f t="shared" si="3"/>
        <v>31</v>
      </c>
      <c r="J19" s="4"/>
      <c r="K19" s="65"/>
      <c r="L19" s="103"/>
      <c r="M19" s="103"/>
    </row>
    <row r="20" spans="1:13" ht="15" customHeight="1">
      <c r="A20" s="8" t="s">
        <v>138</v>
      </c>
      <c r="B20" s="4"/>
      <c r="C20" s="16">
        <f t="shared" si="0"/>
        <v>87</v>
      </c>
      <c r="D20" s="4"/>
      <c r="E20" s="16">
        <f t="shared" si="1"/>
        <v>92</v>
      </c>
      <c r="F20" s="4"/>
      <c r="G20" s="16">
        <f t="shared" si="2"/>
        <v>47</v>
      </c>
      <c r="H20" s="4"/>
      <c r="I20" s="16">
        <f t="shared" si="3"/>
        <v>32</v>
      </c>
      <c r="J20" s="4"/>
      <c r="K20" s="65"/>
      <c r="L20" s="103"/>
      <c r="M20" s="103"/>
    </row>
    <row r="21" spans="1:13" ht="15" customHeight="1">
      <c r="A21" s="8" t="s">
        <v>139</v>
      </c>
      <c r="B21" s="4"/>
      <c r="C21" s="16">
        <f t="shared" si="0"/>
        <v>92</v>
      </c>
      <c r="D21" s="4"/>
      <c r="E21" s="16">
        <f t="shared" si="1"/>
        <v>97</v>
      </c>
      <c r="F21" s="4"/>
      <c r="G21" s="16">
        <f t="shared" si="2"/>
        <v>50</v>
      </c>
      <c r="H21" s="4"/>
      <c r="I21" s="16">
        <f t="shared" si="3"/>
        <v>33</v>
      </c>
      <c r="J21" s="4"/>
      <c r="K21" s="65"/>
      <c r="L21" s="103"/>
      <c r="M21" s="103"/>
    </row>
    <row r="23" spans="1:13" ht="108" customHeight="1">
      <c r="A23" s="11" t="s">
        <v>644</v>
      </c>
    </row>
    <row r="24" spans="1:13" ht="84" customHeight="1">
      <c r="A24" s="11" t="s">
        <v>645</v>
      </c>
    </row>
    <row r="25" spans="1:13" ht="84" customHeight="1">
      <c r="A25" s="11" t="s">
        <v>646</v>
      </c>
    </row>
    <row r="26" spans="1:13" ht="120" customHeight="1">
      <c r="A26" s="11"/>
    </row>
    <row r="27" spans="1:13" ht="96" customHeight="1">
      <c r="A27" s="11" t="s">
        <v>647</v>
      </c>
    </row>
    <row r="28" spans="1:13" ht="108" customHeight="1">
      <c r="A28" s="11" t="s">
        <v>648</v>
      </c>
    </row>
    <row r="29" spans="1:13" ht="108" customHeight="1">
      <c r="A29" s="11" t="s">
        <v>649</v>
      </c>
    </row>
    <row r="30" spans="1:13" ht="156" customHeight="1">
      <c r="A30" s="11" t="s">
        <v>650</v>
      </c>
    </row>
    <row r="31" spans="1:13" ht="96" customHeight="1">
      <c r="A31" s="11" t="s">
        <v>651</v>
      </c>
    </row>
    <row r="32" spans="1:13">
      <c r="A32" t="s">
        <v>652</v>
      </c>
    </row>
    <row r="33" spans="1:1">
      <c r="A33" t="s">
        <v>653</v>
      </c>
    </row>
    <row r="34" spans="1:1">
      <c r="A34" t="s">
        <v>654</v>
      </c>
    </row>
    <row r="35" spans="1:1">
      <c r="A35" t="s">
        <v>655</v>
      </c>
    </row>
    <row r="36" spans="1:1">
      <c r="A36" t="s">
        <v>656</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657</v>
      </c>
    </row>
    <row r="2" spans="1:3" ht="15" customHeight="1">
      <c r="A2" s="2" t="s">
        <v>658</v>
      </c>
    </row>
    <row r="4" spans="1:3" ht="15" customHeight="1">
      <c r="A4" s="5" t="s">
        <v>659</v>
      </c>
      <c r="B4" s="5" t="s">
        <v>660</v>
      </c>
      <c r="C4" s="5" t="s">
        <v>661</v>
      </c>
    </row>
    <row r="5" spans="1:3" ht="15" customHeight="1">
      <c r="A5" s="7" t="s">
        <v>563</v>
      </c>
      <c r="B5" s="7" t="s">
        <v>662</v>
      </c>
      <c r="C5" s="53" t="s">
        <v>663</v>
      </c>
    </row>
    <row r="6" spans="1:3" ht="15" customHeight="1">
      <c r="A6" s="7" t="s">
        <v>664</v>
      </c>
      <c r="B6" s="7" t="s">
        <v>662</v>
      </c>
      <c r="C6" s="53" t="s">
        <v>665</v>
      </c>
    </row>
    <row r="7" spans="1:3" ht="15" customHeight="1">
      <c r="A7" s="7" t="s">
        <v>271</v>
      </c>
      <c r="B7" s="7" t="s">
        <v>666</v>
      </c>
      <c r="C7" s="53" t="s">
        <v>667</v>
      </c>
    </row>
    <row r="8" spans="1:3" ht="15" customHeight="1">
      <c r="A8" s="67" t="s">
        <v>668</v>
      </c>
      <c r="B8" s="67" t="s">
        <v>669</v>
      </c>
      <c r="C8" s="68" t="s">
        <v>670</v>
      </c>
    </row>
    <row r="9" spans="1:3" ht="15" customHeight="1">
      <c r="A9" s="67" t="s">
        <v>671</v>
      </c>
      <c r="B9" s="67" t="s">
        <v>669</v>
      </c>
      <c r="C9" s="68" t="s">
        <v>672</v>
      </c>
    </row>
    <row r="10" spans="1:3" ht="15" customHeight="1">
      <c r="A10" s="7" t="s">
        <v>673</v>
      </c>
      <c r="B10" s="7" t="s">
        <v>674</v>
      </c>
      <c r="C10" s="69" t="s">
        <v>675</v>
      </c>
    </row>
    <row r="11" spans="1:3" ht="15" customHeight="1">
      <c r="A11" s="7" t="s">
        <v>676</v>
      </c>
      <c r="B11" s="8" t="s">
        <v>677</v>
      </c>
      <c r="C11" s="53" t="s">
        <v>678</v>
      </c>
    </row>
    <row r="12" spans="1:3" ht="15" customHeight="1">
      <c r="A12" s="7" t="s">
        <v>679</v>
      </c>
      <c r="B12" s="7" t="s">
        <v>680</v>
      </c>
      <c r="C12" s="53" t="s">
        <v>681</v>
      </c>
    </row>
    <row r="15" spans="1:3" ht="24" customHeight="1">
      <c r="A15" s="11" t="s">
        <v>682</v>
      </c>
    </row>
    <row r="16" spans="1:3" ht="24" customHeight="1">
      <c r="A16" s="11" t="s">
        <v>683</v>
      </c>
    </row>
    <row r="17" spans="1:1" ht="36" customHeight="1">
      <c r="A17" s="11" t="s">
        <v>684</v>
      </c>
    </row>
    <row r="18" spans="1:1" ht="15" customHeight="1">
      <c r="A18" s="63"/>
    </row>
    <row r="19" spans="1:1" ht="36" customHeight="1">
      <c r="A19" s="11" t="s">
        <v>685</v>
      </c>
    </row>
    <row r="20" spans="1:1" ht="36" customHeight="1">
      <c r="A20" s="11" t="s">
        <v>686</v>
      </c>
    </row>
    <row r="22" spans="1:1" ht="48" customHeight="1">
      <c r="A22" s="13" t="s">
        <v>687</v>
      </c>
    </row>
    <row r="24" spans="1:1" ht="16.5" customHeight="1">
      <c r="A24" s="14" t="s">
        <v>688</v>
      </c>
    </row>
    <row r="25" spans="1:1" ht="16.5" customHeight="1">
      <c r="A25" t="s">
        <v>689</v>
      </c>
    </row>
    <row r="26" spans="1:1" ht="16.5" customHeight="1">
      <c r="A26" t="s">
        <v>690</v>
      </c>
    </row>
    <row r="27" spans="1:1" ht="16.5" customHeight="1">
      <c r="A27" t="s">
        <v>691</v>
      </c>
    </row>
    <row r="28" spans="1:1" ht="16.5" customHeight="1">
      <c r="A28" t="s">
        <v>692</v>
      </c>
    </row>
    <row r="30" spans="1:1" ht="16.5" customHeight="1">
      <c r="A30" t="s">
        <v>693</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694</v>
      </c>
    </row>
    <row r="2" spans="1:7" ht="15" customHeight="1">
      <c r="A2" s="70" t="s">
        <v>695</v>
      </c>
    </row>
    <row r="3" spans="1:7" ht="16.5" customHeight="1">
      <c r="A3" s="3" t="s">
        <v>696</v>
      </c>
    </row>
    <row r="5" spans="1:7" ht="15" customHeight="1">
      <c r="A5" s="5" t="s">
        <v>697</v>
      </c>
      <c r="B5" s="5" t="s">
        <v>698</v>
      </c>
      <c r="C5" s="5" t="s">
        <v>699</v>
      </c>
      <c r="D5" s="5" t="s">
        <v>700</v>
      </c>
      <c r="E5" s="5" t="s">
        <v>7</v>
      </c>
      <c r="F5" s="5" t="s">
        <v>147</v>
      </c>
      <c r="G5" t="s">
        <v>701</v>
      </c>
    </row>
    <row r="6" spans="1:7" ht="15" customHeight="1">
      <c r="A6" s="71" t="s">
        <v>702</v>
      </c>
      <c r="B6" s="72" t="s">
        <v>703</v>
      </c>
      <c r="C6" s="72" t="s">
        <v>704</v>
      </c>
      <c r="D6" s="71" t="s">
        <v>705</v>
      </c>
      <c r="E6" s="71">
        <f>복귀_평일A_가슴!$E$27</f>
        <v>28</v>
      </c>
      <c r="F6" s="73" t="s">
        <v>706</v>
      </c>
      <c r="G6" t="s">
        <v>707</v>
      </c>
    </row>
    <row r="7" spans="1:7" ht="15" customHeight="1">
      <c r="A7" s="7" t="s">
        <v>708</v>
      </c>
      <c r="B7" s="8" t="s">
        <v>703</v>
      </c>
      <c r="C7" s="8" t="s">
        <v>704</v>
      </c>
      <c r="D7" s="67" t="s">
        <v>709</v>
      </c>
      <c r="E7" s="7">
        <f>복귀_평일B_어깨!$E$21</f>
        <v>35</v>
      </c>
      <c r="F7" s="69" t="s">
        <v>710</v>
      </c>
      <c r="G7" t="s">
        <v>711</v>
      </c>
    </row>
    <row r="8" spans="1:7" ht="15" customHeight="1">
      <c r="A8" s="71" t="s">
        <v>712</v>
      </c>
      <c r="B8" s="72" t="s">
        <v>713</v>
      </c>
      <c r="C8" s="72" t="s">
        <v>699</v>
      </c>
      <c r="D8" s="71" t="s">
        <v>714</v>
      </c>
      <c r="E8" s="71">
        <f>복귀_토_하체!$E$34</f>
        <v>37</v>
      </c>
      <c r="F8" s="73" t="s">
        <v>715</v>
      </c>
      <c r="G8" t="s">
        <v>716</v>
      </c>
    </row>
    <row r="9" spans="1:7" ht="15" customHeight="1">
      <c r="A9" s="71" t="s">
        <v>717</v>
      </c>
      <c r="B9" s="72" t="s">
        <v>718</v>
      </c>
      <c r="C9" s="72" t="s">
        <v>699</v>
      </c>
      <c r="D9" s="71" t="s">
        <v>719</v>
      </c>
      <c r="E9" s="71">
        <f>복귀_일_등!$E$26</f>
        <v>33</v>
      </c>
      <c r="F9" s="73" t="s">
        <v>720</v>
      </c>
      <c r="G9" t="s">
        <v>721</v>
      </c>
    </row>
    <row r="10" spans="1:7" ht="15" customHeight="1">
      <c r="A10" s="71" t="s">
        <v>722</v>
      </c>
      <c r="B10" s="72" t="s">
        <v>723</v>
      </c>
      <c r="C10" s="72" t="s">
        <v>149</v>
      </c>
      <c r="D10" s="71" t="s">
        <v>157</v>
      </c>
      <c r="E10" s="71">
        <v>0</v>
      </c>
      <c r="F10" s="73" t="s">
        <v>149</v>
      </c>
      <c r="G10" t="s">
        <v>724</v>
      </c>
    </row>
    <row r="11" spans="1:7" ht="15" customHeight="1">
      <c r="A11" s="7" t="s">
        <v>165</v>
      </c>
      <c r="B11" s="7"/>
      <c r="C11" s="7"/>
      <c r="D11" s="67"/>
      <c r="E11" s="7">
        <f>SUM(E6:E10)</f>
        <v>133</v>
      </c>
      <c r="F11" s="53" t="s">
        <v>725</v>
      </c>
    </row>
    <row r="12" spans="1:7" ht="15" customHeight="1">
      <c r="A12" s="7"/>
      <c r="B12" s="7"/>
      <c r="C12" s="7"/>
      <c r="D12" s="67"/>
      <c r="E12" s="7"/>
      <c r="F12" s="53"/>
    </row>
    <row r="13" spans="1:7" ht="15" customHeight="1">
      <c r="A13" s="28"/>
      <c r="B13" s="28"/>
      <c r="C13" s="28"/>
      <c r="D13" s="28"/>
      <c r="E13" s="28"/>
      <c r="F13" s="29"/>
    </row>
    <row r="15" spans="1:7" ht="48" customHeight="1">
      <c r="A15" s="13" t="s">
        <v>726</v>
      </c>
    </row>
    <row r="16" spans="1:7" ht="141" customHeight="1">
      <c r="A16" s="11" t="s">
        <v>727</v>
      </c>
    </row>
    <row r="17" spans="1:1" ht="126" customHeight="1">
      <c r="A17" s="11" t="s">
        <v>728</v>
      </c>
    </row>
    <row r="18" spans="1:1" ht="77.25" customHeight="1">
      <c r="A18" s="11" t="s">
        <v>729</v>
      </c>
    </row>
    <row r="19" spans="1:1" ht="115.5" customHeight="1">
      <c r="A19" s="11" t="s">
        <v>1209</v>
      </c>
    </row>
    <row r="20" spans="1:1" ht="15" customHeight="1">
      <c r="A20" s="63" t="s">
        <v>730</v>
      </c>
    </row>
    <row r="21" spans="1:1" ht="48" customHeight="1">
      <c r="A21" s="13"/>
    </row>
    <row r="22" spans="1:1" ht="141" customHeight="1">
      <c r="A22" s="11" t="s">
        <v>731</v>
      </c>
    </row>
    <row r="23" spans="1:1" ht="77.25" customHeight="1">
      <c r="A23" s="11" t="s">
        <v>732</v>
      </c>
    </row>
    <row r="24" spans="1:1" ht="90" customHeight="1">
      <c r="A24" s="11" t="s">
        <v>733</v>
      </c>
    </row>
    <row r="25" spans="1:1" ht="128.25" customHeight="1">
      <c r="A25" s="11" t="s">
        <v>734</v>
      </c>
    </row>
    <row r="26" spans="1:1" ht="128.25" customHeight="1">
      <c r="A26" s="11"/>
    </row>
    <row r="27" spans="1:1" ht="15" customHeight="1">
      <c r="A27" s="63" t="s">
        <v>735</v>
      </c>
    </row>
    <row r="28" spans="1:1" ht="48" customHeight="1">
      <c r="A28" s="13" t="s">
        <v>736</v>
      </c>
    </row>
    <row r="29" spans="1:1" ht="75" customHeight="1">
      <c r="A29" s="11" t="s">
        <v>737</v>
      </c>
    </row>
    <row r="30" spans="1:1" ht="102.75" customHeight="1">
      <c r="A30" s="11" t="s">
        <v>738</v>
      </c>
    </row>
    <row r="31" spans="1:1" ht="90" customHeight="1">
      <c r="A31" s="11" t="s">
        <v>739</v>
      </c>
    </row>
    <row r="32" spans="1:1" ht="128.25" customHeight="1">
      <c r="A32" s="11" t="s">
        <v>740</v>
      </c>
    </row>
    <row r="33" spans="1:1" ht="144" customHeight="1">
      <c r="A33" s="11"/>
    </row>
    <row r="34" spans="1:1" ht="15" customHeight="1">
      <c r="A34" s="74" t="s">
        <v>741</v>
      </c>
    </row>
    <row r="35" spans="1:1">
      <c r="A35" t="s">
        <v>742</v>
      </c>
    </row>
    <row r="36" spans="1:1">
      <c r="A36" t="s">
        <v>743</v>
      </c>
    </row>
    <row r="37" spans="1:1">
      <c r="A37" t="s">
        <v>744</v>
      </c>
    </row>
    <row r="39" spans="1:1">
      <c r="A39" t="s">
        <v>745</v>
      </c>
    </row>
    <row r="40" spans="1:1">
      <c r="A40" t="s">
        <v>746</v>
      </c>
    </row>
    <row r="41" spans="1:1">
      <c r="A41" t="s">
        <v>747</v>
      </c>
    </row>
    <row r="42" spans="1:1">
      <c r="A42" t="s">
        <v>748</v>
      </c>
    </row>
    <row r="44" spans="1:1">
      <c r="A44" t="s">
        <v>749</v>
      </c>
    </row>
    <row r="45" spans="1:1">
      <c r="A45" t="s">
        <v>203</v>
      </c>
    </row>
    <row r="46" spans="1:1">
      <c r="A46" t="s">
        <v>750</v>
      </c>
    </row>
    <row r="47" spans="1:1">
      <c r="A47" t="s">
        <v>751</v>
      </c>
    </row>
    <row r="48" spans="1:1">
      <c r="A48" t="s">
        <v>752</v>
      </c>
    </row>
    <row r="49" spans="1:1">
      <c r="A49" t="s">
        <v>753</v>
      </c>
    </row>
    <row r="50" spans="1:1">
      <c r="A50" t="s">
        <v>754</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8"/>
  <sheetViews>
    <sheetView zoomScaleNormal="100" workbookViewId="0">
      <selection activeCell="G35" sqref="G35"/>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755</v>
      </c>
    </row>
    <row r="2" spans="1:3" ht="15" customHeight="1">
      <c r="A2" s="2" t="s">
        <v>756</v>
      </c>
    </row>
    <row r="4" spans="1:3">
      <c r="A4" s="3" t="s">
        <v>1133</v>
      </c>
    </row>
    <row r="5" spans="1:3">
      <c r="A5" s="19" t="s">
        <v>1134</v>
      </c>
      <c r="B5" s="19" t="s">
        <v>1135</v>
      </c>
      <c r="C5" s="19" t="s">
        <v>1136</v>
      </c>
    </row>
    <row r="6" spans="1:3">
      <c r="A6" s="20">
        <f>MAX(20,(MROUND(시작중량_설정!$E$7*0.4,1)+(MOD(MROUND(시작중량_설정!$E$7*0.4,1),5)=4)))</f>
        <v>25</v>
      </c>
      <c r="B6" s="20">
        <v>5</v>
      </c>
      <c r="C6" s="20">
        <v>2</v>
      </c>
    </row>
    <row r="7" spans="1:3">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3">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3">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3">
      <c r="A10" s="37">
        <f>시작중량_설정!$E$7</f>
        <v>62</v>
      </c>
      <c r="B10" s="27">
        <v>5</v>
      </c>
      <c r="C10" s="27">
        <v>5</v>
      </c>
    </row>
    <row r="11" spans="1:3">
      <c r="A11" s="31" t="s">
        <v>1137</v>
      </c>
    </row>
    <row r="13" spans="1:3">
      <c r="A13" s="3" t="s">
        <v>1138</v>
      </c>
    </row>
    <row r="14" spans="1:3">
      <c r="A14" s="19" t="s">
        <v>1134</v>
      </c>
      <c r="B14" s="19" t="s">
        <v>1135</v>
      </c>
      <c r="C14" s="19" t="s">
        <v>1136</v>
      </c>
    </row>
    <row r="15" spans="1:3">
      <c r="A15" s="20">
        <f>MAX(20,(MROUND(시작중량_설정!$E$10*0.4,1)+(MOD(MROUND(시작중량_설정!$E$10*0.4,1),5)=4)))</f>
        <v>20</v>
      </c>
      <c r="B15" s="20">
        <v>5</v>
      </c>
      <c r="C15" s="20">
        <v>2</v>
      </c>
    </row>
    <row r="16" spans="1:3">
      <c r="A16" s="20" t="str">
        <f>IF(MAX(20,(MROUND(시작중량_설정!$E$10*0.6,1)+(MOD(MROUND(시작중량_설정!$E$10*0.6,1),5)=4)))&lt;=MAX(20,(MROUND(시작중량_설정!$E$10*0.4,1)+(MOD(MROUND(시작중량_설정!$E$10*0.4,1),5)=4))),"생략",MAX(20,(MROUND(시작중량_설정!$E$10*0.6,1)+(MOD(MROUND(시작중량_설정!$E$10*0.6,1),5)=4))))</f>
        <v>생략</v>
      </c>
      <c r="B16" s="20">
        <v>5</v>
      </c>
      <c r="C16" s="20">
        <v>1</v>
      </c>
    </row>
    <row r="17" spans="1:14">
      <c r="A17" s="20" t="str">
        <f>IF(MAX(20,(MROUND(시작중량_설정!$E$10*0.75,1)+(MOD(MROUND(시작중량_설정!$E$10*0.75,1),5)=4)))&lt;=MAX(20,(MROUND(시작중량_설정!$E$10*0.6,1)+(MOD(MROUND(시작중량_설정!$E$10*0.6,1),5)=4))),"생략",MAX(20,(MROUND(시작중량_설정!$E$10*0.75,1)+(MOD(MROUND(시작중량_설정!$E$10*0.75,1),5)=4))))</f>
        <v>생략</v>
      </c>
      <c r="B17" s="20">
        <v>3</v>
      </c>
      <c r="C17" s="20">
        <v>1</v>
      </c>
    </row>
    <row r="18" spans="1:14">
      <c r="A18" s="20">
        <f>IF(MAX(20,(MROUND(시작중량_설정!$E$10*0.9,1)+(MOD(MROUND(시작중량_설정!$E$10*0.9,1),5)=4)))&lt;=MAX(20,(MROUND(시작중량_설정!$E$10*0.75,1)+(MOD(MROUND(시작중량_설정!$E$10*0.75,1),5)=4))),"생략",MAX(20,(MROUND(시작중량_설정!$E$10*0.9,1)+(MOD(MROUND(시작중량_설정!$E$10*0.9,1),5)=4))))</f>
        <v>23</v>
      </c>
      <c r="B18" s="20">
        <v>2</v>
      </c>
      <c r="C18" s="20">
        <v>1</v>
      </c>
    </row>
    <row r="19" spans="1:14">
      <c r="A19" s="37">
        <f>시작중량_설정!$E$10</f>
        <v>26</v>
      </c>
      <c r="B19" s="27">
        <v>5</v>
      </c>
      <c r="C19" s="27">
        <v>3</v>
      </c>
    </row>
    <row r="20" spans="1:14">
      <c r="A20" s="31" t="s">
        <v>1139</v>
      </c>
    </row>
    <row r="22" spans="1:14">
      <c r="A22" s="3" t="s">
        <v>2</v>
      </c>
    </row>
    <row r="23" spans="1:14" ht="15" customHeight="1">
      <c r="A23" s="6" t="s">
        <v>3</v>
      </c>
      <c r="B23" s="5" t="s">
        <v>4</v>
      </c>
      <c r="C23" s="5" t="s">
        <v>5</v>
      </c>
      <c r="D23" s="5" t="s">
        <v>6</v>
      </c>
      <c r="E23" s="5" t="s">
        <v>7</v>
      </c>
      <c r="F23" s="5" t="s">
        <v>8</v>
      </c>
      <c r="G23" s="5" t="s">
        <v>9</v>
      </c>
      <c r="H23" s="5" t="s">
        <v>10</v>
      </c>
      <c r="I23" t="s">
        <v>11</v>
      </c>
      <c r="J23" t="s">
        <v>13</v>
      </c>
      <c r="K23" t="s">
        <v>14</v>
      </c>
      <c r="L23" s="5" t="s">
        <v>15</v>
      </c>
      <c r="M23" s="5" t="s">
        <v>16</v>
      </c>
      <c r="N23" s="5" t="s">
        <v>1148</v>
      </c>
    </row>
    <row r="24" spans="1:14" ht="29.25" customHeight="1">
      <c r="A24" s="67">
        <v>1</v>
      </c>
      <c r="B24" s="68" t="s">
        <v>99</v>
      </c>
      <c r="C24" s="67" t="s">
        <v>315</v>
      </c>
      <c r="D24" s="75">
        <f>시작중량_설정!$E$7</f>
        <v>62</v>
      </c>
      <c r="E24" s="67">
        <v>5</v>
      </c>
      <c r="F24" s="59">
        <v>5</v>
      </c>
      <c r="G24" s="68">
        <v>30</v>
      </c>
      <c r="H24" s="68">
        <v>180</v>
      </c>
      <c r="I24">
        <f t="shared" ref="I24:I33" si="0">IF(E24=0,0,ROUND((E24*(G24+H24)+N24)/60,1))</f>
        <v>17.5</v>
      </c>
      <c r="J24" t="s">
        <v>1177</v>
      </c>
      <c r="K24" t="s">
        <v>757</v>
      </c>
      <c r="L24" s="68" t="s">
        <v>293</v>
      </c>
    </row>
    <row r="25" spans="1:14" ht="29.25" customHeight="1">
      <c r="A25" s="67">
        <v>2</v>
      </c>
      <c r="B25" s="68" t="s">
        <v>758</v>
      </c>
      <c r="C25" s="67" t="s">
        <v>27</v>
      </c>
      <c r="D25" s="75">
        <f>시작중량_설정!$E$10</f>
        <v>26</v>
      </c>
      <c r="E25" s="67">
        <v>3</v>
      </c>
      <c r="F25" s="59">
        <v>5</v>
      </c>
      <c r="G25" s="68">
        <v>30</v>
      </c>
      <c r="H25" s="68">
        <v>180</v>
      </c>
      <c r="I25">
        <f t="shared" si="0"/>
        <v>10.5</v>
      </c>
      <c r="J25" t="s">
        <v>1178</v>
      </c>
      <c r="K25" t="s">
        <v>759</v>
      </c>
      <c r="L25" s="68" t="s">
        <v>409</v>
      </c>
    </row>
    <row r="26" spans="1:14" ht="15" customHeight="1">
      <c r="A26" s="7">
        <v>3</v>
      </c>
      <c r="B26" s="53" t="s">
        <v>320</v>
      </c>
      <c r="C26" s="7" t="s">
        <v>315</v>
      </c>
      <c r="D26" s="8" t="s">
        <v>149</v>
      </c>
      <c r="E26" s="7">
        <v>4</v>
      </c>
      <c r="F26" s="8" t="s">
        <v>40</v>
      </c>
      <c r="G26" s="53">
        <v>45</v>
      </c>
      <c r="H26" s="53">
        <v>150</v>
      </c>
      <c r="I26">
        <f t="shared" si="0"/>
        <v>13</v>
      </c>
      <c r="J26" t="s">
        <v>760</v>
      </c>
      <c r="K26" t="s">
        <v>761</v>
      </c>
    </row>
    <row r="27" spans="1:14" ht="15" customHeight="1">
      <c r="A27" s="7">
        <v>4</v>
      </c>
      <c r="B27" s="53" t="s">
        <v>455</v>
      </c>
      <c r="C27" s="7" t="s">
        <v>315</v>
      </c>
      <c r="D27" s="8" t="s">
        <v>149</v>
      </c>
      <c r="E27" s="7">
        <v>3</v>
      </c>
      <c r="F27" s="8" t="s">
        <v>304</v>
      </c>
      <c r="G27" s="53">
        <v>40</v>
      </c>
      <c r="H27" s="53">
        <v>120</v>
      </c>
      <c r="I27">
        <f t="shared" si="0"/>
        <v>9.3000000000000007</v>
      </c>
      <c r="J27" t="s">
        <v>1156</v>
      </c>
      <c r="K27" t="s">
        <v>762</v>
      </c>
      <c r="N27">
        <v>75</v>
      </c>
    </row>
    <row r="28" spans="1:14" ht="15" customHeight="1">
      <c r="A28" s="7">
        <v>5</v>
      </c>
      <c r="B28" s="53" t="s">
        <v>452</v>
      </c>
      <c r="C28" s="7" t="s">
        <v>330</v>
      </c>
      <c r="D28" s="8" t="s">
        <v>149</v>
      </c>
      <c r="E28" s="7">
        <v>3</v>
      </c>
      <c r="F28" s="8">
        <v>10</v>
      </c>
      <c r="G28" s="53">
        <v>60</v>
      </c>
      <c r="H28" s="53">
        <v>120</v>
      </c>
      <c r="I28">
        <f t="shared" si="0"/>
        <v>9</v>
      </c>
      <c r="J28" t="s">
        <v>763</v>
      </c>
      <c r="K28" t="s">
        <v>764</v>
      </c>
    </row>
    <row r="29" spans="1:14" ht="15" customHeight="1">
      <c r="A29" s="7">
        <v>6</v>
      </c>
      <c r="B29" s="53" t="s">
        <v>332</v>
      </c>
      <c r="C29" s="7" t="s">
        <v>333</v>
      </c>
      <c r="D29" s="8" t="s">
        <v>765</v>
      </c>
      <c r="E29" s="7">
        <v>4</v>
      </c>
      <c r="F29" s="8" t="s">
        <v>19</v>
      </c>
      <c r="G29" s="53">
        <v>40</v>
      </c>
      <c r="H29" s="53">
        <v>10</v>
      </c>
      <c r="I29">
        <f t="shared" si="0"/>
        <v>3.3</v>
      </c>
      <c r="J29" t="s">
        <v>1140</v>
      </c>
      <c r="K29" t="s">
        <v>766</v>
      </c>
      <c r="M29" t="s">
        <v>336</v>
      </c>
    </row>
    <row r="30" spans="1:14" ht="15" customHeight="1">
      <c r="A30" s="7">
        <v>7</v>
      </c>
      <c r="B30" s="53" t="s">
        <v>337</v>
      </c>
      <c r="C30" s="7" t="s">
        <v>60</v>
      </c>
      <c r="D30" s="8" t="s">
        <v>256</v>
      </c>
      <c r="E30" s="7">
        <v>5</v>
      </c>
      <c r="F30" s="8" t="s">
        <v>19</v>
      </c>
      <c r="G30" s="53">
        <v>40</v>
      </c>
      <c r="H30" s="53">
        <v>120</v>
      </c>
      <c r="I30">
        <f t="shared" si="0"/>
        <v>13.3</v>
      </c>
      <c r="J30" t="s">
        <v>1197</v>
      </c>
      <c r="K30" t="s">
        <v>339</v>
      </c>
      <c r="M30" t="s">
        <v>336</v>
      </c>
    </row>
    <row r="31" spans="1:14" ht="15" customHeight="1">
      <c r="A31" s="7">
        <v>8</v>
      </c>
      <c r="B31" s="53" t="s">
        <v>55</v>
      </c>
      <c r="C31" s="7" t="s">
        <v>56</v>
      </c>
      <c r="D31" s="77" t="s">
        <v>149</v>
      </c>
      <c r="E31" s="7">
        <v>3</v>
      </c>
      <c r="F31" s="8" t="s">
        <v>19</v>
      </c>
      <c r="G31" s="53">
        <v>40</v>
      </c>
      <c r="H31" s="53">
        <v>75</v>
      </c>
      <c r="I31">
        <f t="shared" si="0"/>
        <v>5.8</v>
      </c>
      <c r="J31" t="s">
        <v>767</v>
      </c>
      <c r="K31" t="s">
        <v>768</v>
      </c>
    </row>
    <row r="32" spans="1:14" ht="15" customHeight="1">
      <c r="A32">
        <v>9</v>
      </c>
      <c r="B32" s="87" t="s">
        <v>769</v>
      </c>
      <c r="C32" t="s">
        <v>23</v>
      </c>
      <c r="D32" s="76" t="s">
        <v>770</v>
      </c>
      <c r="E32" s="28">
        <v>3</v>
      </c>
      <c r="F32" t="s">
        <v>19</v>
      </c>
      <c r="G32">
        <v>40</v>
      </c>
      <c r="H32">
        <v>60</v>
      </c>
      <c r="I32">
        <f t="shared" si="0"/>
        <v>6</v>
      </c>
      <c r="J32" t="s">
        <v>1157</v>
      </c>
      <c r="K32" t="s">
        <v>771</v>
      </c>
      <c r="N32">
        <v>60</v>
      </c>
    </row>
    <row r="33" spans="1:14">
      <c r="A33">
        <v>10</v>
      </c>
      <c r="B33" t="s">
        <v>307</v>
      </c>
      <c r="C33" t="s">
        <v>18</v>
      </c>
      <c r="D33" t="s">
        <v>247</v>
      </c>
      <c r="E33">
        <v>4</v>
      </c>
      <c r="F33" t="s">
        <v>19</v>
      </c>
      <c r="G33">
        <v>40</v>
      </c>
      <c r="H33">
        <v>60</v>
      </c>
      <c r="I33">
        <f t="shared" si="0"/>
        <v>7.7</v>
      </c>
      <c r="J33" t="s">
        <v>1158</v>
      </c>
      <c r="K33" t="s">
        <v>772</v>
      </c>
      <c r="N33">
        <v>60</v>
      </c>
    </row>
    <row r="34" spans="1:14" ht="76.5" customHeight="1">
      <c r="A34" s="12"/>
      <c r="D34" t="s">
        <v>63</v>
      </c>
      <c r="E34">
        <f>SUM(E24:E33)</f>
        <v>37</v>
      </c>
      <c r="I34">
        <f>ROUND(SUM(I24:I33),0)</f>
        <v>95</v>
      </c>
    </row>
    <row r="35" spans="1:14" ht="265.5" customHeight="1">
      <c r="A35" s="11"/>
      <c r="C35" s="87"/>
    </row>
    <row r="36" spans="1:14" ht="293.25" customHeight="1">
      <c r="A36" s="11" t="s">
        <v>773</v>
      </c>
    </row>
    <row r="37" spans="1:14" ht="276" customHeight="1">
      <c r="A37" s="11" t="s">
        <v>774</v>
      </c>
    </row>
    <row r="38" spans="1:14">
      <c r="A38" t="s">
        <v>775</v>
      </c>
    </row>
    <row r="39" spans="1:14">
      <c r="A39" t="s">
        <v>776</v>
      </c>
    </row>
    <row r="40" spans="1:14">
      <c r="A40" t="s">
        <v>777</v>
      </c>
    </row>
    <row r="41" spans="1:14">
      <c r="A41" t="s">
        <v>778</v>
      </c>
    </row>
    <row r="43" spans="1:14">
      <c r="A43" t="s">
        <v>779</v>
      </c>
    </row>
    <row r="44" spans="1:14">
      <c r="A44" t="s">
        <v>780</v>
      </c>
    </row>
    <row r="45" spans="1:14">
      <c r="A45" t="s">
        <v>781</v>
      </c>
    </row>
    <row r="46" spans="1:14">
      <c r="A46" t="s">
        <v>782</v>
      </c>
    </row>
    <row r="48" spans="1:14">
      <c r="A48" t="s">
        <v>745</v>
      </c>
    </row>
    <row r="49" spans="1:3">
      <c r="A49" t="s">
        <v>783</v>
      </c>
    </row>
    <row r="50" spans="1:3">
      <c r="A50" t="s">
        <v>784</v>
      </c>
    </row>
    <row r="52" spans="1:3">
      <c r="A52" t="s">
        <v>1150</v>
      </c>
    </row>
    <row r="53" spans="1:3">
      <c r="A53" t="s">
        <v>1159</v>
      </c>
    </row>
    <row r="54" spans="1:3">
      <c r="A54" t="s">
        <v>1160</v>
      </c>
    </row>
    <row r="55" spans="1:3">
      <c r="A55" t="s">
        <v>1161</v>
      </c>
    </row>
    <row r="56" spans="1:3">
      <c r="A56" t="s">
        <v>1151</v>
      </c>
    </row>
    <row r="58" spans="1:3">
      <c r="C58" t="s">
        <v>785</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8"/>
  <sheetViews>
    <sheetView zoomScaleNormal="100" workbookViewId="0">
      <selection activeCell="B7" sqref="B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786</v>
      </c>
    </row>
    <row r="2" spans="1:14" ht="15" customHeight="1">
      <c r="A2" s="2" t="s">
        <v>787</v>
      </c>
    </row>
    <row r="4" spans="1:14">
      <c r="A4" s="3" t="s">
        <v>1141</v>
      </c>
    </row>
    <row r="5" spans="1:14">
      <c r="A5" s="19" t="s">
        <v>1134</v>
      </c>
      <c r="B5" s="19" t="s">
        <v>1135</v>
      </c>
      <c r="C5" s="19" t="s">
        <v>1136</v>
      </c>
    </row>
    <row r="6" spans="1:14">
      <c r="A6" s="20">
        <f>MAX(20,(MROUND(시작중량_설정!$E$8*0.4,1)+(MOD(MROUND(시작중량_설정!$E$8*0.4,1),5)=4)))</f>
        <v>27</v>
      </c>
      <c r="B6" s="20">
        <v>5</v>
      </c>
      <c r="C6" s="20">
        <v>2</v>
      </c>
    </row>
    <row r="7" spans="1:14">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4">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4">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4">
      <c r="A10" s="37">
        <f>시작중량_설정!$E$8</f>
        <v>67</v>
      </c>
      <c r="B10" s="27">
        <v>5</v>
      </c>
      <c r="C10" s="27">
        <v>1</v>
      </c>
    </row>
    <row r="11" spans="1:14">
      <c r="A11" s="31" t="s">
        <v>1142</v>
      </c>
    </row>
    <row r="13" spans="1:14">
      <c r="A13" s="3" t="s">
        <v>2</v>
      </c>
    </row>
    <row r="14" spans="1:14" ht="15" customHeight="1">
      <c r="A14" s="6" t="s">
        <v>3</v>
      </c>
      <c r="B14" s="5" t="s">
        <v>4</v>
      </c>
      <c r="C14" s="5" t="s">
        <v>5</v>
      </c>
      <c r="D14" s="5" t="s">
        <v>6</v>
      </c>
      <c r="E14" s="5" t="s">
        <v>7</v>
      </c>
      <c r="F14" s="5" t="s">
        <v>8</v>
      </c>
      <c r="G14" s="5" t="s">
        <v>9</v>
      </c>
      <c r="H14" s="5" t="s">
        <v>10</v>
      </c>
      <c r="I14" t="s">
        <v>11</v>
      </c>
      <c r="J14" t="s">
        <v>13</v>
      </c>
      <c r="K14" t="s">
        <v>14</v>
      </c>
      <c r="L14" s="5" t="s">
        <v>15</v>
      </c>
      <c r="M14" s="5" t="s">
        <v>16</v>
      </c>
      <c r="N14" s="5" t="s">
        <v>1148</v>
      </c>
    </row>
    <row r="15" spans="1:14" ht="29.25" customHeight="1">
      <c r="A15" s="67">
        <v>1</v>
      </c>
      <c r="B15" s="68" t="s">
        <v>101</v>
      </c>
      <c r="C15" s="67" t="s">
        <v>271</v>
      </c>
      <c r="D15" s="78">
        <f>시작중량_설정!$E$8</f>
        <v>67</v>
      </c>
      <c r="E15" s="67">
        <v>1</v>
      </c>
      <c r="F15" s="59">
        <v>5</v>
      </c>
      <c r="G15" s="68">
        <v>30</v>
      </c>
      <c r="H15" s="68">
        <v>180</v>
      </c>
      <c r="I15">
        <f t="shared" ref="I15:I25" si="0">IF(E15=0,0,ROUND((E15*(G15+H15)+N15)/60,1))</f>
        <v>3.5</v>
      </c>
      <c r="J15" t="s">
        <v>1179</v>
      </c>
      <c r="K15" t="s">
        <v>788</v>
      </c>
    </row>
    <row r="16" spans="1:14" ht="15" customHeight="1">
      <c r="A16" s="7">
        <v>2</v>
      </c>
      <c r="B16" s="89" t="s">
        <v>789</v>
      </c>
      <c r="C16" s="7" t="s">
        <v>245</v>
      </c>
      <c r="D16" s="8" t="s">
        <v>790</v>
      </c>
      <c r="E16" s="7">
        <v>4</v>
      </c>
      <c r="F16" s="8" t="s">
        <v>247</v>
      </c>
      <c r="G16" s="53">
        <v>40</v>
      </c>
      <c r="H16" s="53">
        <v>150</v>
      </c>
      <c r="I16">
        <f t="shared" si="0"/>
        <v>12.7</v>
      </c>
      <c r="J16" t="s">
        <v>791</v>
      </c>
      <c r="K16" t="s">
        <v>792</v>
      </c>
      <c r="L16" s="53" t="s">
        <v>793</v>
      </c>
    </row>
    <row r="17" spans="1:14" ht="15" customHeight="1">
      <c r="A17" s="7">
        <v>3</v>
      </c>
      <c r="B17" s="89" t="s">
        <v>794</v>
      </c>
      <c r="C17" s="7" t="s">
        <v>237</v>
      </c>
      <c r="D17" s="7" t="s">
        <v>149</v>
      </c>
      <c r="E17" s="7">
        <v>4</v>
      </c>
      <c r="F17" s="8" t="s">
        <v>40</v>
      </c>
      <c r="G17" s="53">
        <v>40</v>
      </c>
      <c r="H17" s="53">
        <v>150</v>
      </c>
      <c r="I17">
        <f t="shared" si="0"/>
        <v>13.7</v>
      </c>
      <c r="J17" t="s">
        <v>1169</v>
      </c>
      <c r="K17" t="s">
        <v>795</v>
      </c>
      <c r="N17">
        <v>60</v>
      </c>
    </row>
    <row r="18" spans="1:14" ht="15" customHeight="1">
      <c r="A18" s="7">
        <v>4</v>
      </c>
      <c r="B18" s="53" t="s">
        <v>236</v>
      </c>
      <c r="C18" s="7" t="s">
        <v>237</v>
      </c>
      <c r="D18" s="7" t="s">
        <v>246</v>
      </c>
      <c r="E18" s="7">
        <v>3</v>
      </c>
      <c r="F18" s="8" t="s">
        <v>238</v>
      </c>
      <c r="G18" s="53">
        <v>35</v>
      </c>
      <c r="H18" s="53">
        <v>150</v>
      </c>
      <c r="I18">
        <f t="shared" si="0"/>
        <v>9.3000000000000007</v>
      </c>
      <c r="J18" t="s">
        <v>796</v>
      </c>
      <c r="K18" t="s">
        <v>797</v>
      </c>
      <c r="L18" s="53" t="s">
        <v>798</v>
      </c>
    </row>
    <row r="19" spans="1:14" ht="29.25" customHeight="1">
      <c r="A19" s="7">
        <v>5</v>
      </c>
      <c r="B19" s="53" t="s">
        <v>387</v>
      </c>
      <c r="C19" s="7" t="s">
        <v>245</v>
      </c>
      <c r="D19" s="8" t="s">
        <v>799</v>
      </c>
      <c r="E19" s="7">
        <v>3</v>
      </c>
      <c r="F19" s="8" t="s">
        <v>19</v>
      </c>
      <c r="G19" s="53">
        <v>40</v>
      </c>
      <c r="H19" s="53">
        <v>75</v>
      </c>
      <c r="I19">
        <f t="shared" si="0"/>
        <v>6.8</v>
      </c>
      <c r="J19" t="s">
        <v>1162</v>
      </c>
      <c r="K19" t="s">
        <v>800</v>
      </c>
      <c r="N19">
        <v>60</v>
      </c>
    </row>
    <row r="20" spans="1:14" ht="15" customHeight="1">
      <c r="A20" s="7">
        <v>6</v>
      </c>
      <c r="B20" s="53" t="s">
        <v>398</v>
      </c>
      <c r="C20" s="7" t="s">
        <v>34</v>
      </c>
      <c r="D20" s="8" t="s">
        <v>770</v>
      </c>
      <c r="E20" s="7">
        <v>3</v>
      </c>
      <c r="F20" s="8" t="s">
        <v>19</v>
      </c>
      <c r="G20" s="53">
        <v>40</v>
      </c>
      <c r="H20" s="53">
        <v>75</v>
      </c>
      <c r="I20">
        <f t="shared" si="0"/>
        <v>5.8</v>
      </c>
      <c r="J20" t="s">
        <v>801</v>
      </c>
      <c r="K20" t="s">
        <v>802</v>
      </c>
    </row>
    <row r="21" spans="1:14" ht="15" customHeight="1">
      <c r="A21" s="7">
        <v>7</v>
      </c>
      <c r="B21" s="53" t="s">
        <v>294</v>
      </c>
      <c r="C21" s="7" t="s">
        <v>288</v>
      </c>
      <c r="D21" s="8" t="s">
        <v>246</v>
      </c>
      <c r="E21" s="7">
        <v>3</v>
      </c>
      <c r="F21" s="8" t="s">
        <v>40</v>
      </c>
      <c r="G21" s="53">
        <v>40</v>
      </c>
      <c r="H21" s="53">
        <v>120</v>
      </c>
      <c r="I21">
        <f t="shared" si="0"/>
        <v>8</v>
      </c>
      <c r="J21" t="s">
        <v>803</v>
      </c>
      <c r="K21" t="s">
        <v>804</v>
      </c>
      <c r="L21" s="53" t="s">
        <v>805</v>
      </c>
    </row>
    <row r="22" spans="1:14" ht="15" customHeight="1">
      <c r="A22" s="7">
        <v>8</v>
      </c>
      <c r="B22" s="53" t="s">
        <v>357</v>
      </c>
      <c r="C22" s="7" t="s">
        <v>288</v>
      </c>
      <c r="D22" s="7" t="s">
        <v>52</v>
      </c>
      <c r="E22" s="7">
        <v>3</v>
      </c>
      <c r="F22" s="7" t="s">
        <v>19</v>
      </c>
      <c r="G22" s="53">
        <v>40</v>
      </c>
      <c r="H22" s="53">
        <v>105</v>
      </c>
      <c r="I22">
        <f t="shared" si="0"/>
        <v>8.3000000000000007</v>
      </c>
      <c r="J22" t="s">
        <v>1163</v>
      </c>
      <c r="K22" t="s">
        <v>806</v>
      </c>
      <c r="N22">
        <v>60</v>
      </c>
    </row>
    <row r="23" spans="1:14" ht="15" customHeight="1">
      <c r="A23">
        <v>9</v>
      </c>
      <c r="B23" t="s">
        <v>392</v>
      </c>
      <c r="C23" t="s">
        <v>44</v>
      </c>
      <c r="D23" s="76" t="s">
        <v>363</v>
      </c>
      <c r="E23" s="28">
        <v>3</v>
      </c>
      <c r="F23" t="s">
        <v>40</v>
      </c>
      <c r="G23">
        <v>40</v>
      </c>
      <c r="H23">
        <v>75</v>
      </c>
      <c r="I23">
        <f t="shared" si="0"/>
        <v>6.8</v>
      </c>
      <c r="J23" t="s">
        <v>1164</v>
      </c>
      <c r="K23" t="s">
        <v>807</v>
      </c>
      <c r="N23">
        <v>60</v>
      </c>
    </row>
    <row r="24" spans="1:14">
      <c r="A24">
        <v>10</v>
      </c>
      <c r="B24" t="s">
        <v>808</v>
      </c>
      <c r="C24" t="s">
        <v>45</v>
      </c>
      <c r="D24">
        <v>12</v>
      </c>
      <c r="E24">
        <v>3</v>
      </c>
      <c r="F24" t="s">
        <v>49</v>
      </c>
      <c r="G24">
        <v>40</v>
      </c>
      <c r="H24">
        <v>60</v>
      </c>
      <c r="I24">
        <f t="shared" si="0"/>
        <v>5</v>
      </c>
      <c r="J24" t="s">
        <v>809</v>
      </c>
      <c r="K24" t="s">
        <v>810</v>
      </c>
    </row>
    <row r="25" spans="1:14" ht="17.25" customHeight="1">
      <c r="A25" s="12">
        <v>11</v>
      </c>
      <c r="B25" t="s">
        <v>366</v>
      </c>
      <c r="C25" t="s">
        <v>45</v>
      </c>
      <c r="D25">
        <v>10</v>
      </c>
      <c r="E25">
        <v>3</v>
      </c>
      <c r="F25" t="s">
        <v>49</v>
      </c>
      <c r="G25">
        <v>40</v>
      </c>
      <c r="H25">
        <v>60</v>
      </c>
      <c r="I25">
        <f t="shared" si="0"/>
        <v>5</v>
      </c>
      <c r="J25" t="s">
        <v>811</v>
      </c>
      <c r="K25" t="s">
        <v>812</v>
      </c>
    </row>
    <row r="26" spans="1:14" ht="23.25" customHeight="1">
      <c r="A26" s="11"/>
      <c r="C26" s="88"/>
      <c r="D26" t="s">
        <v>63</v>
      </c>
      <c r="E26">
        <f>SUM(E15:E25)</f>
        <v>33</v>
      </c>
      <c r="I26">
        <f>ROUND(SUM(I15:I25),0)</f>
        <v>85</v>
      </c>
    </row>
    <row r="27" spans="1:14" ht="240" customHeight="1">
      <c r="A27" s="11"/>
    </row>
    <row r="28" spans="1:14" ht="278.25" customHeight="1">
      <c r="A28" s="11" t="s">
        <v>813</v>
      </c>
    </row>
    <row r="29" spans="1:14" ht="15" customHeight="1">
      <c r="A29" s="63" t="s">
        <v>814</v>
      </c>
    </row>
    <row r="30" spans="1:14" ht="95.25" customHeight="1">
      <c r="A30" s="12" t="s">
        <v>815</v>
      </c>
    </row>
    <row r="31" spans="1:14" ht="252.75" customHeight="1">
      <c r="A31" s="11" t="s">
        <v>816</v>
      </c>
    </row>
    <row r="32" spans="1:14" ht="237.75" customHeight="1">
      <c r="A32" s="11" t="s">
        <v>817</v>
      </c>
    </row>
    <row r="33" spans="1:1" ht="265.5" customHeight="1">
      <c r="A33" s="11" t="s">
        <v>818</v>
      </c>
    </row>
    <row r="35" spans="1:1">
      <c r="A35" t="s">
        <v>819</v>
      </c>
    </row>
    <row r="36" spans="1:1">
      <c r="A36" t="s">
        <v>820</v>
      </c>
    </row>
    <row r="37" spans="1:1">
      <c r="A37" t="s">
        <v>821</v>
      </c>
    </row>
    <row r="38" spans="1:1">
      <c r="A38" t="s">
        <v>822</v>
      </c>
    </row>
    <row r="39" spans="1:1">
      <c r="A39" t="s">
        <v>823</v>
      </c>
    </row>
    <row r="41" spans="1:1">
      <c r="A41" t="s">
        <v>824</v>
      </c>
    </row>
    <row r="42" spans="1:1">
      <c r="A42" t="s">
        <v>825</v>
      </c>
    </row>
    <row r="43" spans="1:1">
      <c r="A43" t="s">
        <v>826</v>
      </c>
    </row>
    <row r="44" spans="1:1">
      <c r="A44" t="s">
        <v>827</v>
      </c>
    </row>
    <row r="45" spans="1:1">
      <c r="A45" t="s">
        <v>828</v>
      </c>
    </row>
    <row r="46" spans="1:1">
      <c r="A46" t="s">
        <v>829</v>
      </c>
    </row>
    <row r="48" spans="1:1">
      <c r="A48" t="s">
        <v>830</v>
      </c>
    </row>
    <row r="49" spans="1:3">
      <c r="A49" t="s">
        <v>831</v>
      </c>
    </row>
    <row r="50" spans="1:3">
      <c r="A50" t="s">
        <v>832</v>
      </c>
    </row>
    <row r="51" spans="1:3">
      <c r="A51" t="s">
        <v>833</v>
      </c>
    </row>
    <row r="53" spans="1:3">
      <c r="A53" t="s">
        <v>1150</v>
      </c>
    </row>
    <row r="54" spans="1:3">
      <c r="A54" t="s">
        <v>1170</v>
      </c>
    </row>
    <row r="55" spans="1:3">
      <c r="A55" t="s">
        <v>1165</v>
      </c>
    </row>
    <row r="56" spans="1:3">
      <c r="A56" t="s">
        <v>1151</v>
      </c>
    </row>
    <row r="58" spans="1:3">
      <c r="C58" t="s">
        <v>834</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tabSelected="1" workbookViewId="0">
      <selection activeCell="L29" sqref="L29"/>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835</v>
      </c>
    </row>
    <row r="2" spans="1:14" ht="15" customHeight="1">
      <c r="A2" s="2" t="s">
        <v>836</v>
      </c>
    </row>
    <row r="4" spans="1:14">
      <c r="A4" s="3" t="s">
        <v>1144</v>
      </c>
    </row>
    <row r="5" spans="1:14">
      <c r="A5" s="31" t="s">
        <v>1145</v>
      </c>
    </row>
    <row r="6" spans="1:14">
      <c r="A6" s="31" t="s">
        <v>1146</v>
      </c>
    </row>
    <row r="7" spans="1:14">
      <c r="A7" s="31" t="s">
        <v>1147</v>
      </c>
    </row>
    <row r="9" spans="1:14">
      <c r="A9" s="3" t="s">
        <v>2</v>
      </c>
    </row>
    <row r="10" spans="1:14" ht="15" customHeight="1">
      <c r="A10" s="6" t="s">
        <v>3</v>
      </c>
      <c r="B10" s="5" t="s">
        <v>4</v>
      </c>
      <c r="C10" s="5" t="s">
        <v>5</v>
      </c>
      <c r="D10" s="5" t="s">
        <v>6</v>
      </c>
      <c r="E10" s="5" t="s">
        <v>7</v>
      </c>
      <c r="F10" s="5" t="s">
        <v>8</v>
      </c>
      <c r="G10" s="5" t="s">
        <v>9</v>
      </c>
      <c r="H10" s="5" t="s">
        <v>10</v>
      </c>
      <c r="I10" t="s">
        <v>11</v>
      </c>
      <c r="J10" t="s">
        <v>13</v>
      </c>
      <c r="K10" t="s">
        <v>14</v>
      </c>
      <c r="L10" s="5" t="s">
        <v>15</v>
      </c>
      <c r="M10" s="5" t="s">
        <v>16</v>
      </c>
      <c r="N10" s="5" t="s">
        <v>1148</v>
      </c>
    </row>
    <row r="11" spans="1:14" ht="15" customHeight="1">
      <c r="A11" s="67">
        <v>1</v>
      </c>
      <c r="B11" s="68" t="s">
        <v>26</v>
      </c>
      <c r="C11" s="67" t="s">
        <v>27</v>
      </c>
      <c r="D11" s="75" t="s">
        <v>363</v>
      </c>
      <c r="E11" s="67">
        <v>4</v>
      </c>
      <c r="F11" s="59" t="s">
        <v>40</v>
      </c>
      <c r="G11" s="68">
        <v>40</v>
      </c>
      <c r="H11" s="68">
        <v>120</v>
      </c>
      <c r="I11">
        <f t="shared" ref="I11:I20" si="0">IF(E11=0,0,ROUND((E11*(G11+H11)+N11)/60,1))</f>
        <v>10.7</v>
      </c>
      <c r="J11" t="s">
        <v>837</v>
      </c>
      <c r="K11" t="s">
        <v>32</v>
      </c>
    </row>
    <row r="12" spans="1:14" ht="15" customHeight="1">
      <c r="A12" s="7">
        <v>2</v>
      </c>
      <c r="B12" s="53" t="s">
        <v>307</v>
      </c>
      <c r="C12" s="7" t="s">
        <v>18</v>
      </c>
      <c r="D12" s="8" t="s">
        <v>247</v>
      </c>
      <c r="E12" s="7">
        <v>4</v>
      </c>
      <c r="F12" s="8" t="s">
        <v>19</v>
      </c>
      <c r="G12" s="53">
        <v>40</v>
      </c>
      <c r="H12" s="53">
        <v>60</v>
      </c>
      <c r="I12">
        <f t="shared" si="0"/>
        <v>7.7</v>
      </c>
      <c r="J12" t="s">
        <v>1152</v>
      </c>
      <c r="K12" t="s">
        <v>838</v>
      </c>
      <c r="N12">
        <v>60</v>
      </c>
    </row>
    <row r="13" spans="1:14" ht="15" customHeight="1">
      <c r="A13" s="7">
        <v>3</v>
      </c>
      <c r="B13" s="53" t="s">
        <v>839</v>
      </c>
      <c r="C13" s="7" t="s">
        <v>18</v>
      </c>
      <c r="D13" s="8" t="s">
        <v>840</v>
      </c>
      <c r="E13" s="7">
        <v>4</v>
      </c>
      <c r="F13" s="8" t="s">
        <v>19</v>
      </c>
      <c r="G13" s="53">
        <v>60</v>
      </c>
      <c r="H13" s="53">
        <v>60</v>
      </c>
      <c r="I13">
        <f t="shared" si="0"/>
        <v>8</v>
      </c>
      <c r="J13" t="s">
        <v>841</v>
      </c>
      <c r="K13" t="s">
        <v>842</v>
      </c>
    </row>
    <row r="14" spans="1:14" ht="15" customHeight="1">
      <c r="A14" s="7">
        <v>4</v>
      </c>
      <c r="B14" s="53" t="s">
        <v>421</v>
      </c>
      <c r="C14" s="7" t="s">
        <v>23</v>
      </c>
      <c r="D14" s="8" t="s">
        <v>247</v>
      </c>
      <c r="E14" s="7">
        <v>4</v>
      </c>
      <c r="F14" s="8" t="s">
        <v>19</v>
      </c>
      <c r="G14" s="53">
        <v>40</v>
      </c>
      <c r="H14" s="53">
        <v>60</v>
      </c>
      <c r="I14">
        <f t="shared" si="0"/>
        <v>6.7</v>
      </c>
      <c r="J14" t="s">
        <v>843</v>
      </c>
      <c r="K14" t="s">
        <v>844</v>
      </c>
    </row>
    <row r="15" spans="1:14" ht="15" customHeight="1">
      <c r="A15" s="7">
        <v>5</v>
      </c>
      <c r="B15" s="53" t="s">
        <v>350</v>
      </c>
      <c r="C15" s="7" t="s">
        <v>23</v>
      </c>
      <c r="D15" s="8" t="s">
        <v>840</v>
      </c>
      <c r="E15" s="7">
        <v>3</v>
      </c>
      <c r="F15" s="8" t="s">
        <v>19</v>
      </c>
      <c r="G15" s="53">
        <v>40</v>
      </c>
      <c r="H15" s="53">
        <v>60</v>
      </c>
      <c r="I15">
        <f t="shared" si="0"/>
        <v>5</v>
      </c>
      <c r="J15" t="s">
        <v>845</v>
      </c>
      <c r="K15" t="s">
        <v>846</v>
      </c>
    </row>
    <row r="16" spans="1:14" ht="15" customHeight="1">
      <c r="A16" s="7">
        <v>6</v>
      </c>
      <c r="B16" s="53" t="s">
        <v>43</v>
      </c>
      <c r="C16" s="7" t="s">
        <v>44</v>
      </c>
      <c r="D16" s="8" t="s">
        <v>304</v>
      </c>
      <c r="E16" s="7">
        <v>3</v>
      </c>
      <c r="F16" s="8" t="s">
        <v>40</v>
      </c>
      <c r="G16" s="53">
        <v>40</v>
      </c>
      <c r="H16" s="53">
        <v>75</v>
      </c>
      <c r="I16">
        <f t="shared" si="0"/>
        <v>5.8</v>
      </c>
      <c r="J16" t="s">
        <v>847</v>
      </c>
      <c r="K16" t="s">
        <v>848</v>
      </c>
    </row>
    <row r="17" spans="1:14" ht="15" customHeight="1">
      <c r="A17">
        <v>7</v>
      </c>
      <c r="B17" t="s">
        <v>446</v>
      </c>
      <c r="C17" t="s">
        <v>321</v>
      </c>
      <c r="D17" s="76" t="s">
        <v>849</v>
      </c>
      <c r="E17" s="28">
        <v>3</v>
      </c>
      <c r="F17" t="s">
        <v>304</v>
      </c>
      <c r="G17">
        <v>40</v>
      </c>
      <c r="H17">
        <v>120</v>
      </c>
      <c r="I17">
        <f t="shared" si="0"/>
        <v>8</v>
      </c>
      <c r="J17" t="s">
        <v>850</v>
      </c>
      <c r="K17" t="s">
        <v>851</v>
      </c>
    </row>
    <row r="18" spans="1:14">
      <c r="A18">
        <v>8</v>
      </c>
      <c r="B18" t="s">
        <v>59</v>
      </c>
      <c r="C18" t="s">
        <v>60</v>
      </c>
      <c r="D18" t="s">
        <v>49</v>
      </c>
      <c r="E18">
        <v>3</v>
      </c>
      <c r="F18" t="s">
        <v>61</v>
      </c>
      <c r="G18">
        <v>60</v>
      </c>
      <c r="H18">
        <v>75</v>
      </c>
      <c r="I18">
        <f t="shared" si="0"/>
        <v>6.8</v>
      </c>
      <c r="J18" t="s">
        <v>852</v>
      </c>
      <c r="K18" t="s">
        <v>853</v>
      </c>
    </row>
    <row r="19" spans="1:14" ht="18.75" customHeight="1">
      <c r="A19" s="12">
        <v>9</v>
      </c>
      <c r="B19" t="s">
        <v>329</v>
      </c>
      <c r="C19" t="s">
        <v>330</v>
      </c>
      <c r="D19" t="s">
        <v>149</v>
      </c>
      <c r="E19">
        <v>4</v>
      </c>
      <c r="F19" t="s">
        <v>304</v>
      </c>
      <c r="G19">
        <v>40</v>
      </c>
      <c r="H19">
        <v>120</v>
      </c>
      <c r="I19">
        <f t="shared" si="0"/>
        <v>11.9</v>
      </c>
      <c r="J19" t="s">
        <v>1153</v>
      </c>
      <c r="K19" t="s">
        <v>854</v>
      </c>
      <c r="N19">
        <v>75</v>
      </c>
    </row>
    <row r="20" spans="1:14" ht="18" customHeight="1">
      <c r="A20" s="11">
        <v>10</v>
      </c>
      <c r="B20" t="s">
        <v>402</v>
      </c>
      <c r="C20" s="87" t="s">
        <v>260</v>
      </c>
      <c r="D20">
        <v>2.5</v>
      </c>
      <c r="E20">
        <v>3</v>
      </c>
      <c r="F20" t="s">
        <v>29</v>
      </c>
      <c r="G20">
        <v>40</v>
      </c>
      <c r="H20">
        <v>60</v>
      </c>
      <c r="I20">
        <f t="shared" si="0"/>
        <v>5</v>
      </c>
      <c r="J20" t="s">
        <v>855</v>
      </c>
      <c r="K20" t="s">
        <v>856</v>
      </c>
    </row>
    <row r="21" spans="1:14" ht="25.5" customHeight="1">
      <c r="A21" s="11"/>
      <c r="D21" t="s">
        <v>63</v>
      </c>
      <c r="E21">
        <f>SUM(E11:E20)</f>
        <v>35</v>
      </c>
      <c r="I21">
        <f>ROUND(SUM(I11:I20),0)</f>
        <v>76</v>
      </c>
    </row>
    <row r="22" spans="1:14" ht="237.75" customHeight="1">
      <c r="A22" s="11" t="s">
        <v>773</v>
      </c>
    </row>
    <row r="23" spans="1:14">
      <c r="A23" t="s">
        <v>857</v>
      </c>
    </row>
    <row r="24" spans="1:14">
      <c r="A24" t="s">
        <v>858</v>
      </c>
    </row>
    <row r="25" spans="1:14">
      <c r="A25" t="s">
        <v>859</v>
      </c>
    </row>
    <row r="26" spans="1:14">
      <c r="A26" t="s">
        <v>860</v>
      </c>
    </row>
    <row r="28" spans="1:14">
      <c r="A28" t="s">
        <v>861</v>
      </c>
    </row>
    <row r="29" spans="1:14">
      <c r="A29" t="s">
        <v>862</v>
      </c>
    </row>
    <row r="30" spans="1:14">
      <c r="A30" t="s">
        <v>863</v>
      </c>
    </row>
    <row r="31" spans="1:14">
      <c r="A31" t="s">
        <v>864</v>
      </c>
    </row>
    <row r="33" spans="1:3">
      <c r="A33" t="s">
        <v>865</v>
      </c>
    </row>
    <row r="34" spans="1:3">
      <c r="A34" t="s">
        <v>866</v>
      </c>
    </row>
    <row r="35" spans="1:3">
      <c r="A35" t="s">
        <v>1206</v>
      </c>
    </row>
    <row r="36" spans="1:3">
      <c r="A36" t="s">
        <v>1207</v>
      </c>
    </row>
    <row r="37" spans="1:3">
      <c r="A37" t="s">
        <v>867</v>
      </c>
    </row>
    <row r="39" spans="1:3">
      <c r="A39" t="s">
        <v>1150</v>
      </c>
    </row>
    <row r="40" spans="1:3">
      <c r="A40" t="s">
        <v>1154</v>
      </c>
    </row>
    <row r="41" spans="1:3">
      <c r="A41" t="s">
        <v>1155</v>
      </c>
    </row>
    <row r="42" spans="1:3">
      <c r="A42" t="s">
        <v>1151</v>
      </c>
    </row>
    <row r="44" spans="1:3">
      <c r="C44" t="s">
        <v>868</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3"/>
  <sheetViews>
    <sheetView zoomScaleNormal="100" workbookViewId="0">
      <selection activeCell="J14" sqref="J14"/>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869</v>
      </c>
    </row>
    <row r="2" spans="1:3" ht="15" customHeight="1">
      <c r="A2" s="2" t="s">
        <v>870</v>
      </c>
    </row>
    <row r="4" spans="1:3">
      <c r="A4" s="3" t="s">
        <v>1143</v>
      </c>
    </row>
    <row r="5" spans="1:3">
      <c r="A5" s="19" t="s">
        <v>1134</v>
      </c>
      <c r="B5" s="19" t="s">
        <v>1135</v>
      </c>
      <c r="C5" s="19" t="s">
        <v>1136</v>
      </c>
    </row>
    <row r="6" spans="1:3">
      <c r="A6" s="20">
        <f>MAX(20,(MROUND(시작중량_설정!$E$9*0.4,1)+(MOD(MROUND(시작중량_설정!$E$9*0.4,1),5)=4)))</f>
        <v>20</v>
      </c>
      <c r="B6" s="20">
        <v>5</v>
      </c>
      <c r="C6" s="20">
        <v>2</v>
      </c>
    </row>
    <row r="7" spans="1:3">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c r="A10" s="37">
        <f>시작중량_설정!$E$9</f>
        <v>35</v>
      </c>
      <c r="B10" s="27">
        <v>5</v>
      </c>
      <c r="C10" s="27">
        <v>5</v>
      </c>
    </row>
    <row r="11" spans="1:3">
      <c r="A11" s="31" t="s">
        <v>1137</v>
      </c>
    </row>
    <row r="13" spans="1:3">
      <c r="A13" s="3" t="s">
        <v>283</v>
      </c>
    </row>
    <row r="14" spans="1:3">
      <c r="A14" s="31" t="s">
        <v>284</v>
      </c>
    </row>
    <row r="15" spans="1:3">
      <c r="A15" s="31" t="s">
        <v>285</v>
      </c>
    </row>
    <row r="16" spans="1:3">
      <c r="A16" s="31" t="s">
        <v>286</v>
      </c>
    </row>
    <row r="18" spans="1:14">
      <c r="A18" s="3" t="s">
        <v>2</v>
      </c>
    </row>
    <row r="19" spans="1:14" ht="15" customHeight="1">
      <c r="A19" s="6" t="s">
        <v>3</v>
      </c>
      <c r="B19" s="5" t="s">
        <v>4</v>
      </c>
      <c r="C19" s="5" t="s">
        <v>5</v>
      </c>
      <c r="D19" s="5" t="s">
        <v>6</v>
      </c>
      <c r="E19" s="5" t="s">
        <v>7</v>
      </c>
      <c r="F19" s="5" t="s">
        <v>8</v>
      </c>
      <c r="G19" s="5" t="s">
        <v>9</v>
      </c>
      <c r="H19" s="5" t="s">
        <v>10</v>
      </c>
      <c r="I19" t="s">
        <v>11</v>
      </c>
      <c r="J19" t="s">
        <v>13</v>
      </c>
      <c r="K19" t="s">
        <v>14</v>
      </c>
      <c r="L19" s="5" t="s">
        <v>15</v>
      </c>
      <c r="M19" s="5" t="s">
        <v>16</v>
      </c>
      <c r="N19" s="5" t="s">
        <v>1148</v>
      </c>
    </row>
    <row r="20" spans="1:14" ht="15" customHeight="1">
      <c r="A20" s="67">
        <v>1</v>
      </c>
      <c r="B20" s="68" t="s">
        <v>103</v>
      </c>
      <c r="C20" s="67" t="s">
        <v>288</v>
      </c>
      <c r="D20" s="75">
        <f>시작중량_설정!$E$9</f>
        <v>35</v>
      </c>
      <c r="E20" s="67">
        <v>5</v>
      </c>
      <c r="F20" s="59" t="s">
        <v>289</v>
      </c>
      <c r="G20" s="68">
        <v>30</v>
      </c>
      <c r="H20" s="68">
        <v>180</v>
      </c>
      <c r="I20">
        <f t="shared" ref="I20:I26" si="0">IF(E20=0,0,ROUND((E20*(G20+H20)+N20)/60,1))</f>
        <v>17.5</v>
      </c>
      <c r="J20" t="s">
        <v>1176</v>
      </c>
      <c r="K20" t="s">
        <v>871</v>
      </c>
      <c r="L20" s="68" t="s">
        <v>293</v>
      </c>
    </row>
    <row r="21" spans="1:14" ht="15" customHeight="1">
      <c r="A21" s="7">
        <v>2</v>
      </c>
      <c r="B21" s="53" t="s">
        <v>418</v>
      </c>
      <c r="C21" s="7" t="s">
        <v>299</v>
      </c>
      <c r="D21" s="8" t="s">
        <v>790</v>
      </c>
      <c r="E21" s="7">
        <v>5</v>
      </c>
      <c r="F21" s="8" t="s">
        <v>247</v>
      </c>
      <c r="G21" s="53">
        <v>40</v>
      </c>
      <c r="H21" s="53">
        <v>150</v>
      </c>
      <c r="I21">
        <f t="shared" si="0"/>
        <v>15.8</v>
      </c>
      <c r="J21" t="s">
        <v>872</v>
      </c>
      <c r="K21" t="s">
        <v>873</v>
      </c>
    </row>
    <row r="22" spans="1:14" ht="15" customHeight="1">
      <c r="A22" s="7">
        <v>3</v>
      </c>
      <c r="B22" s="53" t="s">
        <v>874</v>
      </c>
      <c r="C22" s="7" t="s">
        <v>299</v>
      </c>
      <c r="D22" s="8" t="s">
        <v>247</v>
      </c>
      <c r="E22" s="7">
        <v>4</v>
      </c>
      <c r="F22" s="8" t="s">
        <v>304</v>
      </c>
      <c r="G22" s="53">
        <v>40</v>
      </c>
      <c r="H22" s="53">
        <v>105</v>
      </c>
      <c r="I22">
        <f t="shared" si="0"/>
        <v>9.6999999999999993</v>
      </c>
      <c r="J22" t="s">
        <v>875</v>
      </c>
      <c r="K22" t="s">
        <v>876</v>
      </c>
    </row>
    <row r="23" spans="1:14" ht="15" customHeight="1">
      <c r="A23" s="7">
        <v>4</v>
      </c>
      <c r="B23" s="89" t="s">
        <v>381</v>
      </c>
      <c r="C23" s="7" t="s">
        <v>245</v>
      </c>
      <c r="D23" s="8" t="s">
        <v>149</v>
      </c>
      <c r="E23" s="7">
        <v>4</v>
      </c>
      <c r="F23" s="8" t="s">
        <v>247</v>
      </c>
      <c r="G23" s="53">
        <v>40</v>
      </c>
      <c r="H23" s="53">
        <v>150</v>
      </c>
      <c r="I23">
        <f t="shared" si="0"/>
        <v>12.7</v>
      </c>
      <c r="J23" t="s">
        <v>877</v>
      </c>
      <c r="K23" t="s">
        <v>878</v>
      </c>
    </row>
    <row r="24" spans="1:14" ht="15" customHeight="1">
      <c r="A24" s="7">
        <v>5</v>
      </c>
      <c r="B24" s="89" t="s">
        <v>879</v>
      </c>
      <c r="C24" s="7" t="s">
        <v>237</v>
      </c>
      <c r="D24" s="8" t="s">
        <v>149</v>
      </c>
      <c r="E24" s="7">
        <v>4</v>
      </c>
      <c r="F24" s="8" t="s">
        <v>40</v>
      </c>
      <c r="G24" s="53">
        <v>40</v>
      </c>
      <c r="H24" s="53">
        <v>120</v>
      </c>
      <c r="I24">
        <f t="shared" si="0"/>
        <v>11.7</v>
      </c>
      <c r="J24" t="s">
        <v>1166</v>
      </c>
      <c r="K24" t="s">
        <v>880</v>
      </c>
      <c r="N24">
        <v>60</v>
      </c>
    </row>
    <row r="25" spans="1:14" ht="15" customHeight="1">
      <c r="A25" s="7">
        <v>6</v>
      </c>
      <c r="B25" s="53" t="s">
        <v>38</v>
      </c>
      <c r="C25" s="7" t="s">
        <v>39</v>
      </c>
      <c r="D25" s="8" t="s">
        <v>256</v>
      </c>
      <c r="E25" s="7">
        <v>3</v>
      </c>
      <c r="F25" s="8" t="s">
        <v>40</v>
      </c>
      <c r="G25" s="53">
        <v>40</v>
      </c>
      <c r="H25" s="53">
        <v>75</v>
      </c>
      <c r="I25">
        <f t="shared" si="0"/>
        <v>5.8</v>
      </c>
      <c r="J25" t="s">
        <v>881</v>
      </c>
      <c r="K25" t="s">
        <v>882</v>
      </c>
    </row>
    <row r="26" spans="1:14" ht="15" customHeight="1">
      <c r="A26">
        <v>7</v>
      </c>
      <c r="B26" t="s">
        <v>361</v>
      </c>
      <c r="C26" t="s">
        <v>39</v>
      </c>
      <c r="D26" s="76" t="s">
        <v>399</v>
      </c>
      <c r="E26" s="28">
        <v>3</v>
      </c>
      <c r="F26" t="s">
        <v>52</v>
      </c>
      <c r="G26">
        <v>40</v>
      </c>
      <c r="H26">
        <v>70</v>
      </c>
      <c r="I26">
        <f t="shared" si="0"/>
        <v>6.5</v>
      </c>
      <c r="J26" t="s">
        <v>1149</v>
      </c>
      <c r="K26" t="s">
        <v>883</v>
      </c>
      <c r="N26">
        <v>60</v>
      </c>
    </row>
    <row r="27" spans="1:14">
      <c r="D27" t="s">
        <v>63</v>
      </c>
      <c r="E27">
        <f>SUM(E20:E26)</f>
        <v>28</v>
      </c>
      <c r="I27">
        <f>ROUND(SUM(I20:I26),0)</f>
        <v>80</v>
      </c>
    </row>
    <row r="28" spans="1:14" ht="32.25" customHeight="1">
      <c r="A28" s="12"/>
    </row>
    <row r="29" spans="1:14" ht="278.25" customHeight="1">
      <c r="A29" s="11"/>
      <c r="C29" s="87"/>
      <c r="F29" s="87"/>
    </row>
    <row r="30" spans="1:14" ht="237.75" customHeight="1">
      <c r="A30" s="11"/>
    </row>
    <row r="31" spans="1:14" ht="237.75" customHeight="1">
      <c r="A31" s="11"/>
    </row>
    <row r="36" spans="1:1">
      <c r="A36" t="s">
        <v>884</v>
      </c>
    </row>
    <row r="37" spans="1:1">
      <c r="A37" t="s">
        <v>885</v>
      </c>
    </row>
    <row r="38" spans="1:1">
      <c r="A38" t="s">
        <v>886</v>
      </c>
    </row>
    <row r="39" spans="1:1">
      <c r="A39" t="s">
        <v>887</v>
      </c>
    </row>
    <row r="41" spans="1:1">
      <c r="A41" t="s">
        <v>1200</v>
      </c>
    </row>
    <row r="42" spans="1:1">
      <c r="A42" t="s">
        <v>1201</v>
      </c>
    </row>
    <row r="43" spans="1:1">
      <c r="A43" t="s">
        <v>1202</v>
      </c>
    </row>
    <row r="44" spans="1:1">
      <c r="A44" t="s">
        <v>1203</v>
      </c>
    </row>
    <row r="45" spans="1:1">
      <c r="A45" t="s">
        <v>1204</v>
      </c>
    </row>
    <row r="46" spans="1:1">
      <c r="A46" t="s">
        <v>1205</v>
      </c>
    </row>
    <row r="48" spans="1:1">
      <c r="A48" t="s">
        <v>1150</v>
      </c>
    </row>
    <row r="49" spans="1:3">
      <c r="A49" t="s">
        <v>1167</v>
      </c>
    </row>
    <row r="50" spans="1:3">
      <c r="A50" t="s">
        <v>1168</v>
      </c>
    </row>
    <row r="51" spans="1:3">
      <c r="A51" t="s">
        <v>1151</v>
      </c>
    </row>
    <row r="53" spans="1:3">
      <c r="C53" t="s">
        <v>888</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9"/>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889</v>
      </c>
    </row>
    <row r="2" spans="1:4" ht="15" customHeight="1">
      <c r="A2" s="2" t="s">
        <v>890</v>
      </c>
    </row>
    <row r="4" spans="1:4" ht="15" customHeight="1">
      <c r="A4" s="5" t="s">
        <v>891</v>
      </c>
      <c r="B4" s="5" t="s">
        <v>892</v>
      </c>
      <c r="C4" s="5" t="s">
        <v>893</v>
      </c>
      <c r="D4" s="5" t="s">
        <v>661</v>
      </c>
    </row>
    <row r="5" spans="1:4" ht="15" customHeight="1">
      <c r="A5" s="7" t="s">
        <v>894</v>
      </c>
      <c r="B5" s="7" t="s">
        <v>895</v>
      </c>
      <c r="C5" s="7" t="s">
        <v>896</v>
      </c>
      <c r="D5" s="69" t="s">
        <v>897</v>
      </c>
    </row>
    <row r="6" spans="1:4" ht="15" customHeight="1">
      <c r="A6" s="7" t="s">
        <v>673</v>
      </c>
      <c r="B6" s="8" t="s">
        <v>898</v>
      </c>
      <c r="C6" s="7" t="s">
        <v>899</v>
      </c>
      <c r="D6" s="53" t="s">
        <v>900</v>
      </c>
    </row>
    <row r="7" spans="1:4" ht="15" customHeight="1">
      <c r="A7" s="7" t="s">
        <v>901</v>
      </c>
      <c r="B7" s="7" t="s">
        <v>902</v>
      </c>
      <c r="C7" s="7" t="s">
        <v>903</v>
      </c>
      <c r="D7" s="53" t="s">
        <v>904</v>
      </c>
    </row>
    <row r="8" spans="1:4" ht="15" customHeight="1">
      <c r="A8" s="7" t="s">
        <v>905</v>
      </c>
      <c r="B8" s="7" t="s">
        <v>906</v>
      </c>
      <c r="C8" s="7" t="s">
        <v>907</v>
      </c>
      <c r="D8" s="53" t="s">
        <v>908</v>
      </c>
    </row>
    <row r="9" spans="1:4" ht="15" customHeight="1">
      <c r="A9" s="7" t="s">
        <v>909</v>
      </c>
      <c r="B9" s="8" t="s">
        <v>910</v>
      </c>
      <c r="C9" s="8" t="s">
        <v>1191</v>
      </c>
      <c r="D9" s="53" t="s">
        <v>1192</v>
      </c>
    </row>
    <row r="10" spans="1:4" ht="15" customHeight="1">
      <c r="A10" s="7" t="s">
        <v>911</v>
      </c>
      <c r="B10" s="8" t="s">
        <v>912</v>
      </c>
      <c r="C10" s="8" t="s">
        <v>913</v>
      </c>
      <c r="D10" s="53" t="s">
        <v>914</v>
      </c>
    </row>
    <row r="11" spans="1:4" ht="15" customHeight="1">
      <c r="A11" s="7" t="s">
        <v>915</v>
      </c>
      <c r="B11" s="8" t="s">
        <v>149</v>
      </c>
      <c r="C11" s="8" t="s">
        <v>916</v>
      </c>
      <c r="D11" s="53" t="s">
        <v>917</v>
      </c>
    </row>
    <row r="12" spans="1:4" ht="15" customHeight="1">
      <c r="A12" s="7" t="s">
        <v>918</v>
      </c>
      <c r="B12" s="8" t="s">
        <v>919</v>
      </c>
      <c r="C12" s="8" t="s">
        <v>920</v>
      </c>
      <c r="D12" s="53" t="s">
        <v>921</v>
      </c>
    </row>
    <row r="13" spans="1:4" ht="15" customHeight="1">
      <c r="A13" s="79" t="s">
        <v>922</v>
      </c>
      <c r="B13" s="80" t="s">
        <v>923</v>
      </c>
      <c r="C13" s="80" t="s">
        <v>924</v>
      </c>
      <c r="D13" s="79" t="s">
        <v>925</v>
      </c>
    </row>
    <row r="14" spans="1:4">
      <c r="A14" t="s">
        <v>926</v>
      </c>
      <c r="B14" t="s">
        <v>927</v>
      </c>
      <c r="C14" t="s">
        <v>928</v>
      </c>
      <c r="D14" t="s">
        <v>929</v>
      </c>
    </row>
    <row r="15" spans="1:4" ht="15" customHeight="1">
      <c r="A15" s="3"/>
    </row>
    <row r="16" spans="1:4" ht="15" customHeight="1">
      <c r="A16" s="3" t="s">
        <v>1173</v>
      </c>
    </row>
    <row r="17" spans="1:1" ht="15" customHeight="1">
      <c r="A17" s="3" t="s">
        <v>1174</v>
      </c>
    </row>
    <row r="18" spans="1:1" ht="15" customHeight="1">
      <c r="A18" s="3" t="s">
        <v>1193</v>
      </c>
    </row>
    <row r="19" spans="1:1" ht="15" customHeight="1">
      <c r="A19" s="3" t="s">
        <v>1175</v>
      </c>
    </row>
    <row r="20" spans="1:1" ht="15" customHeight="1">
      <c r="A20" s="3" t="s">
        <v>1194</v>
      </c>
    </row>
    <row r="21" spans="1:1" ht="15" customHeight="1">
      <c r="A21" s="3" t="s">
        <v>1195</v>
      </c>
    </row>
    <row r="22" spans="1:1" ht="15" customHeight="1">
      <c r="A22" s="3" t="s">
        <v>1196</v>
      </c>
    </row>
    <row r="23" spans="1:1" ht="39" customHeight="1">
      <c r="A23" s="11"/>
    </row>
    <row r="24" spans="1:1" ht="51.75" customHeight="1">
      <c r="A24" s="11" t="s">
        <v>930</v>
      </c>
    </row>
    <row r="25" spans="1:1" ht="39" customHeight="1">
      <c r="A25" s="11" t="s">
        <v>931</v>
      </c>
    </row>
    <row r="26" spans="1:1" ht="39" customHeight="1">
      <c r="A26" s="11" t="s">
        <v>932</v>
      </c>
    </row>
    <row r="27" spans="1:1" ht="15" customHeight="1">
      <c r="A27" s="63" t="s">
        <v>933</v>
      </c>
    </row>
    <row r="28" spans="1:1" ht="51.75" customHeight="1">
      <c r="A28" s="11"/>
    </row>
    <row r="29" spans="1:1" ht="39" customHeight="1">
      <c r="A29" s="11" t="s">
        <v>934</v>
      </c>
    </row>
    <row r="30" spans="1:1" ht="15" customHeight="1">
      <c r="A30" s="63" t="s">
        <v>935</v>
      </c>
    </row>
    <row r="31" spans="1:1" ht="51.75" customHeight="1">
      <c r="A31" s="11" t="s">
        <v>936</v>
      </c>
    </row>
    <row r="32" spans="1:1" ht="39" customHeight="1">
      <c r="A32" s="11" t="s">
        <v>937</v>
      </c>
    </row>
    <row r="33" spans="1:1">
      <c r="A33" t="s">
        <v>867</v>
      </c>
    </row>
    <row r="35" spans="1:1">
      <c r="A35" t="s">
        <v>938</v>
      </c>
    </row>
    <row r="36" spans="1:1">
      <c r="A36" t="s">
        <v>939</v>
      </c>
    </row>
    <row r="37" spans="1:1">
      <c r="A37" t="s">
        <v>1172</v>
      </c>
    </row>
    <row r="38" spans="1:1">
      <c r="A38" t="s">
        <v>940</v>
      </c>
    </row>
    <row r="40" spans="1:1">
      <c r="A40" t="s">
        <v>941</v>
      </c>
    </row>
    <row r="41" spans="1:1">
      <c r="A41" t="s">
        <v>1208</v>
      </c>
    </row>
    <row r="42" spans="1:1">
      <c r="A42" t="s">
        <v>942</v>
      </c>
    </row>
    <row r="43" spans="1:1">
      <c r="A43" t="s">
        <v>943</v>
      </c>
    </row>
    <row r="44" spans="1:1">
      <c r="A44" t="s">
        <v>944</v>
      </c>
    </row>
    <row r="46" spans="1:1">
      <c r="A46" t="s">
        <v>945</v>
      </c>
    </row>
    <row r="47" spans="1:1">
      <c r="A47" t="s">
        <v>946</v>
      </c>
    </row>
    <row r="48" spans="1:1">
      <c r="A48" t="s">
        <v>947</v>
      </c>
    </row>
    <row r="49" spans="1:1">
      <c r="A49" t="s">
        <v>948</v>
      </c>
    </row>
    <row r="50" spans="1:1">
      <c r="A50" t="s">
        <v>949</v>
      </c>
    </row>
    <row r="51" spans="1:1">
      <c r="A51" t="s">
        <v>950</v>
      </c>
    </row>
    <row r="52" spans="1:1">
      <c r="A52" t="s">
        <v>951</v>
      </c>
    </row>
    <row r="54" spans="1:1">
      <c r="A54" t="s">
        <v>952</v>
      </c>
    </row>
    <row r="55" spans="1:1">
      <c r="A55" t="s">
        <v>953</v>
      </c>
    </row>
    <row r="56" spans="1:1">
      <c r="A56" t="s">
        <v>954</v>
      </c>
    </row>
    <row r="57" spans="1:1">
      <c r="A57" t="s">
        <v>955</v>
      </c>
    </row>
    <row r="58" spans="1:1">
      <c r="A58" t="s">
        <v>956</v>
      </c>
    </row>
    <row r="59" spans="1:1">
      <c r="A59" t="s">
        <v>957</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1"/>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958</v>
      </c>
    </row>
    <row r="2" spans="1:8">
      <c r="A2" t="s">
        <v>959</v>
      </c>
    </row>
    <row r="3" spans="1:8">
      <c r="A3" t="s">
        <v>460</v>
      </c>
      <c r="F3">
        <f ca="1">COUNTIF($E$7:$E$51,"?")</f>
        <v>0</v>
      </c>
    </row>
    <row r="4" spans="1:8">
      <c r="A4" t="s">
        <v>960</v>
      </c>
    </row>
    <row r="6" spans="1:8">
      <c r="A6" t="s">
        <v>961</v>
      </c>
      <c r="B6" t="s">
        <v>463</v>
      </c>
      <c r="C6" t="s">
        <v>464</v>
      </c>
      <c r="D6" t="s">
        <v>465</v>
      </c>
      <c r="E6" t="s">
        <v>466</v>
      </c>
      <c r="F6" t="s">
        <v>467</v>
      </c>
      <c r="G6" t="s">
        <v>468</v>
      </c>
      <c r="H6" t="s">
        <v>469</v>
      </c>
    </row>
    <row r="7" spans="1:8">
      <c r="A7" t="s">
        <v>962</v>
      </c>
      <c r="B7" t="s">
        <v>381</v>
      </c>
      <c r="C7" t="s">
        <v>44</v>
      </c>
      <c r="D7">
        <v>0.2</v>
      </c>
      <c r="E7">
        <f t="shared" ref="E7:E13" ca="1" si="0">IFERROR(INDEX(INDIRECT("'"&amp;$A7&amp;"'!$E$1:$E$45"),MATCH($B7,INDIRECT("'"&amp;$A7&amp;"'!$B$1:$B$45"),0)),"?")</f>
        <v>4</v>
      </c>
      <c r="F7">
        <f t="shared" ref="F7:F13" ca="1" si="1">IF(ISNUMBER(E7),$D7*E7,0)</f>
        <v>0.8</v>
      </c>
      <c r="G7" t="s">
        <v>483</v>
      </c>
      <c r="H7" t="s">
        <v>963</v>
      </c>
    </row>
    <row r="8" spans="1:8">
      <c r="A8" t="s">
        <v>962</v>
      </c>
      <c r="B8" t="s">
        <v>879</v>
      </c>
      <c r="C8" t="s">
        <v>44</v>
      </c>
      <c r="D8">
        <v>0.5</v>
      </c>
      <c r="E8">
        <f t="shared" ca="1" si="0"/>
        <v>4</v>
      </c>
      <c r="F8">
        <f t="shared" ca="1" si="1"/>
        <v>2</v>
      </c>
      <c r="G8" t="s">
        <v>483</v>
      </c>
      <c r="H8" t="s">
        <v>964</v>
      </c>
    </row>
    <row r="9" spans="1:8">
      <c r="A9" t="s">
        <v>965</v>
      </c>
      <c r="B9" t="s">
        <v>789</v>
      </c>
      <c r="C9" t="s">
        <v>44</v>
      </c>
      <c r="D9">
        <v>0.2</v>
      </c>
      <c r="E9">
        <f t="shared" ca="1" si="0"/>
        <v>4</v>
      </c>
      <c r="F9">
        <f t="shared" ca="1" si="1"/>
        <v>0.8</v>
      </c>
      <c r="G9" t="s">
        <v>483</v>
      </c>
      <c r="H9" t="s">
        <v>966</v>
      </c>
    </row>
    <row r="10" spans="1:8">
      <c r="A10" t="s">
        <v>965</v>
      </c>
      <c r="B10" t="s">
        <v>794</v>
      </c>
      <c r="C10" t="s">
        <v>44</v>
      </c>
      <c r="D10">
        <v>0.33</v>
      </c>
      <c r="E10">
        <f t="shared" ca="1" si="0"/>
        <v>4</v>
      </c>
      <c r="F10">
        <f t="shared" ca="1" si="1"/>
        <v>1.32</v>
      </c>
      <c r="G10" t="s">
        <v>483</v>
      </c>
      <c r="H10" t="s">
        <v>967</v>
      </c>
    </row>
    <row r="11" spans="1:8">
      <c r="A11" t="s">
        <v>965</v>
      </c>
      <c r="B11" t="s">
        <v>236</v>
      </c>
      <c r="C11" t="s">
        <v>44</v>
      </c>
      <c r="D11">
        <v>0.5</v>
      </c>
      <c r="E11">
        <f t="shared" ca="1" si="0"/>
        <v>3</v>
      </c>
      <c r="F11">
        <f t="shared" ca="1" si="1"/>
        <v>1.5</v>
      </c>
      <c r="G11" t="s">
        <v>483</v>
      </c>
      <c r="H11" t="s">
        <v>968</v>
      </c>
    </row>
    <row r="12" spans="1:8">
      <c r="A12" t="s">
        <v>962</v>
      </c>
      <c r="B12" t="s">
        <v>103</v>
      </c>
      <c r="C12" t="s">
        <v>39</v>
      </c>
      <c r="D12">
        <v>0.5</v>
      </c>
      <c r="E12">
        <f t="shared" ca="1" si="0"/>
        <v>5</v>
      </c>
      <c r="F12">
        <f t="shared" ca="1" si="1"/>
        <v>2.5</v>
      </c>
      <c r="G12" t="s">
        <v>483</v>
      </c>
      <c r="H12" t="s">
        <v>969</v>
      </c>
    </row>
    <row r="13" spans="1:8">
      <c r="A13" t="s">
        <v>962</v>
      </c>
      <c r="B13" t="s">
        <v>418</v>
      </c>
      <c r="C13" t="s">
        <v>39</v>
      </c>
      <c r="D13">
        <v>0.5</v>
      </c>
      <c r="E13">
        <f t="shared" ca="1" si="0"/>
        <v>5</v>
      </c>
      <c r="F13">
        <f t="shared" ca="1" si="1"/>
        <v>2.5</v>
      </c>
      <c r="G13" t="s">
        <v>483</v>
      </c>
      <c r="H13" t="s">
        <v>970</v>
      </c>
    </row>
    <row r="15" spans="1:8">
      <c r="A15" t="s">
        <v>971</v>
      </c>
      <c r="B15" t="s">
        <v>26</v>
      </c>
      <c r="C15" t="s">
        <v>39</v>
      </c>
      <c r="D15">
        <v>0.5</v>
      </c>
      <c r="E15">
        <f t="shared" ref="E15:E51" ca="1" si="2">IFERROR(INDEX(INDIRECT("'"&amp;$A15&amp;"'!$E$1:$E$45"),MATCH($B15,INDIRECT("'"&amp;$A15&amp;"'!$B$1:$B$45"),0)),"?")</f>
        <v>4</v>
      </c>
      <c r="F15">
        <f t="shared" ref="F15:F51" ca="1" si="3">IF(ISNUMBER(E15),$D15*E15,0)</f>
        <v>2</v>
      </c>
      <c r="G15" t="s">
        <v>483</v>
      </c>
      <c r="H15" t="s">
        <v>970</v>
      </c>
    </row>
    <row r="16" spans="1:8">
      <c r="A16" t="s">
        <v>972</v>
      </c>
      <c r="B16" t="s">
        <v>758</v>
      </c>
      <c r="C16" t="s">
        <v>39</v>
      </c>
      <c r="D16">
        <v>0.5</v>
      </c>
      <c r="E16">
        <f t="shared" ca="1" si="2"/>
        <v>3</v>
      </c>
      <c r="F16">
        <f t="shared" ca="1" si="3"/>
        <v>1.5</v>
      </c>
      <c r="G16" t="s">
        <v>483</v>
      </c>
      <c r="H16" t="s">
        <v>970</v>
      </c>
    </row>
    <row r="17" spans="1:8">
      <c r="A17" t="s">
        <v>965</v>
      </c>
      <c r="B17" t="s">
        <v>294</v>
      </c>
      <c r="C17" t="s">
        <v>39</v>
      </c>
      <c r="D17">
        <v>0.5</v>
      </c>
      <c r="E17">
        <f t="shared" ca="1" si="2"/>
        <v>3</v>
      </c>
      <c r="F17">
        <f t="shared" ca="1" si="3"/>
        <v>1.5</v>
      </c>
      <c r="G17" t="s">
        <v>483</v>
      </c>
      <c r="H17" t="s">
        <v>970</v>
      </c>
    </row>
    <row r="18" spans="1:8">
      <c r="A18" t="s">
        <v>962</v>
      </c>
      <c r="B18" t="s">
        <v>103</v>
      </c>
      <c r="C18" t="s">
        <v>27</v>
      </c>
      <c r="D18">
        <v>0.5</v>
      </c>
      <c r="E18">
        <f t="shared" ca="1" si="2"/>
        <v>5</v>
      </c>
      <c r="F18">
        <f t="shared" ca="1" si="3"/>
        <v>2.5</v>
      </c>
      <c r="G18" t="s">
        <v>483</v>
      </c>
      <c r="H18" t="s">
        <v>973</v>
      </c>
    </row>
    <row r="19" spans="1:8">
      <c r="A19" t="s">
        <v>962</v>
      </c>
      <c r="B19" t="s">
        <v>418</v>
      </c>
      <c r="C19" t="s">
        <v>27</v>
      </c>
      <c r="D19">
        <v>0.5</v>
      </c>
      <c r="E19">
        <f t="shared" ca="1" si="2"/>
        <v>5</v>
      </c>
      <c r="F19">
        <f t="shared" ca="1" si="3"/>
        <v>2.5</v>
      </c>
      <c r="G19" t="s">
        <v>483</v>
      </c>
      <c r="H19" t="s">
        <v>974</v>
      </c>
    </row>
    <row r="20" spans="1:8">
      <c r="A20" t="s">
        <v>965</v>
      </c>
      <c r="B20" t="s">
        <v>294</v>
      </c>
      <c r="C20" t="s">
        <v>27</v>
      </c>
      <c r="D20">
        <v>0.2</v>
      </c>
      <c r="E20">
        <f t="shared" ca="1" si="2"/>
        <v>3</v>
      </c>
      <c r="F20">
        <f t="shared" ca="1" si="3"/>
        <v>0.60000000000000009</v>
      </c>
      <c r="G20" t="s">
        <v>483</v>
      </c>
      <c r="H20" t="s">
        <v>975</v>
      </c>
    </row>
    <row r="21" spans="1:8">
      <c r="A21" t="s">
        <v>972</v>
      </c>
      <c r="B21" t="s">
        <v>758</v>
      </c>
      <c r="C21" t="s">
        <v>18</v>
      </c>
      <c r="D21">
        <v>0.5</v>
      </c>
      <c r="E21">
        <f t="shared" ca="1" si="2"/>
        <v>3</v>
      </c>
      <c r="F21">
        <f t="shared" ca="1" si="3"/>
        <v>1.5</v>
      </c>
      <c r="G21" t="s">
        <v>483</v>
      </c>
      <c r="H21" t="s">
        <v>976</v>
      </c>
    </row>
    <row r="22" spans="1:8">
      <c r="A22" t="s">
        <v>962</v>
      </c>
      <c r="B22" t="s">
        <v>381</v>
      </c>
      <c r="C22" t="s">
        <v>237</v>
      </c>
      <c r="D22">
        <v>0.5</v>
      </c>
      <c r="E22">
        <f t="shared" ca="1" si="2"/>
        <v>4</v>
      </c>
      <c r="F22">
        <f t="shared" ca="1" si="3"/>
        <v>2</v>
      </c>
      <c r="G22" t="s">
        <v>483</v>
      </c>
      <c r="H22" t="s">
        <v>977</v>
      </c>
    </row>
    <row r="23" spans="1:8">
      <c r="A23" t="s">
        <v>965</v>
      </c>
      <c r="B23" t="s">
        <v>789</v>
      </c>
      <c r="C23" t="s">
        <v>237</v>
      </c>
      <c r="D23">
        <v>0.5</v>
      </c>
      <c r="E23">
        <f t="shared" ca="1" si="2"/>
        <v>4</v>
      </c>
      <c r="F23">
        <f t="shared" ca="1" si="3"/>
        <v>2</v>
      </c>
      <c r="G23" t="s">
        <v>483</v>
      </c>
      <c r="H23" t="s">
        <v>977</v>
      </c>
    </row>
    <row r="24" spans="1:8">
      <c r="A24" t="s">
        <v>965</v>
      </c>
      <c r="B24" t="s">
        <v>794</v>
      </c>
      <c r="C24" t="s">
        <v>245</v>
      </c>
      <c r="D24">
        <v>0.5</v>
      </c>
      <c r="E24">
        <f t="shared" ca="1" si="2"/>
        <v>4</v>
      </c>
      <c r="F24">
        <f t="shared" ca="1" si="3"/>
        <v>2</v>
      </c>
      <c r="G24" t="s">
        <v>483</v>
      </c>
      <c r="H24" t="s">
        <v>978</v>
      </c>
    </row>
    <row r="25" spans="1:8">
      <c r="A25" t="s">
        <v>971</v>
      </c>
      <c r="B25" t="s">
        <v>350</v>
      </c>
      <c r="C25" t="s">
        <v>245</v>
      </c>
      <c r="D25">
        <v>0.5</v>
      </c>
      <c r="E25">
        <f t="shared" ca="1" si="2"/>
        <v>3</v>
      </c>
      <c r="F25">
        <f t="shared" ca="1" si="3"/>
        <v>1.5</v>
      </c>
      <c r="G25" t="s">
        <v>483</v>
      </c>
      <c r="H25" t="s">
        <v>979</v>
      </c>
    </row>
    <row r="26" spans="1:8">
      <c r="A26" t="s">
        <v>971</v>
      </c>
      <c r="B26" t="s">
        <v>421</v>
      </c>
      <c r="C26" t="s">
        <v>245</v>
      </c>
      <c r="D26">
        <v>0.33</v>
      </c>
      <c r="E26">
        <f t="shared" ca="1" si="2"/>
        <v>4</v>
      </c>
      <c r="F26">
        <f t="shared" ca="1" si="3"/>
        <v>1.32</v>
      </c>
      <c r="G26" t="s">
        <v>483</v>
      </c>
      <c r="H26" t="s">
        <v>980</v>
      </c>
    </row>
    <row r="27" spans="1:8">
      <c r="A27" t="s">
        <v>972</v>
      </c>
      <c r="B27" t="s">
        <v>769</v>
      </c>
      <c r="C27" t="s">
        <v>245</v>
      </c>
      <c r="D27">
        <v>0.33</v>
      </c>
      <c r="E27">
        <f t="shared" ca="1" si="2"/>
        <v>3</v>
      </c>
      <c r="F27">
        <f t="shared" ca="1" si="3"/>
        <v>0.99</v>
      </c>
      <c r="G27" t="s">
        <v>483</v>
      </c>
      <c r="H27" t="s">
        <v>980</v>
      </c>
    </row>
    <row r="28" spans="1:8">
      <c r="A28" t="s">
        <v>972</v>
      </c>
      <c r="B28" t="s">
        <v>758</v>
      </c>
      <c r="C28" t="s">
        <v>347</v>
      </c>
      <c r="D28">
        <v>0.2</v>
      </c>
      <c r="E28">
        <f t="shared" ca="1" si="2"/>
        <v>3</v>
      </c>
      <c r="F28">
        <f t="shared" ca="1" si="3"/>
        <v>0.60000000000000009</v>
      </c>
      <c r="G28" t="s">
        <v>483</v>
      </c>
      <c r="H28" t="s">
        <v>981</v>
      </c>
    </row>
    <row r="29" spans="1:8">
      <c r="A29" t="s">
        <v>965</v>
      </c>
      <c r="B29" t="s">
        <v>789</v>
      </c>
      <c r="C29" t="s">
        <v>347</v>
      </c>
      <c r="D29">
        <v>0.2</v>
      </c>
      <c r="E29">
        <f t="shared" ca="1" si="2"/>
        <v>4</v>
      </c>
      <c r="F29">
        <f t="shared" ca="1" si="3"/>
        <v>0.8</v>
      </c>
      <c r="G29" t="s">
        <v>483</v>
      </c>
      <c r="H29" t="s">
        <v>982</v>
      </c>
    </row>
    <row r="30" spans="1:8">
      <c r="A30" t="s">
        <v>965</v>
      </c>
      <c r="B30" t="s">
        <v>101</v>
      </c>
      <c r="C30" t="s">
        <v>347</v>
      </c>
      <c r="D30">
        <v>0.2</v>
      </c>
      <c r="E30">
        <f t="shared" ca="1" si="2"/>
        <v>1</v>
      </c>
      <c r="F30">
        <f t="shared" ca="1" si="3"/>
        <v>0.2</v>
      </c>
      <c r="G30" t="s">
        <v>483</v>
      </c>
      <c r="H30" t="s">
        <v>983</v>
      </c>
    </row>
    <row r="31" spans="1:8">
      <c r="A31" t="s">
        <v>965</v>
      </c>
      <c r="B31" t="s">
        <v>236</v>
      </c>
      <c r="C31" t="s">
        <v>34</v>
      </c>
      <c r="D31">
        <v>0.2</v>
      </c>
      <c r="E31">
        <f t="shared" ca="1" si="2"/>
        <v>3</v>
      </c>
      <c r="F31">
        <f t="shared" ca="1" si="3"/>
        <v>0.60000000000000009</v>
      </c>
      <c r="G31" t="s">
        <v>483</v>
      </c>
      <c r="H31" t="s">
        <v>984</v>
      </c>
    </row>
    <row r="32" spans="1:8">
      <c r="A32" t="s">
        <v>962</v>
      </c>
      <c r="B32" t="s">
        <v>879</v>
      </c>
      <c r="C32" t="s">
        <v>34</v>
      </c>
      <c r="D32">
        <v>0.2</v>
      </c>
      <c r="E32">
        <f t="shared" ca="1" si="2"/>
        <v>4</v>
      </c>
      <c r="F32">
        <f t="shared" ca="1" si="3"/>
        <v>0.8</v>
      </c>
      <c r="G32" t="s">
        <v>483</v>
      </c>
      <c r="H32" t="s">
        <v>985</v>
      </c>
    </row>
    <row r="33" spans="1:8">
      <c r="A33" t="s">
        <v>972</v>
      </c>
      <c r="B33" t="s">
        <v>99</v>
      </c>
      <c r="C33" t="s">
        <v>271</v>
      </c>
      <c r="D33">
        <v>0.2</v>
      </c>
      <c r="E33">
        <f t="shared" ca="1" si="2"/>
        <v>5</v>
      </c>
      <c r="F33">
        <f t="shared" ca="1" si="3"/>
        <v>1</v>
      </c>
      <c r="G33" t="s">
        <v>483</v>
      </c>
      <c r="H33" t="s">
        <v>986</v>
      </c>
    </row>
    <row r="34" spans="1:8">
      <c r="A34" t="s">
        <v>965</v>
      </c>
      <c r="B34" t="s">
        <v>789</v>
      </c>
      <c r="C34" t="s">
        <v>271</v>
      </c>
      <c r="D34">
        <v>0.2</v>
      </c>
      <c r="E34">
        <f t="shared" ca="1" si="2"/>
        <v>4</v>
      </c>
      <c r="F34">
        <f t="shared" ca="1" si="3"/>
        <v>0.8</v>
      </c>
      <c r="G34" t="s">
        <v>483</v>
      </c>
      <c r="H34" t="s">
        <v>987</v>
      </c>
    </row>
    <row r="35" spans="1:8">
      <c r="A35" t="s">
        <v>965</v>
      </c>
      <c r="B35" t="s">
        <v>398</v>
      </c>
      <c r="C35" t="s">
        <v>271</v>
      </c>
      <c r="D35">
        <v>0.2</v>
      </c>
      <c r="E35">
        <f t="shared" ca="1" si="2"/>
        <v>3</v>
      </c>
      <c r="F35">
        <f t="shared" ca="1" si="3"/>
        <v>0.60000000000000009</v>
      </c>
      <c r="G35" t="s">
        <v>483</v>
      </c>
      <c r="H35" t="s">
        <v>988</v>
      </c>
    </row>
    <row r="36" spans="1:8">
      <c r="A36" t="s">
        <v>972</v>
      </c>
      <c r="B36" t="s">
        <v>99</v>
      </c>
      <c r="C36" t="s">
        <v>321</v>
      </c>
      <c r="D36">
        <v>0.5</v>
      </c>
      <c r="E36">
        <f t="shared" ca="1" si="2"/>
        <v>5</v>
      </c>
      <c r="F36">
        <f t="shared" ca="1" si="3"/>
        <v>2.5</v>
      </c>
      <c r="G36" t="s">
        <v>483</v>
      </c>
      <c r="H36" t="s">
        <v>505</v>
      </c>
    </row>
    <row r="37" spans="1:8">
      <c r="A37" t="s">
        <v>965</v>
      </c>
      <c r="B37" t="s">
        <v>101</v>
      </c>
      <c r="C37" t="s">
        <v>321</v>
      </c>
      <c r="D37">
        <v>0.5</v>
      </c>
      <c r="E37">
        <f t="shared" ca="1" si="2"/>
        <v>1</v>
      </c>
      <c r="F37">
        <f t="shared" ca="1" si="3"/>
        <v>0.5</v>
      </c>
      <c r="G37" t="s">
        <v>483</v>
      </c>
      <c r="H37" t="s">
        <v>989</v>
      </c>
    </row>
    <row r="38" spans="1:8">
      <c r="A38" t="s">
        <v>972</v>
      </c>
      <c r="B38" t="s">
        <v>320</v>
      </c>
      <c r="C38" t="s">
        <v>321</v>
      </c>
      <c r="D38">
        <v>0.33</v>
      </c>
      <c r="E38">
        <f t="shared" ca="1" si="2"/>
        <v>4</v>
      </c>
      <c r="F38">
        <f t="shared" ca="1" si="3"/>
        <v>1.32</v>
      </c>
      <c r="G38" t="s">
        <v>483</v>
      </c>
      <c r="H38" t="s">
        <v>506</v>
      </c>
    </row>
    <row r="39" spans="1:8">
      <c r="A39" t="s">
        <v>971</v>
      </c>
      <c r="B39" t="s">
        <v>446</v>
      </c>
      <c r="C39" t="s">
        <v>330</v>
      </c>
      <c r="D39">
        <v>0.5</v>
      </c>
      <c r="E39">
        <f t="shared" ca="1" si="2"/>
        <v>3</v>
      </c>
      <c r="F39">
        <f t="shared" ca="1" si="3"/>
        <v>1.5</v>
      </c>
      <c r="G39" t="s">
        <v>483</v>
      </c>
      <c r="H39" t="s">
        <v>990</v>
      </c>
    </row>
    <row r="40" spans="1:8">
      <c r="A40" t="s">
        <v>965</v>
      </c>
      <c r="B40" t="s">
        <v>101</v>
      </c>
      <c r="C40" t="s">
        <v>330</v>
      </c>
      <c r="D40">
        <v>0.5</v>
      </c>
      <c r="E40">
        <f t="shared" ca="1" si="2"/>
        <v>1</v>
      </c>
      <c r="F40">
        <f t="shared" ca="1" si="3"/>
        <v>0.5</v>
      </c>
      <c r="G40" t="s">
        <v>483</v>
      </c>
      <c r="H40" t="s">
        <v>991</v>
      </c>
    </row>
    <row r="41" spans="1:8">
      <c r="A41" t="s">
        <v>972</v>
      </c>
      <c r="B41" t="s">
        <v>99</v>
      </c>
      <c r="C41" t="s">
        <v>333</v>
      </c>
      <c r="D41">
        <v>0.2</v>
      </c>
      <c r="E41">
        <f t="shared" ca="1" si="2"/>
        <v>5</v>
      </c>
      <c r="F41">
        <f t="shared" ca="1" si="3"/>
        <v>1</v>
      </c>
      <c r="G41" t="s">
        <v>483</v>
      </c>
      <c r="H41" t="s">
        <v>992</v>
      </c>
    </row>
    <row r="42" spans="1:8">
      <c r="A42" t="s">
        <v>972</v>
      </c>
      <c r="B42" t="s">
        <v>320</v>
      </c>
      <c r="C42" t="s">
        <v>333</v>
      </c>
      <c r="D42">
        <v>0.2</v>
      </c>
      <c r="E42">
        <f t="shared" ca="1" si="2"/>
        <v>4</v>
      </c>
      <c r="F42">
        <f t="shared" ca="1" si="3"/>
        <v>0.8</v>
      </c>
      <c r="G42" t="s">
        <v>483</v>
      </c>
      <c r="H42" t="s">
        <v>992</v>
      </c>
    </row>
    <row r="43" spans="1:8">
      <c r="A43" t="s">
        <v>971</v>
      </c>
      <c r="B43" t="s">
        <v>43</v>
      </c>
      <c r="C43" t="s">
        <v>45</v>
      </c>
      <c r="D43">
        <v>0.33</v>
      </c>
      <c r="E43">
        <f t="shared" ca="1" si="2"/>
        <v>3</v>
      </c>
      <c r="F43">
        <f t="shared" ca="1" si="3"/>
        <v>0.99</v>
      </c>
      <c r="G43" t="s">
        <v>483</v>
      </c>
      <c r="H43" t="s">
        <v>486</v>
      </c>
    </row>
    <row r="44" spans="1:8">
      <c r="A44" t="s">
        <v>965</v>
      </c>
      <c r="B44" t="s">
        <v>392</v>
      </c>
      <c r="C44" t="s">
        <v>45</v>
      </c>
      <c r="D44">
        <v>0.33</v>
      </c>
      <c r="E44">
        <f t="shared" ca="1" si="2"/>
        <v>3</v>
      </c>
      <c r="F44">
        <f t="shared" ca="1" si="3"/>
        <v>0.99</v>
      </c>
      <c r="G44" t="s">
        <v>483</v>
      </c>
      <c r="H44" t="s">
        <v>486</v>
      </c>
    </row>
    <row r="45" spans="1:8">
      <c r="A45" t="s">
        <v>962</v>
      </c>
      <c r="B45" t="s">
        <v>103</v>
      </c>
      <c r="C45" t="s">
        <v>299</v>
      </c>
      <c r="D45">
        <v>0.2</v>
      </c>
      <c r="E45">
        <f t="shared" ca="1" si="2"/>
        <v>5</v>
      </c>
      <c r="F45">
        <f t="shared" ca="1" si="3"/>
        <v>1</v>
      </c>
      <c r="G45" t="s">
        <v>483</v>
      </c>
      <c r="H45" t="s">
        <v>993</v>
      </c>
    </row>
    <row r="46" spans="1:8">
      <c r="A46" t="s">
        <v>962</v>
      </c>
      <c r="B46" t="s">
        <v>418</v>
      </c>
      <c r="C46" t="s">
        <v>288</v>
      </c>
      <c r="D46">
        <v>0.2</v>
      </c>
      <c r="E46">
        <f t="shared" ca="1" si="2"/>
        <v>5</v>
      </c>
      <c r="F46">
        <f t="shared" ca="1" si="3"/>
        <v>1</v>
      </c>
      <c r="G46" t="s">
        <v>483</v>
      </c>
      <c r="H46" t="s">
        <v>994</v>
      </c>
    </row>
    <row r="47" spans="1:8">
      <c r="A47" t="s">
        <v>965</v>
      </c>
      <c r="B47" t="s">
        <v>101</v>
      </c>
      <c r="C47" t="s">
        <v>237</v>
      </c>
      <c r="D47">
        <v>0</v>
      </c>
      <c r="E47">
        <f t="shared" ca="1" si="2"/>
        <v>1</v>
      </c>
      <c r="F47">
        <f t="shared" ca="1" si="3"/>
        <v>0</v>
      </c>
      <c r="G47" t="s">
        <v>483</v>
      </c>
      <c r="H47" t="s">
        <v>995</v>
      </c>
    </row>
    <row r="48" spans="1:8">
      <c r="A48" t="s">
        <v>972</v>
      </c>
      <c r="B48" t="s">
        <v>99</v>
      </c>
      <c r="C48" t="s">
        <v>260</v>
      </c>
      <c r="D48">
        <v>0</v>
      </c>
      <c r="E48">
        <f t="shared" ca="1" si="2"/>
        <v>5</v>
      </c>
      <c r="F48">
        <f t="shared" ca="1" si="3"/>
        <v>0</v>
      </c>
      <c r="G48" t="s">
        <v>483</v>
      </c>
      <c r="H48" t="s">
        <v>996</v>
      </c>
    </row>
    <row r="49" spans="1:8">
      <c r="A49" t="s">
        <v>972</v>
      </c>
      <c r="B49" t="s">
        <v>55</v>
      </c>
      <c r="C49" t="s">
        <v>56</v>
      </c>
      <c r="D49">
        <v>0</v>
      </c>
      <c r="E49">
        <f t="shared" ca="1" si="2"/>
        <v>3</v>
      </c>
      <c r="F49">
        <f t="shared" ca="1" si="3"/>
        <v>0</v>
      </c>
      <c r="G49" t="s">
        <v>483</v>
      </c>
      <c r="H49" t="s">
        <v>997</v>
      </c>
    </row>
    <row r="50" spans="1:8">
      <c r="A50" t="s">
        <v>962</v>
      </c>
      <c r="B50" t="s">
        <v>874</v>
      </c>
      <c r="C50" t="s">
        <v>288</v>
      </c>
      <c r="D50">
        <v>0.2</v>
      </c>
      <c r="E50">
        <f t="shared" ca="1" si="2"/>
        <v>4</v>
      </c>
      <c r="F50">
        <f t="shared" ca="1" si="3"/>
        <v>0.8</v>
      </c>
      <c r="G50" t="s">
        <v>483</v>
      </c>
      <c r="H50" t="s">
        <v>994</v>
      </c>
    </row>
    <row r="51" spans="1:8">
      <c r="A51" t="s">
        <v>962</v>
      </c>
      <c r="B51" t="s">
        <v>874</v>
      </c>
      <c r="C51" t="s">
        <v>27</v>
      </c>
      <c r="D51">
        <v>0.2</v>
      </c>
      <c r="E51">
        <f t="shared" ca="1" si="2"/>
        <v>4</v>
      </c>
      <c r="F51">
        <f t="shared" ca="1" si="3"/>
        <v>0.8</v>
      </c>
      <c r="G51" t="s">
        <v>483</v>
      </c>
      <c r="H51" t="s">
        <v>998</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52"/>
  <sheetViews>
    <sheetView workbookViewId="0">
      <selection activeCell="F21" sqref="F21"/>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12">
      <c r="A1" t="s">
        <v>999</v>
      </c>
      <c r="G1" s="93" t="s">
        <v>1180</v>
      </c>
    </row>
    <row r="2" spans="1:12">
      <c r="A2" t="s">
        <v>1000</v>
      </c>
      <c r="G2" s="94" t="s">
        <v>548</v>
      </c>
      <c r="H2" s="95">
        <v>7</v>
      </c>
      <c r="I2" s="94" t="s">
        <v>549</v>
      </c>
      <c r="J2" s="95">
        <v>136</v>
      </c>
      <c r="K2" s="94" t="s">
        <v>550</v>
      </c>
      <c r="L2" s="96">
        <f>B25</f>
        <v>133</v>
      </c>
    </row>
    <row r="3" spans="1:12">
      <c r="A3" t="str">
        <f>IF($H$3&lt;0,"⚠ 총량 상한 "&amp;ABS($H$3)&amp;"세트 초과 — 다른 종목에서 그만큼 빼기 전에는 추가 금지. 상한을 올리려면 아래 '상한 변경 이력'에 한 줄 남길 것.","")</f>
        <v/>
      </c>
      <c r="G3" s="94" t="s">
        <v>551</v>
      </c>
      <c r="H3" s="98">
        <f>$J$2-$L$2</f>
        <v>3</v>
      </c>
      <c r="I3" s="94" t="s">
        <v>552</v>
      </c>
      <c r="J3" s="98">
        <f>ROUND($L$2*7/$H$2,1)</f>
        <v>133</v>
      </c>
      <c r="K3" s="94" t="s">
        <v>553</v>
      </c>
      <c r="L3" s="98" t="str">
        <f>IF($H$3&lt;0,"INVALID","VALID")</f>
        <v>VALID</v>
      </c>
    </row>
    <row r="4" spans="1:12">
      <c r="A4" t="s">
        <v>5</v>
      </c>
      <c r="B4" t="s">
        <v>554</v>
      </c>
      <c r="C4" t="s">
        <v>555</v>
      </c>
      <c r="D4" t="s">
        <v>556</v>
      </c>
      <c r="E4" t="s">
        <v>557</v>
      </c>
      <c r="F4" t="s">
        <v>558</v>
      </c>
      <c r="G4" t="s">
        <v>1001</v>
      </c>
    </row>
    <row r="5" spans="1:12">
      <c r="A5" t="s">
        <v>299</v>
      </c>
      <c r="B5">
        <f>SUMIFS(복귀_평일A_가슴!$E:$E,복귀_평일A_가슴!$C:$C,$A5)+SUMIFS(복귀_평일B_어깨!$E:$E,복귀_평일B_어깨!$C:$C,$A5)+SUMIFS(복귀_토_하체!$E:$E,복귀_토_하체!$C:$C,$A5)+SUMIFS(복귀_일_등!$E:$E,복귀_일_등!$C:$C,$A5)</f>
        <v>9</v>
      </c>
      <c r="C5">
        <f ca="1">MROUND(SUMIFS(복귀_간접계수맵!$F$7:$F$51,복귀_간접계수맵!$C$7:$C$51,$A5),0.5)</f>
        <v>1</v>
      </c>
      <c r="D5">
        <f t="shared" ref="D5:D24" ca="1" si="0">B5+C5</f>
        <v>10</v>
      </c>
      <c r="E5" t="str">
        <f t="shared" ref="E5:E24" ca="1" si="1">IF(D5&gt;20,"과다 점검",IF(D5&gt;=10,"충분",IF(D5&gt;=8,"하한",IF(D5&gt;=1,"보완 필요","미배치"))))</f>
        <v>충분</v>
      </c>
      <c r="F5" t="s">
        <v>1002</v>
      </c>
      <c r="G5" t="s">
        <v>619</v>
      </c>
      <c r="H5" t="s">
        <v>560</v>
      </c>
      <c r="I5">
        <f ca="1">SUM(D5:D6)</f>
        <v>23</v>
      </c>
    </row>
    <row r="6" spans="1:12">
      <c r="A6" t="s">
        <v>288</v>
      </c>
      <c r="B6">
        <f>SUMIFS(복귀_평일A_가슴!$E:$E,복귀_평일A_가슴!$C:$C,$A6)+SUMIFS(복귀_평일B_어깨!$E:$E,복귀_평일B_어깨!$C:$C,$A6)+SUMIFS(복귀_토_하체!$E:$E,복귀_토_하체!$C:$C,$A6)+SUMIFS(복귀_일_등!$E:$E,복귀_일_등!$C:$C,$A6)</f>
        <v>11</v>
      </c>
      <c r="C6">
        <f ca="1">MROUND(SUMIFS(복귀_간접계수맵!$F$7:$F$51,복귀_간접계수맵!$C$7:$C$51,$A6),0.5)</f>
        <v>2</v>
      </c>
      <c r="D6">
        <f t="shared" ca="1" si="0"/>
        <v>13</v>
      </c>
      <c r="E6" t="str">
        <f t="shared" ca="1" si="1"/>
        <v>충분</v>
      </c>
      <c r="F6" t="s">
        <v>1003</v>
      </c>
      <c r="G6" t="s">
        <v>619</v>
      </c>
    </row>
    <row r="7" spans="1:12">
      <c r="A7" t="s">
        <v>237</v>
      </c>
      <c r="B7">
        <f>SUMIFS(복귀_평일A_가슴!$E:$E,복귀_평일A_가슴!$C:$C,$A7)+SUMIFS(복귀_평일B_어깨!$E:$E,복귀_평일B_어깨!$C:$C,$A7)+SUMIFS(복귀_토_하체!$E:$E,복귀_토_하체!$C:$C,$A7)+SUMIFS(복귀_일_등!$E:$E,복귀_일_등!$C:$C,$A7)</f>
        <v>11</v>
      </c>
      <c r="C7">
        <f ca="1">MROUND(SUMIFS(복귀_간접계수맵!$F$7:$F$51,복귀_간접계수맵!$C$7:$C$51,$A7),0.5)</f>
        <v>4</v>
      </c>
      <c r="D7">
        <f t="shared" ca="1" si="0"/>
        <v>15</v>
      </c>
      <c r="E7" t="str">
        <f t="shared" ca="1" si="1"/>
        <v>충분</v>
      </c>
      <c r="F7" t="s">
        <v>1004</v>
      </c>
      <c r="G7" t="s">
        <v>1005</v>
      </c>
      <c r="H7" t="s">
        <v>1006</v>
      </c>
      <c r="I7">
        <f ca="1">SUM(D7:D10)</f>
        <v>38</v>
      </c>
    </row>
    <row r="8" spans="1:12">
      <c r="A8" t="s">
        <v>347</v>
      </c>
      <c r="B8">
        <f>SUMIFS(복귀_평일A_가슴!$E:$E,복귀_평일A_가슴!$C:$C,$A8)+SUMIFS(복귀_평일B_어깨!$E:$E,복귀_평일B_어깨!$C:$C,$A8)+SUMIFS(복귀_토_하체!$E:$E,복귀_토_하체!$C:$C,$A8)+SUMIFS(복귀_일_등!$E:$E,복귀_일_등!$C:$C,$A8)</f>
        <v>0</v>
      </c>
      <c r="C8">
        <f ca="1">MROUND(SUMIFS(복귀_간접계수맵!$F$7:$F$51,복귀_간접계수맵!$C$7:$C$51,$A8),0.5)</f>
        <v>1.5</v>
      </c>
      <c r="D8">
        <f t="shared" ca="1" si="0"/>
        <v>1.5</v>
      </c>
      <c r="E8" t="str">
        <f t="shared" ca="1" si="1"/>
        <v>보완 필요</v>
      </c>
      <c r="F8" t="s">
        <v>1007</v>
      </c>
      <c r="G8" t="s">
        <v>1005</v>
      </c>
    </row>
    <row r="9" spans="1:12">
      <c r="A9" t="s">
        <v>34</v>
      </c>
      <c r="B9">
        <f>SUMIFS(복귀_평일A_가슴!$E:$E,복귀_평일A_가슴!$C:$C,$A9)+SUMIFS(복귀_평일B_어깨!$E:$E,복귀_평일B_어깨!$C:$C,$A9)+SUMIFS(복귀_토_하체!$E:$E,복귀_토_하체!$C:$C,$A9)+SUMIFS(복귀_일_등!$E:$E,복귀_일_등!$C:$C,$A9)</f>
        <v>3</v>
      </c>
      <c r="C9">
        <f ca="1">MROUND(SUMIFS(복귀_간접계수맵!$F$7:$F$51,복귀_간접계수맵!$C$7:$C$51,$A9),0.5)</f>
        <v>1.5</v>
      </c>
      <c r="D9">
        <f t="shared" ca="1" si="0"/>
        <v>4.5</v>
      </c>
      <c r="E9" t="str">
        <f t="shared" ca="1" si="1"/>
        <v>보완 필요</v>
      </c>
      <c r="F9" t="s">
        <v>1008</v>
      </c>
      <c r="G9" t="s">
        <v>1009</v>
      </c>
    </row>
    <row r="10" spans="1:12">
      <c r="A10" t="s">
        <v>245</v>
      </c>
      <c r="B10">
        <f>SUMIFS(복귀_평일A_가슴!$E:$E,복귀_평일A_가슴!$C:$C,$A10)+SUMIFS(복귀_평일B_어깨!$E:$E,복귀_평일B_어깨!$C:$C,$A10)+SUMIFS(복귀_토_하체!$E:$E,복귀_토_하체!$C:$C,$A10)+SUMIFS(복귀_일_등!$E:$E,복귀_일_등!$C:$C,$A10)</f>
        <v>11</v>
      </c>
      <c r="C10">
        <f ca="1">MROUND(SUMIFS(복귀_간접계수맵!$F$7:$F$51,복귀_간접계수맵!$C$7:$C$51,$A10),0.5)</f>
        <v>6</v>
      </c>
      <c r="D10">
        <f t="shared" ca="1" si="0"/>
        <v>17</v>
      </c>
      <c r="E10" t="str">
        <f t="shared" ca="1" si="1"/>
        <v>충분</v>
      </c>
      <c r="F10" t="s">
        <v>1010</v>
      </c>
      <c r="G10" t="s">
        <v>1009</v>
      </c>
    </row>
    <row r="11" spans="1:12">
      <c r="A11" t="s">
        <v>271</v>
      </c>
      <c r="B11">
        <f>SUMIFS(복귀_평일A_가슴!$E:$E,복귀_평일A_가슴!$C:$C,$A11)+SUMIFS(복귀_평일B_어깨!$E:$E,복귀_평일B_어깨!$C:$C,$A11)+SUMIFS(복귀_토_하체!$E:$E,복귀_토_하체!$C:$C,$A11)+SUMIFS(복귀_일_등!$E:$E,복귀_일_등!$C:$C,$A11)</f>
        <v>1</v>
      </c>
      <c r="C11">
        <f ca="1">MROUND(SUMIFS(복귀_간접계수맵!$F$7:$F$51,복귀_간접계수맵!$C$7:$C$51,$A11),0.5)</f>
        <v>2.5</v>
      </c>
      <c r="D11">
        <f t="shared" ca="1" si="0"/>
        <v>3.5</v>
      </c>
      <c r="E11" t="str">
        <f t="shared" ca="1" si="1"/>
        <v>보완 필요</v>
      </c>
      <c r="F11" t="s">
        <v>1011</v>
      </c>
      <c r="G11" t="s">
        <v>1005</v>
      </c>
    </row>
    <row r="12" spans="1:12">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MROUND(SUMIFS(복귀_간접계수맵!$F$7:$F$51,복귀_간접계수맵!$C$7:$C$51,$A12),0.5)</f>
        <v>6.5</v>
      </c>
      <c r="D12">
        <f t="shared" ca="1" si="0"/>
        <v>13.5</v>
      </c>
      <c r="E12" t="str">
        <f t="shared" ca="1" si="1"/>
        <v>충분</v>
      </c>
      <c r="F12" t="s">
        <v>1012</v>
      </c>
      <c r="G12" t="s">
        <v>619</v>
      </c>
    </row>
    <row r="13" spans="1:12">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MROUND(SUMIFS(복귀_간접계수맵!$F$7:$F$51,복귀_간접계수맵!$C$7:$C$51,$A13),0.5)</f>
        <v>1.5</v>
      </c>
      <c r="D13">
        <f t="shared" ca="1" si="0"/>
        <v>13.5</v>
      </c>
      <c r="E13" t="str">
        <f t="shared" ca="1" si="1"/>
        <v>충분</v>
      </c>
      <c r="F13" t="s">
        <v>1013</v>
      </c>
      <c r="G13" t="s">
        <v>619</v>
      </c>
    </row>
    <row r="14" spans="1:12">
      <c r="A14" t="s">
        <v>23</v>
      </c>
      <c r="B14">
        <f>SUMIFS(복귀_평일A_가슴!$E:$E,복귀_평일A_가슴!$C:$C,$A14)+SUMIFS(복귀_평일B_어깨!$E:$E,복귀_평일B_어깨!$C:$C,$A14)+SUMIFS(복귀_토_하체!$E:$E,복귀_토_하체!$C:$C,$A14)+SUMIFS(복귀_일_등!$E:$E,복귀_일_등!$C:$C,$A14)</f>
        <v>10</v>
      </c>
      <c r="C14">
        <f>MROUND(SUMIFS(복귀_간접계수맵!$F$7:$F$51,복귀_간접계수맵!$C$7:$C$51,$A14),0.5)</f>
        <v>0</v>
      </c>
      <c r="D14">
        <f t="shared" si="0"/>
        <v>10</v>
      </c>
      <c r="E14" t="str">
        <f t="shared" si="1"/>
        <v>충분</v>
      </c>
      <c r="F14" t="s">
        <v>1014</v>
      </c>
      <c r="G14" t="s">
        <v>619</v>
      </c>
    </row>
    <row r="15" spans="1:12">
      <c r="A15" t="s">
        <v>315</v>
      </c>
      <c r="B15">
        <f>SUMIFS(복귀_평일A_가슴!$E:$E,복귀_평일A_가슴!$C:$C,$A15)+SUMIFS(복귀_평일B_어깨!$E:$E,복귀_평일B_어깨!$C:$C,$A15)+SUMIFS(복귀_토_하체!$E:$E,복귀_토_하체!$C:$C,$A15)+SUMIFS(복귀_일_등!$E:$E,복귀_일_등!$C:$C,$A15)</f>
        <v>12</v>
      </c>
      <c r="C15">
        <f>MROUND(SUMIFS(복귀_간접계수맵!$F$7:$F$51,복귀_간접계수맵!$C$7:$C$51,$A15),0.5)</f>
        <v>0</v>
      </c>
      <c r="D15">
        <f t="shared" si="0"/>
        <v>12</v>
      </c>
      <c r="E15" t="str">
        <f t="shared" si="1"/>
        <v>충분</v>
      </c>
      <c r="F15" t="s">
        <v>1015</v>
      </c>
      <c r="G15" t="s">
        <v>1005</v>
      </c>
      <c r="H15" t="s">
        <v>1016</v>
      </c>
      <c r="I15">
        <f ca="1">SUM(D15:D16,D19)</f>
        <v>24</v>
      </c>
    </row>
    <row r="16" spans="1:12">
      <c r="A16" t="s">
        <v>330</v>
      </c>
      <c r="B16">
        <f>SUMIFS(복귀_평일A_가슴!$E:$E,복귀_평일A_가슴!$C:$C,$A16)+SUMIFS(복귀_평일B_어깨!$E:$E,복귀_평일B_어깨!$C:$C,$A16)+SUMIFS(복귀_토_하체!$E:$E,복귀_토_하체!$C:$C,$A16)+SUMIFS(복귀_일_등!$E:$E,복귀_일_등!$C:$C,$A16)</f>
        <v>7</v>
      </c>
      <c r="C16">
        <f ca="1">MROUND(SUMIFS(복귀_간접계수맵!$F$7:$F$51,복귀_간접계수맵!$C$7:$C$51,$A16),0.5)</f>
        <v>2</v>
      </c>
      <c r="D16">
        <f t="shared" ca="1" si="0"/>
        <v>9</v>
      </c>
      <c r="E16" t="str">
        <f t="shared" ca="1" si="1"/>
        <v>하한</v>
      </c>
      <c r="F16" t="s">
        <v>1017</v>
      </c>
      <c r="G16" t="s">
        <v>1009</v>
      </c>
    </row>
    <row r="17" spans="1:7">
      <c r="A17" t="s">
        <v>321</v>
      </c>
      <c r="B17">
        <f>SUMIFS(복귀_평일A_가슴!$E:$E,복귀_평일A_가슴!$C:$C,$A17)+SUMIFS(복귀_평일B_어깨!$E:$E,복귀_평일B_어깨!$C:$C,$A17)+SUMIFS(복귀_토_하체!$E:$E,복귀_토_하체!$C:$C,$A17)+SUMIFS(복귀_일_등!$E:$E,복귀_일_등!$C:$C,$A17)</f>
        <v>3</v>
      </c>
      <c r="C17">
        <f ca="1">MROUND(SUMIFS(복귀_간접계수맵!$F$7:$F$51,복귀_간접계수맵!$C$7:$C$51,$A17),0.5)</f>
        <v>4.5</v>
      </c>
      <c r="D17">
        <f t="shared" ca="1" si="0"/>
        <v>7.5</v>
      </c>
      <c r="E17" t="str">
        <f t="shared" ca="1" si="1"/>
        <v>보완 필요</v>
      </c>
      <c r="F17" t="s">
        <v>1018</v>
      </c>
      <c r="G17" t="s">
        <v>1009</v>
      </c>
    </row>
    <row r="18" spans="1:7">
      <c r="A18" t="s">
        <v>60</v>
      </c>
      <c r="B18">
        <f>SUMIFS(복귀_평일A_가슴!$E:$E,복귀_평일A_가슴!$C:$C,$A18)+SUMIFS(복귀_평일B_어깨!$E:$E,복귀_평일B_어깨!$C:$C,$A18)+SUMIFS(복귀_토_하체!$E:$E,복귀_토_하체!$C:$C,$A18)+SUMIFS(복귀_일_등!$E:$E,복귀_일_등!$C:$C,$A18)</f>
        <v>8</v>
      </c>
      <c r="C18">
        <f>MROUND(SUMIFS(복귀_간접계수맵!$F$7:$F$51,복귀_간접계수맵!$C$7:$C$51,$A18),0.5)</f>
        <v>0</v>
      </c>
      <c r="D18">
        <f t="shared" si="0"/>
        <v>8</v>
      </c>
      <c r="E18" t="str">
        <f t="shared" si="1"/>
        <v>하한</v>
      </c>
      <c r="F18" t="s">
        <v>1198</v>
      </c>
      <c r="G18" t="s">
        <v>1009</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MROUND(SUMIFS(복귀_간접계수맵!$F$7:$F$51,복귀_간접계수맵!$C$7:$C$51,$A19),0.5)</f>
        <v>0</v>
      </c>
      <c r="D19">
        <f t="shared" ca="1" si="0"/>
        <v>3</v>
      </c>
      <c r="E19" t="str">
        <f t="shared" ca="1" si="1"/>
        <v>보완 필요</v>
      </c>
      <c r="F19" t="s">
        <v>1019</v>
      </c>
      <c r="G19" t="s">
        <v>1005</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MROUND(SUMIFS(복귀_간접계수맵!$F$7:$F$51,복귀_간접계수맵!$C$7:$C$51,$A20),0.5)</f>
        <v>6.5</v>
      </c>
      <c r="D20">
        <f t="shared" ca="1" si="0"/>
        <v>12.5</v>
      </c>
      <c r="E20" t="str">
        <f t="shared" ca="1" si="1"/>
        <v>충분</v>
      </c>
      <c r="F20" t="s">
        <v>1020</v>
      </c>
      <c r="G20" t="s">
        <v>619</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MROUND(SUMIFS(복귀_간접계수맵!$F$7:$F$51,복귀_간접계수맵!$C$7:$C$51,$A21),0.5)</f>
        <v>10</v>
      </c>
      <c r="D21">
        <f t="shared" ca="1" si="0"/>
        <v>16</v>
      </c>
      <c r="E21" t="str">
        <f t="shared" ca="1" si="1"/>
        <v>충분</v>
      </c>
      <c r="F21" t="s">
        <v>1021</v>
      </c>
      <c r="G21" t="s">
        <v>619</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MROUND(SUMIFS(복귀_간접계수맵!$F$7:$F$51,복귀_간접계수맵!$C$7:$C$51,$A22),0.5)</f>
        <v>2</v>
      </c>
      <c r="D22">
        <f t="shared" ca="1" si="0"/>
        <v>8</v>
      </c>
      <c r="E22" t="str">
        <f t="shared" ca="1" si="1"/>
        <v>하한</v>
      </c>
      <c r="F22" t="s">
        <v>1022</v>
      </c>
      <c r="G22" t="s">
        <v>1005</v>
      </c>
    </row>
    <row r="23" spans="1:7">
      <c r="A23" t="s">
        <v>260</v>
      </c>
      <c r="B23">
        <f>SUMIFS(복귀_평일A_가슴!$E:$E,복귀_평일A_가슴!$C:$C,$A23)+SUMIFS(복귀_평일B_어깨!$E:$E,복귀_평일B_어깨!$C:$C,$A23)+SUMIFS(복귀_토_하체!$E:$E,복귀_토_하체!$C:$C,$A23)+SUMIFS(복귀_일_등!$E:$E,복귀_일_등!$C:$C,$A23)</f>
        <v>3</v>
      </c>
      <c r="C23">
        <f ca="1">MROUND(SUMIFS(복귀_간접계수맵!$F$7:$F$51,복귀_간접계수맵!$C$7:$C$51,$A23),0.5)</f>
        <v>0</v>
      </c>
      <c r="D23">
        <f t="shared" ca="1" si="0"/>
        <v>3</v>
      </c>
      <c r="E23" t="str">
        <f t="shared" ca="1" si="1"/>
        <v>보완 필요</v>
      </c>
      <c r="F23" t="s">
        <v>1023</v>
      </c>
      <c r="G23" t="s">
        <v>1009</v>
      </c>
    </row>
    <row r="24" spans="1:7">
      <c r="A24" t="s">
        <v>333</v>
      </c>
      <c r="B24">
        <f>SUMIFS(복귀_평일A_가슴!$E:$E,복귀_평일A_가슴!$C:$C,$A24)+SUMIFS(복귀_평일B_어깨!$E:$E,복귀_평일B_어깨!$C:$C,$A24)+SUMIFS(복귀_토_하체!$E:$E,복귀_토_하체!$C:$C,$A24)+SUMIFS(복귀_일_등!$E:$E,복귀_일_등!$C:$C,$A24)</f>
        <v>4</v>
      </c>
      <c r="C24">
        <f ca="1">MROUND(SUMIFS(복귀_간접계수맵!$F$7:$F$51,복귀_간접계수맵!$C$7:$C$51,$A24),0.5)</f>
        <v>2</v>
      </c>
      <c r="D24">
        <f t="shared" ca="1" si="0"/>
        <v>6</v>
      </c>
      <c r="E24" t="str">
        <f t="shared" ca="1" si="1"/>
        <v>보완 필요</v>
      </c>
      <c r="F24" t="s">
        <v>1024</v>
      </c>
      <c r="G24" t="s">
        <v>619</v>
      </c>
    </row>
    <row r="25" spans="1:7">
      <c r="A25" t="s">
        <v>580</v>
      </c>
      <c r="B25">
        <f>SUM(B5:B24)</f>
        <v>133</v>
      </c>
      <c r="D25">
        <f ca="1">SUM(D5:D24)</f>
        <v>186.5</v>
      </c>
    </row>
    <row r="27" spans="1:7">
      <c r="A27" t="s">
        <v>581</v>
      </c>
    </row>
    <row r="28" spans="1:7">
      <c r="A28" t="s">
        <v>1025</v>
      </c>
    </row>
    <row r="29" spans="1:7">
      <c r="A29" t="s">
        <v>1026</v>
      </c>
    </row>
    <row r="30" spans="1:7">
      <c r="A30" t="s">
        <v>1027</v>
      </c>
    </row>
    <row r="32" spans="1:7">
      <c r="A32" t="s">
        <v>1028</v>
      </c>
    </row>
    <row r="33" spans="1:5">
      <c r="A33" t="s">
        <v>1029</v>
      </c>
    </row>
    <row r="34" spans="1:5">
      <c r="A34" t="s">
        <v>1030</v>
      </c>
    </row>
    <row r="35" spans="1:5">
      <c r="A35" t="s">
        <v>1031</v>
      </c>
    </row>
    <row r="37" spans="1:5">
      <c r="A37" t="s">
        <v>1032</v>
      </c>
    </row>
    <row r="38" spans="1:5">
      <c r="A38" t="s">
        <v>1033</v>
      </c>
    </row>
    <row r="39" spans="1:5">
      <c r="A39" t="s">
        <v>1199</v>
      </c>
    </row>
    <row r="40" spans="1:5">
      <c r="A40" t="s">
        <v>1034</v>
      </c>
    </row>
    <row r="41" spans="1:5">
      <c r="A41" t="s">
        <v>1035</v>
      </c>
    </row>
    <row r="43" spans="1:5">
      <c r="A43" t="s">
        <v>609</v>
      </c>
    </row>
    <row r="44" spans="1:5">
      <c r="A44" t="s">
        <v>610</v>
      </c>
      <c r="B44" t="s">
        <v>611</v>
      </c>
      <c r="C44" t="s">
        <v>612</v>
      </c>
      <c r="D44" t="s">
        <v>613</v>
      </c>
      <c r="E44" t="s">
        <v>614</v>
      </c>
    </row>
    <row r="45" spans="1:5">
      <c r="A45" s="113">
        <v>46278</v>
      </c>
      <c r="B45" t="s">
        <v>149</v>
      </c>
      <c r="C45">
        <v>136</v>
      </c>
      <c r="D45" t="s">
        <v>1181</v>
      </c>
      <c r="E45" t="s">
        <v>149</v>
      </c>
    </row>
    <row r="47" spans="1:5">
      <c r="A47" t="s">
        <v>620</v>
      </c>
    </row>
    <row r="48" spans="1:5">
      <c r="A48" t="s">
        <v>1182</v>
      </c>
    </row>
    <row r="49" spans="1:1">
      <c r="A49" t="s">
        <v>621</v>
      </c>
    </row>
    <row r="50" spans="1:1">
      <c r="A50" t="s">
        <v>1183</v>
      </c>
    </row>
    <row r="51" spans="1:1">
      <c r="A51" t="s">
        <v>1184</v>
      </c>
    </row>
    <row r="52" spans="1:1">
      <c r="A52" t="s">
        <v>1185</v>
      </c>
    </row>
  </sheetData>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2026-09-12T21:49:50Z</dcterms:modified>
  <dc:language>en-US</dc:language>
</cp:coreProperties>
</file>