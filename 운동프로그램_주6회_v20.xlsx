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671" documentId="11_6AF0B42629B6F5CFF7DAC05DB27E968F34409905" xr6:coauthVersionLast="47" xr6:coauthVersionMax="47" xr10:uidLastSave="{8E88B6C2-E753-46D1-AC6E-58733FDE3FBC}"/>
  <bookViews>
    <workbookView xWindow="-120" yWindow="-120" windowWidth="38640" windowHeight="21120" tabRatio="976" firstSheet="1" activeTab="1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40" i="23"/>
  <c r="F40" i="23" s="1"/>
  <c r="I14" i="21"/>
  <c r="H19" i="26"/>
  <c r="G19" i="26"/>
  <c r="I19" i="26" s="1"/>
  <c r="H18" i="26"/>
  <c r="G18" i="26"/>
  <c r="I18" i="26" s="1"/>
  <c r="H17" i="26"/>
  <c r="G17" i="26"/>
  <c r="I17" i="26" s="1"/>
  <c r="H16" i="26"/>
  <c r="G16" i="26"/>
  <c r="I16" i="26" s="1"/>
  <c r="D27" i="25"/>
  <c r="D26" i="25"/>
  <c r="D25" i="25"/>
  <c r="D24" i="25"/>
  <c r="D23" i="25"/>
  <c r="D22" i="25"/>
  <c r="D21" i="25"/>
  <c r="D20" i="25"/>
  <c r="D19" i="25"/>
  <c r="D18" i="25"/>
  <c r="E47" i="23"/>
  <c r="F47" i="23" s="1"/>
  <c r="E16" i="23"/>
  <c r="F16" i="23" s="1"/>
  <c r="I13" i="17"/>
  <c r="E45" i="23"/>
  <c r="F45"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4" i="23"/>
  <c r="F74" i="23" s="1"/>
  <c r="C25" i="24" s="1"/>
  <c r="E73" i="23"/>
  <c r="F73" i="23" s="1"/>
  <c r="C19" i="24" s="1"/>
  <c r="E72" i="23"/>
  <c r="F72" i="23" s="1"/>
  <c r="C23" i="24" s="1"/>
  <c r="E71" i="23"/>
  <c r="F71" i="23" s="1"/>
  <c r="E70" i="23"/>
  <c r="F70" i="23" s="1"/>
  <c r="E69" i="23"/>
  <c r="F69" i="23" s="1"/>
  <c r="E68" i="23"/>
  <c r="F68" i="23" s="1"/>
  <c r="E67" i="23"/>
  <c r="F67" i="23" s="1"/>
  <c r="E66" i="23"/>
  <c r="F66" i="23" s="1"/>
  <c r="E65" i="23"/>
  <c r="F65" i="23" s="1"/>
  <c r="C22" i="24" s="1"/>
  <c r="E64" i="23"/>
  <c r="F64" i="23" s="1"/>
  <c r="E63" i="23"/>
  <c r="F63" i="23" s="1"/>
  <c r="E62" i="23"/>
  <c r="F62" i="23" s="1"/>
  <c r="C24" i="24" s="1"/>
  <c r="E61" i="23"/>
  <c r="F61" i="23"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6" i="23"/>
  <c r="F46" i="23" s="1"/>
  <c r="E44" i="23"/>
  <c r="F44" i="23" s="1"/>
  <c r="E43" i="23"/>
  <c r="F43" i="23" s="1"/>
  <c r="E42" i="23"/>
  <c r="F42" i="23" s="1"/>
  <c r="C10" i="24" s="1"/>
  <c r="E41" i="23"/>
  <c r="F41" i="23" s="1"/>
  <c r="E39" i="23"/>
  <c r="F39" i="23" s="1"/>
  <c r="E38" i="23"/>
  <c r="F38" i="23" s="1"/>
  <c r="E37" i="23"/>
  <c r="F37" i="23"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1" i="20"/>
  <c r="E10" i="15" s="1"/>
  <c r="I40" i="20"/>
  <c r="I39" i="20"/>
  <c r="I38" i="20"/>
  <c r="I37" i="20"/>
  <c r="I36" i="20"/>
  <c r="I35" i="20"/>
  <c r="I34" i="20"/>
  <c r="I33" i="20"/>
  <c r="I32" i="20"/>
  <c r="I31" i="20"/>
  <c r="I30" i="20"/>
  <c r="I29" i="20"/>
  <c r="I28" i="20"/>
  <c r="E20" i="19"/>
  <c r="E9" i="15" s="1"/>
  <c r="I19" i="19"/>
  <c r="I18" i="19"/>
  <c r="I17" i="19"/>
  <c r="I16" i="19"/>
  <c r="I15" i="19"/>
  <c r="I14" i="19"/>
  <c r="I13" i="19"/>
  <c r="I12" i="19"/>
  <c r="I11" i="19"/>
  <c r="I20" i="19" s="1"/>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I41" i="20" l="1"/>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<sst xmlns="http://schemas.openxmlformats.org/spreadsheetml/2006/main" count="2831" uniqueCount="1501">
  <si>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</si>
  <si>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</si>
  <si>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</si>
  <si>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</si>
  <si>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</si>
  <si>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</si>
  <si>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</si>
  <si>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</si>
  <si>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</si>
  <si>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</si>
  <si>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</si>
  <si>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</si>
  <si>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</si>
  <si>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</si>
  <si>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</si>
  <si>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</si>
  <si>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</si>
  <si>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</si>
  <si>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</si>
  <si>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</si>
  <si>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</si>
  <si>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</si>
  <si>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</si>
  <si>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</si>
  <si>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</si>
  <si>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</si>
  <si>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</si>
  <si>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</si>
  <si>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</si>
  <si>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</si>
  <si>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</si>
  <si>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</si>
  <si>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</si>
  <si>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</si>
  <si>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</si>
  <si>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</si>
  <si>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</si>
  <si>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</si>
  <si>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</si>
  <si>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</si>
  <si>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</si>
  <si>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</si>
  <si>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</si>
  <si>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</si>
  <si>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</si>
  <si>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</si>
  <si>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</si>
  <si>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</si>
  <si>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</si>
  <si>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</si>
  <si>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</si>
  <si>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</si>
  <si>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</si>
  <si>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</si>
  <si>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</si>
  <si>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</si>
  <si>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</si>
  <si>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</si>
  <si>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</si>
  <si>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</si>
  <si>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</si>
  <si>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</si>
  <si>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</si>
  <si>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</si>
  <si>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</si>
  <si>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</si>
  <si>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</si>
  <si>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</si>
  <si>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</si>
  <si>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</si>
  <si>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</si>
  <si>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</si>
  <si>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</si>
  <si>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</si>
  <si>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</si>
  <si>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</si>
  <si>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</si>
  <si>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</si>
  <si>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</si>
  <si>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</si>
  <si>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</si>
  <si>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</si>
  <si>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</si>
  <si>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</si>
  <si>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</si>
  <si>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</si>
  <si>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</si>
  <si>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</si>
  <si>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</si>
  <si>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</si>
  <si>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</si>
  <si>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</si>
  <si>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</si>
  <si>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</si>
  <si>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</si>
  <si>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</si>
  <si>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</si>
  <si>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</si>
  <si>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</si>
  <si>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</si>
  <si>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</si>
  <si>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</si>
  <si>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</si>
  <si>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</si>
  <si>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</si>
  <si>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</si>
  <si>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</si>
  <si>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</si>
  <si>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</si>
  <si>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</si>
  <si>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</si>
  <si>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</si>
  <si>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</si>
  <si>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</si>
  <si>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</si>
  <si>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</si>
  <si>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</si>
  <si>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</si>
  <si>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</si>
  <si>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</si>
  <si>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</si>
  <si>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</si>
  <si>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</si>
  <si>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</si>
  <si>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</si>
  <si>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</si>
  <si>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</si>
  <si>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</si>
  <si>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</si>
  <si>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</si>
  <si>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</si>
  <si>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</si>
  <si>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</si>
  <si>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</si>
  <si>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</si>
  <si>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</si>
  <si>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</si>
  <si>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</si>
  <si>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</si>
  <si>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</si>
  <si>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</si>
  <si>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</si>
  <si>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</si>
  <si>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</si>
  <si>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</si>
  <si>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</si>
  <si>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</si>
  <si>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</si>
  <si>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</si>
  <si>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</si>
  <si>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</si>
  <si>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</si>
  <si>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</si>
  <si>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</si>
  <si>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</si>
  <si>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</si>
  <si>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</si>
  <si>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</si>
  <si>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</si>
  <si>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</si>
  <si>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</si>
  <si>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</si>
  <si>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</si>
  <si>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</si>
  <si>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</si>
  <si>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</si>
  <si>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</si>
  <si>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</si>
  <si>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</si>
  <si>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</si>
  <si>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</si>
  <si>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</si>
  <si>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</si>
  <si>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</si>
  <si>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</si>
  <si>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</si>
  <si>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</si>
  <si>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</si>
  <si>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</si>
  <si>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</si>
  <si>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</si>
  <si>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</si>
  <si>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</si>
  <si>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</si>
  <si>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</si>
  <si>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</si>
  <si>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</si>
  <si>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</si>
  <si>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</si>
  <si>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</si>
  <si>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</si>
  <si>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</si>
  <si>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</si>
  <si>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</si>
  <si>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</si>
  <si>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</si>
  <si>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</si>
  <si>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</si>
  <si>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</si>
  <si>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</si>
  <si>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</si>
  <si>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</si>
  <si>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</si>
  <si>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</si>
  <si>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</si>
  <si>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</si>
  <si>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</si>
  <si>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</si>
  <si>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</si>
  <si>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</si>
  <si>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</si>
  <si>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</si>
  <si>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</si>
  <si>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</si>
  <si>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</si>
  <si>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</si>
  <si>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</si>
  <si>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</si>
  <si>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</si>
  <si>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</si>
  <si>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</si>
  <si>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</si>
  <si>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</si>
  <si>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</si>
  <si>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</si>
  <si>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</si>
  <si>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</si>
  <si>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</si>
  <si>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</si>
  <si>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</si>
  <si>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</si>
  <si>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</si>
  <si>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</si>
  <si>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</si>
  <si>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</si>
  <si>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</si>
  <si>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</si>
  <si>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</si>
  <si>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</si>
  <si>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</si>
  <si>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</si>
  <si>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</si>
  <si>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</si>
  <si>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</si>
  <si>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</si>
  <si>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</si>
  <si>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</si>
  <si>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</si>
  <si>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</si>
  <si>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</si>
  <si>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</si>
  <si>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</si>
  <si>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</si>
  <si>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</si>
  <si>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</si>
  <si>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</si>
  <si>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</si>
  <si>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</si>
  <si>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</si>
  <si>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</si>
  <si>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</si>
  <si>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</si>
  <si>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</si>
  <si>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</si>
  <si>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</si>
  <si>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</si>
  <si>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</si>
  <si>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</si>
  <si>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</si>
  <si>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</si>
  <si>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</si>
  <si>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</si>
  <si>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</si>
  <si>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</si>
  <si>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</si>
  <si>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</si>
  <si>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</si>
  <si>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</si>
  <si>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</si>
  <si>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</si>
  <si>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</si>
  <si>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</si>
  <si>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</si>
  <si>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</si>
  <si>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</si>
  <si>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</si>
  <si>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</si>
  <si>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</si>
  <si>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</si>
  <si>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</si>
  <si>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</si>
  <si>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</si>
  <si>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</si>
  <si>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</si>
  <si>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</si>
  <si>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</si>
  <si>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</si>
  <si>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</si>
  <si>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</si>
  <si>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</si>
  <si>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</si>
  <si>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</si>
  <si>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</si>
  <si>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</si>
  <si>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</si>
  <si>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</si>
  <si>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</si>
  <si>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</si>
  <si>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</si>
  <si>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</si>
  <si>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</si>
  <si>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</si>
  <si>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</si>
  <si>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</si>
  <si>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</si>
  <si>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</si>
  <si>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</si>
  <si>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</si>
  <si>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</si>
  <si>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</si>
  <si>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</si>
  <si>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</si>
  <si>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</si>
  <si>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</si>
  <si>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</si>
  <si>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</si>
  <si>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</si>
  <si>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</si>
  <si>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</si>
  <si>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</si>
  <si>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</si>
  <si>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</si>
  <si>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</si>
  <si>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</si>
  <si>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</si>
  <si>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</si>
  <si>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</si>
  <si>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</si>
  <si>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</si>
  <si>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</si>
  <si>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</si>
  <si>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</si>
  <si>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</si>
  <si>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</si>
  <si>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</si>
  <si>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</si>
  <si>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</si>
  <si>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</si>
  <si>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</si>
  <si>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</si>
  <si>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</si>
  <si>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</si>
  <si>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</si>
  <si>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</si>
  <si>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</si>
  <si>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</si>
  <si>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</si>
  <si>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</si>
  <si>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</si>
  <si>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</si>
  <si>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</si>
  <si>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</si>
  <si>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</si>
  <si>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</si>
  <si>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</si>
  <si>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</si>
  <si>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</si>
  <si>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</si>
  <si>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</si>
  <si>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</si>
  <si>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</si>
  <si>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</si>
  <si>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</si>
  <si>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</si>
  <si>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</si>
  <si>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</si>
  <si>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</si>
  <si>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</si>
  <si>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</si>
  <si>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</si>
  <si>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</si>
  <si>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</si>
  <si>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</si>
  <si>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</si>
  <si>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</si>
  <si>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</si>
  <si>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</si>
  <si>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</si>
  <si>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</si>
  <si>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</si>
  <si>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</si>
  <si>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</si>
  <si>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</si>
  <si>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</si>
  <si>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</si>
  <si>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</si>
  <si>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</si>
  <si>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</si>
  <si>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</si>
  <si>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</si>
  <si>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</si>
  <si>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</si>
  <si>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</si>
  <si>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</si>
  <si>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</si>
  <si>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</si>
  <si>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</si>
  <si>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</si>
  <si>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</si>
  <si>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</si>
  <si>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</si>
  <si>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</si>
  <si>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</si>
  <si>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</si>
  <si>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</si>
  <si>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</si>
  <si>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</si>
  <si>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</si>
  <si>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</si>
  <si>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</si>
  <si>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</si>
  <si>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</si>
  <si>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</si>
  <si>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</si>
  <si>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</si>
  <si>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</si>
  <si>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</si>
  <si>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</si>
  <si>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</si>
  <si>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</si>
  <si>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</si>
  <si>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</si>
  <si>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</si>
  <si>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</si>
  <si>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</si>
  <si>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</si>
  <si>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</si>
  <si>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</si>
  <si>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</si>
  <si>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</si>
  <si>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</si>
  <si>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</si>
  <si>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</si>
  <si>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</si>
  <si>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</si>
  <si>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</si>
  <si>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</si>
  <si>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</si>
  <si>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</si>
  <si>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</si>
  <si>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</si>
  <si>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</si>
  <si>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</si>
  <si>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</si>
  <si>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</si>
  <si>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</si>
  <si>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</si>
  <si>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</si>
  <si>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</si>
  <si>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</si>
  <si>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</si>
  <si>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</si>
  <si>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</si>
  <si>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</si>
  <si>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</si>
  <si>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</si>
  <si>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</si>
  <si>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</si>
  <si>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</si>
  <si>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</si>
  <si>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</si>
  <si>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</si>
  <si>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</si>
  <si>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</si>
  <si>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</si>
  <si>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</si>
  <si>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</si>
  <si>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</si>
  <si>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</si>
  <si>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</si>
  <si>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</si>
  <si>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</si>
  <si>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</si>
  <si>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</si>
  <si>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</si>
  <si>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</si>
  <si>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</si>
  <si>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</si>
  <si>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</si>
  <si>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</si>
  <si>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</si>
  <si>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</si>
  <si>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</si>
  <si>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</si>
  <si>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</si>
  <si>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</si>
  <si>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</si>
  <si>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</si>
  <si>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</si>
  <si>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</si>
  <si>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</si>
  <si>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</si>
  <si>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</si>
  <si>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</si>
  <si>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</si>
  <si>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</si>
  <si>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</si>
  <si>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</si>
  <si>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</si>
  <si>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</si>
  <si>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</si>
  <si>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</si>
  <si>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</si>
  <si>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</si>
  <si>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</si>
  <si>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</si>
  <si>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</si>
  <si>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</si>
  <si>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</si>
  <si>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</si>
  <si>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</si>
  <si>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</si>
  <si>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</si>
  <si>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</si>
  <si>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</si>
  <si>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</si>
  <si>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</si>
  <si>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</si>
  <si>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</si>
  <si>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</si>
  <si>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</si>
  <si>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</si>
  <si>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</si>
  <si>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</si>
  <si>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</si>
  <si>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</si>
  <si>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</si>
  <si>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</si>
  <si>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</si>
  <si>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</si>
  <si>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</si>
  <si>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</si>
  <si>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</si>
  <si>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</si>
  <si>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</si>
  <si>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</si>
  <si>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</si>
  <si>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</si>
  <si>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</si>
  <si>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</si>
  <si>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</si>
  <si>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</si>
  <si>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</si>
  <si>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</si>
  <si>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</si>
  <si>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</si>
  <si>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</si>
  <si>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</si>
  <si>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</si>
  <si>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</si>
  <si>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</si>
  <si>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</si>
  <si>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</si>
  <si>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</si>
  <si>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</si>
  <si>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</si>
  <si>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</si>
  <si>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</si>
  <si>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</si>
  <si>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</si>
  <si>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</si>
  <si>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</si>
  <si>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</si>
  <si>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</si>
  <si>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</si>
  <si>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</si>
  <si>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</si>
  <si>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</si>
  <si>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</si>
  <si>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</si>
  <si>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</si>
  <si>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</si>
  <si>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</si>
  <si>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</si>
  <si>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</si>
  <si>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</si>
  <si>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</si>
  <si>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</si>
  <si>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</si>
  <si>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</si>
  <si>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</si>
  <si>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</si>
  <si>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</si>
  <si>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</si>
  <si>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</si>
  <si>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</si>
  <si>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</si>
  <si>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</si>
  <si>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</si>
  <si>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</si>
  <si>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</si>
  <si>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</si>
  <si>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</si>
  <si>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</si>
  <si>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</si>
  <si>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</si>
  <si>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</si>
  <si>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</si>
  <si>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</si>
  <si>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</si>
  <si>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</si>
  <si>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</si>
  <si>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</si>
  <si>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</si>
  <si>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</si>
  <si>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</si>
  <si>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</si>
  <si>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</si>
  <si>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</si>
  <si>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</si>
  <si>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</si>
  <si>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</si>
  <si>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</si>
  <si>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</si>
  <si>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</si>
  <si>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</si>
  <si>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</si>
  <si>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</si>
  <si>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</si>
  <si>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</si>
  <si>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</si>
  <si>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</si>
  <si>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</si>
  <si>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</si>
  <si>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</si>
  <si>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</si>
  <si>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</si>
  <si>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</si>
  <si>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</si>
  <si>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</si>
  <si>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</si>
  <si>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</si>
  <si>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</si>
  <si>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</si>
  <si>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</si>
  <si>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</si>
  <si>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</si>
  <si>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</si>
  <si>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</si>
  <si>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</si>
  <si>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</si>
  <si>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</si>
  <si>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</si>
  <si>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</si>
  <si>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</si>
  <si>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</si>
  <si>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</si>
  <si>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</si>
  <si>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</si>
  <si>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</si>
  <si>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</si>
  <si>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</si>
  <si>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</si>
  <si>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</si>
  <si>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</si>
  <si>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</si>
  <si>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</si>
  <si>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</si>
  <si>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</si>
  <si>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</si>
  <si>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</si>
  <si>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</si>
  <si>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</si>
  <si>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</si>
  <si>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</si>
  <si>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</si>
  <si>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</si>
  <si>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</si>
  <si>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</si>
  <si>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</si>
  <si>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</si>
  <si>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</si>
  <si>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</si>
  <si>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</si>
  <si>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</si>
  <si>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</si>
  <si>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</si>
  <si>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</si>
  <si>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</si>
  <si>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</si>
  <si>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</si>
  <si>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</si>
  <si>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</si>
  <si>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</si>
  <si>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</si>
  <si>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</si>
  <si>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</si>
  <si>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</si>
  <si>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</si>
  <si>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</si>
  <si>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</si>
  <si>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</si>
  <si>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</si>
  <si>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</si>
  <si>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</si>
  <si>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</si>
  <si>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</si>
  <si>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</si>
  <si>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</si>
  <si>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</si>
  <si>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</si>
  <si>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</si>
  <si>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</si>
  <si>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</si>
  <si>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</si>
  <si>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</si>
  <si>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</si>
  <si>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</si>
  <si>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</si>
  <si>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</si>
  <si>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</si>
  <si>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</si>
  <si>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</si>
  <si>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</si>
  <si>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</si>
  <si>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</si>
  <si>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</si>
  <si>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</si>
  <si>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</si>
  <si>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</si>
  <si>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</si>
  <si>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</si>
  <si>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</si>
  <si>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</si>
  <si>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</si>
  <si>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</si>
  <si>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</si>
  <si>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</si>
  <si>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</si>
  <si>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</si>
  <si>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</si>
  <si>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</si>
  <si>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</si>
  <si>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</si>
  <si>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</si>
  <si>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</si>
  <si>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</si>
  <si>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</si>
  <si>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</si>
  <si>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</si>
  <si>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</si>
  <si>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</si>
  <si>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</si>
  <si>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</si>
  <si>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</si>
  <si>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</si>
  <si>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</si>
  <si>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</si>
  <si>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</si>
  <si>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</si>
  <si>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</si>
  <si>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</si>
  <si>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</si>
  <si>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</si>
  <si>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</si>
  <si>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</si>
  <si>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</si>
  <si>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</si>
  <si>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</si>
  <si>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</si>
  <si>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</si>
  <si>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</si>
  <si>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</si>
  <si>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</si>
  <si>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</si>
  <si>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</si>
  <si>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</si>
  <si>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</si>
  <si>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</si>
  <si>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</si>
  <si>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</si>
  <si>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</si>
  <si>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</si>
  <si>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</si>
  <si>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</si>
  <si>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</si>
  <si>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</si>
  <si>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</si>
  <si>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</si>
  <si>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</si>
  <si>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</si>
  <si>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</si>
  <si>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</si>
  <si>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</si>
  <si>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</si>
  <si>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</si>
  <si>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</si>
  <si>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</si>
  <si>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</si>
  <si>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</si>
  <si>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</si>
  <si>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</si>
  <si>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</si>
  <si>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</si>
  <si>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</si>
  <si>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</si>
  <si>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</si>
  <si>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</si>
  <si>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</si>
  <si>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</si>
  <si>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</si>
  <si>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</si>
  <si>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</si>
  <si>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</si>
  <si>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</si>
  <si>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</si>
  <si>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</si>
  <si>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</si>
  <si>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</si>
  <si>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</si>
  <si>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</si>
  <si>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</si>
  <si>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</si>
  <si>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</si>
  <si>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</si>
  <si>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</si>
  <si>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</si>
  <si>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</si>
  <si>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</si>
  <si>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</si>
  <si>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</si>
  <si>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</si>
  <si>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</si>
  <si>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</si>
  <si>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</si>
  <si>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</si>
  <si>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</si>
  <si>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</si>
  <si>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</si>
  <si>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</si>
  <si>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</si>
  <si>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</si>
  <si>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</si>
  <si>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</si>
  <si>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</si>
  <si>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</si>
  <si>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</si>
  <si>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</si>
  <si>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</si>
  <si>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</si>
  <si>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</si>
  <si>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</si>
  <si>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</si>
  <si>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</si>
  <si>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</si>
  <si>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</si>
  <si>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</si>
  <si>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</si>
  <si>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</si>
  <si>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</si>
  <si>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</si>
  <si>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</si>
  <si>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</si>
  <si>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</si>
  <si>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</si>
  <si>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</si>
  <si>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</si>
  <si>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</si>
  <si>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</si>
  <si>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</si>
  <si>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</si>
  <si>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</si>
  <si>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</si>
  <si>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</si>
  <si>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</si>
  <si>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</si>
  <si>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</si>
  <si>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</si>
  <si>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</si>
  <si>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</si>
  <si>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</si>
  <si>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</si>
  <si>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</si>
  <si>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</si>
  <si>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</si>
  <si>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</si>
  <si>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</si>
  <si>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</si>
  <si>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</si>
  <si>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</si>
  <si>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</si>
  <si>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</si>
  <si>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</si>
  <si>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</si>
  <si>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</si>
  <si>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</si>
  <si>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</si>
  <si>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</si>
  <si>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</si>
  <si>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</si>
  <si>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</si>
  <si>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</si>
  <si>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</si>
  <si>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</si>
  <si>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</si>
  <si>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</si>
  <si>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</si>
  <si>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</si>
  <si>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</si>
  <si>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</si>
  <si>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</si>
  <si>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</si>
  <si>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</si>
  <si>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</si>
  <si>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</si>
  <si>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</si>
  <si>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</si>
  <si>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</si>
  <si>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</si>
  <si>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</si>
  <si>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</si>
  <si>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</si>
  <si>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</si>
  <si>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</si>
  <si>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</si>
  <si>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</si>
  <si>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</si>
  <si>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</si>
  <si>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</si>
  <si>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</si>
  <si>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</si>
  <si>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</si>
  <si>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</si>
  <si>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</si>
  <si>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</si>
  <si>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</si>
  <si>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</si>
  <si>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</si>
  <si>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</si>
  <si>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</si>
  <si>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</si>
  <si>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</si>
  <si>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</si>
  <si>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</si>
  <si>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</si>
  <si>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</si>
  <si>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</si>
  <si>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</si>
  <si>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</si>
  <si>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</si>
  <si>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</si>
  <si>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</si>
  <si>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</si>
  <si>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</si>
  <si>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</si>
  <si>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</si>
  <si>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</si>
  <si>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</si>
  <si>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</si>
  <si>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</si>
  <si>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</si>
  <si>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</si>
  <si>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</si>
  <si>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</si>
  <si>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</si>
  <si>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</si>
  <si>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</si>
  <si>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</si>
  <si>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</si>
  <si>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</si>
  <si>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</si>
  <si>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</si>
  <si>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</si>
  <si>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</si>
  <si>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</si>
  <si>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</si>
  <si>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</si>
  <si>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</si>
  <si>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</si>
  <si>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</si>
  <si>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</si>
  <si>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</si>
  <si>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</si>
  <si>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</si>
  <si>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</si>
  <si>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</si>
  <si>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</si>
  <si>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</si>
  <si>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</si>
  <si>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</si>
  <si>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</si>
  <si>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</si>
  <si>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</si>
  <si>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</si>
  <si>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</si>
  <si>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</si>
  <si>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</si>
  <si>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</si>
  <si>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</si>
  <si>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</si>
  <si>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</si>
  <si>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</si>
  <si>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</si>
  <si>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</si>
  <si>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</si>
  <si>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</si>
  <si>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</si>
  <si>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</si>
  <si>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</si>
  <si>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</si>
  <si>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</si>
  <si>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</si>
  <si>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</si>
  <si>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</si>
  <si>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</si>
  <si>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</si>
  <si>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</si>
  <si>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</si>
  <si>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</si>
  <si>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</si>
  <si>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</si>
  <si>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</si>
  <si>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</si>
  <si>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</si>
  <si>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</si>
  <si>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</si>
  <si>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</si>
  <si>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</si>
  <si>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</si>
  <si>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</si>
  <si>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</si>
  <si>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</si>
  <si>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</si>
  <si>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</si>
  <si>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</si>
  <si>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</si>
  <si>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</si>
  <si>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</si>
  <si>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</si>
  <si>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</si>
  <si>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</si>
  <si>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</si>
  <si>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</si>
  <si>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</si>
  <si>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</si>
  <si>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</si>
  <si>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</si>
  <si>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</si>
  <si>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</si>
  <si>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</si>
  <si>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</si>
  <si>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</si>
  <si>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</si>
  <si>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</si>
  <si>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</si>
  <si>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</si>
  <si>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</si>
  <si>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</si>
  <si>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</si>
  <si>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</si>
  <si>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</si>
  <si>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</si>
  <si>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</si>
  <si>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</si>
  <si>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</si>
  <si>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</si>
  <si>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</si>
  <si>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</si>
  <si>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</si>
  <si>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</si>
  <si>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</si>
  <si>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</si>
  <si>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</si>
  <si>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</si>
  <si>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</si>
  <si>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</si>
  <si>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</si>
  <si>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</si>
  <si>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</si>
  <si>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</si>
  <si>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</si>
  <si>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</si>
  <si>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</si>
  <si>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</si>
  <si>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</si>
  <si>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</si>
  <si>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</si>
  <si>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</si>
  <si>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</si>
  <si>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</si>
  <si>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</si>
  <si>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</si>
  <si>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</si>
  <si>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</si>
  <si>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</si>
  <si>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</si>
  <si>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</si>
  <si>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</si>
  <si>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</si>
  <si>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</si>
  <si>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</si>
  <si>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</si>
  <si>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</si>
  <si>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</si>
  <si>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</si>
  <si>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</si>
  <si>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</si>
  <si>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</si>
  <si>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</si>
  <si>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</si>
  <si>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</si>
  <si>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</si>
  <si>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</si>
  <si>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</si>
  <si>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</si>
  <si>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</si>
  <si>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</si>
  <si>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</si>
  <si>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</si>
  <si>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</si>
  <si>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</si>
  <si>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</si>
  <si>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</si>
  <si>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</si>
  <si>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</si>
  <si>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</si>
  <si>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</si>
  <si>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</si>
  <si>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</si>
  <si>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</si>
  <si>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</si>
  <si>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</si>
  <si>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</si>
  <si>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</si>
  <si>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</si>
  <si>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</si>
  <si>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</si>
  <si>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</si>
  <si>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</si>
  <si>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</si>
  <si>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</si>
  <si>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</si>
  <si>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</si>
  <si>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</si>
  <si>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</si>
  <si>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</si>
  <si>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</si>
  <si>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</si>
  <si>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</si>
  <si>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</si>
  <si>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</si>
  <si>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</si>
  <si>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</si>
  <si>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</si>
  <si>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</si>
  <si>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</si>
  <si>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</si>
  <si>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</si>
  <si>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</si>
  <si>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</si>
  <si>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</si>
  <si>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</si>
  <si>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</si>
  <si>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</si>
  <si>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</si>
  <si>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</si>
  <si>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</si>
  <si>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</si>
  <si>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</si>
  <si>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</si>
  <si>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</si>
  <si>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</si>
  <si>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</si>
  <si>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</si>
  <si>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</si>
  <si>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</si>
  <si>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</si>
  <si>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</si>
  <si>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</si>
  <si>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</si>
  <si>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</si>
  <si>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</si>
  <si>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</si>
  <si>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</si>
  <si>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</si>
  <si>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</si>
  <si>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</si>
  <si>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</si>
  <si>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</si>
  <si>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</si>
  <si>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</si>
  <si>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</si>
  <si>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</si>
  <si>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</si>
  <si>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</si>
  <si>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</si>
  <si>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</si>
  <si>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</si>
  <si>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</si>
  <si>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</si>
  <si>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</si>
  <si>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</si>
  <si>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</si>
  <si>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</si>
  <si>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</si>
  <si>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</si>
  <si>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</si>
  <si>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</si>
  <si>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</si>
  <si>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</si>
  <si>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</si>
  <si>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</si>
  <si>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</si>
  <si>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</si>
  <si>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</si>
  <si>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</si>
  <si>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</si>
  <si>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</si>
  <si>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</si>
  <si>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</si>
  <si>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</si>
  <si>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</si>
  <si>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</si>
  <si>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</si>
  <si>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</si>
  <si>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</si>
  <si>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</si>
  <si>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</si>
  <si>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</si>
  <si>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</si>
  <si>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</si>
  <si>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</si>
  <si>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</si>
  <si>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</si>
  <si>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</si>
  <si>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</si>
  <si>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</si>
  <si>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</si>
  <si>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</si>
  <si>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</si>
  <si>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</si>
  <si>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</si>
  <si>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</si>
  <si>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</si>
  <si>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</si>
  <si>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</si>
  <si>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</si>
  <si>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</si>
  <si>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</si>
  <si>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</si>
  <si>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</si>
  <si>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</si>
  <si>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</si>
  <si>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</si>
  <si>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</si>
  <si>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</si>
  <si>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</si>
  <si>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</si>
  <si>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</si>
  <si>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</si>
  <si>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</si>
  <si>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</si>
  <si>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</si>
  <si>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</si>
  <si>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</si>
  <si>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</si>
  <si>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</si>
  <si>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</si>
  <si>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</si>
  <si>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</si>
  <si>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</si>
  <si>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</si>
  <si>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</si>
  <si>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</si>
  <si>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</si>
  <si>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</si>
  <si>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</si>
  <si>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</si>
  <si>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</si>
  <si>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</si>
  <si>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</si>
  <si>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</si>
  <si>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</si>
  <si>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</si>
  <si>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</si>
  <si>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</si>
  <si>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</si>
  <si>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</si>
  <si>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</si>
  <si>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</si>
  <si>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</si>
  <si>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</si>
  <si>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</si>
  <si>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</si>
  <si>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</si>
  <si>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</si>
  <si>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</si>
  <si>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</si>
  <si>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</si>
  <si>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</si>
  <si>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</si>
  <si>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</si>
  <si>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</si>
  <si>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</si>
  <si>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</si>
  <si>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</si>
  <si>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</si>
  <si>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</si>
  <si>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</si>
  <si>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</si>
  <si>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</si>
  <si>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</si>
  <si>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</si>
  <si>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</si>
  <si>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</si>
  <si>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</si>
  <si>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</si>
  <si>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</si>
  <si>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</si>
  <si>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</si>
  <si>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</si>
  <si>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</si>
  <si>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</si>
  <si>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</si>
  <si>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</si>
  <si>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</si>
  <si>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</si>
  <si>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</si>
  <si>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</si>
  <si>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</si>
  <si>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</si>
  <si>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</si>
  <si>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</si>
  <si>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</si>
  <si>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</si>
  <si>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</si>
  <si>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</si>
  <si>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</si>
  <si>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</si>
  <si>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</si>
  <si>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</si>
  <si>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</si>
  <si>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</si>
  <si>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</si>
  <si>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</si>
  <si>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</si>
  <si>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</si>
  <si>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</si>
  <si>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</si>
  <si>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</si>
  <si>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</si>
  <si>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</si>
  <si>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</si>
  <si>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</si>
  <si>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</si>
  <si>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</si>
  <si>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</si>
  <si>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</si>
  <si>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</si>
  <si>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</si>
  <si>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</si>
  <si>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</si>
  <si>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</si>
  <si>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</si>
  <si>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</si>
  <si>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</si>
  <si>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</si>
  <si>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</si>
  <si>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</si>
  <si>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</si>
  <si>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</si>
  <si>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</si>
  <si>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</si>
  <si>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</si>
  <si>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</si>
  <si>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</si>
  <si>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</si>
  <si>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</si>
  <si>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</si>
  <si>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</si>
  <si>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</si>
  <si>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</si>
  <si>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</si>
  <si>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</si>
  <si>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</si>
  <si>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</si>
  <si>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</si>
  <si>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</si>
  <si>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</si>
  <si>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</si>
  <si>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</si>
  <si>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</si>
  <si>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</si>
  <si>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</si>
  <si>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</si>
  <si>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</si>
  <si>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</si>
  <si>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</si>
  <si>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</si>
  <si>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</si>
  <si>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</si>
  <si>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</si>
  <si>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</si>
  <si>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</si>
  <si>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</si>
  <si>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</si>
  <si>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</si>
  <si>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</si>
  <si>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</si>
  <si>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</si>
  <si>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</si>
  <si>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</si>
  <si>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스트랩</t>
  </si>
  <si>
    <t>금지</t>
  </si>
  <si>
    <t>이 연습의 목적이 악력이다 (계단에서는 허용)</t>
  </si>
  <si>
    <t>무겁게는 주 2회까지</t>
  </si>
  <si>
    <t>재검토 조건</t>
  </si>
  <si>
    <t>2주 연속 정체 · 팔꿈치 안쪽/바깥쪽 통증</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</si>
  <si>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</si>
  <si>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</si>
  <si>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</si>
  <si>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</si>
  <si>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</si>
  <si>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</si>
  <si>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</si>
  <si>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</si>
  <si>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</si>
  <si>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</si>
  <si>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</si>
  <si>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</si>
  <si>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</si>
  <si>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</si>
  <si>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</si>
  <si>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</si>
  <si>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</si>
  <si>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</si>
  <si>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</si>
  <si>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</si>
  <si>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</si>
  <si>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</si>
  <si>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</si>
  <si>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</si>
  <si>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</si>
  <si>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</si>
  <si>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</si>
  <si>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</si>
  <si>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</si>
  <si>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</si>
  <si>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</si>
  <si>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</si>
  <si>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</si>
  <si>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</si>
  <si>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</si>
  <si>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</si>
  <si>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</si>
  <si>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</si>
  <si>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</si>
  <si>
    <t>약 43분</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</si>
  <si>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</si>
  <si>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</si>
  <si>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</si>
  <si>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24세트 · 약 43분. 여섯 날 중 가장 짧다 — 전부 고립이고 휴식이 60~75초이며 리스트 컬 쌍이 슈퍼세트다.</t>
    <phoneticPr fontId="29" type="noConversion"/>
  </si>
  <si>
    <t>· 24세트지만 세션 상한 26의 적용 대상이 아니다. 메인 리프트가 없고 전부 고립 소근육이다.</t>
    <phoneticPr fontId="29" type="noConversion"/>
  </si>
  <si>
    <t>[2026-10-04 생수배송 대비 — 일 3 그대로(같은 날 2로 내렸다가 사용자 결정으로 복귀) · 목 3 → 2 · 화 3 → 0(보류)] 캐리 · 천국의 계단이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</si>
  <si>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</si>
  <si>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</si>
  <si>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</si>
  <si>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</si>
  <si>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</si>
  <si>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</si>
  <si>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207세트</t>
    <phoneticPr fontId="29" type="noConversion"/>
  </si>
  <si>
    <t>통증이 나면 그날 증량 금지. 리스트컬은 2026-10-04에 굴근을 줄였다(전완 실질 24 → 20) — 더 줄이는 건 이 조건일 때만</t>
    <phoneticPr fontId="29" type="noConversion"/>
  </si>
  <si>
    <t>막힘 없으면 디로드 한 주 포함 7주 만에 36kg(8주차 · 11/21 주)</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</si>
  <si>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</si>
  <si>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</si>
  <si>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</si>
  <si>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 3번째 줄(10/17 주)은 디로드 주라 26kg 그대로 — 웨이트와 같이 한 주 멈추고, 앱에는 주차 대신 디로드로 뜬다(그 뒤가 3주차). 그래서 36kg은 11/21 주. 디로드 날짜가 바뀌면 멈추는 줄도 같이 옮긴다.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</si>
  <si>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</si>
  <si>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</si>
  <si>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</si>
  <si>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</si>
  <si>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</si>
  <si>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</si>
  <si>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</si>
  <si>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</si>
  <si>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</si>
  <si>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</si>
  <si>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</si>
  <si>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</si>
  <si>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</si>
  <si>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</si>
  <si>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</si>
  <si>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</si>
  <si>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</si>
  <si>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</si>
  <si>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</si>
  <si>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</si>
  <si>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</si>
  <si>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약 484분 (8시간 4분)</t>
    <phoneticPr fontId="29" type="noConversion"/>
  </si>
  <si>
    <t>· 목 43세트 96분 · 수 42세트 104분 · 토 41세트 101분 · 일 32세트 73분 · 화 24세트 43분 · 월 25세트 63분.</t>
    <phoneticPr fontId="29" type="noConversion"/>
  </si>
  <si>
    <t>· 주 484분 = 8시간 4분. 주 4회 370분에서 105분 늘었다. 수(104) · 토(101)가 100분을 넘지만 주 4회 시절 일(121)보다는 작다 — 긴 세션 둘이 짧은 넷으로 분산된 것이 이 개편의 실익이다.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</si>
</sst>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1" fontId="0" fillId="0" borderId="0" xfId="0" applyNumberFormat="1"/>
    <xf numFmtId="0" fontId="57" fillId="0" borderId="0" xfId="1"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1377</v>
      </c>
    </row>
    <row r="60" spans="1:5">
      <c r="A60" t="s">
        <v>137</v>
      </c>
      <c r="C60" s="100">
        <v>46298</v>
      </c>
      <c r="D60" t="s">
        <v>1378</v>
      </c>
    </row>
    <row r="61" spans="1:5">
      <c r="A61" t="s">
        <v>138</v>
      </c>
      <c r="C61">
        <v>11</v>
      </c>
      <c r="D61" t="s">
        <v>139</v>
      </c>
    </row>
    <row r="62" spans="1:5">
      <c r="A62" t="s">
        <v>140</v>
      </c>
      <c r="C62">
        <v>1</v>
      </c>
      <c r="D62" t="s">
        <v>141</v>
      </c>
    </row>
    <row r="63" spans="1:5">
      <c r="A63" t="s">
        <v>1473</v>
      </c>
      <c r="C63" s="100">
        <v>46312</v>
      </c>
      <c r="D63" t="s">
        <v>1479</v>
      </c>
    </row>
    <row r="64" spans="1:5">
      <c r="A64" t="s">
        <v>1477</v>
      </c>
      <c r="C64" s="135">
        <v>7</v>
      </c>
      <c r="D64" t="s">
        <v>1478</v>
      </c>
    </row>
    <row r="65" spans="1:4">
      <c r="A65" t="s">
        <v>142</v>
      </c>
      <c r="C65" s="100">
        <v>46266</v>
      </c>
      <c r="D65" t="s">
        <v>143</v>
      </c>
    </row>
    <row r="66" spans="1:4">
      <c r="A66" t="s">
        <v>144</v>
      </c>
    </row>
    <row r="67" spans="1:4">
      <c r="A67" t="s">
        <v>145</v>
      </c>
    </row>
    <row r="68" spans="1:4">
      <c r="A68" t="s">
        <v>146</v>
      </c>
    </row>
    <row r="69" spans="1:4">
      <c r="A69" t="s">
        <v>1474</v>
      </c>
    </row>
    <row r="70" spans="1:4">
      <c r="A70" t="s">
        <v>147</v>
      </c>
    </row>
    <row r="71" spans="1:4">
      <c r="A71" t="s">
        <v>148</v>
      </c>
    </row>
    <row r="72" spans="1:4">
      <c r="A72" t="s">
        <v>1379</v>
      </c>
    </row>
    <row r="73" spans="1:4">
      <c r="A73" t="s">
        <v>1381</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39" t="s">
        <v>641</v>
      </c>
      <c r="B2" s="138"/>
      <c r="C2" s="138"/>
      <c r="D2" s="138"/>
      <c r="E2" s="138"/>
      <c r="F2" s="138"/>
      <c r="G2" s="138"/>
      <c r="H2" s="138"/>
    </row>
    <row r="3" spans="1:8">
      <c r="A3" t="s">
        <v>642</v>
      </c>
      <c r="F3">
        <f ca="1">COUNTIF($E$7:$E$80,"?")</f>
        <v>0</v>
      </c>
    </row>
    <row r="4" spans="1:8" ht="39.75" customHeight="1">
      <c r="A4" s="137" t="s">
        <v>643</v>
      </c>
      <c r="B4" s="138"/>
      <c r="C4" s="138"/>
      <c r="D4" s="138"/>
      <c r="E4" s="138"/>
      <c r="F4" s="138"/>
      <c r="G4" s="138"/>
      <c r="H4" s="138"/>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0"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1"/>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0"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1"/>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1"/>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1"/>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0"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1"/>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1380</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3"/>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1468</v>
      </c>
      <c r="G7" s="115" t="s">
        <v>914</v>
      </c>
    </row>
    <row r="8" spans="1:7" ht="30" customHeight="1">
      <c r="A8" s="114" t="s">
        <v>915</v>
      </c>
      <c r="B8" s="120" t="s">
        <v>916</v>
      </c>
      <c r="C8" s="114" t="s">
        <v>903</v>
      </c>
      <c r="D8" s="115" t="s">
        <v>917</v>
      </c>
      <c r="E8" s="121">
        <f>복귀_월_가슴!$E$26</f>
        <v>25</v>
      </c>
      <c r="F8" s="114" t="s">
        <v>1373</v>
      </c>
      <c r="G8" s="115" t="s">
        <v>918</v>
      </c>
    </row>
    <row r="9" spans="1:7" ht="30" customHeight="1">
      <c r="A9" s="114" t="s">
        <v>919</v>
      </c>
      <c r="B9" s="120" t="s">
        <v>920</v>
      </c>
      <c r="C9" s="114" t="s">
        <v>903</v>
      </c>
      <c r="D9" s="115" t="s">
        <v>921</v>
      </c>
      <c r="E9" s="121">
        <f>복귀_화_팔!$E$20</f>
        <v>24</v>
      </c>
      <c r="F9" s="114" t="s">
        <v>1457</v>
      </c>
      <c r="G9" s="115" t="s">
        <v>1458</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복귀_목_수직당기기!$E$25</f>
        <v>43</v>
      </c>
      <c r="F11" s="114" t="s">
        <v>1497</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207</v>
      </c>
      <c r="F13" s="116" t="s">
        <v>1498</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1374</v>
      </c>
    </row>
    <row r="44" spans="1:1">
      <c r="A44" s="126" t="s">
        <v>1394</v>
      </c>
    </row>
    <row r="45" spans="1:1">
      <c r="A45" s="126" t="s">
        <v>1459</v>
      </c>
    </row>
    <row r="46" spans="1:1">
      <c r="A46" s="126" t="s">
        <v>1469</v>
      </c>
    </row>
    <row r="47" spans="1:1">
      <c r="A47" s="126" t="s">
        <v>1493</v>
      </c>
    </row>
    <row r="48" spans="1:1">
      <c r="A48" s="107" t="s">
        <v>960</v>
      </c>
    </row>
    <row r="49" spans="1:1">
      <c r="A49" s="123" t="s">
        <v>961</v>
      </c>
    </row>
    <row r="50" spans="1:1">
      <c r="A50" s="123" t="s">
        <v>962</v>
      </c>
    </row>
    <row r="51" spans="1:1">
      <c r="A51" s="123" t="s">
        <v>963</v>
      </c>
    </row>
    <row r="52" spans="1:1">
      <c r="A52" s="123" t="s">
        <v>964</v>
      </c>
    </row>
    <row r="54" spans="1:1">
      <c r="A54" s="107" t="s">
        <v>965</v>
      </c>
    </row>
    <row r="55" spans="1:1">
      <c r="A55" s="123" t="s">
        <v>966</v>
      </c>
    </row>
    <row r="56" spans="1:1">
      <c r="A56" s="123" t="s">
        <v>967</v>
      </c>
    </row>
    <row r="57" spans="1:1">
      <c r="A57" s="123" t="s">
        <v>968</v>
      </c>
    </row>
    <row r="58" spans="1:1">
      <c r="A58" s="123" t="s">
        <v>969</v>
      </c>
    </row>
    <row r="59" spans="1:1">
      <c r="A59" s="123" t="s">
        <v>970</v>
      </c>
    </row>
    <row r="61" spans="1:1">
      <c r="A61" s="107" t="s">
        <v>971</v>
      </c>
    </row>
    <row r="62" spans="1:1">
      <c r="A62" s="123" t="s">
        <v>1499</v>
      </c>
    </row>
    <row r="63" spans="1:1">
      <c r="A63" s="123" t="s">
        <v>1375</v>
      </c>
    </row>
    <row r="64" spans="1:1">
      <c r="A64" s="123" t="s">
        <v>972</v>
      </c>
    </row>
    <row r="65" spans="1:1">
      <c r="A65" s="123" t="s">
        <v>973</v>
      </c>
    </row>
    <row r="66" spans="1:1">
      <c r="A66" s="123" t="s">
        <v>1500</v>
      </c>
    </row>
    <row r="67" spans="1:1">
      <c r="A67" s="123" t="s">
        <v>974</v>
      </c>
    </row>
    <row r="69" spans="1:1">
      <c r="A69" s="107" t="s">
        <v>975</v>
      </c>
    </row>
    <row r="70" spans="1:1">
      <c r="A70" s="123" t="s">
        <v>976</v>
      </c>
    </row>
    <row r="71" spans="1:1">
      <c r="A71" s="123" t="s">
        <v>977</v>
      </c>
    </row>
    <row r="72" spans="1:1">
      <c r="A72" s="123" t="s">
        <v>978</v>
      </c>
    </row>
    <row r="73" spans="1:1">
      <c r="A73"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1358</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1359</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tabSelected="1"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136" t="s">
        <v>1481</v>
      </c>
      <c r="K12" s="115" t="s">
        <v>1026</v>
      </c>
      <c r="L12" s="114" t="s">
        <v>1027</v>
      </c>
      <c r="M12" s="114"/>
      <c r="N12" s="114"/>
    </row>
    <row r="13" spans="1:14" ht="30" customHeight="1">
      <c r="A13" s="114">
        <v>3</v>
      </c>
      <c r="B13" s="115" t="s">
        <v>1382</v>
      </c>
      <c r="C13" s="114" t="s">
        <v>1383</v>
      </c>
      <c r="D13" s="114">
        <v>50</v>
      </c>
      <c r="E13" s="114">
        <v>1</v>
      </c>
      <c r="F13" s="114" t="s">
        <v>1384</v>
      </c>
      <c r="G13" s="114">
        <v>40</v>
      </c>
      <c r="H13" s="114">
        <v>120</v>
      </c>
      <c r="I13" s="114">
        <f t="shared" ref="I13" si="1">IF(E13=0,0,ROUND((E13*(G13+H13)+N13)/60,1))</f>
        <v>2.7</v>
      </c>
      <c r="J13" s="115" t="s">
        <v>1385</v>
      </c>
      <c r="K13" s="115" t="s">
        <v>1386</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1387</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1463</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1388</v>
      </c>
    </row>
    <row r="34" spans="1:1">
      <c r="A34" s="117" t="s">
        <v>1051</v>
      </c>
    </row>
    <row r="36" spans="1:1">
      <c r="A36" s="107" t="s">
        <v>971</v>
      </c>
    </row>
    <row r="37" spans="1:1">
      <c r="A37" s="117" t="s">
        <v>1395</v>
      </c>
    </row>
    <row r="38" spans="1:1">
      <c r="A38" s="117" t="s">
        <v>1052</v>
      </c>
    </row>
    <row r="39" spans="1:1">
      <c r="A39" s="117" t="s">
        <v>1389</v>
      </c>
    </row>
    <row r="41" spans="1:1">
      <c r="A41" s="107" t="s">
        <v>1013</v>
      </c>
    </row>
    <row r="42" spans="1:1">
      <c r="A42" s="117" t="s">
        <v>1053</v>
      </c>
    </row>
    <row r="43" spans="1:1">
      <c r="A43" s="117" t="s">
        <v>1054</v>
      </c>
    </row>
    <row r="44" spans="1:1">
      <c r="A44" s="117" t="s">
        <v>1055</v>
      </c>
    </row>
    <row r="45" spans="1:1">
      <c r="A45" s="117" t="s">
        <v>1390</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35</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t="s">
        <v>351</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t="s">
        <v>290</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t="s">
        <v>1070</v>
      </c>
      <c r="E22" s="114">
        <v>4</v>
      </c>
      <c r="F22" s="114" t="s">
        <v>311</v>
      </c>
      <c r="G22" s="114">
        <v>60</v>
      </c>
      <c r="H22" s="114">
        <v>60</v>
      </c>
      <c r="I22" s="114">
        <f t="shared" si="0"/>
        <v>8</v>
      </c>
      <c r="J22" s="115" t="s">
        <v>1346</v>
      </c>
      <c r="K22" s="115" t="s">
        <v>1071</v>
      </c>
      <c r="L22" s="114"/>
      <c r="M22" s="114"/>
      <c r="N22" s="114"/>
    </row>
    <row r="23" spans="1:14" ht="30" customHeight="1">
      <c r="A23" s="114">
        <v>6</v>
      </c>
      <c r="B23" s="115" t="s">
        <v>1353</v>
      </c>
      <c r="C23" s="114" t="s">
        <v>1361</v>
      </c>
      <c r="D23" s="114" t="s">
        <v>1362</v>
      </c>
      <c r="E23" s="114">
        <v>3</v>
      </c>
      <c r="F23" s="114" t="s">
        <v>1354</v>
      </c>
      <c r="G23" s="114">
        <v>60</v>
      </c>
      <c r="H23" s="114">
        <v>60</v>
      </c>
      <c r="I23" s="114">
        <f>IF(E23=0,0,ROUND((E23*(G23+H23)+N23)/60,1))</f>
        <v>6</v>
      </c>
      <c r="J23" s="115" t="s">
        <v>1355</v>
      </c>
      <c r="K23" s="115" t="s">
        <v>1363</v>
      </c>
      <c r="L23" s="114"/>
      <c r="M23" s="114"/>
      <c r="N23" s="114"/>
    </row>
    <row r="24" spans="1:14" ht="30" customHeight="1">
      <c r="A24" s="114">
        <v>7</v>
      </c>
      <c r="B24" s="115" t="s">
        <v>1347</v>
      </c>
      <c r="C24" s="114" t="s">
        <v>1348</v>
      </c>
      <c r="D24" s="114" t="s">
        <v>1349</v>
      </c>
      <c r="E24" s="114">
        <v>3</v>
      </c>
      <c r="F24" s="114" t="s">
        <v>1350</v>
      </c>
      <c r="G24" s="114">
        <v>40</v>
      </c>
      <c r="H24" s="114">
        <v>60</v>
      </c>
      <c r="I24" s="114">
        <f>IF(E24=0,0,ROUND((E24*(G24+H24)+N24)/60,1))</f>
        <v>6</v>
      </c>
      <c r="J24" s="115" t="s">
        <v>1351</v>
      </c>
      <c r="K24" s="115" t="s">
        <v>1352</v>
      </c>
      <c r="L24" s="114"/>
      <c r="M24" s="114"/>
      <c r="N24" s="114">
        <v>60</v>
      </c>
    </row>
    <row r="25" spans="1:14" ht="30" customHeight="1">
      <c r="A25" s="114">
        <v>8</v>
      </c>
      <c r="B25" s="115" t="s">
        <v>1364</v>
      </c>
      <c r="C25" s="114" t="s">
        <v>1361</v>
      </c>
      <c r="D25" s="114">
        <v>30</v>
      </c>
      <c r="E25" s="114">
        <v>2</v>
      </c>
      <c r="F25" s="114" t="s">
        <v>1350</v>
      </c>
      <c r="G25" s="114">
        <v>40</v>
      </c>
      <c r="H25" s="114">
        <v>60</v>
      </c>
      <c r="I25" s="114">
        <f>IF(E25=0,0,ROUND((E25*(G25+H25)+N25)/60,1))</f>
        <v>3.3</v>
      </c>
      <c r="J25" s="115" t="s">
        <v>1365</v>
      </c>
      <c r="K25" s="115" t="s">
        <v>1366</v>
      </c>
      <c r="L25" s="114"/>
      <c r="M25" s="114"/>
      <c r="N25" s="114"/>
    </row>
    <row r="26" spans="1:14">
      <c r="A26" s="116"/>
      <c r="B26" s="116"/>
      <c r="C26" s="116"/>
      <c r="D26" s="116" t="s">
        <v>328</v>
      </c>
      <c r="E26" s="116">
        <f>SUM(E18:E25)</f>
        <v>25</v>
      </c>
      <c r="F26" s="116"/>
      <c r="G26" s="116"/>
      <c r="H26" s="116"/>
      <c r="I26" s="116">
        <f>ROUND(SUM(I18:I25),0)</f>
        <v>63</v>
      </c>
    </row>
    <row r="28" spans="1:14">
      <c r="A28" s="107" t="s">
        <v>1072</v>
      </c>
    </row>
    <row r="29" spans="1:14">
      <c r="A29" s="117" t="s">
        <v>1004</v>
      </c>
    </row>
    <row r="30" spans="1:14">
      <c r="A30" s="117" t="s">
        <v>1073</v>
      </c>
    </row>
    <row r="31" spans="1:14">
      <c r="A31" s="117" t="s">
        <v>1074</v>
      </c>
    </row>
    <row r="32" spans="1:14">
      <c r="A32" s="117" t="s">
        <v>1075</v>
      </c>
    </row>
    <row r="34" spans="1:3">
      <c r="A34" s="107" t="s">
        <v>1076</v>
      </c>
    </row>
    <row r="35" spans="1:3">
      <c r="A35" s="117" t="s">
        <v>1077</v>
      </c>
    </row>
    <row r="36" spans="1:3">
      <c r="A36" s="117" t="s">
        <v>1078</v>
      </c>
    </row>
    <row r="38" spans="1:3">
      <c r="A38" s="107" t="s">
        <v>971</v>
      </c>
    </row>
    <row r="39" spans="1:3">
      <c r="A39" s="117" t="s">
        <v>1376</v>
      </c>
    </row>
    <row r="40" spans="1:3">
      <c r="A40" s="117" t="s">
        <v>1079</v>
      </c>
    </row>
    <row r="42" spans="1:3">
      <c r="A42" s="107" t="s">
        <v>1356</v>
      </c>
    </row>
    <row r="43" spans="1:3">
      <c r="A43" s="117" t="s">
        <v>1357</v>
      </c>
    </row>
    <row r="44" spans="1:3">
      <c r="A44" s="117" t="s">
        <v>1080</v>
      </c>
    </row>
    <row r="46" spans="1:3">
      <c r="C46" s="118" t="s">
        <v>1367</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1081</v>
      </c>
    </row>
    <row r="4" spans="1:14">
      <c r="A4" s="107" t="s">
        <v>1019</v>
      </c>
    </row>
    <row r="5" spans="1:14">
      <c r="A5" s="110" t="s">
        <v>1082</v>
      </c>
    </row>
    <row r="6" spans="1:14">
      <c r="A6" s="110" t="s">
        <v>1083</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1084</v>
      </c>
      <c r="K11" s="115" t="s">
        <v>1085</v>
      </c>
      <c r="L11" s="114"/>
      <c r="M11" s="114"/>
      <c r="N11" s="114">
        <v>60</v>
      </c>
    </row>
    <row r="12" spans="1:14" ht="30" customHeight="1">
      <c r="A12" s="114">
        <v>2</v>
      </c>
      <c r="B12" s="115" t="s">
        <v>598</v>
      </c>
      <c r="C12" s="114" t="s">
        <v>276</v>
      </c>
      <c r="D12" s="114">
        <v>6</v>
      </c>
      <c r="E12" s="114">
        <v>3</v>
      </c>
      <c r="F12" s="114" t="s">
        <v>281</v>
      </c>
      <c r="G12" s="114">
        <v>40</v>
      </c>
      <c r="H12" s="114">
        <v>75</v>
      </c>
      <c r="I12" s="114">
        <f t="shared" si="0"/>
        <v>5.8</v>
      </c>
      <c r="J12" s="115" t="s">
        <v>1086</v>
      </c>
      <c r="K12" s="115" t="s">
        <v>1087</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1088</v>
      </c>
      <c r="K13" s="115" t="s">
        <v>1089</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1464</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1090</v>
      </c>
      <c r="K15" s="115" t="s">
        <v>1040</v>
      </c>
      <c r="L15" s="114"/>
      <c r="M15" s="114" t="s">
        <v>398</v>
      </c>
      <c r="N15" s="114"/>
    </row>
    <row r="16" spans="1:14" ht="30" customHeight="1">
      <c r="A16" s="114">
        <v>6</v>
      </c>
      <c r="B16" s="115" t="s">
        <v>1091</v>
      </c>
      <c r="C16" s="114" t="s">
        <v>927</v>
      </c>
      <c r="D16" s="114">
        <v>2.5</v>
      </c>
      <c r="E16" s="114">
        <v>3</v>
      </c>
      <c r="F16" s="114" t="s">
        <v>296</v>
      </c>
      <c r="G16" s="114">
        <v>40</v>
      </c>
      <c r="H16" s="114">
        <v>60</v>
      </c>
      <c r="I16" s="114">
        <f t="shared" si="0"/>
        <v>5</v>
      </c>
      <c r="J16" s="115" t="s">
        <v>1092</v>
      </c>
      <c r="K16" s="115" t="s">
        <v>1093</v>
      </c>
      <c r="L16" s="114"/>
      <c r="M16" s="114"/>
      <c r="N16" s="114"/>
    </row>
    <row r="17" spans="1:14" ht="30" customHeight="1">
      <c r="A17" s="114">
        <v>7</v>
      </c>
      <c r="B17" s="115" t="s">
        <v>1094</v>
      </c>
      <c r="C17" s="114" t="s">
        <v>927</v>
      </c>
      <c r="D17" s="114">
        <v>2.5</v>
      </c>
      <c r="E17" s="114">
        <v>3</v>
      </c>
      <c r="F17" s="114" t="s">
        <v>296</v>
      </c>
      <c r="G17" s="114">
        <v>40</v>
      </c>
      <c r="H17" s="114">
        <v>60</v>
      </c>
      <c r="I17" s="114">
        <f t="shared" si="0"/>
        <v>5</v>
      </c>
      <c r="J17" s="115" t="s">
        <v>1095</v>
      </c>
      <c r="K17" s="115" t="s">
        <v>1096</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1097</v>
      </c>
      <c r="K18" s="115" t="s">
        <v>1098</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1099</v>
      </c>
      <c r="K19" s="115" t="s">
        <v>1100</v>
      </c>
      <c r="L19" s="114"/>
      <c r="M19" s="114"/>
      <c r="N19" s="114"/>
    </row>
    <row r="20" spans="1:14">
      <c r="A20" s="116"/>
      <c r="B20" s="116"/>
      <c r="C20" s="116"/>
      <c r="D20" s="116" t="s">
        <v>328</v>
      </c>
      <c r="E20" s="116">
        <f>SUM(E11:E19)</f>
        <v>24</v>
      </c>
      <c r="F20" s="116"/>
      <c r="G20" s="116"/>
      <c r="H20" s="116"/>
      <c r="I20" s="116">
        <f>ROUND(SUM(I11:I19),0)</f>
        <v>43</v>
      </c>
    </row>
    <row r="22" spans="1:14">
      <c r="A22" s="107" t="s">
        <v>1101</v>
      </c>
    </row>
    <row r="23" spans="1:14">
      <c r="A23" s="117" t="s">
        <v>1102</v>
      </c>
    </row>
    <row r="24" spans="1:14">
      <c r="A24" s="117" t="s">
        <v>1103</v>
      </c>
    </row>
    <row r="25" spans="1:14">
      <c r="A25" s="117" t="s">
        <v>1104</v>
      </c>
    </row>
    <row r="27" spans="1:14">
      <c r="A27" s="107" t="s">
        <v>1105</v>
      </c>
    </row>
    <row r="28" spans="1:14">
      <c r="A28" s="117" t="s">
        <v>1106</v>
      </c>
    </row>
    <row r="29" spans="1:14">
      <c r="A29" s="117" t="s">
        <v>1107</v>
      </c>
    </row>
    <row r="30" spans="1:14">
      <c r="A30" s="117" t="s">
        <v>1108</v>
      </c>
    </row>
    <row r="31" spans="1:14">
      <c r="A31" s="117" t="s">
        <v>1109</v>
      </c>
    </row>
    <row r="32" spans="1:14">
      <c r="A32" s="117" t="s">
        <v>1110</v>
      </c>
    </row>
    <row r="34" spans="1:1">
      <c r="A34" s="107" t="s">
        <v>971</v>
      </c>
    </row>
    <row r="35" spans="1:1">
      <c r="A35" s="117" t="s">
        <v>1461</v>
      </c>
    </row>
    <row r="36" spans="1:1">
      <c r="A36" s="117" t="s">
        <v>1462</v>
      </c>
    </row>
    <row r="38" spans="1:1">
      <c r="A38" s="107" t="s">
        <v>1111</v>
      </c>
    </row>
    <row r="39" spans="1:1">
      <c r="A39" s="117" t="s">
        <v>1112</v>
      </c>
    </row>
    <row r="40" spans="1:1">
      <c r="A40" s="117" t="s">
        <v>1113</v>
      </c>
    </row>
    <row r="41" spans="1:1">
      <c r="A41" s="117" t="s">
        <v>1114</v>
      </c>
    </row>
    <row r="42" spans="1:1">
      <c r="A42" s="117" t="s">
        <v>1115</v>
      </c>
    </row>
    <row r="44" spans="1:1">
      <c r="A44" s="107" t="s">
        <v>1013</v>
      </c>
    </row>
    <row r="45" spans="1:1">
      <c r="A45" s="117" t="s">
        <v>1116</v>
      </c>
    </row>
    <row r="46" spans="1:1">
      <c r="A46" s="117" t="s">
        <v>1117</v>
      </c>
    </row>
    <row r="47" spans="1:1">
      <c r="A47" s="117" t="s">
        <v>1118</v>
      </c>
    </row>
    <row r="48" spans="1:1">
      <c r="A48" s="117" t="s">
        <v>1119</v>
      </c>
    </row>
    <row r="49" spans="1:3">
      <c r="A49" s="117" t="s">
        <v>1016</v>
      </c>
    </row>
    <row r="51" spans="1:3">
      <c r="C51" s="118" t="s">
        <v>1120</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1121</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1122</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1123</v>
      </c>
    </row>
    <row r="21" spans="1:14">
      <c r="A21" s="110" t="s">
        <v>1124</v>
      </c>
    </row>
    <row r="22" spans="1:14">
      <c r="A22" s="110" t="s">
        <v>983</v>
      </c>
    </row>
    <row r="23" spans="1:14">
      <c r="A23" s="110" t="s">
        <v>1125</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1126</v>
      </c>
      <c r="K28" s="113" t="s">
        <v>1127</v>
      </c>
      <c r="L28" s="112"/>
      <c r="M28" s="112"/>
      <c r="N28" s="112"/>
    </row>
    <row r="29" spans="1:14" ht="30" customHeight="1">
      <c r="A29" s="114">
        <v>2</v>
      </c>
      <c r="B29" s="115" t="s">
        <v>1128</v>
      </c>
      <c r="C29" s="114" t="s">
        <v>320</v>
      </c>
      <c r="D29" s="114">
        <f>시작중량_설정!$E$8-5</f>
        <v>75</v>
      </c>
      <c r="E29" s="114">
        <v>2</v>
      </c>
      <c r="F29" s="114">
        <v>5</v>
      </c>
      <c r="G29" s="114">
        <v>30</v>
      </c>
      <c r="H29" s="114">
        <v>180</v>
      </c>
      <c r="I29" s="114">
        <f t="shared" si="0"/>
        <v>7</v>
      </c>
      <c r="J29" s="115" t="s">
        <v>1129</v>
      </c>
      <c r="K29" s="115" t="s">
        <v>1130</v>
      </c>
      <c r="L29" s="114"/>
      <c r="M29" s="114"/>
      <c r="N29" s="114"/>
    </row>
    <row r="30" spans="1:14" ht="30" customHeight="1">
      <c r="A30" s="114">
        <v>3</v>
      </c>
      <c r="B30" s="115" t="s">
        <v>566</v>
      </c>
      <c r="C30" s="114" t="s">
        <v>391</v>
      </c>
      <c r="D30" s="114" t="s">
        <v>1131</v>
      </c>
      <c r="E30" s="114">
        <v>3</v>
      </c>
      <c r="F30" s="114" t="s">
        <v>281</v>
      </c>
      <c r="G30" s="114">
        <v>45</v>
      </c>
      <c r="H30" s="114">
        <v>150</v>
      </c>
      <c r="I30" s="114">
        <f t="shared" si="0"/>
        <v>9.8000000000000007</v>
      </c>
      <c r="J30" s="115" t="s">
        <v>1132</v>
      </c>
      <c r="K30" s="115" t="s">
        <v>1133</v>
      </c>
      <c r="L30" s="114"/>
      <c r="M30" s="114"/>
      <c r="N30" s="114"/>
    </row>
    <row r="31" spans="1:14" ht="30" customHeight="1">
      <c r="A31" s="114">
        <v>4</v>
      </c>
      <c r="B31" s="115" t="s">
        <v>1134</v>
      </c>
      <c r="C31" s="114" t="s">
        <v>382</v>
      </c>
      <c r="D31" s="114">
        <v>110</v>
      </c>
      <c r="E31" s="114">
        <v>4</v>
      </c>
      <c r="F31" s="114" t="s">
        <v>281</v>
      </c>
      <c r="G31" s="114">
        <v>45</v>
      </c>
      <c r="H31" s="114">
        <v>150</v>
      </c>
      <c r="I31" s="114">
        <f t="shared" si="0"/>
        <v>13</v>
      </c>
      <c r="J31" s="115" t="s">
        <v>1135</v>
      </c>
      <c r="K31" s="115" t="s">
        <v>1136</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1137</v>
      </c>
      <c r="K32" s="115" t="s">
        <v>1138</v>
      </c>
      <c r="L32" s="114"/>
      <c r="M32" s="114"/>
      <c r="N32" s="114"/>
    </row>
    <row r="33" spans="1:14" ht="30" customHeight="1">
      <c r="A33" s="112">
        <v>6</v>
      </c>
      <c r="B33" s="113" t="s">
        <v>1139</v>
      </c>
      <c r="C33" s="112" t="s">
        <v>436</v>
      </c>
      <c r="D33" s="112">
        <f>시작중량_설정!$E$10</f>
        <v>30</v>
      </c>
      <c r="E33" s="112">
        <v>3</v>
      </c>
      <c r="F33" s="112">
        <v>5</v>
      </c>
      <c r="G33" s="112">
        <v>30</v>
      </c>
      <c r="H33" s="112">
        <v>180</v>
      </c>
      <c r="I33" s="112">
        <f t="shared" si="0"/>
        <v>10.5</v>
      </c>
      <c r="J33" s="113" t="s">
        <v>1140</v>
      </c>
      <c r="K33" s="113" t="s">
        <v>1141</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1142</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1143</v>
      </c>
      <c r="K35" s="115" t="s">
        <v>1144</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1145</v>
      </c>
      <c r="K36" s="115" t="s">
        <v>1146</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1147</v>
      </c>
      <c r="K37" s="115" t="s">
        <v>1148</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1149</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1150</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1151</v>
      </c>
      <c r="K40" s="115" t="s">
        <v>1152</v>
      </c>
      <c r="L40" s="114"/>
      <c r="M40" s="114"/>
      <c r="N40" s="114"/>
    </row>
    <row r="41" spans="1:14">
      <c r="A41" s="116"/>
      <c r="B41" s="116"/>
      <c r="C41" s="116"/>
      <c r="D41" s="116" t="s">
        <v>328</v>
      </c>
      <c r="E41" s="116">
        <f>SUM(E28:E40)</f>
        <v>42</v>
      </c>
      <c r="F41" s="116"/>
      <c r="G41" s="116"/>
      <c r="H41" s="116"/>
      <c r="I41" s="116">
        <f>ROUND(SUM(I28:I40),0)</f>
        <v>104</v>
      </c>
    </row>
    <row r="43" spans="1:14">
      <c r="A43" s="107" t="s">
        <v>1153</v>
      </c>
    </row>
    <row r="44" spans="1:14">
      <c r="A44" s="117" t="s">
        <v>1154</v>
      </c>
    </row>
    <row r="45" spans="1:14">
      <c r="A45" s="117" t="s">
        <v>1155</v>
      </c>
    </row>
    <row r="46" spans="1:14">
      <c r="A46" s="117" t="s">
        <v>1156</v>
      </c>
    </row>
    <row r="47" spans="1:14">
      <c r="A47" s="117" t="s">
        <v>1157</v>
      </c>
    </row>
    <row r="48" spans="1:14">
      <c r="A48" s="117" t="s">
        <v>1158</v>
      </c>
    </row>
    <row r="49" spans="1:1">
      <c r="A49" s="117" t="s">
        <v>1159</v>
      </c>
    </row>
    <row r="51" spans="1:1">
      <c r="A51" s="107" t="s">
        <v>1160</v>
      </c>
    </row>
    <row r="52" spans="1:1">
      <c r="A52" s="117" t="s">
        <v>1161</v>
      </c>
    </row>
    <row r="53" spans="1:1">
      <c r="A53" s="117" t="s">
        <v>1162</v>
      </c>
    </row>
    <row r="54" spans="1:1">
      <c r="A54" s="117" t="s">
        <v>1163</v>
      </c>
    </row>
    <row r="55" spans="1:1">
      <c r="A55" s="117" t="s">
        <v>1164</v>
      </c>
    </row>
    <row r="56" spans="1:1">
      <c r="A56" s="117" t="s">
        <v>1165</v>
      </c>
    </row>
    <row r="58" spans="1:1">
      <c r="A58" s="107" t="s">
        <v>1166</v>
      </c>
    </row>
    <row r="59" spans="1:1">
      <c r="A59" s="117" t="s">
        <v>1167</v>
      </c>
    </row>
    <row r="60" spans="1:1">
      <c r="A60" s="117" t="s">
        <v>1168</v>
      </c>
    </row>
    <row r="61" spans="1:1">
      <c r="A61" s="117" t="s">
        <v>1169</v>
      </c>
    </row>
    <row r="62" spans="1:1">
      <c r="A62" s="117" t="s">
        <v>1170</v>
      </c>
    </row>
    <row r="63" spans="1:1">
      <c r="A63" s="117" t="s">
        <v>1171</v>
      </c>
    </row>
    <row r="65" spans="1:1">
      <c r="A65" s="107" t="s">
        <v>1172</v>
      </c>
    </row>
    <row r="66" spans="1:1">
      <c r="A66" s="117" t="s">
        <v>1173</v>
      </c>
    </row>
    <row r="67" spans="1:1">
      <c r="A67" s="117" t="s">
        <v>1174</v>
      </c>
    </row>
    <row r="68" spans="1:1">
      <c r="A68" s="117" t="s">
        <v>1175</v>
      </c>
    </row>
    <row r="70" spans="1:1">
      <c r="A70" s="107" t="s">
        <v>971</v>
      </c>
    </row>
    <row r="71" spans="1:1">
      <c r="A71" s="117" t="s">
        <v>1176</v>
      </c>
    </row>
    <row r="72" spans="1:1">
      <c r="A72" s="117" t="s">
        <v>1177</v>
      </c>
    </row>
    <row r="74" spans="1:1">
      <c r="A74" s="107" t="s">
        <v>1013</v>
      </c>
    </row>
    <row r="75" spans="1:1">
      <c r="A75" s="117" t="s">
        <v>1178</v>
      </c>
    </row>
    <row r="76" spans="1:1">
      <c r="A76" s="117" t="s">
        <v>1179</v>
      </c>
    </row>
    <row r="77" spans="1:1">
      <c r="A77" s="117" t="s">
        <v>1180</v>
      </c>
    </row>
    <row r="78" spans="1:1">
      <c r="A78" s="117" t="s">
        <v>1181</v>
      </c>
    </row>
    <row r="79" spans="1:1">
      <c r="A79" s="117" t="s">
        <v>1016</v>
      </c>
    </row>
    <row r="81" spans="3:3">
      <c r="C81" s="118" t="s">
        <v>1182</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1183</v>
      </c>
    </row>
    <row r="4" spans="1:14">
      <c r="A4" s="107" t="s">
        <v>1019</v>
      </c>
    </row>
    <row r="5" spans="1:14">
      <c r="A5" s="110" t="s">
        <v>1184</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1185</v>
      </c>
      <c r="K11" s="115" t="s">
        <v>1186</v>
      </c>
      <c r="L11" s="114" t="s">
        <v>1025</v>
      </c>
      <c r="M11" s="114"/>
      <c r="N11" s="114"/>
    </row>
    <row r="12" spans="1:14" ht="30" customHeight="1">
      <c r="A12" s="114">
        <v>2</v>
      </c>
      <c r="B12" s="115" t="s">
        <v>1187</v>
      </c>
      <c r="C12" s="114" t="s">
        <v>274</v>
      </c>
      <c r="D12" s="114" t="s">
        <v>28</v>
      </c>
      <c r="E12" s="114">
        <v>3</v>
      </c>
      <c r="F12" s="114" t="s">
        <v>281</v>
      </c>
      <c r="G12" s="114">
        <v>40</v>
      </c>
      <c r="H12" s="114">
        <v>120</v>
      </c>
      <c r="I12" s="114">
        <f t="shared" si="0"/>
        <v>8</v>
      </c>
      <c r="J12" s="115" t="s">
        <v>1482</v>
      </c>
      <c r="K12" s="115" t="s">
        <v>1188</v>
      </c>
      <c r="L12" s="114"/>
      <c r="M12" s="114"/>
      <c r="N12" s="114"/>
    </row>
    <row r="13" spans="1:14" ht="30" customHeight="1">
      <c r="A13" s="114">
        <v>3</v>
      </c>
      <c r="B13" s="115" t="s">
        <v>1189</v>
      </c>
      <c r="C13" s="114" t="s">
        <v>274</v>
      </c>
      <c r="D13" s="114" t="s">
        <v>28</v>
      </c>
      <c r="E13" s="114">
        <v>3</v>
      </c>
      <c r="F13" s="114" t="s">
        <v>281</v>
      </c>
      <c r="G13" s="114">
        <v>40</v>
      </c>
      <c r="H13" s="114">
        <v>120</v>
      </c>
      <c r="I13" s="114">
        <f t="shared" si="0"/>
        <v>9</v>
      </c>
      <c r="J13" s="115" t="s">
        <v>1483</v>
      </c>
      <c r="K13" s="115" t="s">
        <v>1190</v>
      </c>
      <c r="L13" s="114"/>
      <c r="M13" s="114"/>
      <c r="N13" s="114">
        <v>60</v>
      </c>
    </row>
    <row r="14" spans="1:14" ht="30" customHeight="1">
      <c r="A14" s="114">
        <v>4</v>
      </c>
      <c r="B14" s="115" t="s">
        <v>1484</v>
      </c>
      <c r="C14" s="114" t="s">
        <v>1383</v>
      </c>
      <c r="D14" s="114" t="s">
        <v>1485</v>
      </c>
      <c r="E14" s="114">
        <v>2</v>
      </c>
      <c r="F14" s="114" t="s">
        <v>1350</v>
      </c>
      <c r="G14" s="114">
        <v>40</v>
      </c>
      <c r="H14" s="114">
        <v>75</v>
      </c>
      <c r="I14" s="114">
        <f t="shared" ref="I14" si="1">IF(E14=0,0,ROUND((E14*(G14+H14)+N14)/60,1))</f>
        <v>3.8</v>
      </c>
      <c r="J14" s="115" t="s">
        <v>1486</v>
      </c>
      <c r="K14" s="115" t="s">
        <v>1487</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1191</v>
      </c>
      <c r="K15" s="115" t="s">
        <v>1192</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1193</v>
      </c>
      <c r="K16" s="115" t="s">
        <v>1194</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1195</v>
      </c>
      <c r="K17" s="115" t="s">
        <v>1196</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1197</v>
      </c>
      <c r="K18" s="115" t="s">
        <v>1198</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1199</v>
      </c>
      <c r="K19" s="115" t="s">
        <v>1200</v>
      </c>
      <c r="L19" s="114"/>
      <c r="M19" s="114"/>
      <c r="N19" s="114">
        <v>60</v>
      </c>
    </row>
    <row r="20" spans="1:14" ht="30" customHeight="1">
      <c r="A20" s="114">
        <v>10</v>
      </c>
      <c r="B20" s="115" t="s">
        <v>1201</v>
      </c>
      <c r="C20" s="114" t="s">
        <v>352</v>
      </c>
      <c r="D20" s="114">
        <v>22</v>
      </c>
      <c r="E20" s="114">
        <v>3</v>
      </c>
      <c r="F20" s="114" t="s">
        <v>310</v>
      </c>
      <c r="G20" s="114">
        <v>40</v>
      </c>
      <c r="H20" s="114">
        <v>70</v>
      </c>
      <c r="I20" s="114">
        <f t="shared" si="0"/>
        <v>5.5</v>
      </c>
      <c r="J20" s="115" t="s">
        <v>1202</v>
      </c>
      <c r="K20" s="115" t="s">
        <v>1203</v>
      </c>
      <c r="L20" s="114"/>
      <c r="M20" s="114"/>
      <c r="N20" s="114"/>
    </row>
    <row r="21" spans="1:14" ht="30" customHeight="1">
      <c r="A21" s="114">
        <v>11</v>
      </c>
      <c r="B21" s="115" t="s">
        <v>1204</v>
      </c>
      <c r="C21" s="114" t="s">
        <v>276</v>
      </c>
      <c r="D21" s="114">
        <v>15</v>
      </c>
      <c r="E21" s="114">
        <v>3</v>
      </c>
      <c r="F21" s="114" t="s">
        <v>281</v>
      </c>
      <c r="G21" s="114">
        <v>40</v>
      </c>
      <c r="H21" s="114">
        <v>75</v>
      </c>
      <c r="I21" s="114">
        <f t="shared" si="0"/>
        <v>5.8</v>
      </c>
      <c r="J21" s="75" t="s">
        <v>1396</v>
      </c>
      <c r="K21" s="115" t="s">
        <v>1205</v>
      </c>
      <c r="L21" s="114"/>
      <c r="M21" s="114"/>
      <c r="N21" s="114"/>
    </row>
    <row r="22" spans="1:14" ht="30" customHeight="1">
      <c r="A22" s="114">
        <v>12</v>
      </c>
      <c r="B22" s="115" t="s">
        <v>1037</v>
      </c>
      <c r="C22" s="114" t="s">
        <v>302</v>
      </c>
      <c r="D22" s="114">
        <v>7.5</v>
      </c>
      <c r="E22" s="114">
        <v>2</v>
      </c>
      <c r="F22" s="114">
        <v>15</v>
      </c>
      <c r="G22" s="114">
        <v>40</v>
      </c>
      <c r="H22" s="114">
        <v>10</v>
      </c>
      <c r="I22" s="114">
        <f t="shared" si="0"/>
        <v>1.7</v>
      </c>
      <c r="J22" s="115" t="s">
        <v>1465</v>
      </c>
      <c r="K22" s="115" t="s">
        <v>1038</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1039</v>
      </c>
      <c r="K23" s="115" t="s">
        <v>1040</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1206</v>
      </c>
      <c r="K24" s="115" t="s">
        <v>1207</v>
      </c>
      <c r="L24" s="114"/>
      <c r="M24" s="114"/>
      <c r="N24" s="114"/>
    </row>
    <row r="25" spans="1:14">
      <c r="A25" s="116"/>
      <c r="B25" s="116"/>
      <c r="C25" s="116"/>
      <c r="D25" s="116" t="s">
        <v>328</v>
      </c>
      <c r="E25" s="116">
        <f>SUM(E11:E24)</f>
        <v>43</v>
      </c>
      <c r="F25" s="116"/>
      <c r="G25" s="116"/>
      <c r="H25" s="116"/>
      <c r="I25" s="116">
        <f>ROUND(SUM(I11:I24),0)</f>
        <v>96</v>
      </c>
    </row>
    <row r="27" spans="1:14">
      <c r="A27" s="107" t="s">
        <v>1208</v>
      </c>
    </row>
    <row r="28" spans="1:14">
      <c r="A28" s="117" t="s">
        <v>1209</v>
      </c>
    </row>
    <row r="29" spans="1:14">
      <c r="A29" s="117" t="s">
        <v>1210</v>
      </c>
    </row>
    <row r="30" spans="1:14">
      <c r="A30" s="117" t="s">
        <v>1211</v>
      </c>
    </row>
    <row r="31" spans="1:14">
      <c r="A31" s="117" t="s">
        <v>1212</v>
      </c>
    </row>
    <row r="32" spans="1:14">
      <c r="A32" s="117" t="s">
        <v>1213</v>
      </c>
    </row>
    <row r="34" spans="1:1">
      <c r="A34" s="107" t="s">
        <v>1214</v>
      </c>
    </row>
    <row r="35" spans="1:1">
      <c r="A35" s="117" t="s">
        <v>1215</v>
      </c>
    </row>
    <row r="36" spans="1:1">
      <c r="A36" s="117" t="s">
        <v>1216</v>
      </c>
    </row>
    <row r="37" spans="1:1">
      <c r="A37" s="117" t="s">
        <v>1217</v>
      </c>
    </row>
    <row r="39" spans="1:1">
      <c r="A39" s="107" t="s">
        <v>971</v>
      </c>
    </row>
    <row r="40" spans="1:1">
      <c r="A40" s="117" t="s">
        <v>1494</v>
      </c>
    </row>
    <row r="41" spans="1:1">
      <c r="A41" s="117" t="s">
        <v>1495</v>
      </c>
    </row>
    <row r="42" spans="1:1">
      <c r="A42" s="117" t="s">
        <v>1496</v>
      </c>
    </row>
    <row r="44" spans="1:1">
      <c r="A44" s="107" t="s">
        <v>1013</v>
      </c>
    </row>
    <row r="45" spans="1:1">
      <c r="A45" s="117" t="s">
        <v>1218</v>
      </c>
    </row>
    <row r="46" spans="1:1">
      <c r="A46" s="117" t="s">
        <v>1219</v>
      </c>
    </row>
    <row r="47" spans="1:1">
      <c r="A47" s="117" t="s">
        <v>1220</v>
      </c>
    </row>
    <row r="48" spans="1:1">
      <c r="A48" s="117" t="s">
        <v>1488</v>
      </c>
    </row>
    <row r="49" spans="1:3">
      <c r="A49" s="117" t="s">
        <v>1221</v>
      </c>
    </row>
    <row r="50" spans="1:3">
      <c r="A50" s="117" t="s">
        <v>1222</v>
      </c>
    </row>
    <row r="51" spans="1:3">
      <c r="A51" s="117" t="s">
        <v>1016</v>
      </c>
    </row>
    <row r="53" spans="1:3">
      <c r="C53" s="118" t="s">
        <v>1489</v>
      </c>
    </row>
  </sheetData>
  <phoneticPr fontId="29" type="noConversion"/>
  <hyperlinks>
    <hyperlink ref="J21"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1397</v>
      </c>
    </row>
    <row r="2" spans="1:6">
      <c r="A2" s="127" t="s">
        <v>1398</v>
      </c>
    </row>
    <row r="4" spans="1:6" ht="15">
      <c r="A4" s="99" t="s">
        <v>1399</v>
      </c>
    </row>
    <row r="5" spans="1:6">
      <c r="A5" s="129" t="s">
        <v>2</v>
      </c>
      <c r="B5" s="129" t="s">
        <v>152</v>
      </c>
      <c r="C5" s="130"/>
      <c r="D5" s="130"/>
      <c r="E5" s="130"/>
      <c r="F5" s="129" t="s">
        <v>5</v>
      </c>
    </row>
    <row r="6" spans="1:6">
      <c r="A6" s="127" t="s">
        <v>901</v>
      </c>
      <c r="B6" s="142" t="s">
        <v>1400</v>
      </c>
      <c r="C6" s="142"/>
      <c r="D6" s="142"/>
      <c r="E6" s="142"/>
      <c r="F6" s="127" t="s">
        <v>1401</v>
      </c>
    </row>
    <row r="7" spans="1:6">
      <c r="A7" s="127" t="s">
        <v>82</v>
      </c>
      <c r="B7" s="142" t="s">
        <v>1402</v>
      </c>
      <c r="C7" s="142"/>
      <c r="D7" s="142"/>
      <c r="E7" s="142"/>
      <c r="F7" s="127" t="s">
        <v>1403</v>
      </c>
    </row>
    <row r="8" spans="1:6">
      <c r="A8" s="127" t="s">
        <v>1404</v>
      </c>
      <c r="B8" s="142" t="s">
        <v>1405</v>
      </c>
      <c r="C8" s="142"/>
      <c r="D8" s="142"/>
      <c r="E8" s="142"/>
      <c r="F8" s="127" t="s">
        <v>1406</v>
      </c>
    </row>
    <row r="9" spans="1:6">
      <c r="A9" s="127" t="s">
        <v>1407</v>
      </c>
      <c r="B9" s="142" t="s">
        <v>1408</v>
      </c>
      <c r="C9" s="142"/>
      <c r="D9" s="142"/>
      <c r="E9" s="142"/>
      <c r="F9" s="127" t="s">
        <v>1409</v>
      </c>
    </row>
    <row r="10" spans="1:6">
      <c r="A10" s="127" t="s">
        <v>1410</v>
      </c>
      <c r="B10" s="142" t="s">
        <v>1411</v>
      </c>
      <c r="C10" s="142"/>
      <c r="D10" s="142"/>
      <c r="E10" s="142"/>
      <c r="F10" s="127" t="s">
        <v>1472</v>
      </c>
    </row>
    <row r="11" spans="1:6">
      <c r="A11" s="127" t="s">
        <v>1412</v>
      </c>
      <c r="B11" s="142" t="s">
        <v>1413</v>
      </c>
      <c r="C11" s="142"/>
      <c r="D11" s="142"/>
      <c r="E11" s="142"/>
      <c r="F11" s="127" t="s">
        <v>1414</v>
      </c>
    </row>
    <row r="12" spans="1:6">
      <c r="A12" s="127" t="s">
        <v>9</v>
      </c>
      <c r="B12" s="142" t="s">
        <v>1415</v>
      </c>
      <c r="C12" s="142"/>
      <c r="D12" s="142"/>
      <c r="E12" s="142"/>
      <c r="F12" s="127" t="s">
        <v>1456</v>
      </c>
    </row>
    <row r="13" spans="1:6">
      <c r="A13" s="127" t="s">
        <v>1416</v>
      </c>
      <c r="B13" s="142" t="s">
        <v>1417</v>
      </c>
      <c r="C13" s="142"/>
      <c r="D13" s="142"/>
      <c r="E13" s="142"/>
      <c r="F13" s="127" t="s">
        <v>1471</v>
      </c>
    </row>
    <row r="14" spans="1:6">
      <c r="A14" s="127" t="s">
        <v>1418</v>
      </c>
      <c r="B14" s="142" t="s">
        <v>1419</v>
      </c>
      <c r="C14" s="142"/>
      <c r="D14" s="142"/>
      <c r="E14" s="142"/>
      <c r="F14" s="127" t="s">
        <v>1420</v>
      </c>
    </row>
    <row r="16" spans="1:6" ht="15">
      <c r="A16" s="131" t="s">
        <v>1421</v>
      </c>
    </row>
    <row r="17" spans="1:6">
      <c r="A17" s="129" t="s">
        <v>121</v>
      </c>
      <c r="B17" s="129" t="s">
        <v>1422</v>
      </c>
      <c r="C17" s="129" t="s">
        <v>1423</v>
      </c>
      <c r="D17" s="129" t="s">
        <v>1424</v>
      </c>
      <c r="E17" s="129" t="s">
        <v>1425</v>
      </c>
      <c r="F17" s="129" t="s">
        <v>1426</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26</v>
      </c>
      <c r="D20" s="132">
        <f t="shared" si="0"/>
        <v>52</v>
      </c>
      <c r="E20" s="132"/>
    </row>
    <row r="21" spans="1:6">
      <c r="A21" s="132">
        <v>4</v>
      </c>
      <c r="B21" s="133">
        <v>46319</v>
      </c>
      <c r="C21" s="132">
        <v>28</v>
      </c>
      <c r="D21" s="132">
        <f t="shared" si="0"/>
        <v>56</v>
      </c>
      <c r="E21" s="132"/>
    </row>
    <row r="22" spans="1:6">
      <c r="A22" s="132">
        <v>5</v>
      </c>
      <c r="B22" s="133">
        <v>46326</v>
      </c>
      <c r="C22" s="132">
        <v>30</v>
      </c>
      <c r="D22" s="132">
        <f t="shared" si="0"/>
        <v>60</v>
      </c>
      <c r="E22" s="132"/>
    </row>
    <row r="23" spans="1:6">
      <c r="A23" s="132">
        <v>6</v>
      </c>
      <c r="B23" s="133">
        <v>46333</v>
      </c>
      <c r="C23" s="132">
        <v>32</v>
      </c>
      <c r="D23" s="132">
        <f t="shared" si="0"/>
        <v>64</v>
      </c>
      <c r="E23" s="132"/>
    </row>
    <row r="24" spans="1:6">
      <c r="A24" s="132">
        <v>7</v>
      </c>
      <c r="B24" s="133">
        <v>46340</v>
      </c>
      <c r="C24" s="132">
        <v>34</v>
      </c>
      <c r="D24" s="132">
        <f t="shared" si="0"/>
        <v>68</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1476</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workbookViewId="0">
      <selection activeCell="P33" sqref="P33"/>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1455</v>
      </c>
    </row>
    <row r="2" spans="1:9">
      <c r="A2" s="127" t="s">
        <v>1427</v>
      </c>
    </row>
    <row r="4" spans="1:9" ht="15">
      <c r="A4" s="99" t="s">
        <v>901</v>
      </c>
    </row>
    <row r="5" spans="1:9">
      <c r="A5" s="129" t="s">
        <v>901</v>
      </c>
      <c r="B5" s="129" t="s">
        <v>1428</v>
      </c>
      <c r="C5" s="130"/>
      <c r="D5" s="130"/>
      <c r="E5" s="130"/>
      <c r="F5" s="130"/>
      <c r="G5" s="130"/>
      <c r="H5" s="130"/>
      <c r="I5" s="129" t="s">
        <v>5</v>
      </c>
    </row>
    <row r="6" spans="1:9">
      <c r="A6" s="127" t="s">
        <v>906</v>
      </c>
      <c r="B6" s="142" t="s">
        <v>1429</v>
      </c>
      <c r="C6" s="142"/>
      <c r="D6" s="142"/>
      <c r="E6" s="142"/>
      <c r="F6" s="142"/>
      <c r="G6" s="142"/>
      <c r="H6" s="142"/>
      <c r="I6" s="127" t="s">
        <v>1430</v>
      </c>
    </row>
    <row r="7" spans="1:9">
      <c r="A7" s="127" t="s">
        <v>911</v>
      </c>
      <c r="B7" s="142" t="s">
        <v>1431</v>
      </c>
      <c r="C7" s="142"/>
      <c r="D7" s="142"/>
      <c r="E7" s="142"/>
      <c r="F7" s="142"/>
      <c r="G7" s="142"/>
      <c r="H7" s="142"/>
      <c r="I7" s="127" t="s">
        <v>1432</v>
      </c>
    </row>
    <row r="8" spans="1:9">
      <c r="A8" s="127" t="s">
        <v>915</v>
      </c>
      <c r="B8" s="142" t="s">
        <v>1431</v>
      </c>
      <c r="C8" s="142"/>
      <c r="D8" s="142"/>
      <c r="E8" s="142"/>
      <c r="F8" s="142"/>
      <c r="G8" s="142"/>
      <c r="H8" s="142"/>
      <c r="I8" s="127" t="s">
        <v>1432</v>
      </c>
    </row>
    <row r="9" spans="1:9">
      <c r="A9" s="127" t="s">
        <v>919</v>
      </c>
      <c r="B9" s="142" t="s">
        <v>29</v>
      </c>
      <c r="C9" s="142"/>
      <c r="D9" s="142"/>
      <c r="E9" s="142"/>
      <c r="F9" s="142"/>
      <c r="G9" s="142"/>
      <c r="H9" s="142"/>
      <c r="I9" s="127" t="s">
        <v>1433</v>
      </c>
    </row>
    <row r="10" spans="1:9">
      <c r="A10" s="127" t="s">
        <v>922</v>
      </c>
      <c r="B10" s="142" t="s">
        <v>1429</v>
      </c>
      <c r="C10" s="142"/>
      <c r="D10" s="142"/>
      <c r="E10" s="142"/>
      <c r="F10" s="142"/>
      <c r="G10" s="142"/>
      <c r="H10" s="142"/>
      <c r="I10" s="127" t="s">
        <v>1434</v>
      </c>
    </row>
    <row r="11" spans="1:9">
      <c r="A11" s="127" t="s">
        <v>927</v>
      </c>
      <c r="B11" s="142" t="s">
        <v>1431</v>
      </c>
      <c r="C11" s="142"/>
      <c r="D11" s="142"/>
      <c r="E11" s="142"/>
      <c r="F11" s="142"/>
      <c r="G11" s="142"/>
      <c r="H11" s="142"/>
      <c r="I11" s="127" t="s">
        <v>1432</v>
      </c>
    </row>
    <row r="12" spans="1:9">
      <c r="A12" s="127" t="s">
        <v>931</v>
      </c>
      <c r="B12" s="142" t="s">
        <v>1435</v>
      </c>
      <c r="C12" s="142"/>
      <c r="D12" s="142"/>
      <c r="E12" s="142"/>
      <c r="F12" s="142"/>
      <c r="G12" s="142"/>
      <c r="H12" s="142"/>
      <c r="I12" s="127" t="s">
        <v>1436</v>
      </c>
    </row>
    <row r="14" spans="1:9" ht="15">
      <c r="A14" s="131" t="s">
        <v>1437</v>
      </c>
    </row>
    <row r="15" spans="1:9">
      <c r="A15" s="129" t="s">
        <v>121</v>
      </c>
      <c r="B15" s="129" t="s">
        <v>1438</v>
      </c>
      <c r="C15" s="129" t="s">
        <v>1439</v>
      </c>
      <c r="D15" s="129" t="s">
        <v>1440</v>
      </c>
      <c r="E15" s="129" t="s">
        <v>1441</v>
      </c>
      <c r="F15" s="129" t="s">
        <v>1442</v>
      </c>
      <c r="G15" s="129" t="s">
        <v>1443</v>
      </c>
      <c r="H15" s="129" t="s">
        <v>1444</v>
      </c>
      <c r="I15" s="129" t="s">
        <v>1445</v>
      </c>
    </row>
    <row r="16" spans="1:9">
      <c r="A16" s="132">
        <v>1</v>
      </c>
      <c r="B16" s="134" t="s">
        <v>321</v>
      </c>
      <c r="C16" s="132">
        <v>3</v>
      </c>
      <c r="D16" s="132">
        <v>4</v>
      </c>
      <c r="E16" s="132">
        <v>3</v>
      </c>
      <c r="F16" s="132">
        <v>2</v>
      </c>
      <c r="G16" s="132">
        <f>C16*D16</f>
        <v>12</v>
      </c>
      <c r="H16" s="132">
        <f>E16*F16</f>
        <v>6</v>
      </c>
      <c r="I16" s="132">
        <f>G16*2+H16*3</f>
        <v>42</v>
      </c>
    </row>
    <row r="17" spans="1:9">
      <c r="A17" s="132">
        <v>2</v>
      </c>
      <c r="B17" s="134" t="s">
        <v>1446</v>
      </c>
      <c r="C17" s="132">
        <v>4</v>
      </c>
      <c r="D17" s="132">
        <v>4</v>
      </c>
      <c r="E17" s="132">
        <v>3</v>
      </c>
      <c r="F17" s="132">
        <v>3</v>
      </c>
      <c r="G17" s="132">
        <f>C17*D17</f>
        <v>16</v>
      </c>
      <c r="H17" s="132">
        <f>E17*F17</f>
        <v>9</v>
      </c>
      <c r="I17" s="132">
        <f>G17*2+H17*3</f>
        <v>59</v>
      </c>
    </row>
    <row r="18" spans="1:9">
      <c r="A18" s="132">
        <v>3</v>
      </c>
      <c r="B18" s="134" t="s">
        <v>1447</v>
      </c>
      <c r="C18" s="132">
        <v>5</v>
      </c>
      <c r="D18" s="132">
        <v>5</v>
      </c>
      <c r="E18" s="132">
        <v>4</v>
      </c>
      <c r="F18" s="132">
        <v>3</v>
      </c>
      <c r="G18" s="132">
        <f>C18*D18</f>
        <v>25</v>
      </c>
      <c r="H18" s="132">
        <f>E18*F18</f>
        <v>12</v>
      </c>
      <c r="I18" s="132">
        <f>G18*2+H18*3</f>
        <v>86</v>
      </c>
    </row>
    <row r="19" spans="1:9">
      <c r="A19" s="132">
        <v>4</v>
      </c>
      <c r="B19" s="134" t="s">
        <v>1448</v>
      </c>
      <c r="C19" s="132">
        <v>5</v>
      </c>
      <c r="D19" s="132">
        <v>6</v>
      </c>
      <c r="E19" s="132">
        <v>5</v>
      </c>
      <c r="F19" s="132">
        <v>3</v>
      </c>
      <c r="G19" s="132">
        <f>C19*D19</f>
        <v>30</v>
      </c>
      <c r="H19" s="132">
        <f>E19*F19</f>
        <v>15</v>
      </c>
      <c r="I19" s="132">
        <f>G19*2+H19*3</f>
        <v>105</v>
      </c>
    </row>
    <row r="21" spans="1:9" ht="15">
      <c r="A21" s="99" t="s">
        <v>1399</v>
      </c>
    </row>
    <row r="22" spans="1:9">
      <c r="A22" s="127" t="s">
        <v>1449</v>
      </c>
    </row>
    <row r="23" spans="1:9">
      <c r="A23" s="127" t="s">
        <v>1450</v>
      </c>
    </row>
    <row r="24" spans="1:9">
      <c r="A24" s="127" t="s">
        <v>1451</v>
      </c>
    </row>
    <row r="25" spans="1:9">
      <c r="A25" s="127" t="s">
        <v>1452</v>
      </c>
    </row>
    <row r="26" spans="1:9">
      <c r="A26" s="127" t="s">
        <v>1453</v>
      </c>
    </row>
    <row r="27" spans="1:9">
      <c r="A27" s="127" t="s">
        <v>1454</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1470</v>
      </c>
      <c r="D7" s="115" t="s">
        <v>1372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1460</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1480</v>
      </c>
    </row>
    <row r="47" spans="1:1">
      <c r="A47" s="123" t="s">
        <v>1475</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4"/>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1223</v>
      </c>
    </row>
    <row r="2" spans="1:8">
      <c r="A2" s="119" t="s">
        <v>1224</v>
      </c>
    </row>
    <row r="3" spans="1:8">
      <c r="A3" s="119" t="s">
        <v>642</v>
      </c>
      <c r="F3" s="107">
        <f ca="1">COUNTIF($E$7:$E$94,"?")</f>
        <v>0</v>
      </c>
    </row>
    <row r="4" spans="1:8">
      <c r="A4" s="119" t="s">
        <v>1225</v>
      </c>
    </row>
    <row r="6" spans="1:8">
      <c r="A6" s="111" t="s">
        <v>1226</v>
      </c>
      <c r="B6" s="111" t="s">
        <v>645</v>
      </c>
      <c r="C6" s="111" t="s">
        <v>646</v>
      </c>
      <c r="D6" s="111" t="s">
        <v>647</v>
      </c>
      <c r="E6" s="111" t="s">
        <v>648</v>
      </c>
      <c r="F6" s="111" t="s">
        <v>649</v>
      </c>
      <c r="G6" s="111" t="s">
        <v>650</v>
      </c>
      <c r="H6" s="111" t="s">
        <v>651</v>
      </c>
    </row>
    <row r="7" spans="1:8" ht="38.25">
      <c r="A7" s="114" t="s">
        <v>1227</v>
      </c>
      <c r="B7" s="115" t="s">
        <v>92</v>
      </c>
      <c r="C7" s="114" t="s">
        <v>352</v>
      </c>
      <c r="D7" s="114">
        <v>0.33</v>
      </c>
      <c r="E7" s="114">
        <f t="shared" ref="E7:E40" ca="1" si="0">IFERROR(INDEX(INDIRECT("'"&amp;$A7&amp;"'!$E$1:$E$60"),MATCH($B7,INDIRECT("'"&amp;$A7&amp;"'!$B$1:$B$60"),0)),"?")</f>
        <v>4</v>
      </c>
      <c r="F7" s="114">
        <f t="shared" ref="F7:F39" ca="1" si="1">IF(ISNUMBER(E7),$D7*E7,0)</f>
        <v>1.32</v>
      </c>
      <c r="G7" s="114" t="s">
        <v>666</v>
      </c>
      <c r="H7" s="115" t="s">
        <v>1228</v>
      </c>
    </row>
    <row r="8" spans="1:8">
      <c r="A8" s="114" t="s">
        <v>1227</v>
      </c>
      <c r="B8" s="115" t="s">
        <v>524</v>
      </c>
      <c r="C8" s="114" t="s">
        <v>352</v>
      </c>
      <c r="D8" s="114">
        <v>0.5</v>
      </c>
      <c r="E8" s="114">
        <f t="shared" ca="1" si="0"/>
        <v>3</v>
      </c>
      <c r="F8" s="114">
        <f t="shared" ca="1" si="1"/>
        <v>1.5</v>
      </c>
      <c r="G8" s="114" t="s">
        <v>666</v>
      </c>
      <c r="H8" s="115" t="s">
        <v>1229</v>
      </c>
    </row>
    <row r="9" spans="1:8">
      <c r="A9" s="114" t="s">
        <v>1227</v>
      </c>
      <c r="B9" s="115" t="s">
        <v>350</v>
      </c>
      <c r="C9" s="114" t="s">
        <v>352</v>
      </c>
      <c r="D9" s="114">
        <v>0.5</v>
      </c>
      <c r="E9" s="114">
        <f t="shared" ca="1" si="0"/>
        <v>3</v>
      </c>
      <c r="F9" s="114">
        <f t="shared" ca="1" si="1"/>
        <v>1.5</v>
      </c>
      <c r="G9" s="114" t="s">
        <v>666</v>
      </c>
      <c r="H9" s="115" t="s">
        <v>1230</v>
      </c>
    </row>
    <row r="10" spans="1:8">
      <c r="A10" s="114" t="s">
        <v>1231</v>
      </c>
      <c r="B10" s="115" t="s">
        <v>515</v>
      </c>
      <c r="C10" s="114" t="s">
        <v>352</v>
      </c>
      <c r="D10" s="114">
        <v>0.5</v>
      </c>
      <c r="E10" s="114">
        <f t="shared" ca="1" si="0"/>
        <v>3</v>
      </c>
      <c r="F10" s="114">
        <f t="shared" ca="1" si="1"/>
        <v>1.5</v>
      </c>
      <c r="G10" s="114" t="s">
        <v>666</v>
      </c>
      <c r="H10" s="115" t="s">
        <v>1229</v>
      </c>
    </row>
    <row r="11" spans="1:8" ht="38.25">
      <c r="A11" s="114" t="s">
        <v>1232</v>
      </c>
      <c r="B11" s="115" t="s">
        <v>1139</v>
      </c>
      <c r="C11" s="114" t="s">
        <v>352</v>
      </c>
      <c r="D11" s="114">
        <v>0.33</v>
      </c>
      <c r="E11" s="114">
        <f t="shared" ca="1" si="0"/>
        <v>3</v>
      </c>
      <c r="F11" s="114">
        <f t="shared" ca="1" si="1"/>
        <v>0.99</v>
      </c>
      <c r="G11" s="114" t="s">
        <v>666</v>
      </c>
      <c r="H11" s="115" t="s">
        <v>1233</v>
      </c>
    </row>
    <row r="12" spans="1:8" ht="25.5">
      <c r="A12" s="114" t="s">
        <v>1234</v>
      </c>
      <c r="B12" s="115" t="s">
        <v>273</v>
      </c>
      <c r="C12" s="114" t="s">
        <v>276</v>
      </c>
      <c r="D12" s="114">
        <v>0.5</v>
      </c>
      <c r="E12" s="114">
        <f t="shared" ca="1" si="0"/>
        <v>4</v>
      </c>
      <c r="F12" s="114">
        <f t="shared" ca="1" si="1"/>
        <v>2</v>
      </c>
      <c r="G12" s="114" t="s">
        <v>666</v>
      </c>
      <c r="H12" s="115" t="s">
        <v>1235</v>
      </c>
    </row>
    <row r="13" spans="1:8" ht="25.5">
      <c r="A13" s="114" t="s">
        <v>1234</v>
      </c>
      <c r="B13" s="115" t="s">
        <v>1189</v>
      </c>
      <c r="C13" s="114" t="s">
        <v>276</v>
      </c>
      <c r="D13" s="114">
        <v>0.5</v>
      </c>
      <c r="E13" s="114">
        <f t="shared" ca="1" si="0"/>
        <v>3</v>
      </c>
      <c r="F13" s="114">
        <f t="shared" ca="1" si="1"/>
        <v>1.5</v>
      </c>
      <c r="G13" s="114" t="s">
        <v>666</v>
      </c>
      <c r="H13" s="115" t="s">
        <v>1236</v>
      </c>
    </row>
    <row r="14" spans="1:8" ht="25.5">
      <c r="A14" s="114" t="s">
        <v>1234</v>
      </c>
      <c r="B14" s="115" t="s">
        <v>1187</v>
      </c>
      <c r="C14" s="114" t="s">
        <v>276</v>
      </c>
      <c r="D14" s="114">
        <v>0.2</v>
      </c>
      <c r="E14" s="114">
        <f t="shared" ca="1" si="0"/>
        <v>3</v>
      </c>
      <c r="F14" s="114">
        <f t="shared" ca="1" si="1"/>
        <v>0.60000000000000009</v>
      </c>
      <c r="G14" s="114" t="s">
        <v>666</v>
      </c>
      <c r="H14" s="115" t="s">
        <v>1237</v>
      </c>
    </row>
    <row r="15" spans="1:8" ht="25.5">
      <c r="A15" s="114" t="s">
        <v>1238</v>
      </c>
      <c r="B15" s="115" t="s">
        <v>479</v>
      </c>
      <c r="C15" s="114" t="s">
        <v>276</v>
      </c>
      <c r="D15" s="114">
        <v>0.33</v>
      </c>
      <c r="E15" s="114">
        <f t="shared" ca="1" si="0"/>
        <v>3</v>
      </c>
      <c r="F15" s="114">
        <f t="shared" ca="1" si="1"/>
        <v>0.99</v>
      </c>
      <c r="G15" s="114" t="s">
        <v>666</v>
      </c>
      <c r="H15" s="115" t="s">
        <v>1239</v>
      </c>
    </row>
    <row r="16" spans="1:8" ht="51">
      <c r="A16" s="114" t="s">
        <v>1238</v>
      </c>
      <c r="B16" s="115" t="s">
        <v>1382</v>
      </c>
      <c r="C16" s="114" t="s">
        <v>276</v>
      </c>
      <c r="D16" s="114">
        <v>0.33</v>
      </c>
      <c r="E16" s="114">
        <f t="shared" ca="1" si="0"/>
        <v>1</v>
      </c>
      <c r="F16" s="114">
        <f t="shared" ref="F16" ca="1" si="2">IF(ISNUMBER(E16),$D16*E16,0)</f>
        <v>0.33</v>
      </c>
      <c r="G16" s="114" t="s">
        <v>666</v>
      </c>
      <c r="H16" s="115" t="s">
        <v>1391</v>
      </c>
    </row>
    <row r="17" spans="1:8" ht="25.5">
      <c r="A17" s="114" t="s">
        <v>1238</v>
      </c>
      <c r="B17" s="115" t="s">
        <v>1022</v>
      </c>
      <c r="C17" s="114" t="s">
        <v>276</v>
      </c>
      <c r="D17" s="114">
        <v>0.2</v>
      </c>
      <c r="E17" s="114">
        <f t="shared" ca="1" si="0"/>
        <v>4</v>
      </c>
      <c r="F17" s="114">
        <f t="shared" ca="1" si="1"/>
        <v>0.8</v>
      </c>
      <c r="G17" s="114" t="s">
        <v>666</v>
      </c>
      <c r="H17" s="115" t="s">
        <v>1240</v>
      </c>
    </row>
    <row r="18" spans="1:8" ht="38.25">
      <c r="A18" s="114" t="s">
        <v>1238</v>
      </c>
      <c r="B18" s="115" t="s">
        <v>472</v>
      </c>
      <c r="C18" s="114" t="s">
        <v>276</v>
      </c>
      <c r="D18" s="114">
        <v>0.2</v>
      </c>
      <c r="E18" s="114">
        <f t="shared" ca="1" si="0"/>
        <v>3</v>
      </c>
      <c r="F18" s="114">
        <f t="shared" ca="1" si="1"/>
        <v>0.60000000000000009</v>
      </c>
      <c r="G18" s="114" t="s">
        <v>666</v>
      </c>
      <c r="H18" s="115" t="s">
        <v>1241</v>
      </c>
    </row>
    <row r="19" spans="1:8" ht="25.5">
      <c r="A19" s="114" t="s">
        <v>1242</v>
      </c>
      <c r="B19" s="115" t="s">
        <v>446</v>
      </c>
      <c r="C19" s="114" t="s">
        <v>276</v>
      </c>
      <c r="D19" s="114">
        <v>0.2</v>
      </c>
      <c r="E19" s="114">
        <f t="shared" ca="1" si="0"/>
        <v>3</v>
      </c>
      <c r="F19" s="114">
        <f t="shared" ca="1" si="1"/>
        <v>0.60000000000000009</v>
      </c>
      <c r="G19" s="114" t="s">
        <v>666</v>
      </c>
      <c r="H19" s="115" t="s">
        <v>1243</v>
      </c>
    </row>
    <row r="20" spans="1:8" ht="25.5">
      <c r="A20" s="114" t="s">
        <v>1227</v>
      </c>
      <c r="B20" s="115" t="s">
        <v>92</v>
      </c>
      <c r="C20" s="114" t="s">
        <v>436</v>
      </c>
      <c r="D20" s="114">
        <v>0.33</v>
      </c>
      <c r="E20" s="114">
        <f t="shared" ca="1" si="0"/>
        <v>4</v>
      </c>
      <c r="F20" s="114">
        <f t="shared" ca="1" si="1"/>
        <v>1.32</v>
      </c>
      <c r="G20" s="114" t="s">
        <v>666</v>
      </c>
      <c r="H20" s="115" t="s">
        <v>1244</v>
      </c>
    </row>
    <row r="21" spans="1:8">
      <c r="A21" s="114" t="s">
        <v>1227</v>
      </c>
      <c r="B21" s="115" t="s">
        <v>524</v>
      </c>
      <c r="C21" s="114" t="s">
        <v>436</v>
      </c>
      <c r="D21" s="114">
        <v>0.5</v>
      </c>
      <c r="E21" s="114">
        <f t="shared" ca="1" si="0"/>
        <v>3</v>
      </c>
      <c r="F21" s="114">
        <f t="shared" ca="1" si="1"/>
        <v>1.5</v>
      </c>
      <c r="G21" s="114" t="s">
        <v>666</v>
      </c>
      <c r="H21" s="115" t="s">
        <v>1245</v>
      </c>
    </row>
    <row r="22" spans="1:8">
      <c r="A22" s="114" t="s">
        <v>1227</v>
      </c>
      <c r="B22" s="115" t="s">
        <v>350</v>
      </c>
      <c r="C22" s="114" t="s">
        <v>436</v>
      </c>
      <c r="D22" s="114">
        <v>0.2</v>
      </c>
      <c r="E22" s="114">
        <f t="shared" ca="1" si="0"/>
        <v>3</v>
      </c>
      <c r="F22" s="114">
        <f t="shared" ca="1" si="1"/>
        <v>0.60000000000000009</v>
      </c>
      <c r="G22" s="114" t="s">
        <v>666</v>
      </c>
      <c r="H22" s="115" t="s">
        <v>1246</v>
      </c>
    </row>
    <row r="23" spans="1:8">
      <c r="A23" s="114" t="s">
        <v>1227</v>
      </c>
      <c r="B23" s="115" t="s">
        <v>593</v>
      </c>
      <c r="C23" s="114" t="s">
        <v>436</v>
      </c>
      <c r="D23" s="114">
        <v>0.2</v>
      </c>
      <c r="E23" s="114">
        <f t="shared" ca="1" si="0"/>
        <v>3</v>
      </c>
      <c r="F23" s="114">
        <f t="shared" ca="1" si="1"/>
        <v>0.60000000000000009</v>
      </c>
      <c r="G23" s="114" t="s">
        <v>666</v>
      </c>
      <c r="H23" s="115" t="s">
        <v>1247</v>
      </c>
    </row>
    <row r="24" spans="1:8">
      <c r="A24" s="114" t="s">
        <v>1234</v>
      </c>
      <c r="B24" s="115" t="s">
        <v>434</v>
      </c>
      <c r="C24" s="114" t="s">
        <v>436</v>
      </c>
      <c r="D24" s="114">
        <v>0.2</v>
      </c>
      <c r="E24" s="114">
        <f t="shared" ca="1" si="0"/>
        <v>4</v>
      </c>
      <c r="F24" s="114">
        <f t="shared" ca="1" si="1"/>
        <v>0.8</v>
      </c>
      <c r="G24" s="114" t="s">
        <v>666</v>
      </c>
      <c r="H24" s="115" t="s">
        <v>1248</v>
      </c>
    </row>
    <row r="25" spans="1:8" ht="25.5">
      <c r="A25" s="114" t="s">
        <v>1234</v>
      </c>
      <c r="B25" s="115" t="s">
        <v>429</v>
      </c>
      <c r="C25" s="114" t="s">
        <v>436</v>
      </c>
      <c r="D25" s="114">
        <v>0.5</v>
      </c>
      <c r="E25" s="114">
        <f t="shared" ca="1" si="0"/>
        <v>3</v>
      </c>
      <c r="F25" s="114">
        <f t="shared" ca="1" si="1"/>
        <v>1.5</v>
      </c>
      <c r="G25" s="114" t="s">
        <v>666</v>
      </c>
      <c r="H25" s="115" t="s">
        <v>1249</v>
      </c>
    </row>
    <row r="26" spans="1:8" ht="25.5">
      <c r="A26" s="114" t="s">
        <v>1234</v>
      </c>
      <c r="B26" s="115" t="s">
        <v>429</v>
      </c>
      <c r="C26" s="114" t="s">
        <v>352</v>
      </c>
      <c r="D26" s="114">
        <v>0.5</v>
      </c>
      <c r="E26" s="114">
        <f t="shared" ca="1" si="0"/>
        <v>3</v>
      </c>
      <c r="F26" s="114">
        <f t="shared" ca="1" si="1"/>
        <v>1.5</v>
      </c>
      <c r="G26" s="114" t="s">
        <v>666</v>
      </c>
      <c r="H26" s="115" t="s">
        <v>1250</v>
      </c>
    </row>
    <row r="27" spans="1:8" ht="25.5">
      <c r="A27" s="114" t="s">
        <v>1234</v>
      </c>
      <c r="B27" s="115" t="s">
        <v>295</v>
      </c>
      <c r="C27" s="114" t="s">
        <v>365</v>
      </c>
      <c r="D27" s="114">
        <v>0.5</v>
      </c>
      <c r="E27" s="114">
        <f t="shared" ca="1" si="0"/>
        <v>3</v>
      </c>
      <c r="F27" s="114">
        <f t="shared" ca="1" si="1"/>
        <v>1.5</v>
      </c>
      <c r="G27" s="114" t="s">
        <v>666</v>
      </c>
      <c r="H27" s="115" t="s">
        <v>1251</v>
      </c>
    </row>
    <row r="28" spans="1:8" ht="38.25">
      <c r="A28" s="114" t="s">
        <v>1232</v>
      </c>
      <c r="B28" s="115" t="s">
        <v>1139</v>
      </c>
      <c r="C28" s="114" t="s">
        <v>361</v>
      </c>
      <c r="D28" s="114">
        <v>0.33</v>
      </c>
      <c r="E28" s="114">
        <f t="shared" ca="1" si="0"/>
        <v>3</v>
      </c>
      <c r="F28" s="114">
        <f t="shared" ca="1" si="1"/>
        <v>0.99</v>
      </c>
      <c r="G28" s="114" t="s">
        <v>666</v>
      </c>
      <c r="H28" s="115" t="s">
        <v>1252</v>
      </c>
    </row>
    <row r="29" spans="1:8" ht="38.25">
      <c r="A29" s="114" t="s">
        <v>1231</v>
      </c>
      <c r="B29" s="115" t="s">
        <v>515</v>
      </c>
      <c r="C29" s="114" t="s">
        <v>361</v>
      </c>
      <c r="D29" s="114">
        <v>0.33</v>
      </c>
      <c r="E29" s="114">
        <f t="shared" ca="1" si="0"/>
        <v>3</v>
      </c>
      <c r="F29" s="114">
        <f t="shared" ca="1" si="1"/>
        <v>0.99</v>
      </c>
      <c r="G29" s="114" t="s">
        <v>666</v>
      </c>
      <c r="H29" s="115" t="s">
        <v>1253</v>
      </c>
    </row>
    <row r="30" spans="1:8" ht="25.5">
      <c r="A30" s="114" t="s">
        <v>1232</v>
      </c>
      <c r="B30" s="115" t="s">
        <v>1134</v>
      </c>
      <c r="C30" s="114" t="s">
        <v>376</v>
      </c>
      <c r="D30" s="114">
        <v>0.33</v>
      </c>
      <c r="E30" s="114">
        <f t="shared" ca="1" si="0"/>
        <v>4</v>
      </c>
      <c r="F30" s="114">
        <f t="shared" ca="1" si="1"/>
        <v>1.32</v>
      </c>
      <c r="G30" s="114" t="s">
        <v>666</v>
      </c>
      <c r="H30" s="115" t="s">
        <v>1254</v>
      </c>
    </row>
    <row r="31" spans="1:8" ht="25.5">
      <c r="A31" s="114" t="s">
        <v>1238</v>
      </c>
      <c r="B31" s="115" t="s">
        <v>1022</v>
      </c>
      <c r="C31" s="114" t="s">
        <v>274</v>
      </c>
      <c r="D31" s="114">
        <v>0.5</v>
      </c>
      <c r="E31" s="114">
        <f t="shared" ca="1" si="0"/>
        <v>4</v>
      </c>
      <c r="F31" s="114">
        <f t="shared" ca="1" si="1"/>
        <v>2</v>
      </c>
      <c r="G31" s="114" t="s">
        <v>666</v>
      </c>
      <c r="H31" s="115" t="s">
        <v>1255</v>
      </c>
    </row>
    <row r="32" spans="1:8" ht="25.5">
      <c r="A32" s="114" t="s">
        <v>1238</v>
      </c>
      <c r="B32" s="115" t="s">
        <v>472</v>
      </c>
      <c r="C32" s="114" t="s">
        <v>274</v>
      </c>
      <c r="D32" s="114">
        <v>0.5</v>
      </c>
      <c r="E32" s="114">
        <f t="shared" ca="1" si="0"/>
        <v>3</v>
      </c>
      <c r="F32" s="114">
        <f t="shared" ca="1" si="1"/>
        <v>1.5</v>
      </c>
      <c r="G32" s="114" t="s">
        <v>666</v>
      </c>
      <c r="H32" s="115" t="s">
        <v>1255</v>
      </c>
    </row>
    <row r="33" spans="1:8">
      <c r="A33" s="114" t="s">
        <v>1232</v>
      </c>
      <c r="B33" s="115" t="s">
        <v>90</v>
      </c>
      <c r="C33" s="114" t="s">
        <v>274</v>
      </c>
      <c r="D33" s="114">
        <v>0</v>
      </c>
      <c r="E33" s="114">
        <f t="shared" ca="1" si="0"/>
        <v>1</v>
      </c>
      <c r="F33" s="114">
        <f t="shared" ca="1" si="1"/>
        <v>0</v>
      </c>
      <c r="G33" s="114" t="s">
        <v>666</v>
      </c>
      <c r="H33" s="115" t="s">
        <v>1256</v>
      </c>
    </row>
    <row r="34" spans="1:8">
      <c r="A34" s="114" t="s">
        <v>1232</v>
      </c>
      <c r="B34" s="115" t="s">
        <v>1139</v>
      </c>
      <c r="C34" s="114" t="s">
        <v>414</v>
      </c>
      <c r="D34" s="114">
        <v>0.2</v>
      </c>
      <c r="E34" s="114">
        <f t="shared" ca="1" si="0"/>
        <v>3</v>
      </c>
      <c r="F34" s="114">
        <f t="shared" ca="1" si="1"/>
        <v>0.60000000000000009</v>
      </c>
      <c r="G34" s="114" t="s">
        <v>666</v>
      </c>
      <c r="H34" s="115" t="s">
        <v>1257</v>
      </c>
    </row>
    <row r="35" spans="1:8">
      <c r="A35" s="114" t="s">
        <v>1238</v>
      </c>
      <c r="B35" s="115" t="s">
        <v>1022</v>
      </c>
      <c r="C35" s="114" t="s">
        <v>414</v>
      </c>
      <c r="D35" s="114">
        <v>0.2</v>
      </c>
      <c r="E35" s="114">
        <f t="shared" ca="1" si="0"/>
        <v>4</v>
      </c>
      <c r="F35" s="114">
        <f t="shared" ca="1" si="1"/>
        <v>0.8</v>
      </c>
      <c r="G35" s="114" t="s">
        <v>666</v>
      </c>
      <c r="H35" s="115" t="s">
        <v>1258</v>
      </c>
    </row>
    <row r="36" spans="1:8" ht="25.5">
      <c r="A36" s="114" t="s">
        <v>1232</v>
      </c>
      <c r="B36" s="115" t="s">
        <v>90</v>
      </c>
      <c r="C36" s="114" t="s">
        <v>414</v>
      </c>
      <c r="D36" s="114">
        <v>0</v>
      </c>
      <c r="E36" s="114">
        <f t="shared" ca="1" si="0"/>
        <v>1</v>
      </c>
      <c r="F36" s="114">
        <f t="shared" ca="1" si="1"/>
        <v>0</v>
      </c>
      <c r="G36" s="114" t="s">
        <v>666</v>
      </c>
      <c r="H36" s="115" t="s">
        <v>1259</v>
      </c>
    </row>
    <row r="37" spans="1:8">
      <c r="A37" s="114" t="s">
        <v>1234</v>
      </c>
      <c r="B37" s="115" t="s">
        <v>273</v>
      </c>
      <c r="C37" s="114" t="s">
        <v>425</v>
      </c>
      <c r="D37" s="114">
        <v>0.2</v>
      </c>
      <c r="E37" s="114">
        <f t="shared" ca="1" si="0"/>
        <v>4</v>
      </c>
      <c r="F37" s="114">
        <f t="shared" ca="1" si="1"/>
        <v>0.8</v>
      </c>
      <c r="G37" s="114" t="s">
        <v>666</v>
      </c>
      <c r="H37" s="115" t="s">
        <v>1260</v>
      </c>
    </row>
    <row r="38" spans="1:8">
      <c r="A38" s="114" t="s">
        <v>1234</v>
      </c>
      <c r="B38" s="115" t="s">
        <v>1189</v>
      </c>
      <c r="C38" s="114" t="s">
        <v>425</v>
      </c>
      <c r="D38" s="114">
        <v>0.2</v>
      </c>
      <c r="E38" s="114">
        <f t="shared" ca="1" si="0"/>
        <v>3</v>
      </c>
      <c r="F38" s="114">
        <f t="shared" ca="1" si="1"/>
        <v>0.60000000000000009</v>
      </c>
      <c r="G38" s="114" t="s">
        <v>666</v>
      </c>
      <c r="H38" s="115" t="s">
        <v>1261</v>
      </c>
    </row>
    <row r="39" spans="1:8">
      <c r="A39" s="114" t="s">
        <v>1234</v>
      </c>
      <c r="B39" s="115" t="s">
        <v>1187</v>
      </c>
      <c r="C39" s="114" t="s">
        <v>425</v>
      </c>
      <c r="D39" s="114">
        <v>0.2</v>
      </c>
      <c r="E39" s="114">
        <f t="shared" ca="1" si="0"/>
        <v>3</v>
      </c>
      <c r="F39" s="114">
        <f t="shared" ca="1" si="1"/>
        <v>0.60000000000000009</v>
      </c>
      <c r="G39" s="114" t="s">
        <v>666</v>
      </c>
      <c r="H39" s="115" t="s">
        <v>1262</v>
      </c>
    </row>
    <row r="40" spans="1:8" ht="25.5">
      <c r="A40" s="114" t="s">
        <v>1234</v>
      </c>
      <c r="B40" s="115" t="s">
        <v>1484</v>
      </c>
      <c r="C40" s="114" t="s">
        <v>425</v>
      </c>
      <c r="D40" s="114">
        <v>0.2</v>
      </c>
      <c r="E40" s="114">
        <f t="shared" ca="1" si="0"/>
        <v>2</v>
      </c>
      <c r="F40" s="114">
        <f t="shared" ref="F40" ca="1" si="3">IF(ISNUMBER(E40),$D40*E40,0)</f>
        <v>0.4</v>
      </c>
      <c r="G40" s="114" t="s">
        <v>666</v>
      </c>
      <c r="H40" s="115" t="s">
        <v>1490</v>
      </c>
    </row>
    <row r="41" spans="1:8" ht="25.5">
      <c r="A41" s="114" t="s">
        <v>1238</v>
      </c>
      <c r="B41" s="115" t="s">
        <v>472</v>
      </c>
      <c r="C41" s="114" t="s">
        <v>425</v>
      </c>
      <c r="D41" s="114">
        <v>0.2</v>
      </c>
      <c r="E41" s="114">
        <f t="shared" ref="E41:E74" ca="1" si="4">IFERROR(INDEX(INDIRECT("'"&amp;$A41&amp;"'!$E$1:$E$60"),MATCH($B41,INDIRECT("'"&amp;$A41&amp;"'!$B$1:$B$60"),0)),"?")</f>
        <v>3</v>
      </c>
      <c r="F41" s="114">
        <f t="shared" ref="F41:F74" ca="1" si="5">IF(ISNUMBER(E41),$D41*E41,0)</f>
        <v>0.60000000000000009</v>
      </c>
      <c r="G41" s="114" t="s">
        <v>666</v>
      </c>
      <c r="H41" s="115" t="s">
        <v>1263</v>
      </c>
    </row>
    <row r="42" spans="1:8" ht="38.25">
      <c r="A42" s="114" t="s">
        <v>1227</v>
      </c>
      <c r="B42" s="115" t="s">
        <v>1353</v>
      </c>
      <c r="C42" s="114" t="s">
        <v>289</v>
      </c>
      <c r="D42" s="114">
        <v>0.33</v>
      </c>
      <c r="E42" s="114">
        <f t="shared" ca="1" si="4"/>
        <v>3</v>
      </c>
      <c r="F42" s="114">
        <f t="shared" ca="1" si="5"/>
        <v>0.99</v>
      </c>
      <c r="G42" s="114" t="s">
        <v>666</v>
      </c>
      <c r="H42" s="115" t="s">
        <v>1264</v>
      </c>
    </row>
    <row r="43" spans="1:8">
      <c r="A43" s="114" t="s">
        <v>1232</v>
      </c>
      <c r="B43" s="115" t="s">
        <v>530</v>
      </c>
      <c r="C43" s="114" t="s">
        <v>289</v>
      </c>
      <c r="D43" s="114">
        <v>0.33</v>
      </c>
      <c r="E43" s="114">
        <f t="shared" ca="1" si="4"/>
        <v>3</v>
      </c>
      <c r="F43" s="114">
        <f t="shared" ca="1" si="5"/>
        <v>0.99</v>
      </c>
      <c r="G43" s="114" t="s">
        <v>666</v>
      </c>
      <c r="H43" s="115" t="s">
        <v>1265</v>
      </c>
    </row>
    <row r="44" spans="1:8">
      <c r="A44" s="114" t="s">
        <v>1231</v>
      </c>
      <c r="B44" s="115" t="s">
        <v>993</v>
      </c>
      <c r="C44" s="114" t="s">
        <v>289</v>
      </c>
      <c r="D44" s="114">
        <v>0.33</v>
      </c>
      <c r="E44" s="114">
        <f t="shared" ca="1" si="4"/>
        <v>4</v>
      </c>
      <c r="F44" s="114">
        <f t="shared" ca="1" si="5"/>
        <v>1.32</v>
      </c>
      <c r="G44" s="114" t="s">
        <v>666</v>
      </c>
      <c r="H44" s="115" t="s">
        <v>1265</v>
      </c>
    </row>
    <row r="45" spans="1:8" ht="25.5">
      <c r="A45" s="114" t="s">
        <v>1368</v>
      </c>
      <c r="B45" s="115" t="s">
        <v>993</v>
      </c>
      <c r="C45" s="114" t="s">
        <v>289</v>
      </c>
      <c r="D45" s="114">
        <v>0.33</v>
      </c>
      <c r="E45" s="114">
        <f t="shared" ca="1" si="4"/>
        <v>2</v>
      </c>
      <c r="F45" s="114">
        <f t="shared" ref="F45" ca="1" si="6">IF(ISNUMBER(E45),$D45*E45,0)</f>
        <v>0.66</v>
      </c>
      <c r="G45" s="114" t="s">
        <v>666</v>
      </c>
      <c r="H45" s="115" t="s">
        <v>1369</v>
      </c>
    </row>
    <row r="46" spans="1:8">
      <c r="A46" s="114" t="s">
        <v>1238</v>
      </c>
      <c r="B46" s="115" t="s">
        <v>479</v>
      </c>
      <c r="C46" s="114" t="s">
        <v>289</v>
      </c>
      <c r="D46" s="114">
        <v>0.5</v>
      </c>
      <c r="E46" s="114">
        <f t="shared" ca="1" si="4"/>
        <v>3</v>
      </c>
      <c r="F46" s="114">
        <f t="shared" ca="1" si="5"/>
        <v>1.5</v>
      </c>
      <c r="G46" s="114" t="s">
        <v>666</v>
      </c>
      <c r="H46" s="115" t="s">
        <v>1266</v>
      </c>
    </row>
    <row r="47" spans="1:8" ht="25.5">
      <c r="A47" s="114" t="s">
        <v>1238</v>
      </c>
      <c r="B47" s="115" t="s">
        <v>1382</v>
      </c>
      <c r="C47" s="114" t="s">
        <v>289</v>
      </c>
      <c r="D47" s="114">
        <v>0.5</v>
      </c>
      <c r="E47" s="114">
        <f t="shared" ca="1" si="4"/>
        <v>1</v>
      </c>
      <c r="F47" s="114">
        <f t="shared" ref="F47" ca="1" si="7">IF(ISNUMBER(E47),$D47*E47,0)</f>
        <v>0.5</v>
      </c>
      <c r="G47" s="114" t="s">
        <v>666</v>
      </c>
      <c r="H47" s="115" t="s">
        <v>1392</v>
      </c>
    </row>
    <row r="48" spans="1:8" ht="38.25">
      <c r="A48" s="114" t="s">
        <v>1231</v>
      </c>
      <c r="B48" s="115" t="s">
        <v>88</v>
      </c>
      <c r="C48" s="114" t="s">
        <v>320</v>
      </c>
      <c r="D48" s="114">
        <v>0</v>
      </c>
      <c r="E48" s="114">
        <f t="shared" ca="1" si="4"/>
        <v>5</v>
      </c>
      <c r="F48" s="114">
        <f t="shared" ca="1" si="5"/>
        <v>0</v>
      </c>
      <c r="G48" s="114" t="s">
        <v>666</v>
      </c>
      <c r="H48" s="115" t="s">
        <v>1267</v>
      </c>
    </row>
    <row r="49" spans="1:8">
      <c r="A49" s="114" t="s">
        <v>1238</v>
      </c>
      <c r="B49" s="115" t="s">
        <v>1022</v>
      </c>
      <c r="C49" s="114" t="s">
        <v>320</v>
      </c>
      <c r="D49" s="114">
        <v>0.2</v>
      </c>
      <c r="E49" s="114">
        <f t="shared" ca="1" si="4"/>
        <v>4</v>
      </c>
      <c r="F49" s="114">
        <f t="shared" ca="1" si="5"/>
        <v>0.8</v>
      </c>
      <c r="G49" s="114" t="s">
        <v>666</v>
      </c>
      <c r="H49" s="115" t="s">
        <v>1268</v>
      </c>
    </row>
    <row r="50" spans="1:8">
      <c r="A50" s="114" t="s">
        <v>1234</v>
      </c>
      <c r="B50" s="115" t="s">
        <v>424</v>
      </c>
      <c r="C50" s="114" t="s">
        <v>320</v>
      </c>
      <c r="D50" s="114">
        <v>0.2</v>
      </c>
      <c r="E50" s="114">
        <f t="shared" ca="1" si="4"/>
        <v>3</v>
      </c>
      <c r="F50" s="114">
        <f t="shared" ca="1" si="5"/>
        <v>0.60000000000000009</v>
      </c>
      <c r="G50" s="114" t="s">
        <v>666</v>
      </c>
      <c r="H50" s="115" t="s">
        <v>1269</v>
      </c>
    </row>
    <row r="51" spans="1:8" ht="51">
      <c r="A51" s="114" t="s">
        <v>1232</v>
      </c>
      <c r="B51" s="115" t="s">
        <v>566</v>
      </c>
      <c r="C51" s="114" t="s">
        <v>320</v>
      </c>
      <c r="D51" s="114">
        <v>0.5</v>
      </c>
      <c r="E51" s="114">
        <f t="shared" ca="1" si="4"/>
        <v>3</v>
      </c>
      <c r="F51" s="114">
        <f t="shared" ca="1" si="5"/>
        <v>1.5</v>
      </c>
      <c r="G51" s="114" t="s">
        <v>666</v>
      </c>
      <c r="H51" s="115" t="s">
        <v>1270</v>
      </c>
    </row>
    <row r="52" spans="1:8" ht="25.5">
      <c r="A52" s="114" t="s">
        <v>1238</v>
      </c>
      <c r="B52" s="115" t="s">
        <v>491</v>
      </c>
      <c r="C52" s="114" t="s">
        <v>320</v>
      </c>
      <c r="D52" s="114">
        <v>0</v>
      </c>
      <c r="E52" s="114">
        <f t="shared" ca="1" si="4"/>
        <v>3</v>
      </c>
      <c r="F52" s="114">
        <f t="shared" ca="1" si="5"/>
        <v>0</v>
      </c>
      <c r="G52" s="114" t="s">
        <v>666</v>
      </c>
      <c r="H52" s="115" t="s">
        <v>1271</v>
      </c>
    </row>
    <row r="53" spans="1:8">
      <c r="A53" s="114" t="s">
        <v>1231</v>
      </c>
      <c r="B53" s="115" t="s">
        <v>88</v>
      </c>
      <c r="C53" s="114" t="s">
        <v>382</v>
      </c>
      <c r="D53" s="114">
        <v>0.5</v>
      </c>
      <c r="E53" s="114">
        <f t="shared" ca="1" si="4"/>
        <v>5</v>
      </c>
      <c r="F53" s="114">
        <f t="shared" ca="1" si="5"/>
        <v>2.5</v>
      </c>
      <c r="G53" s="114" t="s">
        <v>666</v>
      </c>
      <c r="H53" s="115" t="s">
        <v>688</v>
      </c>
    </row>
    <row r="54" spans="1:8">
      <c r="A54" s="114" t="s">
        <v>1232</v>
      </c>
      <c r="B54" s="115" t="s">
        <v>90</v>
      </c>
      <c r="C54" s="114" t="s">
        <v>382</v>
      </c>
      <c r="D54" s="114">
        <v>0.5</v>
      </c>
      <c r="E54" s="114">
        <f t="shared" ca="1" si="4"/>
        <v>1</v>
      </c>
      <c r="F54" s="114">
        <f t="shared" ca="1" si="5"/>
        <v>0.5</v>
      </c>
      <c r="G54" s="114" t="s">
        <v>666</v>
      </c>
      <c r="H54" s="115" t="s">
        <v>1272</v>
      </c>
    </row>
    <row r="55" spans="1:8">
      <c r="A55" s="114" t="s">
        <v>1232</v>
      </c>
      <c r="B55" s="115" t="s">
        <v>1128</v>
      </c>
      <c r="C55" s="114" t="s">
        <v>382</v>
      </c>
      <c r="D55" s="114">
        <v>0.5</v>
      </c>
      <c r="E55" s="114">
        <f t="shared" ca="1" si="4"/>
        <v>2</v>
      </c>
      <c r="F55" s="114">
        <f t="shared" ca="1" si="5"/>
        <v>1</v>
      </c>
      <c r="G55" s="114" t="s">
        <v>666</v>
      </c>
      <c r="H55" s="115" t="s">
        <v>1273</v>
      </c>
    </row>
    <row r="56" spans="1:8">
      <c r="A56" s="114" t="s">
        <v>1231</v>
      </c>
      <c r="B56" s="115" t="s">
        <v>381</v>
      </c>
      <c r="C56" s="114" t="s">
        <v>382</v>
      </c>
      <c r="D56" s="114">
        <v>0.33</v>
      </c>
      <c r="E56" s="114">
        <f t="shared" ca="1" si="4"/>
        <v>4</v>
      </c>
      <c r="F56" s="114">
        <f t="shared" ca="1" si="5"/>
        <v>1.32</v>
      </c>
      <c r="G56" s="114" t="s">
        <v>666</v>
      </c>
      <c r="H56" s="115" t="s">
        <v>689</v>
      </c>
    </row>
    <row r="57" spans="1:8">
      <c r="A57" s="114" t="s">
        <v>1232</v>
      </c>
      <c r="B57" s="115" t="s">
        <v>566</v>
      </c>
      <c r="C57" s="114" t="s">
        <v>382</v>
      </c>
      <c r="D57" s="114">
        <v>0.5</v>
      </c>
      <c r="E57" s="114">
        <f t="shared" ca="1" si="4"/>
        <v>3</v>
      </c>
      <c r="F57" s="114">
        <f t="shared" ca="1" si="5"/>
        <v>1.5</v>
      </c>
      <c r="G57" s="114" t="s">
        <v>666</v>
      </c>
      <c r="H57" s="115" t="s">
        <v>1274</v>
      </c>
    </row>
    <row r="58" spans="1:8" ht="38.25">
      <c r="A58" s="114" t="s">
        <v>1232</v>
      </c>
      <c r="B58" s="115" t="s">
        <v>563</v>
      </c>
      <c r="C58" s="114" t="s">
        <v>391</v>
      </c>
      <c r="D58" s="114">
        <v>0.2</v>
      </c>
      <c r="E58" s="114">
        <f t="shared" ca="1" si="4"/>
        <v>3</v>
      </c>
      <c r="F58" s="114">
        <f t="shared" ca="1" si="5"/>
        <v>0.60000000000000009</v>
      </c>
      <c r="G58" s="114" t="s">
        <v>666</v>
      </c>
      <c r="H58" s="115" t="s">
        <v>1275</v>
      </c>
    </row>
    <row r="59" spans="1:8" ht="38.25">
      <c r="A59" s="114" t="s">
        <v>1232</v>
      </c>
      <c r="B59" s="115" t="s">
        <v>90</v>
      </c>
      <c r="C59" s="114" t="s">
        <v>391</v>
      </c>
      <c r="D59" s="114">
        <v>0.33</v>
      </c>
      <c r="E59" s="114">
        <f t="shared" ca="1" si="4"/>
        <v>1</v>
      </c>
      <c r="F59" s="114">
        <f t="shared" ca="1" si="5"/>
        <v>0.33</v>
      </c>
      <c r="G59" s="114" t="s">
        <v>666</v>
      </c>
      <c r="H59" s="115" t="s">
        <v>1276</v>
      </c>
    </row>
    <row r="60" spans="1:8" ht="25.5">
      <c r="A60" s="114" t="s">
        <v>1232</v>
      </c>
      <c r="B60" s="115" t="s">
        <v>1128</v>
      </c>
      <c r="C60" s="114" t="s">
        <v>391</v>
      </c>
      <c r="D60" s="114">
        <v>0.33</v>
      </c>
      <c r="E60" s="114">
        <f t="shared" ca="1" si="4"/>
        <v>2</v>
      </c>
      <c r="F60" s="114">
        <f t="shared" ca="1" si="5"/>
        <v>0.66</v>
      </c>
      <c r="G60" s="114" t="s">
        <v>666</v>
      </c>
      <c r="H60" s="115" t="s">
        <v>1277</v>
      </c>
    </row>
    <row r="61" spans="1:8" ht="51">
      <c r="A61" s="114" t="s">
        <v>1232</v>
      </c>
      <c r="B61" s="115" t="s">
        <v>1134</v>
      </c>
      <c r="C61" s="114" t="s">
        <v>391</v>
      </c>
      <c r="D61" s="114">
        <v>0.2</v>
      </c>
      <c r="E61" s="114">
        <f t="shared" ca="1" si="4"/>
        <v>4</v>
      </c>
      <c r="F61" s="114">
        <f t="shared" ca="1" si="5"/>
        <v>0.8</v>
      </c>
      <c r="G61" s="114" t="s">
        <v>666</v>
      </c>
      <c r="H61" s="115" t="s">
        <v>1278</v>
      </c>
    </row>
    <row r="62" spans="1:8" ht="38.25">
      <c r="A62" s="114" t="s">
        <v>1231</v>
      </c>
      <c r="B62" s="115" t="s">
        <v>88</v>
      </c>
      <c r="C62" s="114" t="s">
        <v>395</v>
      </c>
      <c r="D62" s="114">
        <v>0.33</v>
      </c>
      <c r="E62" s="114">
        <f t="shared" ca="1" si="4"/>
        <v>5</v>
      </c>
      <c r="F62" s="114">
        <f t="shared" ca="1" si="5"/>
        <v>1.6500000000000001</v>
      </c>
      <c r="G62" s="114" t="s">
        <v>666</v>
      </c>
      <c r="H62" s="115" t="s">
        <v>1279</v>
      </c>
    </row>
    <row r="63" spans="1:8" ht="25.5">
      <c r="A63" s="114" t="s">
        <v>1231</v>
      </c>
      <c r="B63" s="115" t="s">
        <v>381</v>
      </c>
      <c r="C63" s="114" t="s">
        <v>395</v>
      </c>
      <c r="D63" s="114">
        <v>0.33</v>
      </c>
      <c r="E63" s="114">
        <f t="shared" ca="1" si="4"/>
        <v>4</v>
      </c>
      <c r="F63" s="114">
        <f t="shared" ca="1" si="5"/>
        <v>1.32</v>
      </c>
      <c r="G63" s="114" t="s">
        <v>666</v>
      </c>
      <c r="H63" s="115" t="s">
        <v>1280</v>
      </c>
    </row>
    <row r="64" spans="1:8" ht="25.5">
      <c r="A64" s="114" t="s">
        <v>1232</v>
      </c>
      <c r="B64" s="115" t="s">
        <v>1134</v>
      </c>
      <c r="C64" s="114" t="s">
        <v>395</v>
      </c>
      <c r="D64" s="114">
        <v>0.33</v>
      </c>
      <c r="E64" s="114">
        <f t="shared" ca="1" si="4"/>
        <v>4</v>
      </c>
      <c r="F64" s="114">
        <f t="shared" ca="1" si="5"/>
        <v>1.32</v>
      </c>
      <c r="G64" s="114" t="s">
        <v>666</v>
      </c>
      <c r="H64" s="115" t="s">
        <v>1281</v>
      </c>
    </row>
    <row r="65" spans="1:8">
      <c r="A65" s="114" t="s">
        <v>1238</v>
      </c>
      <c r="B65" s="115" t="s">
        <v>488</v>
      </c>
      <c r="C65" s="114" t="s">
        <v>302</v>
      </c>
      <c r="D65" s="114">
        <v>0.33</v>
      </c>
      <c r="E65" s="114">
        <f t="shared" ca="1" si="4"/>
        <v>3</v>
      </c>
      <c r="F65" s="114">
        <f t="shared" ca="1" si="5"/>
        <v>0.99</v>
      </c>
      <c r="G65" s="114" t="s">
        <v>666</v>
      </c>
      <c r="H65" s="115" t="s">
        <v>669</v>
      </c>
    </row>
    <row r="66" spans="1:8">
      <c r="A66" s="114" t="s">
        <v>1242</v>
      </c>
      <c r="B66" s="115" t="s">
        <v>598</v>
      </c>
      <c r="C66" s="114" t="s">
        <v>302</v>
      </c>
      <c r="D66" s="114">
        <v>0.33</v>
      </c>
      <c r="E66" s="114">
        <f t="shared" ca="1" si="4"/>
        <v>3</v>
      </c>
      <c r="F66" s="114">
        <f t="shared" ca="1" si="5"/>
        <v>0.99</v>
      </c>
      <c r="G66" s="114" t="s">
        <v>666</v>
      </c>
      <c r="H66" s="115" t="s">
        <v>669</v>
      </c>
    </row>
    <row r="67" spans="1:8">
      <c r="A67" s="114" t="s">
        <v>1234</v>
      </c>
      <c r="B67" s="115" t="s">
        <v>1204</v>
      </c>
      <c r="C67" s="114" t="s">
        <v>302</v>
      </c>
      <c r="D67" s="114">
        <v>0.33</v>
      </c>
      <c r="E67" s="114">
        <f t="shared" ca="1" si="4"/>
        <v>3</v>
      </c>
      <c r="F67" s="114">
        <f t="shared" ca="1" si="5"/>
        <v>0.99</v>
      </c>
      <c r="G67" s="114" t="s">
        <v>666</v>
      </c>
      <c r="H67" s="115" t="s">
        <v>1282</v>
      </c>
    </row>
    <row r="68" spans="1:8" ht="38.25">
      <c r="A68" s="114" t="s">
        <v>1227</v>
      </c>
      <c r="B68" s="115" t="s">
        <v>92</v>
      </c>
      <c r="C68" s="114" t="s">
        <v>356</v>
      </c>
      <c r="D68" s="114">
        <v>0</v>
      </c>
      <c r="E68" s="114">
        <f t="shared" ca="1" si="4"/>
        <v>4</v>
      </c>
      <c r="F68" s="114">
        <f t="shared" ca="1" si="5"/>
        <v>0</v>
      </c>
      <c r="G68" s="114" t="s">
        <v>666</v>
      </c>
      <c r="H68" s="115" t="s">
        <v>1283</v>
      </c>
    </row>
    <row r="69" spans="1:8" ht="25.5">
      <c r="A69" s="114" t="s">
        <v>1234</v>
      </c>
      <c r="B69" s="115" t="s">
        <v>434</v>
      </c>
      <c r="C69" s="114" t="s">
        <v>356</v>
      </c>
      <c r="D69" s="114">
        <v>0</v>
      </c>
      <c r="E69" s="114">
        <f t="shared" ca="1" si="4"/>
        <v>4</v>
      </c>
      <c r="F69" s="114">
        <f t="shared" ca="1" si="5"/>
        <v>0</v>
      </c>
      <c r="G69" s="114" t="s">
        <v>666</v>
      </c>
      <c r="H69" s="115" t="s">
        <v>1284</v>
      </c>
    </row>
    <row r="70" spans="1:8" ht="25.5">
      <c r="A70" s="114" t="s">
        <v>1227</v>
      </c>
      <c r="B70" s="115" t="s">
        <v>524</v>
      </c>
      <c r="C70" s="114" t="s">
        <v>344</v>
      </c>
      <c r="D70" s="114">
        <v>0</v>
      </c>
      <c r="E70" s="114">
        <f t="shared" ca="1" si="4"/>
        <v>3</v>
      </c>
      <c r="F70" s="114">
        <f t="shared" ca="1" si="5"/>
        <v>0</v>
      </c>
      <c r="G70" s="114" t="s">
        <v>666</v>
      </c>
      <c r="H70" s="115" t="s">
        <v>1285</v>
      </c>
    </row>
    <row r="71" spans="1:8">
      <c r="A71" s="114" t="s">
        <v>1227</v>
      </c>
      <c r="B71" s="115" t="s">
        <v>593</v>
      </c>
      <c r="C71" s="114" t="s">
        <v>344</v>
      </c>
      <c r="D71" s="114">
        <v>0.2</v>
      </c>
      <c r="E71" s="114">
        <f t="shared" ca="1" si="4"/>
        <v>3</v>
      </c>
      <c r="F71" s="114">
        <f t="shared" ca="1" si="5"/>
        <v>0.60000000000000009</v>
      </c>
      <c r="G71" s="114" t="s">
        <v>666</v>
      </c>
      <c r="H71" s="115" t="s">
        <v>1286</v>
      </c>
    </row>
    <row r="72" spans="1:8">
      <c r="A72" s="114" t="s">
        <v>1231</v>
      </c>
      <c r="B72" s="115" t="s">
        <v>88</v>
      </c>
      <c r="C72" s="114" t="s">
        <v>306</v>
      </c>
      <c r="D72" s="114">
        <v>0</v>
      </c>
      <c r="E72" s="114">
        <f t="shared" ca="1" si="4"/>
        <v>5</v>
      </c>
      <c r="F72" s="114">
        <f t="shared" ca="1" si="5"/>
        <v>0</v>
      </c>
      <c r="G72" s="114" t="s">
        <v>666</v>
      </c>
      <c r="H72" s="115" t="s">
        <v>1287</v>
      </c>
    </row>
    <row r="73" spans="1:8">
      <c r="A73" s="114" t="s">
        <v>1231</v>
      </c>
      <c r="B73" s="115" t="s">
        <v>495</v>
      </c>
      <c r="C73" s="114" t="s">
        <v>315</v>
      </c>
      <c r="D73" s="114">
        <v>0</v>
      </c>
      <c r="E73" s="114">
        <f t="shared" ca="1" si="4"/>
        <v>6</v>
      </c>
      <c r="F73" s="114">
        <f t="shared" ca="1" si="5"/>
        <v>0</v>
      </c>
      <c r="G73" s="114" t="s">
        <v>666</v>
      </c>
      <c r="H73" s="115" t="s">
        <v>1288</v>
      </c>
    </row>
    <row r="74" spans="1:8" ht="25.5">
      <c r="A74" s="114" t="s">
        <v>1242</v>
      </c>
      <c r="B74" s="115" t="s">
        <v>1091</v>
      </c>
      <c r="C74" s="114" t="s">
        <v>927</v>
      </c>
      <c r="D74" s="114">
        <v>0</v>
      </c>
      <c r="E74" s="114">
        <f t="shared" ca="1" si="4"/>
        <v>3</v>
      </c>
      <c r="F74" s="114">
        <f t="shared" ca="1" si="5"/>
        <v>0</v>
      </c>
      <c r="G74" s="114" t="s">
        <v>666</v>
      </c>
      <c r="H74" s="115" t="s">
        <v>1289</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1290</v>
      </c>
    </row>
    <row r="2" spans="1:9">
      <c r="A2" s="119" t="s">
        <v>1291</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MROUND(SUMIFS(복귀_간접계수맵!$F$7:$F$94,복귀_간접계수맵!$C$7:$C$94,$A5),0.5)</f>
        <v>0</v>
      </c>
      <c r="D5" s="114">
        <f t="shared" ref="D5:D25" ca="1" si="0">B5+C5</f>
        <v>9</v>
      </c>
      <c r="E5" s="114" t="str">
        <f t="shared" ref="E5:E25" ca="1" si="1">IF(D5&gt;20,"과다 점검",IF(D5&gt;=10,"충분",IF(D5&gt;=8,"하한",IF(D5&gt;=1,"보완 필요","미배치"))))</f>
        <v>하한</v>
      </c>
      <c r="F5" s="115" t="s">
        <v>1292</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MROUND(SUMIFS(복귀_간접계수맵!$F$7:$F$94,복귀_간접계수맵!$C$7:$C$94,$A6),0.5)</f>
        <v>0.5</v>
      </c>
      <c r="D6" s="114">
        <f t="shared" ca="1" si="0"/>
        <v>14.5</v>
      </c>
      <c r="E6" s="114" t="str">
        <f t="shared" ca="1" si="1"/>
        <v>충분</v>
      </c>
      <c r="F6" s="115" t="s">
        <v>1293</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MROUND(SUMIFS(복귀_간접계수맵!$F$7:$F$94,복귀_간접계수맵!$C$7:$C$94,$A7),0.5)</f>
        <v>3.5</v>
      </c>
      <c r="D7" s="114">
        <f t="shared" ca="1" si="0"/>
        <v>19.5</v>
      </c>
      <c r="E7" s="114" t="str">
        <f t="shared" ca="1" si="1"/>
        <v>충분</v>
      </c>
      <c r="F7" s="115" t="s">
        <v>1491</v>
      </c>
      <c r="H7" s="124" t="s">
        <v>1294</v>
      </c>
      <c r="I7" s="125">
        <f ca="1">SUM(D7:D10)</f>
        <v>49</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MROUND(SUMIFS(복귀_간접계수맵!$F$7:$F$94,복귀_간접계수맵!$C$7:$C$94,$A8),0.5)</f>
        <v>1.5</v>
      </c>
      <c r="D8" s="114">
        <f t="shared" ca="1" si="0"/>
        <v>4.5</v>
      </c>
      <c r="E8" s="114" t="str">
        <f t="shared" ca="1" si="1"/>
        <v>보완 필요</v>
      </c>
      <c r="F8" s="115" t="s">
        <v>1295</v>
      </c>
      <c r="H8" s="124" t="s">
        <v>1296</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MROUND(SUMIFS(복귀_간접계수맵!$F$7:$F$94,복귀_간접계수맵!$C$7:$C$94,$A9),0.5)</f>
        <v>3</v>
      </c>
      <c r="D9" s="114">
        <f t="shared" ca="1" si="0"/>
        <v>6</v>
      </c>
      <c r="E9" s="114" t="str">
        <f t="shared" ca="1" si="1"/>
        <v>보완 필요</v>
      </c>
      <c r="F9" s="115" t="s">
        <v>1492</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MROUND(SUMIFS(복귀_간접계수맵!$F$7:$F$94,복귀_간접계수맵!$C$7:$C$94,$A10),0.5)</f>
        <v>6</v>
      </c>
      <c r="D10" s="114">
        <f t="shared" ca="1" si="0"/>
        <v>19</v>
      </c>
      <c r="E10" s="114" t="str">
        <f t="shared" ca="1" si="1"/>
        <v>충분</v>
      </c>
      <c r="F10" s="115" t="s">
        <v>1393</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MROUND(SUMIFS(복귀_간접계수맵!$F$7:$F$94,복귀_간접계수맵!$C$7:$C$94,$A11),0.5)</f>
        <v>3</v>
      </c>
      <c r="D11" s="114">
        <f t="shared" ca="1" si="0"/>
        <v>13</v>
      </c>
      <c r="E11" s="114" t="str">
        <f t="shared" ca="1" si="1"/>
        <v>충분</v>
      </c>
      <c r="F11" s="115" t="s">
        <v>1297</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MROUND(SUMIFS(복귀_간접계수맵!$F$7:$F$94,복귀_간접계수맵!$C$7:$C$94,$A12),0.5)</f>
        <v>6.5</v>
      </c>
      <c r="D12" s="114">
        <f t="shared" ca="1" si="0"/>
        <v>12.5</v>
      </c>
      <c r="E12" s="114" t="str">
        <f t="shared" ca="1" si="1"/>
        <v>충분</v>
      </c>
      <c r="F12" s="115" t="s">
        <v>1298</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MROUND(SUMIFS(복귀_간접계수맵!$F$7:$F$94,복귀_간접계수맵!$C$7:$C$94,$A13),0.5)</f>
        <v>2</v>
      </c>
      <c r="D13" s="114">
        <f t="shared" ca="1" si="0"/>
        <v>16</v>
      </c>
      <c r="E13" s="114" t="str">
        <f t="shared" ca="1" si="1"/>
        <v>충분</v>
      </c>
      <c r="F13" s="115" t="s">
        <v>1360</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MROUND(SUMIFS(복귀_간접계수맵!$F$7:$F$94,복귀_간접계수맵!$C$7:$C$94,$A14),0.5)</f>
        <v>1.5</v>
      </c>
      <c r="D14" s="114">
        <f t="shared" ca="1" si="0"/>
        <v>13.5</v>
      </c>
      <c r="E14" s="114" t="str">
        <f t="shared" ca="1" si="1"/>
        <v>충분</v>
      </c>
      <c r="F14" s="115" t="s">
        <v>1370</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MROUND(SUMIFS(복귀_간접계수맵!$F$7:$F$94,복귀_간접계수맵!$C$7:$C$94,$A15),0.5)</f>
        <v>1.5</v>
      </c>
      <c r="D15" s="114">
        <f t="shared" ca="1" si="0"/>
        <v>13.5</v>
      </c>
      <c r="E15" s="114" t="str">
        <f t="shared" ca="1" si="1"/>
        <v>충분</v>
      </c>
      <c r="F15" s="115" t="s">
        <v>1299</v>
      </c>
      <c r="H15" s="124" t="s">
        <v>1300</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MROUND(SUMIFS(복귀_간접계수맵!$F$7:$F$94,복귀_간접계수맵!$C$7:$C$94,$A16),0.5)</f>
        <v>2.5</v>
      </c>
      <c r="D16" s="114">
        <f t="shared" ca="1" si="0"/>
        <v>12.5</v>
      </c>
      <c r="E16" s="114" t="str">
        <f t="shared" ca="1" si="1"/>
        <v>충분</v>
      </c>
      <c r="F16" s="115" t="s">
        <v>1301</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MROUND(SUMIFS(복귀_간접계수맵!$F$7:$F$94,복귀_간접계수맵!$C$7:$C$94,$A17),0.5)</f>
        <v>7</v>
      </c>
      <c r="D17" s="114">
        <f t="shared" ca="1" si="0"/>
        <v>14</v>
      </c>
      <c r="E17" s="114" t="str">
        <f t="shared" ca="1" si="1"/>
        <v>충분</v>
      </c>
      <c r="F17" s="115" t="s">
        <v>1302</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MROUND(SUMIFS(복귀_간접계수맵!$F$7:$F$94,복귀_간접계수맵!$C$7:$C$94,$A18),0.5)</f>
        <v>0</v>
      </c>
      <c r="D18" s="114">
        <f t="shared" si="0"/>
        <v>11</v>
      </c>
      <c r="E18" s="114" t="str">
        <f t="shared" si="1"/>
        <v>충분</v>
      </c>
      <c r="F18" s="115" t="s">
        <v>1303</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MROUND(SUMIFS(복귀_간접계수맵!$F$7:$F$94,복귀_간접계수맵!$C$7:$C$94,$A19),0.5)</f>
        <v>0</v>
      </c>
      <c r="D19" s="114">
        <f t="shared" ca="1" si="0"/>
        <v>12</v>
      </c>
      <c r="E19" s="114" t="str">
        <f t="shared" ca="1" si="1"/>
        <v>충분</v>
      </c>
      <c r="F19" s="115" t="s">
        <v>1304</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MROUND(SUMIFS(복귀_간접계수맵!$F$7:$F$94,복귀_간접계수맵!$C$7:$C$94,$A20),0.5)</f>
        <v>7.5</v>
      </c>
      <c r="D20" s="114">
        <f t="shared" ca="1" si="0"/>
        <v>16.5</v>
      </c>
      <c r="E20" s="114" t="str">
        <f t="shared" ca="1" si="1"/>
        <v>충분</v>
      </c>
      <c r="F20" s="115" t="s">
        <v>1305</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MROUND(SUMIFS(복귀_간접계수맵!$F$7:$F$94,복귀_간접계수맵!$C$7:$C$94,$A21),0.5)</f>
        <v>8.5</v>
      </c>
      <c r="D21" s="114">
        <f t="shared" ca="1" si="0"/>
        <v>17.5</v>
      </c>
      <c r="E21" s="114" t="str">
        <f t="shared" ca="1" si="1"/>
        <v>충분</v>
      </c>
      <c r="F21" s="115" t="s">
        <v>1306</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MROUND(SUMIFS(복귀_간접계수맵!$F$7:$F$94,복귀_간접계수맵!$C$7:$C$94,$A22),0.5)</f>
        <v>3</v>
      </c>
      <c r="D22" s="114">
        <f t="shared" ca="1" si="0"/>
        <v>20</v>
      </c>
      <c r="E22" s="114" t="str">
        <f t="shared" ca="1" si="1"/>
        <v>충분</v>
      </c>
      <c r="F22" s="115" t="s">
        <v>1466</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MROUND(SUMIFS(복귀_간접계수맵!$F$7:$F$94,복귀_간접계수맵!$C$7:$C$94,$A23),0.5)</f>
        <v>0</v>
      </c>
      <c r="D23" s="114">
        <f t="shared" ca="1" si="0"/>
        <v>6</v>
      </c>
      <c r="E23" s="114" t="str">
        <f t="shared" ca="1" si="1"/>
        <v>보완 필요</v>
      </c>
      <c r="F23" s="115" t="s">
        <v>1307</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MROUND(SUMIFS(복귀_간접계수맵!$F$7:$F$94,복귀_간접계수맵!$C$7:$C$94,$A24),0.5)</f>
        <v>4.5</v>
      </c>
      <c r="D24" s="114">
        <f t="shared" ca="1" si="0"/>
        <v>12.5</v>
      </c>
      <c r="E24" s="114" t="str">
        <f t="shared" ca="1" si="1"/>
        <v>충분</v>
      </c>
      <c r="F24" s="115" t="s">
        <v>1308</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MROUND(SUMIFS(복귀_간접계수맵!$F$7:$F$94,복귀_간접계수맵!$C$7:$C$94,$A25),0.5)</f>
        <v>0</v>
      </c>
      <c r="D25" s="114">
        <f t="shared" ca="1" si="0"/>
        <v>6</v>
      </c>
      <c r="E25" s="114" t="str">
        <f t="shared" ca="1" si="1"/>
        <v>보완 필요</v>
      </c>
      <c r="F25" s="115" t="s">
        <v>1309</v>
      </c>
    </row>
    <row r="26" spans="1:6">
      <c r="A26" s="107" t="s">
        <v>766</v>
      </c>
      <c r="B26" s="116">
        <f>SUM(B5:B25)</f>
        <v>207</v>
      </c>
      <c r="D26" s="116">
        <f ca="1">SUM(D5:D25)</f>
        <v>269</v>
      </c>
    </row>
    <row r="28" spans="1:6">
      <c r="A28" s="107" t="s">
        <v>767</v>
      </c>
    </row>
    <row r="29" spans="1:6">
      <c r="A29" s="123" t="s">
        <v>1310</v>
      </c>
    </row>
    <row r="30" spans="1:6">
      <c r="A30" s="123" t="s">
        <v>1311</v>
      </c>
    </row>
    <row r="31" spans="1:6">
      <c r="A31" s="123" t="s">
        <v>1312</v>
      </c>
    </row>
    <row r="32" spans="1:6">
      <c r="A32" s="123" t="s">
        <v>1313</v>
      </c>
    </row>
    <row r="34" spans="1:1">
      <c r="A34" s="107" t="s">
        <v>1314</v>
      </c>
    </row>
    <row r="35" spans="1:1">
      <c r="A35" s="123" t="s">
        <v>1315</v>
      </c>
    </row>
    <row r="36" spans="1:1">
      <c r="A36" s="123" t="s">
        <v>1316</v>
      </c>
    </row>
    <row r="37" spans="1:1">
      <c r="A37" s="123" t="s">
        <v>1317</v>
      </c>
    </row>
    <row r="38" spans="1:1">
      <c r="A38" s="123" t="s">
        <v>1318</v>
      </c>
    </row>
    <row r="39" spans="1:1">
      <c r="A39" s="123" t="s">
        <v>1319</v>
      </c>
    </row>
    <row r="40" spans="1:1">
      <c r="A40" s="123" t="s">
        <v>1320</v>
      </c>
    </row>
    <row r="41" spans="1:1">
      <c r="A41" s="123" t="s">
        <v>1321</v>
      </c>
    </row>
    <row r="42" spans="1:1">
      <c r="A42" s="123" t="s">
        <v>1322</v>
      </c>
    </row>
    <row r="43" spans="1:1">
      <c r="A43" s="123" t="s">
        <v>1323</v>
      </c>
    </row>
    <row r="44" spans="1:1">
      <c r="A44" s="123" t="s">
        <v>1324</v>
      </c>
    </row>
    <row r="46" spans="1:1">
      <c r="A46" s="107" t="s">
        <v>1325</v>
      </c>
    </row>
    <row r="47" spans="1:1">
      <c r="A47" s="123" t="s">
        <v>1326</v>
      </c>
    </row>
    <row r="48" spans="1:1">
      <c r="A48" s="123" t="s">
        <v>1327</v>
      </c>
    </row>
    <row r="49" spans="1:1">
      <c r="A49" s="123" t="s">
        <v>1328</v>
      </c>
    </row>
    <row r="50" spans="1:1">
      <c r="A50" s="123" t="s">
        <v>1329</v>
      </c>
    </row>
    <row r="52" spans="1:1">
      <c r="A52" s="107" t="s">
        <v>1330</v>
      </c>
    </row>
    <row r="53" spans="1:1">
      <c r="A53" s="123" t="s">
        <v>1331</v>
      </c>
    </row>
    <row r="54" spans="1:1">
      <c r="A54" s="123" t="s">
        <v>1332</v>
      </c>
    </row>
    <row r="55" spans="1:1">
      <c r="A55" s="123" t="s">
        <v>1333</v>
      </c>
    </row>
    <row r="56" spans="1:1">
      <c r="A56" s="123" t="s">
        <v>1334</v>
      </c>
    </row>
    <row r="57" spans="1:1">
      <c r="A57" s="123" t="s">
        <v>1335</v>
      </c>
    </row>
    <row r="58" spans="1:1">
      <c r="A58" s="123" t="s">
        <v>1336</v>
      </c>
    </row>
    <row r="59" spans="1:1">
      <c r="A59" s="123" t="s">
        <v>1467</v>
      </c>
    </row>
    <row r="60" spans="1:1">
      <c r="A60" s="123" t="s">
        <v>1337</v>
      </c>
    </row>
    <row r="61" spans="1:1">
      <c r="A61" s="123" t="s">
        <v>1371</v>
      </c>
    </row>
    <row r="63" spans="1:1">
      <c r="A63" s="107" t="s">
        <v>1338</v>
      </c>
    </row>
    <row r="64" spans="1:1">
      <c r="A64" s="123" t="s">
        <v>1339</v>
      </c>
    </row>
    <row r="65" spans="1:1">
      <c r="A65" s="123" t="s">
        <v>1340</v>
      </c>
    </row>
    <row r="66" spans="1:1">
      <c r="A66" s="123" t="s">
        <v>1341</v>
      </c>
    </row>
    <row r="67" spans="1:1">
      <c r="A67" s="123" t="s">
        <v>1342</v>
      </c>
    </row>
    <row r="68" spans="1:1">
      <c r="A68" s="123" t="s">
        <v>1343</v>
      </c>
    </row>
    <row r="69" spans="1:1">
      <c r="A69" s="123" t="s">
        <v>1344</v>
      </c>
    </row>
    <row r="70" spans="1:1">
      <c r="A70" s="123" t="s">
        <v>1345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2026-10-04T19:34:44Z</dcterms:modified>
  <dc:language>en-US</dc:language>
</cp:coreProperties>
</file>